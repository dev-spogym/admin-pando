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일일보고" sheetId="1" r:id="rId5"/>
  </sheets>
  <definedNames/>
  <calcPr/>
</workbook>
</file>

<file path=xl/sharedStrings.xml><?xml version="1.0" encoding="utf-8"?>
<sst xmlns="http://schemas.openxmlformats.org/spreadsheetml/2006/main" count="72" uniqueCount="49">
  <si>
    <t>지점 : {지점}점</t>
  </si>
  <si>
    <t>익일 목표</t>
  </si>
  <si>
    <t>확정</t>
  </si>
  <si>
    <t>익일 예상</t>
  </si>
  <si>
    <t>익일 계획</t>
  </si>
  <si>
    <t>등록</t>
  </si>
  <si>
    <t>인원 통계</t>
  </si>
  <si>
    <t>TOTAL</t>
  </si>
  <si>
    <t>회원권</t>
  </si>
  <si>
    <t>지점 유효 회원수</t>
  </si>
  <si>
    <t>1월 등록 인원</t>
  </si>
  <si>
    <t>남성회원</t>
  </si>
  <si>
    <t>여성회원</t>
  </si>
  <si>
    <t>락카</t>
  </si>
  <si>
    <t>강습</t>
  </si>
  <si>
    <t>골프</t>
  </si>
  <si>
    <t>누적매출</t>
  </si>
  <si>
    <t>지점 매출 통계</t>
  </si>
  <si>
    <t>확정, 예상, 계획하고있는 매출을 작성하시오.</t>
  </si>
  <si>
    <t>목표매출</t>
  </si>
  <si>
    <t>FC부서</t>
  </si>
  <si>
    <t>강습부서</t>
  </si>
  <si>
    <t>골프부서</t>
  </si>
  <si>
    <t>담당</t>
  </si>
  <si>
    <t>회원명</t>
  </si>
  <si>
    <t>금액</t>
  </si>
  <si>
    <t>비고</t>
  </si>
  <si>
    <t>목표차액</t>
  </si>
  <si>
    <t>진행률</t>
  </si>
  <si>
    <t>부서 매출 현황</t>
  </si>
  <si>
    <t>목표 매출</t>
  </si>
  <si>
    <t>현재 매출</t>
  </si>
  <si>
    <t>차액</t>
  </si>
  <si>
    <t>달성률</t>
  </si>
  <si>
    <t>*지점 매출통계 및 부서 매출 현황은 누적매출로 작성하시오.</t>
  </si>
  <si>
    <t>개인 락커 관리 현황</t>
  </si>
  <si>
    <t>총개수</t>
  </si>
  <si>
    <t>사용중</t>
  </si>
  <si>
    <t>만료예정</t>
  </si>
  <si>
    <t>사용초과</t>
  </si>
  <si>
    <t>가동율</t>
  </si>
  <si>
    <t>골프 락커 관리 현황</t>
  </si>
  <si>
    <t>일일 업무 및 매출 계획을 자세히 작성 하시오.</t>
  </si>
  <si>
    <t>익일 세부 영업계획</t>
  </si>
  <si>
    <t>FC</t>
  </si>
  <si>
    <t>고객 만족 센터(월누적으로 체크)</t>
  </si>
  <si>
    <t>당일 영업분석 및 특이사항</t>
  </si>
  <si>
    <t>특이사항</t>
  </si>
  <si>
    <t>미 결 안 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</si>
</sst>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&quot;월&quot;\ dd&quot;일&quot;"/>
    <numFmt numFmtId="165" formatCode="_-* #,##0_-;\-* #,##0_-;_-* &quot;-&quot;_-;_-@"/>
    <numFmt numFmtId="166" formatCode="_-[$₩-412]* #,##0_-;\-[$₩-412]* #,##0_-;_-[$₩-412]* &quot;-&quot;_-;_-@"/>
    <numFmt numFmtId="167" formatCode="_-&quot;₩&quot;* #,##0_-;\-&quot;₩&quot;* #,##0_-;_-&quot;₩&quot;* &quot;-&quot;_-;_-@"/>
    <numFmt numFmtId="168" formatCode="0_ "/>
  </numFmts>
  <fonts count="16">
    <font>
      <sz val="10.0"/>
      <color rgb="FF000000"/>
      <name val="Arial"/>
      <scheme val="minor"/>
    </font>
    <font>
      <b/>
      <sz val="20.0"/>
      <color rgb="FF000000"/>
      <name val="Malgun Gothic"/>
    </font>
    <font/>
    <font>
      <sz val="11.0"/>
      <color rgb="FF000000"/>
      <name val="Malgun Gothic"/>
    </font>
    <font>
      <b/>
      <sz val="14.0"/>
      <color rgb="FF000000"/>
      <name val="Malgun Gothic"/>
    </font>
    <font>
      <b/>
      <sz val="18.0"/>
      <color rgb="FF000000"/>
      <name val="Malgun Gothic"/>
    </font>
    <font>
      <b/>
      <sz val="11.0"/>
      <color rgb="FF000000"/>
      <name val="Malgun Gothic"/>
    </font>
    <font>
      <b/>
      <sz val="12.0"/>
      <color rgb="FF000000"/>
      <name val="Malgun Gothic"/>
    </font>
    <font>
      <sz val="11.0"/>
      <color theme="1"/>
      <name val="Malgun Gothic"/>
    </font>
    <font>
      <sz val="20.0"/>
      <color rgb="FF0000CC"/>
      <name val="Malgun Gothic"/>
    </font>
    <font>
      <sz val="15.0"/>
      <color rgb="FF000000"/>
      <name val="Malgun Gothic"/>
    </font>
    <font>
      <b/>
      <sz val="11.0"/>
      <color rgb="FFFF0000"/>
      <name val="Malgun Gothic"/>
    </font>
    <font>
      <b/>
      <sz val="14.0"/>
      <color rgb="FF002060"/>
      <name val="Malgun Gothic"/>
    </font>
    <font>
      <sz val="10.0"/>
      <color rgb="FF000000"/>
      <name val="Malgun Gothic"/>
    </font>
    <font>
      <b/>
      <sz val="11.0"/>
      <color rgb="FF0000CC"/>
      <name val="Malgun Gothic"/>
    </font>
    <font>
      <sz val="11.0"/>
      <color rgb="FFFF0000"/>
      <name val="Malgun Gothic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9CC3E6"/>
        <bgColor rgb="FF9CC3E6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BE5D7"/>
        <bgColor rgb="FFFBE5D7"/>
      </patternFill>
    </fill>
    <fill>
      <patternFill patternType="solid">
        <fgColor rgb="FF8EAADB"/>
        <bgColor rgb="FF8EAADB"/>
      </patternFill>
    </fill>
    <fill>
      <patternFill patternType="solid">
        <fgColor rgb="FFBED7EE"/>
        <bgColor rgb="FFBED7EE"/>
      </patternFill>
    </fill>
  </fills>
  <borders count="80">
    <border/>
    <border>
      <left/>
      <top/>
      <bottom/>
    </border>
    <border>
      <top/>
      <bottom/>
    </border>
    <border>
      <right/>
      <top/>
      <bottom/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dotted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dotted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hair">
        <color rgb="FF000000"/>
      </left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dotted">
        <color rgb="FF000000"/>
      </right>
      <top/>
      <bottom style="thin">
        <color rgb="FF000000"/>
      </bottom>
    </border>
    <border>
      <left style="dotted">
        <color rgb="FF000000"/>
      </left>
      <right style="dotted">
        <color rgb="FF000000"/>
      </right>
      <top/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000000"/>
      </right>
    </border>
    <border>
      <left style="double">
        <color rgb="FF000000"/>
      </left>
      <right style="dotted">
        <color rgb="FF000000"/>
      </right>
    </border>
    <border>
      <right style="double">
        <color rgb="FF000000"/>
      </right>
    </border>
    <border>
      <right style="dotted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dotted">
        <color rgb="FF000000"/>
      </right>
      <bottom style="medium">
        <color rgb="FF000000"/>
      </bottom>
    </border>
    <border>
      <left style="double">
        <color rgb="FF000000"/>
      </left>
      <right style="dotted">
        <color rgb="FF000000"/>
      </right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left style="dotted">
        <color rgb="FF000000"/>
      </left>
    </border>
    <border>
      <left style="dotted">
        <color rgb="FF000000"/>
      </left>
      <bottom style="medium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3" fontId="5" numFmtId="164" xfId="0" applyAlignment="1" applyBorder="1" applyFill="1" applyFont="1" applyNumberFormat="1">
      <alignment horizontal="center" readingOrder="0" vertical="center"/>
    </xf>
    <xf borderId="4" fillId="0" fontId="4" numFmtId="0" xfId="0" applyAlignment="1" applyBorder="1" applyFont="1">
      <alignment horizontal="right" readingOrder="0" vertical="center"/>
    </xf>
    <xf borderId="4" fillId="0" fontId="2" numFmtId="0" xfId="0" applyBorder="1" applyFont="1"/>
    <xf borderId="5" fillId="4" fontId="6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4" fontId="6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5" fontId="4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12" fillId="3" fontId="7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3" fontId="6" numFmtId="165" xfId="0" applyAlignment="1" applyBorder="1" applyFont="1" applyNumberFormat="1">
      <alignment horizontal="center" vertical="center"/>
    </xf>
    <xf borderId="14" fillId="6" fontId="7" numFmtId="165" xfId="0" applyAlignment="1" applyBorder="1" applyFill="1" applyFont="1" applyNumberFormat="1">
      <alignment horizontal="center" vertical="center"/>
    </xf>
    <xf borderId="14" fillId="3" fontId="7" numFmtId="165" xfId="0" applyAlignment="1" applyBorder="1" applyFont="1" applyNumberForma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2" fillId="3" fontId="6" numFmtId="0" xfId="0" applyAlignment="1" applyBorder="1" applyFont="1">
      <alignment horizontal="center" readingOrder="0" shrinkToFit="0" vertical="center" wrapText="1"/>
    </xf>
    <xf borderId="14" fillId="6" fontId="6" numFmtId="165" xfId="0" applyAlignment="1" applyBorder="1" applyFont="1" applyNumberFormat="1">
      <alignment horizontal="center" readingOrder="0" vertical="center"/>
    </xf>
    <xf borderId="14" fillId="3" fontId="6" numFmtId="165" xfId="0" applyAlignment="1" applyBorder="1" applyFont="1" applyNumberFormat="1">
      <alignment horizontal="center" readingOrder="0" vertical="center"/>
    </xf>
    <xf borderId="12" fillId="0" fontId="8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3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9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readingOrder="0" vertical="center"/>
    </xf>
    <xf borderId="15" fillId="0" fontId="8" numFmtId="0" xfId="0" applyAlignment="1" applyBorder="1" applyFont="1">
      <alignment horizontal="center" readingOrder="0" vertical="center"/>
    </xf>
    <xf borderId="12" fillId="3" fontId="6" numFmtId="0" xfId="0" applyAlignment="1" applyBorder="1" applyFont="1">
      <alignment horizontal="center" readingOrder="0" vertical="center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8" numFmtId="9" xfId="0" applyAlignment="1" applyBorder="1" applyFont="1" applyNumberFormat="1">
      <alignment horizontal="center" vertical="center"/>
    </xf>
    <xf borderId="29" fillId="0" fontId="8" numFmtId="9" xfId="0" applyAlignment="1" applyBorder="1" applyFont="1" applyNumberFormat="1">
      <alignment horizontal="center" vertical="center"/>
    </xf>
    <xf borderId="12" fillId="3" fontId="6" numFmtId="0" xfId="0" applyAlignment="1" applyBorder="1" applyFont="1">
      <alignment horizontal="center" vertical="center"/>
    </xf>
    <xf borderId="30" fillId="3" fontId="10" numFmtId="0" xfId="0" applyAlignment="1" applyBorder="1" applyFont="1">
      <alignment vertical="center"/>
    </xf>
    <xf borderId="30" fillId="3" fontId="8" numFmtId="0" xfId="0" applyAlignment="1" applyBorder="1" applyFont="1">
      <alignment vertical="center"/>
    </xf>
    <xf borderId="30" fillId="3" fontId="8" numFmtId="165" xfId="0" applyAlignment="1" applyBorder="1" applyFont="1" applyNumberFormat="1">
      <alignment vertical="center"/>
    </xf>
    <xf borderId="31" fillId="3" fontId="6" numFmtId="0" xfId="0" applyAlignment="1" applyBorder="1" applyFont="1">
      <alignment horizontal="center" vertical="center"/>
    </xf>
    <xf borderId="28" fillId="0" fontId="2" numFmtId="0" xfId="0" applyBorder="1" applyFont="1"/>
    <xf borderId="32" fillId="3" fontId="6" numFmtId="166" xfId="0" applyAlignment="1" applyBorder="1" applyFont="1" applyNumberFormat="1">
      <alignment horizontal="center" vertical="center"/>
    </xf>
    <xf borderId="33" fillId="0" fontId="2" numFmtId="0" xfId="0" applyBorder="1" applyFont="1"/>
    <xf borderId="32" fillId="3" fontId="7" numFmtId="165" xfId="0" applyAlignment="1" applyBorder="1" applyFont="1" applyNumberFormat="1">
      <alignment horizontal="center" vertical="center"/>
    </xf>
    <xf borderId="29" fillId="0" fontId="2" numFmtId="0" xfId="0" applyBorder="1" applyFont="1"/>
    <xf borderId="9" fillId="5" fontId="4" numFmtId="165" xfId="0" applyAlignment="1" applyBorder="1" applyFont="1" applyNumberFormat="1">
      <alignment horizontal="center" vertical="center"/>
    </xf>
    <xf borderId="34" fillId="0" fontId="11" numFmtId="165" xfId="0" applyAlignment="1" applyBorder="1" applyFont="1" applyNumberFormat="1">
      <alignment vertical="center"/>
    </xf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5" fillId="3" fontId="6" numFmtId="0" xfId="0" applyAlignment="1" applyBorder="1" applyFont="1">
      <alignment horizontal="center" vertical="center"/>
    </xf>
    <xf borderId="39" fillId="0" fontId="2" numFmtId="0" xfId="0" applyBorder="1" applyFont="1"/>
    <xf borderId="5" fillId="3" fontId="6" numFmtId="0" xfId="0" applyAlignment="1" applyBorder="1" applyFont="1">
      <alignment horizontal="center" readingOrder="0" vertical="center"/>
    </xf>
    <xf borderId="12" fillId="7" fontId="6" numFmtId="0" xfId="0" applyAlignment="1" applyBorder="1" applyFill="1" applyFont="1">
      <alignment horizontal="center" vertical="center"/>
    </xf>
    <xf borderId="14" fillId="7" fontId="12" numFmtId="165" xfId="0" applyAlignment="1" applyBorder="1" applyFont="1" applyNumberFormat="1">
      <alignment horizontal="center" vertical="center"/>
    </xf>
    <xf borderId="40" fillId="3" fontId="6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 vertical="center"/>
    </xf>
    <xf borderId="14" fillId="3" fontId="11" numFmtId="165" xfId="0" applyAlignment="1" applyBorder="1" applyFont="1" applyNumberFormat="1">
      <alignment horizontal="center" vertical="center"/>
    </xf>
    <xf borderId="41" fillId="8" fontId="13" numFmtId="0" xfId="0" applyAlignment="1" applyBorder="1" applyFill="1" applyFont="1">
      <alignment horizontal="center" vertical="center"/>
    </xf>
    <xf borderId="40" fillId="8" fontId="13" numFmtId="0" xfId="0" applyAlignment="1" applyBorder="1" applyFont="1">
      <alignment horizontal="center" vertical="center"/>
    </xf>
    <xf borderId="40" fillId="8" fontId="13" numFmtId="167" xfId="0" applyAlignment="1" applyBorder="1" applyFont="1" applyNumberFormat="1">
      <alignment horizontal="center" vertical="center"/>
    </xf>
    <xf borderId="42" fillId="8" fontId="13" numFmtId="167" xfId="0" applyAlignment="1" applyBorder="1" applyFont="1" applyNumberFormat="1">
      <alignment horizontal="center" vertical="center"/>
    </xf>
    <xf borderId="43" fillId="3" fontId="3" numFmtId="165" xfId="0" applyAlignment="1" applyBorder="1" applyFont="1" applyNumberFormat="1">
      <alignment horizontal="center" vertical="center"/>
    </xf>
    <xf borderId="44" fillId="3" fontId="3" numFmtId="0" xfId="0" applyAlignment="1" applyBorder="1" applyFont="1">
      <alignment horizontal="center" vertical="center"/>
    </xf>
    <xf borderId="40" fillId="3" fontId="13" numFmtId="167" xfId="0" applyAlignment="1" applyBorder="1" applyFont="1" applyNumberFormat="1">
      <alignment horizontal="center" vertical="center"/>
    </xf>
    <xf borderId="42" fillId="3" fontId="13" numFmtId="0" xfId="0" applyAlignment="1" applyBorder="1" applyFont="1">
      <alignment horizontal="center" vertical="center"/>
    </xf>
    <xf borderId="41" fillId="3" fontId="3" numFmtId="165" xfId="0" applyAlignment="1" applyBorder="1" applyFont="1" applyNumberFormat="1">
      <alignment horizontal="center" vertical="center"/>
    </xf>
    <xf borderId="40" fillId="3" fontId="3" numFmtId="165" xfId="0" applyAlignment="1" applyBorder="1" applyFont="1" applyNumberFormat="1">
      <alignment horizontal="center" vertical="center"/>
    </xf>
    <xf borderId="40" fillId="3" fontId="8" numFmtId="165" xfId="0" applyAlignment="1" applyBorder="1" applyFont="1" applyNumberFormat="1">
      <alignment horizontal="center" vertical="center"/>
    </xf>
    <xf borderId="42" fillId="3" fontId="3" numFmtId="165" xfId="0" applyAlignment="1" applyBorder="1" applyFont="1" applyNumberFormat="1">
      <alignment horizontal="center" vertical="center"/>
    </xf>
    <xf borderId="32" fillId="3" fontId="14" numFmtId="10" xfId="0" applyAlignment="1" applyBorder="1" applyFont="1" applyNumberFormat="1">
      <alignment horizontal="center" vertical="center"/>
    </xf>
    <xf borderId="41" fillId="3" fontId="8" numFmtId="165" xfId="0" applyAlignment="1" applyBorder="1" applyFont="1" applyNumberFormat="1">
      <alignment horizontal="center" vertical="center"/>
    </xf>
    <xf borderId="42" fillId="3" fontId="8" numFmtId="165" xfId="0" applyAlignment="1" applyBorder="1" applyFont="1" applyNumberFormat="1">
      <alignment horizontal="center" vertical="center"/>
    </xf>
    <xf borderId="0" fillId="0" fontId="11" numFmtId="165" xfId="0" applyAlignment="1" applyFont="1" applyNumberFormat="1">
      <alignment vertical="center"/>
    </xf>
    <xf borderId="9" fillId="5" fontId="4" numFmtId="0" xfId="0" applyAlignment="1" applyBorder="1" applyFont="1">
      <alignment horizontal="center" vertical="center"/>
    </xf>
    <xf borderId="42" fillId="8" fontId="13" numFmtId="0" xfId="0" applyAlignment="1" applyBorder="1" applyFont="1">
      <alignment horizontal="center" vertical="center"/>
    </xf>
    <xf borderId="45" fillId="3" fontId="6" numFmtId="0" xfId="0" applyAlignment="1" applyBorder="1" applyFont="1">
      <alignment horizontal="center" vertical="center"/>
    </xf>
    <xf borderId="46" fillId="0" fontId="2" numFmtId="0" xfId="0" applyBorder="1" applyFont="1"/>
    <xf borderId="47" fillId="3" fontId="6" numFmtId="0" xfId="0" applyAlignment="1" applyBorder="1" applyFont="1">
      <alignment horizontal="center" vertical="center"/>
    </xf>
    <xf borderId="48" fillId="0" fontId="6" numFmtId="0" xfId="0" applyAlignment="1" applyBorder="1" applyFont="1">
      <alignment horizontal="center" vertical="center"/>
    </xf>
    <xf borderId="49" fillId="3" fontId="6" numFmtId="0" xfId="0" applyAlignment="1" applyBorder="1" applyFont="1">
      <alignment horizontal="center" readingOrder="0" vertical="center"/>
    </xf>
    <xf borderId="50" fillId="3" fontId="6" numFmtId="165" xfId="0" applyAlignment="1" applyBorder="1" applyFont="1" applyNumberFormat="1">
      <alignment horizontal="center" readingOrder="0" vertical="center"/>
    </xf>
    <xf borderId="50" fillId="0" fontId="14" numFmtId="165" xfId="0" applyAlignment="1" applyBorder="1" applyFont="1" applyNumberFormat="1">
      <alignment horizontal="center" vertical="center"/>
    </xf>
    <xf borderId="50" fillId="3" fontId="11" numFmtId="165" xfId="0" applyAlignment="1" applyBorder="1" applyFont="1" applyNumberFormat="1">
      <alignment horizontal="center" vertical="center"/>
    </xf>
    <xf borderId="15" fillId="0" fontId="6" numFmtId="9" xfId="0" applyAlignment="1" applyBorder="1" applyFont="1" applyNumberFormat="1">
      <alignment horizontal="center" vertical="center"/>
    </xf>
    <xf borderId="12" fillId="3" fontId="6" numFmtId="165" xfId="0" applyAlignment="1" applyBorder="1" applyFont="1" applyNumberFormat="1">
      <alignment horizontal="center" readingOrder="0" vertical="center"/>
    </xf>
    <xf borderId="51" fillId="0" fontId="13" numFmtId="0" xfId="0" applyAlignment="1" applyBorder="1" applyFont="1">
      <alignment horizontal="center" vertical="center"/>
    </xf>
    <xf borderId="52" fillId="0" fontId="13" numFmtId="0" xfId="0" applyAlignment="1" applyBorder="1" applyFont="1">
      <alignment horizontal="center" vertical="center"/>
    </xf>
    <xf borderId="52" fillId="0" fontId="13" numFmtId="167" xfId="0" applyAlignment="1" applyBorder="1" applyFont="1" applyNumberFormat="1">
      <alignment horizontal="center" vertical="center"/>
    </xf>
    <xf borderId="53" fillId="0" fontId="3" numFmtId="167" xfId="0" applyAlignment="1" applyBorder="1" applyFont="1" applyNumberFormat="1">
      <alignment horizontal="center" vertical="center"/>
    </xf>
    <xf borderId="31" fillId="0" fontId="6" numFmtId="165" xfId="0" applyAlignment="1" applyBorder="1" applyFont="1" applyNumberFormat="1">
      <alignment horizontal="center" readingOrder="0" vertical="center"/>
    </xf>
    <xf borderId="54" fillId="3" fontId="6" numFmtId="165" xfId="0" applyAlignment="1" applyBorder="1" applyFont="1" applyNumberFormat="1">
      <alignment horizontal="center" readingOrder="0" vertical="center"/>
    </xf>
    <xf borderId="55" fillId="0" fontId="14" numFmtId="165" xfId="0" applyAlignment="1" applyBorder="1" applyFont="1" applyNumberFormat="1">
      <alignment horizontal="center" vertical="center"/>
    </xf>
    <xf borderId="54" fillId="0" fontId="11" numFmtId="165" xfId="0" applyAlignment="1" applyBorder="1" applyFont="1" applyNumberFormat="1">
      <alignment horizontal="center" vertical="center"/>
    </xf>
    <xf borderId="56" fillId="0" fontId="6" numFmtId="9" xfId="0" applyAlignment="1" applyBorder="1" applyFont="1" applyNumberFormat="1">
      <alignment horizontal="center" vertical="center"/>
    </xf>
    <xf borderId="15" fillId="8" fontId="13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6" fillId="3" fontId="6" numFmtId="0" xfId="0" applyAlignment="1" applyBorder="1" applyFont="1">
      <alignment horizontal="center" vertical="center"/>
    </xf>
    <xf borderId="21" fillId="0" fontId="2" numFmtId="0" xfId="0" applyBorder="1" applyFont="1"/>
    <xf borderId="48" fillId="3" fontId="6" numFmtId="0" xfId="0" applyAlignment="1" applyBorder="1" applyFont="1">
      <alignment horizontal="center" vertical="center"/>
    </xf>
    <xf borderId="57" fillId="3" fontId="6" numFmtId="0" xfId="0" applyAlignment="1" applyBorder="1" applyFont="1">
      <alignment horizontal="center" vertical="center"/>
    </xf>
    <xf borderId="58" fillId="8" fontId="13" numFmtId="0" xfId="0" applyAlignment="1" applyBorder="1" applyFont="1">
      <alignment horizontal="center" vertical="center"/>
    </xf>
    <xf borderId="55" fillId="8" fontId="13" numFmtId="0" xfId="0" applyAlignment="1" applyBorder="1" applyFont="1">
      <alignment horizontal="center" vertical="center"/>
    </xf>
    <xf borderId="29" fillId="8" fontId="13" numFmtId="0" xfId="0" applyAlignment="1" applyBorder="1" applyFont="1">
      <alignment horizontal="center" vertical="center"/>
    </xf>
    <xf borderId="56" fillId="8" fontId="13" numFmtId="0" xfId="0" applyAlignment="1" applyBorder="1" applyFont="1">
      <alignment horizontal="center" vertical="center"/>
    </xf>
    <xf borderId="31" fillId="3" fontId="6" numFmtId="168" xfId="0" applyAlignment="1" applyBorder="1" applyFont="1" applyNumberFormat="1">
      <alignment horizontal="center" vertical="center"/>
    </xf>
    <xf borderId="54" fillId="3" fontId="6" numFmtId="168" xfId="0" applyAlignment="1" applyBorder="1" applyFont="1" applyNumberFormat="1">
      <alignment horizontal="center" vertical="center"/>
    </xf>
    <xf borderId="54" fillId="0" fontId="14" numFmtId="168" xfId="0" applyAlignment="1" applyBorder="1" applyFont="1" applyNumberFormat="1">
      <alignment horizontal="center" vertical="center"/>
    </xf>
    <xf borderId="54" fillId="3" fontId="11" numFmtId="168" xfId="0" applyAlignment="1" applyBorder="1" applyFont="1" applyNumberFormat="1">
      <alignment horizontal="center" vertical="center"/>
    </xf>
    <xf borderId="59" fillId="0" fontId="6" numFmtId="9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9" fillId="9" fontId="7" numFmtId="0" xfId="0" applyAlignment="1" applyBorder="1" applyFill="1" applyFont="1">
      <alignment horizontal="center" vertical="center"/>
    </xf>
    <xf borderId="60" fillId="0" fontId="2" numFmtId="0" xfId="0" applyBorder="1" applyFont="1"/>
    <xf borderId="61" fillId="0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62" fillId="0" fontId="7" numFmtId="0" xfId="0" applyAlignment="1" applyBorder="1" applyFont="1">
      <alignment horizontal="center" readingOrder="0" shrinkToFit="0" vertical="center" wrapText="1"/>
    </xf>
    <xf borderId="63" fillId="0" fontId="2" numFmtId="0" xfId="0" applyBorder="1" applyFont="1"/>
    <xf borderId="64" fillId="0" fontId="7" numFmtId="0" xfId="0" applyAlignment="1" applyBorder="1" applyFont="1">
      <alignment horizontal="center" shrinkToFit="0" vertical="center" wrapText="1"/>
    </xf>
    <xf borderId="65" fillId="0" fontId="2" numFmtId="0" xfId="0" applyBorder="1" applyFont="1"/>
    <xf borderId="9" fillId="10" fontId="4" numFmtId="0" xfId="0" applyAlignment="1" applyBorder="1" applyFill="1" applyFont="1">
      <alignment horizontal="center" vertical="center"/>
    </xf>
    <xf borderId="61" fillId="0" fontId="2" numFmtId="0" xfId="0" applyBorder="1" applyFont="1"/>
    <xf borderId="62" fillId="0" fontId="2" numFmtId="0" xfId="0" applyBorder="1" applyFont="1"/>
    <xf borderId="64" fillId="0" fontId="2" numFmtId="0" xfId="0" applyBorder="1" applyFont="1"/>
    <xf borderId="9" fillId="0" fontId="3" numFmtId="0" xfId="0" applyAlignment="1" applyBorder="1" applyFont="1">
      <alignment horizontal="center" shrinkToFit="0" vertical="center" wrapText="1"/>
    </xf>
    <xf borderId="6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69" fillId="0" fontId="2" numFmtId="0" xfId="0" applyBorder="1" applyFont="1"/>
    <xf borderId="70" fillId="0" fontId="2" numFmtId="0" xfId="0" applyBorder="1" applyFont="1"/>
    <xf borderId="0" fillId="0" fontId="15" numFmtId="0" xfId="0" applyAlignment="1" applyFont="1">
      <alignment vertical="center"/>
    </xf>
    <xf borderId="71" fillId="0" fontId="3" numFmtId="0" xfId="0" applyAlignment="1" applyBorder="1" applyFont="1">
      <alignment horizontal="left" shrinkToFit="0" vertical="center" wrapText="1"/>
    </xf>
    <xf borderId="72" fillId="0" fontId="2" numFmtId="0" xfId="0" applyBorder="1" applyFont="1"/>
    <xf borderId="73" fillId="0" fontId="2" numFmtId="0" xfId="0" applyBorder="1" applyFont="1"/>
    <xf borderId="74" fillId="0" fontId="2" numFmtId="0" xfId="0" applyBorder="1" applyFont="1"/>
    <xf borderId="5" fillId="2" fontId="6" numFmtId="0" xfId="0" applyAlignment="1" applyBorder="1" applyFont="1">
      <alignment horizontal="center" vertical="center"/>
    </xf>
    <xf borderId="41" fillId="0" fontId="6" numFmtId="164" xfId="0" applyAlignment="1" applyBorder="1" applyFont="1" applyNumberFormat="1">
      <alignment horizontal="center" vertical="center"/>
    </xf>
    <xf borderId="20" fillId="0" fontId="3" numFmtId="0" xfId="0" applyAlignment="1" applyBorder="1" applyFont="1">
      <alignment horizontal="left" vertical="center"/>
    </xf>
    <xf borderId="20" fillId="0" fontId="3" numFmtId="0" xfId="0" applyAlignment="1" applyBorder="1" applyFont="1">
      <alignment horizontal="left" shrinkToFit="0" vertical="center" wrapText="1"/>
    </xf>
    <xf borderId="51" fillId="0" fontId="6" numFmtId="164" xfId="0" applyAlignment="1" applyBorder="1" applyFont="1" applyNumberFormat="1">
      <alignment horizontal="center" vertical="center"/>
    </xf>
    <xf borderId="24" fillId="0" fontId="3" numFmtId="0" xfId="0" applyAlignment="1" applyBorder="1" applyFont="1">
      <alignment horizontal="left" vertical="center"/>
    </xf>
    <xf borderId="75" fillId="0" fontId="2" numFmtId="0" xfId="0" applyBorder="1" applyFont="1"/>
    <xf borderId="76" fillId="0" fontId="2" numFmtId="0" xfId="0" applyBorder="1" applyFont="1"/>
    <xf borderId="77" fillId="11" fontId="3" numFmtId="0" xfId="0" applyAlignment="1" applyBorder="1" applyFill="1" applyFont="1">
      <alignment horizontal="center" vertical="center"/>
    </xf>
    <xf borderId="78" fillId="0" fontId="2" numFmtId="0" xfId="0" applyBorder="1" applyFont="1"/>
    <xf borderId="79" fillId="0" fontId="2" numFmtId="0" xfId="0" applyBorder="1" applyFont="1"/>
    <xf borderId="9" fillId="0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2" width="13.63"/>
    <col customWidth="1" min="13" max="15" width="7.63"/>
    <col customWidth="1" min="16" max="17" width="13.0"/>
    <col customWidth="1" min="18" max="18" width="13.13"/>
    <col customWidth="1" min="19" max="19" width="8.25"/>
    <col customWidth="1" min="20" max="20" width="6.5"/>
    <col customWidth="1" min="21" max="26" width="7.63"/>
  </cols>
  <sheetData>
    <row r="1" ht="42.0" customHeight="1">
      <c r="A1" s="1">
        <v>46058.0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</row>
    <row r="2" ht="16.5" customHeight="1">
      <c r="A2" s="5"/>
      <c r="T2" s="4"/>
      <c r="U2" s="4"/>
      <c r="V2" s="4"/>
      <c r="W2" s="4"/>
      <c r="X2" s="4"/>
      <c r="Y2" s="4"/>
      <c r="Z2" s="4"/>
    </row>
    <row r="3" ht="32.25" customHeight="1">
      <c r="A3" s="6">
        <v>46058.0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7" t="s">
        <v>0</v>
      </c>
      <c r="O3" s="8"/>
      <c r="P3" s="8"/>
      <c r="Q3" s="8"/>
      <c r="R3" s="8"/>
      <c r="S3" s="8"/>
      <c r="T3" s="4"/>
      <c r="U3" s="4"/>
      <c r="V3" s="4"/>
      <c r="W3" s="4"/>
      <c r="X3" s="4"/>
      <c r="Y3" s="4"/>
      <c r="Z3" s="4"/>
    </row>
    <row r="4" ht="19.5" customHeight="1">
      <c r="A4" s="9"/>
      <c r="B4" s="10"/>
      <c r="C4" s="11" t="s">
        <v>1</v>
      </c>
      <c r="D4" s="10"/>
      <c r="E4" s="11" t="s">
        <v>2</v>
      </c>
      <c r="F4" s="10"/>
      <c r="G4" s="11" t="s">
        <v>3</v>
      </c>
      <c r="H4" s="10"/>
      <c r="I4" s="11" t="s">
        <v>4</v>
      </c>
      <c r="J4" s="10"/>
      <c r="K4" s="12" t="s">
        <v>5</v>
      </c>
      <c r="L4" s="13"/>
      <c r="M4" s="4"/>
      <c r="N4" s="14" t="s">
        <v>6</v>
      </c>
      <c r="O4" s="15"/>
      <c r="P4" s="15"/>
      <c r="Q4" s="15"/>
      <c r="R4" s="15"/>
      <c r="S4" s="16"/>
      <c r="T4" s="4"/>
      <c r="U4" s="4"/>
      <c r="V4" s="4"/>
      <c r="W4" s="4"/>
      <c r="X4" s="4"/>
      <c r="Y4" s="4"/>
      <c r="Z4" s="4"/>
    </row>
    <row r="5" ht="19.5" customHeight="1">
      <c r="A5" s="17" t="s">
        <v>7</v>
      </c>
      <c r="B5" s="18"/>
      <c r="C5" s="19">
        <f t="shared" ref="C5:C9" si="1">SUM(E5:I5)</f>
        <v>0</v>
      </c>
      <c r="D5" s="18"/>
      <c r="E5" s="20">
        <f>SUM(E6:E10)</f>
        <v>0</v>
      </c>
      <c r="F5" s="18"/>
      <c r="G5" s="21">
        <f>SUM(G6:G10)</f>
        <v>0</v>
      </c>
      <c r="H5" s="18"/>
      <c r="I5" s="21">
        <f>SUM(I6:I10)</f>
        <v>0</v>
      </c>
      <c r="J5" s="18"/>
      <c r="K5" s="21">
        <f>SUM(K6:L10)</f>
        <v>0</v>
      </c>
      <c r="L5" s="22"/>
      <c r="M5" s="4"/>
      <c r="N5" s="23"/>
      <c r="O5" s="24"/>
      <c r="P5" s="24"/>
      <c r="Q5" s="24"/>
      <c r="R5" s="24"/>
      <c r="S5" s="25"/>
      <c r="T5" s="4"/>
      <c r="U5" s="4"/>
      <c r="V5" s="4"/>
      <c r="W5" s="4"/>
      <c r="X5" s="4"/>
      <c r="Y5" s="4"/>
      <c r="Z5" s="4"/>
    </row>
    <row r="6" ht="19.5" customHeight="1">
      <c r="A6" s="26" t="s">
        <v>8</v>
      </c>
      <c r="B6" s="18"/>
      <c r="C6" s="19">
        <f t="shared" si="1"/>
        <v>0</v>
      </c>
      <c r="D6" s="18"/>
      <c r="E6" s="27">
        <v>0.0</v>
      </c>
      <c r="F6" s="18"/>
      <c r="G6" s="28">
        <v>0.0</v>
      </c>
      <c r="H6" s="18"/>
      <c r="I6" s="28">
        <v>0.0</v>
      </c>
      <c r="J6" s="18"/>
      <c r="K6" s="21"/>
      <c r="L6" s="22"/>
      <c r="M6" s="4"/>
      <c r="N6" s="29" t="s">
        <v>9</v>
      </c>
      <c r="O6" s="30"/>
      <c r="P6" s="31" t="s">
        <v>10</v>
      </c>
      <c r="Q6" s="30"/>
      <c r="R6" s="32" t="s">
        <v>11</v>
      </c>
      <c r="S6" s="33" t="s">
        <v>12</v>
      </c>
      <c r="T6" s="4"/>
      <c r="U6" s="4"/>
      <c r="V6" s="4"/>
      <c r="W6" s="4"/>
      <c r="X6" s="4"/>
      <c r="Y6" s="4"/>
      <c r="Z6" s="4"/>
    </row>
    <row r="7" ht="19.5" customHeight="1">
      <c r="A7" s="26" t="s">
        <v>13</v>
      </c>
      <c r="B7" s="18"/>
      <c r="C7" s="19">
        <f t="shared" si="1"/>
        <v>0</v>
      </c>
      <c r="D7" s="18"/>
      <c r="E7" s="27">
        <v>0.0</v>
      </c>
      <c r="F7" s="18"/>
      <c r="G7" s="19">
        <v>0.0</v>
      </c>
      <c r="H7" s="18"/>
      <c r="I7" s="28">
        <v>0.0</v>
      </c>
      <c r="J7" s="18"/>
      <c r="K7" s="21"/>
      <c r="L7" s="22"/>
      <c r="M7" s="4"/>
      <c r="N7" s="34"/>
      <c r="O7" s="35"/>
      <c r="P7" s="36">
        <f>R7+S7</f>
        <v>0</v>
      </c>
      <c r="Q7" s="35"/>
      <c r="R7" s="37">
        <v>0.0</v>
      </c>
      <c r="S7" s="38">
        <v>0.0</v>
      </c>
      <c r="T7" s="4"/>
      <c r="U7" s="4"/>
      <c r="V7" s="4"/>
      <c r="W7" s="4"/>
      <c r="X7" s="4"/>
      <c r="Y7" s="4"/>
      <c r="Z7" s="4"/>
    </row>
    <row r="8" ht="19.5" customHeight="1">
      <c r="A8" s="39" t="s">
        <v>14</v>
      </c>
      <c r="B8" s="18"/>
      <c r="C8" s="19">
        <f t="shared" si="1"/>
        <v>0</v>
      </c>
      <c r="D8" s="18"/>
      <c r="E8" s="27">
        <v>0.0</v>
      </c>
      <c r="F8" s="18"/>
      <c r="G8" s="28">
        <v>0.0</v>
      </c>
      <c r="H8" s="18"/>
      <c r="I8" s="28">
        <v>0.0</v>
      </c>
      <c r="J8" s="18"/>
      <c r="K8" s="21"/>
      <c r="L8" s="22"/>
      <c r="M8" s="4"/>
      <c r="N8" s="40"/>
      <c r="O8" s="41"/>
      <c r="P8" s="42"/>
      <c r="Q8" s="41"/>
      <c r="R8" s="43" t="str">
        <f>R7/SUM(R7:S7)</f>
        <v>#DIV/0!</v>
      </c>
      <c r="S8" s="44" t="str">
        <f>S7/SUM(R7:S7)</f>
        <v>#DIV/0!</v>
      </c>
      <c r="T8" s="4"/>
      <c r="U8" s="4"/>
      <c r="V8" s="4"/>
      <c r="W8" s="4"/>
      <c r="X8" s="4"/>
      <c r="Y8" s="4"/>
      <c r="Z8" s="4"/>
    </row>
    <row r="9" ht="19.5" customHeight="1">
      <c r="A9" s="45" t="s">
        <v>15</v>
      </c>
      <c r="B9" s="18"/>
      <c r="C9" s="19">
        <f t="shared" si="1"/>
        <v>0</v>
      </c>
      <c r="D9" s="18"/>
      <c r="E9" s="27">
        <v>0.0</v>
      </c>
      <c r="F9" s="18"/>
      <c r="G9" s="28">
        <v>0.0</v>
      </c>
      <c r="H9" s="18"/>
      <c r="I9" s="28">
        <v>0.0</v>
      </c>
      <c r="J9" s="18"/>
      <c r="K9" s="21"/>
      <c r="L9" s="22"/>
      <c r="M9" s="4"/>
      <c r="N9" s="46"/>
      <c r="O9" s="47"/>
      <c r="P9" s="47"/>
      <c r="Q9" s="48"/>
      <c r="R9" s="47"/>
      <c r="S9" s="4"/>
      <c r="T9" s="4"/>
      <c r="U9" s="4"/>
      <c r="V9" s="4"/>
      <c r="W9" s="4"/>
      <c r="X9" s="4"/>
      <c r="Y9" s="4"/>
      <c r="Z9" s="4"/>
    </row>
    <row r="10" ht="19.5" customHeight="1">
      <c r="A10" s="49" t="s">
        <v>16</v>
      </c>
      <c r="B10" s="50"/>
      <c r="C10" s="51">
        <f>K5</f>
        <v>0</v>
      </c>
      <c r="D10" s="52"/>
      <c r="E10" s="52"/>
      <c r="F10" s="52"/>
      <c r="G10" s="52"/>
      <c r="H10" s="52"/>
      <c r="I10" s="52"/>
      <c r="J10" s="50"/>
      <c r="K10" s="53"/>
      <c r="L10" s="54"/>
      <c r="M10" s="4"/>
      <c r="N10" s="55" t="s">
        <v>17</v>
      </c>
      <c r="O10" s="15"/>
      <c r="P10" s="15"/>
      <c r="Q10" s="15"/>
      <c r="R10" s="15"/>
      <c r="S10" s="16"/>
      <c r="T10" s="4"/>
      <c r="U10" s="4"/>
      <c r="V10" s="4"/>
      <c r="W10" s="4"/>
      <c r="X10" s="4"/>
      <c r="Y10" s="4"/>
      <c r="Z10" s="4"/>
    </row>
    <row r="11" ht="19.5" customHeight="1">
      <c r="J11" s="56" t="s">
        <v>18</v>
      </c>
      <c r="M11" s="4"/>
      <c r="N11" s="57"/>
      <c r="O11" s="58"/>
      <c r="P11" s="58"/>
      <c r="Q11" s="58"/>
      <c r="R11" s="58"/>
      <c r="S11" s="59"/>
      <c r="T11" s="4"/>
      <c r="U11" s="4"/>
      <c r="V11" s="4"/>
      <c r="W11" s="4"/>
      <c r="X11" s="4"/>
      <c r="Y11" s="4"/>
      <c r="Z11" s="4"/>
    </row>
    <row r="12" ht="19.5" customHeight="1">
      <c r="M12" s="4"/>
      <c r="N12" s="45" t="s">
        <v>19</v>
      </c>
      <c r="O12" s="18"/>
      <c r="P12" s="19">
        <f>SUM(P20:P23)</f>
        <v>0</v>
      </c>
      <c r="Q12" s="60"/>
      <c r="R12" s="60"/>
      <c r="S12" s="22"/>
      <c r="T12" s="4"/>
      <c r="U12" s="4"/>
      <c r="V12" s="4"/>
      <c r="W12" s="4"/>
      <c r="X12" s="4"/>
      <c r="Y12" s="4"/>
      <c r="Z12" s="4"/>
    </row>
    <row r="13" ht="19.5" customHeight="1">
      <c r="A13" s="61" t="s">
        <v>20</v>
      </c>
      <c r="B13" s="62"/>
      <c r="C13" s="62"/>
      <c r="D13" s="13"/>
      <c r="E13" s="63" t="s">
        <v>21</v>
      </c>
      <c r="F13" s="62"/>
      <c r="G13" s="62"/>
      <c r="H13" s="13"/>
      <c r="I13" s="61" t="s">
        <v>22</v>
      </c>
      <c r="J13" s="62"/>
      <c r="K13" s="62"/>
      <c r="L13" s="13"/>
      <c r="M13" s="4"/>
      <c r="N13" s="64" t="s">
        <v>16</v>
      </c>
      <c r="O13" s="18"/>
      <c r="P13" s="65">
        <f>Q20+Q21+Q22+Q23</f>
        <v>0</v>
      </c>
      <c r="Q13" s="60"/>
      <c r="R13" s="60"/>
      <c r="S13" s="22"/>
      <c r="T13" s="4"/>
      <c r="U13" s="4"/>
      <c r="V13" s="4"/>
      <c r="W13" s="4"/>
      <c r="X13" s="4"/>
      <c r="Y13" s="4"/>
      <c r="Z13" s="4"/>
    </row>
    <row r="14" ht="19.5" customHeight="1">
      <c r="A14" s="45" t="s">
        <v>23</v>
      </c>
      <c r="B14" s="66" t="s">
        <v>24</v>
      </c>
      <c r="C14" s="66" t="s">
        <v>25</v>
      </c>
      <c r="D14" s="67" t="s">
        <v>26</v>
      </c>
      <c r="E14" s="45" t="s">
        <v>23</v>
      </c>
      <c r="F14" s="66" t="s">
        <v>24</v>
      </c>
      <c r="G14" s="66" t="s">
        <v>25</v>
      </c>
      <c r="H14" s="67" t="s">
        <v>26</v>
      </c>
      <c r="I14" s="45" t="s">
        <v>23</v>
      </c>
      <c r="J14" s="66" t="s">
        <v>24</v>
      </c>
      <c r="K14" s="66" t="s">
        <v>25</v>
      </c>
      <c r="L14" s="67" t="s">
        <v>26</v>
      </c>
      <c r="M14" s="4"/>
      <c r="N14" s="45" t="s">
        <v>27</v>
      </c>
      <c r="O14" s="18"/>
      <c r="P14" s="68">
        <f>P12-P13</f>
        <v>0</v>
      </c>
      <c r="Q14" s="60"/>
      <c r="R14" s="60"/>
      <c r="S14" s="22"/>
      <c r="T14" s="4"/>
      <c r="U14" s="4"/>
      <c r="V14" s="4"/>
      <c r="W14" s="4"/>
      <c r="X14" s="4"/>
      <c r="Y14" s="4"/>
      <c r="Z14" s="4"/>
    </row>
    <row r="15" ht="19.5" customHeight="1">
      <c r="A15" s="69"/>
      <c r="B15" s="70"/>
      <c r="C15" s="71"/>
      <c r="D15" s="72"/>
      <c r="E15" s="73"/>
      <c r="F15" s="74"/>
      <c r="G15" s="75"/>
      <c r="H15" s="76"/>
      <c r="I15" s="77"/>
      <c r="J15" s="78"/>
      <c r="K15" s="79"/>
      <c r="L15" s="80"/>
      <c r="M15" s="4"/>
      <c r="N15" s="49" t="s">
        <v>28</v>
      </c>
      <c r="O15" s="50"/>
      <c r="P15" s="81" t="str">
        <f>P13/P12</f>
        <v>#DIV/0!</v>
      </c>
      <c r="Q15" s="52"/>
      <c r="R15" s="52"/>
      <c r="S15" s="54"/>
      <c r="T15" s="4"/>
      <c r="U15" s="4"/>
      <c r="V15" s="4"/>
      <c r="W15" s="4"/>
      <c r="X15" s="4"/>
      <c r="Y15" s="4"/>
      <c r="Z15" s="4"/>
    </row>
    <row r="16" ht="19.5" customHeight="1">
      <c r="A16" s="69"/>
      <c r="B16" s="70"/>
      <c r="C16" s="71"/>
      <c r="D16" s="72"/>
      <c r="E16" s="73"/>
      <c r="F16" s="74"/>
      <c r="G16" s="75"/>
      <c r="H16" s="76"/>
      <c r="I16" s="82"/>
      <c r="J16" s="79"/>
      <c r="K16" s="79"/>
      <c r="L16" s="83"/>
      <c r="M16" s="84"/>
      <c r="N16" s="46"/>
      <c r="O16" s="46"/>
      <c r="P16" s="46"/>
      <c r="Q16" s="47"/>
      <c r="R16" s="47"/>
      <c r="S16" s="84"/>
      <c r="T16" s="4"/>
      <c r="U16" s="4"/>
      <c r="V16" s="4"/>
      <c r="W16" s="4"/>
      <c r="X16" s="4"/>
      <c r="Y16" s="4"/>
      <c r="Z16" s="4"/>
    </row>
    <row r="17" ht="19.5" customHeight="1">
      <c r="A17" s="69"/>
      <c r="B17" s="70"/>
      <c r="C17" s="71"/>
      <c r="D17" s="72"/>
      <c r="E17" s="73"/>
      <c r="F17" s="74"/>
      <c r="G17" s="75"/>
      <c r="H17" s="76"/>
      <c r="I17" s="82"/>
      <c r="J17" s="79"/>
      <c r="K17" s="79"/>
      <c r="L17" s="83"/>
      <c r="M17" s="4"/>
      <c r="N17" s="85" t="s">
        <v>29</v>
      </c>
      <c r="O17" s="15"/>
      <c r="P17" s="15"/>
      <c r="Q17" s="15"/>
      <c r="R17" s="15"/>
      <c r="S17" s="16"/>
      <c r="T17" s="4"/>
      <c r="U17" s="4"/>
      <c r="V17" s="4"/>
      <c r="W17" s="4"/>
      <c r="X17" s="4"/>
      <c r="Y17" s="4"/>
      <c r="Z17" s="4"/>
    </row>
    <row r="18" ht="19.5" customHeight="1">
      <c r="A18" s="69"/>
      <c r="B18" s="70"/>
      <c r="C18" s="71"/>
      <c r="D18" s="72"/>
      <c r="E18" s="73"/>
      <c r="F18" s="74"/>
      <c r="G18" s="75"/>
      <c r="H18" s="76"/>
      <c r="I18" s="82"/>
      <c r="J18" s="79"/>
      <c r="K18" s="79"/>
      <c r="L18" s="83"/>
      <c r="M18" s="4"/>
      <c r="N18" s="23"/>
      <c r="O18" s="24"/>
      <c r="P18" s="24"/>
      <c r="Q18" s="24"/>
      <c r="R18" s="24"/>
      <c r="S18" s="25"/>
      <c r="T18" s="4"/>
      <c r="U18" s="4"/>
      <c r="V18" s="4"/>
      <c r="W18" s="4"/>
      <c r="X18" s="4"/>
      <c r="Y18" s="4"/>
      <c r="Z18" s="4"/>
    </row>
    <row r="19" ht="19.5" customHeight="1">
      <c r="A19" s="69"/>
      <c r="B19" s="70"/>
      <c r="C19" s="71"/>
      <c r="D19" s="72"/>
      <c r="E19" s="73"/>
      <c r="F19" s="74"/>
      <c r="G19" s="75"/>
      <c r="H19" s="76"/>
      <c r="I19" s="69"/>
      <c r="J19" s="70"/>
      <c r="K19" s="70"/>
      <c r="L19" s="86"/>
      <c r="M19" s="4"/>
      <c r="N19" s="87"/>
      <c r="O19" s="88"/>
      <c r="P19" s="89" t="s">
        <v>30</v>
      </c>
      <c r="Q19" s="90" t="s">
        <v>31</v>
      </c>
      <c r="R19" s="89" t="s">
        <v>32</v>
      </c>
      <c r="S19" s="91" t="s">
        <v>33</v>
      </c>
      <c r="T19" s="4"/>
      <c r="U19" s="4"/>
      <c r="V19" s="4"/>
      <c r="W19" s="4"/>
      <c r="X19" s="4"/>
      <c r="Y19" s="4"/>
      <c r="Z19" s="4"/>
    </row>
    <row r="20" ht="19.5" customHeight="1">
      <c r="A20" s="69"/>
      <c r="B20" s="70"/>
      <c r="C20" s="71"/>
      <c r="D20" s="72"/>
      <c r="E20" s="69"/>
      <c r="F20" s="70"/>
      <c r="G20" s="70"/>
      <c r="H20" s="86"/>
      <c r="I20" s="69"/>
      <c r="J20" s="70"/>
      <c r="K20" s="70"/>
      <c r="L20" s="86"/>
      <c r="M20" s="4"/>
      <c r="N20" s="45" t="s">
        <v>8</v>
      </c>
      <c r="O20" s="18"/>
      <c r="P20" s="92">
        <v>0.0</v>
      </c>
      <c r="Q20" s="93"/>
      <c r="R20" s="94">
        <f t="shared" ref="R20:R23" si="2">P20-Q20</f>
        <v>0</v>
      </c>
      <c r="S20" s="95" t="str">
        <f t="shared" ref="S20:S23" si="3">Q20/P20</f>
        <v>#DIV/0!</v>
      </c>
      <c r="T20" s="4"/>
      <c r="U20" s="4"/>
      <c r="V20" s="4"/>
      <c r="W20" s="4"/>
      <c r="X20" s="4"/>
      <c r="Y20" s="4"/>
      <c r="Z20" s="4"/>
    </row>
    <row r="21" ht="19.5" customHeight="1">
      <c r="A21" s="69"/>
      <c r="B21" s="70"/>
      <c r="C21" s="71"/>
      <c r="D21" s="72"/>
      <c r="E21" s="69"/>
      <c r="F21" s="70"/>
      <c r="G21" s="70"/>
      <c r="H21" s="86"/>
      <c r="I21" s="69"/>
      <c r="J21" s="70"/>
      <c r="K21" s="70"/>
      <c r="L21" s="86"/>
      <c r="M21" s="4"/>
      <c r="N21" s="96" t="s">
        <v>14</v>
      </c>
      <c r="O21" s="18"/>
      <c r="P21" s="92">
        <v>0.0</v>
      </c>
      <c r="Q21" s="93"/>
      <c r="R21" s="94">
        <f t="shared" si="2"/>
        <v>0</v>
      </c>
      <c r="S21" s="95" t="str">
        <f t="shared" si="3"/>
        <v>#DIV/0!</v>
      </c>
      <c r="T21" s="4"/>
      <c r="U21" s="4"/>
      <c r="V21" s="4"/>
      <c r="W21" s="4"/>
      <c r="X21" s="4"/>
      <c r="Y21" s="4"/>
      <c r="Z21" s="4"/>
    </row>
    <row r="22" ht="19.5" customHeight="1">
      <c r="A22" s="69"/>
      <c r="B22" s="70"/>
      <c r="C22" s="71"/>
      <c r="D22" s="72"/>
      <c r="E22" s="69"/>
      <c r="F22" s="70"/>
      <c r="G22" s="70"/>
      <c r="H22" s="86"/>
      <c r="I22" s="69"/>
      <c r="J22" s="70"/>
      <c r="K22" s="70"/>
      <c r="L22" s="86"/>
      <c r="M22" s="4"/>
      <c r="N22" s="96" t="s">
        <v>13</v>
      </c>
      <c r="O22" s="18"/>
      <c r="P22" s="92">
        <v>0.0</v>
      </c>
      <c r="Q22" s="93"/>
      <c r="R22" s="94">
        <f t="shared" si="2"/>
        <v>0</v>
      </c>
      <c r="S22" s="95" t="str">
        <f t="shared" si="3"/>
        <v>#DIV/0!</v>
      </c>
      <c r="T22" s="4"/>
      <c r="U22" s="4"/>
      <c r="V22" s="4"/>
      <c r="W22" s="4"/>
      <c r="X22" s="4"/>
      <c r="Y22" s="4"/>
      <c r="Z22" s="4"/>
    </row>
    <row r="23" ht="19.5" customHeight="1">
      <c r="A23" s="97"/>
      <c r="B23" s="98"/>
      <c r="C23" s="99"/>
      <c r="D23" s="100"/>
      <c r="E23" s="69"/>
      <c r="F23" s="70"/>
      <c r="G23" s="70"/>
      <c r="H23" s="86"/>
      <c r="I23" s="69"/>
      <c r="J23" s="70"/>
      <c r="K23" s="70"/>
      <c r="L23" s="86"/>
      <c r="M23" s="4"/>
      <c r="N23" s="101" t="s">
        <v>15</v>
      </c>
      <c r="O23" s="50"/>
      <c r="P23" s="102">
        <v>0.0</v>
      </c>
      <c r="Q23" s="103"/>
      <c r="R23" s="104">
        <f t="shared" si="2"/>
        <v>0</v>
      </c>
      <c r="S23" s="105" t="str">
        <f t="shared" si="3"/>
        <v>#DIV/0!</v>
      </c>
      <c r="T23" s="4"/>
      <c r="U23" s="4"/>
      <c r="V23" s="4"/>
      <c r="W23" s="4"/>
      <c r="X23" s="4"/>
      <c r="Y23" s="4"/>
      <c r="Z23" s="4"/>
    </row>
    <row r="24" ht="19.5" customHeight="1">
      <c r="A24" s="69"/>
      <c r="B24" s="70"/>
      <c r="C24" s="70"/>
      <c r="D24" s="106"/>
      <c r="E24" s="69"/>
      <c r="F24" s="70"/>
      <c r="G24" s="70"/>
      <c r="H24" s="86"/>
      <c r="I24" s="69"/>
      <c r="J24" s="70"/>
      <c r="K24" s="70"/>
      <c r="L24" s="86"/>
      <c r="M24" s="4"/>
      <c r="N24" s="107" t="s">
        <v>34</v>
      </c>
      <c r="T24" s="4"/>
      <c r="U24" s="4"/>
      <c r="V24" s="4"/>
      <c r="W24" s="4"/>
      <c r="X24" s="4"/>
      <c r="Y24" s="4"/>
      <c r="Z24" s="4"/>
    </row>
    <row r="25" ht="19.5" customHeight="1">
      <c r="A25" s="69"/>
      <c r="B25" s="70"/>
      <c r="C25" s="70"/>
      <c r="D25" s="106"/>
      <c r="E25" s="69"/>
      <c r="F25" s="70"/>
      <c r="G25" s="70"/>
      <c r="H25" s="86"/>
      <c r="I25" s="69"/>
      <c r="J25" s="70"/>
      <c r="K25" s="70"/>
      <c r="L25" s="86"/>
      <c r="M25" s="4"/>
      <c r="N25" s="107"/>
      <c r="T25" s="4"/>
      <c r="U25" s="4"/>
      <c r="V25" s="4"/>
      <c r="W25" s="4"/>
      <c r="X25" s="4"/>
      <c r="Y25" s="4"/>
      <c r="Z25" s="4"/>
    </row>
    <row r="26" ht="19.5" customHeight="1">
      <c r="A26" s="69"/>
      <c r="B26" s="70"/>
      <c r="C26" s="70"/>
      <c r="D26" s="106"/>
      <c r="E26" s="69"/>
      <c r="F26" s="70"/>
      <c r="G26" s="70"/>
      <c r="H26" s="86"/>
      <c r="I26" s="69"/>
      <c r="J26" s="70"/>
      <c r="K26" s="70"/>
      <c r="L26" s="86"/>
      <c r="M26" s="4"/>
      <c r="N26" s="85" t="s">
        <v>35</v>
      </c>
      <c r="O26" s="15"/>
      <c r="P26" s="15"/>
      <c r="Q26" s="15"/>
      <c r="R26" s="15"/>
      <c r="S26" s="16"/>
      <c r="T26" s="4"/>
      <c r="U26" s="4"/>
      <c r="V26" s="4"/>
      <c r="W26" s="4"/>
      <c r="X26" s="4"/>
      <c r="Y26" s="4"/>
      <c r="Z26" s="4"/>
    </row>
    <row r="27" ht="19.5" customHeight="1">
      <c r="A27" s="69"/>
      <c r="B27" s="70"/>
      <c r="C27" s="70"/>
      <c r="D27" s="106"/>
      <c r="E27" s="69"/>
      <c r="F27" s="70"/>
      <c r="G27" s="70"/>
      <c r="H27" s="86"/>
      <c r="I27" s="69"/>
      <c r="J27" s="70"/>
      <c r="K27" s="70"/>
      <c r="L27" s="86"/>
      <c r="M27" s="4"/>
      <c r="N27" s="23"/>
      <c r="O27" s="24"/>
      <c r="P27" s="24"/>
      <c r="Q27" s="24"/>
      <c r="R27" s="24"/>
      <c r="S27" s="25"/>
      <c r="T27" s="4"/>
      <c r="U27" s="4"/>
      <c r="V27" s="4"/>
      <c r="W27" s="4"/>
      <c r="X27" s="4"/>
      <c r="Y27" s="4"/>
      <c r="Z27" s="4"/>
    </row>
    <row r="28" ht="19.5" customHeight="1">
      <c r="A28" s="69"/>
      <c r="B28" s="70"/>
      <c r="C28" s="70"/>
      <c r="D28" s="106"/>
      <c r="E28" s="69"/>
      <c r="F28" s="70"/>
      <c r="G28" s="70"/>
      <c r="H28" s="86"/>
      <c r="I28" s="69"/>
      <c r="J28" s="70"/>
      <c r="K28" s="70"/>
      <c r="L28" s="86"/>
      <c r="M28" s="4"/>
      <c r="N28" s="108" t="s">
        <v>36</v>
      </c>
      <c r="O28" s="109"/>
      <c r="P28" s="110" t="s">
        <v>37</v>
      </c>
      <c r="Q28" s="90" t="s">
        <v>38</v>
      </c>
      <c r="R28" s="110" t="s">
        <v>39</v>
      </c>
      <c r="S28" s="111" t="s">
        <v>40</v>
      </c>
      <c r="T28" s="4"/>
      <c r="U28" s="4"/>
      <c r="V28" s="4"/>
      <c r="W28" s="4"/>
      <c r="X28" s="4"/>
      <c r="Y28" s="4"/>
      <c r="Z28" s="4"/>
    </row>
    <row r="29" ht="19.5" customHeight="1">
      <c r="A29" s="112"/>
      <c r="B29" s="113"/>
      <c r="C29" s="113"/>
      <c r="D29" s="114"/>
      <c r="E29" s="112"/>
      <c r="F29" s="113"/>
      <c r="G29" s="113"/>
      <c r="H29" s="115"/>
      <c r="I29" s="112"/>
      <c r="J29" s="113"/>
      <c r="K29" s="113"/>
      <c r="L29" s="115"/>
      <c r="M29" s="84"/>
      <c r="N29" s="116"/>
      <c r="O29" s="50"/>
      <c r="P29" s="117"/>
      <c r="Q29" s="118"/>
      <c r="R29" s="119"/>
      <c r="S29" s="120" t="str">
        <f>P29/N29</f>
        <v>#DIV/0!</v>
      </c>
      <c r="T29" s="4"/>
      <c r="U29" s="4"/>
      <c r="V29" s="4"/>
      <c r="W29" s="4"/>
      <c r="X29" s="4"/>
      <c r="Y29" s="4"/>
      <c r="Z29" s="4"/>
    </row>
    <row r="30" ht="19.5" customHeight="1">
      <c r="M30" s="4"/>
      <c r="N30" s="85" t="s">
        <v>41</v>
      </c>
      <c r="O30" s="15"/>
      <c r="P30" s="15"/>
      <c r="Q30" s="15"/>
      <c r="R30" s="15"/>
      <c r="S30" s="16"/>
      <c r="T30" s="4"/>
      <c r="U30" s="4"/>
      <c r="V30" s="4"/>
      <c r="W30" s="4"/>
      <c r="X30" s="4"/>
      <c r="Y30" s="4"/>
      <c r="Z30" s="4"/>
    </row>
    <row r="31" ht="19.5" customHeight="1">
      <c r="M31" s="4"/>
      <c r="N31" s="23"/>
      <c r="O31" s="24"/>
      <c r="P31" s="24"/>
      <c r="Q31" s="24"/>
      <c r="R31" s="24"/>
      <c r="S31" s="25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121" t="s">
        <v>42</v>
      </c>
      <c r="K32" s="4"/>
      <c r="L32" s="4"/>
      <c r="M32" s="4"/>
      <c r="N32" s="108" t="s">
        <v>36</v>
      </c>
      <c r="O32" s="109"/>
      <c r="P32" s="110" t="s">
        <v>37</v>
      </c>
      <c r="Q32" s="90" t="s">
        <v>38</v>
      </c>
      <c r="R32" s="110" t="s">
        <v>39</v>
      </c>
      <c r="S32" s="111" t="s">
        <v>40</v>
      </c>
      <c r="T32" s="4"/>
      <c r="U32" s="4"/>
      <c r="V32" s="4"/>
      <c r="W32" s="4"/>
      <c r="X32" s="4"/>
      <c r="Y32" s="4"/>
      <c r="Z32" s="4"/>
    </row>
    <row r="33" ht="19.5" customHeight="1">
      <c r="A33" s="122" t="s">
        <v>43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6"/>
      <c r="M33" s="4"/>
      <c r="N33" s="116"/>
      <c r="O33" s="50"/>
      <c r="P33" s="117"/>
      <c r="Q33" s="118"/>
      <c r="R33" s="119"/>
      <c r="S33" s="120" t="str">
        <f>P33/N33</f>
        <v>#DIV/0!</v>
      </c>
      <c r="T33" s="4"/>
      <c r="U33" s="4"/>
      <c r="V33" s="4"/>
      <c r="W33" s="4"/>
      <c r="X33" s="4"/>
      <c r="Y33" s="4"/>
      <c r="Z33" s="4"/>
    </row>
    <row r="34" ht="19.5" customHeight="1">
      <c r="A34" s="40"/>
      <c r="B34" s="8"/>
      <c r="C34" s="8"/>
      <c r="D34" s="8"/>
      <c r="E34" s="8"/>
      <c r="F34" s="8"/>
      <c r="G34" s="8"/>
      <c r="H34" s="8"/>
      <c r="I34" s="8"/>
      <c r="J34" s="8"/>
      <c r="K34" s="8"/>
      <c r="L34" s="12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124" t="s">
        <v>44</v>
      </c>
      <c r="B35" s="125"/>
      <c r="E35" s="126" t="s">
        <v>14</v>
      </c>
      <c r="F35" s="125"/>
      <c r="H35" s="127"/>
      <c r="I35" s="128" t="s">
        <v>15</v>
      </c>
      <c r="J35" s="125"/>
      <c r="L35" s="129"/>
      <c r="M35" s="84"/>
      <c r="N35" s="130" t="s">
        <v>45</v>
      </c>
      <c r="O35" s="15"/>
      <c r="P35" s="15"/>
      <c r="Q35" s="15"/>
      <c r="R35" s="15"/>
      <c r="S35" s="16"/>
      <c r="T35" s="4"/>
      <c r="U35" s="4"/>
      <c r="V35" s="4"/>
      <c r="W35" s="4"/>
      <c r="X35" s="4"/>
      <c r="Y35" s="4"/>
      <c r="Z35" s="4"/>
    </row>
    <row r="36" ht="19.5" customHeight="1">
      <c r="A36" s="131"/>
      <c r="E36" s="132"/>
      <c r="H36" s="127"/>
      <c r="I36" s="133"/>
      <c r="L36" s="129"/>
      <c r="M36" s="4"/>
      <c r="N36" s="40"/>
      <c r="O36" s="8"/>
      <c r="P36" s="8"/>
      <c r="Q36" s="8"/>
      <c r="R36" s="8"/>
      <c r="S36" s="123"/>
      <c r="T36" s="4"/>
      <c r="U36" s="4"/>
      <c r="V36" s="4"/>
      <c r="W36" s="4"/>
      <c r="X36" s="4"/>
      <c r="Y36" s="4"/>
      <c r="Z36" s="4"/>
    </row>
    <row r="37" ht="19.5" customHeight="1">
      <c r="A37" s="131"/>
      <c r="E37" s="132"/>
      <c r="H37" s="127"/>
      <c r="I37" s="133"/>
      <c r="L37" s="129"/>
      <c r="M37" s="4"/>
      <c r="N37" s="134"/>
      <c r="O37" s="15"/>
      <c r="P37" s="15"/>
      <c r="Q37" s="15"/>
      <c r="R37" s="15"/>
      <c r="S37" s="16"/>
      <c r="T37" s="4"/>
      <c r="U37" s="4"/>
      <c r="V37" s="4"/>
      <c r="W37" s="4"/>
      <c r="X37" s="4"/>
      <c r="Y37" s="4"/>
      <c r="Z37" s="4"/>
    </row>
    <row r="38" ht="19.5" customHeight="1">
      <c r="A38" s="131"/>
      <c r="E38" s="132"/>
      <c r="H38" s="127"/>
      <c r="I38" s="133"/>
      <c r="L38" s="129"/>
      <c r="M38" s="4"/>
      <c r="N38" s="135"/>
      <c r="S38" s="129"/>
      <c r="T38" s="4"/>
      <c r="U38" s="4"/>
      <c r="V38" s="4"/>
      <c r="W38" s="4"/>
      <c r="X38" s="4"/>
      <c r="Y38" s="4"/>
      <c r="Z38" s="4"/>
    </row>
    <row r="39" ht="19.5" customHeight="1">
      <c r="A39" s="131"/>
      <c r="E39" s="132"/>
      <c r="H39" s="127"/>
      <c r="I39" s="133"/>
      <c r="L39" s="129"/>
      <c r="M39" s="4"/>
      <c r="N39" s="135"/>
      <c r="S39" s="129"/>
      <c r="T39" s="4"/>
      <c r="U39" s="4"/>
      <c r="V39" s="4"/>
      <c r="W39" s="4"/>
      <c r="X39" s="4"/>
      <c r="Y39" s="4"/>
      <c r="Z39" s="4"/>
    </row>
    <row r="40" ht="19.5" customHeight="1">
      <c r="A40" s="131"/>
      <c r="E40" s="132"/>
      <c r="H40" s="127"/>
      <c r="I40" s="133"/>
      <c r="L40" s="129"/>
      <c r="M40" s="4"/>
      <c r="N40" s="135"/>
      <c r="S40" s="129"/>
      <c r="T40" s="4"/>
      <c r="U40" s="4"/>
      <c r="V40" s="4"/>
      <c r="W40" s="4"/>
      <c r="X40" s="4"/>
      <c r="Y40" s="4"/>
      <c r="Z40" s="4"/>
    </row>
    <row r="41" ht="18.75" customHeight="1">
      <c r="A41" s="131"/>
      <c r="E41" s="132"/>
      <c r="H41" s="127"/>
      <c r="I41" s="133"/>
      <c r="L41" s="129"/>
      <c r="M41" s="4"/>
      <c r="N41" s="135"/>
      <c r="S41" s="129"/>
      <c r="T41" s="4"/>
      <c r="U41" s="4"/>
      <c r="V41" s="4"/>
      <c r="W41" s="4"/>
      <c r="X41" s="4"/>
      <c r="Y41" s="4"/>
      <c r="Z41" s="4"/>
    </row>
    <row r="42" ht="19.5" customHeight="1">
      <c r="A42" s="131"/>
      <c r="E42" s="132"/>
      <c r="H42" s="127"/>
      <c r="I42" s="133"/>
      <c r="L42" s="129"/>
      <c r="M42" s="4"/>
      <c r="N42" s="135"/>
      <c r="S42" s="129"/>
      <c r="T42" s="4"/>
      <c r="U42" s="4"/>
      <c r="V42" s="4"/>
      <c r="W42" s="4"/>
      <c r="X42" s="4"/>
      <c r="Y42" s="4"/>
      <c r="Z42" s="4"/>
    </row>
    <row r="43" ht="19.5" customHeight="1">
      <c r="A43" s="131"/>
      <c r="E43" s="132"/>
      <c r="H43" s="127"/>
      <c r="I43" s="133"/>
      <c r="L43" s="129"/>
      <c r="M43" s="4"/>
      <c r="N43" s="40"/>
      <c r="O43" s="8"/>
      <c r="P43" s="8"/>
      <c r="Q43" s="8"/>
      <c r="R43" s="8"/>
      <c r="S43" s="123"/>
      <c r="T43" s="4"/>
      <c r="U43" s="4"/>
      <c r="V43" s="4"/>
      <c r="W43" s="4"/>
      <c r="X43" s="4"/>
      <c r="Y43" s="4"/>
      <c r="Z43" s="4"/>
    </row>
    <row r="44" ht="18.0" customHeight="1">
      <c r="A44" s="136"/>
      <c r="B44" s="8"/>
      <c r="C44" s="8"/>
      <c r="D44" s="8"/>
      <c r="E44" s="137"/>
      <c r="F44" s="8"/>
      <c r="G44" s="8"/>
      <c r="H44" s="138"/>
      <c r="I44" s="139"/>
      <c r="J44" s="8"/>
      <c r="K44" s="8"/>
      <c r="L44" s="12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E45" s="4"/>
      <c r="F45" s="4"/>
      <c r="G45" s="140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22" t="s">
        <v>46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0"/>
      <c r="B47" s="8"/>
      <c r="C47" s="8"/>
      <c r="D47" s="8"/>
      <c r="E47" s="8"/>
      <c r="F47" s="8"/>
      <c r="G47" s="8"/>
      <c r="H47" s="8"/>
      <c r="I47" s="8"/>
      <c r="J47" s="8"/>
      <c r="K47" s="8"/>
      <c r="L47" s="12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124" t="s">
        <v>44</v>
      </c>
      <c r="B48" s="125"/>
      <c r="E48" s="126" t="s">
        <v>14</v>
      </c>
      <c r="F48" s="141"/>
      <c r="G48" s="15"/>
      <c r="H48" s="142"/>
      <c r="I48" s="128" t="s">
        <v>15</v>
      </c>
      <c r="J48" s="141"/>
      <c r="K48" s="15"/>
      <c r="L48" s="1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31"/>
      <c r="E49" s="132"/>
      <c r="F49" s="143"/>
      <c r="H49" s="127"/>
      <c r="I49" s="133"/>
      <c r="J49" s="143"/>
      <c r="L49" s="12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131"/>
      <c r="E50" s="132"/>
      <c r="F50" s="143"/>
      <c r="H50" s="127"/>
      <c r="I50" s="133"/>
      <c r="J50" s="143"/>
      <c r="L50" s="12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131"/>
      <c r="E51" s="132"/>
      <c r="F51" s="143"/>
      <c r="H51" s="127"/>
      <c r="I51" s="133"/>
      <c r="J51" s="143"/>
      <c r="L51" s="12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131"/>
      <c r="E52" s="132"/>
      <c r="F52" s="143"/>
      <c r="H52" s="127"/>
      <c r="I52" s="133"/>
      <c r="J52" s="143"/>
      <c r="L52" s="12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7.25" customHeight="1">
      <c r="A53" s="131"/>
      <c r="E53" s="132"/>
      <c r="F53" s="143"/>
      <c r="H53" s="127"/>
      <c r="I53" s="133"/>
      <c r="J53" s="143"/>
      <c r="L53" s="12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131"/>
      <c r="E54" s="132"/>
      <c r="F54" s="143"/>
      <c r="H54" s="127"/>
      <c r="I54" s="133"/>
      <c r="J54" s="143"/>
      <c r="L54" s="12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131"/>
      <c r="E55" s="132"/>
      <c r="F55" s="143"/>
      <c r="H55" s="127"/>
      <c r="I55" s="133"/>
      <c r="J55" s="143"/>
      <c r="L55" s="12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131"/>
      <c r="E56" s="132"/>
      <c r="F56" s="143"/>
      <c r="H56" s="127"/>
      <c r="I56" s="133"/>
      <c r="J56" s="143"/>
      <c r="L56" s="12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31"/>
      <c r="E57" s="132"/>
      <c r="F57" s="143"/>
      <c r="H57" s="127"/>
      <c r="I57" s="133"/>
      <c r="J57" s="143"/>
      <c r="L57" s="12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36"/>
      <c r="B58" s="8"/>
      <c r="C58" s="8"/>
      <c r="D58" s="8"/>
      <c r="E58" s="137"/>
      <c r="F58" s="144"/>
      <c r="G58" s="8"/>
      <c r="H58" s="138"/>
      <c r="I58" s="139"/>
      <c r="J58" s="144"/>
      <c r="K58" s="8"/>
      <c r="L58" s="12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145" t="s">
        <v>47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1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146"/>
      <c r="B61" s="147"/>
      <c r="C61" s="60"/>
      <c r="D61" s="60"/>
      <c r="E61" s="60"/>
      <c r="F61" s="60"/>
      <c r="G61" s="60"/>
      <c r="H61" s="60"/>
      <c r="I61" s="60"/>
      <c r="J61" s="60"/>
      <c r="K61" s="60"/>
      <c r="L61" s="2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146"/>
      <c r="B62" s="147"/>
      <c r="C62" s="60"/>
      <c r="D62" s="60"/>
      <c r="E62" s="60"/>
      <c r="F62" s="60"/>
      <c r="G62" s="60"/>
      <c r="H62" s="60"/>
      <c r="I62" s="60"/>
      <c r="J62" s="60"/>
      <c r="K62" s="60"/>
      <c r="L62" s="2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146"/>
      <c r="B63" s="148"/>
      <c r="C63" s="60"/>
      <c r="D63" s="60"/>
      <c r="E63" s="60"/>
      <c r="F63" s="60"/>
      <c r="G63" s="60"/>
      <c r="H63" s="60"/>
      <c r="I63" s="60"/>
      <c r="J63" s="60"/>
      <c r="K63" s="60"/>
      <c r="L63" s="2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46"/>
      <c r="B64" s="148"/>
      <c r="C64" s="60"/>
      <c r="D64" s="60"/>
      <c r="E64" s="60"/>
      <c r="F64" s="60"/>
      <c r="G64" s="60"/>
      <c r="H64" s="60"/>
      <c r="I64" s="60"/>
      <c r="J64" s="60"/>
      <c r="K64" s="60"/>
      <c r="L64" s="2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49"/>
      <c r="B65" s="150"/>
      <c r="C65" s="151"/>
      <c r="D65" s="151"/>
      <c r="E65" s="151"/>
      <c r="F65" s="151"/>
      <c r="G65" s="151"/>
      <c r="H65" s="151"/>
      <c r="I65" s="151"/>
      <c r="J65" s="151"/>
      <c r="K65" s="151"/>
      <c r="L65" s="15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153" t="s">
        <v>48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5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156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135"/>
      <c r="L68" s="12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135"/>
      <c r="L69" s="129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135"/>
      <c r="L70" s="129"/>
      <c r="M70" s="4"/>
      <c r="N70" s="4"/>
      <c r="O70" s="4"/>
      <c r="P70" s="4"/>
      <c r="Q70" s="4">
        <v>1.0</v>
      </c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135"/>
      <c r="L71" s="129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135"/>
      <c r="L72" s="129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135"/>
      <c r="L73" s="129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135"/>
      <c r="L74" s="129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135"/>
      <c r="L75" s="12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135"/>
      <c r="L76" s="129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0"/>
      <c r="B77" s="8"/>
      <c r="C77" s="8"/>
      <c r="D77" s="8"/>
      <c r="E77" s="8"/>
      <c r="F77" s="8"/>
      <c r="G77" s="8"/>
      <c r="H77" s="8"/>
      <c r="I77" s="8"/>
      <c r="J77" s="8"/>
      <c r="K77" s="8"/>
      <c r="L77" s="12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M83" s="4"/>
      <c r="N83" s="4"/>
      <c r="O83" s="4"/>
      <c r="P83" s="4"/>
      <c r="Q83" s="4"/>
      <c r="R83" s="4"/>
      <c r="S83" s="4"/>
      <c r="T83" s="4">
        <v>1.0</v>
      </c>
      <c r="U83" s="4"/>
      <c r="V83" s="4"/>
      <c r="W83" s="4"/>
      <c r="X83" s="4"/>
      <c r="Y83" s="4"/>
      <c r="Z83" s="4"/>
    </row>
    <row r="84" ht="16.5" customHeight="1"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8">
    <mergeCell ref="G8:H8"/>
    <mergeCell ref="I8:J8"/>
    <mergeCell ref="G9:H9"/>
    <mergeCell ref="I9:J9"/>
    <mergeCell ref="K9:L9"/>
    <mergeCell ref="K10:L10"/>
    <mergeCell ref="C8:D8"/>
    <mergeCell ref="E8:F8"/>
    <mergeCell ref="A9:B9"/>
    <mergeCell ref="C9:D9"/>
    <mergeCell ref="E9:F9"/>
    <mergeCell ref="A10:B10"/>
    <mergeCell ref="C10:J10"/>
    <mergeCell ref="N6:O6"/>
    <mergeCell ref="P6:Q6"/>
    <mergeCell ref="N7:O8"/>
    <mergeCell ref="P7:Q8"/>
    <mergeCell ref="N10:S11"/>
    <mergeCell ref="N12:O12"/>
    <mergeCell ref="P12:S12"/>
    <mergeCell ref="N14:O14"/>
    <mergeCell ref="P14:S14"/>
    <mergeCell ref="N15:O15"/>
    <mergeCell ref="P15:S15"/>
    <mergeCell ref="N17:S18"/>
    <mergeCell ref="N19:O19"/>
    <mergeCell ref="N20:O20"/>
    <mergeCell ref="N32:O32"/>
    <mergeCell ref="N37:S43"/>
    <mergeCell ref="N23:O23"/>
    <mergeCell ref="N24:S24"/>
    <mergeCell ref="N25:S25"/>
    <mergeCell ref="N26:S27"/>
    <mergeCell ref="N28:O28"/>
    <mergeCell ref="N29:O29"/>
    <mergeCell ref="N30:S31"/>
    <mergeCell ref="A35:A44"/>
    <mergeCell ref="A48:A58"/>
    <mergeCell ref="B48:D58"/>
    <mergeCell ref="E48:E58"/>
    <mergeCell ref="N21:O21"/>
    <mergeCell ref="N22:O22"/>
    <mergeCell ref="A33:L34"/>
    <mergeCell ref="B35:D44"/>
    <mergeCell ref="E35:E44"/>
    <mergeCell ref="J35:L44"/>
    <mergeCell ref="A46:L47"/>
    <mergeCell ref="B62:L62"/>
    <mergeCell ref="B63:L63"/>
    <mergeCell ref="B64:L64"/>
    <mergeCell ref="B65:L65"/>
    <mergeCell ref="A66:L66"/>
    <mergeCell ref="A67:L77"/>
    <mergeCell ref="F35:H44"/>
    <mergeCell ref="I35:I44"/>
    <mergeCell ref="F48:H58"/>
    <mergeCell ref="I48:I58"/>
    <mergeCell ref="J48:L58"/>
    <mergeCell ref="A60:L60"/>
    <mergeCell ref="B61:L61"/>
    <mergeCell ref="N3:S3"/>
    <mergeCell ref="N4:S5"/>
    <mergeCell ref="A1:S1"/>
    <mergeCell ref="A2:S2"/>
    <mergeCell ref="A3:L3"/>
    <mergeCell ref="A4:B4"/>
    <mergeCell ref="C4:D4"/>
    <mergeCell ref="E4:F4"/>
    <mergeCell ref="K4:L4"/>
    <mergeCell ref="G4:H4"/>
    <mergeCell ref="I4:J4"/>
    <mergeCell ref="C5:D5"/>
    <mergeCell ref="E5:F5"/>
    <mergeCell ref="G5:H5"/>
    <mergeCell ref="I5:J5"/>
    <mergeCell ref="K5:L5"/>
    <mergeCell ref="A5:B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K8:L8"/>
    <mergeCell ref="A13:D13"/>
    <mergeCell ref="E13:H13"/>
    <mergeCell ref="I13:L13"/>
    <mergeCell ref="N13:O13"/>
    <mergeCell ref="P13:S13"/>
    <mergeCell ref="N33:O33"/>
    <mergeCell ref="N35:S36"/>
  </mergeCells>
  <printOptions/>
  <pageMargins bottom="0.7475000023841858" footer="0.0" header="0.0" left="0.23597222566604614" right="0.23597222566604614" top="0.7475000023841858"/>
  <pageSetup paperSize="9" scale="45" orientation="landscape"/>
  <drawing r:id="rId1"/>
</worksheet>
</file>