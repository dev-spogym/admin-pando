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년 12월 1주차 강습 주간보고" sheetId="1" r:id="rId5"/>
    <sheet state="visible" name="25년 12월 2주차 강습 주간보고" sheetId="2" r:id="rId6"/>
    <sheet state="visible" name="25년 12월 3주차 강습 주간보고" sheetId="3" r:id="rId7"/>
    <sheet state="visible" name="25년 12월 4주차 강습 주간보고" sheetId="4" r:id="rId8"/>
    <sheet state="visible" name="25년 12월 5주차 강습 주간보고" sheetId="5" r:id="rId9"/>
    <sheet state="visible" name="25년 12월 6주차 강습 주간보고" sheetId="6" r:id="rId10"/>
    <sheet state="visible" name="25년 12월 강습 월간보고" sheetId="7" r:id="rId11"/>
  </sheets>
  <definedNames/>
  <calcPr/>
</workbook>
</file>

<file path=xl/sharedStrings.xml><?xml version="1.0" encoding="utf-8"?>
<sst xmlns="http://schemas.openxmlformats.org/spreadsheetml/2006/main" count="330" uniqueCount="107">
  <si>
    <t>강습 주간 업무 보고  12월 1일(월) ~ 12월 6일(토) (1주차)</t>
  </si>
  <si>
    <t xml:space="preserve">지점장 : </t>
  </si>
  <si>
    <t>강습</t>
  </si>
  <si>
    <t>월별
총 OT</t>
  </si>
  <si>
    <t>O.T 
배정</t>
  </si>
  <si>
    <t>O.T  1</t>
  </si>
  <si>
    <t>O.T 2</t>
  </si>
  <si>
    <t>VIP</t>
  </si>
  <si>
    <t>총 합</t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</si>
  <si>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</si>
  <si>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</si>
  <si>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</si>
  <si>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t>주간회원소개</t>
  </si>
  <si>
    <t>개인누적매출</t>
  </si>
  <si>
    <t>수업수</t>
  </si>
  <si>
    <t>A팀</t>
  </si>
  <si>
    <t>※ 참고 ※</t>
  </si>
  <si>
    <t>* 월별 총 OT : 트레이너 당 총 OT 수 ( 배정 * 2 )</t>
  </si>
  <si>
    <t>* OT 배정 : 월 별 트레이너 당 배정 회원 수</t>
  </si>
  <si>
    <t>* OT1, OT2 : 트레이너 당 해당 주에 완료된 OT 수</t>
  </si>
  <si>
    <t>팀합계</t>
  </si>
  <si>
    <t>B팀</t>
  </si>
  <si>
    <t>C팀</t>
  </si>
  <si>
    <t>D팀</t>
  </si>
  <si>
    <t>총합계</t>
  </si>
  <si>
    <t>지난주 목표매출</t>
  </si>
  <si>
    <t>월 팀별 목표매출</t>
  </si>
  <si>
    <t>지난주 매출</t>
  </si>
  <si>
    <t>남은 매출</t>
  </si>
  <si>
    <t>이번주 목표매출</t>
  </si>
  <si>
    <t>이번달 누적 매출</t>
  </si>
  <si>
    <t>주간목표 매출 달성률</t>
  </si>
  <si>
    <t>월목표매출 달성률</t>
  </si>
  <si>
    <t>강습 주간 업무 보고  12월 7일(일) ~ 12월 13일(토) (2주차)</t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</si>
  <si>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</si>
  <si>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</si>
  <si>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</si>
  <si>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t>강습 주간 업무 보고  12월 14일(일) ~ 12월 20일(토) (3주차)</t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</si>
  <si>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</si>
  <si>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</si>
  <si>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</si>
  <si>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t>강습 주간 업무 보고  12월 21일(일) ~ 12월 27일(토) (4주차)</t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</si>
  <si>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</si>
  <si>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</si>
  <si>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</si>
  <si>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t>강습 주간 업무 보고  12월 28일(일) ~ 12월 31일(수) (5주차)</t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</si>
  <si>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</si>
  <si>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</si>
  <si>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</si>
  <si>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간신규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</si>
  <si>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간재등록</t>
    </r>
  </si>
  <si>
    <r>
      <rPr>
        <rFont val="맑은 고딕"/>
        <b/>
        <color rgb="FFFF0000"/>
        <sz val="14.0"/>
      </rPr>
      <t>주</t>
    </r>
    <r>
      <rPr>
        <rFont val="맑은 고딕"/>
        <b/>
        <color theme="1"/>
        <sz val="14.0"/>
      </rPr>
      <t>간VIP</t>
    </r>
  </si>
  <si>
    <t>스포짐 월간 강습 업무 보고</t>
  </si>
  <si>
    <t>월 평균 주력 상품</t>
  </si>
  <si>
    <t>주력 등록 횟수</t>
  </si>
  <si>
    <t>객단가</t>
  </si>
  <si>
    <t>지점</t>
  </si>
  <si>
    <t>OO점</t>
  </si>
  <si>
    <t>날짜</t>
  </si>
  <si>
    <t>작성자</t>
  </si>
  <si>
    <t>※ 작성 시 확인 사항 ※</t>
  </si>
  <si>
    <r>
      <rPr>
        <rFont val="Malgun Gothic"/>
        <color theme="1"/>
        <sz val="11.0"/>
      </rPr>
      <t xml:space="preserve">* 당월 오티 진행 : </t>
    </r>
    <r>
      <rPr>
        <rFont val="맑은 고딕"/>
        <b/>
        <color theme="1"/>
        <sz val="11.0"/>
      </rPr>
      <t>신규</t>
    </r>
  </si>
  <si>
    <t>2025년 12월 매출 월간 업무 보고</t>
  </si>
  <si>
    <r>
      <rPr>
        <rFont val="Malgun Gothic"/>
        <color theme="1"/>
        <sz val="11.0"/>
      </rPr>
      <t>* 이월 오티 진행 :</t>
    </r>
    <r>
      <rPr>
        <rFont val="맑은 고딕"/>
        <b/>
        <color theme="1"/>
        <sz val="11.0"/>
      </rPr>
      <t xml:space="preserve"> VIP</t>
    </r>
  </si>
  <si>
    <t>부서</t>
  </si>
  <si>
    <t>목표 매출</t>
  </si>
  <si>
    <t>진행 매출</t>
  </si>
  <si>
    <t>진행률</t>
  </si>
  <si>
    <t>진행 보고</t>
  </si>
  <si>
    <r>
      <rPr>
        <rFont val="Malgun Gothic"/>
        <color theme="1"/>
        <sz val="11.0"/>
      </rPr>
      <t xml:space="preserve">* 신규 OT배정 = </t>
    </r>
    <r>
      <rPr>
        <rFont val="맑은 고딕"/>
        <b/>
        <color rgb="FFFF0000"/>
        <sz val="11.0"/>
      </rPr>
      <t xml:space="preserve">- </t>
    </r>
    <r>
      <rPr>
        <rFont val="맑은 고딕"/>
        <b/>
        <color theme="1"/>
        <sz val="11.0"/>
      </rPr>
      <t xml:space="preserve">(이월+거절 ) </t>
    </r>
    <r>
      <rPr>
        <rFont val="맑은 고딕"/>
        <b/>
        <color rgb="FFFF0000"/>
        <sz val="11.0"/>
      </rPr>
      <t>차감</t>
    </r>
    <r>
      <rPr>
        <rFont val="맑은 고딕"/>
        <b/>
        <color theme="1"/>
        <sz val="11.0"/>
      </rPr>
      <t xml:space="preserve"> 시킴</t>
    </r>
  </si>
  <si>
    <t>등록 분포</t>
  </si>
  <si>
    <t>신규</t>
  </si>
  <si>
    <t>재등록</t>
  </si>
  <si>
    <t>환불</t>
  </si>
  <si>
    <t>전체</t>
  </si>
  <si>
    <t>등록인원</t>
  </si>
  <si>
    <t>등록 매출</t>
  </si>
  <si>
    <t>전체 등록 세션 (세션으로 기입)</t>
  </si>
  <si>
    <r>
      <rPr>
        <rFont val="Malgun Gothic"/>
        <b/>
        <color rgb="FFFF0000"/>
        <sz val="12.0"/>
      </rPr>
      <t xml:space="preserve">전체 등록 회원 </t>
    </r>
    <r>
      <rPr>
        <rFont val="맑은 고딕"/>
        <b/>
        <color theme="1"/>
        <sz val="10.0"/>
      </rPr>
      <t>(명)</t>
    </r>
  </si>
  <si>
    <t>신규 OT 등록회원</t>
  </si>
  <si>
    <t>이월 OT 등록 회원</t>
  </si>
  <si>
    <r>
      <rPr>
        <rFont val="Arial"/>
        <b/>
        <color theme="1"/>
        <sz val="11.0"/>
      </rPr>
      <t xml:space="preserve">※ 등록 기입 ※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신규 , 재등록으로만 분류</t>
    </r>
    <r>
      <rPr>
        <rFont val="Arial"/>
        <b/>
        <color theme="1"/>
        <sz val="10.0"/>
      </rPr>
      <t xml:space="preserve">
* </t>
    </r>
    <r>
      <rPr>
        <rFont val="Arial"/>
        <b val="0"/>
        <color theme="1"/>
        <sz val="10.0"/>
      </rPr>
      <t xml:space="preserve">신규 : 신규  / WI , 소개 , VIP </t>
    </r>
    <r>
      <rPr>
        <rFont val="Arial"/>
        <b/>
        <color theme="1"/>
        <sz val="10.0"/>
      </rPr>
      <t xml:space="preserve">
* </t>
    </r>
    <r>
      <rPr>
        <rFont val="Arial"/>
        <b val="0"/>
        <color theme="1"/>
        <sz val="10.0"/>
      </rPr>
      <t xml:space="preserve">재등록 </t>
    </r>
    <r>
      <rPr>
        <rFont val="Arial"/>
        <b/>
        <color theme="1"/>
        <sz val="10.0"/>
      </rPr>
      <t xml:space="preserve">
</t>
    </r>
  </si>
  <si>
    <t>플로팅 등록 회원</t>
  </si>
  <si>
    <t>* OT 진행 : 신규OT배정 - (진행중 + 미진행)</t>
  </si>
  <si>
    <t>소개</t>
  </si>
  <si>
    <r>
      <rPr>
        <rFont val="Malgun Gothic"/>
        <b/>
        <color theme="1"/>
        <sz val="11.0"/>
      </rPr>
      <t>* 등록률 :</t>
    </r>
    <r>
      <rPr>
        <rFont val="Arial"/>
        <b/>
        <color theme="1"/>
        <sz val="11.0"/>
      </rPr>
      <t xml:space="preserve"> 등록 / OT 진행</t>
    </r>
  </si>
  <si>
    <t>재등록 회원</t>
  </si>
  <si>
    <t>* 거부율 : 거절 / OT 진행</t>
  </si>
  <si>
    <t>신규OT</t>
  </si>
  <si>
    <t>OT 진행</t>
  </si>
  <si>
    <t>이월</t>
  </si>
  <si>
    <t>거절(거부+보류)</t>
  </si>
  <si>
    <t>등록</t>
  </si>
  <si>
    <t>등록률</t>
  </si>
  <si>
    <t>거부율</t>
  </si>
  <si>
    <t xml:space="preserve">전 월 </t>
  </si>
  <si>
    <t>전 월 진행</t>
  </si>
  <si>
    <t>전 월 미 진행</t>
  </si>
  <si>
    <t>누적 이월</t>
  </si>
  <si>
    <t>누적 회원</t>
  </si>
  <si>
    <t>누적 진행</t>
  </si>
  <si>
    <t>2026년  O월 매출 계획</t>
  </si>
  <si>
    <t>목표 산출 내용</t>
  </si>
  <si>
    <t>월 업무 계획 및 프로모션</t>
  </si>
  <si>
    <t>비고</t>
  </si>
  <si>
    <t xml:space="preserve"> 건의사항 및 특이사항</t>
  </si>
  <si>
    <r>
      <rPr>
        <rFont val="Malgun Gothic"/>
        <b/>
        <color theme="0"/>
        <sz val="12.0"/>
      </rPr>
      <t xml:space="preserve">이지훈 대표
</t>
    </r>
    <r>
      <rPr>
        <rFont val="맑은 고딕"/>
        <b/>
        <color rgb="FFFF0000"/>
        <sz val="11.0"/>
      </rPr>
      <t>(질문사항)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</si>
</sst>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₩-412]#,##0"/>
    <numFmt numFmtId="165" formatCode="_-* #,##0.00_-;\-* #,##0.00_-;_-* &quot;-&quot;??_-;_-@"/>
    <numFmt numFmtId="166" formatCode="&quot;₩&quot;#,##0;[Red]\-&quot;₩&quot;#,##0"/>
    <numFmt numFmtId="167" formatCode="_-* #,##0_-;\-* #,##0_-;_-* &quot;-&quot;_-;_-@"/>
    <numFmt numFmtId="168" formatCode="_-[$₩-412]* #,##0_-;\-[$₩-412]* #,##0_-;_-[$₩-412]* &quot;-&quot;??_-;_-@"/>
    <numFmt numFmtId="169" formatCode="_-&quot;₩&quot;* #,##0_-;\-&quot;₩&quot;* #,##0_-;_-&quot;₩&quot;* &quot;-&quot;??_-;_-@"/>
    <numFmt numFmtId="170" formatCode="yyyy-mm-dd"/>
    <numFmt numFmtId="171" formatCode="_-&quot;₩&quot;* #,##0_-;\-&quot;₩&quot;* #,##0_-;_-&quot;₩&quot;* &quot;-&quot;_-;_-@"/>
    <numFmt numFmtId="172" formatCode="#,##0_ "/>
    <numFmt numFmtId="173" formatCode="0_);[Red]\(0\)"/>
    <numFmt numFmtId="174" formatCode="0_ "/>
  </numFmts>
  <fonts count="26">
    <font>
      <sz val="11.0"/>
      <color theme="1"/>
      <name val="Calibri"/>
      <scheme val="minor"/>
    </font>
    <font>
      <sz val="20.0"/>
      <color rgb="FF000000"/>
      <name val="함초롬바탕"/>
    </font>
    <font/>
    <font>
      <b/>
      <sz val="12.0"/>
      <color theme="1"/>
      <name val="Malgun Gothic"/>
    </font>
    <font>
      <b/>
      <sz val="11.0"/>
      <color theme="1"/>
      <name val="Malgun Gothic"/>
    </font>
    <font>
      <b/>
      <sz val="14.0"/>
      <color theme="1"/>
      <name val="Malgun Gothic"/>
    </font>
    <font>
      <b/>
      <sz val="14.0"/>
      <color rgb="FF000000"/>
      <name val="Malgun Gothic"/>
    </font>
    <font>
      <b/>
      <sz val="13.0"/>
      <color rgb="FF000000"/>
      <name val="Malgun Gothic"/>
    </font>
    <font>
      <b/>
      <sz val="12.0"/>
      <color rgb="FF000000"/>
      <name val="Malgun Gothic"/>
    </font>
    <font>
      <b/>
      <sz val="11.0"/>
      <color rgb="FF006100"/>
      <name val="Malgun Gothic"/>
    </font>
    <font>
      <sz val="11.0"/>
      <color theme="1"/>
      <name val="Calibri"/>
    </font>
    <font>
      <sz val="11.0"/>
      <color theme="1"/>
      <name val="Malgun Gothic"/>
    </font>
    <font>
      <sz val="12.0"/>
      <color rgb="FF000000"/>
      <name val="Malgun Gothic"/>
    </font>
    <font>
      <b/>
      <sz val="15.0"/>
      <color theme="1"/>
      <name val="Malgun Gothic"/>
    </font>
    <font>
      <color theme="1"/>
      <name val="Calibri"/>
      <scheme val="minor"/>
    </font>
    <font>
      <b/>
      <sz val="18.0"/>
      <color rgb="FFFFFFFF"/>
      <name val="Malgun Gothic"/>
    </font>
    <font>
      <b/>
      <sz val="12.0"/>
      <color theme="0"/>
      <name val="Malgun Gothic"/>
    </font>
    <font>
      <sz val="12.0"/>
      <color theme="1"/>
      <name val="Malgun Gothic"/>
    </font>
    <font>
      <b/>
      <sz val="11.0"/>
      <color rgb="FFFF0000"/>
      <name val="Malgun Gothic"/>
    </font>
    <font>
      <b/>
      <sz val="12.0"/>
      <color rgb="FFFF0000"/>
      <name val="Malgun Gothic"/>
    </font>
    <font>
      <b/>
      <sz val="10.0"/>
      <color theme="1"/>
      <name val="Malgun Gothic"/>
    </font>
    <font>
      <b/>
      <sz val="12.0"/>
      <color rgb="FFFFFFFF"/>
      <name val="Malgun Gothic"/>
    </font>
    <font>
      <sz val="10.0"/>
      <color theme="1"/>
      <name val="Malgun Gothic"/>
    </font>
    <font>
      <b/>
      <sz val="11.0"/>
      <color theme="0"/>
      <name val="Malgun Gothic"/>
    </font>
    <font>
      <b/>
      <sz val="10.0"/>
      <color theme="0"/>
      <name val="Malgun Gothic"/>
    </font>
    <font>
      <b/>
      <sz val="18.0"/>
      <color theme="1"/>
      <name val="Malgun Gothic"/>
    </font>
  </fonts>
  <fills count="2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6D9EEB"/>
        <bgColor rgb="FF6D9EEB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FF99CC"/>
        <bgColor rgb="FFFF99CC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</fills>
  <borders count="17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B2B2B2"/>
      </bottom>
    </border>
    <border>
      <top style="medium">
        <color rgb="FF000000"/>
      </top>
      <bottom style="thin">
        <color rgb="FFB2B2B2"/>
      </bottom>
    </border>
    <border>
      <right style="medium">
        <color rgb="FF000000"/>
      </right>
      <top style="medium">
        <color rgb="FF000000"/>
      </top>
      <bottom style="thin">
        <color rgb="FFB2B2B2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B2B2B2"/>
      </top>
      <bottom/>
    </border>
    <border>
      <left/>
      <right/>
      <top style="thin">
        <color rgb="FFB2B2B2"/>
      </top>
      <bottom/>
    </border>
    <border>
      <left/>
      <right style="medium">
        <color rgb="FF000000"/>
      </right>
      <top style="thin">
        <color rgb="FFB2B2B2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</border>
    <border>
      <right style="medium">
        <color rgb="FF000000"/>
      </right>
    </border>
    <border>
      <left style="thin">
        <color theme="1"/>
      </left>
      <bottom style="thin">
        <color theme="1"/>
      </bottom>
    </border>
    <border>
      <left style="thin">
        <color theme="1"/>
      </left>
    </border>
    <border>
      <left style="thin">
        <color theme="1"/>
      </left>
      <right style="thin">
        <color theme="1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ck">
        <color rgb="FFFF0000"/>
      </left>
      <top style="thick">
        <color rgb="FFFF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FF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FF0000"/>
      </left>
      <top style="thin">
        <color rgb="FF000000"/>
      </top>
      <bottom style="medium">
        <color rgb="FFFF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theme="1"/>
      </bottom>
    </border>
    <border>
      <left style="medium">
        <color rgb="FF000000"/>
      </left>
      <top style="medium">
        <color rgb="FF000000"/>
      </top>
      <bottom style="thin">
        <color theme="1"/>
      </bottom>
    </border>
    <border>
      <top style="medium">
        <color rgb="FF000000"/>
      </top>
      <bottom style="thin">
        <color theme="1"/>
      </bottom>
    </border>
    <border>
      <right style="medium">
        <color rgb="FF000000"/>
      </right>
      <top style="medium">
        <color rgb="FF000000"/>
      </top>
      <bottom style="thin">
        <color theme="1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right style="medium">
        <color rgb="FF000000"/>
      </right>
      <top style="thin">
        <color theme="1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 style="thin">
        <color rgb="FF000000"/>
      </top>
      <bottom/>
    </border>
    <border>
      <left style="thick">
        <color rgb="FF0000FF"/>
      </left>
      <top style="thick">
        <color rgb="FF0000FF"/>
      </top>
      <bottom style="thick">
        <color rgb="FF0000FF"/>
      </bottom>
    </border>
    <border>
      <top style="thick">
        <color rgb="FF0000FF"/>
      </top>
      <bottom style="thick">
        <color rgb="FF0000FF"/>
      </bottom>
    </border>
    <border>
      <right style="thick">
        <color rgb="FF0000FF"/>
      </right>
      <top style="thick">
        <color rgb="FF0000FF"/>
      </top>
      <bottom style="thick">
        <color rgb="FF0000FF"/>
      </bottom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medium">
        <color rgb="FF000000"/>
      </left>
      <top style="thin">
        <color theme="1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FF0000"/>
      </right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theme="1"/>
      </left>
      <right style="thick">
        <color theme="1"/>
      </right>
      <top style="thick">
        <color theme="1"/>
      </top>
    </border>
    <border>
      <left style="thick">
        <color theme="1"/>
      </left>
      <right style="thin">
        <color rgb="FF000000"/>
      </right>
      <top style="thick">
        <color theme="1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ck">
        <color theme="1"/>
      </top>
    </border>
    <border>
      <right style="thick">
        <color theme="1"/>
      </right>
      <top style="thick">
        <color theme="1"/>
      </top>
    </border>
    <border>
      <left style="thin">
        <color rgb="FF000000"/>
      </left>
    </border>
    <border>
      <right style="thick">
        <color theme="1"/>
      </right>
    </border>
    <border>
      <left style="thick">
        <color theme="1"/>
      </left>
      <right style="thick">
        <color theme="1"/>
      </right>
      <bottom style="thick">
        <color theme="1"/>
      </bottom>
    </border>
    <border>
      <left style="thick">
        <color theme="1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theme="1"/>
      </right>
      <top style="thin">
        <color rgb="FF000000"/>
      </top>
    </border>
    <border>
      <right style="thick">
        <color theme="1"/>
      </right>
      <top style="thin">
        <color rgb="FF000000"/>
      </top>
      <bottom/>
    </border>
    <border>
      <left style="thick">
        <color theme="1"/>
      </left>
      <top style="thick">
        <color theme="1"/>
      </top>
    </border>
    <border>
      <left style="thick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FF"/>
      </top>
      <bottom/>
    </border>
    <border>
      <left style="thin">
        <color rgb="FF000000"/>
      </left>
      <top style="thick">
        <color rgb="FF0000FF"/>
      </top>
      <bottom/>
    </border>
    <border>
      <top style="thick">
        <color rgb="FF0000FF"/>
      </top>
      <bottom/>
    </border>
    <border>
      <right style="thin">
        <color rgb="FF000000"/>
      </right>
      <top style="thick">
        <color rgb="FF0000FF"/>
      </top>
      <bottom/>
    </border>
    <border>
      <right style="thick">
        <color rgb="FF0000FF"/>
      </right>
      <top style="thick">
        <color rgb="FF0000FF"/>
      </top>
      <bottom/>
    </border>
    <border>
      <left style="thick">
        <color theme="1"/>
      </left>
      <bottom style="thick">
        <color theme="1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FF"/>
      </bottom>
    </border>
    <border>
      <right style="thick">
        <color rgb="FF0000FF"/>
      </right>
      <top style="thin">
        <color rgb="FF000000"/>
      </top>
      <bottom style="thick">
        <color rgb="FF0000FF"/>
      </bottom>
    </border>
    <border>
      <left style="thick">
        <color rgb="FF0000FF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top style="thin">
        <color theme="1"/>
      </top>
      <bottom style="thin">
        <color rgb="FF000000"/>
      </bottom>
    </border>
    <border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1"/>
      </top>
      <bottom/>
    </border>
    <border>
      <left style="thin">
        <color rgb="FF000000"/>
      </left>
      <top style="thin">
        <color theme="1"/>
      </top>
      <bottom/>
    </border>
    <border>
      <top style="thin">
        <color theme="1"/>
      </top>
      <bottom/>
    </border>
    <border>
      <right style="thick">
        <color rgb="FF0000FF"/>
      </right>
      <top style="thin">
        <color theme="1"/>
      </top>
      <bottom/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top style="thin">
        <color rgb="FF000000"/>
      </top>
      <bottom style="thick">
        <color rgb="FF0000FF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4" fontId="5" numFmtId="0" xfId="0" applyAlignment="1" applyBorder="1" applyFill="1" applyFont="1">
      <alignment horizontal="center" readingOrder="0" vertical="center"/>
    </xf>
    <xf borderId="8" fillId="5" fontId="5" numFmtId="0" xfId="0" applyAlignment="1" applyBorder="1" applyFill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vertical="center"/>
    </xf>
    <xf borderId="8" fillId="4" fontId="5" numFmtId="0" xfId="0" applyAlignment="1" applyBorder="1" applyFont="1">
      <alignment horizontal="center" vertical="center"/>
    </xf>
    <xf borderId="8" fillId="4" fontId="5" numFmtId="0" xfId="0" applyAlignment="1" applyBorder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7" fontId="7" numFmtId="0" xfId="0" applyAlignment="1" applyBorder="1" applyFill="1" applyFont="1">
      <alignment horizontal="center" shrinkToFit="0" vertical="center" wrapText="1"/>
    </xf>
    <xf borderId="14" fillId="7" fontId="8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vertical="center"/>
    </xf>
    <xf borderId="16" fillId="8" fontId="8" numFmtId="0" xfId="0" applyAlignment="1" applyBorder="1" applyFill="1" applyFont="1">
      <alignment horizontal="center" readingOrder="0" shrinkToFit="0" vertical="center" wrapText="1"/>
    </xf>
    <xf borderId="17" fillId="9" fontId="8" numFmtId="0" xfId="0" applyAlignment="1" applyBorder="1" applyFill="1" applyFont="1">
      <alignment horizontal="center" shrinkToFit="0" vertical="center" wrapText="1"/>
    </xf>
    <xf borderId="17" fillId="0" fontId="4" numFmtId="164" xfId="0" applyAlignment="1" applyBorder="1" applyFont="1" applyNumberFormat="1">
      <alignment horizontal="center" readingOrder="0" vertical="center"/>
    </xf>
    <xf borderId="18" fillId="10" fontId="4" numFmtId="3" xfId="0" applyAlignment="1" applyBorder="1" applyFill="1" applyFont="1" applyNumberFormat="1">
      <alignment horizontal="center" readingOrder="0" vertical="center"/>
    </xf>
    <xf borderId="18" fillId="11" fontId="4" numFmtId="0" xfId="0" applyAlignment="1" applyBorder="1" applyFill="1" applyFont="1">
      <alignment horizontal="center" vertical="center"/>
    </xf>
    <xf borderId="19" fillId="0" fontId="4" numFmtId="165" xfId="0" applyAlignment="1" applyBorder="1" applyFont="1" applyNumberFormat="1">
      <alignment vertical="center"/>
    </xf>
    <xf borderId="20" fillId="12" fontId="9" numFmtId="0" xfId="0" applyAlignment="1" applyBorder="1" applyFill="1" applyFont="1">
      <alignment horizontal="center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8" fontId="8" numFmtId="0" xfId="0" applyAlignment="1" applyBorder="1" applyFont="1">
      <alignment horizontal="center" readingOrder="0" shrinkToFit="0" vertical="center" wrapText="1"/>
    </xf>
    <xf borderId="17" fillId="11" fontId="4" numFmtId="0" xfId="0" applyAlignment="1" applyBorder="1" applyFont="1">
      <alignment horizontal="center" shrinkToFit="0" vertical="center" wrapText="1"/>
    </xf>
    <xf borderId="24" fillId="0" fontId="4" numFmtId="165" xfId="0" applyAlignment="1" applyBorder="1" applyFont="1" applyNumberFormat="1">
      <alignment vertical="center"/>
    </xf>
    <xf borderId="25" fillId="13" fontId="4" numFmtId="0" xfId="0" applyAlignment="1" applyBorder="1" applyFill="1" applyFont="1">
      <alignment vertical="center"/>
    </xf>
    <xf borderId="26" fillId="13" fontId="10" numFmtId="0" xfId="0" applyAlignment="1" applyBorder="1" applyFont="1">
      <alignment vertical="center"/>
    </xf>
    <xf borderId="27" fillId="13" fontId="10" numFmtId="0" xfId="0" applyAlignment="1" applyBorder="1" applyFont="1">
      <alignment vertical="center"/>
    </xf>
    <xf borderId="28" fillId="8" fontId="8" numFmtId="0" xfId="0" applyAlignment="1" applyBorder="1" applyFont="1">
      <alignment horizontal="center" readingOrder="0" shrinkToFit="0" vertical="center" wrapText="1"/>
    </xf>
    <xf borderId="29" fillId="11" fontId="4" numFmtId="0" xfId="0" applyAlignment="1" applyBorder="1" applyFont="1">
      <alignment horizontal="center" shrinkToFit="0" vertical="center" wrapText="1"/>
    </xf>
    <xf borderId="30" fillId="13" fontId="4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13" fontId="4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28" fillId="8" fontId="8" numFmtId="0" xfId="0" applyAlignment="1" applyBorder="1" applyFont="1">
      <alignment horizontal="center" shrinkToFit="0" vertical="center" wrapText="1"/>
    </xf>
    <xf borderId="36" fillId="8" fontId="8" numFmtId="0" xfId="0" applyAlignment="1" applyBorder="1" applyFont="1">
      <alignment horizontal="center" shrinkToFit="0" vertical="center" wrapText="1"/>
    </xf>
    <xf borderId="37" fillId="10" fontId="4" numFmtId="0" xfId="0" applyAlignment="1" applyBorder="1" applyFont="1">
      <alignment horizontal="center" vertical="center"/>
    </xf>
    <xf borderId="37" fillId="10" fontId="4" numFmtId="0" xfId="0" applyAlignment="1" applyBorder="1" applyFont="1">
      <alignment horizontal="center" readingOrder="0" vertical="center"/>
    </xf>
    <xf borderId="37" fillId="10" fontId="4" numFmtId="3" xfId="0" applyAlignment="1" applyBorder="1" applyFont="1" applyNumberFormat="1">
      <alignment horizontal="center" readingOrder="0" vertical="center"/>
    </xf>
    <xf borderId="37" fillId="10" fontId="4" numFmtId="164" xfId="0" applyAlignment="1" applyBorder="1" applyFont="1" applyNumberFormat="1">
      <alignment horizontal="center" readingOrder="0" vertical="center"/>
    </xf>
    <xf borderId="38" fillId="10" fontId="4" numFmtId="0" xfId="0" applyAlignment="1" applyBorder="1" applyFont="1">
      <alignment horizontal="center" vertical="center"/>
    </xf>
    <xf borderId="39" fillId="0" fontId="11" numFmtId="0" xfId="0" applyAlignment="1" applyBorder="1" applyFont="1">
      <alignment vertical="center"/>
    </xf>
    <xf borderId="14" fillId="7" fontId="12" numFmtId="0" xfId="0" applyAlignment="1" applyBorder="1" applyFont="1">
      <alignment horizontal="center" shrinkToFit="0" vertical="center" wrapText="1"/>
    </xf>
    <xf borderId="40" fillId="11" fontId="4" numFmtId="0" xfId="0" applyAlignment="1" applyBorder="1" applyFont="1">
      <alignment horizontal="center" vertical="center"/>
    </xf>
    <xf borderId="41" fillId="0" fontId="4" numFmtId="165" xfId="0" applyAlignment="1" applyBorder="1" applyFont="1" applyNumberFormat="1">
      <alignment vertical="center"/>
    </xf>
    <xf borderId="17" fillId="11" fontId="4" numFmtId="0" xfId="0" applyAlignment="1" applyBorder="1" applyFont="1">
      <alignment horizontal="center" vertical="center"/>
    </xf>
    <xf borderId="42" fillId="10" fontId="4" numFmtId="0" xfId="0" applyAlignment="1" applyBorder="1" applyFont="1">
      <alignment horizontal="center" vertical="center"/>
    </xf>
    <xf borderId="18" fillId="11" fontId="4" numFmtId="0" xfId="0" applyAlignment="1" applyBorder="1" applyFont="1">
      <alignment horizontal="center" shrinkToFit="0" vertical="center" wrapText="1"/>
    </xf>
    <xf borderId="0" fillId="0" fontId="11" numFmtId="166" xfId="0" applyAlignment="1" applyFont="1" applyNumberFormat="1">
      <alignment vertical="center"/>
    </xf>
    <xf borderId="42" fillId="10" fontId="4" numFmtId="165" xfId="0" applyAlignment="1" applyBorder="1" applyFont="1" applyNumberFormat="1">
      <alignment vertical="center"/>
    </xf>
    <xf borderId="13" fillId="7" fontId="7" numFmtId="0" xfId="0" applyAlignment="1" applyBorder="1" applyFont="1">
      <alignment horizontal="center" readingOrder="0" shrinkToFit="0" vertical="center" wrapText="1"/>
    </xf>
    <xf borderId="13" fillId="14" fontId="7" numFmtId="0" xfId="0" applyAlignment="1" applyBorder="1" applyFill="1" applyFont="1">
      <alignment horizontal="center" shrinkToFit="0" vertical="center" wrapText="1"/>
    </xf>
    <xf borderId="43" fillId="14" fontId="5" numFmtId="0" xfId="0" applyAlignment="1" applyBorder="1" applyFont="1">
      <alignment horizontal="center" vertical="center"/>
    </xf>
    <xf borderId="43" fillId="14" fontId="5" numFmtId="3" xfId="0" applyAlignment="1" applyBorder="1" applyFont="1" applyNumberFormat="1">
      <alignment horizontal="center" readingOrder="0" vertical="center"/>
    </xf>
    <xf borderId="43" fillId="14" fontId="5" numFmtId="164" xfId="0" applyAlignment="1" applyBorder="1" applyFont="1" applyNumberFormat="1">
      <alignment horizontal="center" readingOrder="0" vertical="center"/>
    </xf>
    <xf borderId="43" fillId="14" fontId="5" numFmtId="167" xfId="0" applyAlignment="1" applyBorder="1" applyFont="1" applyNumberFormat="1">
      <alignment horizontal="center" vertical="center"/>
    </xf>
    <xf borderId="44" fillId="14" fontId="13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14" numFmtId="3" xfId="0" applyAlignment="1" applyFont="1" applyNumberFormat="1">
      <alignment vertical="center"/>
    </xf>
    <xf borderId="45" fillId="9" fontId="5" numFmtId="0" xfId="0" applyAlignment="1" applyBorder="1" applyFont="1">
      <alignment horizontal="center" vertical="center"/>
    </xf>
    <xf borderId="46" fillId="0" fontId="2" numFmtId="0" xfId="0" applyAlignment="1" applyBorder="1" applyFont="1">
      <alignment vertical="center"/>
    </xf>
    <xf borderId="47" fillId="0" fontId="2" numFmtId="0" xfId="0" applyAlignment="1" applyBorder="1" applyFont="1">
      <alignment vertical="center"/>
    </xf>
    <xf borderId="48" fillId="5" fontId="5" numFmtId="0" xfId="0" applyAlignment="1" applyBorder="1" applyFont="1">
      <alignment horizontal="center" vertical="center"/>
    </xf>
    <xf borderId="48" fillId="5" fontId="5" numFmtId="0" xfId="0" applyAlignment="1" applyBorder="1" applyFont="1">
      <alignment horizontal="center" readingOrder="0" vertical="center"/>
    </xf>
    <xf borderId="48" fillId="9" fontId="5" numFmtId="3" xfId="0" applyAlignment="1" applyBorder="1" applyFont="1" applyNumberFormat="1">
      <alignment horizontal="center" vertical="center"/>
    </xf>
    <xf borderId="49" fillId="6" fontId="5" numFmtId="3" xfId="0" applyAlignment="1" applyBorder="1" applyFont="1" applyNumberFormat="1">
      <alignment horizontal="center" vertical="center"/>
    </xf>
    <xf borderId="49" fillId="6" fontId="5" numFmtId="0" xfId="0" applyAlignment="1" applyBorder="1" applyFont="1">
      <alignment horizontal="center" vertical="center"/>
    </xf>
    <xf borderId="50" fillId="6" fontId="5" numFmtId="0" xfId="0" applyAlignment="1" applyBorder="1" applyFont="1">
      <alignment horizontal="center" readingOrder="0" vertical="center"/>
    </xf>
    <xf borderId="51" fillId="4" fontId="6" numFmtId="0" xfId="0" applyAlignment="1" applyBorder="1" applyFont="1">
      <alignment horizontal="center" readingOrder="0" shrinkToFit="0" vertical="center" wrapText="1"/>
    </xf>
    <xf borderId="52" fillId="0" fontId="2" numFmtId="0" xfId="0" applyAlignment="1" applyBorder="1" applyFont="1">
      <alignment vertical="center"/>
    </xf>
    <xf borderId="53" fillId="0" fontId="2" numFmtId="0" xfId="0" applyAlignment="1" applyBorder="1" applyFont="1">
      <alignment vertical="center"/>
    </xf>
    <xf borderId="54" fillId="9" fontId="6" numFmtId="168" xfId="0" applyAlignment="1" applyBorder="1" applyFont="1" applyNumberFormat="1">
      <alignment horizontal="center" shrinkToFit="0" vertical="center" wrapText="1"/>
    </xf>
    <xf borderId="54" fillId="4" fontId="6" numFmtId="3" xfId="0" applyAlignment="1" applyBorder="1" applyFont="1" applyNumberFormat="1">
      <alignment horizontal="center" shrinkToFit="0" vertical="center" wrapText="1"/>
    </xf>
    <xf borderId="17" fillId="9" fontId="5" numFmtId="168" xfId="0" applyAlignment="1" applyBorder="1" applyFont="1" applyNumberFormat="1">
      <alignment vertical="center"/>
    </xf>
    <xf borderId="55" fillId="9" fontId="5" numFmtId="168" xfId="0" applyAlignment="1" applyBorder="1" applyFont="1" applyNumberFormat="1">
      <alignment vertical="center"/>
    </xf>
    <xf borderId="54" fillId="15" fontId="6" numFmtId="168" xfId="0" applyAlignment="1" applyBorder="1" applyFill="1" applyFont="1" applyNumberFormat="1">
      <alignment horizontal="center" readingOrder="0" shrinkToFit="0" vertical="center" wrapText="1"/>
    </xf>
    <xf borderId="54" fillId="6" fontId="6" numFmtId="3" xfId="0" applyAlignment="1" applyBorder="1" applyFont="1" applyNumberFormat="1">
      <alignment horizontal="center" shrinkToFit="0" vertical="center" wrapText="1"/>
    </xf>
    <xf borderId="17" fillId="10" fontId="5" numFmtId="168" xfId="0" applyAlignment="1" applyBorder="1" applyFont="1" applyNumberFormat="1">
      <alignment vertical="center"/>
    </xf>
    <xf borderId="55" fillId="10" fontId="5" numFmtId="168" xfId="0" applyAlignment="1" applyBorder="1" applyFont="1" applyNumberFormat="1">
      <alignment vertical="center"/>
    </xf>
    <xf borderId="54" fillId="16" fontId="6" numFmtId="168" xfId="0" applyAlignment="1" applyBorder="1" applyFill="1" applyFont="1" applyNumberFormat="1">
      <alignment horizontal="center" shrinkToFit="0" vertical="center" wrapText="1"/>
    </xf>
    <xf borderId="17" fillId="16" fontId="5" numFmtId="168" xfId="0" applyAlignment="1" applyBorder="1" applyFont="1" applyNumberFormat="1">
      <alignment vertical="center"/>
    </xf>
    <xf borderId="55" fillId="16" fontId="5" numFmtId="168" xfId="0" applyAlignment="1" applyBorder="1" applyFont="1" applyNumberFormat="1">
      <alignment vertical="center"/>
    </xf>
    <xf borderId="56" fillId="17" fontId="3" numFmtId="0" xfId="0" applyAlignment="1" applyBorder="1" applyFill="1" applyFont="1">
      <alignment horizontal="center" readingOrder="0" vertical="center"/>
    </xf>
    <xf borderId="57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59" fillId="0" fontId="3" numFmtId="9" xfId="0" applyAlignment="1" applyBorder="1" applyFont="1" applyNumberFormat="1">
      <alignment horizontal="center" vertical="center"/>
    </xf>
    <xf borderId="59" fillId="17" fontId="3" numFmtId="3" xfId="0" applyAlignment="1" applyBorder="1" applyFont="1" applyNumberFormat="1">
      <alignment horizontal="center" vertical="center"/>
    </xf>
    <xf borderId="60" fillId="0" fontId="3" numFmtId="9" xfId="0" applyAlignment="1" applyBorder="1" applyFont="1" applyNumberFormat="1">
      <alignment vertical="center"/>
    </xf>
    <xf borderId="18" fillId="10" fontId="4" numFmtId="164" xfId="0" applyAlignment="1" applyBorder="1" applyFont="1" applyNumberFormat="1">
      <alignment horizontal="center" readingOrder="0" vertical="center"/>
    </xf>
    <xf borderId="37" fillId="10" fontId="3" numFmtId="0" xfId="0" applyAlignment="1" applyBorder="1" applyFont="1">
      <alignment horizontal="center" vertical="center"/>
    </xf>
    <xf borderId="37" fillId="10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39" fillId="0" fontId="10" numFmtId="0" xfId="0" applyAlignment="1" applyBorder="1" applyFont="1">
      <alignment vertical="center"/>
    </xf>
    <xf borderId="23" fillId="8" fontId="8" numFmtId="0" xfId="0" applyAlignment="1" applyBorder="1" applyFont="1">
      <alignment horizontal="center" shrinkToFit="0" vertical="center" wrapText="1"/>
    </xf>
    <xf borderId="0" fillId="0" fontId="10" numFmtId="166" xfId="0" applyAlignment="1" applyFont="1" applyNumberFormat="1">
      <alignment vertical="center"/>
    </xf>
    <xf borderId="0" fillId="0" fontId="10" numFmtId="168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45" fillId="18" fontId="10" numFmtId="0" xfId="0" applyAlignment="1" applyBorder="1" applyFill="1" applyFont="1">
      <alignment vertical="center"/>
    </xf>
    <xf borderId="48" fillId="5" fontId="5" numFmtId="0" xfId="0" applyAlignment="1" applyBorder="1" applyFont="1">
      <alignment horizontal="center" vertical="center"/>
    </xf>
    <xf borderId="48" fillId="18" fontId="10" numFmtId="3" xfId="0" applyAlignment="1" applyBorder="1" applyFont="1" applyNumberFormat="1">
      <alignment vertical="center"/>
    </xf>
    <xf borderId="49" fillId="6" fontId="5" numFmtId="3" xfId="0" applyAlignment="1" applyBorder="1" applyFont="1" applyNumberFormat="1">
      <alignment horizontal="center" vertical="center"/>
    </xf>
    <xf borderId="49" fillId="6" fontId="5" numFmtId="0" xfId="0" applyAlignment="1" applyBorder="1" applyFont="1">
      <alignment horizontal="center" vertical="center"/>
    </xf>
    <xf borderId="50" fillId="6" fontId="5" numFmtId="0" xfId="0" applyAlignment="1" applyBorder="1" applyFont="1">
      <alignment horizontal="center" vertical="center"/>
    </xf>
    <xf borderId="51" fillId="4" fontId="5" numFmtId="0" xfId="0" applyAlignment="1" applyBorder="1" applyFont="1">
      <alignment horizontal="center" shrinkToFit="0" vertical="center" wrapText="1"/>
    </xf>
    <xf borderId="54" fillId="18" fontId="10" numFmtId="168" xfId="0" applyAlignment="1" applyBorder="1" applyFont="1" applyNumberFormat="1">
      <alignment vertical="center"/>
    </xf>
    <xf borderId="54" fillId="4" fontId="5" numFmtId="3" xfId="0" applyAlignment="1" applyBorder="1" applyFont="1" applyNumberFormat="1">
      <alignment horizontal="center" shrinkToFit="0" vertical="center" wrapText="1"/>
    </xf>
    <xf borderId="17" fillId="18" fontId="10" numFmtId="168" xfId="0" applyAlignment="1" applyBorder="1" applyFont="1" applyNumberFormat="1">
      <alignment vertical="center"/>
    </xf>
    <xf borderId="55" fillId="18" fontId="10" numFmtId="168" xfId="0" applyAlignment="1" applyBorder="1" applyFont="1" applyNumberFormat="1">
      <alignment vertical="center"/>
    </xf>
    <xf borderId="54" fillId="15" fontId="5" numFmtId="168" xfId="0" applyAlignment="1" applyBorder="1" applyFont="1" applyNumberFormat="1">
      <alignment horizontal="center" shrinkToFit="0" vertical="center" wrapText="1"/>
    </xf>
    <xf borderId="54" fillId="6" fontId="5" numFmtId="3" xfId="0" applyAlignment="1" applyBorder="1" applyFont="1" applyNumberFormat="1">
      <alignment horizontal="center" shrinkToFit="0" vertical="center" wrapText="1"/>
    </xf>
    <xf borderId="17" fillId="10" fontId="5" numFmtId="168" xfId="0" applyAlignment="1" applyBorder="1" applyFont="1" applyNumberFormat="1">
      <alignment horizontal="right" vertical="center"/>
    </xf>
    <xf borderId="55" fillId="10" fontId="5" numFmtId="168" xfId="0" applyAlignment="1" applyBorder="1" applyFont="1" applyNumberFormat="1">
      <alignment horizontal="right" vertical="center"/>
    </xf>
    <xf borderId="54" fillId="16" fontId="10" numFmtId="168" xfId="0" applyAlignment="1" applyBorder="1" applyFont="1" applyNumberFormat="1">
      <alignment vertical="center"/>
    </xf>
    <xf borderId="17" fillId="16" fontId="5" numFmtId="168" xfId="0" applyAlignment="1" applyBorder="1" applyFont="1" applyNumberFormat="1">
      <alignment horizontal="right" vertical="center"/>
    </xf>
    <xf borderId="55" fillId="16" fontId="5" numFmtId="168" xfId="0" applyAlignment="1" applyBorder="1" applyFont="1" applyNumberFormat="1">
      <alignment horizontal="right" vertical="center"/>
    </xf>
    <xf borderId="56" fillId="17" fontId="3" numFmtId="0" xfId="0" applyAlignment="1" applyBorder="1" applyFont="1">
      <alignment horizontal="center" vertical="center"/>
    </xf>
    <xf borderId="59" fillId="0" fontId="3" numFmtId="9" xfId="0" applyAlignment="1" applyBorder="1" applyFont="1" applyNumberFormat="1">
      <alignment horizontal="center" vertical="center"/>
    </xf>
    <xf borderId="59" fillId="17" fontId="3" numFmtId="3" xfId="0" applyAlignment="1" applyBorder="1" applyFont="1" applyNumberFormat="1">
      <alignment horizontal="center" vertical="center"/>
    </xf>
    <xf borderId="60" fillId="0" fontId="3" numFmtId="9" xfId="0" applyAlignment="1" applyBorder="1" applyFont="1" applyNumberFormat="1">
      <alignment horizontal="center" vertical="center"/>
    </xf>
    <xf borderId="1" fillId="19" fontId="15" numFmtId="0" xfId="0" applyAlignment="1" applyBorder="1" applyFill="1" applyFont="1">
      <alignment horizontal="center" readingOrder="0" vertical="center"/>
    </xf>
    <xf borderId="61" fillId="13" fontId="4" numFmtId="0" xfId="0" applyAlignment="1" applyBorder="1" applyFont="1">
      <alignment horizontal="center" vertical="center"/>
    </xf>
    <xf borderId="62" fillId="13" fontId="4" numFmtId="0" xfId="0" applyAlignment="1" applyBorder="1" applyFont="1">
      <alignment horizontal="center" vertical="center"/>
    </xf>
    <xf borderId="63" fillId="13" fontId="4" numFmtId="0" xfId="0" applyAlignment="1" applyBorder="1" applyFont="1">
      <alignment horizontal="center" vertical="center"/>
    </xf>
    <xf borderId="39" fillId="0" fontId="16" numFmtId="0" xfId="0" applyAlignment="1" applyBorder="1" applyFont="1">
      <alignment horizontal="center" vertical="center"/>
    </xf>
    <xf borderId="64" fillId="0" fontId="2" numFmtId="0" xfId="0" applyAlignment="1" applyBorder="1" applyFont="1">
      <alignment vertical="center"/>
    </xf>
    <xf borderId="65" fillId="0" fontId="11" numFmtId="169" xfId="0" applyAlignment="1" applyBorder="1" applyFont="1" applyNumberFormat="1">
      <alignment horizontal="center" vertical="center"/>
    </xf>
    <xf borderId="66" fillId="0" fontId="11" numFmtId="1" xfId="0" applyAlignment="1" applyBorder="1" applyFont="1" applyNumberFormat="1">
      <alignment horizontal="center" vertical="center"/>
    </xf>
    <xf borderId="67" fillId="17" fontId="4" numFmtId="169" xfId="0" applyAlignment="1" applyBorder="1" applyFont="1" applyNumberFormat="1">
      <alignment horizontal="center" vertical="center"/>
    </xf>
    <xf borderId="43" fillId="19" fontId="16" numFmtId="0" xfId="0" applyAlignment="1" applyBorder="1" applyFont="1">
      <alignment horizontal="center" vertical="center"/>
    </xf>
    <xf borderId="68" fillId="0" fontId="3" numFmtId="49" xfId="0" applyAlignment="1" applyBorder="1" applyFont="1" applyNumberFormat="1">
      <alignment horizontal="center" readingOrder="0" vertical="center"/>
    </xf>
    <xf borderId="69" fillId="19" fontId="16" numFmtId="0" xfId="0" applyAlignment="1" applyBorder="1" applyFont="1">
      <alignment horizontal="center" vertical="center"/>
    </xf>
    <xf borderId="68" fillId="0" fontId="3" numFmtId="170" xfId="0" applyAlignment="1" applyBorder="1" applyFont="1" applyNumberFormat="1">
      <alignment horizontal="center" vertical="center"/>
    </xf>
    <xf borderId="68" fillId="0" fontId="3" numFmtId="0" xfId="0" applyAlignment="1" applyBorder="1" applyFont="1">
      <alignment horizontal="center" vertical="center"/>
    </xf>
    <xf borderId="20" fillId="12" fontId="9" numFmtId="0" xfId="0" applyAlignment="1" applyBorder="1" applyFont="1">
      <alignment horizontal="center" vertical="center"/>
    </xf>
    <xf borderId="25" fillId="13" fontId="11" numFmtId="0" xfId="0" applyAlignment="1" applyBorder="1" applyFont="1">
      <alignment vertical="center"/>
    </xf>
    <xf borderId="26" fillId="13" fontId="11" numFmtId="0" xfId="0" applyAlignment="1" applyBorder="1" applyFont="1">
      <alignment vertical="center"/>
    </xf>
    <xf borderId="27" fillId="13" fontId="11" numFmtId="0" xfId="0" applyAlignment="1" applyBorder="1" applyFont="1">
      <alignment vertical="center"/>
    </xf>
    <xf borderId="70" fillId="19" fontId="16" numFmtId="0" xfId="0" applyAlignment="1" applyBorder="1" applyFont="1">
      <alignment horizontal="center" readingOrder="0" vertical="center"/>
    </xf>
    <xf borderId="71" fillId="0" fontId="2" numFmtId="0" xfId="0" applyAlignment="1" applyBorder="1" applyFont="1">
      <alignment vertical="center"/>
    </xf>
    <xf borderId="72" fillId="0" fontId="2" numFmtId="0" xfId="0" applyAlignment="1" applyBorder="1" applyFont="1">
      <alignment vertical="center"/>
    </xf>
    <xf borderId="30" fillId="13" fontId="11" numFmtId="0" xfId="0" applyAlignment="1" applyBorder="1" applyFont="1">
      <alignment horizontal="left" vertical="center"/>
    </xf>
    <xf borderId="23" fillId="19" fontId="16" numFmtId="0" xfId="0" applyAlignment="1" applyBorder="1" applyFont="1">
      <alignment horizontal="center" vertical="center"/>
    </xf>
    <xf borderId="73" fillId="19" fontId="16" numFmtId="0" xfId="0" applyAlignment="1" applyBorder="1" applyFont="1">
      <alignment horizontal="center" vertical="center"/>
    </xf>
    <xf borderId="74" fillId="0" fontId="2" numFmtId="0" xfId="0" applyAlignment="1" applyBorder="1" applyFont="1">
      <alignment vertical="center"/>
    </xf>
    <xf borderId="75" fillId="0" fontId="2" numFmtId="0" xfId="0" applyAlignment="1" applyBorder="1" applyFont="1">
      <alignment vertical="center"/>
    </xf>
    <xf borderId="24" fillId="19" fontId="16" numFmtId="0" xfId="0" applyAlignment="1" applyBorder="1" applyFont="1">
      <alignment horizontal="center" vertical="center"/>
    </xf>
    <xf borderId="76" fillId="19" fontId="16" numFmtId="0" xfId="0" applyAlignment="1" applyBorder="1" applyFont="1">
      <alignment horizontal="center" vertical="center"/>
    </xf>
    <xf borderId="77" fillId="0" fontId="2" numFmtId="0" xfId="0" applyAlignment="1" applyBorder="1" applyFont="1">
      <alignment vertical="center"/>
    </xf>
    <xf borderId="33" fillId="13" fontId="11" numFmtId="0" xfId="0" applyAlignment="1" applyBorder="1" applyFont="1">
      <alignment horizontal="left" vertical="center"/>
    </xf>
    <xf borderId="78" fillId="0" fontId="4" numFmtId="171" xfId="0" applyAlignment="1" applyBorder="1" applyFont="1" applyNumberFormat="1">
      <alignment horizontal="center" readingOrder="0" vertical="center"/>
    </xf>
    <xf borderId="79" fillId="0" fontId="17" numFmtId="171" xfId="0" applyAlignment="1" applyBorder="1" applyFont="1" applyNumberFormat="1">
      <alignment horizontal="center" readingOrder="0" vertical="center"/>
    </xf>
    <xf borderId="80" fillId="0" fontId="2" numFmtId="0" xfId="0" applyAlignment="1" applyBorder="1" applyFont="1">
      <alignment vertical="center"/>
    </xf>
    <xf borderId="81" fillId="0" fontId="2" numFmtId="0" xfId="0" applyAlignment="1" applyBorder="1" applyFont="1">
      <alignment vertical="center"/>
    </xf>
    <xf borderId="82" fillId="17" fontId="4" numFmtId="9" xfId="0" applyAlignment="1" applyBorder="1" applyFont="1" applyNumberFormat="1">
      <alignment horizontal="center" vertical="center"/>
    </xf>
    <xf borderId="83" fillId="0" fontId="4" numFmtId="0" xfId="0" applyAlignment="1" applyBorder="1" applyFont="1">
      <alignment horizontal="left" shrinkToFit="0" vertical="center" wrapText="1"/>
    </xf>
    <xf borderId="84" fillId="0" fontId="2" numFmtId="0" xfId="0" applyAlignment="1" applyBorder="1" applyFont="1">
      <alignment vertical="center"/>
    </xf>
    <xf borderId="85" fillId="0" fontId="2" numFmtId="0" xfId="0" applyAlignment="1" applyBorder="1" applyFont="1">
      <alignment vertical="center"/>
    </xf>
    <xf borderId="16" fillId="9" fontId="4" numFmtId="0" xfId="0" applyAlignment="1" applyBorder="1" applyFont="1">
      <alignment horizontal="center" vertical="center"/>
    </xf>
    <xf borderId="86" fillId="9" fontId="4" numFmtId="0" xfId="0" applyAlignment="1" applyBorder="1" applyFont="1">
      <alignment horizontal="center" readingOrder="0" vertical="center"/>
    </xf>
    <xf borderId="87" fillId="0" fontId="2" numFmtId="0" xfId="0" applyAlignment="1" applyBorder="1" applyFont="1">
      <alignment vertical="center"/>
    </xf>
    <xf borderId="88" fillId="9" fontId="4" numFmtId="0" xfId="0" applyAlignment="1" applyBorder="1" applyFont="1">
      <alignment horizontal="center" vertical="center"/>
    </xf>
    <xf borderId="89" fillId="9" fontId="18" numFmtId="0" xfId="0" applyAlignment="1" applyBorder="1" applyFont="1">
      <alignment horizontal="center" vertical="center"/>
    </xf>
    <xf borderId="70" fillId="20" fontId="4" numFmtId="0" xfId="0" applyAlignment="1" applyBorder="1" applyFill="1" applyFont="1">
      <alignment horizontal="center" vertical="center"/>
    </xf>
    <xf borderId="90" fillId="0" fontId="2" numFmtId="0" xfId="0" applyAlignment="1" applyBorder="1" applyFont="1">
      <alignment vertical="center"/>
    </xf>
    <xf borderId="23" fillId="9" fontId="4" numFmtId="0" xfId="0" applyAlignment="1" applyBorder="1" applyFont="1">
      <alignment horizontal="center" vertical="center"/>
    </xf>
    <xf borderId="54" fillId="9" fontId="4" numFmtId="0" xfId="0" applyAlignment="1" applyBorder="1" applyFont="1">
      <alignment horizontal="center" readingOrder="0" vertical="center"/>
    </xf>
    <xf borderId="91" fillId="9" fontId="4" numFmtId="0" xfId="0" applyAlignment="1" applyBorder="1" applyFont="1">
      <alignment horizontal="center" readingOrder="0" vertical="center"/>
    </xf>
    <xf borderId="92" fillId="17" fontId="4" numFmtId="0" xfId="0" applyAlignment="1" applyBorder="1" applyFont="1">
      <alignment horizontal="center" readingOrder="0" vertical="center"/>
    </xf>
    <xf borderId="93" fillId="9" fontId="4" numFmtId="0" xfId="0" applyAlignment="1" applyBorder="1" applyFont="1">
      <alignment horizontal="center" vertical="center"/>
    </xf>
    <xf borderId="36" fillId="9" fontId="4" numFmtId="0" xfId="0" applyAlignment="1" applyBorder="1" applyFont="1">
      <alignment horizontal="center" vertical="center"/>
    </xf>
    <xf borderId="91" fillId="9" fontId="11" numFmtId="164" xfId="0" applyAlignment="1" applyBorder="1" applyFont="1" applyNumberFormat="1">
      <alignment horizontal="center" readingOrder="0" vertical="center"/>
    </xf>
    <xf borderId="94" fillId="9" fontId="18" numFmtId="164" xfId="0" applyAlignment="1" applyBorder="1" applyFont="1" applyNumberFormat="1">
      <alignment horizontal="center" readingOrder="0" vertical="center"/>
    </xf>
    <xf borderId="95" fillId="9" fontId="4" numFmtId="171" xfId="0" applyAlignment="1" applyBorder="1" applyFont="1" applyNumberFormat="1">
      <alignment horizontal="center" vertical="center"/>
    </xf>
    <xf borderId="96" fillId="0" fontId="2" numFmtId="0" xfId="0" applyAlignment="1" applyBorder="1" applyFont="1">
      <alignment vertical="center"/>
    </xf>
    <xf borderId="97" fillId="13" fontId="19" numFmtId="0" xfId="0" applyAlignment="1" applyBorder="1" applyFont="1">
      <alignment horizontal="center" vertical="center"/>
    </xf>
    <xf borderId="98" fillId="21" fontId="3" numFmtId="0" xfId="0" applyAlignment="1" applyBorder="1" applyFill="1" applyFont="1">
      <alignment horizontal="center" vertical="center"/>
    </xf>
    <xf borderId="99" fillId="0" fontId="2" numFmtId="0" xfId="0" applyAlignment="1" applyBorder="1" applyFont="1">
      <alignment vertical="center"/>
    </xf>
    <xf borderId="100" fillId="0" fontId="2" numFmtId="0" xfId="0" applyAlignment="1" applyBorder="1" applyFont="1">
      <alignment vertical="center"/>
    </xf>
    <xf borderId="101" fillId="21" fontId="4" numFmtId="0" xfId="0" applyAlignment="1" applyBorder="1" applyFont="1">
      <alignment horizontal="center" readingOrder="0" vertical="center"/>
    </xf>
    <xf borderId="102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104" fillId="22" fontId="4" numFmtId="172" xfId="0" applyAlignment="1" applyBorder="1" applyFill="1" applyFont="1" applyNumberFormat="1">
      <alignment horizontal="center" vertical="center"/>
    </xf>
    <xf borderId="105" fillId="21" fontId="4" numFmtId="0" xfId="0" applyAlignment="1" applyBorder="1" applyFont="1">
      <alignment horizontal="center" readingOrder="0" vertical="center"/>
    </xf>
    <xf borderId="106" fillId="0" fontId="2" numFmtId="0" xfId="0" applyAlignment="1" applyBorder="1" applyFont="1">
      <alignment vertical="center"/>
    </xf>
    <xf borderId="107" fillId="0" fontId="2" numFmtId="0" xfId="0" applyAlignment="1" applyBorder="1" applyFont="1">
      <alignment vertical="center"/>
    </xf>
    <xf borderId="108" fillId="11" fontId="4" numFmtId="172" xfId="0" applyAlignment="1" applyBorder="1" applyFont="1" applyNumberFormat="1">
      <alignment horizontal="center" vertical="center"/>
    </xf>
    <xf borderId="109" fillId="21" fontId="4" numFmtId="0" xfId="0" applyAlignment="1" applyBorder="1" applyFont="1">
      <alignment horizontal="center" readingOrder="0" vertical="center"/>
    </xf>
    <xf borderId="110" fillId="0" fontId="2" numFmtId="0" xfId="0" applyAlignment="1" applyBorder="1" applyFont="1">
      <alignment vertical="center"/>
    </xf>
    <xf borderId="111" fillId="0" fontId="2" numFmtId="0" xfId="0" applyAlignment="1" applyBorder="1" applyFont="1">
      <alignment vertical="center"/>
    </xf>
    <xf borderId="112" fillId="23" fontId="20" numFmtId="0" xfId="0" applyAlignment="1" applyBorder="1" applyFill="1" applyFont="1">
      <alignment horizontal="left" readingOrder="0" shrinkToFit="0" vertical="top" wrapText="1"/>
    </xf>
    <xf borderId="113" fillId="0" fontId="2" numFmtId="0" xfId="0" applyAlignment="1" applyBorder="1" applyFont="1">
      <alignment vertical="center"/>
    </xf>
    <xf borderId="20" fillId="12" fontId="9" numFmtId="0" xfId="0" applyAlignment="1" applyBorder="1" applyFont="1">
      <alignment horizontal="center" readingOrder="0" vertical="center"/>
    </xf>
    <xf borderId="114" fillId="11" fontId="4" numFmtId="172" xfId="0" applyAlignment="1" applyBorder="1" applyFont="1" applyNumberFormat="1">
      <alignment horizontal="center" vertical="center"/>
    </xf>
    <xf borderId="115" fillId="21" fontId="4" numFmtId="0" xfId="0" applyAlignment="1" applyBorder="1" applyFont="1">
      <alignment horizontal="center" readingOrder="0" vertical="center"/>
    </xf>
    <xf borderId="116" fillId="0" fontId="2" numFmtId="0" xfId="0" applyAlignment="1" applyBorder="1" applyFont="1">
      <alignment vertical="center"/>
    </xf>
    <xf borderId="117" fillId="0" fontId="2" numFmtId="0" xfId="0" applyAlignment="1" applyBorder="1" applyFont="1">
      <alignment vertical="center"/>
    </xf>
    <xf borderId="118" fillId="0" fontId="2" numFmtId="0" xfId="0" applyAlignment="1" applyBorder="1" applyFont="1">
      <alignment vertical="center"/>
    </xf>
    <xf borderId="25" fillId="13" fontId="4" numFmtId="0" xfId="0" applyAlignment="1" applyBorder="1" applyFont="1">
      <alignment readingOrder="0" vertical="center"/>
    </xf>
    <xf borderId="26" fillId="13" fontId="4" numFmtId="0" xfId="0" applyAlignment="1" applyBorder="1" applyFont="1">
      <alignment vertical="center"/>
    </xf>
    <xf borderId="27" fillId="13" fontId="4" numFmtId="0" xfId="0" applyAlignment="1" applyBorder="1" applyFont="1">
      <alignment vertical="center"/>
    </xf>
    <xf borderId="114" fillId="20" fontId="4" numFmtId="172" xfId="0" applyAlignment="1" applyBorder="1" applyFont="1" applyNumberFormat="1">
      <alignment horizontal="center" vertical="center"/>
    </xf>
    <xf borderId="104" fillId="21" fontId="4" numFmtId="0" xfId="0" applyAlignment="1" applyBorder="1" applyFont="1">
      <alignment horizontal="center" readingOrder="0" vertical="center"/>
    </xf>
    <xf borderId="119" fillId="0" fontId="2" numFmtId="0" xfId="0" applyAlignment="1" applyBorder="1" applyFont="1">
      <alignment vertical="center"/>
    </xf>
    <xf borderId="120" fillId="0" fontId="2" numFmtId="0" xfId="0" applyAlignment="1" applyBorder="1" applyFont="1">
      <alignment vertical="center"/>
    </xf>
    <xf borderId="30" fillId="13" fontId="4" numFmtId="0" xfId="0" applyAlignment="1" applyBorder="1" applyFont="1">
      <alignment horizontal="left" readingOrder="0" vertical="center"/>
    </xf>
    <xf borderId="114" fillId="23" fontId="18" numFmtId="172" xfId="0" applyAlignment="1" applyBorder="1" applyFont="1" applyNumberFormat="1">
      <alignment horizontal="center" vertical="center"/>
    </xf>
    <xf borderId="33" fillId="21" fontId="4" numFmtId="0" xfId="0" applyAlignment="1" applyBorder="1" applyFont="1">
      <alignment horizontal="center" readingOrder="0" vertical="center"/>
    </xf>
    <xf borderId="121" fillId="0" fontId="2" numFmtId="0" xfId="0" applyAlignment="1" applyBorder="1" applyFont="1">
      <alignment vertical="center"/>
    </xf>
    <xf borderId="122" fillId="0" fontId="2" numFmtId="0" xfId="0" applyAlignment="1" applyBorder="1" applyFont="1">
      <alignment vertical="center"/>
    </xf>
    <xf borderId="123" fillId="0" fontId="2" numFmtId="0" xfId="0" applyAlignment="1" applyBorder="1" applyFont="1">
      <alignment vertical="center"/>
    </xf>
    <xf borderId="124" fillId="0" fontId="2" numFmtId="0" xfId="0" applyAlignment="1" applyBorder="1" applyFont="1">
      <alignment vertical="center"/>
    </xf>
    <xf borderId="125" fillId="0" fontId="2" numFmtId="0" xfId="0" applyAlignment="1" applyBorder="1" applyFont="1">
      <alignment vertical="center"/>
    </xf>
    <xf borderId="33" fillId="13" fontId="4" numFmtId="0" xfId="0" applyAlignment="1" applyBorder="1" applyFont="1">
      <alignment horizontal="left" readingOrder="0" vertical="center"/>
    </xf>
    <xf borderId="126" fillId="22" fontId="5" numFmtId="0" xfId="0" applyAlignment="1" applyBorder="1" applyFont="1">
      <alignment horizontal="center" vertical="center"/>
    </xf>
    <xf borderId="127" fillId="19" fontId="21" numFmtId="0" xfId="0" applyAlignment="1" applyBorder="1" applyFont="1">
      <alignment horizontal="center" readingOrder="0" vertical="center"/>
    </xf>
    <xf borderId="128" fillId="19" fontId="21" numFmtId="0" xfId="0" applyAlignment="1" applyBorder="1" applyFont="1">
      <alignment horizontal="center" readingOrder="0" vertical="center"/>
    </xf>
    <xf borderId="129" fillId="0" fontId="2" numFmtId="0" xfId="0" applyAlignment="1" applyBorder="1" applyFont="1">
      <alignment vertical="center"/>
    </xf>
    <xf borderId="130" fillId="17" fontId="3" numFmtId="0" xfId="0" applyAlignment="1" applyBorder="1" applyFont="1">
      <alignment horizontal="center" vertical="center"/>
    </xf>
    <xf borderId="17" fillId="24" fontId="21" numFmtId="0" xfId="0" applyAlignment="1" applyBorder="1" applyFill="1" applyFont="1">
      <alignment horizontal="center" readingOrder="0" vertical="center"/>
    </xf>
    <xf borderId="17" fillId="25" fontId="21" numFmtId="0" xfId="0" applyAlignment="1" applyBorder="1" applyFill="1" applyFont="1">
      <alignment horizontal="center" readingOrder="0" vertical="center"/>
    </xf>
    <xf borderId="131" fillId="19" fontId="16" numFmtId="0" xfId="0" applyAlignment="1" applyBorder="1" applyFont="1">
      <alignment horizontal="center" vertical="center"/>
    </xf>
    <xf borderId="132" fillId="0" fontId="2" numFmtId="0" xfId="0" applyAlignment="1" applyBorder="1" applyFont="1">
      <alignment vertical="center"/>
    </xf>
    <xf borderId="133" fillId="19" fontId="21" numFmtId="0" xfId="0" applyAlignment="1" applyBorder="1" applyFont="1">
      <alignment horizontal="center" readingOrder="0" vertical="center"/>
    </xf>
    <xf borderId="134" fillId="0" fontId="2" numFmtId="0" xfId="0" applyAlignment="1" applyBorder="1" applyFont="1">
      <alignment vertical="center"/>
    </xf>
    <xf borderId="135" fillId="0" fontId="2" numFmtId="0" xfId="0" applyAlignment="1" applyBorder="1" applyFont="1">
      <alignment vertical="center"/>
    </xf>
    <xf borderId="136" fillId="0" fontId="4" numFmtId="172" xfId="0" applyAlignment="1" applyBorder="1" applyFont="1" applyNumberFormat="1">
      <alignment horizontal="center" readingOrder="0" vertical="center"/>
    </xf>
    <xf borderId="137" fillId="0" fontId="4" numFmtId="0" xfId="0" applyAlignment="1" applyBorder="1" applyFont="1">
      <alignment horizontal="center" readingOrder="0" vertical="center"/>
    </xf>
    <xf borderId="138" fillId="0" fontId="2" numFmtId="0" xfId="0" applyAlignment="1" applyBorder="1" applyFont="1">
      <alignment vertical="center"/>
    </xf>
    <xf borderId="139" fillId="0" fontId="4" numFmtId="172" xfId="0" applyAlignment="1" applyBorder="1" applyFont="1" applyNumberFormat="1">
      <alignment horizontal="center" readingOrder="0" vertical="center"/>
    </xf>
    <xf borderId="133" fillId="9" fontId="4" numFmtId="173" xfId="0" applyAlignment="1" applyBorder="1" applyFont="1" applyNumberFormat="1">
      <alignment horizontal="center" readingOrder="0" vertical="center"/>
    </xf>
    <xf borderId="0" fillId="9" fontId="4" numFmtId="173" xfId="0" applyAlignment="1" applyFont="1" applyNumberFormat="1">
      <alignment horizontal="center" readingOrder="0" vertical="center"/>
    </xf>
    <xf borderId="137" fillId="17" fontId="4" numFmtId="9" xfId="0" applyAlignment="1" applyBorder="1" applyFont="1" applyNumberFormat="1">
      <alignment horizontal="center" vertical="center"/>
    </xf>
    <xf borderId="140" fillId="0" fontId="2" numFmtId="0" xfId="0" applyAlignment="1" applyBorder="1" applyFont="1">
      <alignment vertical="center"/>
    </xf>
    <xf borderId="73" fillId="17" fontId="4" numFmtId="9" xfId="0" applyAlignment="1" applyBorder="1" applyFont="1" applyNumberFormat="1">
      <alignment horizontal="center" vertical="center"/>
    </xf>
    <xf borderId="141" fillId="0" fontId="2" numFmtId="0" xfId="0" applyAlignment="1" applyBorder="1" applyFont="1">
      <alignment vertical="center"/>
    </xf>
    <xf borderId="142" fillId="17" fontId="5" numFmtId="0" xfId="0" applyAlignment="1" applyBorder="1" applyFont="1">
      <alignment horizontal="center" vertical="center"/>
    </xf>
    <xf borderId="143" fillId="19" fontId="16" numFmtId="0" xfId="0" applyAlignment="1" applyBorder="1" applyFont="1">
      <alignment horizontal="center" vertical="center"/>
    </xf>
    <xf borderId="144" fillId="19" fontId="16" numFmtId="0" xfId="0" applyAlignment="1" applyBorder="1" applyFont="1">
      <alignment horizontal="center" vertical="center"/>
    </xf>
    <xf borderId="145" fillId="0" fontId="2" numFmtId="0" xfId="0" applyAlignment="1" applyBorder="1" applyFont="1">
      <alignment vertical="center"/>
    </xf>
    <xf borderId="146" fillId="17" fontId="3" numFmtId="0" xfId="0" applyAlignment="1" applyBorder="1" applyFont="1">
      <alignment horizontal="center" vertical="center"/>
    </xf>
    <xf borderId="147" fillId="19" fontId="16" numFmtId="0" xfId="0" applyAlignment="1" applyBorder="1" applyFont="1">
      <alignment horizontal="center" vertical="center"/>
    </xf>
    <xf borderId="148" fillId="0" fontId="2" numFmtId="0" xfId="0" applyAlignment="1" applyBorder="1" applyFont="1">
      <alignment vertical="center"/>
    </xf>
    <xf borderId="149" fillId="0" fontId="2" numFmtId="0" xfId="0" applyAlignment="1" applyBorder="1" applyFont="1">
      <alignment vertical="center"/>
    </xf>
    <xf borderId="147" fillId="19" fontId="21" numFmtId="0" xfId="0" applyAlignment="1" applyBorder="1" applyFont="1">
      <alignment horizontal="center" readingOrder="0" vertical="center"/>
    </xf>
    <xf borderId="150" fillId="0" fontId="2" numFmtId="0" xfId="0" applyAlignment="1" applyBorder="1" applyFont="1">
      <alignment vertical="center"/>
    </xf>
    <xf borderId="151" fillId="0" fontId="2" numFmtId="0" xfId="0" applyAlignment="1" applyBorder="1" applyFont="1">
      <alignment vertical="center"/>
    </xf>
    <xf borderId="152" fillId="0" fontId="4" numFmtId="172" xfId="0" applyAlignment="1" applyBorder="1" applyFont="1" applyNumberFormat="1">
      <alignment horizontal="center" readingOrder="0" vertical="center"/>
    </xf>
    <xf borderId="139" fillId="0" fontId="4" numFmtId="9" xfId="0" applyAlignment="1" applyBorder="1" applyFont="1" applyNumberFormat="1">
      <alignment horizontal="center" vertical="center"/>
    </xf>
    <xf borderId="73" fillId="9" fontId="4" numFmtId="173" xfId="0" applyAlignment="1" applyBorder="1" applyFont="1" applyNumberFormat="1">
      <alignment horizontal="center" vertical="center"/>
    </xf>
    <xf borderId="153" fillId="9" fontId="4" numFmtId="174" xfId="0" applyAlignment="1" applyBorder="1" applyFont="1" applyNumberFormat="1">
      <alignment horizontal="center" readingOrder="0" vertical="center"/>
    </xf>
    <xf borderId="154" fillId="0" fontId="2" numFmtId="0" xfId="0" applyAlignment="1" applyBorder="1" applyFont="1">
      <alignment vertical="center"/>
    </xf>
    <xf borderId="155" fillId="19" fontId="16" numFmtId="0" xfId="0" applyAlignment="1" applyBorder="1" applyFont="1">
      <alignment horizontal="center" vertical="center"/>
    </xf>
    <xf borderId="156" fillId="19" fontId="16" numFmtId="0" xfId="0" applyAlignment="1" applyBorder="1" applyFont="1">
      <alignment horizontal="center" vertical="center"/>
    </xf>
    <xf borderId="157" fillId="0" fontId="2" numFmtId="0" xfId="0" applyAlignment="1" applyBorder="1" applyFont="1">
      <alignment vertical="center"/>
    </xf>
    <xf borderId="158" fillId="17" fontId="3" numFmtId="0" xfId="0" applyAlignment="1" applyBorder="1" applyFont="1">
      <alignment horizontal="center" vertical="center"/>
    </xf>
    <xf borderId="159" fillId="19" fontId="16" numFmtId="0" xfId="0" applyAlignment="1" applyBorder="1" applyFont="1">
      <alignment horizontal="center" vertical="center"/>
    </xf>
    <xf borderId="160" fillId="0" fontId="2" numFmtId="0" xfId="0" applyAlignment="1" applyBorder="1" applyFont="1">
      <alignment vertical="center"/>
    </xf>
    <xf borderId="161" fillId="0" fontId="2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162" fillId="0" fontId="4" numFmtId="172" xfId="0" applyAlignment="1" applyBorder="1" applyFont="1" applyNumberFormat="1">
      <alignment horizontal="center" readingOrder="0" vertical="center"/>
    </xf>
    <xf borderId="153" fillId="0" fontId="4" numFmtId="0" xfId="0" applyAlignment="1" applyBorder="1" applyFont="1">
      <alignment horizontal="center" readingOrder="0" vertical="center"/>
    </xf>
    <xf borderId="163" fillId="0" fontId="2" numFmtId="0" xfId="0" applyAlignment="1" applyBorder="1" applyFont="1">
      <alignment vertical="center"/>
    </xf>
    <xf borderId="164" fillId="0" fontId="4" numFmtId="9" xfId="0" applyAlignment="1" applyBorder="1" applyFont="1" applyNumberFormat="1">
      <alignment horizontal="center" vertical="center"/>
    </xf>
    <xf borderId="153" fillId="9" fontId="4" numFmtId="173" xfId="0" applyAlignment="1" applyBorder="1" applyFont="1" applyNumberFormat="1">
      <alignment horizontal="center" vertical="center"/>
    </xf>
    <xf borderId="165" fillId="0" fontId="2" numFmtId="0" xfId="0" applyAlignment="1" applyBorder="1" applyFont="1">
      <alignment vertical="center"/>
    </xf>
    <xf borderId="115" fillId="19" fontId="16" numFmtId="0" xfId="0" applyAlignment="1" applyBorder="1" applyFont="1">
      <alignment horizontal="center" vertical="center"/>
    </xf>
    <xf borderId="54" fillId="19" fontId="16" numFmtId="0" xfId="0" applyAlignment="1" applyBorder="1" applyFont="1">
      <alignment horizontal="center" vertical="center"/>
    </xf>
    <xf borderId="36" fillId="0" fontId="20" numFmtId="171" xfId="0" applyAlignment="1" applyBorder="1" applyFont="1" applyNumberFormat="1">
      <alignment horizontal="center" readingOrder="0" vertical="center"/>
    </xf>
    <xf borderId="79" fillId="9" fontId="22" numFmtId="0" xfId="0" applyAlignment="1" applyBorder="1" applyFont="1">
      <alignment horizontal="left" shrinkToFit="0" vertical="center" wrapText="1"/>
    </xf>
    <xf borderId="39" fillId="0" fontId="20" numFmtId="171" xfId="0" applyAlignment="1" applyBorder="1" applyFont="1" applyNumberFormat="1">
      <alignment horizontal="center" vertical="center"/>
    </xf>
    <xf borderId="166" fillId="19" fontId="23" numFmtId="0" xfId="0" applyAlignment="1" applyBorder="1" applyFont="1">
      <alignment horizontal="center" vertical="center"/>
    </xf>
    <xf borderId="167" fillId="0" fontId="2" numFmtId="0" xfId="0" applyAlignment="1" applyBorder="1" applyFont="1">
      <alignment vertical="center"/>
    </xf>
    <xf borderId="168" fillId="0" fontId="2" numFmtId="0" xfId="0" applyAlignment="1" applyBorder="1" applyFont="1">
      <alignment vertical="center"/>
    </xf>
    <xf borderId="7" fillId="19" fontId="21" numFmtId="0" xfId="0" applyAlignment="1" applyBorder="1" applyFont="1">
      <alignment horizontal="center" readingOrder="0" vertical="center"/>
    </xf>
    <xf borderId="169" fillId="9" fontId="22" numFmtId="0" xfId="0" applyAlignment="1" applyBorder="1" applyFont="1">
      <alignment shrinkToFit="0" vertical="center" wrapText="1"/>
    </xf>
    <xf borderId="170" fillId="0" fontId="2" numFmtId="0" xfId="0" applyAlignment="1" applyBorder="1" applyFont="1">
      <alignment vertical="center"/>
    </xf>
    <xf borderId="133" fillId="0" fontId="2" numFmtId="0" xfId="0" applyAlignment="1" applyBorder="1" applyFont="1">
      <alignment vertical="center"/>
    </xf>
    <xf borderId="171" fillId="0" fontId="2" numFmtId="0" xfId="0" applyAlignment="1" applyBorder="1" applyFont="1">
      <alignment vertical="center"/>
    </xf>
    <xf borderId="128" fillId="0" fontId="2" numFmtId="0" xfId="0" applyAlignment="1" applyBorder="1" applyFont="1">
      <alignment vertical="center"/>
    </xf>
    <xf borderId="0" fillId="0" fontId="11" numFmtId="0" xfId="0" applyAlignment="1" applyFont="1">
      <alignment shrinkToFit="0" vertical="center" wrapText="1"/>
    </xf>
    <xf borderId="172" fillId="19" fontId="16" numFmtId="0" xfId="0" applyAlignment="1" applyBorder="1" applyFont="1">
      <alignment horizontal="center" vertical="center"/>
    </xf>
    <xf borderId="137" fillId="9" fontId="20" numFmtId="0" xfId="0" applyAlignment="1" applyBorder="1" applyFont="1">
      <alignment horizontal="left" shrinkToFit="0" vertical="center" wrapText="1"/>
    </xf>
    <xf borderId="173" fillId="0" fontId="2" numFmtId="0" xfId="0" applyAlignment="1" applyBorder="1" applyFont="1">
      <alignment vertical="center"/>
    </xf>
    <xf borderId="174" fillId="0" fontId="2" numFmtId="0" xfId="0" applyAlignment="1" applyBorder="1" applyFont="1">
      <alignment vertical="center"/>
    </xf>
    <xf borderId="175" fillId="0" fontId="2" numFmtId="0" xfId="0" applyAlignment="1" applyBorder="1" applyFont="1">
      <alignment vertical="center"/>
    </xf>
    <xf borderId="4" fillId="0" fontId="24" numFmtId="0" xfId="0" applyAlignment="1" applyBorder="1" applyFont="1">
      <alignment horizontal="center" vertical="center"/>
    </xf>
    <xf borderId="33" fillId="19" fontId="23" numFmtId="0" xfId="0" applyAlignment="1" applyBorder="1" applyFont="1">
      <alignment horizontal="center" vertical="center"/>
    </xf>
    <xf borderId="176" fillId="19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177" fillId="0" fontId="2" numFmtId="0" xfId="0" applyAlignment="1" applyBorder="1" applyFont="1">
      <alignment vertical="center"/>
    </xf>
    <xf borderId="178" fillId="0" fontId="2" numFmtId="0" xfId="0" applyAlignment="1" applyBorder="1" applyFont="1">
      <alignment vertical="center"/>
    </xf>
    <xf borderId="176" fillId="19" fontId="16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7" width="17.86"/>
    <col customWidth="1" min="18" max="18" width="17.57"/>
    <col customWidth="1" min="19" max="19" width="43.0"/>
    <col customWidth="1" min="20" max="26" width="8.71"/>
  </cols>
  <sheetData>
    <row r="1" ht="16.5" customHeight="1"/>
    <row r="2" ht="16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9</v>
      </c>
      <c r="K4" s="11" t="s">
        <v>10</v>
      </c>
      <c r="L4" s="13" t="s">
        <v>11</v>
      </c>
      <c r="M4" s="9" t="s">
        <v>12</v>
      </c>
      <c r="N4" s="14" t="s">
        <v>13</v>
      </c>
      <c r="O4" s="15" t="s">
        <v>14</v>
      </c>
      <c r="P4" s="16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26">
        <f t="shared" ref="N7:N11" si="1">J7+K7+L7</f>
        <v>0</v>
      </c>
      <c r="O7" s="27"/>
      <c r="P7" s="28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26">
        <f t="shared" si="1"/>
        <v>0</v>
      </c>
      <c r="O8" s="33"/>
      <c r="P8" s="3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26">
        <f t="shared" si="1"/>
        <v>0</v>
      </c>
      <c r="O9" s="39"/>
      <c r="P9" s="3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26">
        <f t="shared" si="1"/>
        <v>0</v>
      </c>
      <c r="O10" s="39"/>
      <c r="P10" s="3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26">
        <f t="shared" si="1"/>
        <v>0</v>
      </c>
      <c r="O11" s="39"/>
      <c r="P11" s="34"/>
    </row>
    <row r="12" ht="16.5" customHeight="1">
      <c r="B12" s="47" t="s">
        <v>20</v>
      </c>
      <c r="C12" s="48">
        <f t="shared" ref="C12:O12" si="2">SUM(C7:C11)</f>
        <v>0</v>
      </c>
      <c r="D12" s="49">
        <f t="shared" si="2"/>
        <v>0</v>
      </c>
      <c r="E12" s="49">
        <f t="shared" si="2"/>
        <v>0</v>
      </c>
      <c r="F12" s="49">
        <f t="shared" si="2"/>
        <v>0</v>
      </c>
      <c r="G12" s="49">
        <f t="shared" si="2"/>
        <v>0</v>
      </c>
      <c r="H12" s="48">
        <f t="shared" si="2"/>
        <v>0</v>
      </c>
      <c r="I12" s="48">
        <f t="shared" si="2"/>
        <v>0</v>
      </c>
      <c r="J12" s="50">
        <f t="shared" si="2"/>
        <v>0</v>
      </c>
      <c r="K12" s="50">
        <f t="shared" si="2"/>
        <v>0</v>
      </c>
      <c r="L12" s="51">
        <f t="shared" si="2"/>
        <v>0</v>
      </c>
      <c r="M12" s="50">
        <f t="shared" si="2"/>
        <v>0</v>
      </c>
      <c r="N12" s="50">
        <f t="shared" si="2"/>
        <v>0</v>
      </c>
      <c r="O12" s="48">
        <f t="shared" si="2"/>
        <v>0</v>
      </c>
      <c r="P12" s="52"/>
      <c r="Q12" s="53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26">
        <f t="shared" ref="N14:N18" si="3">J14+K14+L14</f>
        <v>0</v>
      </c>
      <c r="O14" s="55"/>
      <c r="P14" s="56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26">
        <f t="shared" si="3"/>
        <v>0</v>
      </c>
      <c r="O15" s="57"/>
      <c r="P15" s="34"/>
    </row>
    <row r="16" ht="16.5" customHeight="1">
      <c r="B16" s="38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26">
        <f t="shared" si="3"/>
        <v>0</v>
      </c>
      <c r="O16" s="57"/>
      <c r="P16" s="34"/>
    </row>
    <row r="17" ht="16.5" customHeight="1">
      <c r="B17" s="38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26">
        <f t="shared" si="3"/>
        <v>0</v>
      </c>
      <c r="O17" s="57"/>
      <c r="P17" s="34"/>
    </row>
    <row r="18" ht="16.5" customHeight="1">
      <c r="B18" s="4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26">
        <f t="shared" si="3"/>
        <v>0</v>
      </c>
      <c r="O18" s="57"/>
      <c r="P18" s="34"/>
    </row>
    <row r="19" ht="16.5" customHeight="1">
      <c r="B19" s="47" t="s">
        <v>20</v>
      </c>
      <c r="C19" s="48">
        <f t="shared" ref="C19:O19" si="4">SUM(C14:C18)</f>
        <v>0</v>
      </c>
      <c r="D19" s="49">
        <f t="shared" si="4"/>
        <v>0</v>
      </c>
      <c r="E19" s="49">
        <f t="shared" si="4"/>
        <v>0</v>
      </c>
      <c r="F19" s="49">
        <f t="shared" si="4"/>
        <v>0</v>
      </c>
      <c r="G19" s="49">
        <f t="shared" si="4"/>
        <v>0</v>
      </c>
      <c r="H19" s="48">
        <f t="shared" si="4"/>
        <v>0</v>
      </c>
      <c r="I19" s="48">
        <f t="shared" si="4"/>
        <v>0</v>
      </c>
      <c r="J19" s="50">
        <f t="shared" si="4"/>
        <v>0</v>
      </c>
      <c r="K19" s="50">
        <f t="shared" si="4"/>
        <v>0</v>
      </c>
      <c r="L19" s="51">
        <f t="shared" si="4"/>
        <v>0</v>
      </c>
      <c r="M19" s="50">
        <f t="shared" si="4"/>
        <v>0</v>
      </c>
      <c r="N19" s="50">
        <f t="shared" si="4"/>
        <v>0</v>
      </c>
      <c r="O19" s="48">
        <f t="shared" si="4"/>
        <v>0</v>
      </c>
      <c r="P19" s="58"/>
      <c r="Q19" s="53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v>0.0</v>
      </c>
      <c r="J21" s="25"/>
      <c r="K21" s="25"/>
      <c r="L21" s="25">
        <v>0.0</v>
      </c>
      <c r="M21" s="25"/>
      <c r="N21" s="26">
        <f t="shared" ref="N21:N25" si="5">J21+K21+L21</f>
        <v>0</v>
      </c>
      <c r="O21" s="59"/>
      <c r="P21" s="28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v>0.0</v>
      </c>
      <c r="J22" s="25"/>
      <c r="K22" s="25"/>
      <c r="L22" s="25">
        <v>0.0</v>
      </c>
      <c r="M22" s="25"/>
      <c r="N22" s="26">
        <f t="shared" si="5"/>
        <v>0</v>
      </c>
      <c r="O22" s="33"/>
      <c r="P22" s="34"/>
    </row>
    <row r="23" ht="16.5" customHeight="1">
      <c r="B23" s="38"/>
      <c r="C23" s="24">
        <v>0.0</v>
      </c>
      <c r="D23" s="24"/>
      <c r="E23" s="24"/>
      <c r="F23" s="24"/>
      <c r="G23" s="24"/>
      <c r="H23" s="24">
        <v>0.0</v>
      </c>
      <c r="I23" s="24">
        <v>0.0</v>
      </c>
      <c r="J23" s="25"/>
      <c r="K23" s="25"/>
      <c r="L23" s="25">
        <v>0.0</v>
      </c>
      <c r="M23" s="25"/>
      <c r="N23" s="26">
        <f t="shared" si="5"/>
        <v>0</v>
      </c>
      <c r="O23" s="33"/>
      <c r="P23" s="34"/>
    </row>
    <row r="24" ht="16.5" customHeight="1">
      <c r="B24" s="38"/>
      <c r="C24" s="24">
        <v>0.0</v>
      </c>
      <c r="D24" s="24"/>
      <c r="E24" s="24"/>
      <c r="F24" s="24"/>
      <c r="G24" s="24"/>
      <c r="H24" s="24">
        <v>0.0</v>
      </c>
      <c r="I24" s="24">
        <v>0.0</v>
      </c>
      <c r="J24" s="25"/>
      <c r="K24" s="25"/>
      <c r="L24" s="25">
        <v>0.0</v>
      </c>
      <c r="M24" s="25"/>
      <c r="N24" s="26">
        <f t="shared" si="5"/>
        <v>0</v>
      </c>
      <c r="O24" s="33"/>
      <c r="P24" s="34"/>
    </row>
    <row r="25" ht="16.5" customHeight="1">
      <c r="B25" s="46"/>
      <c r="C25" s="24">
        <v>0.0</v>
      </c>
      <c r="D25" s="24"/>
      <c r="E25" s="24"/>
      <c r="F25" s="24"/>
      <c r="G25" s="24"/>
      <c r="H25" s="24">
        <v>0.0</v>
      </c>
      <c r="I25" s="24">
        <v>0.0</v>
      </c>
      <c r="J25" s="25"/>
      <c r="K25" s="25"/>
      <c r="L25" s="25">
        <v>0.0</v>
      </c>
      <c r="M25" s="25"/>
      <c r="N25" s="26">
        <f t="shared" si="5"/>
        <v>0</v>
      </c>
      <c r="O25" s="33"/>
      <c r="P25" s="34"/>
      <c r="Q25" s="60"/>
    </row>
    <row r="26" ht="16.5" customHeight="1">
      <c r="B26" s="47" t="s">
        <v>20</v>
      </c>
      <c r="C26" s="48">
        <f t="shared" ref="C26:O26" si="6">SUM(C21:C25)</f>
        <v>0</v>
      </c>
      <c r="D26" s="49">
        <f t="shared" si="6"/>
        <v>0</v>
      </c>
      <c r="E26" s="49">
        <f t="shared" si="6"/>
        <v>0</v>
      </c>
      <c r="F26" s="49">
        <f t="shared" si="6"/>
        <v>0</v>
      </c>
      <c r="G26" s="49">
        <f t="shared" si="6"/>
        <v>0</v>
      </c>
      <c r="H26" s="48">
        <f t="shared" si="6"/>
        <v>0</v>
      </c>
      <c r="I26" s="48">
        <f t="shared" si="6"/>
        <v>0</v>
      </c>
      <c r="J26" s="50">
        <f t="shared" si="6"/>
        <v>0</v>
      </c>
      <c r="K26" s="50">
        <f t="shared" si="6"/>
        <v>0</v>
      </c>
      <c r="L26" s="51">
        <f t="shared" si="6"/>
        <v>0</v>
      </c>
      <c r="M26" s="50">
        <f t="shared" si="6"/>
        <v>0</v>
      </c>
      <c r="N26" s="50">
        <f t="shared" si="6"/>
        <v>0</v>
      </c>
      <c r="O26" s="48">
        <f t="shared" si="6"/>
        <v>0</v>
      </c>
      <c r="P26" s="61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60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v>0.0</v>
      </c>
      <c r="J28" s="25"/>
      <c r="K28" s="25"/>
      <c r="L28" s="25">
        <v>0.0</v>
      </c>
      <c r="M28" s="25"/>
      <c r="N28" s="26">
        <f t="shared" ref="N28:N32" si="7">J28+K28+L28</f>
        <v>0</v>
      </c>
      <c r="O28" s="59"/>
      <c r="P28" s="28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v>0.0</v>
      </c>
      <c r="J29" s="25"/>
      <c r="K29" s="25"/>
      <c r="L29" s="25">
        <v>0.0</v>
      </c>
      <c r="M29" s="25"/>
      <c r="N29" s="26">
        <f t="shared" si="7"/>
        <v>0</v>
      </c>
      <c r="O29" s="33"/>
      <c r="P29" s="34"/>
    </row>
    <row r="30" ht="16.5" customHeight="1">
      <c r="B30" s="38"/>
      <c r="C30" s="24">
        <v>0.0</v>
      </c>
      <c r="D30" s="24"/>
      <c r="E30" s="24"/>
      <c r="F30" s="24"/>
      <c r="G30" s="24"/>
      <c r="H30" s="24">
        <v>0.0</v>
      </c>
      <c r="I30" s="24">
        <v>0.0</v>
      </c>
      <c r="J30" s="25"/>
      <c r="K30" s="25"/>
      <c r="L30" s="25">
        <v>0.0</v>
      </c>
      <c r="M30" s="25"/>
      <c r="N30" s="26">
        <f t="shared" si="7"/>
        <v>0</v>
      </c>
      <c r="O30" s="33"/>
      <c r="P30" s="34"/>
    </row>
    <row r="31" ht="16.5" customHeight="1">
      <c r="B31" s="38"/>
      <c r="C31" s="24">
        <v>0.0</v>
      </c>
      <c r="D31" s="24"/>
      <c r="E31" s="24"/>
      <c r="F31" s="24"/>
      <c r="G31" s="24"/>
      <c r="H31" s="24">
        <v>0.0</v>
      </c>
      <c r="I31" s="24">
        <v>0.0</v>
      </c>
      <c r="J31" s="25"/>
      <c r="K31" s="25"/>
      <c r="L31" s="25">
        <v>0.0</v>
      </c>
      <c r="M31" s="25"/>
      <c r="N31" s="26">
        <f t="shared" si="7"/>
        <v>0</v>
      </c>
      <c r="O31" s="33"/>
      <c r="P31" s="34"/>
    </row>
    <row r="32" ht="16.5" customHeight="1">
      <c r="B32" s="46"/>
      <c r="C32" s="24">
        <v>0.0</v>
      </c>
      <c r="D32" s="24"/>
      <c r="E32" s="24"/>
      <c r="F32" s="24"/>
      <c r="G32" s="24"/>
      <c r="H32" s="24">
        <v>0.0</v>
      </c>
      <c r="I32" s="24">
        <v>0.0</v>
      </c>
      <c r="J32" s="25"/>
      <c r="K32" s="25"/>
      <c r="L32" s="25">
        <v>0.0</v>
      </c>
      <c r="M32" s="25"/>
      <c r="N32" s="26">
        <f t="shared" si="7"/>
        <v>0</v>
      </c>
      <c r="O32" s="33"/>
      <c r="P32" s="34"/>
    </row>
    <row r="33" ht="16.5" customHeight="1">
      <c r="B33" s="47" t="s">
        <v>20</v>
      </c>
      <c r="C33" s="48">
        <f t="shared" ref="C33:O33" si="8">SUM(C28:C32)</f>
        <v>0</v>
      </c>
      <c r="D33" s="49">
        <f t="shared" si="8"/>
        <v>0</v>
      </c>
      <c r="E33" s="49">
        <f t="shared" si="8"/>
        <v>0</v>
      </c>
      <c r="F33" s="49">
        <f t="shared" si="8"/>
        <v>0</v>
      </c>
      <c r="G33" s="49">
        <f t="shared" si="8"/>
        <v>0</v>
      </c>
      <c r="H33" s="48">
        <f t="shared" si="8"/>
        <v>0</v>
      </c>
      <c r="I33" s="48">
        <f t="shared" si="8"/>
        <v>0</v>
      </c>
      <c r="J33" s="50">
        <f t="shared" si="8"/>
        <v>0</v>
      </c>
      <c r="K33" s="50">
        <f t="shared" si="8"/>
        <v>0</v>
      </c>
      <c r="L33" s="51">
        <f t="shared" si="8"/>
        <v>0</v>
      </c>
      <c r="M33" s="50">
        <f t="shared" si="8"/>
        <v>0</v>
      </c>
      <c r="N33" s="50">
        <f t="shared" si="8"/>
        <v>0</v>
      </c>
      <c r="O33" s="48">
        <f t="shared" si="8"/>
        <v>0</v>
      </c>
      <c r="P33" s="61"/>
    </row>
    <row r="34" ht="16.5" customHeight="1">
      <c r="B34" s="63" t="s">
        <v>24</v>
      </c>
      <c r="C34" s="64">
        <f>SUM(C26,C33,C19, C12)</f>
        <v>0</v>
      </c>
      <c r="D34" s="64">
        <f t="shared" ref="D34:G34" si="9">D19+D26+D33+D12</f>
        <v>0</v>
      </c>
      <c r="E34" s="64">
        <f t="shared" si="9"/>
        <v>0</v>
      </c>
      <c r="F34" s="64">
        <f t="shared" si="9"/>
        <v>0</v>
      </c>
      <c r="G34" s="64">
        <f t="shared" si="9"/>
        <v>0</v>
      </c>
      <c r="H34" s="64">
        <f t="shared" ref="H34:I34" si="10">SUM(H26,H33,H19,H12)</f>
        <v>0</v>
      </c>
      <c r="I34" s="64">
        <f t="shared" si="10"/>
        <v>0</v>
      </c>
      <c r="J34" s="65">
        <f t="shared" ref="J34:N34" si="11">J19+J26+J33+J12</f>
        <v>0</v>
      </c>
      <c r="K34" s="65">
        <f t="shared" si="11"/>
        <v>0</v>
      </c>
      <c r="L34" s="66">
        <f t="shared" si="11"/>
        <v>0</v>
      </c>
      <c r="M34" s="65">
        <f t="shared" si="11"/>
        <v>0</v>
      </c>
      <c r="N34" s="65">
        <f t="shared" si="11"/>
        <v>0</v>
      </c>
      <c r="O34" s="67">
        <f>SUM(O26,O33,O19,O12)</f>
        <v>0</v>
      </c>
      <c r="P34" s="68"/>
    </row>
    <row r="35" ht="16.5" customHeight="1">
      <c r="B35" s="69"/>
      <c r="C35" s="70"/>
      <c r="J35" s="71"/>
      <c r="K35" s="71"/>
      <c r="M35" s="71"/>
      <c r="N35" s="71"/>
      <c r="P35" s="69"/>
    </row>
    <row r="36" ht="16.5" customHeight="1">
      <c r="B36" s="72"/>
      <c r="C36" s="73"/>
      <c r="D36" s="74"/>
      <c r="E36" s="75" t="s">
        <v>15</v>
      </c>
      <c r="F36" s="74"/>
      <c r="G36" s="75" t="s">
        <v>21</v>
      </c>
      <c r="H36" s="74"/>
      <c r="I36" s="75" t="s">
        <v>22</v>
      </c>
      <c r="J36" s="74"/>
      <c r="K36" s="76" t="s">
        <v>23</v>
      </c>
      <c r="L36" s="77"/>
      <c r="M36" s="73"/>
      <c r="N36" s="74"/>
      <c r="O36" s="78" t="s">
        <v>15</v>
      </c>
      <c r="P36" s="79" t="s">
        <v>21</v>
      </c>
      <c r="Q36" s="79" t="s">
        <v>22</v>
      </c>
      <c r="R36" s="80" t="s">
        <v>23</v>
      </c>
    </row>
    <row r="37" ht="16.5" customHeight="1">
      <c r="B37" s="81" t="s">
        <v>25</v>
      </c>
      <c r="C37" s="82"/>
      <c r="D37" s="83"/>
      <c r="E37" s="84"/>
      <c r="F37" s="83"/>
      <c r="G37" s="84"/>
      <c r="H37" s="83"/>
      <c r="I37" s="84"/>
      <c r="J37" s="83"/>
      <c r="K37" s="84"/>
      <c r="L37" s="85" t="s">
        <v>26</v>
      </c>
      <c r="M37" s="82"/>
      <c r="N37" s="83"/>
      <c r="O37" s="86"/>
      <c r="P37" s="86"/>
      <c r="Q37" s="86"/>
      <c r="R37" s="87"/>
    </row>
    <row r="38" ht="16.5" customHeight="1">
      <c r="B38" s="81" t="s">
        <v>27</v>
      </c>
      <c r="C38" s="82"/>
      <c r="D38" s="83"/>
      <c r="E38" s="88">
        <v>0.0</v>
      </c>
      <c r="F38" s="83"/>
      <c r="G38" s="88">
        <v>0.0</v>
      </c>
      <c r="H38" s="83"/>
      <c r="I38" s="88">
        <v>0.0</v>
      </c>
      <c r="J38" s="83"/>
      <c r="K38" s="88">
        <v>0.0</v>
      </c>
      <c r="L38" s="89" t="s">
        <v>28</v>
      </c>
      <c r="M38" s="82"/>
      <c r="N38" s="83"/>
      <c r="O38" s="90">
        <f t="shared" ref="O38:R38" si="12">SUM(O37-O39)</f>
        <v>0</v>
      </c>
      <c r="P38" s="90">
        <f t="shared" si="12"/>
        <v>0</v>
      </c>
      <c r="Q38" s="90">
        <f t="shared" si="12"/>
        <v>0</v>
      </c>
      <c r="R38" s="91">
        <f t="shared" si="12"/>
        <v>0</v>
      </c>
    </row>
    <row r="39" ht="16.5" customHeight="1">
      <c r="B39" s="81" t="s">
        <v>29</v>
      </c>
      <c r="C39" s="82"/>
      <c r="D39" s="83"/>
      <c r="E39" s="92"/>
      <c r="F39" s="83"/>
      <c r="G39" s="92"/>
      <c r="H39" s="83"/>
      <c r="I39" s="92"/>
      <c r="J39" s="83"/>
      <c r="K39" s="92"/>
      <c r="L39" s="89" t="s">
        <v>30</v>
      </c>
      <c r="M39" s="82"/>
      <c r="N39" s="83"/>
      <c r="O39" s="93">
        <f>N12</f>
        <v>0</v>
      </c>
      <c r="P39" s="93">
        <f>N19</f>
        <v>0</v>
      </c>
      <c r="Q39" s="93">
        <f t="shared" ref="Q39:R39" si="13">SUM(N26)</f>
        <v>0</v>
      </c>
      <c r="R39" s="94">
        <f t="shared" si="13"/>
        <v>0</v>
      </c>
    </row>
    <row r="40" ht="16.5" customHeight="1">
      <c r="B40" s="95" t="s">
        <v>31</v>
      </c>
      <c r="C40" s="96"/>
      <c r="D40" s="97"/>
      <c r="E40" s="98" t="str">
        <f>E38/E37</f>
        <v>#DIV/0!</v>
      </c>
      <c r="F40" s="97"/>
      <c r="G40" s="98" t="str">
        <f>G38/G37</f>
        <v>#DIV/0!</v>
      </c>
      <c r="H40" s="97"/>
      <c r="I40" s="98" t="str">
        <f>I38/I37</f>
        <v>#DIV/0!</v>
      </c>
      <c r="J40" s="97"/>
      <c r="K40" s="98" t="str">
        <f>K38/K37</f>
        <v>#DIV/0!</v>
      </c>
      <c r="L40" s="99" t="s">
        <v>32</v>
      </c>
      <c r="M40" s="96"/>
      <c r="N40" s="97"/>
      <c r="O40" s="100" t="str">
        <f t="shared" ref="O40:R40" si="14">O39/O37</f>
        <v>#DIV/0!</v>
      </c>
      <c r="P40" s="100" t="str">
        <f t="shared" si="14"/>
        <v>#DIV/0!</v>
      </c>
      <c r="Q40" s="100" t="str">
        <f t="shared" si="14"/>
        <v>#DIV/0!</v>
      </c>
      <c r="R40" s="100" t="str">
        <f t="shared" si="14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8" width="17.86"/>
    <col customWidth="1" min="19" max="19" width="43.0"/>
    <col customWidth="1" min="20" max="26" width="8.71"/>
  </cols>
  <sheetData>
    <row r="1" ht="16.5" customHeight="1"/>
    <row r="2" ht="16.5" customHeight="1">
      <c r="B2" s="1" t="s">
        <v>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34</v>
      </c>
      <c r="K4" s="11" t="s">
        <v>35</v>
      </c>
      <c r="L4" s="13" t="s">
        <v>36</v>
      </c>
      <c r="M4" s="9" t="s">
        <v>12</v>
      </c>
      <c r="N4" s="14" t="s">
        <v>13</v>
      </c>
      <c r="O4" s="15" t="s">
        <v>14</v>
      </c>
      <c r="P4" s="16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101">
        <f>'25년 12월 1주차 강습 주간보고'!N7+J7+K7+L7</f>
        <v>0</v>
      </c>
      <c r="O7" s="27"/>
      <c r="P7" s="28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101">
        <f>'25년 12월 1주차 강습 주간보고'!N8+J8+K8+L8</f>
        <v>0</v>
      </c>
      <c r="O8" s="33"/>
      <c r="P8" s="3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101">
        <f>'25년 12월 1주차 강습 주간보고'!N9+J9+K9+L9</f>
        <v>0</v>
      </c>
      <c r="O9" s="39"/>
      <c r="P9" s="3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101">
        <f>'25년 12월 1주차 강습 주간보고'!N10+J10+K10+L10</f>
        <v>0</v>
      </c>
      <c r="O10" s="39"/>
      <c r="P10" s="3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101">
        <f>'25년 12월 1주차 강습 주간보고'!N11+J11+K11+L11</f>
        <v>0</v>
      </c>
      <c r="O11" s="39"/>
      <c r="P11" s="34"/>
    </row>
    <row r="12" ht="16.5" customHeight="1">
      <c r="B12" s="47" t="s">
        <v>20</v>
      </c>
      <c r="C12" s="102">
        <f t="shared" ref="C12:O12" si="1">SUM(C7:C11)</f>
        <v>0</v>
      </c>
      <c r="D12" s="103">
        <f t="shared" si="1"/>
        <v>0</v>
      </c>
      <c r="E12" s="103">
        <f t="shared" si="1"/>
        <v>0</v>
      </c>
      <c r="F12" s="103">
        <f t="shared" si="1"/>
        <v>0</v>
      </c>
      <c r="G12" s="103">
        <f t="shared" si="1"/>
        <v>0</v>
      </c>
      <c r="H12" s="102">
        <f t="shared" si="1"/>
        <v>0</v>
      </c>
      <c r="I12" s="102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48">
        <f t="shared" si="1"/>
        <v>0</v>
      </c>
      <c r="P12" s="52"/>
      <c r="Q12" s="53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101">
        <f>'25년 12월 1주차 강습 주간보고'!N14+J14+K14+L14</f>
        <v>0</v>
      </c>
      <c r="O14" s="55"/>
      <c r="P14" s="56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101">
        <f>'25년 12월 1주차 강습 주간보고'!N15+J15+K15+L15</f>
        <v>0</v>
      </c>
      <c r="O15" s="57"/>
      <c r="P15" s="34"/>
    </row>
    <row r="16" ht="16.5" customHeight="1">
      <c r="B16" s="38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101">
        <f>'25년 12월 1주차 강습 주간보고'!N16+J16+K16+L16</f>
        <v>0</v>
      </c>
      <c r="O16" s="57"/>
      <c r="P16" s="34"/>
    </row>
    <row r="17" ht="16.5" customHeight="1">
      <c r="B17" s="38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101">
        <f>'25년 12월 1주차 강습 주간보고'!N17+J17+K17+L17</f>
        <v>0</v>
      </c>
      <c r="O17" s="57"/>
      <c r="P17" s="34"/>
    </row>
    <row r="18" ht="16.5" customHeight="1">
      <c r="B18" s="4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101">
        <f>'25년 12월 1주차 강습 주간보고'!N18+J18+K18+L18</f>
        <v>0</v>
      </c>
      <c r="O18" s="57"/>
      <c r="P18" s="34"/>
    </row>
    <row r="19" ht="16.5" customHeight="1">
      <c r="B19" s="47" t="s">
        <v>20</v>
      </c>
      <c r="C19" s="102">
        <f t="shared" ref="C19:O19" si="2">SUM(C14:C18)</f>
        <v>0</v>
      </c>
      <c r="D19" s="103">
        <f t="shared" si="2"/>
        <v>0</v>
      </c>
      <c r="E19" s="103">
        <f t="shared" si="2"/>
        <v>0</v>
      </c>
      <c r="F19" s="103">
        <f t="shared" si="2"/>
        <v>0</v>
      </c>
      <c r="G19" s="103">
        <f t="shared" si="2"/>
        <v>0</v>
      </c>
      <c r="H19" s="102">
        <f t="shared" si="2"/>
        <v>0</v>
      </c>
      <c r="I19" s="102">
        <f t="shared" si="2"/>
        <v>0</v>
      </c>
      <c r="J19" s="51">
        <f t="shared" si="2"/>
        <v>0</v>
      </c>
      <c r="K19" s="51">
        <f t="shared" si="2"/>
        <v>0</v>
      </c>
      <c r="L19" s="51">
        <f t="shared" si="2"/>
        <v>0</v>
      </c>
      <c r="M19" s="51">
        <f t="shared" si="2"/>
        <v>0</v>
      </c>
      <c r="N19" s="51">
        <f t="shared" si="2"/>
        <v>0</v>
      </c>
      <c r="O19" s="48">
        <f t="shared" si="2"/>
        <v>0</v>
      </c>
      <c r="P19" s="58"/>
      <c r="Q19" s="53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v>0.0</v>
      </c>
      <c r="J21" s="25"/>
      <c r="K21" s="25"/>
      <c r="L21" s="25">
        <v>0.0</v>
      </c>
      <c r="M21" s="25"/>
      <c r="N21" s="101">
        <f>'25년 12월 1주차 강습 주간보고'!N21+J21+K21+L21</f>
        <v>0</v>
      </c>
      <c r="O21" s="59"/>
      <c r="P21" s="28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v>0.0</v>
      </c>
      <c r="J22" s="25"/>
      <c r="K22" s="25"/>
      <c r="L22" s="25">
        <v>0.0</v>
      </c>
      <c r="M22" s="25"/>
      <c r="N22" s="101">
        <f>'25년 12월 1주차 강습 주간보고'!N22+J22+K22+L22</f>
        <v>0</v>
      </c>
      <c r="O22" s="33"/>
      <c r="P22" s="34"/>
    </row>
    <row r="23" ht="16.5" customHeight="1">
      <c r="B23" s="38"/>
      <c r="C23" s="24">
        <v>0.0</v>
      </c>
      <c r="D23" s="24"/>
      <c r="E23" s="24"/>
      <c r="F23" s="24"/>
      <c r="G23" s="24"/>
      <c r="H23" s="24">
        <v>0.0</v>
      </c>
      <c r="I23" s="24">
        <v>0.0</v>
      </c>
      <c r="J23" s="25"/>
      <c r="K23" s="25"/>
      <c r="L23" s="25">
        <v>0.0</v>
      </c>
      <c r="M23" s="25"/>
      <c r="N23" s="101">
        <f>'25년 12월 1주차 강습 주간보고'!N23+J23+K23+L23</f>
        <v>0</v>
      </c>
      <c r="O23" s="33"/>
      <c r="P23" s="34"/>
    </row>
    <row r="24" ht="16.5" customHeight="1">
      <c r="B24" s="38"/>
      <c r="C24" s="24">
        <v>0.0</v>
      </c>
      <c r="D24" s="24"/>
      <c r="E24" s="24"/>
      <c r="F24" s="24"/>
      <c r="G24" s="24"/>
      <c r="H24" s="24">
        <v>0.0</v>
      </c>
      <c r="I24" s="24">
        <v>0.0</v>
      </c>
      <c r="J24" s="25"/>
      <c r="K24" s="25"/>
      <c r="L24" s="25">
        <v>0.0</v>
      </c>
      <c r="M24" s="25"/>
      <c r="N24" s="101">
        <f>'25년 12월 1주차 강습 주간보고'!N24+J24+K24+L24</f>
        <v>0</v>
      </c>
      <c r="O24" s="33"/>
      <c r="P24" s="34"/>
    </row>
    <row r="25" ht="16.5" customHeight="1">
      <c r="B25" s="46"/>
      <c r="C25" s="24">
        <v>0.0</v>
      </c>
      <c r="D25" s="24"/>
      <c r="E25" s="24"/>
      <c r="F25" s="24"/>
      <c r="G25" s="24"/>
      <c r="H25" s="24">
        <v>0.0</v>
      </c>
      <c r="I25" s="24">
        <v>0.0</v>
      </c>
      <c r="J25" s="25"/>
      <c r="K25" s="25"/>
      <c r="L25" s="25">
        <v>0.0</v>
      </c>
      <c r="M25" s="25"/>
      <c r="N25" s="101">
        <f>'25년 12월 1주차 강습 주간보고'!N25+J25+K25+L25</f>
        <v>0</v>
      </c>
      <c r="O25" s="33"/>
      <c r="P25" s="34"/>
      <c r="Q25" s="60"/>
    </row>
    <row r="26" ht="16.5" customHeight="1">
      <c r="B26" s="47" t="s">
        <v>20</v>
      </c>
      <c r="C26" s="102">
        <f t="shared" ref="C26:H26" si="3">SUM(C21:C25)</f>
        <v>0</v>
      </c>
      <c r="D26" s="103">
        <f t="shared" si="3"/>
        <v>0</v>
      </c>
      <c r="E26" s="103">
        <f t="shared" si="3"/>
        <v>0</v>
      </c>
      <c r="F26" s="103">
        <f t="shared" si="3"/>
        <v>0</v>
      </c>
      <c r="G26" s="103">
        <f t="shared" si="3"/>
        <v>0</v>
      </c>
      <c r="H26" s="102">
        <f t="shared" si="3"/>
        <v>0</v>
      </c>
      <c r="I26" s="102">
        <f>SUM(C26,F26,G26,H26)</f>
        <v>0</v>
      </c>
      <c r="J26" s="51">
        <f t="shared" ref="J26:O26" si="4">SUM(J21:J25)</f>
        <v>0</v>
      </c>
      <c r="K26" s="51">
        <f t="shared" si="4"/>
        <v>0</v>
      </c>
      <c r="L26" s="51">
        <f t="shared" si="4"/>
        <v>0</v>
      </c>
      <c r="M26" s="51">
        <f t="shared" si="4"/>
        <v>0</v>
      </c>
      <c r="N26" s="51">
        <f t="shared" si="4"/>
        <v>0</v>
      </c>
      <c r="O26" s="48">
        <f t="shared" si="4"/>
        <v>0</v>
      </c>
      <c r="P26" s="61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60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v>0.0</v>
      </c>
      <c r="J28" s="25"/>
      <c r="K28" s="25"/>
      <c r="L28" s="25">
        <v>0.0</v>
      </c>
      <c r="M28" s="25"/>
      <c r="N28" s="101">
        <f>'25년 12월 1주차 강습 주간보고'!N28+J28+K28+L28</f>
        <v>0</v>
      </c>
      <c r="O28" s="59"/>
      <c r="P28" s="28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v>0.0</v>
      </c>
      <c r="J29" s="25"/>
      <c r="K29" s="25"/>
      <c r="L29" s="25">
        <v>0.0</v>
      </c>
      <c r="M29" s="25"/>
      <c r="N29" s="101">
        <f>'25년 12월 1주차 강습 주간보고'!N29+J29+K29+L29</f>
        <v>0</v>
      </c>
      <c r="O29" s="33"/>
      <c r="P29" s="34"/>
    </row>
    <row r="30" ht="16.5" customHeight="1">
      <c r="B30" s="38"/>
      <c r="C30" s="24">
        <v>0.0</v>
      </c>
      <c r="D30" s="24"/>
      <c r="E30" s="24"/>
      <c r="F30" s="24"/>
      <c r="G30" s="24"/>
      <c r="H30" s="24">
        <v>0.0</v>
      </c>
      <c r="I30" s="24">
        <v>0.0</v>
      </c>
      <c r="J30" s="25"/>
      <c r="K30" s="25"/>
      <c r="L30" s="25">
        <v>0.0</v>
      </c>
      <c r="M30" s="25"/>
      <c r="N30" s="101">
        <f>'25년 12월 1주차 강습 주간보고'!N30+J30+K30+L30</f>
        <v>0</v>
      </c>
      <c r="O30" s="33"/>
      <c r="P30" s="34"/>
    </row>
    <row r="31" ht="16.5" customHeight="1">
      <c r="B31" s="38"/>
      <c r="C31" s="24">
        <v>0.0</v>
      </c>
      <c r="D31" s="24"/>
      <c r="E31" s="24"/>
      <c r="F31" s="24"/>
      <c r="G31" s="24"/>
      <c r="H31" s="24">
        <v>0.0</v>
      </c>
      <c r="I31" s="24">
        <v>0.0</v>
      </c>
      <c r="J31" s="25"/>
      <c r="K31" s="25"/>
      <c r="L31" s="25">
        <v>0.0</v>
      </c>
      <c r="M31" s="25"/>
      <c r="N31" s="101">
        <f>'25년 12월 1주차 강습 주간보고'!N31+J31+K31+L31</f>
        <v>0</v>
      </c>
      <c r="O31" s="33"/>
      <c r="P31" s="34"/>
    </row>
    <row r="32" ht="16.5" customHeight="1">
      <c r="B32" s="46"/>
      <c r="C32" s="24">
        <v>0.0</v>
      </c>
      <c r="D32" s="24"/>
      <c r="E32" s="24"/>
      <c r="F32" s="24"/>
      <c r="G32" s="24"/>
      <c r="H32" s="24">
        <v>0.0</v>
      </c>
      <c r="I32" s="24">
        <v>0.0</v>
      </c>
      <c r="J32" s="25"/>
      <c r="K32" s="25"/>
      <c r="L32" s="25">
        <v>0.0</v>
      </c>
      <c r="M32" s="25"/>
      <c r="N32" s="101">
        <f>'25년 12월 1주차 강습 주간보고'!N32+J32+K32+L32</f>
        <v>0</v>
      </c>
      <c r="O32" s="33"/>
      <c r="P32" s="34"/>
    </row>
    <row r="33" ht="16.5" customHeight="1">
      <c r="B33" s="47" t="s">
        <v>20</v>
      </c>
      <c r="C33" s="102">
        <f t="shared" ref="C33:H33" si="5">SUM(C28:C32)</f>
        <v>0</v>
      </c>
      <c r="D33" s="103">
        <f t="shared" si="5"/>
        <v>0</v>
      </c>
      <c r="E33" s="103">
        <f t="shared" si="5"/>
        <v>0</v>
      </c>
      <c r="F33" s="103">
        <f t="shared" si="5"/>
        <v>0</v>
      </c>
      <c r="G33" s="103">
        <f t="shared" si="5"/>
        <v>0</v>
      </c>
      <c r="H33" s="102">
        <f t="shared" si="5"/>
        <v>0</v>
      </c>
      <c r="I33" s="102">
        <f>SUM(C33,F33,G33,H33)</f>
        <v>0</v>
      </c>
      <c r="J33" s="51">
        <f t="shared" ref="J33:O33" si="6">SUM(J28:J32)</f>
        <v>0</v>
      </c>
      <c r="K33" s="51">
        <f t="shared" si="6"/>
        <v>0</v>
      </c>
      <c r="L33" s="51">
        <f t="shared" si="6"/>
        <v>0</v>
      </c>
      <c r="M33" s="51">
        <f t="shared" si="6"/>
        <v>0</v>
      </c>
      <c r="N33" s="51">
        <f t="shared" si="6"/>
        <v>0</v>
      </c>
      <c r="O33" s="48">
        <f t="shared" si="6"/>
        <v>0</v>
      </c>
      <c r="P33" s="61"/>
    </row>
    <row r="34" ht="16.5" customHeight="1">
      <c r="B34" s="63" t="s">
        <v>24</v>
      </c>
      <c r="C34" s="64">
        <f>SUM(C26,C33,C19, C12)</f>
        <v>0</v>
      </c>
      <c r="D34" s="64">
        <f t="shared" ref="D34:G34" si="7">D19+D26+D33+D12</f>
        <v>0</v>
      </c>
      <c r="E34" s="64">
        <f t="shared" si="7"/>
        <v>0</v>
      </c>
      <c r="F34" s="64">
        <f t="shared" si="7"/>
        <v>0</v>
      </c>
      <c r="G34" s="64">
        <f t="shared" si="7"/>
        <v>0</v>
      </c>
      <c r="H34" s="64">
        <f t="shared" ref="H34:I34" si="8">SUM(H26,H33,H19,H12)</f>
        <v>0</v>
      </c>
      <c r="I34" s="64">
        <f t="shared" si="8"/>
        <v>0</v>
      </c>
      <c r="J34" s="66">
        <f t="shared" ref="J34:N34" si="9">J19+J26+J33+J12</f>
        <v>0</v>
      </c>
      <c r="K34" s="66">
        <f t="shared" si="9"/>
        <v>0</v>
      </c>
      <c r="L34" s="66">
        <f t="shared" si="9"/>
        <v>0</v>
      </c>
      <c r="M34" s="66">
        <f t="shared" si="9"/>
        <v>0</v>
      </c>
      <c r="N34" s="66">
        <f t="shared" si="9"/>
        <v>0</v>
      </c>
      <c r="O34" s="67">
        <f>SUM(O26,O33,O19,O12)</f>
        <v>0</v>
      </c>
      <c r="P34" s="68"/>
    </row>
    <row r="35" ht="16.5" customHeight="1">
      <c r="B35" s="69"/>
      <c r="C35" s="70"/>
      <c r="J35" s="71"/>
      <c r="K35" s="71"/>
      <c r="M35" s="71"/>
      <c r="N35" s="71"/>
      <c r="P35" s="69"/>
    </row>
    <row r="36" ht="16.5" customHeight="1">
      <c r="B36" s="72"/>
      <c r="C36" s="73"/>
      <c r="D36" s="74"/>
      <c r="E36" s="75" t="s">
        <v>15</v>
      </c>
      <c r="F36" s="74"/>
      <c r="G36" s="75" t="s">
        <v>21</v>
      </c>
      <c r="H36" s="74"/>
      <c r="I36" s="75" t="s">
        <v>22</v>
      </c>
      <c r="J36" s="74"/>
      <c r="K36" s="76" t="s">
        <v>23</v>
      </c>
      <c r="L36" s="77"/>
      <c r="M36" s="73"/>
      <c r="N36" s="74"/>
      <c r="O36" s="78" t="s">
        <v>15</v>
      </c>
      <c r="P36" s="79" t="s">
        <v>21</v>
      </c>
      <c r="Q36" s="79" t="s">
        <v>22</v>
      </c>
      <c r="R36" s="80" t="s">
        <v>23</v>
      </c>
    </row>
    <row r="37" ht="16.5" customHeight="1">
      <c r="B37" s="81" t="s">
        <v>25</v>
      </c>
      <c r="C37" s="82"/>
      <c r="D37" s="83"/>
      <c r="E37" s="84"/>
      <c r="F37" s="83"/>
      <c r="G37" s="84"/>
      <c r="H37" s="83"/>
      <c r="I37" s="84"/>
      <c r="J37" s="83"/>
      <c r="K37" s="84"/>
      <c r="L37" s="85" t="s">
        <v>26</v>
      </c>
      <c r="M37" s="82"/>
      <c r="N37" s="83"/>
      <c r="O37" s="86"/>
      <c r="P37" s="86"/>
      <c r="Q37" s="86"/>
      <c r="R37" s="87"/>
    </row>
    <row r="38" ht="16.5" customHeight="1">
      <c r="B38" s="81" t="s">
        <v>27</v>
      </c>
      <c r="C38" s="82"/>
      <c r="D38" s="83"/>
      <c r="E38" s="88">
        <v>0.0</v>
      </c>
      <c r="F38" s="83"/>
      <c r="G38" s="88">
        <v>0.0</v>
      </c>
      <c r="H38" s="83"/>
      <c r="I38" s="88">
        <v>0.0</v>
      </c>
      <c r="J38" s="83"/>
      <c r="K38" s="88">
        <v>0.0</v>
      </c>
      <c r="L38" s="89" t="s">
        <v>28</v>
      </c>
      <c r="M38" s="82"/>
      <c r="N38" s="83"/>
      <c r="O38" s="90">
        <f t="shared" ref="O38:R38" si="10">SUM(O37-O39)</f>
        <v>0</v>
      </c>
      <c r="P38" s="90">
        <f t="shared" si="10"/>
        <v>0</v>
      </c>
      <c r="Q38" s="90">
        <f t="shared" si="10"/>
        <v>0</v>
      </c>
      <c r="R38" s="91">
        <f t="shared" si="10"/>
        <v>0</v>
      </c>
    </row>
    <row r="39" ht="16.5" customHeight="1">
      <c r="B39" s="81" t="s">
        <v>29</v>
      </c>
      <c r="C39" s="82"/>
      <c r="D39" s="83"/>
      <c r="E39" s="92"/>
      <c r="F39" s="83"/>
      <c r="G39" s="92"/>
      <c r="H39" s="83"/>
      <c r="I39" s="92"/>
      <c r="J39" s="83"/>
      <c r="K39" s="92"/>
      <c r="L39" s="89" t="s">
        <v>30</v>
      </c>
      <c r="M39" s="82"/>
      <c r="N39" s="83"/>
      <c r="O39" s="93">
        <f>N12</f>
        <v>0</v>
      </c>
      <c r="P39" s="93">
        <f>N19</f>
        <v>0</v>
      </c>
      <c r="Q39" s="93">
        <f t="shared" ref="Q39:R39" si="11">SUM(N26)</f>
        <v>0</v>
      </c>
      <c r="R39" s="94">
        <f t="shared" si="11"/>
        <v>0</v>
      </c>
    </row>
    <row r="40" ht="16.5" customHeight="1">
      <c r="B40" s="95" t="s">
        <v>31</v>
      </c>
      <c r="C40" s="96"/>
      <c r="D40" s="97"/>
      <c r="E40" s="98" t="str">
        <f>E38/E37</f>
        <v>#DIV/0!</v>
      </c>
      <c r="F40" s="97"/>
      <c r="G40" s="98" t="str">
        <f>G38/G37</f>
        <v>#DIV/0!</v>
      </c>
      <c r="H40" s="97"/>
      <c r="I40" s="98" t="str">
        <f>I38/I37</f>
        <v>#DIV/0!</v>
      </c>
      <c r="J40" s="97"/>
      <c r="K40" s="98" t="str">
        <f>K38/K37</f>
        <v>#DIV/0!</v>
      </c>
      <c r="L40" s="99" t="s">
        <v>32</v>
      </c>
      <c r="M40" s="96"/>
      <c r="N40" s="97"/>
      <c r="O40" s="100" t="str">
        <f t="shared" ref="O40:R40" si="12">O39/O37</f>
        <v>#DIV/0!</v>
      </c>
      <c r="P40" s="100" t="str">
        <f t="shared" si="12"/>
        <v>#DIV/0!</v>
      </c>
      <c r="Q40" s="100" t="str">
        <f t="shared" si="12"/>
        <v>#DIV/0!</v>
      </c>
      <c r="R40" s="100" t="str">
        <f t="shared" si="12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8" width="17.86"/>
    <col customWidth="1" min="19" max="19" width="43.0"/>
    <col customWidth="1" min="20" max="26" width="8.71"/>
  </cols>
  <sheetData>
    <row r="1" ht="16.5" customHeight="1"/>
    <row r="2" ht="16.5" customHeight="1">
      <c r="B2" s="1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38</v>
      </c>
      <c r="K4" s="11" t="s">
        <v>39</v>
      </c>
      <c r="L4" s="13" t="s">
        <v>40</v>
      </c>
      <c r="M4" s="9" t="s">
        <v>12</v>
      </c>
      <c r="N4" s="14" t="s">
        <v>13</v>
      </c>
      <c r="O4" s="15" t="s">
        <v>14</v>
      </c>
      <c r="P4" s="16"/>
      <c r="Q4" s="104"/>
      <c r="R4" s="104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04"/>
      <c r="R5" s="104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  <c r="Q6" s="104"/>
      <c r="R6" s="104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101">
        <f>'25년 12월 2주차 강습 주간보고'!N7+J7+K7+L7</f>
        <v>0</v>
      </c>
      <c r="O7" s="27"/>
      <c r="P7" s="28"/>
      <c r="Q7" s="104"/>
      <c r="R7" s="104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101">
        <f>'25년 12월 2주차 강습 주간보고'!N8+J8+K8+L8</f>
        <v>0</v>
      </c>
      <c r="O8" s="33"/>
      <c r="P8" s="34"/>
      <c r="Q8" s="104"/>
      <c r="R8" s="10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101">
        <f>'25년 12월 2주차 강습 주간보고'!N9+J9+K9+L9</f>
        <v>0</v>
      </c>
      <c r="O9" s="39"/>
      <c r="P9" s="34"/>
      <c r="Q9" s="104"/>
      <c r="R9" s="10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101">
        <f>'25년 12월 2주차 강습 주간보고'!N10+J10+K10+L10</f>
        <v>0</v>
      </c>
      <c r="O10" s="39"/>
      <c r="P10" s="34"/>
      <c r="Q10" s="104"/>
      <c r="R10" s="10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101">
        <f>'25년 12월 2주차 강습 주간보고'!N11+J11+K11+L11</f>
        <v>0</v>
      </c>
      <c r="O11" s="39"/>
      <c r="P11" s="34"/>
      <c r="Q11" s="104"/>
      <c r="R11" s="104"/>
    </row>
    <row r="12" ht="16.5" customHeight="1">
      <c r="B12" s="47" t="s">
        <v>20</v>
      </c>
      <c r="C12" s="102">
        <f t="shared" ref="C12:O12" si="1">SUM(C7:C11)</f>
        <v>0</v>
      </c>
      <c r="D12" s="103">
        <f t="shared" si="1"/>
        <v>0</v>
      </c>
      <c r="E12" s="103">
        <f t="shared" si="1"/>
        <v>0</v>
      </c>
      <c r="F12" s="103">
        <f t="shared" si="1"/>
        <v>0</v>
      </c>
      <c r="G12" s="103">
        <f t="shared" si="1"/>
        <v>0</v>
      </c>
      <c r="H12" s="102">
        <f t="shared" si="1"/>
        <v>0</v>
      </c>
      <c r="I12" s="102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48">
        <f t="shared" si="1"/>
        <v>0</v>
      </c>
      <c r="P12" s="52"/>
      <c r="Q12" s="105"/>
      <c r="R12" s="104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  <c r="Q13" s="104"/>
      <c r="R13" s="104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101">
        <f>'25년 12월 2주차 강습 주간보고'!N14+J14+K14+L14</f>
        <v>0</v>
      </c>
      <c r="O14" s="55"/>
      <c r="P14" s="56"/>
      <c r="Q14" s="104"/>
      <c r="R14" s="104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101">
        <f>'25년 12월 2주차 강습 주간보고'!N15+J15+K15+L15</f>
        <v>0</v>
      </c>
      <c r="O15" s="57"/>
      <c r="P15" s="34"/>
      <c r="Q15" s="104"/>
      <c r="R15" s="104"/>
    </row>
    <row r="16" ht="16.5" customHeight="1">
      <c r="B16" s="32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101">
        <f>'25년 12월 2주차 강습 주간보고'!N16+J16+K16+L16</f>
        <v>0</v>
      </c>
      <c r="O16" s="57"/>
      <c r="P16" s="34"/>
      <c r="Q16" s="104"/>
      <c r="R16" s="104"/>
    </row>
    <row r="17" ht="16.5" customHeight="1">
      <c r="B17" s="32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101">
        <f>'25년 12월 2주차 강습 주간보고'!N17+J17+K17+L17</f>
        <v>0</v>
      </c>
      <c r="O17" s="57"/>
      <c r="P17" s="34"/>
      <c r="Q17" s="104"/>
      <c r="R17" s="104"/>
    </row>
    <row r="18" ht="16.5" customHeight="1">
      <c r="B18" s="10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101">
        <f>'25년 12월 2주차 강습 주간보고'!N18+J18+K18+L18</f>
        <v>0</v>
      </c>
      <c r="O18" s="57"/>
      <c r="P18" s="34"/>
      <c r="Q18" s="104"/>
      <c r="R18" s="104"/>
    </row>
    <row r="19" ht="16.5" customHeight="1">
      <c r="B19" s="47" t="s">
        <v>20</v>
      </c>
      <c r="C19" s="102">
        <f t="shared" ref="C19:O19" si="2">SUM(C14:C18)</f>
        <v>0</v>
      </c>
      <c r="D19" s="103">
        <f t="shared" si="2"/>
        <v>0</v>
      </c>
      <c r="E19" s="103">
        <f t="shared" si="2"/>
        <v>0</v>
      </c>
      <c r="F19" s="103">
        <f t="shared" si="2"/>
        <v>0</v>
      </c>
      <c r="G19" s="103">
        <f t="shared" si="2"/>
        <v>0</v>
      </c>
      <c r="H19" s="102">
        <f t="shared" si="2"/>
        <v>0</v>
      </c>
      <c r="I19" s="102">
        <f t="shared" si="2"/>
        <v>0</v>
      </c>
      <c r="J19" s="51">
        <f t="shared" si="2"/>
        <v>0</v>
      </c>
      <c r="K19" s="51">
        <f t="shared" si="2"/>
        <v>0</v>
      </c>
      <c r="L19" s="51">
        <f t="shared" si="2"/>
        <v>0</v>
      </c>
      <c r="M19" s="51">
        <f t="shared" si="2"/>
        <v>0</v>
      </c>
      <c r="N19" s="51">
        <f t="shared" si="2"/>
        <v>0</v>
      </c>
      <c r="O19" s="48">
        <f t="shared" si="2"/>
        <v>0</v>
      </c>
      <c r="P19" s="58"/>
      <c r="Q19" s="105"/>
      <c r="R19" s="104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104"/>
      <c r="R20" s="104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f t="shared" ref="I21:I26" si="3">SUM(C21,F21,G21,H21)</f>
        <v>0</v>
      </c>
      <c r="J21" s="25"/>
      <c r="K21" s="25"/>
      <c r="L21" s="25">
        <v>0.0</v>
      </c>
      <c r="M21" s="25"/>
      <c r="N21" s="101">
        <f>'25년 12월 2주차 강습 주간보고'!N21+J21+K21+L21</f>
        <v>0</v>
      </c>
      <c r="O21" s="59"/>
      <c r="P21" s="28"/>
      <c r="Q21" s="104"/>
      <c r="R21" s="104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f t="shared" si="3"/>
        <v>0</v>
      </c>
      <c r="J22" s="25"/>
      <c r="K22" s="25"/>
      <c r="L22" s="25">
        <v>0.0</v>
      </c>
      <c r="M22" s="25"/>
      <c r="N22" s="101">
        <f>'25년 12월 2주차 강습 주간보고'!N22+J22+K22+L22</f>
        <v>0</v>
      </c>
      <c r="O22" s="33"/>
      <c r="P22" s="34"/>
      <c r="Q22" s="104"/>
      <c r="R22" s="104"/>
    </row>
    <row r="23" ht="16.5" customHeight="1">
      <c r="B23" s="106"/>
      <c r="C23" s="24">
        <v>0.0</v>
      </c>
      <c r="D23" s="24"/>
      <c r="E23" s="24"/>
      <c r="F23" s="24"/>
      <c r="G23" s="24"/>
      <c r="H23" s="24">
        <v>0.0</v>
      </c>
      <c r="I23" s="24">
        <f t="shared" si="3"/>
        <v>0</v>
      </c>
      <c r="J23" s="25"/>
      <c r="K23" s="25"/>
      <c r="L23" s="25">
        <v>0.0</v>
      </c>
      <c r="M23" s="25"/>
      <c r="N23" s="101">
        <f>'25년 12월 2주차 강습 주간보고'!N23+J23+K23+L23</f>
        <v>0</v>
      </c>
      <c r="O23" s="33"/>
      <c r="P23" s="34"/>
      <c r="Q23" s="104"/>
      <c r="R23" s="104"/>
    </row>
    <row r="24" ht="16.5" customHeight="1">
      <c r="B24" s="106"/>
      <c r="C24" s="24">
        <v>0.0</v>
      </c>
      <c r="D24" s="24"/>
      <c r="E24" s="24"/>
      <c r="F24" s="24"/>
      <c r="G24" s="24"/>
      <c r="H24" s="24">
        <v>0.0</v>
      </c>
      <c r="I24" s="24">
        <f t="shared" si="3"/>
        <v>0</v>
      </c>
      <c r="J24" s="25"/>
      <c r="K24" s="25"/>
      <c r="L24" s="25">
        <v>0.0</v>
      </c>
      <c r="M24" s="25"/>
      <c r="N24" s="101">
        <f>'25년 12월 2주차 강습 주간보고'!N24+J24+K24+L24</f>
        <v>0</v>
      </c>
      <c r="O24" s="33"/>
      <c r="P24" s="34"/>
      <c r="Q24" s="104"/>
      <c r="R24" s="104"/>
    </row>
    <row r="25" ht="16.5" customHeight="1">
      <c r="B25" s="106"/>
      <c r="C25" s="24">
        <v>0.0</v>
      </c>
      <c r="D25" s="24"/>
      <c r="E25" s="24"/>
      <c r="F25" s="24"/>
      <c r="G25" s="24"/>
      <c r="H25" s="24">
        <v>0.0</v>
      </c>
      <c r="I25" s="24">
        <f t="shared" si="3"/>
        <v>0</v>
      </c>
      <c r="J25" s="25"/>
      <c r="K25" s="25"/>
      <c r="L25" s="25">
        <v>0.0</v>
      </c>
      <c r="M25" s="25"/>
      <c r="N25" s="101">
        <f>'25년 12월 2주차 강습 주간보고'!N25+J25+K25+L25</f>
        <v>0</v>
      </c>
      <c r="O25" s="33"/>
      <c r="P25" s="34"/>
      <c r="Q25" s="107"/>
      <c r="R25" s="104"/>
    </row>
    <row r="26" ht="16.5" customHeight="1">
      <c r="B26" s="47" t="s">
        <v>20</v>
      </c>
      <c r="C26" s="102">
        <f t="shared" ref="C26:H26" si="4">SUM(C21:C25)</f>
        <v>0</v>
      </c>
      <c r="D26" s="103">
        <f t="shared" si="4"/>
        <v>0</v>
      </c>
      <c r="E26" s="103">
        <f t="shared" si="4"/>
        <v>0</v>
      </c>
      <c r="F26" s="103">
        <f t="shared" si="4"/>
        <v>0</v>
      </c>
      <c r="G26" s="103">
        <f t="shared" si="4"/>
        <v>0</v>
      </c>
      <c r="H26" s="102">
        <f t="shared" si="4"/>
        <v>0</v>
      </c>
      <c r="I26" s="102">
        <f t="shared" si="3"/>
        <v>0</v>
      </c>
      <c r="J26" s="51">
        <f t="shared" ref="J26:O26" si="5">SUM(J21:J25)</f>
        <v>0</v>
      </c>
      <c r="K26" s="51">
        <f t="shared" si="5"/>
        <v>0</v>
      </c>
      <c r="L26" s="51">
        <f t="shared" si="5"/>
        <v>0</v>
      </c>
      <c r="M26" s="51">
        <f t="shared" si="5"/>
        <v>0</v>
      </c>
      <c r="N26" s="51">
        <f t="shared" si="5"/>
        <v>0</v>
      </c>
      <c r="O26" s="48">
        <f t="shared" si="5"/>
        <v>0</v>
      </c>
      <c r="P26" s="61"/>
      <c r="Q26" s="104"/>
      <c r="R26" s="104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107"/>
      <c r="R27" s="104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f t="shared" ref="I28:I33" si="6">SUM(C28,F28,G28,H28)</f>
        <v>0</v>
      </c>
      <c r="J28" s="25"/>
      <c r="K28" s="25"/>
      <c r="L28" s="25">
        <v>0.0</v>
      </c>
      <c r="M28" s="25"/>
      <c r="N28" s="101">
        <f>'25년 12월 2주차 강습 주간보고'!N28+J28+K28+L28</f>
        <v>0</v>
      </c>
      <c r="O28" s="59"/>
      <c r="P28" s="28"/>
      <c r="Q28" s="104"/>
      <c r="R28" s="104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f t="shared" si="6"/>
        <v>0</v>
      </c>
      <c r="J29" s="25"/>
      <c r="K29" s="25"/>
      <c r="L29" s="25">
        <v>0.0</v>
      </c>
      <c r="M29" s="25"/>
      <c r="N29" s="101">
        <f>'25년 12월 2주차 강습 주간보고'!N29+J29+K29+L29</f>
        <v>0</v>
      </c>
      <c r="O29" s="33"/>
      <c r="P29" s="34"/>
      <c r="Q29" s="104"/>
      <c r="R29" s="104"/>
    </row>
    <row r="30" ht="16.5" customHeight="1">
      <c r="B30" s="106"/>
      <c r="C30" s="24">
        <v>0.0</v>
      </c>
      <c r="D30" s="24"/>
      <c r="E30" s="24"/>
      <c r="F30" s="24"/>
      <c r="G30" s="24"/>
      <c r="H30" s="24">
        <v>0.0</v>
      </c>
      <c r="I30" s="24">
        <f t="shared" si="6"/>
        <v>0</v>
      </c>
      <c r="J30" s="25"/>
      <c r="K30" s="25"/>
      <c r="L30" s="25">
        <v>0.0</v>
      </c>
      <c r="M30" s="25"/>
      <c r="N30" s="101">
        <f>'25년 12월 2주차 강습 주간보고'!N30+J30+K30+L30</f>
        <v>0</v>
      </c>
      <c r="O30" s="33"/>
      <c r="P30" s="34"/>
      <c r="Q30" s="104"/>
      <c r="R30" s="104"/>
    </row>
    <row r="31" ht="16.5" customHeight="1">
      <c r="B31" s="106"/>
      <c r="C31" s="24">
        <v>0.0</v>
      </c>
      <c r="D31" s="24"/>
      <c r="E31" s="24"/>
      <c r="F31" s="24"/>
      <c r="G31" s="24"/>
      <c r="H31" s="24">
        <v>0.0</v>
      </c>
      <c r="I31" s="24">
        <f t="shared" si="6"/>
        <v>0</v>
      </c>
      <c r="J31" s="25"/>
      <c r="K31" s="25"/>
      <c r="L31" s="25">
        <v>0.0</v>
      </c>
      <c r="M31" s="25"/>
      <c r="N31" s="101">
        <f>'25년 12월 2주차 강습 주간보고'!N31+J31+K31+L31</f>
        <v>0</v>
      </c>
      <c r="O31" s="33"/>
      <c r="P31" s="34"/>
      <c r="Q31" s="104"/>
      <c r="R31" s="104"/>
    </row>
    <row r="32" ht="16.5" customHeight="1">
      <c r="B32" s="106"/>
      <c r="C32" s="24">
        <v>0.0</v>
      </c>
      <c r="D32" s="24"/>
      <c r="E32" s="24"/>
      <c r="F32" s="24"/>
      <c r="G32" s="24"/>
      <c r="H32" s="24">
        <v>0.0</v>
      </c>
      <c r="I32" s="24">
        <f t="shared" si="6"/>
        <v>0</v>
      </c>
      <c r="J32" s="25"/>
      <c r="K32" s="25"/>
      <c r="L32" s="25">
        <v>0.0</v>
      </c>
      <c r="M32" s="25"/>
      <c r="N32" s="101">
        <f>'25년 12월 2주차 강습 주간보고'!N32+J32+K32+L32</f>
        <v>0</v>
      </c>
      <c r="O32" s="33"/>
      <c r="P32" s="34"/>
      <c r="Q32" s="108"/>
      <c r="R32" s="104"/>
    </row>
    <row r="33" ht="16.5" customHeight="1">
      <c r="B33" s="47" t="s">
        <v>20</v>
      </c>
      <c r="C33" s="102">
        <f t="shared" ref="C33:H33" si="7">SUM(C28:C32)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2">
        <f t="shared" si="7"/>
        <v>0</v>
      </c>
      <c r="I33" s="102">
        <f t="shared" si="6"/>
        <v>0</v>
      </c>
      <c r="J33" s="51">
        <f t="shared" ref="J33:O33" si="8">SUM(J28:J32)</f>
        <v>0</v>
      </c>
      <c r="K33" s="51">
        <f t="shared" si="8"/>
        <v>0</v>
      </c>
      <c r="L33" s="51">
        <f t="shared" si="8"/>
        <v>0</v>
      </c>
      <c r="M33" s="51">
        <f t="shared" si="8"/>
        <v>0</v>
      </c>
      <c r="N33" s="51">
        <f t="shared" si="8"/>
        <v>0</v>
      </c>
      <c r="O33" s="48">
        <f t="shared" si="8"/>
        <v>0</v>
      </c>
      <c r="P33" s="61"/>
      <c r="Q33" s="104"/>
      <c r="R33" s="104"/>
    </row>
    <row r="34" ht="16.5" customHeight="1">
      <c r="B34" s="63" t="s">
        <v>24</v>
      </c>
      <c r="C34" s="64">
        <f>SUM(C26,C33,C19, C12)</f>
        <v>0</v>
      </c>
      <c r="D34" s="64">
        <f t="shared" ref="D34:G34" si="9">D19+D26+D33+D12</f>
        <v>0</v>
      </c>
      <c r="E34" s="64">
        <f t="shared" si="9"/>
        <v>0</v>
      </c>
      <c r="F34" s="64">
        <f t="shared" si="9"/>
        <v>0</v>
      </c>
      <c r="G34" s="64">
        <f t="shared" si="9"/>
        <v>0</v>
      </c>
      <c r="H34" s="64">
        <f t="shared" ref="H34:I34" si="10">SUM(H26,H33,H19,H12)</f>
        <v>0</v>
      </c>
      <c r="I34" s="64">
        <f t="shared" si="10"/>
        <v>0</v>
      </c>
      <c r="J34" s="66">
        <f t="shared" ref="J34:N34" si="11">J19+J26+J33+J12</f>
        <v>0</v>
      </c>
      <c r="K34" s="66">
        <f t="shared" si="11"/>
        <v>0</v>
      </c>
      <c r="L34" s="66">
        <f t="shared" si="11"/>
        <v>0</v>
      </c>
      <c r="M34" s="66">
        <f t="shared" si="11"/>
        <v>0</v>
      </c>
      <c r="N34" s="66">
        <f t="shared" si="11"/>
        <v>0</v>
      </c>
      <c r="O34" s="67">
        <f>SUM(O26,O33,O19,O12)</f>
        <v>0</v>
      </c>
      <c r="P34" s="68"/>
      <c r="Q34" s="104"/>
      <c r="R34" s="104"/>
    </row>
    <row r="35" ht="16.5" customHeight="1">
      <c r="B35" s="104"/>
      <c r="C35" s="104"/>
      <c r="D35" s="104"/>
      <c r="E35" s="104"/>
      <c r="F35" s="104"/>
      <c r="G35" s="104"/>
      <c r="H35" s="104"/>
      <c r="I35" s="104"/>
      <c r="J35" s="109"/>
      <c r="K35" s="109"/>
      <c r="L35" s="104"/>
      <c r="M35" s="109"/>
      <c r="N35" s="109"/>
      <c r="O35" s="104"/>
      <c r="P35" s="104"/>
      <c r="Q35" s="104"/>
      <c r="R35" s="104"/>
    </row>
    <row r="36" ht="16.5" customHeight="1">
      <c r="B36" s="110"/>
      <c r="C36" s="73"/>
      <c r="D36" s="74"/>
      <c r="E36" s="111" t="s">
        <v>15</v>
      </c>
      <c r="F36" s="74"/>
      <c r="G36" s="111" t="s">
        <v>21</v>
      </c>
      <c r="H36" s="74"/>
      <c r="I36" s="111" t="s">
        <v>22</v>
      </c>
      <c r="J36" s="74"/>
      <c r="K36" s="111" t="s">
        <v>23</v>
      </c>
      <c r="L36" s="112"/>
      <c r="M36" s="73"/>
      <c r="N36" s="74"/>
      <c r="O36" s="113" t="s">
        <v>15</v>
      </c>
      <c r="P36" s="114" t="s">
        <v>21</v>
      </c>
      <c r="Q36" s="114" t="s">
        <v>22</v>
      </c>
      <c r="R36" s="115" t="s">
        <v>23</v>
      </c>
    </row>
    <row r="37" ht="16.5" customHeight="1">
      <c r="B37" s="116" t="s">
        <v>25</v>
      </c>
      <c r="C37" s="82"/>
      <c r="D37" s="83"/>
      <c r="E37" s="117"/>
      <c r="F37" s="83"/>
      <c r="G37" s="117"/>
      <c r="H37" s="83"/>
      <c r="I37" s="117"/>
      <c r="J37" s="83"/>
      <c r="K37" s="117"/>
      <c r="L37" s="118" t="s">
        <v>26</v>
      </c>
      <c r="M37" s="82"/>
      <c r="N37" s="83"/>
      <c r="O37" s="119"/>
      <c r="P37" s="119"/>
      <c r="Q37" s="119"/>
      <c r="R37" s="120"/>
    </row>
    <row r="38" ht="16.5" customHeight="1">
      <c r="B38" s="116" t="s">
        <v>27</v>
      </c>
      <c r="C38" s="82"/>
      <c r="D38" s="83"/>
      <c r="E38" s="121">
        <v>0.0</v>
      </c>
      <c r="F38" s="83"/>
      <c r="G38" s="121">
        <v>0.0</v>
      </c>
      <c r="H38" s="83"/>
      <c r="I38" s="121">
        <v>0.0</v>
      </c>
      <c r="J38" s="83"/>
      <c r="K38" s="121">
        <v>0.0</v>
      </c>
      <c r="L38" s="122" t="s">
        <v>28</v>
      </c>
      <c r="M38" s="82"/>
      <c r="N38" s="83"/>
      <c r="O38" s="123">
        <f t="shared" ref="O38:R38" si="12">SUM(O37-O39)</f>
        <v>0</v>
      </c>
      <c r="P38" s="123">
        <f t="shared" si="12"/>
        <v>0</v>
      </c>
      <c r="Q38" s="123">
        <f t="shared" si="12"/>
        <v>0</v>
      </c>
      <c r="R38" s="124">
        <f t="shared" si="12"/>
        <v>0</v>
      </c>
    </row>
    <row r="39" ht="16.5" customHeight="1">
      <c r="B39" s="116" t="s">
        <v>29</v>
      </c>
      <c r="C39" s="82"/>
      <c r="D39" s="83"/>
      <c r="E39" s="125"/>
      <c r="F39" s="83"/>
      <c r="G39" s="125"/>
      <c r="H39" s="83"/>
      <c r="I39" s="125"/>
      <c r="J39" s="83"/>
      <c r="K39" s="125"/>
      <c r="L39" s="122" t="s">
        <v>30</v>
      </c>
      <c r="M39" s="82"/>
      <c r="N39" s="83"/>
      <c r="O39" s="126">
        <f>N12</f>
        <v>0</v>
      </c>
      <c r="P39" s="126">
        <f>N19</f>
        <v>0</v>
      </c>
      <c r="Q39" s="126">
        <f t="shared" ref="Q39:R39" si="13">SUM(N26)</f>
        <v>0</v>
      </c>
      <c r="R39" s="127">
        <f t="shared" si="13"/>
        <v>0</v>
      </c>
    </row>
    <row r="40" ht="16.5" customHeight="1">
      <c r="B40" s="128" t="s">
        <v>31</v>
      </c>
      <c r="C40" s="96"/>
      <c r="D40" s="97"/>
      <c r="E40" s="129" t="str">
        <f>E38/E37</f>
        <v>#DIV/0!</v>
      </c>
      <c r="F40" s="97"/>
      <c r="G40" s="129" t="str">
        <f>G38/G37</f>
        <v>#DIV/0!</v>
      </c>
      <c r="H40" s="97"/>
      <c r="I40" s="129" t="str">
        <f>I38/I37</f>
        <v>#DIV/0!</v>
      </c>
      <c r="J40" s="97"/>
      <c r="K40" s="129" t="str">
        <f>K38/K37</f>
        <v>#DIV/0!</v>
      </c>
      <c r="L40" s="130" t="s">
        <v>32</v>
      </c>
      <c r="M40" s="96"/>
      <c r="N40" s="97"/>
      <c r="O40" s="131" t="str">
        <f t="shared" ref="O40:R40" si="14">O39/O37</f>
        <v>#DIV/0!</v>
      </c>
      <c r="P40" s="131" t="str">
        <f t="shared" si="14"/>
        <v>#DIV/0!</v>
      </c>
      <c r="Q40" s="131" t="str">
        <f t="shared" si="14"/>
        <v>#DIV/0!</v>
      </c>
      <c r="R40" s="131" t="str">
        <f t="shared" si="14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8" width="17.86"/>
    <col customWidth="1" min="19" max="19" width="43.0"/>
    <col customWidth="1" min="20" max="26" width="8.71"/>
  </cols>
  <sheetData>
    <row r="1" ht="16.5" customHeight="1"/>
    <row r="2" ht="16.5" customHeight="1">
      <c r="B2" s="1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42</v>
      </c>
      <c r="K4" s="11" t="s">
        <v>43</v>
      </c>
      <c r="L4" s="13" t="s">
        <v>44</v>
      </c>
      <c r="M4" s="9" t="s">
        <v>12</v>
      </c>
      <c r="N4" s="14" t="s">
        <v>13</v>
      </c>
      <c r="O4" s="15" t="s">
        <v>14</v>
      </c>
      <c r="P4" s="16"/>
      <c r="Q4" s="104"/>
      <c r="R4" s="104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04"/>
      <c r="R5" s="104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  <c r="Q6" s="104"/>
      <c r="R6" s="104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101">
        <f>'25년 12월 3주차 강습 주간보고'!N7+J7+K7+L7</f>
        <v>0</v>
      </c>
      <c r="O7" s="27"/>
      <c r="P7" s="28"/>
      <c r="Q7" s="104"/>
      <c r="R7" s="104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101">
        <f>'25년 12월 3주차 강습 주간보고'!N8+J8+K8+L8</f>
        <v>0</v>
      </c>
      <c r="O8" s="33"/>
      <c r="P8" s="34"/>
      <c r="Q8" s="104"/>
      <c r="R8" s="10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101">
        <f>'25년 12월 3주차 강습 주간보고'!N9+J9+K9+L9</f>
        <v>0</v>
      </c>
      <c r="O9" s="39"/>
      <c r="P9" s="34"/>
      <c r="Q9" s="104"/>
      <c r="R9" s="10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101">
        <f>'25년 12월 3주차 강습 주간보고'!N10+J10+K10+L10</f>
        <v>0</v>
      </c>
      <c r="O10" s="39"/>
      <c r="P10" s="34"/>
      <c r="Q10" s="104"/>
      <c r="R10" s="10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101">
        <f>'25년 12월 3주차 강습 주간보고'!N11+J11+K11+L11</f>
        <v>0</v>
      </c>
      <c r="O11" s="39"/>
      <c r="P11" s="34"/>
      <c r="Q11" s="104"/>
      <c r="R11" s="104"/>
    </row>
    <row r="12" ht="16.5" customHeight="1">
      <c r="B12" s="47" t="s">
        <v>20</v>
      </c>
      <c r="C12" s="102">
        <f t="shared" ref="C12:O12" si="1">SUM(C7:C11)</f>
        <v>0</v>
      </c>
      <c r="D12" s="103">
        <f t="shared" si="1"/>
        <v>0</v>
      </c>
      <c r="E12" s="103">
        <f t="shared" si="1"/>
        <v>0</v>
      </c>
      <c r="F12" s="103">
        <f t="shared" si="1"/>
        <v>0</v>
      </c>
      <c r="G12" s="103">
        <f t="shared" si="1"/>
        <v>0</v>
      </c>
      <c r="H12" s="102">
        <f t="shared" si="1"/>
        <v>0</v>
      </c>
      <c r="I12" s="102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48">
        <f t="shared" si="1"/>
        <v>0</v>
      </c>
      <c r="P12" s="52"/>
      <c r="Q12" s="105"/>
      <c r="R12" s="104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  <c r="Q13" s="104"/>
      <c r="R13" s="104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101">
        <f>'25년 12월 3주차 강습 주간보고'!N14+J14+K14+L14</f>
        <v>0</v>
      </c>
      <c r="O14" s="55"/>
      <c r="P14" s="56"/>
      <c r="Q14" s="104"/>
      <c r="R14" s="104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101">
        <f>'25년 12월 3주차 강습 주간보고'!N15+J15+K15+L15</f>
        <v>0</v>
      </c>
      <c r="O15" s="57"/>
      <c r="P15" s="34"/>
      <c r="Q15" s="104"/>
      <c r="R15" s="104"/>
    </row>
    <row r="16" ht="16.5" customHeight="1">
      <c r="B16" s="32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101">
        <f>'25년 12월 3주차 강습 주간보고'!N16+J16+K16+L16</f>
        <v>0</v>
      </c>
      <c r="O16" s="57"/>
      <c r="P16" s="34"/>
      <c r="Q16" s="104"/>
      <c r="R16" s="104"/>
    </row>
    <row r="17" ht="16.5" customHeight="1">
      <c r="B17" s="32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101">
        <f>'25년 12월 3주차 강습 주간보고'!N17+J17+K17+L17</f>
        <v>0</v>
      </c>
      <c r="O17" s="57"/>
      <c r="P17" s="34"/>
      <c r="Q17" s="104"/>
      <c r="R17" s="104"/>
    </row>
    <row r="18" ht="16.5" customHeight="1">
      <c r="B18" s="10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101">
        <f>'25년 12월 3주차 강습 주간보고'!N18+J18+K18+L18</f>
        <v>0</v>
      </c>
      <c r="O18" s="57"/>
      <c r="P18" s="34"/>
      <c r="Q18" s="104"/>
      <c r="R18" s="104"/>
    </row>
    <row r="19" ht="16.5" customHeight="1">
      <c r="B19" s="47" t="s">
        <v>20</v>
      </c>
      <c r="C19" s="102">
        <f t="shared" ref="C19:O19" si="2">SUM(C14:C18)</f>
        <v>0</v>
      </c>
      <c r="D19" s="103">
        <f t="shared" si="2"/>
        <v>0</v>
      </c>
      <c r="E19" s="103">
        <f t="shared" si="2"/>
        <v>0</v>
      </c>
      <c r="F19" s="103">
        <f t="shared" si="2"/>
        <v>0</v>
      </c>
      <c r="G19" s="103">
        <f t="shared" si="2"/>
        <v>0</v>
      </c>
      <c r="H19" s="102">
        <f t="shared" si="2"/>
        <v>0</v>
      </c>
      <c r="I19" s="102">
        <f t="shared" si="2"/>
        <v>0</v>
      </c>
      <c r="J19" s="51">
        <f t="shared" si="2"/>
        <v>0</v>
      </c>
      <c r="K19" s="51">
        <f t="shared" si="2"/>
        <v>0</v>
      </c>
      <c r="L19" s="51">
        <f t="shared" si="2"/>
        <v>0</v>
      </c>
      <c r="M19" s="51">
        <f t="shared" si="2"/>
        <v>0</v>
      </c>
      <c r="N19" s="51">
        <f t="shared" si="2"/>
        <v>0</v>
      </c>
      <c r="O19" s="48">
        <f t="shared" si="2"/>
        <v>0</v>
      </c>
      <c r="P19" s="58"/>
      <c r="Q19" s="105"/>
      <c r="R19" s="104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104"/>
      <c r="R20" s="104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f t="shared" ref="I21:I26" si="3">SUM(C21,F21,G21,H21)</f>
        <v>0</v>
      </c>
      <c r="J21" s="25"/>
      <c r="K21" s="25"/>
      <c r="L21" s="25">
        <v>0.0</v>
      </c>
      <c r="M21" s="25"/>
      <c r="N21" s="101">
        <f>'25년 12월 3주차 강습 주간보고'!N21+J21+K21+L21</f>
        <v>0</v>
      </c>
      <c r="O21" s="59"/>
      <c r="P21" s="28"/>
      <c r="Q21" s="104"/>
      <c r="R21" s="104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f t="shared" si="3"/>
        <v>0</v>
      </c>
      <c r="J22" s="25"/>
      <c r="K22" s="25"/>
      <c r="L22" s="25">
        <v>0.0</v>
      </c>
      <c r="M22" s="25"/>
      <c r="N22" s="101">
        <f>'25년 12월 3주차 강습 주간보고'!N22+J22+K22+L22</f>
        <v>0</v>
      </c>
      <c r="O22" s="33"/>
      <c r="P22" s="34"/>
      <c r="Q22" s="104"/>
      <c r="R22" s="104"/>
    </row>
    <row r="23" ht="16.5" customHeight="1">
      <c r="B23" s="106"/>
      <c r="C23" s="24">
        <v>0.0</v>
      </c>
      <c r="D23" s="24"/>
      <c r="E23" s="24"/>
      <c r="F23" s="24"/>
      <c r="G23" s="24"/>
      <c r="H23" s="24">
        <v>0.0</v>
      </c>
      <c r="I23" s="24">
        <f t="shared" si="3"/>
        <v>0</v>
      </c>
      <c r="J23" s="25"/>
      <c r="K23" s="25"/>
      <c r="L23" s="25">
        <v>0.0</v>
      </c>
      <c r="M23" s="25"/>
      <c r="N23" s="101">
        <f>'25년 12월 3주차 강습 주간보고'!N23+J23+K23+L23</f>
        <v>0</v>
      </c>
      <c r="O23" s="33"/>
      <c r="P23" s="34"/>
      <c r="Q23" s="104"/>
      <c r="R23" s="104"/>
    </row>
    <row r="24" ht="16.5" customHeight="1">
      <c r="B24" s="106"/>
      <c r="C24" s="24">
        <v>0.0</v>
      </c>
      <c r="D24" s="24"/>
      <c r="E24" s="24"/>
      <c r="F24" s="24"/>
      <c r="G24" s="24"/>
      <c r="H24" s="24">
        <v>0.0</v>
      </c>
      <c r="I24" s="24">
        <f t="shared" si="3"/>
        <v>0</v>
      </c>
      <c r="J24" s="25"/>
      <c r="K24" s="25"/>
      <c r="L24" s="25">
        <v>0.0</v>
      </c>
      <c r="M24" s="25"/>
      <c r="N24" s="101">
        <f>'25년 12월 3주차 강습 주간보고'!N24+J24+K24+L24</f>
        <v>0</v>
      </c>
      <c r="O24" s="33"/>
      <c r="P24" s="34"/>
      <c r="Q24" s="104"/>
      <c r="R24" s="104"/>
    </row>
    <row r="25" ht="16.5" customHeight="1">
      <c r="B25" s="106"/>
      <c r="C25" s="24">
        <v>0.0</v>
      </c>
      <c r="D25" s="24"/>
      <c r="E25" s="24"/>
      <c r="F25" s="24"/>
      <c r="G25" s="24"/>
      <c r="H25" s="24">
        <v>0.0</v>
      </c>
      <c r="I25" s="24">
        <f t="shared" si="3"/>
        <v>0</v>
      </c>
      <c r="J25" s="25"/>
      <c r="K25" s="25"/>
      <c r="L25" s="25">
        <v>0.0</v>
      </c>
      <c r="M25" s="25"/>
      <c r="N25" s="101">
        <f>'25년 12월 3주차 강습 주간보고'!N25+J25+K25+L25</f>
        <v>0</v>
      </c>
      <c r="O25" s="33"/>
      <c r="P25" s="34"/>
      <c r="Q25" s="107"/>
      <c r="R25" s="104"/>
    </row>
    <row r="26" ht="16.5" customHeight="1">
      <c r="B26" s="47" t="s">
        <v>20</v>
      </c>
      <c r="C26" s="102">
        <f t="shared" ref="C26:H26" si="4">SUM(C21:C25)</f>
        <v>0</v>
      </c>
      <c r="D26" s="103">
        <f t="shared" si="4"/>
        <v>0</v>
      </c>
      <c r="E26" s="103">
        <f t="shared" si="4"/>
        <v>0</v>
      </c>
      <c r="F26" s="103">
        <f t="shared" si="4"/>
        <v>0</v>
      </c>
      <c r="G26" s="103">
        <f t="shared" si="4"/>
        <v>0</v>
      </c>
      <c r="H26" s="102">
        <f t="shared" si="4"/>
        <v>0</v>
      </c>
      <c r="I26" s="102">
        <f t="shared" si="3"/>
        <v>0</v>
      </c>
      <c r="J26" s="51">
        <f t="shared" ref="J26:O26" si="5">SUM(J21:J25)</f>
        <v>0</v>
      </c>
      <c r="K26" s="51">
        <f t="shared" si="5"/>
        <v>0</v>
      </c>
      <c r="L26" s="51">
        <f t="shared" si="5"/>
        <v>0</v>
      </c>
      <c r="M26" s="51">
        <f t="shared" si="5"/>
        <v>0</v>
      </c>
      <c r="N26" s="51">
        <f t="shared" si="5"/>
        <v>0</v>
      </c>
      <c r="O26" s="48">
        <f t="shared" si="5"/>
        <v>0</v>
      </c>
      <c r="P26" s="61"/>
      <c r="Q26" s="104"/>
      <c r="R26" s="104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107"/>
      <c r="R27" s="104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f t="shared" ref="I28:I33" si="6">SUM(C28,F28,G28,H28)</f>
        <v>0</v>
      </c>
      <c r="J28" s="25"/>
      <c r="K28" s="25"/>
      <c r="L28" s="25">
        <v>0.0</v>
      </c>
      <c r="M28" s="25"/>
      <c r="N28" s="101">
        <f>'25년 12월 3주차 강습 주간보고'!N28+J28+K28+L28</f>
        <v>0</v>
      </c>
      <c r="O28" s="59"/>
      <c r="P28" s="28"/>
      <c r="Q28" s="104"/>
      <c r="R28" s="104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f t="shared" si="6"/>
        <v>0</v>
      </c>
      <c r="J29" s="25"/>
      <c r="K29" s="25"/>
      <c r="L29" s="25">
        <v>0.0</v>
      </c>
      <c r="M29" s="25"/>
      <c r="N29" s="101">
        <f>'25년 12월 3주차 강습 주간보고'!N29+J29+K29+L29</f>
        <v>0</v>
      </c>
      <c r="O29" s="33"/>
      <c r="P29" s="34"/>
      <c r="Q29" s="104"/>
      <c r="R29" s="104"/>
    </row>
    <row r="30" ht="16.5" customHeight="1">
      <c r="B30" s="106"/>
      <c r="C30" s="24">
        <v>0.0</v>
      </c>
      <c r="D30" s="24"/>
      <c r="E30" s="24"/>
      <c r="F30" s="24"/>
      <c r="G30" s="24"/>
      <c r="H30" s="24">
        <v>0.0</v>
      </c>
      <c r="I30" s="24">
        <f t="shared" si="6"/>
        <v>0</v>
      </c>
      <c r="J30" s="25"/>
      <c r="K30" s="25"/>
      <c r="L30" s="25">
        <v>0.0</v>
      </c>
      <c r="M30" s="25"/>
      <c r="N30" s="101">
        <f>'25년 12월 3주차 강습 주간보고'!N30+J30+K30+L30</f>
        <v>0</v>
      </c>
      <c r="O30" s="33"/>
      <c r="P30" s="34"/>
      <c r="Q30" s="104"/>
      <c r="R30" s="104"/>
    </row>
    <row r="31" ht="16.5" customHeight="1">
      <c r="B31" s="106"/>
      <c r="C31" s="24">
        <v>0.0</v>
      </c>
      <c r="D31" s="24"/>
      <c r="E31" s="24"/>
      <c r="F31" s="24"/>
      <c r="G31" s="24"/>
      <c r="H31" s="24">
        <v>0.0</v>
      </c>
      <c r="I31" s="24">
        <f t="shared" si="6"/>
        <v>0</v>
      </c>
      <c r="J31" s="25"/>
      <c r="K31" s="25"/>
      <c r="L31" s="25">
        <v>0.0</v>
      </c>
      <c r="M31" s="25"/>
      <c r="N31" s="101">
        <f>'25년 12월 3주차 강습 주간보고'!N31+J31+K31+L31</f>
        <v>0</v>
      </c>
      <c r="O31" s="33"/>
      <c r="P31" s="34"/>
      <c r="Q31" s="104"/>
      <c r="R31" s="104"/>
    </row>
    <row r="32" ht="16.5" customHeight="1">
      <c r="B32" s="106"/>
      <c r="C32" s="24">
        <v>0.0</v>
      </c>
      <c r="D32" s="24"/>
      <c r="E32" s="24"/>
      <c r="F32" s="24"/>
      <c r="G32" s="24"/>
      <c r="H32" s="24">
        <v>0.0</v>
      </c>
      <c r="I32" s="24">
        <f t="shared" si="6"/>
        <v>0</v>
      </c>
      <c r="J32" s="25"/>
      <c r="K32" s="25"/>
      <c r="L32" s="25">
        <v>0.0</v>
      </c>
      <c r="M32" s="25"/>
      <c r="N32" s="101">
        <f>'25년 12월 3주차 강습 주간보고'!N32+J32+K32+L32</f>
        <v>0</v>
      </c>
      <c r="O32" s="33"/>
      <c r="P32" s="34"/>
      <c r="Q32" s="108"/>
      <c r="R32" s="104"/>
    </row>
    <row r="33" ht="16.5" customHeight="1">
      <c r="B33" s="47" t="s">
        <v>20</v>
      </c>
      <c r="C33" s="102">
        <f t="shared" ref="C33:H33" si="7">SUM(C28:C32)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2">
        <f t="shared" si="7"/>
        <v>0</v>
      </c>
      <c r="I33" s="102">
        <f t="shared" si="6"/>
        <v>0</v>
      </c>
      <c r="J33" s="51">
        <f t="shared" ref="J33:O33" si="8">SUM(J28:J32)</f>
        <v>0</v>
      </c>
      <c r="K33" s="51">
        <f t="shared" si="8"/>
        <v>0</v>
      </c>
      <c r="L33" s="51">
        <f t="shared" si="8"/>
        <v>0</v>
      </c>
      <c r="M33" s="51">
        <f t="shared" si="8"/>
        <v>0</v>
      </c>
      <c r="N33" s="51">
        <f t="shared" si="8"/>
        <v>0</v>
      </c>
      <c r="O33" s="48">
        <f t="shared" si="8"/>
        <v>0</v>
      </c>
      <c r="P33" s="61"/>
      <c r="Q33" s="104"/>
      <c r="R33" s="104"/>
    </row>
    <row r="34" ht="16.5" customHeight="1">
      <c r="B34" s="63" t="s">
        <v>24</v>
      </c>
      <c r="C34" s="64">
        <f>SUM(C26,C33,C19, C12)</f>
        <v>0</v>
      </c>
      <c r="D34" s="64">
        <f t="shared" ref="D34:G34" si="9">D19+D26+D33+D12</f>
        <v>0</v>
      </c>
      <c r="E34" s="64">
        <f t="shared" si="9"/>
        <v>0</v>
      </c>
      <c r="F34" s="64">
        <f t="shared" si="9"/>
        <v>0</v>
      </c>
      <c r="G34" s="64">
        <f t="shared" si="9"/>
        <v>0</v>
      </c>
      <c r="H34" s="64">
        <f t="shared" ref="H34:I34" si="10">SUM(H26,H33,H19,H12)</f>
        <v>0</v>
      </c>
      <c r="I34" s="64">
        <f t="shared" si="10"/>
        <v>0</v>
      </c>
      <c r="J34" s="66">
        <f t="shared" ref="J34:N34" si="11">J19+J26+J33+J12</f>
        <v>0</v>
      </c>
      <c r="K34" s="66">
        <f t="shared" si="11"/>
        <v>0</v>
      </c>
      <c r="L34" s="66">
        <f t="shared" si="11"/>
        <v>0</v>
      </c>
      <c r="M34" s="66">
        <f t="shared" si="11"/>
        <v>0</v>
      </c>
      <c r="N34" s="66">
        <f t="shared" si="11"/>
        <v>0</v>
      </c>
      <c r="O34" s="67">
        <f>SUM(O26,O33,O19,O12)</f>
        <v>0</v>
      </c>
      <c r="P34" s="68"/>
      <c r="Q34" s="104"/>
      <c r="R34" s="104"/>
    </row>
    <row r="35" ht="16.5" customHeight="1">
      <c r="B35" s="104"/>
      <c r="C35" s="104"/>
      <c r="D35" s="104"/>
      <c r="E35" s="104"/>
      <c r="F35" s="104"/>
      <c r="G35" s="104"/>
      <c r="H35" s="104"/>
      <c r="I35" s="104"/>
      <c r="J35" s="109"/>
      <c r="K35" s="109"/>
      <c r="L35" s="104"/>
      <c r="M35" s="109"/>
      <c r="N35" s="109"/>
      <c r="O35" s="104"/>
      <c r="P35" s="104"/>
      <c r="Q35" s="104"/>
      <c r="R35" s="104"/>
    </row>
    <row r="36" ht="16.5" customHeight="1">
      <c r="B36" s="110"/>
      <c r="C36" s="73"/>
      <c r="D36" s="74"/>
      <c r="E36" s="111" t="s">
        <v>15</v>
      </c>
      <c r="F36" s="74"/>
      <c r="G36" s="111" t="s">
        <v>21</v>
      </c>
      <c r="H36" s="74"/>
      <c r="I36" s="111" t="s">
        <v>22</v>
      </c>
      <c r="J36" s="74"/>
      <c r="K36" s="111" t="s">
        <v>23</v>
      </c>
      <c r="L36" s="112"/>
      <c r="M36" s="73"/>
      <c r="N36" s="74"/>
      <c r="O36" s="113" t="s">
        <v>15</v>
      </c>
      <c r="P36" s="114" t="s">
        <v>21</v>
      </c>
      <c r="Q36" s="114" t="s">
        <v>22</v>
      </c>
      <c r="R36" s="115" t="s">
        <v>23</v>
      </c>
    </row>
    <row r="37" ht="16.5" customHeight="1">
      <c r="B37" s="116" t="s">
        <v>25</v>
      </c>
      <c r="C37" s="82"/>
      <c r="D37" s="83"/>
      <c r="E37" s="117"/>
      <c r="F37" s="83"/>
      <c r="G37" s="117"/>
      <c r="H37" s="83"/>
      <c r="I37" s="117"/>
      <c r="J37" s="83"/>
      <c r="K37" s="117"/>
      <c r="L37" s="118" t="s">
        <v>26</v>
      </c>
      <c r="M37" s="82"/>
      <c r="N37" s="83"/>
      <c r="O37" s="119"/>
      <c r="P37" s="119"/>
      <c r="Q37" s="119"/>
      <c r="R37" s="120"/>
    </row>
    <row r="38" ht="16.5" customHeight="1">
      <c r="B38" s="116" t="s">
        <v>27</v>
      </c>
      <c r="C38" s="82"/>
      <c r="D38" s="83"/>
      <c r="E38" s="121">
        <v>0.0</v>
      </c>
      <c r="F38" s="83"/>
      <c r="G38" s="121">
        <v>0.0</v>
      </c>
      <c r="H38" s="83"/>
      <c r="I38" s="121">
        <v>0.0</v>
      </c>
      <c r="J38" s="83"/>
      <c r="K38" s="121">
        <v>0.0</v>
      </c>
      <c r="L38" s="122" t="s">
        <v>28</v>
      </c>
      <c r="M38" s="82"/>
      <c r="N38" s="83"/>
      <c r="O38" s="123">
        <f t="shared" ref="O38:R38" si="12">SUM(O37-O39)</f>
        <v>0</v>
      </c>
      <c r="P38" s="123">
        <f t="shared" si="12"/>
        <v>0</v>
      </c>
      <c r="Q38" s="123">
        <f t="shared" si="12"/>
        <v>0</v>
      </c>
      <c r="R38" s="124">
        <f t="shared" si="12"/>
        <v>0</v>
      </c>
    </row>
    <row r="39" ht="16.5" customHeight="1">
      <c r="B39" s="116" t="s">
        <v>29</v>
      </c>
      <c r="C39" s="82"/>
      <c r="D39" s="83"/>
      <c r="E39" s="125"/>
      <c r="F39" s="83"/>
      <c r="G39" s="125"/>
      <c r="H39" s="83"/>
      <c r="I39" s="125"/>
      <c r="J39" s="83"/>
      <c r="K39" s="125"/>
      <c r="L39" s="122" t="s">
        <v>30</v>
      </c>
      <c r="M39" s="82"/>
      <c r="N39" s="83"/>
      <c r="O39" s="126">
        <f>N12</f>
        <v>0</v>
      </c>
      <c r="P39" s="126">
        <f>N19</f>
        <v>0</v>
      </c>
      <c r="Q39" s="126">
        <f t="shared" ref="Q39:R39" si="13">SUM(N26)</f>
        <v>0</v>
      </c>
      <c r="R39" s="127">
        <f t="shared" si="13"/>
        <v>0</v>
      </c>
    </row>
    <row r="40" ht="16.5" customHeight="1">
      <c r="B40" s="128" t="s">
        <v>31</v>
      </c>
      <c r="C40" s="96"/>
      <c r="D40" s="97"/>
      <c r="E40" s="129" t="str">
        <f>E38/E37</f>
        <v>#DIV/0!</v>
      </c>
      <c r="F40" s="97"/>
      <c r="G40" s="129" t="str">
        <f>G38/G37</f>
        <v>#DIV/0!</v>
      </c>
      <c r="H40" s="97"/>
      <c r="I40" s="129" t="str">
        <f>I38/I37</f>
        <v>#DIV/0!</v>
      </c>
      <c r="J40" s="97"/>
      <c r="K40" s="129" t="str">
        <f>K38/K37</f>
        <v>#DIV/0!</v>
      </c>
      <c r="L40" s="130" t="s">
        <v>32</v>
      </c>
      <c r="M40" s="96"/>
      <c r="N40" s="97"/>
      <c r="O40" s="131" t="str">
        <f t="shared" ref="O40:R40" si="14">O39/O37</f>
        <v>#DIV/0!</v>
      </c>
      <c r="P40" s="131" t="str">
        <f t="shared" si="14"/>
        <v>#DIV/0!</v>
      </c>
      <c r="Q40" s="131" t="str">
        <f t="shared" si="14"/>
        <v>#DIV/0!</v>
      </c>
      <c r="R40" s="131" t="str">
        <f t="shared" si="14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8" width="17.86"/>
    <col customWidth="1" min="19" max="19" width="43.0"/>
    <col customWidth="1" min="20" max="26" width="8.71"/>
  </cols>
  <sheetData>
    <row r="1" ht="16.5" customHeight="1"/>
    <row r="2" ht="16.5" customHeight="1">
      <c r="B2" s="1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46</v>
      </c>
      <c r="K4" s="11" t="s">
        <v>47</v>
      </c>
      <c r="L4" s="13" t="s">
        <v>48</v>
      </c>
      <c r="M4" s="9" t="s">
        <v>12</v>
      </c>
      <c r="N4" s="14" t="s">
        <v>13</v>
      </c>
      <c r="O4" s="15" t="s">
        <v>14</v>
      </c>
      <c r="P4" s="16"/>
      <c r="Q4" s="104"/>
      <c r="R4" s="104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04"/>
      <c r="R5" s="104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  <c r="Q6" s="104"/>
      <c r="R6" s="104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101">
        <f>'25년 12월 4주차 강습 주간보고'!N7+J7+K7+L7</f>
        <v>0</v>
      </c>
      <c r="O7" s="27"/>
      <c r="P7" s="28"/>
      <c r="Q7" s="104"/>
      <c r="R7" s="104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101">
        <f>'25년 12월 4주차 강습 주간보고'!N8+J8+K8+L8</f>
        <v>0</v>
      </c>
      <c r="O8" s="33"/>
      <c r="P8" s="34"/>
      <c r="Q8" s="104"/>
      <c r="R8" s="10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101">
        <f>'25년 12월 4주차 강습 주간보고'!N9+J9+K9+L9</f>
        <v>0</v>
      </c>
      <c r="O9" s="39"/>
      <c r="P9" s="34"/>
      <c r="Q9" s="104"/>
      <c r="R9" s="10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101">
        <f>'25년 12월 4주차 강습 주간보고'!N10+J10+K10+L10</f>
        <v>0</v>
      </c>
      <c r="O10" s="39"/>
      <c r="P10" s="34"/>
      <c r="Q10" s="104"/>
      <c r="R10" s="10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101">
        <f>'25년 12월 4주차 강습 주간보고'!N11+J11+K11+L11</f>
        <v>0</v>
      </c>
      <c r="O11" s="39"/>
      <c r="P11" s="34"/>
      <c r="Q11" s="104"/>
      <c r="R11" s="104"/>
    </row>
    <row r="12" ht="16.5" customHeight="1">
      <c r="B12" s="47" t="s">
        <v>20</v>
      </c>
      <c r="C12" s="102">
        <f t="shared" ref="C12:O12" si="1">SUM(C7:C11)</f>
        <v>0</v>
      </c>
      <c r="D12" s="103">
        <f t="shared" si="1"/>
        <v>0</v>
      </c>
      <c r="E12" s="103">
        <f t="shared" si="1"/>
        <v>0</v>
      </c>
      <c r="F12" s="103">
        <f t="shared" si="1"/>
        <v>0</v>
      </c>
      <c r="G12" s="103">
        <f t="shared" si="1"/>
        <v>0</v>
      </c>
      <c r="H12" s="102">
        <f t="shared" si="1"/>
        <v>0</v>
      </c>
      <c r="I12" s="102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48">
        <f t="shared" si="1"/>
        <v>0</v>
      </c>
      <c r="P12" s="52"/>
      <c r="Q12" s="105"/>
      <c r="R12" s="104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  <c r="Q13" s="104"/>
      <c r="R13" s="104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101">
        <f>'25년 12월 4주차 강습 주간보고'!N14+J14+K14+L14</f>
        <v>0</v>
      </c>
      <c r="O14" s="55"/>
      <c r="P14" s="56"/>
      <c r="Q14" s="104"/>
      <c r="R14" s="104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101">
        <f>'25년 12월 4주차 강습 주간보고'!N15+J15+K15+L15</f>
        <v>0</v>
      </c>
      <c r="O15" s="57"/>
      <c r="P15" s="34"/>
      <c r="Q15" s="104"/>
      <c r="R15" s="104"/>
    </row>
    <row r="16" ht="16.5" customHeight="1">
      <c r="B16" s="32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101">
        <f>'25년 12월 4주차 강습 주간보고'!N16+J16+K16+L16</f>
        <v>0</v>
      </c>
      <c r="O16" s="57"/>
      <c r="P16" s="34"/>
      <c r="Q16" s="104"/>
      <c r="R16" s="104"/>
    </row>
    <row r="17" ht="16.5" customHeight="1">
      <c r="B17" s="32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101">
        <f>'25년 12월 4주차 강습 주간보고'!N17+J17+K17+L17</f>
        <v>0</v>
      </c>
      <c r="O17" s="57"/>
      <c r="P17" s="34"/>
      <c r="Q17" s="104"/>
      <c r="R17" s="104"/>
    </row>
    <row r="18" ht="16.5" customHeight="1">
      <c r="B18" s="10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101">
        <f>'25년 12월 4주차 강습 주간보고'!N18+J18+K18+L18</f>
        <v>0</v>
      </c>
      <c r="O18" s="57"/>
      <c r="P18" s="34"/>
      <c r="Q18" s="104"/>
      <c r="R18" s="104"/>
    </row>
    <row r="19" ht="16.5" customHeight="1">
      <c r="B19" s="47" t="s">
        <v>20</v>
      </c>
      <c r="C19" s="102">
        <f t="shared" ref="C19:O19" si="2">SUM(C14:C18)</f>
        <v>0</v>
      </c>
      <c r="D19" s="103">
        <f t="shared" si="2"/>
        <v>0</v>
      </c>
      <c r="E19" s="103">
        <f t="shared" si="2"/>
        <v>0</v>
      </c>
      <c r="F19" s="103">
        <f t="shared" si="2"/>
        <v>0</v>
      </c>
      <c r="G19" s="103">
        <f t="shared" si="2"/>
        <v>0</v>
      </c>
      <c r="H19" s="102">
        <f t="shared" si="2"/>
        <v>0</v>
      </c>
      <c r="I19" s="102">
        <f t="shared" si="2"/>
        <v>0</v>
      </c>
      <c r="J19" s="51">
        <f t="shared" si="2"/>
        <v>0</v>
      </c>
      <c r="K19" s="51">
        <f t="shared" si="2"/>
        <v>0</v>
      </c>
      <c r="L19" s="51">
        <f t="shared" si="2"/>
        <v>0</v>
      </c>
      <c r="M19" s="51">
        <f t="shared" si="2"/>
        <v>0</v>
      </c>
      <c r="N19" s="51">
        <f t="shared" si="2"/>
        <v>0</v>
      </c>
      <c r="O19" s="48">
        <f t="shared" si="2"/>
        <v>0</v>
      </c>
      <c r="P19" s="58"/>
      <c r="Q19" s="105"/>
      <c r="R19" s="104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104"/>
      <c r="R20" s="104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f t="shared" ref="I21:I26" si="3">SUM(C21,F21,G21,H21)</f>
        <v>0</v>
      </c>
      <c r="J21" s="25"/>
      <c r="K21" s="25"/>
      <c r="L21" s="25">
        <v>0.0</v>
      </c>
      <c r="M21" s="25"/>
      <c r="N21" s="101">
        <f>'25년 12월 4주차 강습 주간보고'!N21+J21+K21+L21</f>
        <v>0</v>
      </c>
      <c r="O21" s="59"/>
      <c r="P21" s="28"/>
      <c r="Q21" s="104"/>
      <c r="R21" s="104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f t="shared" si="3"/>
        <v>0</v>
      </c>
      <c r="J22" s="25"/>
      <c r="K22" s="25"/>
      <c r="L22" s="25">
        <v>0.0</v>
      </c>
      <c r="M22" s="25"/>
      <c r="N22" s="101">
        <f>'25년 12월 4주차 강습 주간보고'!N22+J22+K22+L22</f>
        <v>0</v>
      </c>
      <c r="O22" s="33"/>
      <c r="P22" s="34"/>
      <c r="Q22" s="104"/>
      <c r="R22" s="104"/>
    </row>
    <row r="23" ht="16.5" customHeight="1">
      <c r="B23" s="106"/>
      <c r="C23" s="24">
        <v>0.0</v>
      </c>
      <c r="D23" s="24"/>
      <c r="E23" s="24"/>
      <c r="F23" s="24"/>
      <c r="G23" s="24"/>
      <c r="H23" s="24">
        <v>0.0</v>
      </c>
      <c r="I23" s="24">
        <f t="shared" si="3"/>
        <v>0</v>
      </c>
      <c r="J23" s="25"/>
      <c r="K23" s="25"/>
      <c r="L23" s="25">
        <v>0.0</v>
      </c>
      <c r="M23" s="25"/>
      <c r="N23" s="101">
        <f>'25년 12월 4주차 강습 주간보고'!N23+J23+K23+L23</f>
        <v>0</v>
      </c>
      <c r="O23" s="33"/>
      <c r="P23" s="34"/>
      <c r="Q23" s="104"/>
      <c r="R23" s="104"/>
    </row>
    <row r="24" ht="16.5" customHeight="1">
      <c r="B24" s="106"/>
      <c r="C24" s="24">
        <v>0.0</v>
      </c>
      <c r="D24" s="24"/>
      <c r="E24" s="24"/>
      <c r="F24" s="24"/>
      <c r="G24" s="24"/>
      <c r="H24" s="24">
        <v>0.0</v>
      </c>
      <c r="I24" s="24">
        <f t="shared" si="3"/>
        <v>0</v>
      </c>
      <c r="J24" s="25"/>
      <c r="K24" s="25"/>
      <c r="L24" s="25">
        <v>0.0</v>
      </c>
      <c r="M24" s="25"/>
      <c r="N24" s="101">
        <f>'25년 12월 4주차 강습 주간보고'!N24+J24+K24+L24</f>
        <v>0</v>
      </c>
      <c r="O24" s="33"/>
      <c r="P24" s="34"/>
      <c r="Q24" s="104"/>
      <c r="R24" s="104"/>
    </row>
    <row r="25" ht="16.5" customHeight="1">
      <c r="B25" s="106"/>
      <c r="C25" s="24">
        <v>0.0</v>
      </c>
      <c r="D25" s="24"/>
      <c r="E25" s="24"/>
      <c r="F25" s="24"/>
      <c r="G25" s="24"/>
      <c r="H25" s="24">
        <v>0.0</v>
      </c>
      <c r="I25" s="24">
        <f t="shared" si="3"/>
        <v>0</v>
      </c>
      <c r="J25" s="25"/>
      <c r="K25" s="25"/>
      <c r="L25" s="25">
        <v>0.0</v>
      </c>
      <c r="M25" s="25"/>
      <c r="N25" s="101">
        <f>'25년 12월 4주차 강습 주간보고'!N25+J25+K25+L25</f>
        <v>0</v>
      </c>
      <c r="O25" s="33"/>
      <c r="P25" s="34"/>
      <c r="Q25" s="107"/>
      <c r="R25" s="104"/>
    </row>
    <row r="26" ht="16.5" customHeight="1">
      <c r="B26" s="47" t="s">
        <v>20</v>
      </c>
      <c r="C26" s="102">
        <f t="shared" ref="C26:H26" si="4">SUM(C21:C25)</f>
        <v>0</v>
      </c>
      <c r="D26" s="103">
        <f t="shared" si="4"/>
        <v>0</v>
      </c>
      <c r="E26" s="103">
        <f t="shared" si="4"/>
        <v>0</v>
      </c>
      <c r="F26" s="103">
        <f t="shared" si="4"/>
        <v>0</v>
      </c>
      <c r="G26" s="103">
        <f t="shared" si="4"/>
        <v>0</v>
      </c>
      <c r="H26" s="102">
        <f t="shared" si="4"/>
        <v>0</v>
      </c>
      <c r="I26" s="102">
        <f t="shared" si="3"/>
        <v>0</v>
      </c>
      <c r="J26" s="51">
        <f t="shared" ref="J26:O26" si="5">SUM(J21:J25)</f>
        <v>0</v>
      </c>
      <c r="K26" s="51">
        <f t="shared" si="5"/>
        <v>0</v>
      </c>
      <c r="L26" s="51">
        <f t="shared" si="5"/>
        <v>0</v>
      </c>
      <c r="M26" s="51">
        <f t="shared" si="5"/>
        <v>0</v>
      </c>
      <c r="N26" s="51">
        <f t="shared" si="5"/>
        <v>0</v>
      </c>
      <c r="O26" s="48">
        <f t="shared" si="5"/>
        <v>0</v>
      </c>
      <c r="P26" s="61"/>
      <c r="Q26" s="104"/>
      <c r="R26" s="104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107"/>
      <c r="R27" s="104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f t="shared" ref="I28:I33" si="6">SUM(C28,F28,G28,H28)</f>
        <v>0</v>
      </c>
      <c r="J28" s="25"/>
      <c r="K28" s="25"/>
      <c r="L28" s="25">
        <v>0.0</v>
      </c>
      <c r="M28" s="25"/>
      <c r="N28" s="101">
        <f>'25년 12월 4주차 강습 주간보고'!N28+J28+K28+L28</f>
        <v>0</v>
      </c>
      <c r="O28" s="59"/>
      <c r="P28" s="28"/>
      <c r="Q28" s="104"/>
      <c r="R28" s="104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f t="shared" si="6"/>
        <v>0</v>
      </c>
      <c r="J29" s="25"/>
      <c r="K29" s="25"/>
      <c r="L29" s="25">
        <v>0.0</v>
      </c>
      <c r="M29" s="25"/>
      <c r="N29" s="101">
        <f>'25년 12월 4주차 강습 주간보고'!N29+J29+K29+L29</f>
        <v>0</v>
      </c>
      <c r="O29" s="33"/>
      <c r="P29" s="34"/>
      <c r="Q29" s="104"/>
      <c r="R29" s="104"/>
    </row>
    <row r="30" ht="16.5" customHeight="1">
      <c r="B30" s="106"/>
      <c r="C30" s="24">
        <v>0.0</v>
      </c>
      <c r="D30" s="24"/>
      <c r="E30" s="24"/>
      <c r="F30" s="24"/>
      <c r="G30" s="24"/>
      <c r="H30" s="24">
        <v>0.0</v>
      </c>
      <c r="I30" s="24">
        <f t="shared" si="6"/>
        <v>0</v>
      </c>
      <c r="J30" s="25"/>
      <c r="K30" s="25"/>
      <c r="L30" s="25">
        <v>0.0</v>
      </c>
      <c r="M30" s="25"/>
      <c r="N30" s="101">
        <f>'25년 12월 4주차 강습 주간보고'!N30+J30+K30+L30</f>
        <v>0</v>
      </c>
      <c r="O30" s="33"/>
      <c r="P30" s="34"/>
      <c r="Q30" s="104"/>
      <c r="R30" s="104"/>
    </row>
    <row r="31" ht="16.5" customHeight="1">
      <c r="B31" s="106"/>
      <c r="C31" s="24">
        <v>0.0</v>
      </c>
      <c r="D31" s="24"/>
      <c r="E31" s="24"/>
      <c r="F31" s="24"/>
      <c r="G31" s="24"/>
      <c r="H31" s="24">
        <v>0.0</v>
      </c>
      <c r="I31" s="24">
        <f t="shared" si="6"/>
        <v>0</v>
      </c>
      <c r="J31" s="25"/>
      <c r="K31" s="25"/>
      <c r="L31" s="25">
        <v>0.0</v>
      </c>
      <c r="M31" s="25"/>
      <c r="N31" s="101">
        <f>'25년 12월 4주차 강습 주간보고'!N31+J31+K31+L31</f>
        <v>0</v>
      </c>
      <c r="O31" s="33"/>
      <c r="P31" s="34"/>
      <c r="Q31" s="104"/>
      <c r="R31" s="104"/>
    </row>
    <row r="32" ht="16.5" customHeight="1">
      <c r="B32" s="106"/>
      <c r="C32" s="24">
        <v>0.0</v>
      </c>
      <c r="D32" s="24"/>
      <c r="E32" s="24"/>
      <c r="F32" s="24"/>
      <c r="G32" s="24"/>
      <c r="H32" s="24">
        <v>0.0</v>
      </c>
      <c r="I32" s="24">
        <f t="shared" si="6"/>
        <v>0</v>
      </c>
      <c r="J32" s="25"/>
      <c r="K32" s="25"/>
      <c r="L32" s="25">
        <v>0.0</v>
      </c>
      <c r="M32" s="25"/>
      <c r="N32" s="101">
        <f>'25년 12월 4주차 강습 주간보고'!N32+J32+K32+L32</f>
        <v>0</v>
      </c>
      <c r="O32" s="33"/>
      <c r="P32" s="34"/>
      <c r="Q32" s="108"/>
      <c r="R32" s="104"/>
    </row>
    <row r="33" ht="16.5" customHeight="1">
      <c r="B33" s="47" t="s">
        <v>20</v>
      </c>
      <c r="C33" s="102">
        <f t="shared" ref="C33:H33" si="7">SUM(C28:C32)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2">
        <f t="shared" si="7"/>
        <v>0</v>
      </c>
      <c r="I33" s="102">
        <f t="shared" si="6"/>
        <v>0</v>
      </c>
      <c r="J33" s="51">
        <f t="shared" ref="J33:O33" si="8">SUM(J28:J32)</f>
        <v>0</v>
      </c>
      <c r="K33" s="51">
        <f t="shared" si="8"/>
        <v>0</v>
      </c>
      <c r="L33" s="51">
        <f t="shared" si="8"/>
        <v>0</v>
      </c>
      <c r="M33" s="51">
        <f t="shared" si="8"/>
        <v>0</v>
      </c>
      <c r="N33" s="51">
        <f t="shared" si="8"/>
        <v>0</v>
      </c>
      <c r="O33" s="48">
        <f t="shared" si="8"/>
        <v>0</v>
      </c>
      <c r="P33" s="61"/>
      <c r="Q33" s="104"/>
      <c r="R33" s="104"/>
    </row>
    <row r="34" ht="16.5" customHeight="1">
      <c r="B34" s="63" t="s">
        <v>24</v>
      </c>
      <c r="C34" s="64">
        <f>SUM(C26,C33,C19, C12)</f>
        <v>0</v>
      </c>
      <c r="D34" s="64">
        <f t="shared" ref="D34:G34" si="9">D19+D26+D33+D12</f>
        <v>0</v>
      </c>
      <c r="E34" s="64">
        <f t="shared" si="9"/>
        <v>0</v>
      </c>
      <c r="F34" s="64">
        <f t="shared" si="9"/>
        <v>0</v>
      </c>
      <c r="G34" s="64">
        <f t="shared" si="9"/>
        <v>0</v>
      </c>
      <c r="H34" s="64">
        <f t="shared" ref="H34:I34" si="10">SUM(H26,H33,H19,H12)</f>
        <v>0</v>
      </c>
      <c r="I34" s="64">
        <f t="shared" si="10"/>
        <v>0</v>
      </c>
      <c r="J34" s="66">
        <f t="shared" ref="J34:N34" si="11">J19+J26+J33+J12</f>
        <v>0</v>
      </c>
      <c r="K34" s="66">
        <f t="shared" si="11"/>
        <v>0</v>
      </c>
      <c r="L34" s="66">
        <f t="shared" si="11"/>
        <v>0</v>
      </c>
      <c r="M34" s="66">
        <f t="shared" si="11"/>
        <v>0</v>
      </c>
      <c r="N34" s="66">
        <f t="shared" si="11"/>
        <v>0</v>
      </c>
      <c r="O34" s="67">
        <f>SUM(O26,O33,O19,O12)</f>
        <v>0</v>
      </c>
      <c r="P34" s="68"/>
      <c r="Q34" s="104"/>
      <c r="R34" s="104"/>
    </row>
    <row r="35" ht="16.5" customHeight="1">
      <c r="B35" s="104"/>
      <c r="C35" s="104"/>
      <c r="D35" s="104"/>
      <c r="E35" s="104"/>
      <c r="F35" s="104"/>
      <c r="G35" s="104"/>
      <c r="H35" s="104"/>
      <c r="I35" s="104"/>
      <c r="J35" s="109"/>
      <c r="K35" s="109"/>
      <c r="L35" s="104"/>
      <c r="M35" s="109"/>
      <c r="N35" s="109"/>
      <c r="O35" s="104"/>
      <c r="P35" s="104"/>
      <c r="Q35" s="104"/>
      <c r="R35" s="104"/>
    </row>
    <row r="36" ht="16.5" customHeight="1">
      <c r="B36" s="110"/>
      <c r="C36" s="73"/>
      <c r="D36" s="74"/>
      <c r="E36" s="111" t="s">
        <v>15</v>
      </c>
      <c r="F36" s="74"/>
      <c r="G36" s="111" t="s">
        <v>21</v>
      </c>
      <c r="H36" s="74"/>
      <c r="I36" s="111" t="s">
        <v>22</v>
      </c>
      <c r="J36" s="74"/>
      <c r="K36" s="111" t="s">
        <v>23</v>
      </c>
      <c r="L36" s="112"/>
      <c r="M36" s="73"/>
      <c r="N36" s="74"/>
      <c r="O36" s="113" t="s">
        <v>15</v>
      </c>
      <c r="P36" s="114" t="s">
        <v>21</v>
      </c>
      <c r="Q36" s="114" t="s">
        <v>22</v>
      </c>
      <c r="R36" s="115" t="s">
        <v>23</v>
      </c>
    </row>
    <row r="37" ht="16.5" customHeight="1">
      <c r="B37" s="116" t="s">
        <v>25</v>
      </c>
      <c r="C37" s="82"/>
      <c r="D37" s="83"/>
      <c r="E37" s="117"/>
      <c r="F37" s="83"/>
      <c r="G37" s="117"/>
      <c r="H37" s="83"/>
      <c r="I37" s="117"/>
      <c r="J37" s="83"/>
      <c r="K37" s="117"/>
      <c r="L37" s="118" t="s">
        <v>26</v>
      </c>
      <c r="M37" s="82"/>
      <c r="N37" s="83"/>
      <c r="O37" s="119"/>
      <c r="P37" s="119"/>
      <c r="Q37" s="119"/>
      <c r="R37" s="120"/>
    </row>
    <row r="38" ht="16.5" customHeight="1">
      <c r="B38" s="116" t="s">
        <v>27</v>
      </c>
      <c r="C38" s="82"/>
      <c r="D38" s="83"/>
      <c r="E38" s="121">
        <v>0.0</v>
      </c>
      <c r="F38" s="83"/>
      <c r="G38" s="121">
        <v>0.0</v>
      </c>
      <c r="H38" s="83"/>
      <c r="I38" s="121">
        <v>0.0</v>
      </c>
      <c r="J38" s="83"/>
      <c r="K38" s="121">
        <v>0.0</v>
      </c>
      <c r="L38" s="122" t="s">
        <v>28</v>
      </c>
      <c r="M38" s="82"/>
      <c r="N38" s="83"/>
      <c r="O38" s="123">
        <f t="shared" ref="O38:R38" si="12">SUM(O37-O39)</f>
        <v>0</v>
      </c>
      <c r="P38" s="123">
        <f t="shared" si="12"/>
        <v>0</v>
      </c>
      <c r="Q38" s="123">
        <f t="shared" si="12"/>
        <v>0</v>
      </c>
      <c r="R38" s="124">
        <f t="shared" si="12"/>
        <v>0</v>
      </c>
    </row>
    <row r="39" ht="16.5" customHeight="1">
      <c r="B39" s="116" t="s">
        <v>29</v>
      </c>
      <c r="C39" s="82"/>
      <c r="D39" s="83"/>
      <c r="E39" s="125"/>
      <c r="F39" s="83"/>
      <c r="G39" s="125"/>
      <c r="H39" s="83"/>
      <c r="I39" s="125"/>
      <c r="J39" s="83"/>
      <c r="K39" s="125"/>
      <c r="L39" s="122" t="s">
        <v>30</v>
      </c>
      <c r="M39" s="82"/>
      <c r="N39" s="83"/>
      <c r="O39" s="126">
        <f>N12</f>
        <v>0</v>
      </c>
      <c r="P39" s="126">
        <f>N19</f>
        <v>0</v>
      </c>
      <c r="Q39" s="126">
        <f t="shared" ref="Q39:R39" si="13">SUM(N26)</f>
        <v>0</v>
      </c>
      <c r="R39" s="127">
        <f t="shared" si="13"/>
        <v>0</v>
      </c>
    </row>
    <row r="40" ht="16.5" customHeight="1">
      <c r="B40" s="128" t="s">
        <v>31</v>
      </c>
      <c r="C40" s="96"/>
      <c r="D40" s="97"/>
      <c r="E40" s="129" t="str">
        <f>E38/E37</f>
        <v>#DIV/0!</v>
      </c>
      <c r="F40" s="97"/>
      <c r="G40" s="129" t="str">
        <f>G38/G37</f>
        <v>#DIV/0!</v>
      </c>
      <c r="H40" s="97"/>
      <c r="I40" s="129" t="str">
        <f>I38/I37</f>
        <v>#DIV/0!</v>
      </c>
      <c r="J40" s="97"/>
      <c r="K40" s="129" t="str">
        <f>K38/K37</f>
        <v>#DIV/0!</v>
      </c>
      <c r="L40" s="130" t="s">
        <v>32</v>
      </c>
      <c r="M40" s="96"/>
      <c r="N40" s="97"/>
      <c r="O40" s="131" t="str">
        <f t="shared" ref="O40:R40" si="14">O39/O37</f>
        <v>#DIV/0!</v>
      </c>
      <c r="P40" s="131" t="str">
        <f t="shared" si="14"/>
        <v>#DIV/0!</v>
      </c>
      <c r="Q40" s="131" t="str">
        <f t="shared" si="14"/>
        <v>#DIV/0!</v>
      </c>
      <c r="R40" s="131" t="str">
        <f t="shared" si="14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5.86"/>
    <col customWidth="1" min="3" max="4" width="13.71"/>
    <col customWidth="1" min="5" max="8" width="10.29"/>
    <col customWidth="1" min="9" max="9" width="7.14"/>
    <col customWidth="1" min="10" max="10" width="18.43"/>
    <col customWidth="1" min="11" max="11" width="17.71"/>
    <col customWidth="1" min="12" max="12" width="15.86"/>
    <col customWidth="1" min="13" max="13" width="17.29"/>
    <col customWidth="1" min="14" max="14" width="18.29"/>
    <col customWidth="1" min="15" max="15" width="18.14"/>
    <col customWidth="1" min="16" max="16" width="17.71"/>
    <col customWidth="1" min="17" max="18" width="17.86"/>
    <col customWidth="1" min="19" max="19" width="43.0"/>
    <col customWidth="1" min="20" max="26" width="8.71"/>
  </cols>
  <sheetData>
    <row r="1" ht="16.5" customHeight="1"/>
    <row r="2" ht="16.5" customHeight="1">
      <c r="B2" s="1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>
      <c r="N3" s="4" t="s">
        <v>1</v>
      </c>
      <c r="O3" s="5"/>
      <c r="P3" s="6"/>
    </row>
    <row r="4" ht="27.75" customHeight="1">
      <c r="B4" s="7"/>
      <c r="C4" s="8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2" t="s">
        <v>7</v>
      </c>
      <c r="I4" s="13" t="s">
        <v>8</v>
      </c>
      <c r="J4" s="11" t="s">
        <v>49</v>
      </c>
      <c r="K4" s="11" t="s">
        <v>50</v>
      </c>
      <c r="L4" s="13" t="s">
        <v>51</v>
      </c>
      <c r="M4" s="9" t="s">
        <v>12</v>
      </c>
      <c r="N4" s="14" t="s">
        <v>13</v>
      </c>
      <c r="O4" s="15" t="s">
        <v>14</v>
      </c>
      <c r="P4" s="16"/>
      <c r="Q4" s="104"/>
      <c r="R4" s="104"/>
    </row>
    <row r="5" ht="16.5" customHeight="1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04"/>
      <c r="R5" s="104"/>
    </row>
    <row r="6" ht="16.5" customHeight="1">
      <c r="B6" s="20" t="s">
        <v>15</v>
      </c>
      <c r="C6" s="2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2"/>
      <c r="Q6" s="104"/>
      <c r="R6" s="104"/>
    </row>
    <row r="7" ht="16.5" customHeight="1">
      <c r="B7" s="23"/>
      <c r="C7" s="24">
        <v>0.0</v>
      </c>
      <c r="D7" s="24"/>
      <c r="E7" s="24"/>
      <c r="F7" s="24"/>
      <c r="G7" s="24"/>
      <c r="H7" s="24">
        <v>0.0</v>
      </c>
      <c r="I7" s="24">
        <v>0.0</v>
      </c>
      <c r="J7" s="25"/>
      <c r="K7" s="25"/>
      <c r="L7" s="25">
        <v>0.0</v>
      </c>
      <c r="M7" s="25"/>
      <c r="N7" s="101">
        <f>'25년 12월 5주차 강습 주간보고'!N7+J7+K7+L7</f>
        <v>0</v>
      </c>
      <c r="O7" s="27"/>
      <c r="P7" s="28"/>
      <c r="Q7" s="104"/>
      <c r="R7" s="104"/>
      <c r="S7" s="29" t="s">
        <v>16</v>
      </c>
      <c r="T7" s="30"/>
      <c r="U7" s="30"/>
      <c r="V7" s="31"/>
    </row>
    <row r="8" ht="16.5" customHeight="1">
      <c r="B8" s="32"/>
      <c r="C8" s="24">
        <v>0.0</v>
      </c>
      <c r="D8" s="24"/>
      <c r="E8" s="24"/>
      <c r="F8" s="24"/>
      <c r="G8" s="24"/>
      <c r="H8" s="24">
        <v>0.0</v>
      </c>
      <c r="I8" s="24">
        <v>0.0</v>
      </c>
      <c r="J8" s="25"/>
      <c r="K8" s="25"/>
      <c r="L8" s="25">
        <v>0.0</v>
      </c>
      <c r="M8" s="25"/>
      <c r="N8" s="101">
        <f>'25년 12월 5주차 강습 주간보고'!N8+J8+K8+L8</f>
        <v>0</v>
      </c>
      <c r="O8" s="33"/>
      <c r="P8" s="34"/>
      <c r="Q8" s="104"/>
      <c r="R8" s="104"/>
      <c r="S8" s="35" t="s">
        <v>17</v>
      </c>
      <c r="T8" s="36"/>
      <c r="U8" s="36"/>
      <c r="V8" s="37"/>
    </row>
    <row r="9" ht="16.5" customHeight="1">
      <c r="B9" s="38"/>
      <c r="C9" s="24">
        <v>0.0</v>
      </c>
      <c r="D9" s="24"/>
      <c r="E9" s="24"/>
      <c r="F9" s="24"/>
      <c r="G9" s="24"/>
      <c r="H9" s="24">
        <v>0.0</v>
      </c>
      <c r="I9" s="24">
        <v>0.0</v>
      </c>
      <c r="J9" s="25"/>
      <c r="K9" s="25"/>
      <c r="L9" s="25">
        <v>0.0</v>
      </c>
      <c r="M9" s="25"/>
      <c r="N9" s="101">
        <f>'25년 12월 5주차 강습 주간보고'!N9+J9+K9+L9</f>
        <v>0</v>
      </c>
      <c r="O9" s="39"/>
      <c r="P9" s="34"/>
      <c r="Q9" s="104"/>
      <c r="R9" s="104"/>
      <c r="S9" s="40" t="s">
        <v>18</v>
      </c>
      <c r="T9" s="41"/>
      <c r="U9" s="41"/>
      <c r="V9" s="42"/>
    </row>
    <row r="10" ht="16.5" customHeight="1">
      <c r="B10" s="38"/>
      <c r="C10" s="24">
        <v>0.0</v>
      </c>
      <c r="D10" s="24"/>
      <c r="E10" s="24"/>
      <c r="F10" s="24"/>
      <c r="G10" s="24"/>
      <c r="H10" s="24">
        <v>0.0</v>
      </c>
      <c r="I10" s="24">
        <v>0.0</v>
      </c>
      <c r="J10" s="25"/>
      <c r="K10" s="25"/>
      <c r="L10" s="25">
        <v>0.0</v>
      </c>
      <c r="M10" s="25"/>
      <c r="N10" s="101">
        <f>'25년 12월 5주차 강습 주간보고'!N10+J10+K10+L10</f>
        <v>0</v>
      </c>
      <c r="O10" s="39"/>
      <c r="P10" s="34"/>
      <c r="Q10" s="104"/>
      <c r="R10" s="104"/>
      <c r="S10" s="43" t="s">
        <v>19</v>
      </c>
      <c r="T10" s="44"/>
      <c r="U10" s="44"/>
      <c r="V10" s="45"/>
    </row>
    <row r="11" ht="16.5" customHeight="1">
      <c r="B11" s="46"/>
      <c r="C11" s="24">
        <v>0.0</v>
      </c>
      <c r="D11" s="24"/>
      <c r="E11" s="24"/>
      <c r="F11" s="24"/>
      <c r="G11" s="24"/>
      <c r="H11" s="24">
        <v>0.0</v>
      </c>
      <c r="I11" s="24">
        <v>0.0</v>
      </c>
      <c r="J11" s="25"/>
      <c r="K11" s="25"/>
      <c r="L11" s="25">
        <v>0.0</v>
      </c>
      <c r="M11" s="25"/>
      <c r="N11" s="101">
        <f>'25년 12월 5주차 강습 주간보고'!N11+J11+K11+L11</f>
        <v>0</v>
      </c>
      <c r="O11" s="39"/>
      <c r="P11" s="34"/>
      <c r="Q11" s="104"/>
      <c r="R11" s="104"/>
    </row>
    <row r="12" ht="16.5" customHeight="1">
      <c r="B12" s="47" t="s">
        <v>20</v>
      </c>
      <c r="C12" s="102">
        <f t="shared" ref="C12:O12" si="1">SUM(C7:C11)</f>
        <v>0</v>
      </c>
      <c r="D12" s="103">
        <f t="shared" si="1"/>
        <v>0</v>
      </c>
      <c r="E12" s="103">
        <f t="shared" si="1"/>
        <v>0</v>
      </c>
      <c r="F12" s="103">
        <f t="shared" si="1"/>
        <v>0</v>
      </c>
      <c r="G12" s="103">
        <f t="shared" si="1"/>
        <v>0</v>
      </c>
      <c r="H12" s="102">
        <f t="shared" si="1"/>
        <v>0</v>
      </c>
      <c r="I12" s="102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48">
        <f t="shared" si="1"/>
        <v>0</v>
      </c>
      <c r="P12" s="52"/>
      <c r="Q12" s="105"/>
      <c r="R12" s="104"/>
    </row>
    <row r="13" ht="16.5" customHeight="1">
      <c r="B13" s="20" t="s">
        <v>21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  <c r="Q13" s="104"/>
      <c r="R13" s="104"/>
    </row>
    <row r="14" ht="16.5" customHeight="1">
      <c r="B14" s="23"/>
      <c r="C14" s="24">
        <v>0.0</v>
      </c>
      <c r="D14" s="24"/>
      <c r="E14" s="24"/>
      <c r="F14" s="24"/>
      <c r="G14" s="24"/>
      <c r="H14" s="24">
        <v>0.0</v>
      </c>
      <c r="I14" s="24">
        <v>0.0</v>
      </c>
      <c r="J14" s="25"/>
      <c r="K14" s="25"/>
      <c r="L14" s="25">
        <v>0.0</v>
      </c>
      <c r="M14" s="25"/>
      <c r="N14" s="101">
        <f>'25년 12월 5주차 강습 주간보고'!N14+J14+K14+L14</f>
        <v>0</v>
      </c>
      <c r="O14" s="55"/>
      <c r="P14" s="56"/>
      <c r="Q14" s="104"/>
      <c r="R14" s="104"/>
    </row>
    <row r="15" ht="16.5" customHeight="1">
      <c r="B15" s="32"/>
      <c r="C15" s="24">
        <v>0.0</v>
      </c>
      <c r="D15" s="24"/>
      <c r="E15" s="24"/>
      <c r="F15" s="24"/>
      <c r="G15" s="24"/>
      <c r="H15" s="24">
        <v>0.0</v>
      </c>
      <c r="I15" s="24">
        <v>0.0</v>
      </c>
      <c r="J15" s="25"/>
      <c r="K15" s="25"/>
      <c r="L15" s="25">
        <v>0.0</v>
      </c>
      <c r="M15" s="25"/>
      <c r="N15" s="101">
        <f>'25년 12월 5주차 강습 주간보고'!N15+J15+K15+L15</f>
        <v>0</v>
      </c>
      <c r="O15" s="57"/>
      <c r="P15" s="34"/>
      <c r="Q15" s="104"/>
      <c r="R15" s="104"/>
    </row>
    <row r="16" ht="16.5" customHeight="1">
      <c r="B16" s="32"/>
      <c r="C16" s="24">
        <v>0.0</v>
      </c>
      <c r="D16" s="24"/>
      <c r="E16" s="24"/>
      <c r="F16" s="24"/>
      <c r="G16" s="24"/>
      <c r="H16" s="24">
        <v>0.0</v>
      </c>
      <c r="I16" s="24">
        <v>0.0</v>
      </c>
      <c r="J16" s="25"/>
      <c r="K16" s="25"/>
      <c r="L16" s="25">
        <v>0.0</v>
      </c>
      <c r="M16" s="25"/>
      <c r="N16" s="101">
        <f>'25년 12월 5주차 강습 주간보고'!N16+J16+K16+L16</f>
        <v>0</v>
      </c>
      <c r="O16" s="57"/>
      <c r="P16" s="34"/>
      <c r="Q16" s="104"/>
      <c r="R16" s="104"/>
    </row>
    <row r="17" ht="16.5" customHeight="1">
      <c r="B17" s="32"/>
      <c r="C17" s="24">
        <v>0.0</v>
      </c>
      <c r="D17" s="24"/>
      <c r="E17" s="24"/>
      <c r="F17" s="24"/>
      <c r="G17" s="24"/>
      <c r="H17" s="24">
        <v>0.0</v>
      </c>
      <c r="I17" s="24">
        <v>0.0</v>
      </c>
      <c r="J17" s="25"/>
      <c r="K17" s="25"/>
      <c r="L17" s="25">
        <v>0.0</v>
      </c>
      <c r="M17" s="25"/>
      <c r="N17" s="101">
        <f>'25년 12월 5주차 강습 주간보고'!N17+J17+K17+L17</f>
        <v>0</v>
      </c>
      <c r="O17" s="57"/>
      <c r="P17" s="34"/>
      <c r="Q17" s="104"/>
      <c r="R17" s="104"/>
    </row>
    <row r="18" ht="16.5" customHeight="1">
      <c r="B18" s="106"/>
      <c r="C18" s="24">
        <v>0.0</v>
      </c>
      <c r="D18" s="24"/>
      <c r="E18" s="24"/>
      <c r="F18" s="24"/>
      <c r="G18" s="24"/>
      <c r="H18" s="24">
        <v>0.0</v>
      </c>
      <c r="I18" s="24">
        <v>0.0</v>
      </c>
      <c r="J18" s="25"/>
      <c r="K18" s="25"/>
      <c r="L18" s="25">
        <v>0.0</v>
      </c>
      <c r="M18" s="25"/>
      <c r="N18" s="101">
        <f>'25년 12월 5주차 강습 주간보고'!N18+J18+K18+L18</f>
        <v>0</v>
      </c>
      <c r="O18" s="57"/>
      <c r="P18" s="34"/>
      <c r="Q18" s="104"/>
      <c r="R18" s="104"/>
    </row>
    <row r="19" ht="16.5" customHeight="1">
      <c r="B19" s="47" t="s">
        <v>20</v>
      </c>
      <c r="C19" s="102">
        <f t="shared" ref="C19:O19" si="2">SUM(C14:C18)</f>
        <v>0</v>
      </c>
      <c r="D19" s="103">
        <f t="shared" si="2"/>
        <v>0</v>
      </c>
      <c r="E19" s="103">
        <f t="shared" si="2"/>
        <v>0</v>
      </c>
      <c r="F19" s="103">
        <f t="shared" si="2"/>
        <v>0</v>
      </c>
      <c r="G19" s="103">
        <f t="shared" si="2"/>
        <v>0</v>
      </c>
      <c r="H19" s="102">
        <f t="shared" si="2"/>
        <v>0</v>
      </c>
      <c r="I19" s="102">
        <f t="shared" si="2"/>
        <v>0</v>
      </c>
      <c r="J19" s="51">
        <f t="shared" si="2"/>
        <v>0</v>
      </c>
      <c r="K19" s="51">
        <f t="shared" si="2"/>
        <v>0</v>
      </c>
      <c r="L19" s="51">
        <f t="shared" si="2"/>
        <v>0</v>
      </c>
      <c r="M19" s="51">
        <f t="shared" si="2"/>
        <v>0</v>
      </c>
      <c r="N19" s="51">
        <f t="shared" si="2"/>
        <v>0</v>
      </c>
      <c r="O19" s="48">
        <f t="shared" si="2"/>
        <v>0</v>
      </c>
      <c r="P19" s="58"/>
      <c r="Q19" s="105"/>
      <c r="R19" s="104"/>
    </row>
    <row r="20" ht="16.5" customHeight="1">
      <c r="B20" s="20" t="s">
        <v>22</v>
      </c>
      <c r="C20" s="2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104"/>
      <c r="R20" s="104"/>
    </row>
    <row r="21" ht="16.5" customHeight="1">
      <c r="B21" s="23"/>
      <c r="C21" s="24">
        <v>0.0</v>
      </c>
      <c r="D21" s="24"/>
      <c r="E21" s="24"/>
      <c r="F21" s="24"/>
      <c r="G21" s="24"/>
      <c r="H21" s="24">
        <v>0.0</v>
      </c>
      <c r="I21" s="24">
        <f t="shared" ref="I21:I26" si="3">SUM(C21,F21,G21,H21)</f>
        <v>0</v>
      </c>
      <c r="J21" s="25"/>
      <c r="K21" s="25"/>
      <c r="L21" s="25">
        <v>0.0</v>
      </c>
      <c r="M21" s="25"/>
      <c r="N21" s="101">
        <f>'25년 12월 5주차 강습 주간보고'!N21+J21+K21+L21</f>
        <v>0</v>
      </c>
      <c r="O21" s="59"/>
      <c r="P21" s="28"/>
      <c r="Q21" s="104"/>
      <c r="R21" s="104"/>
    </row>
    <row r="22" ht="16.5" customHeight="1">
      <c r="B22" s="32"/>
      <c r="C22" s="24">
        <v>0.0</v>
      </c>
      <c r="D22" s="24"/>
      <c r="E22" s="24"/>
      <c r="F22" s="24"/>
      <c r="G22" s="24"/>
      <c r="H22" s="24">
        <v>0.0</v>
      </c>
      <c r="I22" s="24">
        <f t="shared" si="3"/>
        <v>0</v>
      </c>
      <c r="J22" s="25"/>
      <c r="K22" s="25"/>
      <c r="L22" s="25">
        <v>0.0</v>
      </c>
      <c r="M22" s="25"/>
      <c r="N22" s="101">
        <f>'25년 12월 5주차 강습 주간보고'!N22+J22+K22+L22</f>
        <v>0</v>
      </c>
      <c r="O22" s="33"/>
      <c r="P22" s="34"/>
      <c r="Q22" s="104"/>
      <c r="R22" s="104"/>
    </row>
    <row r="23" ht="16.5" customHeight="1">
      <c r="B23" s="106"/>
      <c r="C23" s="24">
        <v>0.0</v>
      </c>
      <c r="D23" s="24"/>
      <c r="E23" s="24"/>
      <c r="F23" s="24"/>
      <c r="G23" s="24"/>
      <c r="H23" s="24">
        <v>0.0</v>
      </c>
      <c r="I23" s="24">
        <f t="shared" si="3"/>
        <v>0</v>
      </c>
      <c r="J23" s="25"/>
      <c r="K23" s="25"/>
      <c r="L23" s="25">
        <v>0.0</v>
      </c>
      <c r="M23" s="25"/>
      <c r="N23" s="101">
        <f>'25년 12월 5주차 강습 주간보고'!N23+J23+K23+L23</f>
        <v>0</v>
      </c>
      <c r="O23" s="33"/>
      <c r="P23" s="34"/>
      <c r="Q23" s="104"/>
      <c r="R23" s="104"/>
    </row>
    <row r="24" ht="16.5" customHeight="1">
      <c r="B24" s="106"/>
      <c r="C24" s="24">
        <v>0.0</v>
      </c>
      <c r="D24" s="24"/>
      <c r="E24" s="24"/>
      <c r="F24" s="24"/>
      <c r="G24" s="24"/>
      <c r="H24" s="24">
        <v>0.0</v>
      </c>
      <c r="I24" s="24">
        <f t="shared" si="3"/>
        <v>0</v>
      </c>
      <c r="J24" s="25"/>
      <c r="K24" s="25"/>
      <c r="L24" s="25">
        <v>0.0</v>
      </c>
      <c r="M24" s="25"/>
      <c r="N24" s="101">
        <f>'25년 12월 5주차 강습 주간보고'!N24+J24+K24+L24</f>
        <v>0</v>
      </c>
      <c r="O24" s="33"/>
      <c r="P24" s="34"/>
      <c r="Q24" s="104"/>
      <c r="R24" s="104"/>
    </row>
    <row r="25" ht="16.5" customHeight="1">
      <c r="B25" s="106"/>
      <c r="C25" s="24">
        <v>0.0</v>
      </c>
      <c r="D25" s="24"/>
      <c r="E25" s="24"/>
      <c r="F25" s="24"/>
      <c r="G25" s="24"/>
      <c r="H25" s="24">
        <v>0.0</v>
      </c>
      <c r="I25" s="24">
        <f t="shared" si="3"/>
        <v>0</v>
      </c>
      <c r="J25" s="25"/>
      <c r="K25" s="25"/>
      <c r="L25" s="25">
        <v>0.0</v>
      </c>
      <c r="M25" s="25"/>
      <c r="N25" s="101">
        <f>'25년 12월 5주차 강습 주간보고'!N25+J25+K25+L25</f>
        <v>0</v>
      </c>
      <c r="O25" s="33"/>
      <c r="P25" s="34"/>
      <c r="Q25" s="107"/>
      <c r="R25" s="104"/>
    </row>
    <row r="26" ht="16.5" customHeight="1">
      <c r="B26" s="47" t="s">
        <v>20</v>
      </c>
      <c r="C26" s="102">
        <f t="shared" ref="C26:H26" si="4">SUM(C21:C25)</f>
        <v>0</v>
      </c>
      <c r="D26" s="103">
        <f t="shared" si="4"/>
        <v>0</v>
      </c>
      <c r="E26" s="103">
        <f t="shared" si="4"/>
        <v>0</v>
      </c>
      <c r="F26" s="103">
        <f t="shared" si="4"/>
        <v>0</v>
      </c>
      <c r="G26" s="103">
        <f t="shared" si="4"/>
        <v>0</v>
      </c>
      <c r="H26" s="102">
        <f t="shared" si="4"/>
        <v>0</v>
      </c>
      <c r="I26" s="102">
        <f t="shared" si="3"/>
        <v>0</v>
      </c>
      <c r="J26" s="51">
        <f t="shared" ref="J26:O26" si="5">SUM(J21:J25)</f>
        <v>0</v>
      </c>
      <c r="K26" s="51">
        <f t="shared" si="5"/>
        <v>0</v>
      </c>
      <c r="L26" s="51">
        <f t="shared" si="5"/>
        <v>0</v>
      </c>
      <c r="M26" s="51">
        <f t="shared" si="5"/>
        <v>0</v>
      </c>
      <c r="N26" s="51">
        <f t="shared" si="5"/>
        <v>0</v>
      </c>
      <c r="O26" s="48">
        <f t="shared" si="5"/>
        <v>0</v>
      </c>
      <c r="P26" s="61"/>
      <c r="Q26" s="104"/>
      <c r="R26" s="104"/>
    </row>
    <row r="27" ht="16.5" customHeight="1">
      <c r="B27" s="62" t="s">
        <v>23</v>
      </c>
      <c r="C27" s="2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107"/>
      <c r="R27" s="104"/>
    </row>
    <row r="28" ht="16.5" customHeight="1">
      <c r="B28" s="23"/>
      <c r="C28" s="24">
        <v>0.0</v>
      </c>
      <c r="D28" s="24"/>
      <c r="E28" s="24"/>
      <c r="F28" s="24"/>
      <c r="G28" s="24"/>
      <c r="H28" s="24">
        <v>0.0</v>
      </c>
      <c r="I28" s="24">
        <f t="shared" ref="I28:I33" si="6">SUM(C28,F28,G28,H28)</f>
        <v>0</v>
      </c>
      <c r="J28" s="25"/>
      <c r="K28" s="25"/>
      <c r="L28" s="25">
        <v>0.0</v>
      </c>
      <c r="M28" s="25"/>
      <c r="N28" s="101">
        <f>'25년 12월 5주차 강습 주간보고'!N28+J28+K28+L28</f>
        <v>0</v>
      </c>
      <c r="O28" s="59"/>
      <c r="P28" s="28"/>
      <c r="Q28" s="104"/>
      <c r="R28" s="104"/>
    </row>
    <row r="29" ht="16.5" customHeight="1">
      <c r="B29" s="32"/>
      <c r="C29" s="24">
        <v>0.0</v>
      </c>
      <c r="D29" s="24"/>
      <c r="E29" s="24"/>
      <c r="F29" s="24"/>
      <c r="G29" s="24"/>
      <c r="H29" s="24">
        <v>0.0</v>
      </c>
      <c r="I29" s="24">
        <f t="shared" si="6"/>
        <v>0</v>
      </c>
      <c r="J29" s="25"/>
      <c r="K29" s="25"/>
      <c r="L29" s="25">
        <v>0.0</v>
      </c>
      <c r="M29" s="25"/>
      <c r="N29" s="101">
        <f>'25년 12월 5주차 강습 주간보고'!N29+J29+K29+L29</f>
        <v>0</v>
      </c>
      <c r="O29" s="33"/>
      <c r="P29" s="34"/>
      <c r="Q29" s="104"/>
      <c r="R29" s="104"/>
    </row>
    <row r="30" ht="16.5" customHeight="1">
      <c r="B30" s="106"/>
      <c r="C30" s="24">
        <v>0.0</v>
      </c>
      <c r="D30" s="24"/>
      <c r="E30" s="24"/>
      <c r="F30" s="24"/>
      <c r="G30" s="24"/>
      <c r="H30" s="24">
        <v>0.0</v>
      </c>
      <c r="I30" s="24">
        <f t="shared" si="6"/>
        <v>0</v>
      </c>
      <c r="J30" s="25"/>
      <c r="K30" s="25"/>
      <c r="L30" s="25">
        <v>0.0</v>
      </c>
      <c r="M30" s="25"/>
      <c r="N30" s="101">
        <f>'25년 12월 5주차 강습 주간보고'!N30+J30+K30+L30</f>
        <v>0</v>
      </c>
      <c r="O30" s="33"/>
      <c r="P30" s="34"/>
      <c r="Q30" s="104"/>
      <c r="R30" s="104"/>
    </row>
    <row r="31" ht="16.5" customHeight="1">
      <c r="B31" s="106"/>
      <c r="C31" s="24">
        <v>0.0</v>
      </c>
      <c r="D31" s="24"/>
      <c r="E31" s="24"/>
      <c r="F31" s="24"/>
      <c r="G31" s="24"/>
      <c r="H31" s="24">
        <v>0.0</v>
      </c>
      <c r="I31" s="24">
        <f t="shared" si="6"/>
        <v>0</v>
      </c>
      <c r="J31" s="25"/>
      <c r="K31" s="25"/>
      <c r="L31" s="25">
        <v>0.0</v>
      </c>
      <c r="M31" s="25"/>
      <c r="N31" s="101">
        <f>'25년 12월 5주차 강습 주간보고'!N31+J31+K31+L31</f>
        <v>0</v>
      </c>
      <c r="O31" s="33"/>
      <c r="P31" s="34"/>
      <c r="Q31" s="104"/>
      <c r="R31" s="104"/>
    </row>
    <row r="32" ht="16.5" customHeight="1">
      <c r="B32" s="106"/>
      <c r="C32" s="24">
        <v>0.0</v>
      </c>
      <c r="D32" s="24"/>
      <c r="E32" s="24"/>
      <c r="F32" s="24"/>
      <c r="G32" s="24"/>
      <c r="H32" s="24">
        <v>0.0</v>
      </c>
      <c r="I32" s="24">
        <f t="shared" si="6"/>
        <v>0</v>
      </c>
      <c r="J32" s="25"/>
      <c r="K32" s="25"/>
      <c r="L32" s="25">
        <v>0.0</v>
      </c>
      <c r="M32" s="25"/>
      <c r="N32" s="101">
        <f>'25년 12월 5주차 강습 주간보고'!N32+J32+K32+L32</f>
        <v>0</v>
      </c>
      <c r="O32" s="33"/>
      <c r="P32" s="34"/>
      <c r="Q32" s="108"/>
      <c r="R32" s="104"/>
    </row>
    <row r="33" ht="16.5" customHeight="1">
      <c r="B33" s="47" t="s">
        <v>20</v>
      </c>
      <c r="C33" s="102">
        <f t="shared" ref="C33:H33" si="7">SUM(C28:C32)</f>
        <v>0</v>
      </c>
      <c r="D33" s="103">
        <f t="shared" si="7"/>
        <v>0</v>
      </c>
      <c r="E33" s="103">
        <f t="shared" si="7"/>
        <v>0</v>
      </c>
      <c r="F33" s="103">
        <f t="shared" si="7"/>
        <v>0</v>
      </c>
      <c r="G33" s="103">
        <f t="shared" si="7"/>
        <v>0</v>
      </c>
      <c r="H33" s="102">
        <f t="shared" si="7"/>
        <v>0</v>
      </c>
      <c r="I33" s="102">
        <f t="shared" si="6"/>
        <v>0</v>
      </c>
      <c r="J33" s="51">
        <f t="shared" ref="J33:O33" si="8">SUM(J28:J32)</f>
        <v>0</v>
      </c>
      <c r="K33" s="51">
        <f t="shared" si="8"/>
        <v>0</v>
      </c>
      <c r="L33" s="51">
        <f t="shared" si="8"/>
        <v>0</v>
      </c>
      <c r="M33" s="51">
        <f t="shared" si="8"/>
        <v>0</v>
      </c>
      <c r="N33" s="51">
        <f t="shared" si="8"/>
        <v>0</v>
      </c>
      <c r="O33" s="48">
        <f t="shared" si="8"/>
        <v>0</v>
      </c>
      <c r="P33" s="61"/>
      <c r="Q33" s="104"/>
      <c r="R33" s="104"/>
    </row>
    <row r="34" ht="16.5" customHeight="1">
      <c r="B34" s="63" t="s">
        <v>24</v>
      </c>
      <c r="C34" s="64">
        <f>SUM(C26,C33,C19, C12)</f>
        <v>0</v>
      </c>
      <c r="D34" s="64">
        <f t="shared" ref="D34:G34" si="9">D19+D26+D33+D12</f>
        <v>0</v>
      </c>
      <c r="E34" s="64">
        <f t="shared" si="9"/>
        <v>0</v>
      </c>
      <c r="F34" s="64">
        <f t="shared" si="9"/>
        <v>0</v>
      </c>
      <c r="G34" s="64">
        <f t="shared" si="9"/>
        <v>0</v>
      </c>
      <c r="H34" s="64">
        <f t="shared" ref="H34:I34" si="10">SUM(H26,H33,H19,H12)</f>
        <v>0</v>
      </c>
      <c r="I34" s="64">
        <f t="shared" si="10"/>
        <v>0</v>
      </c>
      <c r="J34" s="66">
        <f t="shared" ref="J34:N34" si="11">J19+J26+J33+J12</f>
        <v>0</v>
      </c>
      <c r="K34" s="66">
        <f t="shared" si="11"/>
        <v>0</v>
      </c>
      <c r="L34" s="66">
        <f t="shared" si="11"/>
        <v>0</v>
      </c>
      <c r="M34" s="66">
        <f t="shared" si="11"/>
        <v>0</v>
      </c>
      <c r="N34" s="66">
        <f t="shared" si="11"/>
        <v>0</v>
      </c>
      <c r="O34" s="67">
        <f>SUM(O26,O33,O19,O12)</f>
        <v>0</v>
      </c>
      <c r="P34" s="68"/>
      <c r="Q34" s="104"/>
      <c r="R34" s="104"/>
    </row>
    <row r="35" ht="16.5" customHeight="1">
      <c r="B35" s="104"/>
      <c r="C35" s="104"/>
      <c r="D35" s="104"/>
      <c r="E35" s="104"/>
      <c r="F35" s="104"/>
      <c r="G35" s="104"/>
      <c r="H35" s="104"/>
      <c r="I35" s="104"/>
      <c r="J35" s="109"/>
      <c r="K35" s="109"/>
      <c r="L35" s="104"/>
      <c r="M35" s="109"/>
      <c r="N35" s="109"/>
      <c r="O35" s="104"/>
      <c r="P35" s="104"/>
      <c r="Q35" s="104"/>
      <c r="R35" s="104"/>
    </row>
    <row r="36" ht="16.5" customHeight="1">
      <c r="B36" s="110"/>
      <c r="C36" s="73"/>
      <c r="D36" s="74"/>
      <c r="E36" s="111" t="s">
        <v>15</v>
      </c>
      <c r="F36" s="74"/>
      <c r="G36" s="111" t="s">
        <v>21</v>
      </c>
      <c r="H36" s="74"/>
      <c r="I36" s="111" t="s">
        <v>22</v>
      </c>
      <c r="J36" s="74"/>
      <c r="K36" s="111" t="s">
        <v>23</v>
      </c>
      <c r="L36" s="112"/>
      <c r="M36" s="73"/>
      <c r="N36" s="74"/>
      <c r="O36" s="113" t="s">
        <v>15</v>
      </c>
      <c r="P36" s="114" t="s">
        <v>21</v>
      </c>
      <c r="Q36" s="114" t="s">
        <v>22</v>
      </c>
      <c r="R36" s="115" t="s">
        <v>23</v>
      </c>
    </row>
    <row r="37" ht="16.5" customHeight="1">
      <c r="B37" s="116" t="s">
        <v>25</v>
      </c>
      <c r="C37" s="82"/>
      <c r="D37" s="83"/>
      <c r="E37" s="117"/>
      <c r="F37" s="83"/>
      <c r="G37" s="117"/>
      <c r="H37" s="83"/>
      <c r="I37" s="117"/>
      <c r="J37" s="83"/>
      <c r="K37" s="117"/>
      <c r="L37" s="118" t="s">
        <v>26</v>
      </c>
      <c r="M37" s="82"/>
      <c r="N37" s="83"/>
      <c r="O37" s="119"/>
      <c r="P37" s="119"/>
      <c r="Q37" s="119"/>
      <c r="R37" s="120"/>
    </row>
    <row r="38" ht="16.5" customHeight="1">
      <c r="B38" s="116" t="s">
        <v>27</v>
      </c>
      <c r="C38" s="82"/>
      <c r="D38" s="83"/>
      <c r="E38" s="121">
        <v>0.0</v>
      </c>
      <c r="F38" s="83"/>
      <c r="G38" s="121">
        <v>0.0</v>
      </c>
      <c r="H38" s="83"/>
      <c r="I38" s="121">
        <v>0.0</v>
      </c>
      <c r="J38" s="83"/>
      <c r="K38" s="121">
        <v>0.0</v>
      </c>
      <c r="L38" s="122" t="s">
        <v>28</v>
      </c>
      <c r="M38" s="82"/>
      <c r="N38" s="83"/>
      <c r="O38" s="123">
        <f t="shared" ref="O38:R38" si="12">SUM(O37-O39)</f>
        <v>0</v>
      </c>
      <c r="P38" s="123">
        <f t="shared" si="12"/>
        <v>0</v>
      </c>
      <c r="Q38" s="123">
        <f t="shared" si="12"/>
        <v>0</v>
      </c>
      <c r="R38" s="124">
        <f t="shared" si="12"/>
        <v>0</v>
      </c>
    </row>
    <row r="39" ht="16.5" customHeight="1">
      <c r="B39" s="116" t="s">
        <v>29</v>
      </c>
      <c r="C39" s="82"/>
      <c r="D39" s="83"/>
      <c r="E39" s="125"/>
      <c r="F39" s="83"/>
      <c r="G39" s="125"/>
      <c r="H39" s="83"/>
      <c r="I39" s="125"/>
      <c r="J39" s="83"/>
      <c r="K39" s="125"/>
      <c r="L39" s="122" t="s">
        <v>30</v>
      </c>
      <c r="M39" s="82"/>
      <c r="N39" s="83"/>
      <c r="O39" s="126">
        <f>N12</f>
        <v>0</v>
      </c>
      <c r="P39" s="126">
        <f>N19</f>
        <v>0</v>
      </c>
      <c r="Q39" s="126">
        <f t="shared" ref="Q39:R39" si="13">SUM(N26)</f>
        <v>0</v>
      </c>
      <c r="R39" s="127">
        <f t="shared" si="13"/>
        <v>0</v>
      </c>
    </row>
    <row r="40" ht="16.5" customHeight="1">
      <c r="B40" s="128" t="s">
        <v>31</v>
      </c>
      <c r="C40" s="96"/>
      <c r="D40" s="97"/>
      <c r="E40" s="129" t="str">
        <f>E38/E37</f>
        <v>#DIV/0!</v>
      </c>
      <c r="F40" s="97"/>
      <c r="G40" s="129" t="str">
        <f>G38/G37</f>
        <v>#DIV/0!</v>
      </c>
      <c r="H40" s="97"/>
      <c r="I40" s="129" t="str">
        <f>I38/I37</f>
        <v>#DIV/0!</v>
      </c>
      <c r="J40" s="97"/>
      <c r="K40" s="129" t="str">
        <f>K38/K37</f>
        <v>#DIV/0!</v>
      </c>
      <c r="L40" s="130" t="s">
        <v>32</v>
      </c>
      <c r="M40" s="96"/>
      <c r="N40" s="97"/>
      <c r="O40" s="131" t="str">
        <f t="shared" ref="O40:R40" si="14">O39/O37</f>
        <v>#DIV/0!</v>
      </c>
      <c r="P40" s="131" t="str">
        <f t="shared" si="14"/>
        <v>#DIV/0!</v>
      </c>
      <c r="Q40" s="131" t="str">
        <f t="shared" si="14"/>
        <v>#DIV/0!</v>
      </c>
      <c r="R40" s="131" t="str">
        <f t="shared" si="14"/>
        <v>#DIV/0!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9">
    <mergeCell ref="I36:J36"/>
    <mergeCell ref="L36:N36"/>
    <mergeCell ref="C6:P6"/>
    <mergeCell ref="C13:P13"/>
    <mergeCell ref="C20:P20"/>
    <mergeCell ref="C27:P27"/>
    <mergeCell ref="B36:D36"/>
    <mergeCell ref="E36:F36"/>
    <mergeCell ref="G36:H36"/>
    <mergeCell ref="G38:H38"/>
    <mergeCell ref="I38:J38"/>
    <mergeCell ref="B37:D37"/>
    <mergeCell ref="E37:F37"/>
    <mergeCell ref="G37:H37"/>
    <mergeCell ref="I37:J37"/>
    <mergeCell ref="L37:N37"/>
    <mergeCell ref="E38:F38"/>
    <mergeCell ref="L38:N38"/>
    <mergeCell ref="E40:F40"/>
    <mergeCell ref="G40:H40"/>
    <mergeCell ref="B38:D38"/>
    <mergeCell ref="B39:D39"/>
    <mergeCell ref="E39:F39"/>
    <mergeCell ref="G39:H39"/>
    <mergeCell ref="I39:J39"/>
    <mergeCell ref="B40:D40"/>
    <mergeCell ref="I40:J40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7:V7"/>
    <mergeCell ref="S9:V9"/>
    <mergeCell ref="S10:V10"/>
    <mergeCell ref="B2:P2"/>
    <mergeCell ref="N3:P3"/>
    <mergeCell ref="B4:B5"/>
    <mergeCell ref="C4:C5"/>
    <mergeCell ref="D4:D5"/>
    <mergeCell ref="E4:E5"/>
    <mergeCell ref="F4:F5"/>
    <mergeCell ref="L39:N39"/>
    <mergeCell ref="L40:N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3" width="19.71"/>
    <col customWidth="1" min="4" max="4" width="33.71"/>
    <col customWidth="1" min="5" max="6" width="13.43"/>
    <col customWidth="1" min="7" max="7" width="25.29"/>
    <col customWidth="1" min="8" max="8" width="15.29"/>
    <col customWidth="1" min="9" max="10" width="12.0"/>
    <col customWidth="1" min="11" max="11" width="11.29"/>
    <col customWidth="1" min="12" max="12" width="8.29"/>
    <col customWidth="1" min="13" max="13" width="9.71"/>
    <col customWidth="1" min="14" max="14" width="8.29"/>
    <col customWidth="1" min="15" max="15" width="11.43"/>
    <col customWidth="1" min="16" max="16" width="20.86"/>
    <col customWidth="1" min="17" max="17" width="13.71"/>
    <col customWidth="1" min="18" max="18" width="12.57"/>
    <col customWidth="1" min="19" max="19" width="21.57"/>
    <col customWidth="1" min="20" max="26" width="9.0"/>
  </cols>
  <sheetData>
    <row r="1" ht="16.5" customHeight="1"/>
    <row r="2" ht="16.5" customHeight="1">
      <c r="C2" s="132" t="s">
        <v>52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133" t="s">
        <v>53</v>
      </c>
      <c r="Q2" s="134" t="s">
        <v>54</v>
      </c>
      <c r="R2" s="135" t="s">
        <v>55</v>
      </c>
    </row>
    <row r="3" ht="16.5" customHeight="1">
      <c r="C3" s="136"/>
      <c r="O3" s="137"/>
      <c r="P3" s="138" t="str">
        <f>G8/I10</f>
        <v>#DIV/0!</v>
      </c>
      <c r="Q3" s="139" t="str">
        <f>P3/R3</f>
        <v>#DIV/0!</v>
      </c>
      <c r="R3" s="140" t="str">
        <f>G8/D13</f>
        <v>#DIV/0!</v>
      </c>
    </row>
    <row r="4" ht="16.5" customHeight="1">
      <c r="C4" s="141" t="s">
        <v>56</v>
      </c>
      <c r="D4" s="142" t="s">
        <v>57</v>
      </c>
      <c r="E4" s="2"/>
      <c r="F4" s="2"/>
      <c r="G4" s="2"/>
      <c r="H4" s="22"/>
      <c r="I4" s="143" t="s">
        <v>58</v>
      </c>
      <c r="J4" s="144">
        <v>46023.0</v>
      </c>
      <c r="K4" s="2"/>
      <c r="L4" s="22"/>
      <c r="M4" s="143" t="s">
        <v>59</v>
      </c>
      <c r="N4" s="145"/>
      <c r="O4" s="3"/>
      <c r="P4" s="146" t="s">
        <v>60</v>
      </c>
      <c r="Q4" s="30"/>
      <c r="R4" s="30"/>
      <c r="S4" s="31"/>
    </row>
    <row r="5" ht="16.5" customHeight="1">
      <c r="C5" s="136"/>
      <c r="O5" s="137"/>
      <c r="P5" s="147" t="s">
        <v>61</v>
      </c>
      <c r="Q5" s="148"/>
      <c r="R5" s="148"/>
      <c r="S5" s="149"/>
    </row>
    <row r="6" ht="18.75" customHeight="1">
      <c r="C6" s="150" t="s">
        <v>62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2"/>
      <c r="P6" s="153" t="s">
        <v>63</v>
      </c>
      <c r="Q6" s="41"/>
      <c r="R6" s="41"/>
      <c r="S6" s="42"/>
    </row>
    <row r="7" ht="17.25" customHeight="1">
      <c r="C7" s="154" t="s">
        <v>64</v>
      </c>
      <c r="D7" s="155" t="s">
        <v>65</v>
      </c>
      <c r="E7" s="156"/>
      <c r="F7" s="157"/>
      <c r="G7" s="155" t="s">
        <v>66</v>
      </c>
      <c r="H7" s="156"/>
      <c r="I7" s="157"/>
      <c r="J7" s="158" t="s">
        <v>67</v>
      </c>
      <c r="K7" s="159" t="s">
        <v>68</v>
      </c>
      <c r="L7" s="82"/>
      <c r="M7" s="82"/>
      <c r="N7" s="82"/>
      <c r="O7" s="160"/>
      <c r="P7" s="161" t="s">
        <v>69</v>
      </c>
      <c r="Q7" s="44"/>
      <c r="R7" s="44"/>
      <c r="S7" s="45"/>
    </row>
    <row r="8" ht="22.5" customHeight="1">
      <c r="C8" s="162" t="s">
        <v>2</v>
      </c>
      <c r="D8" s="163">
        <v>0.0</v>
      </c>
      <c r="E8" s="164"/>
      <c r="F8" s="165"/>
      <c r="G8" s="163">
        <v>0.0</v>
      </c>
      <c r="H8" s="164"/>
      <c r="I8" s="165"/>
      <c r="J8" s="166" t="str">
        <f>G8/D8</f>
        <v>#DIV/0!</v>
      </c>
      <c r="K8" s="167"/>
      <c r="L8" s="168"/>
      <c r="M8" s="168"/>
      <c r="N8" s="168"/>
      <c r="O8" s="169"/>
    </row>
    <row r="9" ht="22.5" customHeight="1">
      <c r="C9" s="170" t="s">
        <v>70</v>
      </c>
      <c r="D9" s="171" t="s">
        <v>71</v>
      </c>
      <c r="E9" s="151"/>
      <c r="F9" s="172"/>
      <c r="G9" s="173" t="s">
        <v>72</v>
      </c>
      <c r="H9" s="174" t="s">
        <v>73</v>
      </c>
      <c r="I9" s="175" t="s">
        <v>74</v>
      </c>
      <c r="J9" s="152"/>
      <c r="K9" s="176"/>
      <c r="O9" s="137"/>
    </row>
    <row r="10" ht="22.5" customHeight="1">
      <c r="C10" s="177" t="s">
        <v>75</v>
      </c>
      <c r="D10" s="178">
        <v>0.0</v>
      </c>
      <c r="E10" s="82"/>
      <c r="F10" s="83"/>
      <c r="G10" s="179">
        <v>0.0</v>
      </c>
      <c r="H10" s="180">
        <v>0.0</v>
      </c>
      <c r="I10" s="181">
        <f t="shared" ref="I10:I11" si="1">SUM(D10:H10)</f>
        <v>0</v>
      </c>
      <c r="J10" s="160"/>
      <c r="K10" s="176"/>
      <c r="O10" s="137"/>
    </row>
    <row r="11" ht="22.5" customHeight="1">
      <c r="C11" s="182" t="s">
        <v>76</v>
      </c>
      <c r="D11" s="163">
        <v>0.0</v>
      </c>
      <c r="E11" s="164"/>
      <c r="F11" s="165"/>
      <c r="G11" s="183">
        <v>0.0</v>
      </c>
      <c r="H11" s="184">
        <v>0.0</v>
      </c>
      <c r="I11" s="185">
        <f t="shared" si="1"/>
        <v>0</v>
      </c>
      <c r="J11" s="186"/>
      <c r="K11" s="176"/>
      <c r="O11" s="137"/>
    </row>
    <row r="12" ht="21.75" customHeight="1">
      <c r="C12" s="187"/>
      <c r="D12" s="188" t="s">
        <v>77</v>
      </c>
      <c r="E12" s="189"/>
      <c r="F12" s="190"/>
      <c r="K12" s="176"/>
      <c r="O12" s="137"/>
    </row>
    <row r="13" ht="19.5" customHeight="1">
      <c r="C13" s="187" t="s">
        <v>78</v>
      </c>
      <c r="D13" s="191">
        <f>sum(D14:F18)</f>
        <v>0</v>
      </c>
      <c r="E13" s="192"/>
      <c r="F13" s="193"/>
      <c r="H13" s="70"/>
      <c r="I13" s="70"/>
      <c r="J13" s="70"/>
      <c r="K13" s="176"/>
      <c r="O13" s="137"/>
    </row>
    <row r="14" ht="19.5" customHeight="1">
      <c r="C14" s="194" t="s">
        <v>79</v>
      </c>
      <c r="D14" s="195">
        <v>0.0</v>
      </c>
      <c r="E14" s="196"/>
      <c r="F14" s="197"/>
      <c r="H14" s="70"/>
      <c r="I14" s="70"/>
      <c r="J14" s="70"/>
      <c r="K14" s="176"/>
      <c r="O14" s="137"/>
    </row>
    <row r="15" ht="19.5" customHeight="1">
      <c r="C15" s="198" t="s">
        <v>80</v>
      </c>
      <c r="D15" s="199">
        <v>0.0</v>
      </c>
      <c r="E15" s="200"/>
      <c r="F15" s="201"/>
      <c r="G15" s="202" t="s">
        <v>81</v>
      </c>
      <c r="H15" s="203"/>
      <c r="J15" s="70"/>
      <c r="K15" s="176"/>
      <c r="O15" s="137"/>
      <c r="Q15" s="204" t="s">
        <v>16</v>
      </c>
      <c r="R15" s="30"/>
      <c r="S15" s="30"/>
      <c r="T15" s="31"/>
    </row>
    <row r="16" ht="19.5" customHeight="1">
      <c r="C16" s="205" t="s">
        <v>82</v>
      </c>
      <c r="D16" s="206">
        <v>0.0</v>
      </c>
      <c r="E16" s="207"/>
      <c r="F16" s="208"/>
      <c r="H16" s="209"/>
      <c r="K16" s="176"/>
      <c r="O16" s="137"/>
      <c r="Q16" s="210" t="s">
        <v>83</v>
      </c>
      <c r="R16" s="211"/>
      <c r="S16" s="211"/>
      <c r="T16" s="212"/>
    </row>
    <row r="17" ht="19.5" customHeight="1">
      <c r="C17" s="213" t="s">
        <v>84</v>
      </c>
      <c r="D17" s="214">
        <v>0.0</v>
      </c>
      <c r="E17" s="215"/>
      <c r="F17" s="216"/>
      <c r="H17" s="209"/>
      <c r="J17" s="70"/>
      <c r="K17" s="176"/>
      <c r="O17" s="137"/>
      <c r="Q17" s="217" t="s">
        <v>85</v>
      </c>
      <c r="R17" s="41"/>
      <c r="S17" s="41"/>
      <c r="T17" s="42"/>
    </row>
    <row r="18" ht="19.5" customHeight="1">
      <c r="C18" s="218" t="s">
        <v>86</v>
      </c>
      <c r="D18" s="219">
        <v>0.0</v>
      </c>
      <c r="E18" s="44"/>
      <c r="F18" s="45"/>
      <c r="G18" s="220"/>
      <c r="H18" s="221"/>
      <c r="I18" s="70"/>
      <c r="K18" s="222"/>
      <c r="L18" s="223"/>
      <c r="M18" s="223"/>
      <c r="N18" s="223"/>
      <c r="O18" s="224"/>
      <c r="Q18" s="225" t="s">
        <v>87</v>
      </c>
      <c r="R18" s="44"/>
      <c r="S18" s="44"/>
      <c r="T18" s="45"/>
    </row>
    <row r="19" ht="20.25" customHeight="1">
      <c r="B19" s="226">
        <v>1.0</v>
      </c>
      <c r="C19" s="227" t="s">
        <v>88</v>
      </c>
      <c r="D19" s="228" t="s">
        <v>89</v>
      </c>
      <c r="E19" s="229"/>
      <c r="F19" s="230" t="s">
        <v>90</v>
      </c>
      <c r="G19" s="231" t="s">
        <v>91</v>
      </c>
      <c r="H19" s="232" t="s">
        <v>92</v>
      </c>
      <c r="I19" s="233" t="s">
        <v>67</v>
      </c>
      <c r="J19" s="234"/>
      <c r="K19" s="235" t="s">
        <v>93</v>
      </c>
      <c r="L19" s="236"/>
      <c r="M19" s="235" t="s">
        <v>94</v>
      </c>
      <c r="N19" s="236"/>
    </row>
    <row r="20" ht="19.5" customHeight="1">
      <c r="B20" s="237"/>
      <c r="C20" s="238">
        <v>0.0</v>
      </c>
      <c r="D20" s="239">
        <v>0.0</v>
      </c>
      <c r="E20" s="240"/>
      <c r="F20" s="241">
        <v>0.0</v>
      </c>
      <c r="G20" s="242">
        <v>0.0</v>
      </c>
      <c r="H20" s="243">
        <v>0.0</v>
      </c>
      <c r="I20" s="244" t="str">
        <f>D20/C20</f>
        <v>#DIV/0!</v>
      </c>
      <c r="J20" s="245"/>
      <c r="K20" s="244" t="str">
        <f>H20/D20</f>
        <v>#DIV/0!</v>
      </c>
      <c r="L20" s="245"/>
      <c r="M20" s="246" t="str">
        <f>G20/D20</f>
        <v>#DIV/0!</v>
      </c>
      <c r="N20" s="247"/>
    </row>
    <row r="21" ht="19.5" customHeight="1">
      <c r="B21" s="248">
        <v>2.0</v>
      </c>
      <c r="C21" s="249" t="s">
        <v>95</v>
      </c>
      <c r="D21" s="250" t="s">
        <v>96</v>
      </c>
      <c r="E21" s="251"/>
      <c r="F21" s="252" t="s">
        <v>67</v>
      </c>
      <c r="G21" s="253" t="s">
        <v>97</v>
      </c>
      <c r="H21" s="254"/>
      <c r="I21" s="255"/>
      <c r="J21" s="256" t="s">
        <v>98</v>
      </c>
      <c r="K21" s="257"/>
    </row>
    <row r="22" ht="19.5" customHeight="1">
      <c r="B22" s="258"/>
      <c r="C22" s="259">
        <v>0.0</v>
      </c>
      <c r="D22" s="239">
        <v>0.0</v>
      </c>
      <c r="E22" s="240"/>
      <c r="F22" s="260" t="str">
        <f>D22/C22</f>
        <v>#DIV/0!</v>
      </c>
      <c r="G22" s="261">
        <f>C22-D22</f>
        <v>0</v>
      </c>
      <c r="H22" s="156"/>
      <c r="I22" s="157"/>
      <c r="J22" s="262">
        <v>0.0</v>
      </c>
      <c r="K22" s="263"/>
    </row>
    <row r="23" ht="19.5" customHeight="1">
      <c r="B23" s="248">
        <v>3.0</v>
      </c>
      <c r="C23" s="264" t="s">
        <v>99</v>
      </c>
      <c r="D23" s="265" t="s">
        <v>100</v>
      </c>
      <c r="E23" s="266"/>
      <c r="F23" s="267" t="s">
        <v>67</v>
      </c>
      <c r="G23" s="268" t="s">
        <v>98</v>
      </c>
      <c r="H23" s="269"/>
      <c r="I23" s="270"/>
      <c r="J23" s="271"/>
    </row>
    <row r="24" ht="17.25" customHeight="1">
      <c r="B24" s="258"/>
      <c r="C24" s="272">
        <v>0.0</v>
      </c>
      <c r="D24" s="273">
        <v>0.0</v>
      </c>
      <c r="E24" s="274"/>
      <c r="F24" s="275" t="str">
        <f>D24/C24</f>
        <v>#DIV/0!</v>
      </c>
      <c r="G24" s="276">
        <f>C24-D24</f>
        <v>0</v>
      </c>
      <c r="H24" s="277"/>
      <c r="I24" s="263"/>
    </row>
    <row r="25" ht="17.25" customHeight="1">
      <c r="C25" s="278" t="s">
        <v>101</v>
      </c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8"/>
    </row>
    <row r="26" ht="16.5" customHeight="1">
      <c r="C26" s="154" t="s">
        <v>64</v>
      </c>
      <c r="D26" s="279" t="s">
        <v>65</v>
      </c>
      <c r="E26" s="83"/>
      <c r="F26" s="279" t="s">
        <v>102</v>
      </c>
      <c r="G26" s="82"/>
      <c r="H26" s="82"/>
      <c r="I26" s="82"/>
      <c r="J26" s="82"/>
      <c r="K26" s="82"/>
      <c r="L26" s="82"/>
      <c r="M26" s="82"/>
      <c r="N26" s="82"/>
      <c r="O26" s="160"/>
    </row>
    <row r="27" ht="167.25" customHeight="1">
      <c r="C27" s="280" t="s">
        <v>2</v>
      </c>
      <c r="D27" s="163">
        <v>0.0</v>
      </c>
      <c r="E27" s="165"/>
      <c r="F27" s="281"/>
      <c r="G27" s="164"/>
      <c r="H27" s="164"/>
      <c r="I27" s="164"/>
      <c r="J27" s="164"/>
      <c r="K27" s="164"/>
      <c r="L27" s="164"/>
      <c r="M27" s="164"/>
      <c r="N27" s="164"/>
      <c r="O27" s="186"/>
    </row>
    <row r="28" ht="16.5" customHeight="1">
      <c r="C28" s="282"/>
      <c r="O28" s="137"/>
    </row>
    <row r="29" ht="16.5" customHeight="1">
      <c r="C29" s="283" t="s">
        <v>103</v>
      </c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5"/>
    </row>
    <row r="30" ht="16.5" customHeight="1">
      <c r="C30" s="286" t="s">
        <v>2</v>
      </c>
      <c r="D30" s="287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ht="16.5" customHeight="1">
      <c r="C31" s="288"/>
      <c r="D31" s="289"/>
      <c r="O31" s="137"/>
    </row>
    <row r="32" ht="16.5" customHeight="1">
      <c r="C32" s="288"/>
      <c r="D32" s="289"/>
      <c r="O32" s="137"/>
    </row>
    <row r="33" ht="16.5" customHeight="1">
      <c r="C33" s="288"/>
      <c r="D33" s="289"/>
      <c r="O33" s="137"/>
    </row>
    <row r="34" ht="16.5" customHeight="1">
      <c r="C34" s="288"/>
      <c r="D34" s="289"/>
      <c r="O34" s="137"/>
    </row>
    <row r="35" ht="16.5" customHeight="1">
      <c r="C35" s="290"/>
      <c r="D35" s="291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8"/>
      <c r="R35" s="292"/>
    </row>
    <row r="36" ht="16.5" customHeight="1">
      <c r="C36" s="293" t="s">
        <v>104</v>
      </c>
      <c r="D36" s="294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9"/>
    </row>
    <row r="37" ht="16.5" customHeight="1">
      <c r="C37" s="288"/>
      <c r="D37" s="289"/>
      <c r="O37" s="137"/>
    </row>
    <row r="38" ht="16.5" customHeight="1">
      <c r="C38" s="17"/>
      <c r="D38" s="295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7"/>
    </row>
    <row r="39" ht="16.5" customHeight="1">
      <c r="C39" s="29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</row>
    <row r="40" ht="16.5" customHeight="1">
      <c r="C40" s="299" t="s">
        <v>105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5"/>
    </row>
    <row r="41" ht="16.5" customHeight="1">
      <c r="C41" s="300" t="s">
        <v>2</v>
      </c>
      <c r="D41" s="301"/>
      <c r="O41" s="137"/>
    </row>
    <row r="42" ht="16.5" customHeight="1">
      <c r="C42" s="302"/>
      <c r="O42" s="137"/>
    </row>
    <row r="43" ht="16.5" customHeight="1">
      <c r="C43" s="302"/>
      <c r="O43" s="137"/>
    </row>
    <row r="44" ht="16.5" customHeight="1">
      <c r="C44" s="302"/>
      <c r="O44" s="137"/>
    </row>
    <row r="45" ht="16.5" customHeight="1">
      <c r="C45" s="302"/>
      <c r="O45" s="137"/>
    </row>
    <row r="46" ht="16.5" customHeight="1">
      <c r="C46" s="303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7"/>
    </row>
    <row r="47" ht="16.5" customHeight="1">
      <c r="C47" s="304" t="s">
        <v>106</v>
      </c>
      <c r="D47" s="305"/>
      <c r="O47" s="137"/>
    </row>
    <row r="48" ht="16.5" customHeight="1">
      <c r="C48" s="302"/>
      <c r="O48" s="137"/>
    </row>
    <row r="49" ht="16.5" customHeight="1">
      <c r="C49" s="302"/>
      <c r="O49" s="137"/>
    </row>
    <row r="50" ht="16.5" customHeight="1">
      <c r="C50" s="302"/>
      <c r="O50" s="137"/>
    </row>
    <row r="51" ht="16.5" customHeight="1">
      <c r="C51" s="302"/>
      <c r="O51" s="137"/>
    </row>
    <row r="52" ht="16.5" customHeight="1">
      <c r="C52" s="303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7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>
      <c r="F64" s="292"/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2">
    <mergeCell ref="J22:K22"/>
    <mergeCell ref="J23:K24"/>
    <mergeCell ref="G23:I23"/>
    <mergeCell ref="G24:I24"/>
    <mergeCell ref="D21:E21"/>
    <mergeCell ref="G21:I21"/>
    <mergeCell ref="J21:K21"/>
    <mergeCell ref="D22:E22"/>
    <mergeCell ref="G22:I22"/>
    <mergeCell ref="D23:E23"/>
    <mergeCell ref="D24:E24"/>
    <mergeCell ref="C36:C38"/>
    <mergeCell ref="C41:C46"/>
    <mergeCell ref="C47:C52"/>
    <mergeCell ref="D41:O46"/>
    <mergeCell ref="D47:O52"/>
    <mergeCell ref="D26:E26"/>
    <mergeCell ref="D27:E27"/>
    <mergeCell ref="C30:C35"/>
    <mergeCell ref="D30:O35"/>
    <mergeCell ref="D36:O38"/>
    <mergeCell ref="C39:O39"/>
    <mergeCell ref="C40:O40"/>
    <mergeCell ref="C2:O2"/>
    <mergeCell ref="C3:O3"/>
    <mergeCell ref="D4:H4"/>
    <mergeCell ref="J4:L4"/>
    <mergeCell ref="N4:O4"/>
    <mergeCell ref="P4:S4"/>
    <mergeCell ref="C5:O5"/>
    <mergeCell ref="K7:O7"/>
    <mergeCell ref="K8:O18"/>
    <mergeCell ref="Q15:T15"/>
    <mergeCell ref="Q17:T17"/>
    <mergeCell ref="Q18:T18"/>
    <mergeCell ref="C6:O6"/>
    <mergeCell ref="P6:S6"/>
    <mergeCell ref="D7:F7"/>
    <mergeCell ref="G7:I7"/>
    <mergeCell ref="P7:S7"/>
    <mergeCell ref="D8:F8"/>
    <mergeCell ref="G8:I8"/>
    <mergeCell ref="D9:F9"/>
    <mergeCell ref="I9:J9"/>
    <mergeCell ref="D10:F10"/>
    <mergeCell ref="I10:J10"/>
    <mergeCell ref="D11:F11"/>
    <mergeCell ref="I11:J11"/>
    <mergeCell ref="D12:F12"/>
    <mergeCell ref="B19:B20"/>
    <mergeCell ref="B21:B22"/>
    <mergeCell ref="B23:B24"/>
    <mergeCell ref="D13:F13"/>
    <mergeCell ref="D14:F14"/>
    <mergeCell ref="D15:F15"/>
    <mergeCell ref="G15:H18"/>
    <mergeCell ref="D16:F16"/>
    <mergeCell ref="D17:F17"/>
    <mergeCell ref="D20:E20"/>
    <mergeCell ref="M20:N20"/>
    <mergeCell ref="C25:O25"/>
    <mergeCell ref="F26:O26"/>
    <mergeCell ref="F27:O27"/>
    <mergeCell ref="C28:O28"/>
    <mergeCell ref="C29:O29"/>
    <mergeCell ref="D18:F18"/>
    <mergeCell ref="D19:E19"/>
    <mergeCell ref="I19:J19"/>
    <mergeCell ref="K19:L19"/>
    <mergeCell ref="M19:N19"/>
    <mergeCell ref="I20:J20"/>
    <mergeCell ref="K20:L20"/>
  </mergeCells>
  <printOptions/>
  <pageMargins bottom="0.75" footer="0.0" header="0.0" left="0.7" right="0.7" top="0.75"/>
  <pageSetup paperSize="9" orientation="portrait"/>
  <drawing r:id="rId1"/>
</worksheet>
</file>