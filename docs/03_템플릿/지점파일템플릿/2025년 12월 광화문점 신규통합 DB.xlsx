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신규통합DB" sheetId="1" r:id="rId5"/>
  </sheets>
  <definedNames/>
  <calcPr/>
</workbook>
</file>

<file path=xl/sharedStrings.xml><?xml version="1.0" encoding="utf-8"?>
<sst xmlns="http://schemas.openxmlformats.org/spreadsheetml/2006/main" count="102" uniqueCount="69">
  <si>
    <t>12월 D.B 관리</t>
  </si>
  <si>
    <t>[등록, 관리, 실패]
[TI는 문의,방문,등록]</t>
  </si>
  <si>
    <t xml:space="preserve">날짜 </t>
  </si>
  <si>
    <t>경로</t>
  </si>
  <si>
    <t>상세 경로1</t>
  </si>
  <si>
    <t>상세 경로2</t>
  </si>
  <si>
    <t>회원명</t>
  </si>
  <si>
    <t>성별</t>
  </si>
  <si>
    <t>연령</t>
  </si>
  <si>
    <t>전화번호</t>
  </si>
  <si>
    <t>문의 종목</t>
  </si>
  <si>
    <t xml:space="preserve">담당자 </t>
  </si>
  <si>
    <t>1차 상담자</t>
  </si>
  <si>
    <t>날짜</t>
  </si>
  <si>
    <t>상담 방식</t>
  </si>
  <si>
    <t>1차 상담 내용</t>
  </si>
  <si>
    <t>2차 상담자</t>
  </si>
  <si>
    <t>2차 상담 내용</t>
  </si>
  <si>
    <t>3차 상담자</t>
  </si>
  <si>
    <t>3차 상담 내용</t>
  </si>
  <si>
    <t>인원 통계</t>
  </si>
  <si>
    <t>상세 경로</t>
  </si>
  <si>
    <t>총 문의 인원</t>
  </si>
  <si>
    <t>남성회원</t>
  </si>
  <si>
    <t>여성회원</t>
  </si>
  <si>
    <t>상세 1</t>
  </si>
  <si>
    <t>간판</t>
  </si>
  <si>
    <t>인터넷</t>
  </si>
  <si>
    <t>홍보물</t>
  </si>
  <si>
    <t>회원소개</t>
  </si>
  <si>
    <t>기타</t>
  </si>
  <si>
    <t>상세 2</t>
  </si>
  <si>
    <t>블로그</t>
  </si>
  <si>
    <t>인스타</t>
  </si>
  <si>
    <t>당근</t>
  </si>
  <si>
    <t>지역카페</t>
  </si>
  <si>
    <t>현수막</t>
  </si>
  <si>
    <t>전단지</t>
  </si>
  <si>
    <t>{지인이름}</t>
  </si>
  <si>
    <t>{기타}</t>
  </si>
  <si>
    <t>등록 / 관리 / 실패</t>
  </si>
  <si>
    <t>유형</t>
  </si>
  <si>
    <t>건수</t>
  </si>
  <si>
    <t>비율</t>
  </si>
  <si>
    <t>등록</t>
  </si>
  <si>
    <t>WI</t>
  </si>
  <si>
    <t>TI</t>
  </si>
  <si>
    <t>체험</t>
  </si>
  <si>
    <t>일일입장</t>
  </si>
  <si>
    <t>관리</t>
  </si>
  <si>
    <t>실패</t>
  </si>
  <si>
    <t>대면</t>
  </si>
  <si>
    <t>유선</t>
  </si>
  <si>
    <t>부재</t>
  </si>
  <si>
    <t>문의 유형</t>
  </si>
  <si>
    <t>헬스</t>
  </si>
  <si>
    <t>GX</t>
  </si>
  <si>
    <t>PT</t>
  </si>
  <si>
    <t>골프</t>
  </si>
  <si>
    <t>필라테스</t>
  </si>
  <si>
    <t>개인 DB 관리</t>
  </si>
  <si>
    <t>상담</t>
  </si>
  <si>
    <t>등록률</t>
  </si>
  <si>
    <t>총 건</t>
  </si>
  <si>
    <t>WI (방문문의)</t>
  </si>
  <si>
    <t>문의</t>
  </si>
  <si>
    <t>지인소개</t>
  </si>
  <si>
    <t>TI (전화문의)</t>
  </si>
  <si>
    <t>체험 및 일일 입장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</si>
</sst>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yyyy-mm-dd"/>
    <numFmt numFmtId="165" formatCode="000\-0000\-0000"/>
    <numFmt numFmtId="166" formatCode="0_);[Red]\(0\)"/>
    <numFmt numFmtId="167" formatCode="mm&quot;월&quot;\ dd&quot;일&quot;"/>
    <numFmt numFmtId="168" formatCode="m&quot;월&quot;\ d&quot;일&quot;"/>
    <numFmt numFmtId="169" formatCode="_-* #,##0_-;\-* #,##0_-;_-* &quot;-&quot;_-;_-@"/>
    <numFmt numFmtId="170" formatCode="[&lt;=999999]####\-####;\(0##\)\ ####\-####"/>
    <numFmt numFmtId="171" formatCode="#&quot;대&quot;"/>
    <numFmt numFmtId="172" formatCode="mm-dd"/>
    <numFmt numFmtId="173" formatCode="00"/>
  </numFmts>
  <fonts count="27">
    <font>
      <sz val="11.0"/>
      <color theme="1"/>
      <name val="Calibri"/>
      <scheme val="minor"/>
    </font>
    <font>
      <b/>
      <sz val="22.0"/>
      <color rgb="FFFFFFFF"/>
      <name val="Malgun Gothic"/>
    </font>
    <font/>
    <font>
      <sz val="11.0"/>
      <color theme="1"/>
      <name val="Malgun Gothic"/>
    </font>
    <font>
      <b/>
      <sz val="11.0"/>
      <color rgb="FF000000"/>
      <name val="Malgun Gothic"/>
    </font>
    <font>
      <b/>
      <sz val="12.0"/>
      <color rgb="FF000000"/>
      <name val="Malgun Gothic"/>
    </font>
    <font>
      <b/>
      <sz val="10.0"/>
      <color rgb="FF000000"/>
      <name val="Malgun Gothic"/>
    </font>
    <font>
      <sz val="14.0"/>
      <color theme="1"/>
      <name val="Malgun Gothic"/>
    </font>
    <font>
      <b/>
      <sz val="14.0"/>
      <color rgb="FF000000"/>
      <name val="Malgun Gothic"/>
    </font>
    <font>
      <sz val="12.0"/>
      <color theme="1"/>
      <name val="Malgun Gothic"/>
    </font>
    <font>
      <b/>
      <sz val="12.0"/>
      <color theme="1"/>
      <name val="Malgun Gothic"/>
    </font>
    <font>
      <sz val="12.0"/>
      <color rgb="FF000000"/>
      <name val="Malgun Gothic"/>
    </font>
    <font>
      <sz val="11.0"/>
      <color theme="1"/>
      <name val="Arial"/>
    </font>
    <font>
      <sz val="11.0"/>
      <color rgb="FF000000"/>
      <name val="Malgun Gothic"/>
    </font>
    <font>
      <sz val="14.0"/>
      <color rgb="FF0000CC"/>
      <name val="Malgun Gothic"/>
    </font>
    <font>
      <sz val="11.0"/>
      <color rgb="FF282828"/>
      <name val="Arial"/>
    </font>
    <font>
      <sz val="11.0"/>
      <color rgb="FF282828"/>
      <name val="Malgun Gothic"/>
    </font>
    <font>
      <b/>
      <color theme="1"/>
      <name val="Calibri"/>
      <scheme val="minor"/>
    </font>
    <font>
      <sz val="10.0"/>
      <color rgb="FF000000"/>
      <name val="Malgun Gothic"/>
    </font>
    <font>
      <sz val="12.0"/>
      <color theme="1"/>
      <name val="Arial"/>
    </font>
    <font>
      <b/>
      <sz val="14.0"/>
      <color theme="1"/>
      <name val="Malgun Gothic"/>
    </font>
    <font>
      <sz val="12.0"/>
      <color rgb="FF282828"/>
      <name val="Arial"/>
    </font>
    <font>
      <sz val="12.0"/>
      <color rgb="FF282828"/>
      <name val="Malgun Gothic"/>
    </font>
    <font>
      <sz val="12.0"/>
      <color rgb="FFFF0000"/>
      <name val="Malgun Gothic"/>
    </font>
    <font>
      <sz val="12.0"/>
      <color rgb="FF424242"/>
      <name val="Helvetica Neue"/>
    </font>
    <font>
      <sz val="11.0"/>
      <color rgb="FF424242"/>
      <name val="Helvetica Neue"/>
    </font>
    <font>
      <sz val="12.0"/>
      <color rgb="FFC00000"/>
      <name val="Malgun Gothic"/>
    </font>
  </fonts>
  <fills count="17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D7DDE4"/>
        <bgColor rgb="FFD7DDE4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009900"/>
        <bgColor rgb="FF009900"/>
      </patternFill>
    </fill>
    <fill>
      <patternFill patternType="solid">
        <fgColor rgb="FFFF0000"/>
        <bgColor rgb="FFFF0000"/>
      </patternFill>
    </fill>
    <fill>
      <patternFill patternType="solid">
        <fgColor rgb="FFF6B26B"/>
        <bgColor rgb="FFF6B26B"/>
      </patternFill>
    </fill>
    <fill>
      <patternFill patternType="solid">
        <fgColor rgb="FFFFFFCC"/>
        <bgColor rgb="FFFFFFCC"/>
      </patternFill>
    </fill>
  </fills>
  <borders count="41">
    <border/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dotted">
        <color rgb="FF000000"/>
      </right>
      <top style="thin">
        <color rgb="FF000000"/>
      </top>
      <bottom style="medium">
        <color rgb="FF000000"/>
      </bottom>
    </border>
    <border>
      <left style="dotted">
        <color rgb="FF000000"/>
      </left>
      <top style="thin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dotted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1" vertical="center" wrapText="0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shrinkToFit="1" vertical="center" wrapText="0"/>
    </xf>
    <xf borderId="0" fillId="0" fontId="4" numFmtId="164" xfId="0" applyAlignment="1" applyFont="1" applyNumberFormat="1">
      <alignment horizontal="center" shrinkToFit="1" vertical="center" wrapText="0"/>
    </xf>
    <xf borderId="0" fillId="0" fontId="5" numFmtId="165" xfId="0" applyAlignment="1" applyFont="1" applyNumberFormat="1">
      <alignment horizontal="center" shrinkToFit="1" vertical="center" wrapText="0"/>
    </xf>
    <xf borderId="0" fillId="0" fontId="6" numFmtId="0" xfId="0" applyAlignment="1" applyFont="1">
      <alignment horizontal="left" shrinkToFit="1" vertical="center" wrapText="0"/>
    </xf>
    <xf borderId="0" fillId="0" fontId="6" numFmtId="0" xfId="0" applyAlignment="1" applyFont="1">
      <alignment horizontal="center" shrinkToFit="1" vertical="center" wrapText="0"/>
    </xf>
    <xf borderId="0" fillId="0" fontId="7" numFmtId="0" xfId="0" applyAlignment="1" applyFont="1">
      <alignment horizontal="center" vertical="center"/>
    </xf>
    <xf borderId="4" fillId="3" fontId="6" numFmtId="0" xfId="0" applyAlignment="1" applyBorder="1" applyFill="1" applyFont="1">
      <alignment horizontal="center" readingOrder="0" shrinkToFit="1" vertical="center" wrapText="0"/>
    </xf>
    <xf borderId="4" fillId="3" fontId="4" numFmtId="164" xfId="0" applyAlignment="1" applyBorder="1" applyFont="1" applyNumberFormat="1">
      <alignment horizontal="center" shrinkToFit="1" vertical="center" wrapText="0"/>
    </xf>
    <xf borderId="5" fillId="3" fontId="4" numFmtId="164" xfId="0" applyAlignment="1" applyBorder="1" applyFont="1" applyNumberFormat="1">
      <alignment horizontal="center" shrinkToFit="1" vertical="center" wrapText="0"/>
    </xf>
    <xf borderId="4" fillId="3" fontId="4" numFmtId="0" xfId="0" applyAlignment="1" applyBorder="1" applyFont="1">
      <alignment horizontal="center" shrinkToFit="1" vertical="center" wrapText="0"/>
    </xf>
    <xf borderId="4" fillId="3" fontId="5" numFmtId="165" xfId="0" applyAlignment="1" applyBorder="1" applyFont="1" applyNumberFormat="1">
      <alignment horizontal="center" shrinkToFit="1" vertical="center" wrapText="0"/>
    </xf>
    <xf borderId="4" fillId="4" fontId="4" numFmtId="0" xfId="0" applyAlignment="1" applyBorder="1" applyFill="1" applyFont="1">
      <alignment horizontal="center" readingOrder="0" shrinkToFit="1" vertical="center" wrapText="0"/>
    </xf>
    <xf borderId="4" fillId="5" fontId="4" numFmtId="0" xfId="0" applyAlignment="1" applyBorder="1" applyFill="1" applyFont="1">
      <alignment horizontal="center" readingOrder="0" shrinkToFit="1" vertical="center" wrapText="0"/>
    </xf>
    <xf borderId="4" fillId="6" fontId="4" numFmtId="0" xfId="0" applyAlignment="1" applyBorder="1" applyFill="1" applyFont="1">
      <alignment horizontal="center" readingOrder="0" shrinkToFit="1" vertical="center" wrapText="0"/>
    </xf>
    <xf borderId="6" fillId="7" fontId="8" numFmtId="0" xfId="0" applyAlignment="1" applyBorder="1" applyFill="1" applyFont="1">
      <alignment horizontal="center"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9" fillId="8" fontId="9" numFmtId="0" xfId="0" applyAlignment="1" applyBorder="1" applyFill="1" applyFont="1">
      <alignment horizontal="center" readingOrder="0" vertical="center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4" fillId="9" fontId="10" numFmtId="0" xfId="0" applyAlignment="1" applyBorder="1" applyFill="1" applyFont="1">
      <alignment horizontal="center" readingOrder="0" shrinkToFit="1" vertical="center" wrapText="0"/>
    </xf>
    <xf borderId="4" fillId="0" fontId="11" numFmtId="164" xfId="0" applyAlignment="1" applyBorder="1" applyFont="1" applyNumberFormat="1">
      <alignment horizontal="center" readingOrder="0" vertical="center"/>
    </xf>
    <xf borderId="4" fillId="0" fontId="11" numFmtId="0" xfId="0" applyAlignment="1" applyBorder="1" applyFont="1">
      <alignment horizontal="center" readingOrder="0" shrinkToFit="1" vertical="center" wrapText="0"/>
    </xf>
    <xf borderId="4" fillId="0" fontId="9" numFmtId="0" xfId="0" applyAlignment="1" applyBorder="1" applyFont="1">
      <alignment horizontal="center" readingOrder="0" shrinkToFit="1" vertical="center" wrapText="0"/>
    </xf>
    <xf borderId="4" fillId="9" fontId="9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shrinkToFit="1" vertical="center" wrapText="0"/>
    </xf>
    <xf borderId="4" fillId="0" fontId="12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shrinkToFit="1" vertical="center" wrapText="0"/>
    </xf>
    <xf borderId="4" fillId="0" fontId="9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left" shrinkToFit="0" vertical="center" wrapText="1"/>
    </xf>
    <xf borderId="4" fillId="0" fontId="11" numFmtId="165" xfId="0" applyAlignment="1" applyBorder="1" applyFont="1" applyNumberFormat="1">
      <alignment horizontal="center" readingOrder="0" shrinkToFit="1" vertical="center" wrapText="0"/>
    </xf>
    <xf borderId="4" fillId="0" fontId="11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center" vertical="center"/>
    </xf>
    <xf borderId="13" fillId="0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13" fillId="0" fontId="8" numFmtId="0" xfId="0" applyAlignment="1" applyBorder="1" applyFont="1">
      <alignment horizontal="center" vertical="center"/>
    </xf>
    <xf borderId="4" fillId="10" fontId="9" numFmtId="0" xfId="0" applyAlignment="1" applyBorder="1" applyFill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  <xf borderId="9" fillId="0" fontId="9" numFmtId="0" xfId="0" applyAlignment="1" applyBorder="1" applyFont="1">
      <alignment horizontal="center" readingOrder="0" vertical="center"/>
    </xf>
    <xf borderId="4" fillId="0" fontId="9" numFmtId="164" xfId="0" applyAlignment="1" applyBorder="1" applyFont="1" applyNumberFormat="1">
      <alignment horizontal="center" vertical="center"/>
    </xf>
    <xf borderId="4" fillId="0" fontId="12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left" shrinkToFit="1" vertical="center" wrapText="0"/>
    </xf>
    <xf borderId="4" fillId="0" fontId="11" numFmtId="165" xfId="0" applyAlignment="1" applyBorder="1" applyFont="1" applyNumberFormat="1">
      <alignment horizontal="center" shrinkToFit="1" vertical="center" wrapText="0"/>
    </xf>
    <xf borderId="12" fillId="0" fontId="14" numFmtId="0" xfId="0" applyAlignment="1" applyBorder="1" applyFont="1">
      <alignment horizontal="center" vertical="center"/>
    </xf>
    <xf borderId="12" fillId="0" fontId="7" numFmtId="166" xfId="0" applyAlignment="1" applyBorder="1" applyFont="1" applyNumberFormat="1">
      <alignment horizontal="center" vertical="center"/>
    </xf>
    <xf borderId="15" fillId="0" fontId="7" numFmtId="166" xfId="0" applyAlignment="1" applyBorder="1" applyFont="1" applyNumberFormat="1">
      <alignment horizontal="center" vertical="center"/>
    </xf>
    <xf borderId="4" fillId="0" fontId="9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readingOrder="0" vertical="center"/>
    </xf>
    <xf borderId="4" fillId="9" fontId="10" numFmtId="0" xfId="0" applyAlignment="1" applyBorder="1" applyFont="1">
      <alignment horizontal="center" shrinkToFit="1" vertical="center" wrapText="0"/>
    </xf>
    <xf borderId="4" fillId="0" fontId="11" numFmtId="164" xfId="0" applyAlignment="1" applyBorder="1" applyFont="1" applyNumberFormat="1">
      <alignment horizontal="center" shrinkToFit="1" vertical="center" wrapText="0"/>
    </xf>
    <xf borderId="4" fillId="9" fontId="9" numFmtId="0" xfId="0" applyAlignment="1" applyBorder="1" applyFont="1">
      <alignment horizontal="center" shrinkToFit="1" vertical="center" wrapText="0"/>
    </xf>
    <xf borderId="4" fillId="0" fontId="15" numFmtId="0" xfId="0" applyAlignment="1" applyBorder="1" applyFont="1">
      <alignment horizontal="center" vertical="center"/>
    </xf>
    <xf borderId="4" fillId="0" fontId="13" numFmtId="167" xfId="0" applyAlignment="1" applyBorder="1" applyFont="1" applyNumberFormat="1">
      <alignment horizontal="left" shrinkToFit="0" vertical="center" wrapText="1"/>
    </xf>
    <xf borderId="4" fillId="9" fontId="3" numFmtId="0" xfId="0" applyAlignment="1" applyBorder="1" applyFont="1">
      <alignment horizontal="center" vertical="center"/>
    </xf>
    <xf borderId="4" fillId="0" fontId="13" numFmtId="167" xfId="0" applyAlignment="1" applyBorder="1" applyFont="1" applyNumberFormat="1">
      <alignment horizontal="left" vertical="center"/>
    </xf>
    <xf borderId="6" fillId="7" fontId="8" numFmtId="0" xfId="0" applyAlignment="1" applyBorder="1" applyFont="1">
      <alignment horizontal="center" shrinkToFit="1" vertical="center" wrapText="0"/>
    </xf>
    <xf borderId="4" fillId="0" fontId="13" numFmtId="0" xfId="0" applyAlignment="1" applyBorder="1" applyFont="1">
      <alignment horizontal="left" shrinkToFit="0" vertical="center" wrapText="1"/>
    </xf>
    <xf borderId="12" fillId="11" fontId="8" numFmtId="0" xfId="0" applyAlignment="1" applyBorder="1" applyFill="1" applyFont="1">
      <alignment horizontal="center" shrinkToFit="1" vertical="center" wrapText="0"/>
    </xf>
    <xf borderId="16" fillId="11" fontId="8" numFmtId="0" xfId="0" applyAlignment="1" applyBorder="1" applyFont="1">
      <alignment horizontal="center" shrinkToFit="1" vertical="center" wrapText="0"/>
    </xf>
    <xf borderId="15" fillId="11" fontId="8" numFmtId="0" xfId="0" applyAlignment="1" applyBorder="1" applyFont="1">
      <alignment horizontal="center" shrinkToFit="1" vertical="center" wrapText="0"/>
    </xf>
    <xf borderId="9" fillId="12" fontId="3" numFmtId="0" xfId="0" applyAlignment="1" applyBorder="1" applyFill="1" applyFont="1">
      <alignment horizontal="center" readingOrder="0" vertical="center"/>
    </xf>
    <xf borderId="4" fillId="0" fontId="11" numFmtId="164" xfId="0" applyAlignment="1" applyBorder="1" applyFont="1" applyNumberFormat="1">
      <alignment horizontal="center" vertical="center"/>
    </xf>
    <xf borderId="4" fillId="0" fontId="16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left" vertical="center"/>
    </xf>
    <xf borderId="12" fillId="6" fontId="8" numFmtId="0" xfId="0" applyAlignment="1" applyBorder="1" applyFont="1">
      <alignment horizontal="center" shrinkToFit="1" vertical="center" wrapText="0"/>
    </xf>
    <xf borderId="15" fillId="11" fontId="8" numFmtId="9" xfId="0" applyAlignment="1" applyBorder="1" applyFont="1" applyNumberFormat="1">
      <alignment horizontal="center" shrinkToFit="1" vertical="center" wrapText="0"/>
    </xf>
    <xf borderId="4" fillId="0" fontId="17" numFmtId="0" xfId="0" applyAlignment="1" applyBorder="1" applyFont="1">
      <alignment horizontal="center" readingOrder="0" vertical="center"/>
    </xf>
    <xf borderId="4" fillId="0" fontId="10" numFmtId="0" xfId="0" applyAlignment="1" applyBorder="1" applyFont="1">
      <alignment horizontal="center" readingOrder="0" vertical="center"/>
    </xf>
    <xf borderId="4" fillId="0" fontId="18" numFmtId="0" xfId="0" applyAlignment="1" applyBorder="1" applyFont="1">
      <alignment horizontal="left" vertical="center"/>
    </xf>
    <xf borderId="12" fillId="13" fontId="8" numFmtId="0" xfId="0" applyAlignment="1" applyBorder="1" applyFill="1" applyFont="1">
      <alignment horizontal="center" shrinkToFit="1" vertical="center" wrapText="0"/>
    </xf>
    <xf borderId="4" fillId="0" fontId="3" numFmtId="0" xfId="0" applyAlignment="1" applyBorder="1" applyFont="1">
      <alignment horizontal="left" shrinkToFit="0" vertical="center" wrapText="1"/>
    </xf>
    <xf borderId="4" fillId="0" fontId="18" numFmtId="0" xfId="0" applyAlignment="1" applyBorder="1" applyFont="1">
      <alignment horizontal="center" vertical="center"/>
    </xf>
    <xf borderId="17" fillId="14" fontId="8" numFmtId="9" xfId="0" applyAlignment="1" applyBorder="1" applyFill="1" applyFont="1" applyNumberFormat="1">
      <alignment horizontal="center" shrinkToFit="1" vertical="center" wrapText="0"/>
    </xf>
    <xf borderId="18" fillId="0" fontId="2" numFmtId="0" xfId="0" applyAlignment="1" applyBorder="1" applyFont="1">
      <alignment vertical="center"/>
    </xf>
    <xf borderId="19" fillId="0" fontId="2" numFmtId="0" xfId="0" applyAlignment="1" applyBorder="1" applyFont="1">
      <alignment vertical="center"/>
    </xf>
    <xf borderId="20" fillId="11" fontId="8" numFmtId="0" xfId="0" applyAlignment="1" applyBorder="1" applyFont="1">
      <alignment horizontal="center" shrinkToFit="1" vertical="center" wrapText="0"/>
    </xf>
    <xf borderId="21" fillId="11" fontId="8" numFmtId="9" xfId="0" applyAlignment="1" applyBorder="1" applyFont="1" applyNumberFormat="1">
      <alignment horizontal="center" shrinkToFit="1" vertical="center" wrapText="0"/>
    </xf>
    <xf borderId="4" fillId="15" fontId="3" numFmtId="0" xfId="0" applyAlignment="1" applyBorder="1" applyFill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left" vertical="center"/>
    </xf>
    <xf borderId="4" fillId="0" fontId="19" numFmtId="0" xfId="0" applyAlignment="1" applyBorder="1" applyFont="1">
      <alignment horizontal="center" vertical="center"/>
    </xf>
    <xf borderId="4" fillId="0" fontId="13" numFmtId="165" xfId="0" applyAlignment="1" applyBorder="1" applyFont="1" applyNumberFormat="1">
      <alignment horizontal="center" shrinkToFit="1" vertical="center" wrapText="0"/>
    </xf>
    <xf borderId="4" fillId="0" fontId="9" numFmtId="0" xfId="0" applyAlignment="1" applyBorder="1" applyFont="1">
      <alignment horizontal="left" shrinkToFit="0" vertical="center" wrapText="1"/>
    </xf>
    <xf borderId="4" fillId="0" fontId="11" numFmtId="167" xfId="0" applyAlignment="1" applyBorder="1" applyFont="1" applyNumberFormat="1">
      <alignment horizontal="center" shrinkToFit="1" vertical="center" wrapText="0"/>
    </xf>
    <xf borderId="12" fillId="11" fontId="8" numFmtId="0" xfId="0" applyAlignment="1" applyBorder="1" applyFont="1">
      <alignment horizontal="center" vertical="center"/>
    </xf>
    <xf borderId="16" fillId="0" fontId="8" numFmtId="0" xfId="0" applyAlignment="1" applyBorder="1" applyFont="1">
      <alignment horizontal="center" vertical="center"/>
    </xf>
    <xf borderId="15" fillId="0" fontId="8" numFmtId="9" xfId="0" applyAlignment="1" applyBorder="1" applyFont="1" applyNumberFormat="1">
      <alignment horizontal="center" shrinkToFit="1" vertical="center" wrapText="0"/>
    </xf>
    <xf borderId="4" fillId="0" fontId="11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vertical="center"/>
    </xf>
    <xf borderId="4" fillId="0" fontId="4" numFmtId="0" xfId="0" applyAlignment="1" applyBorder="1" applyFont="1">
      <alignment vertical="center"/>
    </xf>
    <xf borderId="4" fillId="9" fontId="3" numFmtId="0" xfId="0" applyAlignment="1" applyBorder="1" applyFont="1">
      <alignment horizontal="center" shrinkToFit="1" vertical="center" wrapText="0"/>
    </xf>
    <xf borderId="4" fillId="0" fontId="13" numFmtId="168" xfId="0" applyAlignment="1" applyBorder="1" applyFont="1" applyNumberFormat="1">
      <alignment horizontal="left" vertical="center"/>
    </xf>
    <xf borderId="4" fillId="9" fontId="9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4" fillId="0" fontId="18" numFmtId="167" xfId="0" applyAlignment="1" applyBorder="1" applyFont="1" applyNumberFormat="1">
      <alignment horizontal="left" vertical="center"/>
    </xf>
    <xf borderId="17" fillId="11" fontId="8" numFmtId="0" xfId="0" applyAlignment="1" applyBorder="1" applyFont="1">
      <alignment horizontal="center" vertical="center"/>
    </xf>
    <xf borderId="20" fillId="0" fontId="8" numFmtId="0" xfId="0" applyAlignment="1" applyBorder="1" applyFont="1">
      <alignment horizontal="center" vertical="center"/>
    </xf>
    <xf borderId="22" fillId="0" fontId="8" numFmtId="9" xfId="0" applyAlignment="1" applyBorder="1" applyFont="1" applyNumberFormat="1">
      <alignment horizontal="center" shrinkToFit="1" vertical="center" wrapText="0"/>
    </xf>
    <xf borderId="23" fillId="11" fontId="7" numFmtId="0" xfId="0" applyAlignment="1" applyBorder="1" applyFont="1">
      <alignment horizontal="center" vertical="center"/>
    </xf>
    <xf borderId="24" fillId="11" fontId="8" numFmtId="0" xfId="0" applyAlignment="1" applyBorder="1" applyFont="1">
      <alignment horizontal="center" vertical="center"/>
    </xf>
    <xf borderId="24" fillId="16" fontId="8" numFmtId="0" xfId="0" applyAlignment="1" applyBorder="1" applyFill="1" applyFont="1">
      <alignment horizontal="center" vertical="center"/>
    </xf>
    <xf borderId="15" fillId="11" fontId="8" numFmtId="0" xfId="0" applyAlignment="1" applyBorder="1" applyFont="1">
      <alignment horizontal="center" vertical="center"/>
    </xf>
    <xf borderId="4" fillId="0" fontId="18" numFmtId="168" xfId="0" applyAlignment="1" applyBorder="1" applyFont="1" applyNumberFormat="1">
      <alignment horizontal="left" vertical="center"/>
    </xf>
    <xf borderId="25" fillId="0" fontId="8" numFmtId="169" xfId="0" applyAlignment="1" applyBorder="1" applyFont="1" applyNumberFormat="1">
      <alignment horizontal="center" vertical="center"/>
    </xf>
    <xf borderId="15" fillId="11" fontId="8" numFmtId="9" xfId="0" applyAlignment="1" applyBorder="1" applyFont="1" applyNumberFormat="1">
      <alignment horizontal="center" vertical="center"/>
    </xf>
    <xf borderId="4" fillId="0" fontId="9" numFmtId="169" xfId="0" applyAlignment="1" applyBorder="1" applyFont="1" applyNumberFormat="1">
      <alignment horizontal="center" vertical="center"/>
    </xf>
    <xf borderId="12" fillId="0" fontId="8" numFmtId="169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horizontal="center" shrinkToFit="1" vertical="center" wrapText="0"/>
    </xf>
    <xf borderId="26" fillId="0" fontId="8" numFmtId="169" xfId="0" applyAlignment="1" applyBorder="1" applyFont="1" applyNumberFormat="1">
      <alignment horizontal="center" vertical="center"/>
    </xf>
    <xf borderId="27" fillId="11" fontId="8" numFmtId="0" xfId="0" applyAlignment="1" applyBorder="1" applyFont="1">
      <alignment horizontal="center" vertical="center"/>
    </xf>
    <xf borderId="28" fillId="11" fontId="8" numFmtId="9" xfId="0" applyAlignment="1" applyBorder="1" applyFont="1" applyNumberFormat="1">
      <alignment horizontal="center" vertical="center"/>
    </xf>
    <xf borderId="4" fillId="0" fontId="11" numFmtId="0" xfId="0" applyAlignment="1" applyBorder="1" applyFont="1">
      <alignment horizontal="left" shrinkToFit="1" vertical="center" wrapText="0"/>
    </xf>
    <xf borderId="26" fillId="7" fontId="8" numFmtId="0" xfId="0" applyAlignment="1" applyBorder="1" applyFont="1">
      <alignment horizontal="center" vertical="center"/>
    </xf>
    <xf borderId="29" fillId="0" fontId="2" numFmtId="0" xfId="0" applyAlignment="1" applyBorder="1" applyFont="1">
      <alignment vertical="center"/>
    </xf>
    <xf borderId="30" fillId="0" fontId="2" numFmtId="0" xfId="0" applyAlignment="1" applyBorder="1" applyFont="1">
      <alignment vertical="center"/>
    </xf>
    <xf borderId="31" fillId="0" fontId="5" numFmtId="0" xfId="0" applyAlignment="1" applyBorder="1" applyFont="1">
      <alignment horizontal="center" shrinkToFit="1" vertical="center" wrapText="0"/>
    </xf>
    <xf borderId="32" fillId="0" fontId="20" numFmtId="0" xfId="0" applyAlignment="1" applyBorder="1" applyFont="1">
      <alignment horizontal="center" vertical="center"/>
    </xf>
    <xf borderId="33" fillId="0" fontId="20" numFmtId="0" xfId="0" applyAlignment="1" applyBorder="1" applyFont="1">
      <alignment horizontal="center" vertical="center"/>
    </xf>
    <xf borderId="34" fillId="0" fontId="20" numFmtId="0" xfId="0" applyAlignment="1" applyBorder="1" applyFont="1">
      <alignment horizontal="center" vertical="center"/>
    </xf>
    <xf borderId="35" fillId="11" fontId="8" numFmtId="0" xfId="0" applyAlignment="1" applyBorder="1" applyFont="1">
      <alignment horizontal="center" vertical="center"/>
    </xf>
    <xf borderId="4" fillId="11" fontId="8" numFmtId="0" xfId="0" applyAlignment="1" applyBorder="1" applyFont="1">
      <alignment horizontal="center" vertical="center"/>
    </xf>
    <xf borderId="4" fillId="16" fontId="8" numFmtId="0" xfId="0" applyAlignment="1" applyBorder="1" applyFont="1">
      <alignment horizontal="center" vertical="center"/>
    </xf>
    <xf borderId="36" fillId="11" fontId="8" numFmtId="9" xfId="0" applyAlignment="1" applyBorder="1" applyFont="1" applyNumberFormat="1">
      <alignment horizontal="center" vertical="center"/>
    </xf>
    <xf borderId="4" fillId="9" fontId="3" numFmtId="170" xfId="0" applyAlignment="1" applyBorder="1" applyFont="1" applyNumberFormat="1">
      <alignment horizontal="center" vertical="center"/>
    </xf>
    <xf borderId="37" fillId="0" fontId="20" numFmtId="0" xfId="0" applyAlignment="1" applyBorder="1" applyFont="1">
      <alignment horizontal="center" vertical="center"/>
    </xf>
    <xf borderId="38" fillId="11" fontId="8" numFmtId="0" xfId="0" applyAlignment="1" applyBorder="1" applyFont="1">
      <alignment horizontal="center" vertical="center"/>
    </xf>
    <xf borderId="38" fillId="16" fontId="8" numFmtId="0" xfId="0" applyAlignment="1" applyBorder="1" applyFont="1">
      <alignment horizontal="center" vertical="center"/>
    </xf>
    <xf borderId="39" fillId="11" fontId="8" numFmtId="9" xfId="0" applyAlignment="1" applyBorder="1" applyFont="1" applyNumberFormat="1">
      <alignment horizontal="center" vertical="center"/>
    </xf>
    <xf borderId="32" fillId="0" fontId="7" numFmtId="0" xfId="0" applyAlignment="1" applyBorder="1" applyFont="1">
      <alignment horizontal="center" vertical="center"/>
    </xf>
    <xf borderId="33" fillId="0" fontId="7" numFmtId="0" xfId="0" applyAlignment="1" applyBorder="1" applyFont="1">
      <alignment horizontal="center" vertical="center"/>
    </xf>
    <xf borderId="34" fillId="0" fontId="7" numFmtId="0" xfId="0" applyAlignment="1" applyBorder="1" applyFont="1">
      <alignment horizontal="center" vertical="center"/>
    </xf>
    <xf borderId="4" fillId="0" fontId="3" numFmtId="170" xfId="0" applyAlignment="1" applyBorder="1" applyFont="1" applyNumberFormat="1">
      <alignment horizontal="center" vertical="center"/>
    </xf>
    <xf borderId="4" fillId="9" fontId="3" numFmtId="170" xfId="0" applyAlignment="1" applyBorder="1" applyFont="1" applyNumberFormat="1">
      <alignment horizontal="center" vertical="bottom"/>
    </xf>
    <xf borderId="37" fillId="11" fontId="8" numFmtId="0" xfId="0" applyAlignment="1" applyBorder="1" applyFont="1">
      <alignment horizontal="center" vertical="center"/>
    </xf>
    <xf borderId="26" fillId="7" fontId="8" numFmtId="0" xfId="0" applyAlignment="1" applyBorder="1" applyFont="1">
      <alignment horizontal="center" readingOrder="0" vertical="center"/>
    </xf>
    <xf borderId="35" fillId="11" fontId="8" numFmtId="0" xfId="0" applyAlignment="1" applyBorder="1" applyFont="1">
      <alignment horizontal="center" readingOrder="0" vertical="center"/>
    </xf>
    <xf borderId="4" fillId="9" fontId="3" numFmtId="171" xfId="0" applyAlignment="1" applyBorder="1" applyFont="1" applyNumberFormat="1">
      <alignment horizontal="center" vertical="center"/>
    </xf>
    <xf borderId="37" fillId="0" fontId="20" numFmtId="0" xfId="0" applyAlignment="1" applyBorder="1" applyFont="1">
      <alignment horizontal="center" readingOrder="0" vertical="center"/>
    </xf>
    <xf borderId="4" fillId="11" fontId="11" numFmtId="169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left" vertical="center"/>
    </xf>
    <xf borderId="4" fillId="0" fontId="21" numFmtId="0" xfId="0" applyAlignment="1" applyBorder="1" applyFont="1">
      <alignment horizontal="center" vertical="center"/>
    </xf>
    <xf borderId="31" fillId="9" fontId="10" numFmtId="167" xfId="0" applyAlignment="1" applyBorder="1" applyFont="1" applyNumberFormat="1">
      <alignment horizontal="center" shrinkToFit="1" vertical="center" wrapText="0"/>
    </xf>
    <xf borderId="4" fillId="0" fontId="22" numFmtId="0" xfId="0" applyAlignment="1" applyBorder="1" applyFont="1">
      <alignment horizontal="center" vertical="center"/>
    </xf>
    <xf borderId="4" fillId="9" fontId="9" numFmtId="0" xfId="0" applyAlignment="1" applyBorder="1" applyFont="1">
      <alignment horizontal="left" shrinkToFit="0" vertical="center" wrapText="1"/>
    </xf>
    <xf borderId="4" fillId="11" fontId="13" numFmtId="169" xfId="0" applyAlignment="1" applyBorder="1" applyFont="1" applyNumberFormat="1">
      <alignment horizontal="center" vertical="center"/>
    </xf>
    <xf borderId="31" fillId="9" fontId="10" numFmtId="0" xfId="0" applyAlignment="1" applyBorder="1" applyFont="1">
      <alignment horizontal="center" shrinkToFit="1" vertical="center" wrapText="0"/>
    </xf>
    <xf borderId="4" fillId="0" fontId="18" numFmtId="0" xfId="0" applyAlignment="1" applyBorder="1" applyFont="1">
      <alignment horizontal="left" shrinkToFit="0" vertical="center" wrapText="1"/>
    </xf>
    <xf borderId="4" fillId="0" fontId="3" numFmtId="165" xfId="0" applyAlignment="1" applyBorder="1" applyFont="1" applyNumberFormat="1">
      <alignment horizontal="center" shrinkToFit="1" vertical="center" wrapText="0"/>
    </xf>
    <xf borderId="4" fillId="0" fontId="11" numFmtId="167" xfId="0" applyAlignment="1" applyBorder="1" applyFont="1" applyNumberFormat="1">
      <alignment horizontal="center" vertical="center"/>
    </xf>
    <xf borderId="4" fillId="0" fontId="13" numFmtId="0" xfId="0" applyAlignment="1" applyBorder="1" applyFont="1">
      <alignment horizontal="center" shrinkToFit="1" vertical="center" wrapText="0"/>
    </xf>
    <xf borderId="4" fillId="11" fontId="9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horizontal="center" shrinkToFit="0" vertical="center" wrapText="1"/>
    </xf>
    <xf borderId="4" fillId="0" fontId="13" numFmtId="165" xfId="0" applyAlignment="1" applyBorder="1" applyFont="1" applyNumberFormat="1">
      <alignment horizontal="center" vertical="center"/>
    </xf>
    <xf borderId="4" fillId="0" fontId="11" numFmtId="0" xfId="0" applyAlignment="1" applyBorder="1" applyFont="1">
      <alignment horizontal="center" shrinkToFit="0" vertical="center" wrapText="1"/>
    </xf>
    <xf borderId="16" fillId="0" fontId="11" numFmtId="164" xfId="0" applyAlignment="1" applyBorder="1" applyFont="1" applyNumberFormat="1">
      <alignment horizontal="center" vertical="center"/>
    </xf>
    <xf borderId="4" fillId="0" fontId="23" numFmtId="0" xfId="0" applyAlignment="1" applyBorder="1" applyFont="1">
      <alignment horizontal="center" shrinkToFit="1" vertical="center" wrapText="0"/>
    </xf>
    <xf borderId="4" fillId="9" fontId="11" numFmtId="0" xfId="0" applyAlignment="1" applyBorder="1" applyFont="1">
      <alignment horizontal="center" shrinkToFit="1" vertical="center" wrapText="0"/>
    </xf>
    <xf borderId="4" fillId="0" fontId="11" numFmtId="3" xfId="0" applyAlignment="1" applyBorder="1" applyFont="1" applyNumberFormat="1">
      <alignment horizontal="left" shrinkToFit="0" vertical="center" wrapText="1"/>
    </xf>
    <xf borderId="4" fillId="0" fontId="7" numFmtId="0" xfId="0" applyAlignment="1" applyBorder="1" applyFont="1">
      <alignment horizontal="center" vertical="center"/>
    </xf>
    <xf borderId="4" fillId="0" fontId="13" numFmtId="167" xfId="0" applyAlignment="1" applyBorder="1" applyFont="1" applyNumberFormat="1">
      <alignment horizontal="center" vertical="center"/>
    </xf>
    <xf borderId="4" fillId="0" fontId="11" numFmtId="0" xfId="0" applyAlignment="1" applyBorder="1" applyFont="1">
      <alignment horizontal="left" vertical="center"/>
    </xf>
    <xf borderId="4" fillId="0" fontId="4" numFmtId="0" xfId="0" applyAlignment="1" applyBorder="1" applyFont="1">
      <alignment shrinkToFit="0" vertical="center" wrapText="1"/>
    </xf>
    <xf borderId="4" fillId="0" fontId="11" numFmtId="167" xfId="0" applyAlignment="1" applyBorder="1" applyFont="1" applyNumberFormat="1">
      <alignment horizontal="left" shrinkToFit="1" vertical="center" wrapText="0"/>
    </xf>
    <xf borderId="4" fillId="0" fontId="24" numFmtId="0" xfId="0" applyAlignment="1" applyBorder="1" applyFont="1">
      <alignment horizontal="center" vertical="center"/>
    </xf>
    <xf borderId="4" fillId="0" fontId="25" numFmtId="0" xfId="0" applyAlignment="1" applyBorder="1" applyFont="1">
      <alignment horizontal="center" vertical="center"/>
    </xf>
    <xf borderId="4" fillId="0" fontId="25" numFmtId="0" xfId="0" applyAlignment="1" applyBorder="1" applyFont="1">
      <alignment vertical="center"/>
    </xf>
    <xf borderId="31" fillId="0" fontId="5" numFmtId="0" xfId="0" applyAlignment="1" applyBorder="1" applyFont="1">
      <alignment horizontal="center" readingOrder="0" shrinkToFit="1" vertical="center" wrapText="0"/>
    </xf>
    <xf borderId="4" fillId="0" fontId="9" numFmtId="165" xfId="0" applyAlignment="1" applyBorder="1" applyFont="1" applyNumberFormat="1">
      <alignment horizontal="center" shrinkToFit="1" vertical="center" wrapText="0"/>
    </xf>
    <xf borderId="4" fillId="0" fontId="11" numFmtId="165" xfId="0" applyAlignment="1" applyBorder="1" applyFont="1" applyNumberFormat="1">
      <alignment horizontal="center" vertical="center"/>
    </xf>
    <xf borderId="4" fillId="0" fontId="11" numFmtId="172" xfId="0" applyAlignment="1" applyBorder="1" applyFont="1" applyNumberFormat="1">
      <alignment horizontal="center" shrinkToFit="1" vertical="center" wrapText="0"/>
    </xf>
    <xf borderId="4" fillId="9" fontId="3" numFmtId="0" xfId="0" applyAlignment="1" applyBorder="1" applyFont="1">
      <alignment horizontal="center" shrinkToFit="0" vertical="center" wrapText="1"/>
    </xf>
    <xf borderId="31" fillId="0" fontId="5" numFmtId="164" xfId="0" applyAlignment="1" applyBorder="1" applyFont="1" applyNumberFormat="1">
      <alignment horizontal="center" shrinkToFit="1" vertical="center" wrapText="0"/>
    </xf>
    <xf borderId="4" fillId="9" fontId="9" numFmtId="170" xfId="0" applyAlignment="1" applyBorder="1" applyFont="1" applyNumberFormat="1">
      <alignment horizontal="center" vertical="center"/>
    </xf>
    <xf borderId="4" fillId="9" fontId="11" numFmtId="0" xfId="0" applyAlignment="1" applyBorder="1" applyFont="1">
      <alignment horizontal="center" vertical="center"/>
    </xf>
    <xf borderId="4" fillId="0" fontId="23" numFmtId="0" xfId="0" applyAlignment="1" applyBorder="1" applyFont="1">
      <alignment horizontal="center" vertical="center"/>
    </xf>
    <xf borderId="4" fillId="9" fontId="11" numFmtId="0" xfId="0" applyAlignment="1" applyBorder="1" applyFont="1">
      <alignment horizontal="left" shrinkToFit="0" vertical="center" wrapText="1"/>
    </xf>
    <xf borderId="40" fillId="0" fontId="5" numFmtId="0" xfId="0" applyAlignment="1" applyBorder="1" applyFont="1">
      <alignment horizontal="center" shrinkToFit="1" vertical="center" wrapText="0"/>
    </xf>
    <xf borderId="40" fillId="0" fontId="5" numFmtId="164" xfId="0" applyAlignment="1" applyBorder="1" applyFont="1" applyNumberFormat="1">
      <alignment horizontal="center" shrinkToFit="1" vertical="center" wrapText="0"/>
    </xf>
    <xf borderId="4" fillId="0" fontId="3" numFmtId="165" xfId="0" applyAlignment="1" applyBorder="1" applyFont="1" applyNumberFormat="1">
      <alignment horizontal="center" vertical="center"/>
    </xf>
    <xf borderId="31" fillId="0" fontId="11" numFmtId="0" xfId="0" applyAlignment="1" applyBorder="1" applyFont="1">
      <alignment horizontal="center" shrinkToFit="1" vertical="center" wrapText="0"/>
    </xf>
    <xf borderId="31" fillId="0" fontId="11" numFmtId="0" xfId="0" applyAlignment="1" applyBorder="1" applyFont="1">
      <alignment horizontal="center" vertical="center"/>
    </xf>
    <xf borderId="4" fillId="0" fontId="11" numFmtId="173" xfId="0" applyAlignment="1" applyBorder="1" applyFont="1" applyNumberFormat="1">
      <alignment horizontal="center" shrinkToFit="1" vertical="center" wrapText="0"/>
    </xf>
    <xf borderId="4" fillId="0" fontId="26" numFmtId="0" xfId="0" applyAlignment="1" applyBorder="1" applyFont="1">
      <alignment horizontal="center" shrinkToFit="1" vertical="center" wrapText="0"/>
    </xf>
    <xf borderId="4" fillId="0" fontId="26" numFmtId="167" xfId="0" applyAlignment="1" applyBorder="1" applyFont="1" applyNumberFormat="1">
      <alignment horizontal="center" shrinkToFit="1" vertical="center" wrapText="0"/>
    </xf>
    <xf borderId="0" fillId="0" fontId="3" numFmtId="164" xfId="0" applyAlignment="1" applyFont="1" applyNumberFormat="1">
      <alignment horizontal="center" vertical="center"/>
    </xf>
    <xf borderId="0" fillId="0" fontId="11" numFmtId="165" xfId="0" applyAlignment="1" applyFont="1" applyNumberFormat="1">
      <alignment horizontal="center" vertical="center"/>
    </xf>
    <xf borderId="0" fillId="0" fontId="18" numFmtId="0" xfId="0" applyAlignment="1" applyFont="1">
      <alignment horizontal="left" vertical="center"/>
    </xf>
    <xf borderId="0" fillId="0" fontId="18" numFmtId="0" xfId="0" applyAlignment="1" applyFont="1">
      <alignment horizontal="center" vertical="center"/>
    </xf>
  </cellXfs>
  <cellStyles count="1">
    <cellStyle xfId="0" name="Normal" builtinId="0"/>
  </cellStyles>
  <dxfs count="6">
    <dxf>
      <font/>
      <fill>
        <patternFill patternType="solid">
          <fgColor rgb="FF7030A0"/>
          <bgColor rgb="FF7030A0"/>
        </patternFill>
      </fill>
      <border/>
    </dxf>
    <dxf>
      <font/>
      <fill>
        <patternFill patternType="solid">
          <fgColor rgb="FF00B0F0"/>
          <bgColor rgb="FF00B0F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15.86"/>
    <col customWidth="1" min="3" max="5" width="17.29"/>
    <col customWidth="1" min="6" max="6" width="13.14"/>
    <col customWidth="1" min="7" max="7" width="8.14"/>
    <col customWidth="1" min="8" max="8" width="7.86"/>
    <col customWidth="1" min="9" max="9" width="17.0"/>
    <col customWidth="1" min="10" max="10" width="13.14"/>
    <col customWidth="1" min="11" max="11" width="14.43"/>
    <col customWidth="1" min="12" max="12" width="14.29"/>
    <col customWidth="1" min="13" max="14" width="13.14"/>
    <col customWidth="1" min="15" max="15" width="85.86"/>
    <col customWidth="1" min="16" max="16" width="11.43"/>
    <col customWidth="1" min="17" max="17" width="13.14"/>
    <col customWidth="1" min="18" max="18" width="10.29"/>
    <col customWidth="1" min="19" max="19" width="85.86"/>
    <col customWidth="1" min="20" max="20" width="11.43"/>
    <col customWidth="1" min="21" max="21" width="13.14"/>
    <col customWidth="1" min="22" max="22" width="10.29"/>
    <col customWidth="1" min="23" max="23" width="85.86"/>
    <col customWidth="1" min="24" max="26" width="9.0"/>
    <col customWidth="1" min="27" max="27" width="17.14"/>
    <col customWidth="1" min="28" max="28" width="9.0"/>
    <col customWidth="1" min="29" max="29" width="6.43"/>
    <col customWidth="1" min="30" max="30" width="9.0"/>
    <col customWidth="1" min="31" max="31" width="9.14"/>
    <col customWidth="1" min="32" max="32" width="11.86"/>
    <col customWidth="1" min="33" max="34" width="11.71"/>
    <col customWidth="1" min="35" max="35" width="10.29"/>
    <col customWidth="1" min="36" max="37" width="9.0"/>
    <col customWidth="1" min="38" max="38" width="11.71"/>
    <col customWidth="1" min="39" max="39" width="9.0"/>
    <col customWidth="1" min="40" max="40" width="11.14"/>
    <col customWidth="1" min="41" max="42" width="9.0"/>
    <col customWidth="1" min="43" max="43" width="10.29"/>
    <col customWidth="1" min="44" max="44" width="9.0"/>
    <col customWidth="1" min="45" max="45" width="12.0"/>
    <col customWidth="1" min="46" max="47" width="9.0"/>
    <col customWidth="1" min="48" max="48" width="11.71"/>
    <col customWidth="1" min="49" max="52" width="9.0"/>
    <col customWidth="1" min="53" max="53" width="10.71"/>
    <col customWidth="1" min="54" max="55" width="9.0"/>
    <col customWidth="1" min="56" max="56" width="10.29"/>
    <col customWidth="1" min="57" max="62" width="9.0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</row>
    <row r="2" ht="17.25" customHeight="1">
      <c r="A2" s="5"/>
      <c r="B2" s="6"/>
      <c r="C2" s="6"/>
      <c r="D2" s="6"/>
      <c r="E2" s="6"/>
      <c r="F2" s="5"/>
      <c r="G2" s="5"/>
      <c r="H2" s="5"/>
      <c r="I2" s="7"/>
      <c r="J2" s="5"/>
      <c r="K2" s="5"/>
      <c r="L2" s="8"/>
      <c r="M2" s="9"/>
      <c r="N2" s="9"/>
      <c r="O2" s="9"/>
      <c r="P2" s="4"/>
      <c r="Q2" s="10"/>
      <c r="R2" s="10"/>
      <c r="S2" s="10"/>
      <c r="T2" s="10"/>
      <c r="U2" s="10"/>
      <c r="V2" s="10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</row>
    <row r="3" ht="38.25" customHeight="1">
      <c r="A3" s="11" t="s">
        <v>1</v>
      </c>
      <c r="B3" s="12" t="s">
        <v>2</v>
      </c>
      <c r="C3" s="12" t="s">
        <v>3</v>
      </c>
      <c r="D3" s="13" t="s">
        <v>4</v>
      </c>
      <c r="E3" s="13" t="s">
        <v>5</v>
      </c>
      <c r="F3" s="14" t="s">
        <v>6</v>
      </c>
      <c r="G3" s="14" t="s">
        <v>7</v>
      </c>
      <c r="H3" s="14" t="s">
        <v>8</v>
      </c>
      <c r="I3" s="15" t="s">
        <v>9</v>
      </c>
      <c r="J3" s="14" t="s">
        <v>10</v>
      </c>
      <c r="K3" s="14" t="s">
        <v>11</v>
      </c>
      <c r="L3" s="16" t="s">
        <v>12</v>
      </c>
      <c r="M3" s="16" t="s">
        <v>13</v>
      </c>
      <c r="N3" s="16" t="s">
        <v>14</v>
      </c>
      <c r="O3" s="16" t="s">
        <v>15</v>
      </c>
      <c r="P3" s="17" t="s">
        <v>16</v>
      </c>
      <c r="Q3" s="17" t="s">
        <v>13</v>
      </c>
      <c r="R3" s="17" t="s">
        <v>14</v>
      </c>
      <c r="S3" s="17" t="s">
        <v>17</v>
      </c>
      <c r="T3" s="18" t="s">
        <v>18</v>
      </c>
      <c r="U3" s="18" t="s">
        <v>13</v>
      </c>
      <c r="V3" s="18" t="s">
        <v>14</v>
      </c>
      <c r="W3" s="18" t="s">
        <v>19</v>
      </c>
      <c r="AA3" s="19" t="s">
        <v>20</v>
      </c>
      <c r="AB3" s="20"/>
      <c r="AC3" s="20"/>
      <c r="AD3" s="20"/>
      <c r="AE3" s="20"/>
      <c r="AF3" s="21"/>
      <c r="AG3" s="4"/>
      <c r="AN3" s="22" t="s">
        <v>21</v>
      </c>
      <c r="AO3" s="23"/>
      <c r="AP3" s="23"/>
      <c r="AQ3" s="23"/>
      <c r="AR3" s="23"/>
      <c r="AS3" s="23"/>
      <c r="AT3" s="23"/>
      <c r="AU3" s="23"/>
      <c r="AV3" s="23"/>
      <c r="AW3" s="24"/>
    </row>
    <row r="4" ht="25.5" customHeight="1">
      <c r="A4" s="25"/>
      <c r="B4" s="26">
        <v>45992.0</v>
      </c>
      <c r="C4" s="27"/>
      <c r="D4" s="28"/>
      <c r="E4" s="27"/>
      <c r="F4" s="29"/>
      <c r="G4" s="30"/>
      <c r="H4" s="30"/>
      <c r="I4" s="31"/>
      <c r="J4" s="32"/>
      <c r="K4" s="33"/>
      <c r="L4" s="34"/>
      <c r="M4" s="26">
        <v>45992.0</v>
      </c>
      <c r="N4" s="35"/>
      <c r="O4" s="36"/>
      <c r="P4" s="34"/>
      <c r="Q4" s="26">
        <v>45992.0</v>
      </c>
      <c r="R4" s="35"/>
      <c r="S4" s="36"/>
      <c r="T4" s="34"/>
      <c r="U4" s="26">
        <v>45992.0</v>
      </c>
      <c r="V4" s="35"/>
      <c r="W4" s="36"/>
      <c r="AA4" s="37" t="s">
        <v>22</v>
      </c>
      <c r="AB4" s="23"/>
      <c r="AC4" s="38"/>
      <c r="AD4" s="37" t="s">
        <v>23</v>
      </c>
      <c r="AE4" s="39"/>
      <c r="AF4" s="40" t="s">
        <v>24</v>
      </c>
      <c r="AG4" s="4"/>
      <c r="AN4" s="41" t="s">
        <v>25</v>
      </c>
      <c r="AO4" s="42" t="s">
        <v>26</v>
      </c>
      <c r="AP4" s="43" t="s">
        <v>27</v>
      </c>
      <c r="AQ4" s="23"/>
      <c r="AR4" s="23"/>
      <c r="AS4" s="24"/>
      <c r="AT4" s="43" t="s">
        <v>28</v>
      </c>
      <c r="AU4" s="24"/>
      <c r="AV4" s="42" t="s">
        <v>29</v>
      </c>
      <c r="AW4" s="42" t="s">
        <v>30</v>
      </c>
    </row>
    <row r="5" ht="25.5" customHeight="1">
      <c r="A5" s="25"/>
      <c r="B5" s="44"/>
      <c r="C5" s="27"/>
      <c r="D5" s="32"/>
      <c r="E5" s="30"/>
      <c r="F5" s="29"/>
      <c r="G5" s="32"/>
      <c r="H5" s="33"/>
      <c r="I5" s="45"/>
      <c r="J5" s="32"/>
      <c r="K5" s="33"/>
      <c r="L5" s="34"/>
      <c r="M5" s="46"/>
      <c r="N5" s="47"/>
      <c r="O5" s="30"/>
      <c r="P5" s="34"/>
      <c r="Q5" s="46"/>
      <c r="R5" s="47"/>
      <c r="S5" s="30"/>
      <c r="T5" s="34"/>
      <c r="U5" s="46"/>
      <c r="V5" s="47"/>
      <c r="W5" s="30"/>
      <c r="AA5" s="48">
        <f>COUNT($B$4:$B$1374)</f>
        <v>1</v>
      </c>
      <c r="AB5" s="23"/>
      <c r="AC5" s="38"/>
      <c r="AD5" s="49">
        <f>COUNTIF(G$4:G$1374,"남")</f>
        <v>0</v>
      </c>
      <c r="AE5" s="39"/>
      <c r="AF5" s="50">
        <f>COUNTIF(G$4:G$1374,"여")</f>
        <v>0</v>
      </c>
      <c r="AG5" s="4"/>
      <c r="AN5" s="41" t="s">
        <v>31</v>
      </c>
      <c r="AO5" s="51" t="s">
        <v>26</v>
      </c>
      <c r="AP5" s="51" t="s">
        <v>32</v>
      </c>
      <c r="AQ5" s="51" t="s">
        <v>33</v>
      </c>
      <c r="AR5" s="51" t="s">
        <v>34</v>
      </c>
      <c r="AS5" s="51" t="s">
        <v>35</v>
      </c>
      <c r="AT5" s="51" t="s">
        <v>36</v>
      </c>
      <c r="AU5" s="51" t="s">
        <v>37</v>
      </c>
      <c r="AV5" s="52" t="s">
        <v>38</v>
      </c>
      <c r="AW5" s="52" t="s">
        <v>39</v>
      </c>
    </row>
    <row r="6" ht="25.5" customHeight="1">
      <c r="A6" s="53"/>
      <c r="B6" s="44"/>
      <c r="C6" s="54"/>
      <c r="D6" s="32"/>
      <c r="E6" s="30"/>
      <c r="F6" s="55"/>
      <c r="G6" s="32"/>
      <c r="H6" s="32"/>
      <c r="I6" s="56"/>
      <c r="J6" s="32"/>
      <c r="K6" s="30"/>
      <c r="L6" s="34"/>
      <c r="M6" s="57"/>
      <c r="N6" s="47"/>
      <c r="O6" s="30"/>
      <c r="P6" s="34"/>
      <c r="Q6" s="57"/>
      <c r="R6" s="47"/>
      <c r="S6" s="30"/>
      <c r="T6" s="34"/>
      <c r="U6" s="57"/>
      <c r="V6" s="47"/>
      <c r="W6" s="30"/>
      <c r="AA6" s="10"/>
      <c r="AB6" s="10"/>
      <c r="AC6" s="10"/>
      <c r="AD6" s="10"/>
      <c r="AE6" s="10"/>
      <c r="AF6" s="10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</row>
    <row r="7" ht="25.5" customHeight="1">
      <c r="A7" s="53"/>
      <c r="B7" s="44"/>
      <c r="C7" s="54"/>
      <c r="D7" s="58"/>
      <c r="E7" s="58"/>
      <c r="F7" s="55"/>
      <c r="G7" s="30"/>
      <c r="H7" s="30"/>
      <c r="I7" s="56"/>
      <c r="J7" s="32"/>
      <c r="K7" s="30"/>
      <c r="L7" s="34"/>
      <c r="M7" s="59"/>
      <c r="N7" s="47"/>
      <c r="O7" s="30"/>
      <c r="P7" s="34"/>
      <c r="Q7" s="59"/>
      <c r="R7" s="47"/>
      <c r="S7" s="30"/>
      <c r="T7" s="34"/>
      <c r="U7" s="59"/>
      <c r="V7" s="47"/>
      <c r="W7" s="30"/>
      <c r="AA7" s="60" t="s">
        <v>40</v>
      </c>
      <c r="AB7" s="20"/>
      <c r="AC7" s="20"/>
      <c r="AD7" s="20"/>
      <c r="AE7" s="20"/>
      <c r="AF7" s="21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</row>
    <row r="8" ht="25.5" customHeight="1">
      <c r="A8" s="53"/>
      <c r="B8" s="44"/>
      <c r="C8" s="54"/>
      <c r="D8" s="32"/>
      <c r="E8" s="30"/>
      <c r="F8" s="55"/>
      <c r="G8" s="32"/>
      <c r="H8" s="33"/>
      <c r="I8" s="58"/>
      <c r="J8" s="32"/>
      <c r="K8" s="30"/>
      <c r="L8" s="34"/>
      <c r="M8" s="61"/>
      <c r="N8" s="47"/>
      <c r="O8" s="30"/>
      <c r="P8" s="34"/>
      <c r="Q8" s="61"/>
      <c r="R8" s="47"/>
      <c r="S8" s="30"/>
      <c r="T8" s="34"/>
      <c r="U8" s="61"/>
      <c r="V8" s="47"/>
      <c r="W8" s="30"/>
      <c r="AA8" s="62" t="s">
        <v>41</v>
      </c>
      <c r="AB8" s="23"/>
      <c r="AC8" s="39"/>
      <c r="AD8" s="63" t="s">
        <v>42</v>
      </c>
      <c r="AE8" s="39"/>
      <c r="AF8" s="64" t="s">
        <v>43</v>
      </c>
      <c r="AG8" s="4"/>
      <c r="AH8" s="4"/>
      <c r="AI8" s="4"/>
      <c r="AJ8" s="4"/>
      <c r="AK8" s="4"/>
      <c r="AL8" s="4"/>
      <c r="AM8" s="4"/>
      <c r="AN8" s="65" t="s">
        <v>3</v>
      </c>
      <c r="AO8" s="23"/>
      <c r="AP8" s="23"/>
      <c r="AQ8" s="24"/>
      <c r="AR8" s="4"/>
      <c r="AS8" s="4"/>
      <c r="AT8" s="4"/>
      <c r="AU8" s="4"/>
      <c r="AV8" s="4"/>
      <c r="AW8" s="4"/>
    </row>
    <row r="9" ht="25.5" customHeight="1">
      <c r="A9" s="53"/>
      <c r="B9" s="66"/>
      <c r="C9" s="54"/>
      <c r="D9" s="32"/>
      <c r="E9" s="30"/>
      <c r="F9" s="30"/>
      <c r="G9" s="30"/>
      <c r="H9" s="30"/>
      <c r="I9" s="67"/>
      <c r="J9" s="36"/>
      <c r="K9" s="30"/>
      <c r="L9" s="34"/>
      <c r="M9" s="68"/>
      <c r="N9" s="47"/>
      <c r="O9" s="68"/>
      <c r="P9" s="34"/>
      <c r="Q9" s="68"/>
      <c r="R9" s="47"/>
      <c r="S9" s="68"/>
      <c r="T9" s="34"/>
      <c r="U9" s="68"/>
      <c r="V9" s="47"/>
      <c r="W9" s="68"/>
      <c r="AA9" s="69" t="s">
        <v>44</v>
      </c>
      <c r="AB9" s="23"/>
      <c r="AC9" s="39"/>
      <c r="AD9" s="63">
        <f>COUNTIF(A$4:A$1374,"등록")</f>
        <v>0</v>
      </c>
      <c r="AE9" s="39"/>
      <c r="AF9" s="70">
        <f>AD9/AA5</f>
        <v>0</v>
      </c>
      <c r="AG9" s="4"/>
      <c r="AH9" s="4"/>
      <c r="AI9" s="4"/>
      <c r="AJ9" s="4"/>
      <c r="AK9" s="4"/>
      <c r="AL9" s="4"/>
      <c r="AM9" s="4"/>
      <c r="AN9" s="71" t="s">
        <v>45</v>
      </c>
      <c r="AO9" s="71" t="s">
        <v>46</v>
      </c>
      <c r="AP9" s="72" t="s">
        <v>47</v>
      </c>
      <c r="AQ9" s="72" t="s">
        <v>48</v>
      </c>
      <c r="AR9" s="4"/>
      <c r="AS9" s="4"/>
      <c r="AT9" s="4"/>
      <c r="AU9" s="4"/>
      <c r="AV9" s="4"/>
      <c r="AW9" s="4"/>
    </row>
    <row r="10" ht="25.5" customHeight="1">
      <c r="A10" s="53"/>
      <c r="B10" s="66"/>
      <c r="C10" s="54"/>
      <c r="D10" s="29"/>
      <c r="E10" s="29"/>
      <c r="F10" s="29"/>
      <c r="G10" s="32"/>
      <c r="H10" s="33"/>
      <c r="I10" s="58"/>
      <c r="J10" s="36"/>
      <c r="K10" s="30"/>
      <c r="L10" s="34"/>
      <c r="M10" s="73"/>
      <c r="N10" s="47"/>
      <c r="O10" s="30"/>
      <c r="P10" s="34"/>
      <c r="Q10" s="73"/>
      <c r="R10" s="47"/>
      <c r="S10" s="30"/>
      <c r="T10" s="34"/>
      <c r="U10" s="73"/>
      <c r="V10" s="47"/>
      <c r="W10" s="30"/>
      <c r="AA10" s="74" t="s">
        <v>49</v>
      </c>
      <c r="AB10" s="23"/>
      <c r="AC10" s="39"/>
      <c r="AD10" s="63">
        <f>COUNTIF($A$4:$A$1374,"관리")</f>
        <v>0</v>
      </c>
      <c r="AE10" s="39"/>
      <c r="AF10" s="70">
        <f>AD10/AA5</f>
        <v>0</v>
      </c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</row>
    <row r="11" ht="25.5" customHeight="1">
      <c r="A11" s="53"/>
      <c r="B11" s="66"/>
      <c r="C11" s="45"/>
      <c r="D11" s="58"/>
      <c r="E11" s="36"/>
      <c r="F11" s="29"/>
      <c r="G11" s="32"/>
      <c r="H11" s="33"/>
      <c r="I11" s="58"/>
      <c r="J11" s="36"/>
      <c r="K11" s="30"/>
      <c r="L11" s="34"/>
      <c r="M11" s="75"/>
      <c r="N11" s="47"/>
      <c r="O11" s="76"/>
      <c r="P11" s="34"/>
      <c r="Q11" s="75"/>
      <c r="R11" s="47"/>
      <c r="S11" s="76"/>
      <c r="T11" s="34"/>
      <c r="U11" s="75"/>
      <c r="V11" s="47"/>
      <c r="W11" s="76"/>
      <c r="AA11" s="77" t="s">
        <v>50</v>
      </c>
      <c r="AB11" s="78"/>
      <c r="AC11" s="79"/>
      <c r="AD11" s="80">
        <f>COUNTIF($A$4:$A$1374,"실패")</f>
        <v>0</v>
      </c>
      <c r="AE11" s="79"/>
      <c r="AF11" s="81">
        <f>AD11/AA5</f>
        <v>0</v>
      </c>
      <c r="AG11" s="4"/>
      <c r="AH11" s="4"/>
      <c r="AI11" s="4"/>
      <c r="AJ11" s="4"/>
      <c r="AK11" s="4"/>
      <c r="AL11" s="4"/>
      <c r="AM11" s="4"/>
      <c r="AN11" s="82" t="s">
        <v>14</v>
      </c>
      <c r="AO11" s="83" t="s">
        <v>51</v>
      </c>
      <c r="AP11" s="83" t="s">
        <v>52</v>
      </c>
      <c r="AQ11" s="83" t="s">
        <v>53</v>
      </c>
      <c r="AR11" s="4"/>
      <c r="AS11" s="4"/>
      <c r="AT11" s="4"/>
      <c r="AU11" s="4"/>
      <c r="AV11" s="4"/>
      <c r="AW11" s="4"/>
    </row>
    <row r="12" ht="25.5" customHeight="1">
      <c r="A12" s="53"/>
      <c r="B12" s="66"/>
      <c r="C12" s="54"/>
      <c r="D12" s="58"/>
      <c r="E12" s="58"/>
      <c r="F12" s="29"/>
      <c r="G12" s="32"/>
      <c r="H12" s="36"/>
      <c r="I12" s="56"/>
      <c r="J12" s="36"/>
      <c r="K12" s="30"/>
      <c r="L12" s="34"/>
      <c r="M12" s="84"/>
      <c r="N12" s="47"/>
      <c r="O12" s="30"/>
      <c r="P12" s="34"/>
      <c r="Q12" s="84"/>
      <c r="R12" s="47"/>
      <c r="S12" s="30"/>
      <c r="T12" s="34"/>
      <c r="U12" s="84"/>
      <c r="V12" s="47"/>
      <c r="W12" s="30"/>
      <c r="AA12" s="60" t="s">
        <v>54</v>
      </c>
      <c r="AB12" s="20"/>
      <c r="AC12" s="20"/>
      <c r="AD12" s="20"/>
      <c r="AE12" s="20"/>
      <c r="AF12" s="21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</row>
    <row r="13" ht="25.5" customHeight="1">
      <c r="A13" s="53"/>
      <c r="B13" s="66"/>
      <c r="C13" s="85"/>
      <c r="D13" s="32"/>
      <c r="E13" s="36"/>
      <c r="F13" s="36"/>
      <c r="G13" s="32"/>
      <c r="H13" s="30"/>
      <c r="I13" s="86"/>
      <c r="J13" s="36"/>
      <c r="K13" s="30"/>
      <c r="L13" s="87"/>
      <c r="M13" s="61"/>
      <c r="N13" s="47"/>
      <c r="O13" s="88"/>
      <c r="P13" s="87"/>
      <c r="Q13" s="61"/>
      <c r="R13" s="47"/>
      <c r="S13" s="88"/>
      <c r="T13" s="87"/>
      <c r="U13" s="61"/>
      <c r="V13" s="47"/>
      <c r="W13" s="88"/>
      <c r="AA13" s="89" t="s">
        <v>55</v>
      </c>
      <c r="AB13" s="23"/>
      <c r="AC13" s="39"/>
      <c r="AD13" s="90">
        <f>COUNTIF(J$4:J$1407,"헬스")</f>
        <v>0</v>
      </c>
      <c r="AE13" s="39"/>
      <c r="AF13" s="91">
        <f>AD13/AA5</f>
        <v>0</v>
      </c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</row>
    <row r="14" ht="25.5" customHeight="1">
      <c r="A14" s="53"/>
      <c r="B14" s="66"/>
      <c r="C14" s="85"/>
      <c r="D14" s="32"/>
      <c r="E14" s="92"/>
      <c r="F14" s="36"/>
      <c r="G14" s="33"/>
      <c r="H14" s="36"/>
      <c r="I14" s="93"/>
      <c r="J14" s="36"/>
      <c r="K14" s="30"/>
      <c r="L14" s="34"/>
      <c r="M14" s="73"/>
      <c r="N14" s="47"/>
      <c r="O14" s="94"/>
      <c r="P14" s="34"/>
      <c r="Q14" s="73"/>
      <c r="R14" s="47"/>
      <c r="S14" s="94"/>
      <c r="T14" s="34"/>
      <c r="U14" s="73"/>
      <c r="V14" s="47"/>
      <c r="W14" s="94"/>
      <c r="AA14" s="89" t="s">
        <v>56</v>
      </c>
      <c r="AB14" s="23"/>
      <c r="AC14" s="39"/>
      <c r="AD14" s="90">
        <f>COUNTIF(J$4:J$1407,"GX")</f>
        <v>0</v>
      </c>
      <c r="AE14" s="39"/>
      <c r="AF14" s="91">
        <f>AD14/AA5</f>
        <v>0</v>
      </c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</row>
    <row r="15" ht="25.5" customHeight="1">
      <c r="A15" s="53"/>
      <c r="B15" s="66"/>
      <c r="C15" s="58"/>
      <c r="D15" s="58"/>
      <c r="E15" s="32"/>
      <c r="F15" s="36"/>
      <c r="G15" s="33"/>
      <c r="H15" s="36"/>
      <c r="I15" s="93"/>
      <c r="J15" s="32"/>
      <c r="K15" s="33"/>
      <c r="L15" s="34"/>
      <c r="M15" s="61"/>
      <c r="N15" s="47"/>
      <c r="O15" s="94"/>
      <c r="P15" s="34"/>
      <c r="Q15" s="61"/>
      <c r="R15" s="47"/>
      <c r="S15" s="94"/>
      <c r="T15" s="34"/>
      <c r="U15" s="61"/>
      <c r="V15" s="47"/>
      <c r="W15" s="94"/>
      <c r="AA15" s="89" t="s">
        <v>57</v>
      </c>
      <c r="AB15" s="23"/>
      <c r="AC15" s="39"/>
      <c r="AD15" s="90">
        <f>COUNTIF(J$4:J$1407,"PT")</f>
        <v>0</v>
      </c>
      <c r="AE15" s="39"/>
      <c r="AF15" s="91">
        <f>AD15/AA5</f>
        <v>0</v>
      </c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</row>
    <row r="16" ht="25.5" customHeight="1">
      <c r="A16" s="53"/>
      <c r="B16" s="66"/>
      <c r="C16" s="36"/>
      <c r="D16" s="30"/>
      <c r="E16" s="32"/>
      <c r="F16" s="29"/>
      <c r="G16" s="30"/>
      <c r="H16" s="33"/>
      <c r="I16" s="95"/>
      <c r="J16" s="32"/>
      <c r="K16" s="33"/>
      <c r="L16" s="34"/>
      <c r="M16" s="96"/>
      <c r="N16" s="47"/>
      <c r="O16" s="68"/>
      <c r="P16" s="34"/>
      <c r="Q16" s="96"/>
      <c r="R16" s="47"/>
      <c r="S16" s="68"/>
      <c r="T16" s="34"/>
      <c r="U16" s="96"/>
      <c r="V16" s="47"/>
      <c r="W16" s="68"/>
      <c r="AA16" s="89" t="s">
        <v>58</v>
      </c>
      <c r="AB16" s="23"/>
      <c r="AC16" s="39"/>
      <c r="AD16" s="90">
        <f>COUNTIF(J$4:J$1407,"골프")</f>
        <v>0</v>
      </c>
      <c r="AE16" s="39"/>
      <c r="AF16" s="91">
        <f>AD16/AA5</f>
        <v>0</v>
      </c>
      <c r="AG16" s="4"/>
      <c r="AH16" s="4"/>
      <c r="AI16" s="4"/>
      <c r="AJ16" s="4"/>
      <c r="AK16" s="4"/>
      <c r="AL16" s="4"/>
      <c r="AM16" s="4"/>
    </row>
    <row r="17" ht="25.5" customHeight="1">
      <c r="A17" s="53"/>
      <c r="B17" s="66"/>
      <c r="C17" s="36"/>
      <c r="D17" s="29"/>
      <c r="E17" s="97"/>
      <c r="F17" s="33"/>
      <c r="G17" s="33"/>
      <c r="H17" s="33"/>
      <c r="I17" s="98"/>
      <c r="J17" s="32"/>
      <c r="K17" s="33"/>
      <c r="L17" s="87"/>
      <c r="M17" s="99"/>
      <c r="N17" s="47"/>
      <c r="O17" s="88"/>
      <c r="P17" s="87"/>
      <c r="Q17" s="99"/>
      <c r="R17" s="47"/>
      <c r="S17" s="88"/>
      <c r="T17" s="87"/>
      <c r="U17" s="99"/>
      <c r="V17" s="47"/>
      <c r="W17" s="88"/>
      <c r="AA17" s="100" t="s">
        <v>59</v>
      </c>
      <c r="AB17" s="78"/>
      <c r="AC17" s="79"/>
      <c r="AD17" s="101">
        <f>COUNTIF(J$4:J$1407,"필라테스")</f>
        <v>0</v>
      </c>
      <c r="AE17" s="79"/>
      <c r="AF17" s="102">
        <f>AD17/AA5</f>
        <v>0</v>
      </c>
      <c r="AG17" s="4"/>
      <c r="AH17" s="4"/>
      <c r="AI17" s="4"/>
      <c r="AJ17" s="4"/>
      <c r="AK17" s="4"/>
      <c r="AL17" s="4"/>
      <c r="AM17" s="4"/>
    </row>
    <row r="18" ht="25.5" customHeight="1">
      <c r="A18" s="53"/>
      <c r="B18" s="66"/>
      <c r="C18" s="36"/>
      <c r="D18" s="32"/>
      <c r="E18" s="32"/>
      <c r="F18" s="33"/>
      <c r="G18" s="33"/>
      <c r="H18" s="33"/>
      <c r="I18" s="98"/>
      <c r="J18" s="32"/>
      <c r="K18" s="33"/>
      <c r="L18" s="87"/>
      <c r="M18" s="73"/>
      <c r="N18" s="47"/>
      <c r="O18" s="30"/>
      <c r="P18" s="87"/>
      <c r="Q18" s="73"/>
      <c r="R18" s="47"/>
      <c r="S18" s="30"/>
      <c r="T18" s="87"/>
      <c r="U18" s="73"/>
      <c r="V18" s="47"/>
      <c r="W18" s="30"/>
      <c r="AA18" s="19" t="s">
        <v>60</v>
      </c>
      <c r="AB18" s="20"/>
      <c r="AC18" s="20"/>
      <c r="AD18" s="20"/>
      <c r="AE18" s="20"/>
      <c r="AF18" s="21"/>
      <c r="AG18" s="4"/>
      <c r="AH18" s="4"/>
      <c r="AI18" s="4"/>
      <c r="AJ18" s="4"/>
      <c r="AK18" s="4"/>
      <c r="AL18" s="4"/>
      <c r="AM18" s="4"/>
    </row>
    <row r="19" ht="25.5" customHeight="1">
      <c r="A19" s="53"/>
      <c r="B19" s="44"/>
      <c r="C19" s="36"/>
      <c r="D19" s="32"/>
      <c r="E19" s="42"/>
      <c r="F19" s="33"/>
      <c r="G19" s="33"/>
      <c r="H19" s="33"/>
      <c r="I19" s="98"/>
      <c r="J19" s="32"/>
      <c r="K19" s="33"/>
      <c r="L19" s="87"/>
      <c r="M19" s="84"/>
      <c r="N19" s="47"/>
      <c r="O19" s="36"/>
      <c r="P19" s="87"/>
      <c r="Q19" s="84"/>
      <c r="R19" s="47"/>
      <c r="S19" s="36"/>
      <c r="T19" s="87"/>
      <c r="U19" s="84"/>
      <c r="V19" s="47"/>
      <c r="W19" s="36"/>
      <c r="AA19" s="103"/>
      <c r="AB19" s="104" t="s">
        <v>61</v>
      </c>
      <c r="AC19" s="105" t="s">
        <v>44</v>
      </c>
      <c r="AD19" s="104" t="s">
        <v>49</v>
      </c>
      <c r="AE19" s="104" t="s">
        <v>50</v>
      </c>
      <c r="AF19" s="106" t="s">
        <v>62</v>
      </c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</row>
    <row r="20" ht="25.5" customHeight="1">
      <c r="A20" s="53"/>
      <c r="B20" s="66"/>
      <c r="C20" s="36"/>
      <c r="D20" s="30"/>
      <c r="E20" s="32"/>
      <c r="F20" s="30"/>
      <c r="G20" s="33"/>
      <c r="H20" s="33"/>
      <c r="I20" s="56"/>
      <c r="J20" s="32"/>
      <c r="K20" s="33"/>
      <c r="L20" s="87"/>
      <c r="M20" s="107"/>
      <c r="N20" s="47"/>
      <c r="O20" s="36"/>
      <c r="P20" s="87"/>
      <c r="Q20" s="107"/>
      <c r="R20" s="47"/>
      <c r="S20" s="36"/>
      <c r="T20" s="87"/>
      <c r="U20" s="107"/>
      <c r="V20" s="47"/>
      <c r="W20" s="36"/>
      <c r="AA20" s="108"/>
      <c r="AB20" s="104">
        <f t="shared" ref="AB20:AB21" si="1">COUNTIFS($K$4:$K$2913,AA20,$C$4:$C$2913,"WI")+COUNTIFS($K$4:$K$2913,AA20,$C$4:$C$2913,"TI")</f>
        <v>0</v>
      </c>
      <c r="AC20" s="105">
        <f>COUNTIFS($K$4:$K$2913,$AA$20,$A$4:$A$2913,$AC$19)</f>
        <v>0</v>
      </c>
      <c r="AD20" s="104">
        <f>COUNTIFS($K$4:$K$2913,$AA$20,$A$4:$A$2913,$AD$19)</f>
        <v>0</v>
      </c>
      <c r="AE20" s="104">
        <f>COUNTIFS($K$4:$K$2913,$AA$20,$A$4:$A$2913,$AE$19)</f>
        <v>0</v>
      </c>
      <c r="AF20" s="109" t="str">
        <f t="shared" ref="AF20:AF22" si="2">AC20/AB20</f>
        <v>#DIV/0!</v>
      </c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</row>
    <row r="21" ht="25.5" customHeight="1">
      <c r="A21" s="53"/>
      <c r="B21" s="66"/>
      <c r="C21" s="36"/>
      <c r="D21" s="30"/>
      <c r="E21" s="28"/>
      <c r="F21" s="110"/>
      <c r="G21" s="33"/>
      <c r="H21" s="36"/>
      <c r="I21" s="93"/>
      <c r="J21" s="32"/>
      <c r="K21" s="33"/>
      <c r="L21" s="87"/>
      <c r="M21" s="68"/>
      <c r="N21" s="47"/>
      <c r="O21" s="36"/>
      <c r="P21" s="87"/>
      <c r="Q21" s="68"/>
      <c r="R21" s="47"/>
      <c r="S21" s="36"/>
      <c r="T21" s="87"/>
      <c r="U21" s="68"/>
      <c r="V21" s="47"/>
      <c r="W21" s="36"/>
      <c r="AA21" s="111"/>
      <c r="AB21" s="104">
        <f t="shared" si="1"/>
        <v>0</v>
      </c>
      <c r="AC21" s="105">
        <f>COUNTIFS($K$4:$K$2913,$AA$21,$A$4:$A$2913,$AC$19)</f>
        <v>0</v>
      </c>
      <c r="AD21" s="104">
        <f>COUNTIFS($K$4:$K$2913,$AA$21,$A$4:$A$2913,$AD$19)</f>
        <v>0</v>
      </c>
      <c r="AE21" s="104">
        <f>COUNTIFS($K$4:$K$2913,$AA$21,$A$4:$A$2913,$AE$19)</f>
        <v>0</v>
      </c>
      <c r="AF21" s="109" t="str">
        <f t="shared" si="2"/>
        <v>#DIV/0!</v>
      </c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</row>
    <row r="22" ht="25.5" customHeight="1">
      <c r="A22" s="112"/>
      <c r="B22" s="44"/>
      <c r="C22" s="36"/>
      <c r="D22" s="32"/>
      <c r="E22" s="42"/>
      <c r="F22" s="36"/>
      <c r="G22" s="30"/>
      <c r="H22" s="36"/>
      <c r="I22" s="93"/>
      <c r="J22" s="32"/>
      <c r="K22" s="33"/>
      <c r="L22" s="34"/>
      <c r="M22" s="84"/>
      <c r="N22" s="47"/>
      <c r="O22" s="94"/>
      <c r="P22" s="34"/>
      <c r="Q22" s="84"/>
      <c r="R22" s="47"/>
      <c r="S22" s="94"/>
      <c r="T22" s="34"/>
      <c r="U22" s="84"/>
      <c r="V22" s="47"/>
      <c r="W22" s="94"/>
      <c r="AA22" s="113" t="s">
        <v>63</v>
      </c>
      <c r="AB22" s="114">
        <f t="shared" ref="AB22:AE22" si="3">SUM(AB20:AB21)</f>
        <v>0</v>
      </c>
      <c r="AC22" s="114">
        <f t="shared" si="3"/>
        <v>0</v>
      </c>
      <c r="AD22" s="114">
        <f t="shared" si="3"/>
        <v>0</v>
      </c>
      <c r="AE22" s="114">
        <f t="shared" si="3"/>
        <v>0</v>
      </c>
      <c r="AF22" s="115" t="str">
        <f t="shared" si="2"/>
        <v>#DIV/0!</v>
      </c>
      <c r="AG22" s="4"/>
      <c r="AH22" s="4"/>
      <c r="AI22" s="4"/>
      <c r="AS22" s="4"/>
      <c r="AT22" s="4"/>
      <c r="AU22" s="4"/>
      <c r="AV22" s="4"/>
      <c r="AW22" s="4"/>
    </row>
    <row r="23" ht="25.5" customHeight="1">
      <c r="A23" s="112"/>
      <c r="B23" s="44"/>
      <c r="C23" s="36"/>
      <c r="D23" s="32"/>
      <c r="E23" s="58"/>
      <c r="F23" s="29"/>
      <c r="G23" s="30"/>
      <c r="H23" s="36"/>
      <c r="I23" s="93"/>
      <c r="J23" s="32"/>
      <c r="K23" s="33"/>
      <c r="L23" s="34"/>
      <c r="M23" s="84"/>
      <c r="N23" s="47"/>
      <c r="O23" s="30"/>
      <c r="P23" s="34"/>
      <c r="Q23" s="84"/>
      <c r="R23" s="47"/>
      <c r="S23" s="30"/>
      <c r="T23" s="34"/>
      <c r="U23" s="84"/>
      <c r="V23" s="47"/>
      <c r="W23" s="30"/>
      <c r="AA23" s="4"/>
      <c r="AB23" s="4"/>
      <c r="AC23" s="4"/>
      <c r="AD23" s="4"/>
      <c r="AE23" s="4"/>
      <c r="AF23" s="4"/>
      <c r="AG23" s="4"/>
      <c r="AH23" s="4"/>
      <c r="AI23" s="4"/>
      <c r="AS23" s="4"/>
      <c r="AT23" s="4"/>
      <c r="AU23" s="4"/>
      <c r="AV23" s="4"/>
      <c r="AW23" s="4"/>
    </row>
    <row r="24" ht="25.5" customHeight="1">
      <c r="A24" s="112"/>
      <c r="B24" s="44"/>
      <c r="C24" s="36"/>
      <c r="D24" s="32"/>
      <c r="E24" s="58"/>
      <c r="F24" s="36"/>
      <c r="G24" s="30"/>
      <c r="H24" s="36"/>
      <c r="I24" s="93"/>
      <c r="J24" s="32"/>
      <c r="K24" s="33"/>
      <c r="L24" s="87"/>
      <c r="M24" s="59"/>
      <c r="N24" s="47"/>
      <c r="O24" s="30"/>
      <c r="P24" s="87"/>
      <c r="Q24" s="59"/>
      <c r="R24" s="47"/>
      <c r="S24" s="30"/>
      <c r="T24" s="87"/>
      <c r="U24" s="59"/>
      <c r="V24" s="47"/>
      <c r="W24" s="30"/>
      <c r="AA24" s="4"/>
      <c r="AB24" s="4"/>
      <c r="AC24" s="4"/>
      <c r="AD24" s="4"/>
      <c r="AE24" s="4"/>
      <c r="AF24" s="10"/>
      <c r="AG24" s="4"/>
      <c r="AH24" s="4"/>
      <c r="AI24" s="4"/>
      <c r="AS24" s="4"/>
      <c r="AT24" s="4"/>
      <c r="AU24" s="4"/>
      <c r="AV24" s="4"/>
      <c r="AW24" s="4"/>
    </row>
    <row r="25" ht="25.5" customHeight="1">
      <c r="A25" s="53"/>
      <c r="B25" s="44"/>
      <c r="C25" s="85"/>
      <c r="D25" s="32"/>
      <c r="E25" s="36"/>
      <c r="F25" s="29"/>
      <c r="G25" s="33"/>
      <c r="H25" s="36"/>
      <c r="I25" s="93"/>
      <c r="J25" s="32"/>
      <c r="K25" s="33"/>
      <c r="L25" s="87"/>
      <c r="M25" s="59"/>
      <c r="N25" s="47"/>
      <c r="O25" s="116"/>
      <c r="P25" s="87"/>
      <c r="Q25" s="59"/>
      <c r="R25" s="47"/>
      <c r="S25" s="116"/>
      <c r="T25" s="87"/>
      <c r="U25" s="59"/>
      <c r="V25" s="47"/>
      <c r="W25" s="116"/>
      <c r="AA25" s="117" t="s">
        <v>64</v>
      </c>
      <c r="AB25" s="118"/>
      <c r="AC25" s="118"/>
      <c r="AD25" s="118"/>
      <c r="AE25" s="118"/>
      <c r="AF25" s="119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</row>
    <row r="26" ht="25.5" customHeight="1">
      <c r="A26" s="120"/>
      <c r="B26" s="66"/>
      <c r="C26" s="54"/>
      <c r="D26" s="32"/>
      <c r="E26" s="36"/>
      <c r="F26" s="29"/>
      <c r="G26" s="33"/>
      <c r="H26" s="36"/>
      <c r="I26" s="93"/>
      <c r="J26" s="32"/>
      <c r="K26" s="33"/>
      <c r="L26" s="87"/>
      <c r="M26" s="84"/>
      <c r="N26" s="47"/>
      <c r="O26" s="30"/>
      <c r="P26" s="87"/>
      <c r="Q26" s="84"/>
      <c r="R26" s="47"/>
      <c r="S26" s="30"/>
      <c r="T26" s="87"/>
      <c r="U26" s="84"/>
      <c r="V26" s="47"/>
      <c r="W26" s="30"/>
      <c r="AA26" s="121"/>
      <c r="AB26" s="122" t="s">
        <v>65</v>
      </c>
      <c r="AC26" s="122" t="s">
        <v>44</v>
      </c>
      <c r="AD26" s="122" t="s">
        <v>49</v>
      </c>
      <c r="AE26" s="122" t="s">
        <v>50</v>
      </c>
      <c r="AF26" s="123" t="s">
        <v>62</v>
      </c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</row>
    <row r="27" ht="25.5" customHeight="1">
      <c r="A27" s="120"/>
      <c r="B27" s="66"/>
      <c r="C27" s="54"/>
      <c r="D27" s="30"/>
      <c r="E27" s="36"/>
      <c r="F27" s="36"/>
      <c r="G27" s="33"/>
      <c r="H27" s="36"/>
      <c r="I27" s="45"/>
      <c r="J27" s="32"/>
      <c r="K27" s="33"/>
      <c r="L27" s="34"/>
      <c r="M27" s="84"/>
      <c r="N27" s="47"/>
      <c r="O27" s="30"/>
      <c r="P27" s="34"/>
      <c r="Q27" s="84"/>
      <c r="R27" s="47"/>
      <c r="S27" s="30"/>
      <c r="T27" s="34"/>
      <c r="U27" s="84"/>
      <c r="V27" s="47"/>
      <c r="W27" s="30"/>
      <c r="AA27" s="124" t="s">
        <v>26</v>
      </c>
      <c r="AB27" s="125">
        <f>COUNTIFS($C$4:$C$2913,"WI",$D$4:$D$2913,"간판")</f>
        <v>0</v>
      </c>
      <c r="AC27" s="126">
        <f>COUNTIFS($D$4:$D$1429,$AA27,$C$4:$C$1429,"WI",$A$4:$A$1429,AC26)</f>
        <v>0</v>
      </c>
      <c r="AD27" s="125">
        <f>COUNTIFS($D$4:$D$118,$AA27,$C$4:$C$118,"WI",$A$4:$A$118,AD26)</f>
        <v>0</v>
      </c>
      <c r="AE27" s="125">
        <f>COUNTIFS($D$4:$D$1429,$AA27,$C$4:$C$1429,"WI",$A$4:$A$1429,AE26)</f>
        <v>0</v>
      </c>
      <c r="AF27" s="127" t="str">
        <f t="shared" ref="AF27:AF30" si="5">AC27/AB27</f>
        <v>#DIV/0!</v>
      </c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</row>
    <row r="28" ht="25.5" customHeight="1">
      <c r="A28" s="120"/>
      <c r="B28" s="66"/>
      <c r="C28" s="54"/>
      <c r="D28" s="32"/>
      <c r="E28" s="32"/>
      <c r="F28" s="29"/>
      <c r="G28" s="33"/>
      <c r="H28" s="36"/>
      <c r="I28" s="128"/>
      <c r="J28" s="32"/>
      <c r="K28" s="33"/>
      <c r="L28" s="34"/>
      <c r="M28" s="73"/>
      <c r="N28" s="47"/>
      <c r="O28" s="36"/>
      <c r="P28" s="34"/>
      <c r="Q28" s="73"/>
      <c r="R28" s="47"/>
      <c r="S28" s="36"/>
      <c r="T28" s="34"/>
      <c r="U28" s="73"/>
      <c r="V28" s="47"/>
      <c r="W28" s="36"/>
      <c r="AA28" s="124" t="s">
        <v>28</v>
      </c>
      <c r="AB28" s="125">
        <f>COUNTIFS($C$4:$C$2913,"WI",$D$4:$D$2913,"홍보물")</f>
        <v>0</v>
      </c>
      <c r="AC28" s="126">
        <f t="shared" ref="AC28:AE28" si="4">COUNTIFS($D$4:$D$1429,$AA28,$C$4:$C$1429,"WI",$A$4:$A$1429,AC26)</f>
        <v>0</v>
      </c>
      <c r="AD28" s="125">
        <f t="shared" si="4"/>
        <v>0</v>
      </c>
      <c r="AE28" s="125">
        <f t="shared" si="4"/>
        <v>0</v>
      </c>
      <c r="AF28" s="127" t="str">
        <f t="shared" si="5"/>
        <v>#DIV/0!</v>
      </c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</row>
    <row r="29" ht="25.5" customHeight="1">
      <c r="A29" s="120"/>
      <c r="B29" s="66"/>
      <c r="C29" s="54"/>
      <c r="D29" s="32"/>
      <c r="E29" s="33"/>
      <c r="F29" s="29"/>
      <c r="G29" s="33"/>
      <c r="H29" s="66"/>
      <c r="I29" s="128"/>
      <c r="J29" s="32"/>
      <c r="K29" s="33"/>
      <c r="L29" s="87"/>
      <c r="M29" s="96"/>
      <c r="N29" s="47"/>
      <c r="O29" s="30"/>
      <c r="P29" s="87"/>
      <c r="Q29" s="96"/>
      <c r="R29" s="47"/>
      <c r="S29" s="30"/>
      <c r="T29" s="87"/>
      <c r="U29" s="96"/>
      <c r="V29" s="47"/>
      <c r="W29" s="30"/>
      <c r="AA29" s="124" t="s">
        <v>27</v>
      </c>
      <c r="AB29" s="125">
        <f>COUNTIFS($C$4:$C$2913,"WI",$D$4:$D$2913,"인터넷")</f>
        <v>0</v>
      </c>
      <c r="AC29" s="126">
        <f t="shared" ref="AC29:AE29" si="6">COUNTIFS($D$4:$D$1429,$AA29,$C$4:$C$1429,"WI",$A$4:$A$1429,AC26)</f>
        <v>0</v>
      </c>
      <c r="AD29" s="125">
        <f t="shared" si="6"/>
        <v>0</v>
      </c>
      <c r="AE29" s="125">
        <f t="shared" si="6"/>
        <v>0</v>
      </c>
      <c r="AF29" s="127" t="str">
        <f t="shared" si="5"/>
        <v>#DIV/0!</v>
      </c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</row>
    <row r="30" ht="25.5" customHeight="1">
      <c r="A30" s="120"/>
      <c r="B30" s="66"/>
      <c r="C30" s="54"/>
      <c r="D30" s="32"/>
      <c r="E30" s="58"/>
      <c r="F30" s="36"/>
      <c r="G30" s="33"/>
      <c r="H30" s="66"/>
      <c r="I30" s="93"/>
      <c r="J30" s="32"/>
      <c r="K30" s="33"/>
      <c r="L30" s="34"/>
      <c r="M30" s="61"/>
      <c r="N30" s="47"/>
      <c r="O30" s="30"/>
      <c r="P30" s="34"/>
      <c r="Q30" s="61"/>
      <c r="R30" s="47"/>
      <c r="S30" s="30"/>
      <c r="T30" s="34"/>
      <c r="U30" s="61"/>
      <c r="V30" s="47"/>
      <c r="W30" s="30"/>
      <c r="AA30" s="129" t="s">
        <v>66</v>
      </c>
      <c r="AB30" s="130">
        <f>COUNTIFS($C$4:$C$2913,"WI",$D$4:$D$2913,"지인소개")</f>
        <v>0</v>
      </c>
      <c r="AC30" s="131">
        <f t="shared" ref="AC30:AE30" si="7">COUNTIFS($D$4:$D$1429,$AA30,$C$4:$C$1429,"WI",$A$4:$A$1429,AC26)</f>
        <v>0</v>
      </c>
      <c r="AD30" s="130">
        <f t="shared" si="7"/>
        <v>0</v>
      </c>
      <c r="AE30" s="130">
        <f t="shared" si="7"/>
        <v>0</v>
      </c>
      <c r="AF30" s="132" t="str">
        <f t="shared" si="5"/>
        <v>#DIV/0!</v>
      </c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</row>
    <row r="31" ht="25.5" customHeight="1">
      <c r="A31" s="120"/>
      <c r="B31" s="66"/>
      <c r="C31" s="54"/>
      <c r="D31" s="30"/>
      <c r="E31" s="92"/>
      <c r="F31" s="36"/>
      <c r="G31" s="33"/>
      <c r="H31" s="66"/>
      <c r="I31" s="93"/>
      <c r="J31" s="32"/>
      <c r="K31" s="33"/>
      <c r="L31" s="34"/>
      <c r="M31" s="84"/>
      <c r="N31" s="47"/>
      <c r="O31" s="30"/>
      <c r="P31" s="34"/>
      <c r="Q31" s="84"/>
      <c r="R31" s="47"/>
      <c r="S31" s="30"/>
      <c r="T31" s="34"/>
      <c r="U31" s="84"/>
      <c r="V31" s="47"/>
      <c r="W31" s="30"/>
      <c r="AA31" s="10"/>
      <c r="AB31" s="10"/>
      <c r="AC31" s="10"/>
      <c r="AD31" s="10"/>
      <c r="AE31" s="10"/>
      <c r="AF31" s="10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</row>
    <row r="32" ht="25.5" customHeight="1">
      <c r="A32" s="120"/>
      <c r="B32" s="66"/>
      <c r="C32" s="54"/>
      <c r="D32" s="30"/>
      <c r="E32" s="36"/>
      <c r="F32" s="36"/>
      <c r="G32" s="33"/>
      <c r="H32" s="66"/>
      <c r="I32" s="93"/>
      <c r="J32" s="32"/>
      <c r="K32" s="33"/>
      <c r="L32" s="34"/>
      <c r="M32" s="84"/>
      <c r="N32" s="47"/>
      <c r="O32" s="30"/>
      <c r="P32" s="34"/>
      <c r="Q32" s="84"/>
      <c r="R32" s="47"/>
      <c r="S32" s="30"/>
      <c r="T32" s="34"/>
      <c r="U32" s="84"/>
      <c r="V32" s="47"/>
      <c r="W32" s="30"/>
      <c r="AA32" s="117" t="s">
        <v>67</v>
      </c>
      <c r="AB32" s="118"/>
      <c r="AC32" s="118"/>
      <c r="AD32" s="118"/>
      <c r="AE32" s="118"/>
      <c r="AF32" s="119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</row>
    <row r="33" ht="25.5" customHeight="1">
      <c r="A33" s="120"/>
      <c r="B33" s="66"/>
      <c r="C33" s="85"/>
      <c r="D33" s="32"/>
      <c r="E33" s="36"/>
      <c r="F33" s="36"/>
      <c r="G33" s="33"/>
      <c r="H33" s="66"/>
      <c r="I33" s="93"/>
      <c r="J33" s="32"/>
      <c r="K33" s="33"/>
      <c r="L33" s="34"/>
      <c r="M33" s="84"/>
      <c r="N33" s="47"/>
      <c r="O33" s="30"/>
      <c r="P33" s="34"/>
      <c r="Q33" s="84"/>
      <c r="R33" s="47"/>
      <c r="S33" s="30"/>
      <c r="T33" s="34"/>
      <c r="U33" s="84"/>
      <c r="V33" s="47"/>
      <c r="W33" s="30"/>
      <c r="AA33" s="133"/>
      <c r="AB33" s="134" t="s">
        <v>65</v>
      </c>
      <c r="AC33" s="134" t="s">
        <v>44</v>
      </c>
      <c r="AD33" s="134" t="s">
        <v>49</v>
      </c>
      <c r="AE33" s="134" t="s">
        <v>50</v>
      </c>
      <c r="AF33" s="135" t="s">
        <v>62</v>
      </c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</row>
    <row r="34" ht="25.5" customHeight="1">
      <c r="A34" s="120"/>
      <c r="B34" s="66"/>
      <c r="C34" s="85"/>
      <c r="D34" s="32"/>
      <c r="E34" s="36"/>
      <c r="F34" s="36"/>
      <c r="G34" s="33"/>
      <c r="H34" s="66"/>
      <c r="I34" s="93"/>
      <c r="J34" s="32"/>
      <c r="K34" s="33"/>
      <c r="L34" s="34"/>
      <c r="M34" s="61"/>
      <c r="N34" s="47"/>
      <c r="O34" s="36"/>
      <c r="P34" s="34"/>
      <c r="Q34" s="61"/>
      <c r="R34" s="47"/>
      <c r="S34" s="36"/>
      <c r="T34" s="34"/>
      <c r="U34" s="61"/>
      <c r="V34" s="47"/>
      <c r="W34" s="36"/>
      <c r="AA34" s="124" t="s">
        <v>26</v>
      </c>
      <c r="AB34" s="125">
        <f>COUNTIFS($C$4:$C$1429,"TI",$D$4:$D$1429,"간판")</f>
        <v>0</v>
      </c>
      <c r="AC34" s="126">
        <f>COUNTIFS($D$4:$D$1429,$AA34,$C$4:$C$1429,"TI",$A$4:$A$1429,AC33)</f>
        <v>0</v>
      </c>
      <c r="AD34" s="125">
        <f>COUNTIFS($D$4:$D$118,$AA34,$C$4:$C$118,"TI",$A$4:$A$118,AD33)</f>
        <v>0</v>
      </c>
      <c r="AE34" s="125">
        <f>COUNTIFS($D$4:$D$1429,$AA34,$C$4:$C$1429,"TI",$A$4:$A$1429,AE33)</f>
        <v>0</v>
      </c>
      <c r="AF34" s="127" t="str">
        <f t="shared" ref="AF34:AF37" si="9">AC34/AB34</f>
        <v>#DIV/0!</v>
      </c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</row>
    <row r="35" ht="25.5" customHeight="1">
      <c r="A35" s="120"/>
      <c r="B35" s="66"/>
      <c r="C35" s="54"/>
      <c r="D35" s="32"/>
      <c r="E35" s="92"/>
      <c r="F35" s="36"/>
      <c r="G35" s="33"/>
      <c r="H35" s="36"/>
      <c r="I35" s="136"/>
      <c r="J35" s="32"/>
      <c r="K35" s="33"/>
      <c r="L35" s="87"/>
      <c r="M35" s="68"/>
      <c r="N35" s="47"/>
      <c r="O35" s="30"/>
      <c r="P35" s="87"/>
      <c r="Q35" s="68"/>
      <c r="R35" s="47"/>
      <c r="S35" s="30"/>
      <c r="T35" s="87"/>
      <c r="U35" s="68"/>
      <c r="V35" s="47"/>
      <c r="W35" s="30"/>
      <c r="AA35" s="124" t="s">
        <v>27</v>
      </c>
      <c r="AB35" s="125">
        <f>COUNTIFS($C$4:$C$1429,"TI",$D$4:$D$1429,"인터넷")</f>
        <v>0</v>
      </c>
      <c r="AC35" s="126">
        <f t="shared" ref="AC35:AE35" si="8">COUNTIFS($D$4:$D$1429,$AA35,$C$4:$C$1429,"TI",$A$4:$A$1429,AC33)</f>
        <v>0</v>
      </c>
      <c r="AD35" s="125">
        <f t="shared" si="8"/>
        <v>0</v>
      </c>
      <c r="AE35" s="125">
        <f t="shared" si="8"/>
        <v>0</v>
      </c>
      <c r="AF35" s="127" t="str">
        <f t="shared" si="9"/>
        <v>#DIV/0!</v>
      </c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</row>
    <row r="36" ht="25.5" customHeight="1">
      <c r="A36" s="120"/>
      <c r="B36" s="66"/>
      <c r="C36" s="54"/>
      <c r="D36" s="32"/>
      <c r="E36" s="36"/>
      <c r="F36" s="36"/>
      <c r="G36" s="33"/>
      <c r="H36" s="36"/>
      <c r="I36" s="93"/>
      <c r="J36" s="32"/>
      <c r="K36" s="33"/>
      <c r="L36" s="34"/>
      <c r="M36" s="59"/>
      <c r="N36" s="47"/>
      <c r="O36" s="88"/>
      <c r="P36" s="34"/>
      <c r="Q36" s="59"/>
      <c r="R36" s="47"/>
      <c r="S36" s="88"/>
      <c r="T36" s="34"/>
      <c r="U36" s="59"/>
      <c r="V36" s="47"/>
      <c r="W36" s="88"/>
      <c r="AA36" s="124" t="s">
        <v>28</v>
      </c>
      <c r="AB36" s="125">
        <f>COUNTIFS($C$4:$C$1429,"TI",$D$4:$D$1429,"홍보물")</f>
        <v>0</v>
      </c>
      <c r="AC36" s="126">
        <f>COUNTIFS($D$4:$D$1429,$AA36,$C$4:$C$1429,"TI",$A$4:$A$1429,AC33)</f>
        <v>0</v>
      </c>
      <c r="AD36" s="125">
        <f>COUNTIFS($D$4:$D$118,$AA36,$C$4:$C$118,"TI",$A$4:$A$118,AD33)</f>
        <v>0</v>
      </c>
      <c r="AE36" s="125">
        <f>COUNTIFS($D$4:$D$1429,$AA36,$C$4:$C$1429,"TI",$A$4:$A$1429,AE33)</f>
        <v>0</v>
      </c>
      <c r="AF36" s="127" t="str">
        <f t="shared" si="9"/>
        <v>#DIV/0!</v>
      </c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</row>
    <row r="37" ht="24.0" customHeight="1">
      <c r="A37" s="120"/>
      <c r="B37" s="66"/>
      <c r="C37" s="85"/>
      <c r="D37" s="32"/>
      <c r="E37" s="92"/>
      <c r="F37" s="29"/>
      <c r="G37" s="33"/>
      <c r="H37" s="36"/>
      <c r="I37" s="137"/>
      <c r="J37" s="32"/>
      <c r="K37" s="33"/>
      <c r="L37" s="34"/>
      <c r="M37" s="61"/>
      <c r="N37" s="47"/>
      <c r="O37" s="30"/>
      <c r="P37" s="34"/>
      <c r="Q37" s="61"/>
      <c r="R37" s="47"/>
      <c r="S37" s="30"/>
      <c r="T37" s="34"/>
      <c r="U37" s="61"/>
      <c r="V37" s="47"/>
      <c r="W37" s="30"/>
      <c r="AA37" s="138" t="s">
        <v>66</v>
      </c>
      <c r="AB37" s="130">
        <f>COUNTIFS($C$4:$C$1429,"TI",$D$4:$D$1429,"지인소개")</f>
        <v>0</v>
      </c>
      <c r="AC37" s="131">
        <f t="shared" ref="AC37:AE37" si="10">COUNTIFS($D$4:$D$1429,$AA37,$C$4:$C$1429,"TI",$A$4:$A$1429,AC33)</f>
        <v>0</v>
      </c>
      <c r="AD37" s="130">
        <f t="shared" si="10"/>
        <v>0</v>
      </c>
      <c r="AE37" s="130">
        <f t="shared" si="10"/>
        <v>0</v>
      </c>
      <c r="AF37" s="132" t="str">
        <f t="shared" si="9"/>
        <v>#DIV/0!</v>
      </c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</row>
    <row r="38" ht="25.5" customHeight="1">
      <c r="A38" s="120"/>
      <c r="B38" s="66"/>
      <c r="C38" s="85"/>
      <c r="D38" s="32"/>
      <c r="E38" s="36"/>
      <c r="F38" s="29"/>
      <c r="G38" s="33"/>
      <c r="H38" s="36"/>
      <c r="I38" s="45"/>
      <c r="J38" s="32"/>
      <c r="K38" s="33"/>
      <c r="L38" s="87"/>
      <c r="M38" s="84"/>
      <c r="N38" s="47"/>
      <c r="O38" s="32"/>
      <c r="P38" s="87"/>
      <c r="Q38" s="84"/>
      <c r="R38" s="47"/>
      <c r="S38" s="32"/>
      <c r="T38" s="87"/>
      <c r="U38" s="84"/>
      <c r="V38" s="47"/>
      <c r="W38" s="32"/>
      <c r="AA38" s="10"/>
      <c r="AB38" s="10"/>
      <c r="AC38" s="10"/>
      <c r="AD38" s="10"/>
      <c r="AE38" s="10"/>
      <c r="AF38" s="10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</row>
    <row r="39" ht="25.5" customHeight="1">
      <c r="A39" s="120"/>
      <c r="B39" s="66"/>
      <c r="C39" s="54"/>
      <c r="D39" s="30"/>
      <c r="E39" s="36"/>
      <c r="F39" s="29"/>
      <c r="G39" s="33"/>
      <c r="H39" s="36"/>
      <c r="I39" s="45"/>
      <c r="J39" s="32"/>
      <c r="K39" s="33"/>
      <c r="L39" s="87"/>
      <c r="M39" s="84"/>
      <c r="N39" s="47"/>
      <c r="O39" s="32"/>
      <c r="P39" s="87"/>
      <c r="Q39" s="84"/>
      <c r="R39" s="47"/>
      <c r="S39" s="32"/>
      <c r="T39" s="87"/>
      <c r="U39" s="84"/>
      <c r="V39" s="47"/>
      <c r="W39" s="32"/>
      <c r="AA39" s="139" t="s">
        <v>68</v>
      </c>
      <c r="AB39" s="118"/>
      <c r="AC39" s="118"/>
      <c r="AD39" s="118"/>
      <c r="AE39" s="118"/>
      <c r="AF39" s="119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</row>
    <row r="40" ht="25.5" customHeight="1">
      <c r="A40" s="120"/>
      <c r="B40" s="66"/>
      <c r="C40" s="54"/>
      <c r="D40" s="30"/>
      <c r="E40" s="36"/>
      <c r="F40" s="36"/>
      <c r="G40" s="33"/>
      <c r="H40" s="36"/>
      <c r="I40" s="93"/>
      <c r="J40" s="32"/>
      <c r="K40" s="33"/>
      <c r="L40" s="87"/>
      <c r="M40" s="84"/>
      <c r="N40" s="47"/>
      <c r="O40" s="32"/>
      <c r="P40" s="87"/>
      <c r="Q40" s="84"/>
      <c r="R40" s="47"/>
      <c r="S40" s="32"/>
      <c r="T40" s="87"/>
      <c r="U40" s="84"/>
      <c r="V40" s="47"/>
      <c r="W40" s="32"/>
      <c r="AA40" s="121"/>
      <c r="AB40" s="122" t="s">
        <v>65</v>
      </c>
      <c r="AC40" s="122" t="s">
        <v>44</v>
      </c>
      <c r="AD40" s="122" t="s">
        <v>49</v>
      </c>
      <c r="AE40" s="122" t="s">
        <v>50</v>
      </c>
      <c r="AF40" s="123" t="s">
        <v>62</v>
      </c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</row>
    <row r="41" ht="25.5" customHeight="1">
      <c r="A41" s="120"/>
      <c r="B41" s="66"/>
      <c r="C41" s="54"/>
      <c r="D41" s="30"/>
      <c r="E41" s="36"/>
      <c r="F41" s="36"/>
      <c r="G41" s="33"/>
      <c r="H41" s="36"/>
      <c r="I41" s="93"/>
      <c r="J41" s="32"/>
      <c r="K41" s="33"/>
      <c r="L41" s="34"/>
      <c r="M41" s="84"/>
      <c r="N41" s="47"/>
      <c r="O41" s="30"/>
      <c r="P41" s="34"/>
      <c r="Q41" s="84"/>
      <c r="R41" s="47"/>
      <c r="S41" s="30"/>
      <c r="T41" s="34"/>
      <c r="U41" s="84"/>
      <c r="V41" s="47"/>
      <c r="W41" s="30"/>
      <c r="AA41" s="140" t="s">
        <v>47</v>
      </c>
      <c r="AB41" s="125">
        <f>COUNTIFS($C$4:$C$2913,"체험")</f>
        <v>0</v>
      </c>
      <c r="AC41" s="126">
        <f>COUNTIFS($C$4:$C$1429,"체험",$A$4:$A$1429,AC40)</f>
        <v>0</v>
      </c>
      <c r="AD41" s="125">
        <f>COUNTIFS($C$4:$C$118,"체험",$A$4:$A$118,AD40)</f>
        <v>0</v>
      </c>
      <c r="AE41" s="125">
        <f>COUNTIFS($C$4:$C$1429,"체험",$A$4:$A$1429,AE40)</f>
        <v>0</v>
      </c>
      <c r="AF41" s="127" t="str">
        <f t="shared" ref="AF41:AF42" si="12">AC41/AB41</f>
        <v>#DIV/0!</v>
      </c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  <row r="42" ht="25.5" customHeight="1">
      <c r="A42" s="53"/>
      <c r="B42" s="66"/>
      <c r="C42" s="54"/>
      <c r="D42" s="30"/>
      <c r="E42" s="36"/>
      <c r="F42" s="36"/>
      <c r="G42" s="33"/>
      <c r="H42" s="36"/>
      <c r="I42" s="141"/>
      <c r="J42" s="32"/>
      <c r="K42" s="33"/>
      <c r="L42" s="34"/>
      <c r="M42" s="84"/>
      <c r="N42" s="47"/>
      <c r="O42" s="30"/>
      <c r="P42" s="34"/>
      <c r="Q42" s="84"/>
      <c r="R42" s="47"/>
      <c r="S42" s="30"/>
      <c r="T42" s="34"/>
      <c r="U42" s="84"/>
      <c r="V42" s="47"/>
      <c r="W42" s="30"/>
      <c r="AA42" s="142" t="s">
        <v>48</v>
      </c>
      <c r="AB42" s="130">
        <f>COUNTIFS($C$4:$C$2913,"일일입장")</f>
        <v>0</v>
      </c>
      <c r="AC42" s="131">
        <f t="shared" ref="AC42:AE42" si="11">COUNTIFS($C$4:$C$1429,"일일입장",$A$4:$A$1429,AC40)</f>
        <v>0</v>
      </c>
      <c r="AD42" s="130">
        <f t="shared" si="11"/>
        <v>0</v>
      </c>
      <c r="AE42" s="130">
        <f t="shared" si="11"/>
        <v>0</v>
      </c>
      <c r="AF42" s="132" t="str">
        <f t="shared" si="12"/>
        <v>#DIV/0!</v>
      </c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</row>
    <row r="43" ht="25.5" customHeight="1">
      <c r="A43" s="120"/>
      <c r="B43" s="66"/>
      <c r="C43" s="54"/>
      <c r="D43" s="143"/>
      <c r="E43" s="33"/>
      <c r="F43" s="29"/>
      <c r="G43" s="33"/>
      <c r="H43" s="36"/>
      <c r="I43" s="128"/>
      <c r="J43" s="32"/>
      <c r="K43" s="33"/>
      <c r="L43" s="34"/>
      <c r="M43" s="84"/>
      <c r="N43" s="47"/>
      <c r="O43" s="30"/>
      <c r="P43" s="34"/>
      <c r="Q43" s="84"/>
      <c r="R43" s="47"/>
      <c r="S43" s="30"/>
      <c r="T43" s="34"/>
      <c r="U43" s="84"/>
      <c r="V43" s="47"/>
      <c r="W43" s="30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</row>
    <row r="44" ht="25.5" customHeight="1">
      <c r="A44" s="120"/>
      <c r="B44" s="66"/>
      <c r="C44" s="54"/>
      <c r="D44" s="143"/>
      <c r="E44" s="33"/>
      <c r="F44" s="29"/>
      <c r="G44" s="33"/>
      <c r="H44" s="36"/>
      <c r="I44" s="128"/>
      <c r="J44" s="32"/>
      <c r="K44" s="33"/>
      <c r="L44" s="34"/>
      <c r="M44" s="144"/>
      <c r="N44" s="47"/>
      <c r="O44" s="30"/>
      <c r="P44" s="34"/>
      <c r="Q44" s="144"/>
      <c r="R44" s="47"/>
      <c r="S44" s="30"/>
      <c r="T44" s="34"/>
      <c r="U44" s="144"/>
      <c r="V44" s="47"/>
      <c r="W44" s="30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</row>
    <row r="45" ht="25.5" customHeight="1">
      <c r="A45" s="120"/>
      <c r="B45" s="66"/>
      <c r="C45" s="54"/>
      <c r="D45" s="30"/>
      <c r="E45" s="36"/>
      <c r="F45" s="145"/>
      <c r="G45" s="33"/>
      <c r="H45" s="36"/>
      <c r="I45" s="93"/>
      <c r="J45" s="32"/>
      <c r="K45" s="33"/>
      <c r="L45" s="34"/>
      <c r="M45" s="84"/>
      <c r="N45" s="47"/>
      <c r="O45" s="30"/>
      <c r="P45" s="34"/>
      <c r="Q45" s="84"/>
      <c r="R45" s="47"/>
      <c r="S45" s="30"/>
      <c r="T45" s="34"/>
      <c r="U45" s="84"/>
      <c r="V45" s="47"/>
      <c r="W45" s="30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</row>
    <row r="46" ht="25.5" customHeight="1">
      <c r="A46" s="146"/>
      <c r="B46" s="66"/>
      <c r="C46" s="36"/>
      <c r="D46" s="36"/>
      <c r="E46" s="147"/>
      <c r="F46" s="36"/>
      <c r="G46" s="33"/>
      <c r="H46" s="36"/>
      <c r="I46" s="93"/>
      <c r="J46" s="36"/>
      <c r="K46" s="36"/>
      <c r="L46" s="148"/>
      <c r="M46" s="84"/>
      <c r="N46" s="47"/>
      <c r="O46" s="30"/>
      <c r="P46" s="148"/>
      <c r="Q46" s="84"/>
      <c r="R46" s="47"/>
      <c r="S46" s="30"/>
      <c r="T46" s="148"/>
      <c r="U46" s="84"/>
      <c r="V46" s="47"/>
      <c r="W46" s="30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</row>
    <row r="47" ht="25.5" customHeight="1">
      <c r="A47" s="146"/>
      <c r="B47" s="66"/>
      <c r="C47" s="36"/>
      <c r="D47" s="149"/>
      <c r="E47" s="33"/>
      <c r="F47" s="36"/>
      <c r="G47" s="33"/>
      <c r="H47" s="36"/>
      <c r="I47" s="128"/>
      <c r="J47" s="36"/>
      <c r="K47" s="36"/>
      <c r="L47" s="34"/>
      <c r="M47" s="61"/>
      <c r="N47" s="47"/>
      <c r="O47" s="30"/>
      <c r="P47" s="34"/>
      <c r="Q47" s="61"/>
      <c r="R47" s="47"/>
      <c r="S47" s="30"/>
      <c r="T47" s="34"/>
      <c r="U47" s="61"/>
      <c r="V47" s="47"/>
      <c r="W47" s="30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</row>
    <row r="48" ht="25.5" customHeight="1">
      <c r="A48" s="146"/>
      <c r="B48" s="66"/>
      <c r="C48" s="36"/>
      <c r="D48" s="36"/>
      <c r="E48" s="36"/>
      <c r="F48" s="29"/>
      <c r="G48" s="33"/>
      <c r="H48" s="36"/>
      <c r="I48" s="93"/>
      <c r="J48" s="32"/>
      <c r="K48" s="36"/>
      <c r="L48" s="34"/>
      <c r="M48" s="84"/>
      <c r="N48" s="47"/>
      <c r="O48" s="30"/>
      <c r="P48" s="34"/>
      <c r="Q48" s="84"/>
      <c r="R48" s="47"/>
      <c r="S48" s="30"/>
      <c r="T48" s="34"/>
      <c r="U48" s="84"/>
      <c r="V48" s="47"/>
      <c r="W48" s="30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</row>
    <row r="49" ht="25.5" customHeight="1">
      <c r="A49" s="150"/>
      <c r="B49" s="66"/>
      <c r="C49" s="36"/>
      <c r="D49" s="30"/>
      <c r="E49" s="36"/>
      <c r="F49" s="36"/>
      <c r="G49" s="33"/>
      <c r="H49" s="36"/>
      <c r="I49" s="93"/>
      <c r="J49" s="32"/>
      <c r="K49" s="36"/>
      <c r="L49" s="34"/>
      <c r="M49" s="68"/>
      <c r="N49" s="47"/>
      <c r="O49" s="30"/>
      <c r="P49" s="34"/>
      <c r="Q49" s="68"/>
      <c r="R49" s="47"/>
      <c r="S49" s="30"/>
      <c r="T49" s="34"/>
      <c r="U49" s="68"/>
      <c r="V49" s="47"/>
      <c r="W49" s="30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</row>
    <row r="50" ht="25.5" customHeight="1">
      <c r="A50" s="146"/>
      <c r="B50" s="66"/>
      <c r="C50" s="36"/>
      <c r="D50" s="36"/>
      <c r="E50" s="36"/>
      <c r="F50" s="36"/>
      <c r="G50" s="33"/>
      <c r="H50" s="36"/>
      <c r="I50" s="93"/>
      <c r="J50" s="32"/>
      <c r="K50" s="36"/>
      <c r="L50" s="87"/>
      <c r="M50" s="84"/>
      <c r="N50" s="47"/>
      <c r="O50" s="94"/>
      <c r="P50" s="87"/>
      <c r="Q50" s="84"/>
      <c r="R50" s="47"/>
      <c r="S50" s="94"/>
      <c r="T50" s="87"/>
      <c r="U50" s="84"/>
      <c r="V50" s="47"/>
      <c r="W50" s="9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</row>
    <row r="51" ht="25.5" customHeight="1">
      <c r="A51" s="146"/>
      <c r="B51" s="66"/>
      <c r="C51" s="36"/>
      <c r="D51" s="36"/>
      <c r="E51" s="36"/>
      <c r="F51" s="36"/>
      <c r="G51" s="33"/>
      <c r="H51" s="36"/>
      <c r="I51" s="93"/>
      <c r="J51" s="32"/>
      <c r="K51" s="33"/>
      <c r="L51" s="34"/>
      <c r="M51" s="84"/>
      <c r="N51" s="47"/>
      <c r="O51" s="30"/>
      <c r="P51" s="34"/>
      <c r="Q51" s="84"/>
      <c r="R51" s="47"/>
      <c r="S51" s="30"/>
      <c r="T51" s="34"/>
      <c r="U51" s="84"/>
      <c r="V51" s="47"/>
      <c r="W51" s="30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</row>
    <row r="52" ht="25.5" customHeight="1">
      <c r="A52" s="146"/>
      <c r="B52" s="66"/>
      <c r="C52" s="36"/>
      <c r="D52" s="36"/>
      <c r="E52" s="36"/>
      <c r="F52" s="36"/>
      <c r="G52" s="33"/>
      <c r="H52" s="36"/>
      <c r="I52" s="58"/>
      <c r="J52" s="32"/>
      <c r="K52" s="33"/>
      <c r="L52" s="87"/>
      <c r="M52" s="84"/>
      <c r="N52" s="47"/>
      <c r="O52" s="30"/>
      <c r="P52" s="87"/>
      <c r="Q52" s="84"/>
      <c r="R52" s="47"/>
      <c r="S52" s="30"/>
      <c r="T52" s="87"/>
      <c r="U52" s="84"/>
      <c r="V52" s="47"/>
      <c r="W52" s="30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</row>
    <row r="53" ht="25.5" customHeight="1">
      <c r="A53" s="146"/>
      <c r="B53" s="66"/>
      <c r="C53" s="36"/>
      <c r="D53" s="36"/>
      <c r="E53" s="36"/>
      <c r="F53" s="29"/>
      <c r="G53" s="33"/>
      <c r="H53" s="36"/>
      <c r="I53" s="58"/>
      <c r="J53" s="32"/>
      <c r="K53" s="33"/>
      <c r="L53" s="87"/>
      <c r="M53" s="151"/>
      <c r="N53" s="47"/>
      <c r="O53" s="30"/>
      <c r="P53" s="87"/>
      <c r="Q53" s="151"/>
      <c r="R53" s="47"/>
      <c r="S53" s="30"/>
      <c r="T53" s="87"/>
      <c r="U53" s="151"/>
      <c r="V53" s="47"/>
      <c r="W53" s="30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</row>
    <row r="54" ht="25.5" customHeight="1">
      <c r="A54" s="53"/>
      <c r="B54" s="66"/>
      <c r="C54" s="36"/>
      <c r="D54" s="32"/>
      <c r="E54" s="36"/>
      <c r="F54" s="29"/>
      <c r="G54" s="33"/>
      <c r="H54" s="36"/>
      <c r="I54" s="58"/>
      <c r="J54" s="30"/>
      <c r="K54" s="36"/>
      <c r="L54" s="34"/>
      <c r="M54" s="151"/>
      <c r="N54" s="47"/>
      <c r="O54" s="30"/>
      <c r="P54" s="34"/>
      <c r="Q54" s="151"/>
      <c r="R54" s="47"/>
      <c r="S54" s="30"/>
      <c r="T54" s="34"/>
      <c r="U54" s="151"/>
      <c r="V54" s="47"/>
      <c r="W54" s="30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</row>
    <row r="55" ht="25.5" customHeight="1">
      <c r="A55" s="53"/>
      <c r="B55" s="66"/>
      <c r="C55" s="36"/>
      <c r="D55" s="30"/>
      <c r="E55" s="36"/>
      <c r="F55" s="29"/>
      <c r="G55" s="33"/>
      <c r="H55" s="36"/>
      <c r="I55" s="58"/>
      <c r="J55" s="30"/>
      <c r="K55" s="36"/>
      <c r="L55" s="34"/>
      <c r="M55" s="151"/>
      <c r="N55" s="47"/>
      <c r="O55" s="30"/>
      <c r="P55" s="34"/>
      <c r="Q55" s="151"/>
      <c r="R55" s="47"/>
      <c r="S55" s="30"/>
      <c r="T55" s="34"/>
      <c r="U55" s="151"/>
      <c r="V55" s="47"/>
      <c r="W55" s="30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</row>
    <row r="56" ht="24.75" customHeight="1">
      <c r="A56" s="146"/>
      <c r="B56" s="66"/>
      <c r="C56" s="36"/>
      <c r="D56" s="36"/>
      <c r="E56" s="36"/>
      <c r="F56" s="55"/>
      <c r="G56" s="33"/>
      <c r="H56" s="36"/>
      <c r="I56" s="58"/>
      <c r="J56" s="30"/>
      <c r="K56" s="33"/>
      <c r="L56" s="34"/>
      <c r="M56" s="84"/>
      <c r="N56" s="47"/>
      <c r="O56" s="30"/>
      <c r="P56" s="34"/>
      <c r="Q56" s="84"/>
      <c r="R56" s="47"/>
      <c r="S56" s="30"/>
      <c r="T56" s="34"/>
      <c r="U56" s="84"/>
      <c r="V56" s="47"/>
      <c r="W56" s="30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</row>
    <row r="57" ht="25.5" customHeight="1">
      <c r="A57" s="53"/>
      <c r="B57" s="66"/>
      <c r="C57" s="36"/>
      <c r="D57" s="30"/>
      <c r="E57" s="92"/>
      <c r="F57" s="36"/>
      <c r="G57" s="33"/>
      <c r="H57" s="36"/>
      <c r="I57" s="93"/>
      <c r="J57" s="30"/>
      <c r="K57" s="33"/>
      <c r="L57" s="34"/>
      <c r="M57" s="36"/>
      <c r="N57" s="47"/>
      <c r="O57" s="30"/>
      <c r="P57" s="34"/>
      <c r="Q57" s="36"/>
      <c r="R57" s="47"/>
      <c r="S57" s="30"/>
      <c r="T57" s="34"/>
      <c r="U57" s="36"/>
      <c r="V57" s="47"/>
      <c r="W57" s="30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</row>
    <row r="58" ht="25.5" customHeight="1">
      <c r="A58" s="53"/>
      <c r="B58" s="66"/>
      <c r="C58" s="36"/>
      <c r="D58" s="32"/>
      <c r="E58" s="33"/>
      <c r="F58" s="29"/>
      <c r="G58" s="33"/>
      <c r="H58" s="30"/>
      <c r="I58" s="86"/>
      <c r="J58" s="30"/>
      <c r="K58" s="36"/>
      <c r="L58" s="34"/>
      <c r="M58" s="34"/>
      <c r="N58" s="47"/>
      <c r="O58" s="30"/>
      <c r="P58" s="34"/>
      <c r="Q58" s="34"/>
      <c r="R58" s="47"/>
      <c r="S58" s="30"/>
      <c r="T58" s="34"/>
      <c r="U58" s="34"/>
      <c r="V58" s="47"/>
      <c r="W58" s="30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</row>
    <row r="59" ht="25.5" customHeight="1">
      <c r="A59" s="112"/>
      <c r="B59" s="66"/>
      <c r="C59" s="54"/>
      <c r="D59" s="36"/>
      <c r="E59" s="30"/>
      <c r="F59" s="32"/>
      <c r="G59" s="32"/>
      <c r="H59" s="32"/>
      <c r="I59" s="152"/>
      <c r="J59" s="32"/>
      <c r="K59" s="36"/>
      <c r="L59" s="34"/>
      <c r="M59" s="36"/>
      <c r="N59" s="47"/>
      <c r="O59" s="30"/>
      <c r="P59" s="34"/>
      <c r="Q59" s="36"/>
      <c r="R59" s="47"/>
      <c r="S59" s="30"/>
      <c r="T59" s="34"/>
      <c r="U59" s="36"/>
      <c r="V59" s="47"/>
      <c r="W59" s="30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</row>
    <row r="60" ht="25.5" customHeight="1">
      <c r="A60" s="53"/>
      <c r="B60" s="66"/>
      <c r="C60" s="54"/>
      <c r="D60" s="36"/>
      <c r="E60" s="30"/>
      <c r="F60" s="32"/>
      <c r="G60" s="33"/>
      <c r="H60" s="32"/>
      <c r="I60" s="152"/>
      <c r="J60" s="32"/>
      <c r="K60" s="36"/>
      <c r="L60" s="34"/>
      <c r="M60" s="59"/>
      <c r="N60" s="47"/>
      <c r="O60" s="30"/>
      <c r="P60" s="34"/>
      <c r="Q60" s="59"/>
      <c r="R60" s="47"/>
      <c r="S60" s="30"/>
      <c r="T60" s="34"/>
      <c r="U60" s="59"/>
      <c r="V60" s="47"/>
      <c r="W60" s="30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</row>
    <row r="61" ht="25.5" customHeight="1">
      <c r="A61" s="53"/>
      <c r="B61" s="66"/>
      <c r="C61" s="54"/>
      <c r="D61" s="36"/>
      <c r="E61" s="30"/>
      <c r="F61" s="32"/>
      <c r="G61" s="33"/>
      <c r="H61" s="32"/>
      <c r="I61" s="152"/>
      <c r="J61" s="32"/>
      <c r="K61" s="36"/>
      <c r="L61" s="34"/>
      <c r="M61" s="153"/>
      <c r="N61" s="47"/>
      <c r="O61" s="30"/>
      <c r="P61" s="34"/>
      <c r="Q61" s="153"/>
      <c r="R61" s="47"/>
      <c r="S61" s="30"/>
      <c r="T61" s="34"/>
      <c r="U61" s="153"/>
      <c r="V61" s="47"/>
      <c r="W61" s="30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</row>
    <row r="62" ht="25.5" customHeight="1">
      <c r="A62" s="53"/>
      <c r="B62" s="66"/>
      <c r="C62" s="54"/>
      <c r="D62" s="32"/>
      <c r="E62" s="33"/>
      <c r="F62" s="30"/>
      <c r="G62" s="33"/>
      <c r="H62" s="36"/>
      <c r="I62" s="154"/>
      <c r="J62" s="32"/>
      <c r="K62" s="36"/>
      <c r="L62" s="34"/>
      <c r="M62" s="153"/>
      <c r="N62" s="47"/>
      <c r="O62" s="30"/>
      <c r="P62" s="34"/>
      <c r="Q62" s="153"/>
      <c r="R62" s="47"/>
      <c r="S62" s="30"/>
      <c r="T62" s="34"/>
      <c r="U62" s="153"/>
      <c r="V62" s="47"/>
      <c r="W62" s="30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</row>
    <row r="63" ht="25.5" customHeight="1">
      <c r="A63" s="53"/>
      <c r="B63" s="66"/>
      <c r="C63" s="54"/>
      <c r="D63" s="36"/>
      <c r="E63" s="30"/>
      <c r="F63" s="30"/>
      <c r="G63" s="33"/>
      <c r="H63" s="36"/>
      <c r="I63" s="154"/>
      <c r="J63" s="32"/>
      <c r="K63" s="36"/>
      <c r="L63" s="34"/>
      <c r="M63" s="153"/>
      <c r="N63" s="47"/>
      <c r="O63" s="30"/>
      <c r="P63" s="34"/>
      <c r="Q63" s="153"/>
      <c r="R63" s="47"/>
      <c r="S63" s="30"/>
      <c r="T63" s="34"/>
      <c r="U63" s="153"/>
      <c r="V63" s="47"/>
      <c r="W63" s="30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</row>
    <row r="64" ht="27.0" customHeight="1">
      <c r="A64" s="53"/>
      <c r="B64" s="66"/>
      <c r="C64" s="54"/>
      <c r="D64" s="32"/>
      <c r="E64" s="33"/>
      <c r="F64" s="155"/>
      <c r="G64" s="33"/>
      <c r="H64" s="36"/>
      <c r="I64" s="58"/>
      <c r="J64" s="32"/>
      <c r="K64" s="36"/>
      <c r="L64" s="34"/>
      <c r="M64" s="153"/>
      <c r="N64" s="47"/>
      <c r="O64" s="30"/>
      <c r="P64" s="34"/>
      <c r="Q64" s="153"/>
      <c r="R64" s="47"/>
      <c r="S64" s="30"/>
      <c r="T64" s="34"/>
      <c r="U64" s="153"/>
      <c r="V64" s="47"/>
      <c r="W64" s="30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</row>
    <row r="65" ht="25.5" customHeight="1">
      <c r="A65" s="53"/>
      <c r="B65" s="66"/>
      <c r="C65" s="36"/>
      <c r="D65" s="83"/>
      <c r="E65" s="92"/>
      <c r="F65" s="155"/>
      <c r="G65" s="33"/>
      <c r="H65" s="30"/>
      <c r="I65" s="141"/>
      <c r="J65" s="32"/>
      <c r="K65" s="36"/>
      <c r="L65" s="34"/>
      <c r="M65" s="59"/>
      <c r="N65" s="47"/>
      <c r="O65" s="30"/>
      <c r="P65" s="34"/>
      <c r="Q65" s="59"/>
      <c r="R65" s="47"/>
      <c r="S65" s="30"/>
      <c r="T65" s="34"/>
      <c r="U65" s="59"/>
      <c r="V65" s="47"/>
      <c r="W65" s="30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</row>
    <row r="66" ht="25.5" customHeight="1">
      <c r="A66" s="53"/>
      <c r="B66" s="66"/>
      <c r="C66" s="36"/>
      <c r="D66" s="36"/>
      <c r="E66" s="92"/>
      <c r="F66" s="155"/>
      <c r="G66" s="33"/>
      <c r="H66" s="30"/>
      <c r="I66" s="58"/>
      <c r="J66" s="32"/>
      <c r="K66" s="36"/>
      <c r="L66" s="34"/>
      <c r="M66" s="84"/>
      <c r="N66" s="47"/>
      <c r="O66" s="30"/>
      <c r="P66" s="34"/>
      <c r="Q66" s="84"/>
      <c r="R66" s="47"/>
      <c r="S66" s="30"/>
      <c r="T66" s="34"/>
      <c r="U66" s="84"/>
      <c r="V66" s="47"/>
      <c r="W66" s="30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</row>
    <row r="67" ht="25.5" customHeight="1">
      <c r="A67" s="112"/>
      <c r="B67" s="66"/>
      <c r="C67" s="36"/>
      <c r="D67" s="36"/>
      <c r="E67" s="36"/>
      <c r="F67" s="36"/>
      <c r="G67" s="30"/>
      <c r="H67" s="36"/>
      <c r="I67" s="56"/>
      <c r="J67" s="30"/>
      <c r="K67" s="36"/>
      <c r="L67" s="34"/>
      <c r="M67" s="36"/>
      <c r="N67" s="47"/>
      <c r="O67" s="94"/>
      <c r="P67" s="34"/>
      <c r="Q67" s="36"/>
      <c r="R67" s="47"/>
      <c r="S67" s="94"/>
      <c r="T67" s="34"/>
      <c r="U67" s="36"/>
      <c r="V67" s="47"/>
      <c r="W67" s="9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</row>
    <row r="68" ht="25.5" customHeight="1">
      <c r="A68" s="112"/>
      <c r="B68" s="66"/>
      <c r="C68" s="36"/>
      <c r="D68" s="30"/>
      <c r="E68" s="92"/>
      <c r="F68" s="30"/>
      <c r="G68" s="30"/>
      <c r="H68" s="36"/>
      <c r="I68" s="156"/>
      <c r="J68" s="30"/>
      <c r="K68" s="36"/>
      <c r="L68" s="34"/>
      <c r="M68" s="61"/>
      <c r="N68" s="47"/>
      <c r="O68" s="30"/>
      <c r="P68" s="34"/>
      <c r="Q68" s="61"/>
      <c r="R68" s="47"/>
      <c r="S68" s="30"/>
      <c r="T68" s="34"/>
      <c r="U68" s="61"/>
      <c r="V68" s="47"/>
      <c r="W68" s="30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</row>
    <row r="69" ht="25.5" customHeight="1">
      <c r="A69" s="112"/>
      <c r="B69" s="66"/>
      <c r="C69" s="36"/>
      <c r="D69" s="36"/>
      <c r="E69" s="30"/>
      <c r="F69" s="36"/>
      <c r="G69" s="36"/>
      <c r="H69" s="36"/>
      <c r="I69" s="93"/>
      <c r="J69" s="30"/>
      <c r="K69" s="36"/>
      <c r="L69" s="34"/>
      <c r="M69" s="84"/>
      <c r="N69" s="47"/>
      <c r="O69" s="30"/>
      <c r="P69" s="34"/>
      <c r="Q69" s="84"/>
      <c r="R69" s="47"/>
      <c r="S69" s="30"/>
      <c r="T69" s="34"/>
      <c r="U69" s="84"/>
      <c r="V69" s="47"/>
      <c r="W69" s="30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</row>
    <row r="70" ht="25.5" customHeight="1">
      <c r="A70" s="112"/>
      <c r="B70" s="66"/>
      <c r="C70" s="36"/>
      <c r="D70" s="36"/>
      <c r="E70" s="36"/>
      <c r="F70" s="36"/>
      <c r="G70" s="36"/>
      <c r="H70" s="36"/>
      <c r="I70" s="93"/>
      <c r="J70" s="30"/>
      <c r="K70" s="36"/>
      <c r="L70" s="34"/>
      <c r="M70" s="84"/>
      <c r="N70" s="47"/>
      <c r="O70" s="30"/>
      <c r="P70" s="34"/>
      <c r="Q70" s="84"/>
      <c r="R70" s="47"/>
      <c r="S70" s="30"/>
      <c r="T70" s="34"/>
      <c r="U70" s="84"/>
      <c r="V70" s="47"/>
      <c r="W70" s="30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</row>
    <row r="71" ht="25.5" customHeight="1">
      <c r="A71" s="112"/>
      <c r="B71" s="66"/>
      <c r="C71" s="36"/>
      <c r="D71" s="36"/>
      <c r="E71" s="30"/>
      <c r="F71" s="36"/>
      <c r="G71" s="36"/>
      <c r="H71" s="36"/>
      <c r="I71" s="157"/>
      <c r="J71" s="30"/>
      <c r="K71" s="36"/>
      <c r="L71" s="34"/>
      <c r="M71" s="84"/>
      <c r="N71" s="47"/>
      <c r="O71" s="30"/>
      <c r="P71" s="34"/>
      <c r="Q71" s="84"/>
      <c r="R71" s="47"/>
      <c r="S71" s="30"/>
      <c r="T71" s="34"/>
      <c r="U71" s="84"/>
      <c r="V71" s="47"/>
      <c r="W71" s="30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</row>
    <row r="72" ht="25.5" customHeight="1">
      <c r="A72" s="112"/>
      <c r="B72" s="66"/>
      <c r="C72" s="54"/>
      <c r="D72" s="30"/>
      <c r="E72" s="36"/>
      <c r="F72" s="36"/>
      <c r="G72" s="36"/>
      <c r="H72" s="36"/>
      <c r="I72" s="157"/>
      <c r="J72" s="30"/>
      <c r="K72" s="30"/>
      <c r="L72" s="34"/>
      <c r="M72" s="158"/>
      <c r="N72" s="47"/>
      <c r="O72" s="30"/>
      <c r="P72" s="34"/>
      <c r="Q72" s="158"/>
      <c r="R72" s="47"/>
      <c r="S72" s="30"/>
      <c r="T72" s="34"/>
      <c r="U72" s="158"/>
      <c r="V72" s="47"/>
      <c r="W72" s="30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</row>
    <row r="73" ht="25.5" customHeight="1">
      <c r="A73" s="112"/>
      <c r="B73" s="66"/>
      <c r="C73" s="54"/>
      <c r="D73" s="36"/>
      <c r="E73" s="36"/>
      <c r="F73" s="36"/>
      <c r="G73" s="36"/>
      <c r="H73" s="36"/>
      <c r="I73" s="157"/>
      <c r="J73" s="30"/>
      <c r="K73" s="30"/>
      <c r="L73" s="34"/>
      <c r="M73" s="158"/>
      <c r="N73" s="47"/>
      <c r="O73" s="30"/>
      <c r="P73" s="34"/>
      <c r="Q73" s="158"/>
      <c r="R73" s="47"/>
      <c r="S73" s="30"/>
      <c r="T73" s="34"/>
      <c r="U73" s="158"/>
      <c r="V73" s="47"/>
      <c r="W73" s="30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</row>
    <row r="74" ht="24.75" customHeight="1">
      <c r="A74" s="120"/>
      <c r="B74" s="159"/>
      <c r="C74" s="36"/>
      <c r="D74" s="36"/>
      <c r="E74" s="36"/>
      <c r="F74" s="36"/>
      <c r="G74" s="36"/>
      <c r="H74" s="36"/>
      <c r="I74" s="157"/>
      <c r="J74" s="36"/>
      <c r="K74" s="36"/>
      <c r="L74" s="34"/>
      <c r="M74" s="93"/>
      <c r="N74" s="47"/>
      <c r="O74" s="30"/>
      <c r="P74" s="34"/>
      <c r="Q74" s="93"/>
      <c r="R74" s="47"/>
      <c r="S74" s="30"/>
      <c r="T74" s="34"/>
      <c r="U74" s="93"/>
      <c r="V74" s="47"/>
      <c r="W74" s="30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</row>
    <row r="75" ht="25.5" customHeight="1">
      <c r="A75" s="112"/>
      <c r="B75" s="66"/>
      <c r="C75" s="36"/>
      <c r="D75" s="36"/>
      <c r="E75" s="36"/>
      <c r="F75" s="32"/>
      <c r="G75" s="36"/>
      <c r="H75" s="32"/>
      <c r="I75" s="152"/>
      <c r="J75" s="36"/>
      <c r="K75" s="36"/>
      <c r="L75" s="34"/>
      <c r="M75" s="93"/>
      <c r="N75" s="47"/>
      <c r="O75" s="30"/>
      <c r="P75" s="34"/>
      <c r="Q75" s="93"/>
      <c r="R75" s="47"/>
      <c r="S75" s="30"/>
      <c r="T75" s="34"/>
      <c r="U75" s="93"/>
      <c r="V75" s="47"/>
      <c r="W75" s="30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</row>
    <row r="76" ht="25.5" customHeight="1">
      <c r="A76" s="120"/>
      <c r="B76" s="159"/>
      <c r="C76" s="36"/>
      <c r="D76" s="36"/>
      <c r="E76" s="36"/>
      <c r="F76" s="36"/>
      <c r="G76" s="36"/>
      <c r="H76" s="32"/>
      <c r="I76" s="56"/>
      <c r="J76" s="36"/>
      <c r="K76" s="36"/>
      <c r="L76" s="34"/>
      <c r="M76" s="33"/>
      <c r="N76" s="47"/>
      <c r="O76" s="30"/>
      <c r="P76" s="34"/>
      <c r="Q76" s="33"/>
      <c r="R76" s="47"/>
      <c r="S76" s="30"/>
      <c r="T76" s="34"/>
      <c r="U76" s="33"/>
      <c r="V76" s="47"/>
      <c r="W76" s="30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</row>
    <row r="77" ht="26.25" customHeight="1">
      <c r="A77" s="120"/>
      <c r="B77" s="159"/>
      <c r="C77" s="36"/>
      <c r="D77" s="36"/>
      <c r="E77" s="36"/>
      <c r="F77" s="32"/>
      <c r="G77" s="32"/>
      <c r="H77" s="32"/>
      <c r="I77" s="152"/>
      <c r="J77" s="36"/>
      <c r="K77" s="36"/>
      <c r="L77" s="34"/>
      <c r="M77" s="158"/>
      <c r="N77" s="47"/>
      <c r="O77" s="160"/>
      <c r="P77" s="34"/>
      <c r="Q77" s="158"/>
      <c r="R77" s="47"/>
      <c r="S77" s="160"/>
      <c r="T77" s="34"/>
      <c r="U77" s="158"/>
      <c r="V77" s="47"/>
      <c r="W77" s="160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</row>
    <row r="78" ht="25.5" customHeight="1">
      <c r="A78" s="120"/>
      <c r="B78" s="159"/>
      <c r="C78" s="36"/>
      <c r="D78" s="36"/>
      <c r="E78" s="36"/>
      <c r="F78" s="32"/>
      <c r="G78" s="32"/>
      <c r="H78" s="32"/>
      <c r="I78" s="152"/>
      <c r="J78" s="36"/>
      <c r="K78" s="36"/>
      <c r="L78" s="34"/>
      <c r="M78" s="158"/>
      <c r="N78" s="47"/>
      <c r="O78" s="88"/>
      <c r="P78" s="34"/>
      <c r="Q78" s="158"/>
      <c r="R78" s="47"/>
      <c r="S78" s="88"/>
      <c r="T78" s="34"/>
      <c r="U78" s="158"/>
      <c r="V78" s="47"/>
      <c r="W78" s="88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</row>
    <row r="79" ht="25.5" customHeight="1">
      <c r="A79" s="112"/>
      <c r="B79" s="44"/>
      <c r="C79" s="36"/>
      <c r="D79" s="36"/>
      <c r="E79" s="36"/>
      <c r="F79" s="29"/>
      <c r="G79" s="36"/>
      <c r="H79" s="36"/>
      <c r="I79" s="58"/>
      <c r="J79" s="36"/>
      <c r="K79" s="36"/>
      <c r="L79" s="34"/>
      <c r="M79" s="36"/>
      <c r="N79" s="47"/>
      <c r="O79" s="30"/>
      <c r="P79" s="34"/>
      <c r="Q79" s="36"/>
      <c r="R79" s="47"/>
      <c r="S79" s="30"/>
      <c r="T79" s="34"/>
      <c r="U79" s="36"/>
      <c r="V79" s="47"/>
      <c r="W79" s="3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</row>
    <row r="80" ht="25.5" customHeight="1">
      <c r="A80" s="112"/>
      <c r="B80" s="66"/>
      <c r="C80" s="54"/>
      <c r="D80" s="161"/>
      <c r="E80" s="30"/>
      <c r="F80" s="161"/>
      <c r="G80" s="30"/>
      <c r="H80" s="30"/>
      <c r="I80" s="98"/>
      <c r="J80" s="30"/>
      <c r="K80" s="30"/>
      <c r="L80" s="162"/>
      <c r="M80" s="36"/>
      <c r="N80" s="47"/>
      <c r="O80" s="30"/>
      <c r="P80" s="162"/>
      <c r="Q80" s="36"/>
      <c r="R80" s="47"/>
      <c r="S80" s="30"/>
      <c r="T80" s="162"/>
      <c r="U80" s="36"/>
      <c r="V80" s="47"/>
      <c r="W80" s="3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</row>
    <row r="81" ht="25.5" customHeight="1">
      <c r="A81" s="112"/>
      <c r="B81" s="66"/>
      <c r="C81" s="36"/>
      <c r="D81" s="161"/>
      <c r="E81" s="30"/>
      <c r="F81" s="30"/>
      <c r="G81" s="30"/>
      <c r="H81" s="30"/>
      <c r="I81" s="98"/>
      <c r="J81" s="30"/>
      <c r="K81" s="36"/>
      <c r="L81" s="162"/>
      <c r="M81" s="153"/>
      <c r="N81" s="47"/>
      <c r="O81" s="30"/>
      <c r="P81" s="162"/>
      <c r="Q81" s="153"/>
      <c r="R81" s="47"/>
      <c r="S81" s="30"/>
      <c r="T81" s="162"/>
      <c r="U81" s="153"/>
      <c r="V81" s="47"/>
      <c r="W81" s="3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</row>
    <row r="82" ht="25.5" customHeight="1">
      <c r="A82" s="112"/>
      <c r="B82" s="66"/>
      <c r="C82" s="36"/>
      <c r="D82" s="161"/>
      <c r="E82" s="30"/>
      <c r="F82" s="30"/>
      <c r="G82" s="30"/>
      <c r="H82" s="30"/>
      <c r="I82" s="98"/>
      <c r="J82" s="30"/>
      <c r="K82" s="163"/>
      <c r="L82" s="116"/>
      <c r="M82" s="164"/>
      <c r="N82" s="47"/>
      <c r="O82" s="30"/>
      <c r="P82" s="116"/>
      <c r="Q82" s="164"/>
      <c r="R82" s="47"/>
      <c r="S82" s="30"/>
      <c r="T82" s="116"/>
      <c r="U82" s="164"/>
      <c r="V82" s="47"/>
      <c r="W82" s="3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</row>
    <row r="83" ht="25.5" customHeight="1">
      <c r="A83" s="112"/>
      <c r="B83" s="44"/>
      <c r="C83" s="54"/>
      <c r="D83" s="161"/>
      <c r="E83" s="30"/>
      <c r="F83" s="36"/>
      <c r="G83" s="36"/>
      <c r="H83" s="36"/>
      <c r="I83" s="93"/>
      <c r="J83" s="36"/>
      <c r="K83" s="36"/>
      <c r="L83" s="34"/>
      <c r="M83" s="36"/>
      <c r="N83" s="47"/>
      <c r="O83" s="30"/>
      <c r="P83" s="34"/>
      <c r="Q83" s="36"/>
      <c r="R83" s="47"/>
      <c r="S83" s="30"/>
      <c r="T83" s="34"/>
      <c r="U83" s="36"/>
      <c r="V83" s="47"/>
      <c r="W83" s="3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</row>
    <row r="84" ht="25.5" customHeight="1">
      <c r="A84" s="112"/>
      <c r="B84" s="44"/>
      <c r="C84" s="54"/>
      <c r="D84" s="161"/>
      <c r="E84" s="161"/>
      <c r="F84" s="36"/>
      <c r="G84" s="36"/>
      <c r="H84" s="36"/>
      <c r="I84" s="136"/>
      <c r="J84" s="36"/>
      <c r="K84" s="36"/>
      <c r="L84" s="34"/>
      <c r="M84" s="153"/>
      <c r="N84" s="47"/>
      <c r="O84" s="30"/>
      <c r="P84" s="34"/>
      <c r="Q84" s="153"/>
      <c r="R84" s="47"/>
      <c r="S84" s="30"/>
      <c r="T84" s="34"/>
      <c r="U84" s="153"/>
      <c r="V84" s="47"/>
      <c r="W84" s="3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</row>
    <row r="85" ht="25.5" customHeight="1">
      <c r="A85" s="112"/>
      <c r="B85" s="66"/>
      <c r="C85" s="54"/>
      <c r="D85" s="161"/>
      <c r="E85" s="161"/>
      <c r="F85" s="33"/>
      <c r="G85" s="36"/>
      <c r="H85" s="36"/>
      <c r="I85" s="136"/>
      <c r="J85" s="36"/>
      <c r="K85" s="36"/>
      <c r="L85" s="34"/>
      <c r="M85" s="165"/>
      <c r="N85" s="47"/>
      <c r="O85" s="30"/>
      <c r="P85" s="34"/>
      <c r="Q85" s="165"/>
      <c r="R85" s="47"/>
      <c r="S85" s="30"/>
      <c r="T85" s="34"/>
      <c r="U85" s="165"/>
      <c r="V85" s="47"/>
      <c r="W85" s="3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</row>
    <row r="86" ht="25.5" customHeight="1">
      <c r="A86" s="112"/>
      <c r="B86" s="66"/>
      <c r="C86" s="54"/>
      <c r="D86" s="36"/>
      <c r="E86" s="36"/>
      <c r="F86" s="36"/>
      <c r="G86" s="36"/>
      <c r="H86" s="36"/>
      <c r="I86" s="93"/>
      <c r="J86" s="36"/>
      <c r="K86" s="36"/>
      <c r="L86" s="34"/>
      <c r="M86" s="36"/>
      <c r="N86" s="47"/>
      <c r="O86" s="88"/>
      <c r="P86" s="34"/>
      <c r="Q86" s="36"/>
      <c r="R86" s="47"/>
      <c r="S86" s="88"/>
      <c r="T86" s="34"/>
      <c r="U86" s="36"/>
      <c r="V86" s="47"/>
      <c r="W86" s="88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</row>
    <row r="87" ht="25.5" customHeight="1">
      <c r="A87" s="112"/>
      <c r="B87" s="66"/>
      <c r="C87" s="54"/>
      <c r="D87" s="36"/>
      <c r="E87" s="36"/>
      <c r="F87" s="36"/>
      <c r="G87" s="36"/>
      <c r="H87" s="36"/>
      <c r="I87" s="58"/>
      <c r="J87" s="36"/>
      <c r="K87" s="36"/>
      <c r="L87" s="34"/>
      <c r="M87" s="166"/>
      <c r="N87" s="47"/>
      <c r="O87" s="30"/>
      <c r="P87" s="34"/>
      <c r="Q87" s="166"/>
      <c r="R87" s="47"/>
      <c r="S87" s="30"/>
      <c r="T87" s="34"/>
      <c r="U87" s="166"/>
      <c r="V87" s="47"/>
      <c r="W87" s="3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</row>
    <row r="88" ht="25.5" customHeight="1">
      <c r="A88" s="112"/>
      <c r="B88" s="66"/>
      <c r="C88" s="33"/>
      <c r="D88" s="32"/>
      <c r="E88" s="36"/>
      <c r="F88" s="36"/>
      <c r="G88" s="36"/>
      <c r="H88" s="36"/>
      <c r="I88" s="58"/>
      <c r="J88" s="36"/>
      <c r="K88" s="36"/>
      <c r="L88" s="34"/>
      <c r="M88" s="30"/>
      <c r="N88" s="47"/>
      <c r="O88" s="94"/>
      <c r="P88" s="34"/>
      <c r="Q88" s="30"/>
      <c r="R88" s="47"/>
      <c r="S88" s="94"/>
      <c r="T88" s="34"/>
      <c r="U88" s="30"/>
      <c r="V88" s="47"/>
      <c r="W88" s="94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</row>
    <row r="89" ht="25.5" customHeight="1">
      <c r="A89" s="112"/>
      <c r="B89" s="66"/>
      <c r="C89" s="33"/>
      <c r="D89" s="161"/>
      <c r="E89" s="30"/>
      <c r="F89" s="30"/>
      <c r="G89" s="36"/>
      <c r="H89" s="30"/>
      <c r="I89" s="58"/>
      <c r="J89" s="36"/>
      <c r="K89" s="36"/>
      <c r="L89" s="34"/>
      <c r="M89" s="30"/>
      <c r="N89" s="47"/>
      <c r="O89" s="30"/>
      <c r="P89" s="34"/>
      <c r="Q89" s="30"/>
      <c r="R89" s="47"/>
      <c r="S89" s="30"/>
      <c r="T89" s="34"/>
      <c r="U89" s="30"/>
      <c r="V89" s="47"/>
      <c r="W89" s="3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</row>
    <row r="90" ht="25.5" customHeight="1">
      <c r="A90" s="112"/>
      <c r="B90" s="66"/>
      <c r="C90" s="54"/>
      <c r="D90" s="161"/>
      <c r="E90" s="161"/>
      <c r="F90" s="36"/>
      <c r="G90" s="36"/>
      <c r="H90" s="36"/>
      <c r="I90" s="86"/>
      <c r="J90" s="36"/>
      <c r="K90" s="36"/>
      <c r="L90" s="34"/>
      <c r="M90" s="167"/>
      <c r="N90" s="47"/>
      <c r="O90" s="30"/>
      <c r="P90" s="34"/>
      <c r="Q90" s="167"/>
      <c r="R90" s="47"/>
      <c r="S90" s="30"/>
      <c r="T90" s="34"/>
      <c r="U90" s="167"/>
      <c r="V90" s="47"/>
      <c r="W90" s="3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</row>
    <row r="91" ht="25.5" customHeight="1">
      <c r="A91" s="112"/>
      <c r="B91" s="159"/>
      <c r="C91" s="33"/>
      <c r="D91" s="161"/>
      <c r="E91" s="36"/>
      <c r="F91" s="36"/>
      <c r="G91" s="36"/>
      <c r="H91" s="30"/>
      <c r="I91" s="157"/>
      <c r="J91" s="36"/>
      <c r="K91" s="36"/>
      <c r="L91" s="34"/>
      <c r="M91" s="30"/>
      <c r="N91" s="47"/>
      <c r="O91" s="30"/>
      <c r="P91" s="34"/>
      <c r="Q91" s="30"/>
      <c r="R91" s="47"/>
      <c r="S91" s="30"/>
      <c r="T91" s="34"/>
      <c r="U91" s="30"/>
      <c r="V91" s="47"/>
      <c r="W91" s="3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</row>
    <row r="92" ht="25.5" customHeight="1">
      <c r="A92" s="112"/>
      <c r="B92" s="159"/>
      <c r="C92" s="33"/>
      <c r="D92" s="161"/>
      <c r="E92" s="36"/>
      <c r="F92" s="36"/>
      <c r="G92" s="36"/>
      <c r="H92" s="30"/>
      <c r="I92" s="86"/>
      <c r="J92" s="36"/>
      <c r="K92" s="36"/>
      <c r="L92" s="34"/>
      <c r="M92" s="30"/>
      <c r="N92" s="47"/>
      <c r="O92" s="30"/>
      <c r="P92" s="34"/>
      <c r="Q92" s="30"/>
      <c r="R92" s="47"/>
      <c r="S92" s="30"/>
      <c r="T92" s="34"/>
      <c r="U92" s="30"/>
      <c r="V92" s="47"/>
      <c r="W92" s="3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</row>
    <row r="93" ht="25.5" customHeight="1">
      <c r="A93" s="112"/>
      <c r="B93" s="159"/>
      <c r="C93" s="33"/>
      <c r="D93" s="32"/>
      <c r="E93" s="36"/>
      <c r="F93" s="168"/>
      <c r="G93" s="36"/>
      <c r="H93" s="30"/>
      <c r="I93" s="169"/>
      <c r="J93" s="36"/>
      <c r="K93" s="36"/>
      <c r="L93" s="170"/>
      <c r="M93" s="154"/>
      <c r="N93" s="47"/>
      <c r="O93" s="30"/>
      <c r="P93" s="170"/>
      <c r="Q93" s="154"/>
      <c r="R93" s="47"/>
      <c r="S93" s="30"/>
      <c r="T93" s="170"/>
      <c r="U93" s="154"/>
      <c r="V93" s="47"/>
      <c r="W93" s="3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</row>
    <row r="94" ht="25.5" customHeight="1">
      <c r="A94" s="112"/>
      <c r="B94" s="159"/>
      <c r="C94" s="33"/>
      <c r="D94" s="161"/>
      <c r="E94" s="30"/>
      <c r="F94" s="98"/>
      <c r="G94" s="36"/>
      <c r="H94" s="30"/>
      <c r="I94" s="58"/>
      <c r="J94" s="36"/>
      <c r="K94" s="36"/>
      <c r="L94" s="34"/>
      <c r="M94" s="30"/>
      <c r="N94" s="47"/>
      <c r="O94" s="30"/>
      <c r="P94" s="34"/>
      <c r="Q94" s="30"/>
      <c r="R94" s="47"/>
      <c r="S94" s="30"/>
      <c r="T94" s="34"/>
      <c r="U94" s="30"/>
      <c r="V94" s="47"/>
      <c r="W94" s="3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</row>
    <row r="95" ht="25.5" customHeight="1">
      <c r="A95" s="112"/>
      <c r="B95" s="159"/>
      <c r="C95" s="33"/>
      <c r="D95" s="161"/>
      <c r="E95" s="36"/>
      <c r="F95" s="58"/>
      <c r="G95" s="36"/>
      <c r="H95" s="30"/>
      <c r="I95" s="58"/>
      <c r="J95" s="36"/>
      <c r="K95" s="36"/>
      <c r="L95" s="34"/>
      <c r="M95" s="30"/>
      <c r="N95" s="47"/>
      <c r="O95" s="30"/>
      <c r="P95" s="34"/>
      <c r="Q95" s="30"/>
      <c r="R95" s="47"/>
      <c r="S95" s="30"/>
      <c r="T95" s="34"/>
      <c r="U95" s="30"/>
      <c r="V95" s="47"/>
      <c r="W95" s="30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</row>
    <row r="96" ht="25.5" customHeight="1">
      <c r="A96" s="112"/>
      <c r="B96" s="159"/>
      <c r="C96" s="33"/>
      <c r="D96" s="32"/>
      <c r="E96" s="36"/>
      <c r="F96" s="30"/>
      <c r="G96" s="36"/>
      <c r="H96" s="30"/>
      <c r="I96" s="86"/>
      <c r="J96" s="36"/>
      <c r="K96" s="36"/>
      <c r="L96" s="162"/>
      <c r="M96" s="30"/>
      <c r="N96" s="47"/>
      <c r="O96" s="30"/>
      <c r="P96" s="162"/>
      <c r="Q96" s="30"/>
      <c r="R96" s="47"/>
      <c r="S96" s="30"/>
      <c r="T96" s="162"/>
      <c r="U96" s="30"/>
      <c r="V96" s="47"/>
      <c r="W96" s="30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</row>
    <row r="97" ht="25.5" customHeight="1">
      <c r="A97" s="112"/>
      <c r="B97" s="159"/>
      <c r="C97" s="33"/>
      <c r="D97" s="161"/>
      <c r="E97" s="36"/>
      <c r="F97" s="30"/>
      <c r="G97" s="36"/>
      <c r="H97" s="30"/>
      <c r="I97" s="86"/>
      <c r="J97" s="36"/>
      <c r="K97" s="36"/>
      <c r="L97" s="34"/>
      <c r="M97" s="30"/>
      <c r="N97" s="47"/>
      <c r="O97" s="30"/>
      <c r="P97" s="34"/>
      <c r="Q97" s="30"/>
      <c r="R97" s="47"/>
      <c r="S97" s="30"/>
      <c r="T97" s="34"/>
      <c r="U97" s="30"/>
      <c r="V97" s="47"/>
      <c r="W97" s="30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</row>
    <row r="98" ht="25.5" customHeight="1">
      <c r="A98" s="112"/>
      <c r="B98" s="159"/>
      <c r="C98" s="33"/>
      <c r="D98" s="32"/>
      <c r="E98" s="36"/>
      <c r="F98" s="30"/>
      <c r="G98" s="36"/>
      <c r="H98" s="30"/>
      <c r="I98" s="47"/>
      <c r="J98" s="36"/>
      <c r="K98" s="36"/>
      <c r="L98" s="34"/>
      <c r="M98" s="36"/>
      <c r="N98" s="47"/>
      <c r="O98" s="30"/>
      <c r="P98" s="34"/>
      <c r="Q98" s="36"/>
      <c r="R98" s="47"/>
      <c r="S98" s="30"/>
      <c r="T98" s="34"/>
      <c r="U98" s="36"/>
      <c r="V98" s="47"/>
      <c r="W98" s="30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</row>
    <row r="99" ht="25.5" customHeight="1">
      <c r="A99" s="112"/>
      <c r="B99" s="159"/>
      <c r="C99" s="33"/>
      <c r="D99" s="36"/>
      <c r="E99" s="36"/>
      <c r="F99" s="30"/>
      <c r="G99" s="36"/>
      <c r="H99" s="30"/>
      <c r="I99" s="47"/>
      <c r="J99" s="36"/>
      <c r="K99" s="36"/>
      <c r="L99" s="34"/>
      <c r="M99" s="30"/>
      <c r="N99" s="47"/>
      <c r="O99" s="30"/>
      <c r="P99" s="34"/>
      <c r="Q99" s="30"/>
      <c r="R99" s="47"/>
      <c r="S99" s="30"/>
      <c r="T99" s="34"/>
      <c r="U99" s="30"/>
      <c r="V99" s="47"/>
      <c r="W99" s="30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</row>
    <row r="100" ht="25.5" customHeight="1">
      <c r="A100" s="112"/>
      <c r="B100" s="159"/>
      <c r="C100" s="33"/>
      <c r="D100" s="161"/>
      <c r="E100" s="36"/>
      <c r="F100" s="30"/>
      <c r="G100" s="30"/>
      <c r="H100" s="30"/>
      <c r="I100" s="47"/>
      <c r="J100" s="36"/>
      <c r="K100" s="36"/>
      <c r="L100" s="34"/>
      <c r="M100" s="30"/>
      <c r="N100" s="47"/>
      <c r="O100" s="30"/>
      <c r="P100" s="34"/>
      <c r="Q100" s="30"/>
      <c r="R100" s="47"/>
      <c r="S100" s="30"/>
      <c r="T100" s="34"/>
      <c r="U100" s="30"/>
      <c r="V100" s="47"/>
      <c r="W100" s="30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</row>
    <row r="101" ht="25.5" customHeight="1">
      <c r="A101" s="120"/>
      <c r="B101" s="159"/>
      <c r="C101" s="54"/>
      <c r="D101" s="32"/>
      <c r="E101" s="30"/>
      <c r="F101" s="30"/>
      <c r="G101" s="30"/>
      <c r="H101" s="30"/>
      <c r="I101" s="47"/>
      <c r="J101" s="30"/>
      <c r="K101" s="30"/>
      <c r="L101" s="34"/>
      <c r="M101" s="30"/>
      <c r="N101" s="47"/>
      <c r="O101" s="30"/>
      <c r="P101" s="34"/>
      <c r="Q101" s="30"/>
      <c r="R101" s="47"/>
      <c r="S101" s="30"/>
      <c r="T101" s="34"/>
      <c r="U101" s="30"/>
      <c r="V101" s="47"/>
      <c r="W101" s="30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</row>
    <row r="102" ht="25.5" customHeight="1">
      <c r="A102" s="120"/>
      <c r="B102" s="159"/>
      <c r="C102" s="54"/>
      <c r="D102" s="32"/>
      <c r="E102" s="30"/>
      <c r="F102" s="30"/>
      <c r="G102" s="30"/>
      <c r="H102" s="36"/>
      <c r="I102" s="47"/>
      <c r="J102" s="30"/>
      <c r="K102" s="30"/>
      <c r="L102" s="34"/>
      <c r="M102" s="30"/>
      <c r="N102" s="47"/>
      <c r="O102" s="30"/>
      <c r="P102" s="34"/>
      <c r="Q102" s="30"/>
      <c r="R102" s="47"/>
      <c r="S102" s="30"/>
      <c r="T102" s="34"/>
      <c r="U102" s="30"/>
      <c r="V102" s="47"/>
      <c r="W102" s="30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</row>
    <row r="103" ht="25.5" customHeight="1">
      <c r="A103" s="120"/>
      <c r="B103" s="159"/>
      <c r="C103" s="54"/>
      <c r="D103" s="32"/>
      <c r="E103" s="30"/>
      <c r="F103" s="30"/>
      <c r="G103" s="36"/>
      <c r="H103" s="36"/>
      <c r="I103" s="47"/>
      <c r="J103" s="30"/>
      <c r="K103" s="30"/>
      <c r="L103" s="34"/>
      <c r="M103" s="30"/>
      <c r="N103" s="47"/>
      <c r="O103" s="30"/>
      <c r="P103" s="34"/>
      <c r="Q103" s="30"/>
      <c r="R103" s="47"/>
      <c r="S103" s="30"/>
      <c r="T103" s="34"/>
      <c r="U103" s="30"/>
      <c r="V103" s="47"/>
      <c r="W103" s="30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</row>
    <row r="104" ht="25.5" customHeight="1">
      <c r="A104" s="120"/>
      <c r="B104" s="159"/>
      <c r="C104" s="54"/>
      <c r="D104" s="36"/>
      <c r="E104" s="36"/>
      <c r="F104" s="27"/>
      <c r="G104" s="36"/>
      <c r="H104" s="36"/>
      <c r="I104" s="47"/>
      <c r="J104" s="27"/>
      <c r="K104" s="30"/>
      <c r="L104" s="34"/>
      <c r="M104" s="30"/>
      <c r="N104" s="47"/>
      <c r="O104" s="30"/>
      <c r="P104" s="34"/>
      <c r="Q104" s="30"/>
      <c r="R104" s="47"/>
      <c r="S104" s="30"/>
      <c r="T104" s="34"/>
      <c r="U104" s="30"/>
      <c r="V104" s="47"/>
      <c r="W104" s="30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</row>
    <row r="105" ht="25.5" customHeight="1">
      <c r="A105" s="171"/>
      <c r="B105" s="159"/>
      <c r="C105" s="27"/>
      <c r="D105" s="32"/>
      <c r="E105" s="36"/>
      <c r="F105" s="27"/>
      <c r="G105" s="36"/>
      <c r="H105" s="36"/>
      <c r="I105" s="47"/>
      <c r="J105" s="27"/>
      <c r="K105" s="30"/>
      <c r="L105" s="34"/>
      <c r="M105" s="30"/>
      <c r="N105" s="47"/>
      <c r="O105" s="30"/>
      <c r="P105" s="34"/>
      <c r="Q105" s="30"/>
      <c r="R105" s="47"/>
      <c r="S105" s="30"/>
      <c r="T105" s="34"/>
      <c r="U105" s="30"/>
      <c r="V105" s="47"/>
      <c r="W105" s="30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</row>
    <row r="106" ht="25.5" customHeight="1">
      <c r="A106" s="120"/>
      <c r="B106" s="159"/>
      <c r="C106" s="54"/>
      <c r="D106" s="30"/>
      <c r="E106" s="30"/>
      <c r="F106" s="32"/>
      <c r="G106" s="32"/>
      <c r="H106" s="32"/>
      <c r="I106" s="172"/>
      <c r="J106" s="32"/>
      <c r="K106" s="32"/>
      <c r="L106" s="34"/>
      <c r="M106" s="30"/>
      <c r="N106" s="47"/>
      <c r="O106" s="30"/>
      <c r="P106" s="34"/>
      <c r="Q106" s="30"/>
      <c r="R106" s="47"/>
      <c r="S106" s="30"/>
      <c r="T106" s="34"/>
      <c r="U106" s="30"/>
      <c r="V106" s="47"/>
      <c r="W106" s="30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</row>
    <row r="107" ht="25.5" customHeight="1">
      <c r="A107" s="120"/>
      <c r="B107" s="159"/>
      <c r="C107" s="54"/>
      <c r="D107" s="30"/>
      <c r="E107" s="30"/>
      <c r="F107" s="30"/>
      <c r="G107" s="30"/>
      <c r="H107" s="30"/>
      <c r="I107" s="173"/>
      <c r="J107" s="32"/>
      <c r="K107" s="30"/>
      <c r="L107" s="34"/>
      <c r="M107" s="30"/>
      <c r="N107" s="47"/>
      <c r="O107" s="30"/>
      <c r="P107" s="34"/>
      <c r="Q107" s="30"/>
      <c r="R107" s="47"/>
      <c r="S107" s="30"/>
      <c r="T107" s="34"/>
      <c r="U107" s="30"/>
      <c r="V107" s="47"/>
      <c r="W107" s="30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</row>
    <row r="108" ht="25.5" customHeight="1">
      <c r="A108" s="120"/>
      <c r="B108" s="66"/>
      <c r="C108" s="36"/>
      <c r="D108" s="36"/>
      <c r="E108" s="36"/>
      <c r="F108" s="161"/>
      <c r="G108" s="30"/>
      <c r="H108" s="30"/>
      <c r="I108" s="47"/>
      <c r="J108" s="30"/>
      <c r="K108" s="36"/>
      <c r="L108" s="34"/>
      <c r="M108" s="30"/>
      <c r="N108" s="47"/>
      <c r="O108" s="30"/>
      <c r="P108" s="34"/>
      <c r="Q108" s="30"/>
      <c r="R108" s="47"/>
      <c r="S108" s="30"/>
      <c r="T108" s="34"/>
      <c r="U108" s="30"/>
      <c r="V108" s="47"/>
      <c r="W108" s="30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</row>
    <row r="109" ht="25.5" customHeight="1">
      <c r="A109" s="120"/>
      <c r="B109" s="66"/>
      <c r="C109" s="36"/>
      <c r="D109" s="36"/>
      <c r="E109" s="36"/>
      <c r="F109" s="30"/>
      <c r="G109" s="30"/>
      <c r="H109" s="30"/>
      <c r="I109" s="47"/>
      <c r="J109" s="30"/>
      <c r="K109" s="36"/>
      <c r="L109" s="34"/>
      <c r="M109" s="30"/>
      <c r="N109" s="47"/>
      <c r="O109" s="30"/>
      <c r="P109" s="34"/>
      <c r="Q109" s="30"/>
      <c r="R109" s="47"/>
      <c r="S109" s="30"/>
      <c r="T109" s="34"/>
      <c r="U109" s="30"/>
      <c r="V109" s="47"/>
      <c r="W109" s="30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</row>
    <row r="110" ht="25.5" customHeight="1">
      <c r="A110" s="120"/>
      <c r="B110" s="159"/>
      <c r="C110" s="54"/>
      <c r="D110" s="30"/>
      <c r="E110" s="30"/>
      <c r="F110" s="30"/>
      <c r="G110" s="30"/>
      <c r="H110" s="30"/>
      <c r="I110" s="47"/>
      <c r="J110" s="30"/>
      <c r="K110" s="30"/>
      <c r="L110" s="34"/>
      <c r="M110" s="30"/>
      <c r="N110" s="47"/>
      <c r="O110" s="30"/>
      <c r="P110" s="34"/>
      <c r="Q110" s="30"/>
      <c r="R110" s="47"/>
      <c r="S110" s="30"/>
      <c r="T110" s="34"/>
      <c r="U110" s="30"/>
      <c r="V110" s="47"/>
      <c r="W110" s="30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</row>
    <row r="111" ht="25.5" customHeight="1">
      <c r="A111" s="120"/>
      <c r="B111" s="159"/>
      <c r="C111" s="54"/>
      <c r="D111" s="30"/>
      <c r="E111" s="30"/>
      <c r="F111" s="30"/>
      <c r="G111" s="30"/>
      <c r="H111" s="30"/>
      <c r="I111" s="47"/>
      <c r="J111" s="30"/>
      <c r="K111" s="30"/>
      <c r="L111" s="34"/>
      <c r="M111" s="30"/>
      <c r="N111" s="47"/>
      <c r="O111" s="30"/>
      <c r="P111" s="34"/>
      <c r="Q111" s="30"/>
      <c r="R111" s="47"/>
      <c r="S111" s="30"/>
      <c r="T111" s="34"/>
      <c r="U111" s="30"/>
      <c r="V111" s="47"/>
      <c r="W111" s="30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</row>
    <row r="112" ht="25.5" customHeight="1">
      <c r="A112" s="120"/>
      <c r="B112" s="159"/>
      <c r="C112" s="54"/>
      <c r="D112" s="30"/>
      <c r="E112" s="30"/>
      <c r="F112" s="161"/>
      <c r="G112" s="30"/>
      <c r="H112" s="30"/>
      <c r="I112" s="47"/>
      <c r="J112" s="30"/>
      <c r="K112" s="36"/>
      <c r="L112" s="34"/>
      <c r="M112" s="30"/>
      <c r="N112" s="47"/>
      <c r="O112" s="30"/>
      <c r="P112" s="34"/>
      <c r="Q112" s="30"/>
      <c r="R112" s="47"/>
      <c r="S112" s="30"/>
      <c r="T112" s="34"/>
      <c r="U112" s="30"/>
      <c r="V112" s="47"/>
      <c r="W112" s="30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</row>
    <row r="113" ht="25.5" customHeight="1">
      <c r="A113" s="120"/>
      <c r="B113" s="159"/>
      <c r="C113" s="54"/>
      <c r="D113" s="30"/>
      <c r="E113" s="30"/>
      <c r="F113" s="30"/>
      <c r="G113" s="30"/>
      <c r="H113" s="30"/>
      <c r="I113" s="47"/>
      <c r="J113" s="30"/>
      <c r="K113" s="30"/>
      <c r="L113" s="34"/>
      <c r="M113" s="32"/>
      <c r="N113" s="47"/>
      <c r="O113" s="30"/>
      <c r="P113" s="34"/>
      <c r="Q113" s="32"/>
      <c r="R113" s="47"/>
      <c r="S113" s="30"/>
      <c r="T113" s="34"/>
      <c r="U113" s="32"/>
      <c r="V113" s="47"/>
      <c r="W113" s="30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</row>
    <row r="114" ht="25.5" customHeight="1">
      <c r="A114" s="120"/>
      <c r="B114" s="159"/>
      <c r="C114" s="54"/>
      <c r="D114" s="30"/>
      <c r="E114" s="30"/>
      <c r="F114" s="36"/>
      <c r="G114" s="30"/>
      <c r="H114" s="30"/>
      <c r="I114" s="173"/>
      <c r="J114" s="30"/>
      <c r="K114" s="36"/>
      <c r="L114" s="34"/>
      <c r="M114" s="174"/>
      <c r="N114" s="47"/>
      <c r="O114" s="30"/>
      <c r="P114" s="34"/>
      <c r="Q114" s="174"/>
      <c r="R114" s="47"/>
      <c r="S114" s="30"/>
      <c r="T114" s="34"/>
      <c r="U114" s="174"/>
      <c r="V114" s="47"/>
      <c r="W114" s="30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</row>
    <row r="115" ht="25.5" customHeight="1">
      <c r="A115" s="120"/>
      <c r="B115" s="159"/>
      <c r="C115" s="54"/>
      <c r="D115" s="161"/>
      <c r="E115" s="30"/>
      <c r="F115" s="161"/>
      <c r="G115" s="30"/>
      <c r="H115" s="30"/>
      <c r="I115" s="58"/>
      <c r="J115" s="30"/>
      <c r="K115" s="30"/>
      <c r="L115" s="162"/>
      <c r="M115" s="30"/>
      <c r="N115" s="47"/>
      <c r="O115" s="30"/>
      <c r="P115" s="162"/>
      <c r="Q115" s="30"/>
      <c r="R115" s="47"/>
      <c r="S115" s="30"/>
      <c r="T115" s="162"/>
      <c r="U115" s="30"/>
      <c r="V115" s="47"/>
      <c r="W115" s="30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</row>
    <row r="116" ht="25.5" customHeight="1">
      <c r="A116" s="120"/>
      <c r="B116" s="159"/>
      <c r="C116" s="54"/>
      <c r="D116" s="161"/>
      <c r="E116" s="30"/>
      <c r="F116" s="161"/>
      <c r="G116" s="30"/>
      <c r="H116" s="30"/>
      <c r="I116" s="175"/>
      <c r="J116" s="30"/>
      <c r="K116" s="30"/>
      <c r="L116" s="162"/>
      <c r="M116" s="30"/>
      <c r="N116" s="47"/>
      <c r="O116" s="30"/>
      <c r="P116" s="162"/>
      <c r="Q116" s="30"/>
      <c r="R116" s="47"/>
      <c r="S116" s="30"/>
      <c r="T116" s="162"/>
      <c r="U116" s="30"/>
      <c r="V116" s="47"/>
      <c r="W116" s="30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</row>
    <row r="117" ht="25.5" customHeight="1">
      <c r="A117" s="120"/>
      <c r="B117" s="159"/>
      <c r="C117" s="54"/>
      <c r="D117" s="30"/>
      <c r="E117" s="30"/>
      <c r="F117" s="30"/>
      <c r="G117" s="30"/>
      <c r="H117" s="30"/>
      <c r="I117" s="47"/>
      <c r="J117" s="30"/>
      <c r="K117" s="36"/>
      <c r="L117" s="34"/>
      <c r="M117" s="36"/>
      <c r="N117" s="47"/>
      <c r="O117" s="36"/>
      <c r="P117" s="34"/>
      <c r="Q117" s="36"/>
      <c r="R117" s="47"/>
      <c r="S117" s="36"/>
      <c r="T117" s="34"/>
      <c r="U117" s="36"/>
      <c r="V117" s="47"/>
      <c r="W117" s="36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</row>
    <row r="118" ht="25.5" customHeight="1">
      <c r="A118" s="120"/>
      <c r="B118" s="159"/>
      <c r="C118" s="54"/>
      <c r="D118" s="30"/>
      <c r="E118" s="30"/>
      <c r="F118" s="30"/>
      <c r="G118" s="30"/>
      <c r="H118" s="30"/>
      <c r="I118" s="47"/>
      <c r="J118" s="30"/>
      <c r="K118" s="30"/>
      <c r="L118" s="34"/>
      <c r="M118" s="88"/>
      <c r="N118" s="47"/>
      <c r="O118" s="30"/>
      <c r="P118" s="34"/>
      <c r="Q118" s="88"/>
      <c r="R118" s="47"/>
      <c r="S118" s="30"/>
      <c r="T118" s="34"/>
      <c r="U118" s="88"/>
      <c r="V118" s="47"/>
      <c r="W118" s="30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</row>
    <row r="119" ht="25.5" customHeight="1">
      <c r="A119" s="120"/>
      <c r="B119" s="159"/>
      <c r="C119" s="36"/>
      <c r="D119" s="36"/>
      <c r="E119" s="36"/>
      <c r="F119" s="36"/>
      <c r="G119" s="36"/>
      <c r="H119" s="36"/>
      <c r="I119" s="47"/>
      <c r="J119" s="36"/>
      <c r="K119" s="36"/>
      <c r="L119" s="34"/>
      <c r="M119" s="30"/>
      <c r="N119" s="47"/>
      <c r="O119" s="30"/>
      <c r="P119" s="34"/>
      <c r="Q119" s="30"/>
      <c r="R119" s="47"/>
      <c r="S119" s="30"/>
      <c r="T119" s="34"/>
      <c r="U119" s="30"/>
      <c r="V119" s="47"/>
      <c r="W119" s="30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</row>
    <row r="120" ht="25.5" customHeight="1">
      <c r="A120" s="120"/>
      <c r="B120" s="159"/>
      <c r="C120" s="54"/>
      <c r="D120" s="30"/>
      <c r="E120" s="30"/>
      <c r="F120" s="36"/>
      <c r="G120" s="30"/>
      <c r="H120" s="30"/>
      <c r="I120" s="173"/>
      <c r="J120" s="30"/>
      <c r="K120" s="36"/>
      <c r="L120" s="34"/>
      <c r="M120" s="30"/>
      <c r="N120" s="47"/>
      <c r="O120" s="30"/>
      <c r="P120" s="34"/>
      <c r="Q120" s="30"/>
      <c r="R120" s="47"/>
      <c r="S120" s="30"/>
      <c r="T120" s="34"/>
      <c r="U120" s="30"/>
      <c r="V120" s="47"/>
      <c r="W120" s="30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</row>
    <row r="121" ht="25.5" customHeight="1">
      <c r="A121" s="176"/>
      <c r="B121" s="159"/>
      <c r="C121" s="54"/>
      <c r="D121" s="30"/>
      <c r="E121" s="30"/>
      <c r="F121" s="36"/>
      <c r="G121" s="30"/>
      <c r="H121" s="30"/>
      <c r="I121" s="128"/>
      <c r="J121" s="30"/>
      <c r="K121" s="30"/>
      <c r="L121" s="34"/>
      <c r="M121" s="153"/>
      <c r="N121" s="47"/>
      <c r="O121" s="30"/>
      <c r="P121" s="34"/>
      <c r="Q121" s="153"/>
      <c r="R121" s="47"/>
      <c r="S121" s="30"/>
      <c r="T121" s="34"/>
      <c r="U121" s="153"/>
      <c r="V121" s="47"/>
      <c r="W121" s="30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</row>
    <row r="122" ht="25.5" customHeight="1">
      <c r="A122" s="176"/>
      <c r="B122" s="159"/>
      <c r="C122" s="54"/>
      <c r="D122" s="30"/>
      <c r="E122" s="30"/>
      <c r="F122" s="36"/>
      <c r="G122" s="30"/>
      <c r="H122" s="30"/>
      <c r="I122" s="177"/>
      <c r="J122" s="30"/>
      <c r="K122" s="30"/>
      <c r="L122" s="34"/>
      <c r="M122" s="36"/>
      <c r="N122" s="47"/>
      <c r="O122" s="30"/>
      <c r="P122" s="34"/>
      <c r="Q122" s="36"/>
      <c r="R122" s="47"/>
      <c r="S122" s="30"/>
      <c r="T122" s="34"/>
      <c r="U122" s="36"/>
      <c r="V122" s="47"/>
      <c r="W122" s="30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</row>
    <row r="123" ht="25.5" customHeight="1">
      <c r="A123" s="120"/>
      <c r="B123" s="159"/>
      <c r="C123" s="54"/>
      <c r="D123" s="30"/>
      <c r="E123" s="30"/>
      <c r="F123" s="36"/>
      <c r="G123" s="30"/>
      <c r="H123" s="30"/>
      <c r="I123" s="128"/>
      <c r="J123" s="30"/>
      <c r="K123" s="36"/>
      <c r="L123" s="34"/>
      <c r="M123" s="36"/>
      <c r="N123" s="47"/>
      <c r="O123" s="36"/>
      <c r="P123" s="34"/>
      <c r="Q123" s="36"/>
      <c r="R123" s="47"/>
      <c r="S123" s="36"/>
      <c r="T123" s="34"/>
      <c r="U123" s="36"/>
      <c r="V123" s="47"/>
      <c r="W123" s="36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</row>
    <row r="124" ht="25.5" customHeight="1">
      <c r="A124" s="120"/>
      <c r="B124" s="159"/>
      <c r="C124" s="54"/>
      <c r="D124" s="30"/>
      <c r="E124" s="30"/>
      <c r="F124" s="36"/>
      <c r="G124" s="36"/>
      <c r="H124" s="36"/>
      <c r="I124" s="173"/>
      <c r="J124" s="30"/>
      <c r="K124" s="36"/>
      <c r="L124" s="34"/>
      <c r="M124" s="36"/>
      <c r="N124" s="47"/>
      <c r="O124" s="30"/>
      <c r="P124" s="34"/>
      <c r="Q124" s="36"/>
      <c r="R124" s="47"/>
      <c r="S124" s="30"/>
      <c r="T124" s="34"/>
      <c r="U124" s="36"/>
      <c r="V124" s="47"/>
      <c r="W124" s="30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</row>
    <row r="125" ht="25.5" customHeight="1">
      <c r="A125" s="120"/>
      <c r="B125" s="159"/>
      <c r="C125" s="54"/>
      <c r="D125" s="30"/>
      <c r="E125" s="30"/>
      <c r="F125" s="178"/>
      <c r="G125" s="36"/>
      <c r="H125" s="36"/>
      <c r="I125" s="173"/>
      <c r="J125" s="36"/>
      <c r="K125" s="30"/>
      <c r="L125" s="34"/>
      <c r="M125" s="36"/>
      <c r="N125" s="47"/>
      <c r="O125" s="36"/>
      <c r="P125" s="34"/>
      <c r="Q125" s="36"/>
      <c r="R125" s="47"/>
      <c r="S125" s="36"/>
      <c r="T125" s="34"/>
      <c r="U125" s="36"/>
      <c r="V125" s="47"/>
      <c r="W125" s="36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</row>
    <row r="126" ht="25.5" customHeight="1">
      <c r="A126" s="120"/>
      <c r="B126" s="159"/>
      <c r="C126" s="54"/>
      <c r="D126" s="30"/>
      <c r="E126" s="30"/>
      <c r="F126" s="36"/>
      <c r="G126" s="30"/>
      <c r="H126" s="30"/>
      <c r="I126" s="173"/>
      <c r="J126" s="30"/>
      <c r="K126" s="36"/>
      <c r="L126" s="34"/>
      <c r="M126" s="36"/>
      <c r="N126" s="47"/>
      <c r="O126" s="36"/>
      <c r="P126" s="34"/>
      <c r="Q126" s="36"/>
      <c r="R126" s="47"/>
      <c r="S126" s="36"/>
      <c r="T126" s="34"/>
      <c r="U126" s="36"/>
      <c r="V126" s="47"/>
      <c r="W126" s="36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</row>
    <row r="127" ht="25.5" customHeight="1">
      <c r="A127" s="120"/>
      <c r="B127" s="159"/>
      <c r="C127" s="54"/>
      <c r="D127" s="36"/>
      <c r="E127" s="36"/>
      <c r="F127" s="178"/>
      <c r="G127" s="30"/>
      <c r="H127" s="30"/>
      <c r="I127" s="173"/>
      <c r="J127" s="36"/>
      <c r="K127" s="30"/>
      <c r="L127" s="34"/>
      <c r="M127" s="179"/>
      <c r="N127" s="47"/>
      <c r="O127" s="36"/>
      <c r="P127" s="34"/>
      <c r="Q127" s="179"/>
      <c r="R127" s="47"/>
      <c r="S127" s="36"/>
      <c r="T127" s="34"/>
      <c r="U127" s="179"/>
      <c r="V127" s="47"/>
      <c r="W127" s="36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</row>
    <row r="128" ht="25.5" customHeight="1">
      <c r="A128" s="120"/>
      <c r="B128" s="159"/>
      <c r="C128" s="54"/>
      <c r="D128" s="30"/>
      <c r="E128" s="30"/>
      <c r="F128" s="158"/>
      <c r="G128" s="158"/>
      <c r="H128" s="36"/>
      <c r="I128" s="173"/>
      <c r="J128" s="36"/>
      <c r="K128" s="30"/>
      <c r="L128" s="34"/>
      <c r="M128" s="36"/>
      <c r="N128" s="47"/>
      <c r="O128" s="36"/>
      <c r="P128" s="34"/>
      <c r="Q128" s="36"/>
      <c r="R128" s="47"/>
      <c r="S128" s="36"/>
      <c r="T128" s="34"/>
      <c r="U128" s="36"/>
      <c r="V128" s="47"/>
      <c r="W128" s="36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</row>
    <row r="129" ht="25.5" customHeight="1">
      <c r="A129" s="120"/>
      <c r="B129" s="159"/>
      <c r="C129" s="54"/>
      <c r="D129" s="30"/>
      <c r="E129" s="36"/>
      <c r="F129" s="36"/>
      <c r="G129" s="36"/>
      <c r="H129" s="36"/>
      <c r="I129" s="173"/>
      <c r="J129" s="36"/>
      <c r="K129" s="30"/>
      <c r="L129" s="34"/>
      <c r="M129" s="36"/>
      <c r="N129" s="47"/>
      <c r="O129" s="36"/>
      <c r="P129" s="34"/>
      <c r="Q129" s="36"/>
      <c r="R129" s="47"/>
      <c r="S129" s="36"/>
      <c r="T129" s="34"/>
      <c r="U129" s="36"/>
      <c r="V129" s="47"/>
      <c r="W129" s="36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</row>
    <row r="130" ht="25.5" customHeight="1">
      <c r="A130" s="120"/>
      <c r="B130" s="159"/>
      <c r="C130" s="54"/>
      <c r="D130" s="30"/>
      <c r="E130" s="36"/>
      <c r="F130" s="178"/>
      <c r="G130" s="36"/>
      <c r="H130" s="36"/>
      <c r="I130" s="173"/>
      <c r="J130" s="36"/>
      <c r="K130" s="36"/>
      <c r="L130" s="34"/>
      <c r="M130" s="30"/>
      <c r="N130" s="47"/>
      <c r="O130" s="36"/>
      <c r="P130" s="34"/>
      <c r="Q130" s="30"/>
      <c r="R130" s="47"/>
      <c r="S130" s="36"/>
      <c r="T130" s="34"/>
      <c r="U130" s="30"/>
      <c r="V130" s="47"/>
      <c r="W130" s="36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</row>
    <row r="131" ht="25.5" customHeight="1">
      <c r="A131" s="120"/>
      <c r="B131" s="159"/>
      <c r="C131" s="54"/>
      <c r="D131" s="30"/>
      <c r="E131" s="36"/>
      <c r="F131" s="36"/>
      <c r="G131" s="36"/>
      <c r="H131" s="36"/>
      <c r="I131" s="173"/>
      <c r="J131" s="36"/>
      <c r="K131" s="36"/>
      <c r="L131" s="34"/>
      <c r="M131" s="36"/>
      <c r="N131" s="47"/>
      <c r="O131" s="36"/>
      <c r="P131" s="34"/>
      <c r="Q131" s="36"/>
      <c r="R131" s="47"/>
      <c r="S131" s="36"/>
      <c r="T131" s="34"/>
      <c r="U131" s="36"/>
      <c r="V131" s="47"/>
      <c r="W131" s="36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</row>
    <row r="132" ht="25.5" customHeight="1">
      <c r="A132" s="120"/>
      <c r="B132" s="159"/>
      <c r="C132" s="54"/>
      <c r="D132" s="30"/>
      <c r="E132" s="36"/>
      <c r="F132" s="36"/>
      <c r="G132" s="30"/>
      <c r="H132" s="30"/>
      <c r="I132" s="173"/>
      <c r="J132" s="36"/>
      <c r="K132" s="30"/>
      <c r="L132" s="34"/>
      <c r="M132" s="36"/>
      <c r="N132" s="47"/>
      <c r="O132" s="36"/>
      <c r="P132" s="34"/>
      <c r="Q132" s="36"/>
      <c r="R132" s="47"/>
      <c r="S132" s="36"/>
      <c r="T132" s="34"/>
      <c r="U132" s="36"/>
      <c r="V132" s="47"/>
      <c r="W132" s="36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</row>
    <row r="133" ht="25.5" customHeight="1">
      <c r="A133" s="176"/>
      <c r="B133" s="159"/>
      <c r="C133" s="54"/>
      <c r="D133" s="30"/>
      <c r="E133" s="30"/>
      <c r="F133" s="36"/>
      <c r="G133" s="36"/>
      <c r="H133" s="36"/>
      <c r="I133" s="173"/>
      <c r="J133" s="36"/>
      <c r="K133" s="36"/>
      <c r="L133" s="34"/>
      <c r="M133" s="30"/>
      <c r="N133" s="47"/>
      <c r="O133" s="36"/>
      <c r="P133" s="34"/>
      <c r="Q133" s="30"/>
      <c r="R133" s="47"/>
      <c r="S133" s="36"/>
      <c r="T133" s="34"/>
      <c r="U133" s="30"/>
      <c r="V133" s="47"/>
      <c r="W133" s="36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</row>
    <row r="134" ht="25.5" customHeight="1">
      <c r="A134" s="120"/>
      <c r="B134" s="159"/>
      <c r="C134" s="54"/>
      <c r="D134" s="36"/>
      <c r="E134" s="36"/>
      <c r="F134" s="36"/>
      <c r="G134" s="30"/>
      <c r="H134" s="30"/>
      <c r="I134" s="173"/>
      <c r="J134" s="36"/>
      <c r="K134" s="30"/>
      <c r="L134" s="34"/>
      <c r="M134" s="30"/>
      <c r="N134" s="47"/>
      <c r="O134" s="36"/>
      <c r="P134" s="34"/>
      <c r="Q134" s="30"/>
      <c r="R134" s="47"/>
      <c r="S134" s="36"/>
      <c r="T134" s="34"/>
      <c r="U134" s="30"/>
      <c r="V134" s="47"/>
      <c r="W134" s="36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</row>
    <row r="135" ht="25.5" customHeight="1">
      <c r="A135" s="176"/>
      <c r="B135" s="159"/>
      <c r="C135" s="54"/>
      <c r="D135" s="30"/>
      <c r="E135" s="36"/>
      <c r="F135" s="36"/>
      <c r="G135" s="36"/>
      <c r="H135" s="36"/>
      <c r="I135" s="173"/>
      <c r="J135" s="36"/>
      <c r="K135" s="36"/>
      <c r="L135" s="34"/>
      <c r="M135" s="30"/>
      <c r="N135" s="47"/>
      <c r="O135" s="36"/>
      <c r="P135" s="34"/>
      <c r="Q135" s="30"/>
      <c r="R135" s="47"/>
      <c r="S135" s="36"/>
      <c r="T135" s="34"/>
      <c r="U135" s="30"/>
      <c r="V135" s="47"/>
      <c r="W135" s="36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</row>
    <row r="136" ht="25.5" customHeight="1">
      <c r="A136" s="120"/>
      <c r="B136" s="159"/>
      <c r="C136" s="54"/>
      <c r="D136" s="36"/>
      <c r="E136" s="36"/>
      <c r="F136" s="36"/>
      <c r="G136" s="36"/>
      <c r="H136" s="36"/>
      <c r="I136" s="173"/>
      <c r="J136" s="36"/>
      <c r="K136" s="30"/>
      <c r="L136" s="34"/>
      <c r="M136" s="30"/>
      <c r="N136" s="47"/>
      <c r="O136" s="36"/>
      <c r="P136" s="34"/>
      <c r="Q136" s="30"/>
      <c r="R136" s="47"/>
      <c r="S136" s="36"/>
      <c r="T136" s="34"/>
      <c r="U136" s="30"/>
      <c r="V136" s="47"/>
      <c r="W136" s="36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</row>
    <row r="137" ht="25.5" customHeight="1">
      <c r="A137" s="120"/>
      <c r="B137" s="159"/>
      <c r="C137" s="54"/>
      <c r="D137" s="36"/>
      <c r="E137" s="36"/>
      <c r="F137" s="36"/>
      <c r="G137" s="36"/>
      <c r="H137" s="36"/>
      <c r="I137" s="173"/>
      <c r="J137" s="36"/>
      <c r="K137" s="30"/>
      <c r="L137" s="34"/>
      <c r="M137" s="36"/>
      <c r="N137" s="47"/>
      <c r="O137" s="36"/>
      <c r="P137" s="34"/>
      <c r="Q137" s="36"/>
      <c r="R137" s="47"/>
      <c r="S137" s="36"/>
      <c r="T137" s="34"/>
      <c r="U137" s="36"/>
      <c r="V137" s="47"/>
      <c r="W137" s="36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</row>
    <row r="138" ht="25.5" customHeight="1">
      <c r="A138" s="120"/>
      <c r="B138" s="159"/>
      <c r="C138" s="54"/>
      <c r="D138" s="36"/>
      <c r="E138" s="36"/>
      <c r="F138" s="36"/>
      <c r="G138" s="36"/>
      <c r="H138" s="36"/>
      <c r="I138" s="173"/>
      <c r="J138" s="36"/>
      <c r="K138" s="30"/>
      <c r="L138" s="34"/>
      <c r="M138" s="36"/>
      <c r="N138" s="47"/>
      <c r="O138" s="36"/>
      <c r="P138" s="34"/>
      <c r="Q138" s="36"/>
      <c r="R138" s="47"/>
      <c r="S138" s="36"/>
      <c r="T138" s="34"/>
      <c r="U138" s="36"/>
      <c r="V138" s="47"/>
      <c r="W138" s="36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</row>
    <row r="139" ht="25.5" customHeight="1">
      <c r="A139" s="120"/>
      <c r="B139" s="159"/>
      <c r="C139" s="54"/>
      <c r="D139" s="36"/>
      <c r="E139" s="36"/>
      <c r="F139" s="36"/>
      <c r="G139" s="36"/>
      <c r="H139" s="36"/>
      <c r="I139" s="173"/>
      <c r="J139" s="36"/>
      <c r="K139" s="36"/>
      <c r="L139" s="34"/>
      <c r="M139" s="30"/>
      <c r="N139" s="47"/>
      <c r="O139" s="36"/>
      <c r="P139" s="34"/>
      <c r="Q139" s="30"/>
      <c r="R139" s="47"/>
      <c r="S139" s="36"/>
      <c r="T139" s="34"/>
      <c r="U139" s="30"/>
      <c r="V139" s="47"/>
      <c r="W139" s="36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</row>
    <row r="140" ht="25.5" customHeight="1">
      <c r="A140" s="120"/>
      <c r="B140" s="159"/>
      <c r="C140" s="54"/>
      <c r="D140" s="36"/>
      <c r="E140" s="36"/>
      <c r="F140" s="36"/>
      <c r="G140" s="36"/>
      <c r="H140" s="36"/>
      <c r="I140" s="173"/>
      <c r="J140" s="36"/>
      <c r="K140" s="30"/>
      <c r="L140" s="34"/>
      <c r="M140" s="30"/>
      <c r="N140" s="47"/>
      <c r="O140" s="36"/>
      <c r="P140" s="34"/>
      <c r="Q140" s="30"/>
      <c r="R140" s="47"/>
      <c r="S140" s="36"/>
      <c r="T140" s="34"/>
      <c r="U140" s="30"/>
      <c r="V140" s="47"/>
      <c r="W140" s="36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</row>
    <row r="141" ht="25.5" customHeight="1">
      <c r="A141" s="120"/>
      <c r="B141" s="159"/>
      <c r="C141" s="54"/>
      <c r="D141" s="36"/>
      <c r="E141" s="36"/>
      <c r="F141" s="36"/>
      <c r="G141" s="36"/>
      <c r="H141" s="36"/>
      <c r="I141" s="173"/>
      <c r="J141" s="36"/>
      <c r="K141" s="30"/>
      <c r="L141" s="34"/>
      <c r="M141" s="30"/>
      <c r="N141" s="47"/>
      <c r="O141" s="36"/>
      <c r="P141" s="34"/>
      <c r="Q141" s="30"/>
      <c r="R141" s="47"/>
      <c r="S141" s="36"/>
      <c r="T141" s="34"/>
      <c r="U141" s="30"/>
      <c r="V141" s="47"/>
      <c r="W141" s="36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</row>
    <row r="142" ht="25.5" customHeight="1">
      <c r="A142" s="120"/>
      <c r="B142" s="159"/>
      <c r="C142" s="54"/>
      <c r="D142" s="36"/>
      <c r="E142" s="36"/>
      <c r="F142" s="36"/>
      <c r="G142" s="36"/>
      <c r="H142" s="36"/>
      <c r="I142" s="173"/>
      <c r="J142" s="36"/>
      <c r="K142" s="30"/>
      <c r="L142" s="34"/>
      <c r="M142" s="36"/>
      <c r="N142" s="47"/>
      <c r="O142" s="36"/>
      <c r="P142" s="34"/>
      <c r="Q142" s="36"/>
      <c r="R142" s="47"/>
      <c r="S142" s="36"/>
      <c r="T142" s="34"/>
      <c r="U142" s="36"/>
      <c r="V142" s="47"/>
      <c r="W142" s="36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</row>
    <row r="143" ht="25.5" customHeight="1">
      <c r="A143" s="176"/>
      <c r="B143" s="159"/>
      <c r="C143" s="54"/>
      <c r="D143" s="36"/>
      <c r="E143" s="36"/>
      <c r="F143" s="36"/>
      <c r="G143" s="36"/>
      <c r="H143" s="36"/>
      <c r="I143" s="173"/>
      <c r="J143" s="36"/>
      <c r="K143" s="30"/>
      <c r="L143" s="34"/>
      <c r="M143" s="36"/>
      <c r="N143" s="47"/>
      <c r="O143" s="36"/>
      <c r="P143" s="34"/>
      <c r="Q143" s="36"/>
      <c r="R143" s="47"/>
      <c r="S143" s="36"/>
      <c r="T143" s="34"/>
      <c r="U143" s="36"/>
      <c r="V143" s="47"/>
      <c r="W143" s="36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</row>
    <row r="144" ht="25.5" customHeight="1">
      <c r="A144" s="120"/>
      <c r="B144" s="159"/>
      <c r="C144" s="54"/>
      <c r="D144" s="36"/>
      <c r="E144" s="36"/>
      <c r="F144" s="36"/>
      <c r="G144" s="36"/>
      <c r="H144" s="36"/>
      <c r="I144" s="173"/>
      <c r="J144" s="36"/>
      <c r="K144" s="36"/>
      <c r="L144" s="34"/>
      <c r="M144" s="153"/>
      <c r="N144" s="47"/>
      <c r="O144" s="36"/>
      <c r="P144" s="34"/>
      <c r="Q144" s="153"/>
      <c r="R144" s="47"/>
      <c r="S144" s="36"/>
      <c r="T144" s="34"/>
      <c r="U144" s="153"/>
      <c r="V144" s="47"/>
      <c r="W144" s="36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</row>
    <row r="145" ht="22.5" customHeight="1">
      <c r="A145" s="120"/>
      <c r="B145" s="159"/>
      <c r="C145" s="54"/>
      <c r="D145" s="30"/>
      <c r="E145" s="36"/>
      <c r="F145" s="36"/>
      <c r="G145" s="36"/>
      <c r="H145" s="36"/>
      <c r="I145" s="173"/>
      <c r="J145" s="36"/>
      <c r="K145" s="30"/>
      <c r="L145" s="34"/>
      <c r="M145" s="36"/>
      <c r="N145" s="47"/>
      <c r="O145" s="36"/>
      <c r="P145" s="34"/>
      <c r="Q145" s="36"/>
      <c r="R145" s="47"/>
      <c r="S145" s="36"/>
      <c r="T145" s="34"/>
      <c r="U145" s="36"/>
      <c r="V145" s="47"/>
      <c r="W145" s="36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</row>
    <row r="146" ht="22.5" customHeight="1">
      <c r="A146" s="120"/>
      <c r="B146" s="159"/>
      <c r="C146" s="54"/>
      <c r="D146" s="30"/>
      <c r="E146" s="36"/>
      <c r="F146" s="36"/>
      <c r="G146" s="36"/>
      <c r="H146" s="36"/>
      <c r="I146" s="173"/>
      <c r="J146" s="36"/>
      <c r="K146" s="30"/>
      <c r="L146" s="34"/>
      <c r="M146" s="30"/>
      <c r="N146" s="47"/>
      <c r="O146" s="36"/>
      <c r="P146" s="34"/>
      <c r="Q146" s="30"/>
      <c r="R146" s="47"/>
      <c r="S146" s="36"/>
      <c r="T146" s="34"/>
      <c r="U146" s="30"/>
      <c r="V146" s="47"/>
      <c r="W146" s="36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</row>
    <row r="147" ht="22.5" customHeight="1">
      <c r="A147" s="120"/>
      <c r="B147" s="159"/>
      <c r="C147" s="54"/>
      <c r="D147" s="30"/>
      <c r="E147" s="36"/>
      <c r="F147" s="36"/>
      <c r="G147" s="36"/>
      <c r="H147" s="36"/>
      <c r="I147" s="173"/>
      <c r="J147" s="36"/>
      <c r="K147" s="36"/>
      <c r="L147" s="34"/>
      <c r="M147" s="36"/>
      <c r="N147" s="47"/>
      <c r="O147" s="36"/>
      <c r="P147" s="34"/>
      <c r="Q147" s="36"/>
      <c r="R147" s="47"/>
      <c r="S147" s="36"/>
      <c r="T147" s="34"/>
      <c r="U147" s="36"/>
      <c r="V147" s="47"/>
      <c r="W147" s="36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</row>
    <row r="148" ht="22.5" customHeight="1">
      <c r="A148" s="120"/>
      <c r="B148" s="159"/>
      <c r="C148" s="54"/>
      <c r="D148" s="30"/>
      <c r="E148" s="36"/>
      <c r="F148" s="36"/>
      <c r="G148" s="36"/>
      <c r="H148" s="36"/>
      <c r="I148" s="173"/>
      <c r="J148" s="36"/>
      <c r="K148" s="30"/>
      <c r="L148" s="34"/>
      <c r="M148" s="36"/>
      <c r="N148" s="47"/>
      <c r="O148" s="36"/>
      <c r="P148" s="34"/>
      <c r="Q148" s="36"/>
      <c r="R148" s="47"/>
      <c r="S148" s="36"/>
      <c r="T148" s="34"/>
      <c r="U148" s="36"/>
      <c r="V148" s="47"/>
      <c r="W148" s="36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</row>
    <row r="149" ht="22.5" customHeight="1">
      <c r="A149" s="120"/>
      <c r="B149" s="159"/>
      <c r="C149" s="54"/>
      <c r="D149" s="30"/>
      <c r="E149" s="36"/>
      <c r="F149" s="36"/>
      <c r="G149" s="36"/>
      <c r="H149" s="36"/>
      <c r="I149" s="173"/>
      <c r="J149" s="36"/>
      <c r="K149" s="30"/>
      <c r="L149" s="34"/>
      <c r="M149" s="36"/>
      <c r="N149" s="47"/>
      <c r="O149" s="36"/>
      <c r="P149" s="34"/>
      <c r="Q149" s="36"/>
      <c r="R149" s="47"/>
      <c r="S149" s="36"/>
      <c r="T149" s="34"/>
      <c r="U149" s="36"/>
      <c r="V149" s="47"/>
      <c r="W149" s="36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</row>
    <row r="150" ht="22.5" customHeight="1">
      <c r="A150" s="120"/>
      <c r="B150" s="159"/>
      <c r="C150" s="54"/>
      <c r="D150" s="30"/>
      <c r="E150" s="36"/>
      <c r="F150" s="36"/>
      <c r="G150" s="36"/>
      <c r="H150" s="36"/>
      <c r="I150" s="173"/>
      <c r="J150" s="36"/>
      <c r="K150" s="30"/>
      <c r="L150" s="34"/>
      <c r="M150" s="36"/>
      <c r="N150" s="47"/>
      <c r="O150" s="36"/>
      <c r="P150" s="34"/>
      <c r="Q150" s="36"/>
      <c r="R150" s="47"/>
      <c r="S150" s="36"/>
      <c r="T150" s="34"/>
      <c r="U150" s="36"/>
      <c r="V150" s="47"/>
      <c r="W150" s="36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</row>
    <row r="151" ht="22.5" customHeight="1">
      <c r="A151" s="120"/>
      <c r="B151" s="159"/>
      <c r="C151" s="54"/>
      <c r="D151" s="36"/>
      <c r="E151" s="36"/>
      <c r="F151" s="36"/>
      <c r="G151" s="36"/>
      <c r="H151" s="36"/>
      <c r="I151" s="173"/>
      <c r="J151" s="36"/>
      <c r="K151" s="30"/>
      <c r="L151" s="34"/>
      <c r="M151" s="36"/>
      <c r="N151" s="47"/>
      <c r="O151" s="36"/>
      <c r="P151" s="34"/>
      <c r="Q151" s="36"/>
      <c r="R151" s="47"/>
      <c r="S151" s="36"/>
      <c r="T151" s="34"/>
      <c r="U151" s="36"/>
      <c r="V151" s="47"/>
      <c r="W151" s="36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</row>
    <row r="152" ht="22.5" customHeight="1">
      <c r="A152" s="120"/>
      <c r="B152" s="159"/>
      <c r="C152" s="54"/>
      <c r="D152" s="36"/>
      <c r="E152" s="36"/>
      <c r="F152" s="36"/>
      <c r="G152" s="36"/>
      <c r="H152" s="36"/>
      <c r="I152" s="173"/>
      <c r="J152" s="36"/>
      <c r="K152" s="30"/>
      <c r="L152" s="34"/>
      <c r="M152" s="36"/>
      <c r="N152" s="47"/>
      <c r="O152" s="36"/>
      <c r="P152" s="34"/>
      <c r="Q152" s="36"/>
      <c r="R152" s="47"/>
      <c r="S152" s="36"/>
      <c r="T152" s="34"/>
      <c r="U152" s="36"/>
      <c r="V152" s="47"/>
      <c r="W152" s="36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</row>
    <row r="153" ht="22.5" customHeight="1">
      <c r="A153" s="176"/>
      <c r="B153" s="159"/>
      <c r="C153" s="54"/>
      <c r="D153" s="30"/>
      <c r="E153" s="36"/>
      <c r="F153" s="36"/>
      <c r="G153" s="36"/>
      <c r="H153" s="36"/>
      <c r="I153" s="173"/>
      <c r="J153" s="36"/>
      <c r="K153" s="36"/>
      <c r="L153" s="34"/>
      <c r="M153" s="36"/>
      <c r="N153" s="47"/>
      <c r="O153" s="36"/>
      <c r="P153" s="34"/>
      <c r="Q153" s="36"/>
      <c r="R153" s="47"/>
      <c r="S153" s="36"/>
      <c r="T153" s="34"/>
      <c r="U153" s="36"/>
      <c r="V153" s="47"/>
      <c r="W153" s="36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</row>
    <row r="154" ht="22.5" customHeight="1">
      <c r="A154" s="120"/>
      <c r="B154" s="159"/>
      <c r="C154" s="54"/>
      <c r="D154" s="36"/>
      <c r="E154" s="36"/>
      <c r="F154" s="36"/>
      <c r="G154" s="36"/>
      <c r="H154" s="36"/>
      <c r="I154" s="173"/>
      <c r="J154" s="36"/>
      <c r="K154" s="36"/>
      <c r="L154" s="34"/>
      <c r="M154" s="36"/>
      <c r="N154" s="47"/>
      <c r="O154" s="36"/>
      <c r="P154" s="34"/>
      <c r="Q154" s="36"/>
      <c r="R154" s="47"/>
      <c r="S154" s="36"/>
      <c r="T154" s="34"/>
      <c r="U154" s="36"/>
      <c r="V154" s="47"/>
      <c r="W154" s="36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</row>
    <row r="155" ht="22.5" customHeight="1">
      <c r="A155" s="176"/>
      <c r="B155" s="159"/>
      <c r="C155" s="54"/>
      <c r="D155" s="36"/>
      <c r="E155" s="36"/>
      <c r="F155" s="36"/>
      <c r="G155" s="36"/>
      <c r="H155" s="36"/>
      <c r="I155" s="173"/>
      <c r="J155" s="36"/>
      <c r="K155" s="30"/>
      <c r="L155" s="34"/>
      <c r="M155" s="36"/>
      <c r="N155" s="47"/>
      <c r="O155" s="36"/>
      <c r="P155" s="34"/>
      <c r="Q155" s="36"/>
      <c r="R155" s="47"/>
      <c r="S155" s="36"/>
      <c r="T155" s="34"/>
      <c r="U155" s="36"/>
      <c r="V155" s="47"/>
      <c r="W155" s="36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</row>
    <row r="156" ht="22.5" customHeight="1">
      <c r="A156" s="176"/>
      <c r="B156" s="159"/>
      <c r="C156" s="54"/>
      <c r="D156" s="36"/>
      <c r="E156" s="36"/>
      <c r="F156" s="158"/>
      <c r="G156" s="36"/>
      <c r="H156" s="36"/>
      <c r="I156" s="173"/>
      <c r="J156" s="36"/>
      <c r="K156" s="30"/>
      <c r="L156" s="34"/>
      <c r="M156" s="36"/>
      <c r="N156" s="47"/>
      <c r="O156" s="36"/>
      <c r="P156" s="34"/>
      <c r="Q156" s="36"/>
      <c r="R156" s="47"/>
      <c r="S156" s="36"/>
      <c r="T156" s="34"/>
      <c r="U156" s="36"/>
      <c r="V156" s="47"/>
      <c r="W156" s="36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</row>
    <row r="157" ht="22.5" customHeight="1">
      <c r="A157" s="176"/>
      <c r="B157" s="159"/>
      <c r="C157" s="54"/>
      <c r="D157" s="36"/>
      <c r="E157" s="36"/>
      <c r="F157" s="36"/>
      <c r="G157" s="36"/>
      <c r="H157" s="36"/>
      <c r="I157" s="173"/>
      <c r="J157" s="36"/>
      <c r="K157" s="30"/>
      <c r="L157" s="34"/>
      <c r="M157" s="36"/>
      <c r="N157" s="47"/>
      <c r="O157" s="36"/>
      <c r="P157" s="34"/>
      <c r="Q157" s="36"/>
      <c r="R157" s="47"/>
      <c r="S157" s="36"/>
      <c r="T157" s="34"/>
      <c r="U157" s="36"/>
      <c r="V157" s="47"/>
      <c r="W157" s="36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</row>
    <row r="158" ht="22.5" customHeight="1">
      <c r="A158" s="120"/>
      <c r="B158" s="159"/>
      <c r="C158" s="54"/>
      <c r="D158" s="36"/>
      <c r="E158" s="36"/>
      <c r="F158" s="36"/>
      <c r="G158" s="36"/>
      <c r="H158" s="36"/>
      <c r="I158" s="173"/>
      <c r="J158" s="36"/>
      <c r="K158" s="36"/>
      <c r="L158" s="34"/>
      <c r="M158" s="36"/>
      <c r="N158" s="47"/>
      <c r="O158" s="36"/>
      <c r="P158" s="34"/>
      <c r="Q158" s="36"/>
      <c r="R158" s="47"/>
      <c r="S158" s="36"/>
      <c r="T158" s="34"/>
      <c r="U158" s="36"/>
      <c r="V158" s="47"/>
      <c r="W158" s="36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</row>
    <row r="159" ht="22.5" customHeight="1">
      <c r="A159" s="120"/>
      <c r="B159" s="159"/>
      <c r="C159" s="36"/>
      <c r="D159" s="36"/>
      <c r="E159" s="36"/>
      <c r="F159" s="36"/>
      <c r="G159" s="36"/>
      <c r="H159" s="36"/>
      <c r="I159" s="173"/>
      <c r="J159" s="36"/>
      <c r="K159" s="30"/>
      <c r="L159" s="34"/>
      <c r="M159" s="36"/>
      <c r="N159" s="47"/>
      <c r="O159" s="36"/>
      <c r="P159" s="34"/>
      <c r="Q159" s="36"/>
      <c r="R159" s="47"/>
      <c r="S159" s="36"/>
      <c r="T159" s="34"/>
      <c r="U159" s="36"/>
      <c r="V159" s="47"/>
      <c r="W159" s="36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</row>
    <row r="160" ht="22.5" customHeight="1">
      <c r="A160" s="120"/>
      <c r="B160" s="159"/>
      <c r="C160" s="54"/>
      <c r="D160" s="36"/>
      <c r="E160" s="36"/>
      <c r="F160" s="36"/>
      <c r="G160" s="36"/>
      <c r="H160" s="36"/>
      <c r="I160" s="173"/>
      <c r="J160" s="36"/>
      <c r="K160" s="30"/>
      <c r="L160" s="34"/>
      <c r="M160" s="36"/>
      <c r="N160" s="47"/>
      <c r="O160" s="36"/>
      <c r="P160" s="34"/>
      <c r="Q160" s="36"/>
      <c r="R160" s="47"/>
      <c r="S160" s="36"/>
      <c r="T160" s="34"/>
      <c r="U160" s="36"/>
      <c r="V160" s="47"/>
      <c r="W160" s="36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</row>
    <row r="161" ht="22.5" customHeight="1">
      <c r="A161" s="120"/>
      <c r="B161" s="159"/>
      <c r="C161" s="36"/>
      <c r="D161" s="36"/>
      <c r="E161" s="36"/>
      <c r="F161" s="36"/>
      <c r="G161" s="36"/>
      <c r="H161" s="36"/>
      <c r="I161" s="173"/>
      <c r="J161" s="36"/>
      <c r="K161" s="30"/>
      <c r="L161" s="34"/>
      <c r="M161" s="36"/>
      <c r="N161" s="47"/>
      <c r="O161" s="36"/>
      <c r="P161" s="34"/>
      <c r="Q161" s="36"/>
      <c r="R161" s="47"/>
      <c r="S161" s="36"/>
      <c r="T161" s="34"/>
      <c r="U161" s="36"/>
      <c r="V161" s="47"/>
      <c r="W161" s="36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</row>
    <row r="162" ht="22.5" customHeight="1">
      <c r="A162" s="120"/>
      <c r="B162" s="159"/>
      <c r="C162" s="54"/>
      <c r="D162" s="36"/>
      <c r="E162" s="36"/>
      <c r="F162" s="36"/>
      <c r="G162" s="36"/>
      <c r="H162" s="36"/>
      <c r="I162" s="173"/>
      <c r="J162" s="36"/>
      <c r="K162" s="30"/>
      <c r="L162" s="34"/>
      <c r="M162" s="153"/>
      <c r="N162" s="47"/>
      <c r="O162" s="36"/>
      <c r="P162" s="34"/>
      <c r="Q162" s="153"/>
      <c r="R162" s="47"/>
      <c r="S162" s="36"/>
      <c r="T162" s="34"/>
      <c r="U162" s="153"/>
      <c r="V162" s="47"/>
      <c r="W162" s="36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</row>
    <row r="163" ht="22.5" customHeight="1">
      <c r="A163" s="120"/>
      <c r="B163" s="159"/>
      <c r="C163" s="36"/>
      <c r="D163" s="36"/>
      <c r="E163" s="36"/>
      <c r="F163" s="36"/>
      <c r="G163" s="36"/>
      <c r="H163" s="36"/>
      <c r="I163" s="173"/>
      <c r="J163" s="36"/>
      <c r="K163" s="30"/>
      <c r="L163" s="34"/>
      <c r="M163" s="36"/>
      <c r="N163" s="47"/>
      <c r="O163" s="36"/>
      <c r="P163" s="34"/>
      <c r="Q163" s="36"/>
      <c r="R163" s="47"/>
      <c r="S163" s="36"/>
      <c r="T163" s="34"/>
      <c r="U163" s="36"/>
      <c r="V163" s="47"/>
      <c r="W163" s="36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</row>
    <row r="164" ht="22.5" customHeight="1">
      <c r="A164" s="120"/>
      <c r="B164" s="159"/>
      <c r="C164" s="54"/>
      <c r="D164" s="36"/>
      <c r="E164" s="36"/>
      <c r="F164" s="36"/>
      <c r="G164" s="36"/>
      <c r="H164" s="36"/>
      <c r="I164" s="47"/>
      <c r="J164" s="36"/>
      <c r="K164" s="30"/>
      <c r="L164" s="34"/>
      <c r="M164" s="36"/>
      <c r="N164" s="47"/>
      <c r="O164" s="36"/>
      <c r="P164" s="34"/>
      <c r="Q164" s="36"/>
      <c r="R164" s="47"/>
      <c r="S164" s="36"/>
      <c r="T164" s="34"/>
      <c r="U164" s="36"/>
      <c r="V164" s="47"/>
      <c r="W164" s="36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</row>
    <row r="165" ht="22.5" customHeight="1">
      <c r="A165" s="120"/>
      <c r="B165" s="159"/>
      <c r="C165" s="36"/>
      <c r="D165" s="36"/>
      <c r="E165" s="36"/>
      <c r="F165" s="36"/>
      <c r="G165" s="36"/>
      <c r="H165" s="36"/>
      <c r="I165" s="47"/>
      <c r="J165" s="36"/>
      <c r="K165" s="30"/>
      <c r="L165" s="34"/>
      <c r="M165" s="36"/>
      <c r="N165" s="47"/>
      <c r="O165" s="36"/>
      <c r="P165" s="34"/>
      <c r="Q165" s="36"/>
      <c r="R165" s="47"/>
      <c r="S165" s="36"/>
      <c r="T165" s="34"/>
      <c r="U165" s="36"/>
      <c r="V165" s="47"/>
      <c r="W165" s="36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</row>
    <row r="166" ht="22.5" customHeight="1">
      <c r="A166" s="120"/>
      <c r="B166" s="159"/>
      <c r="C166" s="54"/>
      <c r="D166" s="36"/>
      <c r="E166" s="36"/>
      <c r="F166" s="36"/>
      <c r="G166" s="36"/>
      <c r="H166" s="36"/>
      <c r="I166" s="173"/>
      <c r="J166" s="36"/>
      <c r="K166" s="30"/>
      <c r="L166" s="34"/>
      <c r="M166" s="36"/>
      <c r="N166" s="47"/>
      <c r="O166" s="36"/>
      <c r="P166" s="34"/>
      <c r="Q166" s="36"/>
      <c r="R166" s="47"/>
      <c r="S166" s="36"/>
      <c r="T166" s="34"/>
      <c r="U166" s="36"/>
      <c r="V166" s="47"/>
      <c r="W166" s="36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</row>
    <row r="167" ht="22.5" customHeight="1">
      <c r="A167" s="120"/>
      <c r="B167" s="159"/>
      <c r="C167" s="36"/>
      <c r="D167" s="36"/>
      <c r="E167" s="36"/>
      <c r="F167" s="36"/>
      <c r="G167" s="36"/>
      <c r="H167" s="36"/>
      <c r="I167" s="47"/>
      <c r="J167" s="36"/>
      <c r="K167" s="30"/>
      <c r="L167" s="34"/>
      <c r="M167" s="36"/>
      <c r="N167" s="47"/>
      <c r="O167" s="36"/>
      <c r="P167" s="34"/>
      <c r="Q167" s="36"/>
      <c r="R167" s="47"/>
      <c r="S167" s="36"/>
      <c r="T167" s="34"/>
      <c r="U167" s="36"/>
      <c r="V167" s="47"/>
      <c r="W167" s="36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</row>
    <row r="168" ht="22.5" customHeight="1">
      <c r="A168" s="120"/>
      <c r="B168" s="159"/>
      <c r="C168" s="36"/>
      <c r="D168" s="36"/>
      <c r="E168" s="36"/>
      <c r="F168" s="36"/>
      <c r="G168" s="36"/>
      <c r="H168" s="36"/>
      <c r="I168" s="47"/>
      <c r="J168" s="36"/>
      <c r="K168" s="30"/>
      <c r="L168" s="34"/>
      <c r="M168" s="36"/>
      <c r="N168" s="47"/>
      <c r="O168" s="36"/>
      <c r="P168" s="34"/>
      <c r="Q168" s="36"/>
      <c r="R168" s="47"/>
      <c r="S168" s="36"/>
      <c r="T168" s="34"/>
      <c r="U168" s="36"/>
      <c r="V168" s="47"/>
      <c r="W168" s="36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</row>
    <row r="169" ht="22.5" customHeight="1">
      <c r="A169" s="120"/>
      <c r="B169" s="159"/>
      <c r="C169" s="36"/>
      <c r="D169" s="36"/>
      <c r="E169" s="36"/>
      <c r="F169" s="36"/>
      <c r="G169" s="36"/>
      <c r="H169" s="36"/>
      <c r="I169" s="47"/>
      <c r="J169" s="36"/>
      <c r="K169" s="30"/>
      <c r="L169" s="34"/>
      <c r="M169" s="153"/>
      <c r="N169" s="47"/>
      <c r="O169" s="36"/>
      <c r="P169" s="34"/>
      <c r="Q169" s="153"/>
      <c r="R169" s="47"/>
      <c r="S169" s="36"/>
      <c r="T169" s="34"/>
      <c r="U169" s="153"/>
      <c r="V169" s="47"/>
      <c r="W169" s="36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</row>
    <row r="170" ht="22.5" customHeight="1">
      <c r="A170" s="120"/>
      <c r="B170" s="159"/>
      <c r="C170" s="36"/>
      <c r="D170" s="36"/>
      <c r="E170" s="36"/>
      <c r="F170" s="36"/>
      <c r="G170" s="36"/>
      <c r="H170" s="36"/>
      <c r="I170" s="47"/>
      <c r="J170" s="36"/>
      <c r="K170" s="30"/>
      <c r="L170" s="180"/>
      <c r="M170" s="36"/>
      <c r="N170" s="47"/>
      <c r="O170" s="36"/>
      <c r="P170" s="180"/>
      <c r="Q170" s="36"/>
      <c r="R170" s="47"/>
      <c r="S170" s="36"/>
      <c r="T170" s="180"/>
      <c r="U170" s="36"/>
      <c r="V170" s="47"/>
      <c r="W170" s="36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</row>
    <row r="171" ht="22.5" customHeight="1">
      <c r="A171" s="120"/>
      <c r="B171" s="159"/>
      <c r="C171" s="36"/>
      <c r="D171" s="36"/>
      <c r="E171" s="36"/>
      <c r="F171" s="36"/>
      <c r="G171" s="36"/>
      <c r="H171" s="36"/>
      <c r="I171" s="47"/>
      <c r="J171" s="36"/>
      <c r="K171" s="36"/>
      <c r="L171" s="34"/>
      <c r="M171" s="36"/>
      <c r="N171" s="47"/>
      <c r="O171" s="36"/>
      <c r="P171" s="34"/>
      <c r="Q171" s="36"/>
      <c r="R171" s="47"/>
      <c r="S171" s="36"/>
      <c r="T171" s="34"/>
      <c r="U171" s="36"/>
      <c r="V171" s="47"/>
      <c r="W171" s="36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</row>
    <row r="172" ht="22.5" customHeight="1">
      <c r="A172" s="120"/>
      <c r="B172" s="159"/>
      <c r="C172" s="36"/>
      <c r="D172" s="36"/>
      <c r="E172" s="36"/>
      <c r="F172" s="36"/>
      <c r="G172" s="36"/>
      <c r="H172" s="98"/>
      <c r="I172" s="47"/>
      <c r="J172" s="36"/>
      <c r="K172" s="30"/>
      <c r="L172" s="180"/>
      <c r="M172" s="36"/>
      <c r="N172" s="47"/>
      <c r="O172" s="36"/>
      <c r="P172" s="180"/>
      <c r="Q172" s="36"/>
      <c r="R172" s="47"/>
      <c r="S172" s="36"/>
      <c r="T172" s="180"/>
      <c r="U172" s="36"/>
      <c r="V172" s="47"/>
      <c r="W172" s="36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</row>
    <row r="173" ht="22.5" customHeight="1">
      <c r="A173" s="120"/>
      <c r="B173" s="159"/>
      <c r="C173" s="36"/>
      <c r="D173" s="36"/>
      <c r="E173" s="36"/>
      <c r="F173" s="36"/>
      <c r="G173" s="36"/>
      <c r="H173" s="36"/>
      <c r="I173" s="173"/>
      <c r="J173" s="36"/>
      <c r="K173" s="30"/>
      <c r="L173" s="180"/>
      <c r="M173" s="36"/>
      <c r="N173" s="47"/>
      <c r="O173" s="36"/>
      <c r="P173" s="180"/>
      <c r="Q173" s="36"/>
      <c r="R173" s="47"/>
      <c r="S173" s="36"/>
      <c r="T173" s="180"/>
      <c r="U173" s="36"/>
      <c r="V173" s="47"/>
      <c r="W173" s="36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</row>
    <row r="174" ht="22.5" customHeight="1">
      <c r="A174" s="120"/>
      <c r="B174" s="159"/>
      <c r="C174" s="36"/>
      <c r="D174" s="36"/>
      <c r="E174" s="36"/>
      <c r="F174" s="36"/>
      <c r="G174" s="36"/>
      <c r="H174" s="36"/>
      <c r="I174" s="47"/>
      <c r="J174" s="36"/>
      <c r="K174" s="36"/>
      <c r="L174" s="180"/>
      <c r="M174" s="36"/>
      <c r="N174" s="47"/>
      <c r="O174" s="36"/>
      <c r="P174" s="180"/>
      <c r="Q174" s="36"/>
      <c r="R174" s="47"/>
      <c r="S174" s="36"/>
      <c r="T174" s="180"/>
      <c r="U174" s="36"/>
      <c r="V174" s="47"/>
      <c r="W174" s="36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</row>
    <row r="175" ht="22.5" customHeight="1">
      <c r="A175" s="120"/>
      <c r="B175" s="159"/>
      <c r="C175" s="36"/>
      <c r="D175" s="36"/>
      <c r="E175" s="36"/>
      <c r="F175" s="36"/>
      <c r="G175" s="36"/>
      <c r="H175" s="36"/>
      <c r="I175" s="173"/>
      <c r="J175" s="36"/>
      <c r="K175" s="30"/>
      <c r="L175" s="34"/>
      <c r="M175" s="36"/>
      <c r="N175" s="47"/>
      <c r="O175" s="36"/>
      <c r="P175" s="34"/>
      <c r="Q175" s="36"/>
      <c r="R175" s="47"/>
      <c r="S175" s="36"/>
      <c r="T175" s="34"/>
      <c r="U175" s="36"/>
      <c r="V175" s="47"/>
      <c r="W175" s="36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</row>
    <row r="176" ht="22.5" customHeight="1">
      <c r="A176" s="120"/>
      <c r="B176" s="159"/>
      <c r="C176" s="36"/>
      <c r="D176" s="36"/>
      <c r="E176" s="36"/>
      <c r="F176" s="36"/>
      <c r="G176" s="36"/>
      <c r="H176" s="36"/>
      <c r="I176" s="173"/>
      <c r="J176" s="36"/>
      <c r="K176" s="30"/>
      <c r="L176" s="180"/>
      <c r="M176" s="36"/>
      <c r="N176" s="47"/>
      <c r="O176" s="36"/>
      <c r="P176" s="180"/>
      <c r="Q176" s="36"/>
      <c r="R176" s="47"/>
      <c r="S176" s="36"/>
      <c r="T176" s="180"/>
      <c r="U176" s="36"/>
      <c r="V176" s="47"/>
      <c r="W176" s="36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</row>
    <row r="177" ht="22.5" customHeight="1">
      <c r="A177" s="120"/>
      <c r="B177" s="159"/>
      <c r="C177" s="36"/>
      <c r="D177" s="36"/>
      <c r="E177" s="36"/>
      <c r="F177" s="36"/>
      <c r="G177" s="36"/>
      <c r="H177" s="36"/>
      <c r="I177" s="173"/>
      <c r="J177" s="36"/>
      <c r="K177" s="36"/>
      <c r="L177" s="34"/>
      <c r="M177" s="36"/>
      <c r="N177" s="47"/>
      <c r="O177" s="36"/>
      <c r="P177" s="34"/>
      <c r="Q177" s="36"/>
      <c r="R177" s="47"/>
      <c r="S177" s="36"/>
      <c r="T177" s="34"/>
      <c r="U177" s="36"/>
      <c r="V177" s="47"/>
      <c r="W177" s="36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</row>
    <row r="178" ht="22.5" customHeight="1">
      <c r="A178" s="120"/>
      <c r="B178" s="159"/>
      <c r="C178" s="36"/>
      <c r="D178" s="36"/>
      <c r="E178" s="36"/>
      <c r="F178" s="36"/>
      <c r="G178" s="36"/>
      <c r="H178" s="36"/>
      <c r="I178" s="173"/>
      <c r="J178" s="36"/>
      <c r="K178" s="30"/>
      <c r="L178" s="34"/>
      <c r="M178" s="36"/>
      <c r="N178" s="47"/>
      <c r="O178" s="36"/>
      <c r="P178" s="34"/>
      <c r="Q178" s="36"/>
      <c r="R178" s="47"/>
      <c r="S178" s="36"/>
      <c r="T178" s="34"/>
      <c r="U178" s="36"/>
      <c r="V178" s="47"/>
      <c r="W178" s="36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</row>
    <row r="179" ht="22.5" customHeight="1">
      <c r="A179" s="120"/>
      <c r="B179" s="159"/>
      <c r="C179" s="54"/>
      <c r="D179" s="36"/>
      <c r="E179" s="36"/>
      <c r="F179" s="36"/>
      <c r="G179" s="36"/>
      <c r="H179" s="36"/>
      <c r="I179" s="173"/>
      <c r="J179" s="36"/>
      <c r="K179" s="36"/>
      <c r="L179" s="34"/>
      <c r="M179" s="36"/>
      <c r="N179" s="47"/>
      <c r="O179" s="36"/>
      <c r="P179" s="34"/>
      <c r="Q179" s="36"/>
      <c r="R179" s="47"/>
      <c r="S179" s="36"/>
      <c r="T179" s="34"/>
      <c r="U179" s="36"/>
      <c r="V179" s="47"/>
      <c r="W179" s="36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</row>
    <row r="180" ht="22.5" customHeight="1">
      <c r="A180" s="120"/>
      <c r="B180" s="159"/>
      <c r="C180" s="54"/>
      <c r="D180" s="36"/>
      <c r="E180" s="36"/>
      <c r="F180" s="36"/>
      <c r="G180" s="36"/>
      <c r="H180" s="36"/>
      <c r="I180" s="173"/>
      <c r="J180" s="36"/>
      <c r="K180" s="36"/>
      <c r="L180" s="34"/>
      <c r="M180" s="36"/>
      <c r="N180" s="47"/>
      <c r="O180" s="36"/>
      <c r="P180" s="34"/>
      <c r="Q180" s="36"/>
      <c r="R180" s="47"/>
      <c r="S180" s="36"/>
      <c r="T180" s="34"/>
      <c r="U180" s="36"/>
      <c r="V180" s="47"/>
      <c r="W180" s="36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</row>
    <row r="181" ht="22.5" customHeight="1">
      <c r="A181" s="120"/>
      <c r="B181" s="159"/>
      <c r="C181" s="36"/>
      <c r="D181" s="54"/>
      <c r="E181" s="36"/>
      <c r="F181" s="36"/>
      <c r="G181" s="158"/>
      <c r="H181" s="36"/>
      <c r="I181" s="173"/>
      <c r="J181" s="36"/>
      <c r="K181" s="36"/>
      <c r="L181" s="34"/>
      <c r="M181" s="36"/>
      <c r="N181" s="47"/>
      <c r="O181" s="36"/>
      <c r="P181" s="34"/>
      <c r="Q181" s="36"/>
      <c r="R181" s="47"/>
      <c r="S181" s="36"/>
      <c r="T181" s="34"/>
      <c r="U181" s="36"/>
      <c r="V181" s="47"/>
      <c r="W181" s="36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</row>
    <row r="182" ht="22.5" customHeight="1">
      <c r="A182" s="120"/>
      <c r="B182" s="159"/>
      <c r="C182" s="54"/>
      <c r="D182" s="36"/>
      <c r="E182" s="36"/>
      <c r="F182" s="36"/>
      <c r="G182" s="36"/>
      <c r="H182" s="36"/>
      <c r="I182" s="173"/>
      <c r="J182" s="36"/>
      <c r="K182" s="36"/>
      <c r="L182" s="34"/>
      <c r="M182" s="36"/>
      <c r="N182" s="47"/>
      <c r="O182" s="36"/>
      <c r="P182" s="34"/>
      <c r="Q182" s="36"/>
      <c r="R182" s="47"/>
      <c r="S182" s="36"/>
      <c r="T182" s="34"/>
      <c r="U182" s="36"/>
      <c r="V182" s="47"/>
      <c r="W182" s="36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</row>
    <row r="183" ht="22.5" customHeight="1">
      <c r="A183" s="181"/>
      <c r="B183" s="159"/>
      <c r="C183" s="54"/>
      <c r="D183" s="36"/>
      <c r="E183" s="36"/>
      <c r="F183" s="36"/>
      <c r="G183" s="36"/>
      <c r="H183" s="36"/>
      <c r="I183" s="173"/>
      <c r="J183" s="36"/>
      <c r="K183" s="36"/>
      <c r="L183" s="34"/>
      <c r="M183" s="36"/>
      <c r="N183" s="47"/>
      <c r="O183" s="36"/>
      <c r="P183" s="34"/>
      <c r="Q183" s="36"/>
      <c r="R183" s="47"/>
      <c r="S183" s="36"/>
      <c r="T183" s="34"/>
      <c r="U183" s="36"/>
      <c r="V183" s="47"/>
      <c r="W183" s="36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</row>
    <row r="184" ht="22.5" customHeight="1">
      <c r="A184" s="182"/>
      <c r="B184" s="159"/>
      <c r="C184" s="54"/>
      <c r="D184" s="36"/>
      <c r="E184" s="36"/>
      <c r="F184" s="36"/>
      <c r="G184" s="36"/>
      <c r="H184" s="36"/>
      <c r="I184" s="173"/>
      <c r="J184" s="36"/>
      <c r="K184" s="36"/>
      <c r="L184" s="34"/>
      <c r="M184" s="36"/>
      <c r="N184" s="47"/>
      <c r="O184" s="36"/>
      <c r="P184" s="34"/>
      <c r="Q184" s="36"/>
      <c r="R184" s="47"/>
      <c r="S184" s="36"/>
      <c r="T184" s="34"/>
      <c r="U184" s="36"/>
      <c r="V184" s="47"/>
      <c r="W184" s="36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</row>
    <row r="185" ht="22.5" customHeight="1">
      <c r="A185" s="181"/>
      <c r="B185" s="159"/>
      <c r="C185" s="36"/>
      <c r="D185" s="36"/>
      <c r="E185" s="36"/>
      <c r="F185" s="36"/>
      <c r="G185" s="36"/>
      <c r="H185" s="36"/>
      <c r="I185" s="173"/>
      <c r="J185" s="36"/>
      <c r="K185" s="36"/>
      <c r="L185" s="34"/>
      <c r="M185" s="36"/>
      <c r="N185" s="47"/>
      <c r="O185" s="36"/>
      <c r="P185" s="34"/>
      <c r="Q185" s="36"/>
      <c r="R185" s="47"/>
      <c r="S185" s="36"/>
      <c r="T185" s="34"/>
      <c r="U185" s="36"/>
      <c r="V185" s="47"/>
      <c r="W185" s="36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</row>
    <row r="186" ht="22.5" customHeight="1">
      <c r="A186" s="181"/>
      <c r="B186" s="159"/>
      <c r="C186" s="36"/>
      <c r="D186" s="36"/>
      <c r="E186" s="36"/>
      <c r="F186" s="36"/>
      <c r="G186" s="36"/>
      <c r="H186" s="36"/>
      <c r="I186" s="173"/>
      <c r="J186" s="36"/>
      <c r="K186" s="36"/>
      <c r="L186" s="34"/>
      <c r="M186" s="36"/>
      <c r="N186" s="47"/>
      <c r="O186" s="36"/>
      <c r="P186" s="34"/>
      <c r="Q186" s="36"/>
      <c r="R186" s="47"/>
      <c r="S186" s="36"/>
      <c r="T186" s="34"/>
      <c r="U186" s="36"/>
      <c r="V186" s="47"/>
      <c r="W186" s="36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</row>
    <row r="187" ht="22.5" customHeight="1">
      <c r="A187" s="120"/>
      <c r="B187" s="159"/>
      <c r="C187" s="36"/>
      <c r="D187" s="36"/>
      <c r="E187" s="36"/>
      <c r="F187" s="36"/>
      <c r="G187" s="36"/>
      <c r="H187" s="36"/>
      <c r="I187" s="173"/>
      <c r="J187" s="36"/>
      <c r="K187" s="36"/>
      <c r="L187" s="34"/>
      <c r="M187" s="153"/>
      <c r="N187" s="47"/>
      <c r="O187" s="36"/>
      <c r="P187" s="34"/>
      <c r="Q187" s="153"/>
      <c r="R187" s="47"/>
      <c r="S187" s="36"/>
      <c r="T187" s="34"/>
      <c r="U187" s="153"/>
      <c r="V187" s="47"/>
      <c r="W187" s="36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</row>
    <row r="188" ht="22.5" customHeight="1">
      <c r="A188" s="120"/>
      <c r="B188" s="159"/>
      <c r="C188" s="36"/>
      <c r="D188" s="36"/>
      <c r="E188" s="36"/>
      <c r="F188" s="36"/>
      <c r="G188" s="36"/>
      <c r="H188" s="36"/>
      <c r="I188" s="173"/>
      <c r="J188" s="36"/>
      <c r="K188" s="36"/>
      <c r="L188" s="34"/>
      <c r="M188" s="36"/>
      <c r="N188" s="47"/>
      <c r="O188" s="36"/>
      <c r="P188" s="34"/>
      <c r="Q188" s="36"/>
      <c r="R188" s="47"/>
      <c r="S188" s="36"/>
      <c r="T188" s="34"/>
      <c r="U188" s="36"/>
      <c r="V188" s="47"/>
      <c r="W188" s="36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</row>
    <row r="189" ht="22.5" customHeight="1">
      <c r="A189" s="120"/>
      <c r="B189" s="159"/>
      <c r="C189" s="36"/>
      <c r="D189" s="36"/>
      <c r="E189" s="36"/>
      <c r="F189" s="36"/>
      <c r="G189" s="36"/>
      <c r="H189" s="36"/>
      <c r="I189" s="173"/>
      <c r="J189" s="36"/>
      <c r="K189" s="36"/>
      <c r="L189" s="34"/>
      <c r="M189" s="36"/>
      <c r="N189" s="47"/>
      <c r="O189" s="36"/>
      <c r="P189" s="34"/>
      <c r="Q189" s="36"/>
      <c r="R189" s="47"/>
      <c r="S189" s="36"/>
      <c r="T189" s="34"/>
      <c r="U189" s="36"/>
      <c r="V189" s="47"/>
      <c r="W189" s="36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</row>
    <row r="190" ht="22.5" customHeight="1">
      <c r="A190" s="120"/>
      <c r="B190" s="159"/>
      <c r="C190" s="36"/>
      <c r="D190" s="36"/>
      <c r="E190" s="36"/>
      <c r="F190" s="36"/>
      <c r="G190" s="36"/>
      <c r="H190" s="36"/>
      <c r="I190" s="173"/>
      <c r="J190" s="36"/>
      <c r="K190" s="36"/>
      <c r="L190" s="34"/>
      <c r="M190" s="36"/>
      <c r="N190" s="47"/>
      <c r="O190" s="36"/>
      <c r="P190" s="34"/>
      <c r="Q190" s="36"/>
      <c r="R190" s="47"/>
      <c r="S190" s="36"/>
      <c r="T190" s="34"/>
      <c r="U190" s="36"/>
      <c r="V190" s="47"/>
      <c r="W190" s="36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</row>
    <row r="191" ht="22.5" customHeight="1">
      <c r="A191" s="120"/>
      <c r="B191" s="159"/>
      <c r="C191" s="36"/>
      <c r="D191" s="36"/>
      <c r="E191" s="36"/>
      <c r="F191" s="36"/>
      <c r="G191" s="36"/>
      <c r="H191" s="36"/>
      <c r="I191" s="173"/>
      <c r="J191" s="36"/>
      <c r="K191" s="36"/>
      <c r="L191" s="34"/>
      <c r="M191" s="36"/>
      <c r="N191" s="47"/>
      <c r="O191" s="36"/>
      <c r="P191" s="34"/>
      <c r="Q191" s="36"/>
      <c r="R191" s="47"/>
      <c r="S191" s="36"/>
      <c r="T191" s="34"/>
      <c r="U191" s="36"/>
      <c r="V191" s="47"/>
      <c r="W191" s="36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</row>
    <row r="192" ht="22.5" customHeight="1">
      <c r="A192" s="120"/>
      <c r="B192" s="159"/>
      <c r="C192" s="36"/>
      <c r="D192" s="36"/>
      <c r="E192" s="36"/>
      <c r="F192" s="36"/>
      <c r="G192" s="36"/>
      <c r="H192" s="36"/>
      <c r="I192" s="173"/>
      <c r="J192" s="36"/>
      <c r="K192" s="36"/>
      <c r="L192" s="34"/>
      <c r="M192" s="36"/>
      <c r="N192" s="47"/>
      <c r="O192" s="36"/>
      <c r="P192" s="34"/>
      <c r="Q192" s="36"/>
      <c r="R192" s="47"/>
      <c r="S192" s="36"/>
      <c r="T192" s="34"/>
      <c r="U192" s="36"/>
      <c r="V192" s="47"/>
      <c r="W192" s="36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</row>
    <row r="193" ht="22.5" customHeight="1">
      <c r="A193" s="120"/>
      <c r="B193" s="159"/>
      <c r="C193" s="36"/>
      <c r="D193" s="36"/>
      <c r="E193" s="36"/>
      <c r="F193" s="36"/>
      <c r="G193" s="36"/>
      <c r="H193" s="36"/>
      <c r="I193" s="173"/>
      <c r="J193" s="36"/>
      <c r="K193" s="36"/>
      <c r="L193" s="34"/>
      <c r="M193" s="36"/>
      <c r="N193" s="47"/>
      <c r="O193" s="36"/>
      <c r="P193" s="34"/>
      <c r="Q193" s="36"/>
      <c r="R193" s="47"/>
      <c r="S193" s="36"/>
      <c r="T193" s="34"/>
      <c r="U193" s="36"/>
      <c r="V193" s="47"/>
      <c r="W193" s="36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</row>
    <row r="194" ht="22.5" customHeight="1">
      <c r="A194" s="120"/>
      <c r="B194" s="159"/>
      <c r="C194" s="36"/>
      <c r="D194" s="36"/>
      <c r="E194" s="36"/>
      <c r="F194" s="36"/>
      <c r="G194" s="36"/>
      <c r="H194" s="36"/>
      <c r="I194" s="173"/>
      <c r="J194" s="36"/>
      <c r="K194" s="36"/>
      <c r="L194" s="34"/>
      <c r="M194" s="36"/>
      <c r="N194" s="47"/>
      <c r="O194" s="36"/>
      <c r="P194" s="34"/>
      <c r="Q194" s="36"/>
      <c r="R194" s="47"/>
      <c r="S194" s="36"/>
      <c r="T194" s="34"/>
      <c r="U194" s="36"/>
      <c r="V194" s="47"/>
      <c r="W194" s="36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</row>
    <row r="195" ht="22.5" customHeight="1">
      <c r="A195" s="120"/>
      <c r="B195" s="159"/>
      <c r="C195" s="36"/>
      <c r="D195" s="36"/>
      <c r="E195" s="36"/>
      <c r="F195" s="36"/>
      <c r="G195" s="36"/>
      <c r="H195" s="36"/>
      <c r="I195" s="173"/>
      <c r="J195" s="36"/>
      <c r="K195" s="36"/>
      <c r="L195" s="34"/>
      <c r="M195" s="36"/>
      <c r="N195" s="47"/>
      <c r="O195" s="36"/>
      <c r="P195" s="34"/>
      <c r="Q195" s="36"/>
      <c r="R195" s="47"/>
      <c r="S195" s="36"/>
      <c r="T195" s="34"/>
      <c r="U195" s="36"/>
      <c r="V195" s="47"/>
      <c r="W195" s="36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</row>
    <row r="196" ht="22.5" customHeight="1">
      <c r="A196" s="120"/>
      <c r="B196" s="159"/>
      <c r="C196" s="36"/>
      <c r="D196" s="36"/>
      <c r="E196" s="36"/>
      <c r="F196" s="36"/>
      <c r="G196" s="36"/>
      <c r="H196" s="36"/>
      <c r="I196" s="173"/>
      <c r="J196" s="36"/>
      <c r="K196" s="36"/>
      <c r="L196" s="34"/>
      <c r="M196" s="36"/>
      <c r="N196" s="47"/>
      <c r="O196" s="36"/>
      <c r="P196" s="34"/>
      <c r="Q196" s="36"/>
      <c r="R196" s="47"/>
      <c r="S196" s="36"/>
      <c r="T196" s="34"/>
      <c r="U196" s="36"/>
      <c r="V196" s="47"/>
      <c r="W196" s="36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</row>
    <row r="197" ht="22.5" customHeight="1">
      <c r="A197" s="120"/>
      <c r="B197" s="159"/>
      <c r="C197" s="54"/>
      <c r="D197" s="54"/>
      <c r="E197" s="54"/>
      <c r="F197" s="36"/>
      <c r="G197" s="36"/>
      <c r="H197" s="36"/>
      <c r="I197" s="173"/>
      <c r="J197" s="36"/>
      <c r="K197" s="36"/>
      <c r="L197" s="34"/>
      <c r="M197" s="36"/>
      <c r="N197" s="47"/>
      <c r="O197" s="36"/>
      <c r="P197" s="34"/>
      <c r="Q197" s="36"/>
      <c r="R197" s="47"/>
      <c r="S197" s="36"/>
      <c r="T197" s="34"/>
      <c r="U197" s="36"/>
      <c r="V197" s="47"/>
      <c r="W197" s="36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</row>
    <row r="198" ht="22.5" customHeight="1">
      <c r="A198" s="120"/>
      <c r="B198" s="159"/>
      <c r="C198" s="54"/>
      <c r="D198" s="54"/>
      <c r="E198" s="54"/>
      <c r="F198" s="36"/>
      <c r="G198" s="36"/>
      <c r="H198" s="36"/>
      <c r="I198" s="173"/>
      <c r="J198" s="36"/>
      <c r="K198" s="36"/>
      <c r="L198" s="34"/>
      <c r="M198" s="36"/>
      <c r="N198" s="47"/>
      <c r="O198" s="36"/>
      <c r="P198" s="34"/>
      <c r="Q198" s="36"/>
      <c r="R198" s="47"/>
      <c r="S198" s="36"/>
      <c r="T198" s="34"/>
      <c r="U198" s="36"/>
      <c r="V198" s="47"/>
      <c r="W198" s="36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</row>
    <row r="199" ht="22.5" customHeight="1">
      <c r="A199" s="120"/>
      <c r="B199" s="159"/>
      <c r="C199" s="54"/>
      <c r="D199" s="36"/>
      <c r="E199" s="36"/>
      <c r="F199" s="36"/>
      <c r="G199" s="36"/>
      <c r="H199" s="36"/>
      <c r="I199" s="47"/>
      <c r="J199" s="36"/>
      <c r="K199" s="36"/>
      <c r="L199" s="34"/>
      <c r="M199" s="36"/>
      <c r="N199" s="47"/>
      <c r="O199" s="36"/>
      <c r="P199" s="34"/>
      <c r="Q199" s="36"/>
      <c r="R199" s="47"/>
      <c r="S199" s="36"/>
      <c r="T199" s="34"/>
      <c r="U199" s="36"/>
      <c r="V199" s="47"/>
      <c r="W199" s="36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</row>
    <row r="200" ht="22.5" customHeight="1">
      <c r="A200" s="120"/>
      <c r="B200" s="159"/>
      <c r="C200" s="36"/>
      <c r="D200" s="36"/>
      <c r="E200" s="36"/>
      <c r="F200" s="36"/>
      <c r="G200" s="36"/>
      <c r="H200" s="36"/>
      <c r="I200" s="47"/>
      <c r="J200" s="36"/>
      <c r="K200" s="36"/>
      <c r="L200" s="34"/>
      <c r="M200" s="36"/>
      <c r="N200" s="47"/>
      <c r="O200" s="36"/>
      <c r="P200" s="34"/>
      <c r="Q200" s="36"/>
      <c r="R200" s="47"/>
      <c r="S200" s="36"/>
      <c r="T200" s="34"/>
      <c r="U200" s="36"/>
      <c r="V200" s="47"/>
      <c r="W200" s="36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</row>
    <row r="201" ht="22.5" customHeight="1">
      <c r="A201" s="120"/>
      <c r="B201" s="159"/>
      <c r="C201" s="36"/>
      <c r="D201" s="54"/>
      <c r="E201" s="36"/>
      <c r="F201" s="36"/>
      <c r="G201" s="36"/>
      <c r="H201" s="36"/>
      <c r="I201" s="47"/>
      <c r="J201" s="36"/>
      <c r="K201" s="36"/>
      <c r="L201" s="34"/>
      <c r="M201" s="36"/>
      <c r="N201" s="47"/>
      <c r="O201" s="36"/>
      <c r="P201" s="34"/>
      <c r="Q201" s="36"/>
      <c r="R201" s="47"/>
      <c r="S201" s="36"/>
      <c r="T201" s="34"/>
      <c r="U201" s="36"/>
      <c r="V201" s="47"/>
      <c r="W201" s="36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</row>
    <row r="202" ht="22.5" customHeight="1">
      <c r="A202" s="120"/>
      <c r="B202" s="159"/>
      <c r="C202" s="36"/>
      <c r="D202" s="54"/>
      <c r="E202" s="54"/>
      <c r="F202" s="36"/>
      <c r="G202" s="36"/>
      <c r="H202" s="36"/>
      <c r="I202" s="47"/>
      <c r="J202" s="36"/>
      <c r="K202" s="36"/>
      <c r="L202" s="34"/>
      <c r="M202" s="36"/>
      <c r="N202" s="47"/>
      <c r="O202" s="36"/>
      <c r="P202" s="34"/>
      <c r="Q202" s="36"/>
      <c r="R202" s="47"/>
      <c r="S202" s="36"/>
      <c r="T202" s="34"/>
      <c r="U202" s="36"/>
      <c r="V202" s="47"/>
      <c r="W202" s="36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</row>
    <row r="203" ht="22.5" customHeight="1">
      <c r="A203" s="120"/>
      <c r="B203" s="159"/>
      <c r="C203" s="36"/>
      <c r="D203" s="36"/>
      <c r="E203" s="36"/>
      <c r="F203" s="36"/>
      <c r="G203" s="36"/>
      <c r="H203" s="36"/>
      <c r="I203" s="47"/>
      <c r="J203" s="36"/>
      <c r="K203" s="36"/>
      <c r="L203" s="34"/>
      <c r="M203" s="36"/>
      <c r="N203" s="47"/>
      <c r="O203" s="36"/>
      <c r="P203" s="34"/>
      <c r="Q203" s="36"/>
      <c r="R203" s="47"/>
      <c r="S203" s="36"/>
      <c r="T203" s="34"/>
      <c r="U203" s="36"/>
      <c r="V203" s="47"/>
      <c r="W203" s="36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</row>
    <row r="204" ht="22.5" customHeight="1">
      <c r="A204" s="120"/>
      <c r="B204" s="159"/>
      <c r="C204" s="36"/>
      <c r="D204" s="36"/>
      <c r="E204" s="54"/>
      <c r="F204" s="36"/>
      <c r="G204" s="36"/>
      <c r="H204" s="36"/>
      <c r="I204" s="47"/>
      <c r="J204" s="36"/>
      <c r="K204" s="36"/>
      <c r="L204" s="34"/>
      <c r="M204" s="36"/>
      <c r="N204" s="47"/>
      <c r="O204" s="36"/>
      <c r="P204" s="34"/>
      <c r="Q204" s="36"/>
      <c r="R204" s="47"/>
      <c r="S204" s="36"/>
      <c r="T204" s="34"/>
      <c r="U204" s="36"/>
      <c r="V204" s="47"/>
      <c r="W204" s="36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</row>
    <row r="205" ht="22.5" customHeight="1">
      <c r="A205" s="120"/>
      <c r="B205" s="159"/>
      <c r="C205" s="36"/>
      <c r="D205" s="36"/>
      <c r="E205" s="36"/>
      <c r="F205" s="36"/>
      <c r="G205" s="36"/>
      <c r="H205" s="36"/>
      <c r="I205" s="47"/>
      <c r="J205" s="36"/>
      <c r="K205" s="36"/>
      <c r="L205" s="34"/>
      <c r="M205" s="36"/>
      <c r="N205" s="47"/>
      <c r="O205" s="36"/>
      <c r="P205" s="34"/>
      <c r="Q205" s="36"/>
      <c r="R205" s="47"/>
      <c r="S205" s="36"/>
      <c r="T205" s="34"/>
      <c r="U205" s="36"/>
      <c r="V205" s="47"/>
      <c r="W205" s="36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</row>
    <row r="206" ht="22.5" customHeight="1">
      <c r="A206" s="120"/>
      <c r="B206" s="159"/>
      <c r="C206" s="36"/>
      <c r="D206" s="36"/>
      <c r="E206" s="36"/>
      <c r="F206" s="36"/>
      <c r="G206" s="36"/>
      <c r="H206" s="36"/>
      <c r="I206" s="47"/>
      <c r="J206" s="36"/>
      <c r="K206" s="36"/>
      <c r="L206" s="34"/>
      <c r="M206" s="36"/>
      <c r="N206" s="47"/>
      <c r="O206" s="36"/>
      <c r="P206" s="34"/>
      <c r="Q206" s="36"/>
      <c r="R206" s="47"/>
      <c r="S206" s="36"/>
      <c r="T206" s="34"/>
      <c r="U206" s="36"/>
      <c r="V206" s="47"/>
      <c r="W206" s="36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</row>
    <row r="207" ht="22.5" customHeight="1">
      <c r="A207" s="120"/>
      <c r="B207" s="159"/>
      <c r="C207" s="36"/>
      <c r="D207" s="36"/>
      <c r="E207" s="36"/>
      <c r="F207" s="36"/>
      <c r="G207" s="36"/>
      <c r="H207" s="36"/>
      <c r="I207" s="47"/>
      <c r="J207" s="36"/>
      <c r="K207" s="36"/>
      <c r="L207" s="34"/>
      <c r="M207" s="36"/>
      <c r="N207" s="47"/>
      <c r="O207" s="36"/>
      <c r="P207" s="34"/>
      <c r="Q207" s="36"/>
      <c r="R207" s="47"/>
      <c r="S207" s="36"/>
      <c r="T207" s="34"/>
      <c r="U207" s="36"/>
      <c r="V207" s="47"/>
      <c r="W207" s="36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</row>
    <row r="208" ht="22.5" customHeight="1">
      <c r="A208" s="120"/>
      <c r="B208" s="159"/>
      <c r="C208" s="36"/>
      <c r="D208" s="36"/>
      <c r="E208" s="36"/>
      <c r="F208" s="36"/>
      <c r="G208" s="36"/>
      <c r="H208" s="36"/>
      <c r="I208" s="47"/>
      <c r="J208" s="36"/>
      <c r="K208" s="36"/>
      <c r="L208" s="34"/>
      <c r="M208" s="36"/>
      <c r="N208" s="47"/>
      <c r="O208" s="36"/>
      <c r="P208" s="34"/>
      <c r="Q208" s="36"/>
      <c r="R208" s="47"/>
      <c r="S208" s="36"/>
      <c r="T208" s="34"/>
      <c r="U208" s="36"/>
      <c r="V208" s="47"/>
      <c r="W208" s="36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</row>
    <row r="209" ht="22.5" customHeight="1">
      <c r="A209" s="120"/>
      <c r="B209" s="159"/>
      <c r="C209" s="36"/>
      <c r="D209" s="36"/>
      <c r="E209" s="36"/>
      <c r="F209" s="36"/>
      <c r="G209" s="36"/>
      <c r="H209" s="36"/>
      <c r="I209" s="47"/>
      <c r="J209" s="36"/>
      <c r="K209" s="36"/>
      <c r="L209" s="34"/>
      <c r="M209" s="36"/>
      <c r="N209" s="47"/>
      <c r="O209" s="36"/>
      <c r="P209" s="34"/>
      <c r="Q209" s="36"/>
      <c r="R209" s="47"/>
      <c r="S209" s="36"/>
      <c r="T209" s="34"/>
      <c r="U209" s="36"/>
      <c r="V209" s="47"/>
      <c r="W209" s="36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</row>
    <row r="210" ht="22.5" customHeight="1">
      <c r="A210" s="120"/>
      <c r="B210" s="159"/>
      <c r="C210" s="36"/>
      <c r="D210" s="36"/>
      <c r="E210" s="36"/>
      <c r="F210" s="36"/>
      <c r="G210" s="36"/>
      <c r="H210" s="36"/>
      <c r="I210" s="47"/>
      <c r="J210" s="36"/>
      <c r="K210" s="36"/>
      <c r="L210" s="34"/>
      <c r="M210" s="36"/>
      <c r="N210" s="47"/>
      <c r="O210" s="36"/>
      <c r="P210" s="34"/>
      <c r="Q210" s="36"/>
      <c r="R210" s="47"/>
      <c r="S210" s="36"/>
      <c r="T210" s="34"/>
      <c r="U210" s="36"/>
      <c r="V210" s="47"/>
      <c r="W210" s="36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</row>
    <row r="211" ht="22.5" customHeight="1">
      <c r="A211" s="120"/>
      <c r="B211" s="159"/>
      <c r="C211" s="36"/>
      <c r="D211" s="54"/>
      <c r="E211" s="54"/>
      <c r="F211" s="36"/>
      <c r="G211" s="36"/>
      <c r="H211" s="36"/>
      <c r="I211" s="47"/>
      <c r="J211" s="36"/>
      <c r="K211" s="36"/>
      <c r="L211" s="34"/>
      <c r="M211" s="36"/>
      <c r="N211" s="47"/>
      <c r="O211" s="36"/>
      <c r="P211" s="34"/>
      <c r="Q211" s="36"/>
      <c r="R211" s="47"/>
      <c r="S211" s="36"/>
      <c r="T211" s="34"/>
      <c r="U211" s="36"/>
      <c r="V211" s="47"/>
      <c r="W211" s="36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</row>
    <row r="212" ht="22.5" customHeight="1">
      <c r="A212" s="120"/>
      <c r="B212" s="159"/>
      <c r="C212" s="36"/>
      <c r="D212" s="54"/>
      <c r="E212" s="36"/>
      <c r="F212" s="36"/>
      <c r="G212" s="36"/>
      <c r="H212" s="36"/>
      <c r="I212" s="47"/>
      <c r="J212" s="36"/>
      <c r="K212" s="36"/>
      <c r="L212" s="34"/>
      <c r="M212" s="36"/>
      <c r="N212" s="47"/>
      <c r="O212" s="36"/>
      <c r="P212" s="34"/>
      <c r="Q212" s="36"/>
      <c r="R212" s="47"/>
      <c r="S212" s="36"/>
      <c r="T212" s="34"/>
      <c r="U212" s="36"/>
      <c r="V212" s="47"/>
      <c r="W212" s="36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</row>
    <row r="213" ht="22.5" customHeight="1">
      <c r="A213" s="120"/>
      <c r="B213" s="159"/>
      <c r="C213" s="36"/>
      <c r="D213" s="36"/>
      <c r="E213" s="36"/>
      <c r="F213" s="36"/>
      <c r="G213" s="36"/>
      <c r="H213" s="36"/>
      <c r="I213" s="47"/>
      <c r="J213" s="36"/>
      <c r="K213" s="36"/>
      <c r="L213" s="34"/>
      <c r="M213" s="36"/>
      <c r="N213" s="47"/>
      <c r="O213" s="36"/>
      <c r="P213" s="34"/>
      <c r="Q213" s="36"/>
      <c r="R213" s="47"/>
      <c r="S213" s="36"/>
      <c r="T213" s="34"/>
      <c r="U213" s="36"/>
      <c r="V213" s="47"/>
      <c r="W213" s="36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</row>
    <row r="214" ht="22.5" customHeight="1">
      <c r="A214" s="176"/>
      <c r="B214" s="159"/>
      <c r="C214" s="54"/>
      <c r="D214" s="36"/>
      <c r="E214" s="36"/>
      <c r="F214" s="36"/>
      <c r="G214" s="36"/>
      <c r="H214" s="36"/>
      <c r="I214" s="173"/>
      <c r="J214" s="36"/>
      <c r="K214" s="36"/>
      <c r="L214" s="34"/>
      <c r="M214" s="36"/>
      <c r="N214" s="47"/>
      <c r="O214" s="36"/>
      <c r="P214" s="34"/>
      <c r="Q214" s="36"/>
      <c r="R214" s="47"/>
      <c r="S214" s="36"/>
      <c r="T214" s="34"/>
      <c r="U214" s="36"/>
      <c r="V214" s="47"/>
      <c r="W214" s="36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</row>
    <row r="215" ht="22.5" customHeight="1">
      <c r="A215" s="176"/>
      <c r="B215" s="159"/>
      <c r="C215" s="54"/>
      <c r="D215" s="36"/>
      <c r="E215" s="36"/>
      <c r="F215" s="36"/>
      <c r="G215" s="36"/>
      <c r="H215" s="36"/>
      <c r="I215" s="173"/>
      <c r="J215" s="36"/>
      <c r="K215" s="36"/>
      <c r="L215" s="34"/>
      <c r="M215" s="36"/>
      <c r="N215" s="47"/>
      <c r="O215" s="36"/>
      <c r="P215" s="34"/>
      <c r="Q215" s="36"/>
      <c r="R215" s="47"/>
      <c r="S215" s="36"/>
      <c r="T215" s="34"/>
      <c r="U215" s="36"/>
      <c r="V215" s="47"/>
      <c r="W215" s="36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</row>
    <row r="216" ht="22.5" customHeight="1">
      <c r="A216" s="120"/>
      <c r="B216" s="159"/>
      <c r="C216" s="36"/>
      <c r="D216" s="36"/>
      <c r="E216" s="36"/>
      <c r="F216" s="36"/>
      <c r="G216" s="36"/>
      <c r="H216" s="36"/>
      <c r="I216" s="173"/>
      <c r="J216" s="36"/>
      <c r="K216" s="36"/>
      <c r="L216" s="34"/>
      <c r="M216" s="36"/>
      <c r="N216" s="47"/>
      <c r="O216" s="36"/>
      <c r="P216" s="34"/>
      <c r="Q216" s="36"/>
      <c r="R216" s="47"/>
      <c r="S216" s="36"/>
      <c r="T216" s="34"/>
      <c r="U216" s="36"/>
      <c r="V216" s="47"/>
      <c r="W216" s="36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</row>
    <row r="217" ht="22.5" customHeight="1">
      <c r="A217" s="120"/>
      <c r="B217" s="159"/>
      <c r="C217" s="36"/>
      <c r="D217" s="36"/>
      <c r="E217" s="36"/>
      <c r="F217" s="36"/>
      <c r="G217" s="36"/>
      <c r="H217" s="36"/>
      <c r="I217" s="173"/>
      <c r="J217" s="36"/>
      <c r="K217" s="36"/>
      <c r="L217" s="34"/>
      <c r="M217" s="36"/>
      <c r="N217" s="47"/>
      <c r="O217" s="36"/>
      <c r="P217" s="34"/>
      <c r="Q217" s="36"/>
      <c r="R217" s="47"/>
      <c r="S217" s="36"/>
      <c r="T217" s="34"/>
      <c r="U217" s="36"/>
      <c r="V217" s="47"/>
      <c r="W217" s="36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</row>
    <row r="218" ht="22.5" customHeight="1">
      <c r="A218" s="120"/>
      <c r="B218" s="159"/>
      <c r="C218" s="36"/>
      <c r="D218" s="36"/>
      <c r="E218" s="36"/>
      <c r="F218" s="36"/>
      <c r="G218" s="36"/>
      <c r="H218" s="36"/>
      <c r="I218" s="173"/>
      <c r="J218" s="36"/>
      <c r="K218" s="36"/>
      <c r="L218" s="34"/>
      <c r="M218" s="36"/>
      <c r="N218" s="47"/>
      <c r="O218" s="36"/>
      <c r="P218" s="34"/>
      <c r="Q218" s="36"/>
      <c r="R218" s="47"/>
      <c r="S218" s="36"/>
      <c r="T218" s="34"/>
      <c r="U218" s="36"/>
      <c r="V218" s="47"/>
      <c r="W218" s="36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</row>
    <row r="219" ht="22.5" customHeight="1">
      <c r="A219" s="120"/>
      <c r="B219" s="159"/>
      <c r="C219" s="36"/>
      <c r="D219" s="36"/>
      <c r="E219" s="36"/>
      <c r="F219" s="36"/>
      <c r="G219" s="36"/>
      <c r="H219" s="36"/>
      <c r="I219" s="47"/>
      <c r="J219" s="36"/>
      <c r="K219" s="36"/>
      <c r="L219" s="34"/>
      <c r="M219" s="36"/>
      <c r="N219" s="47"/>
      <c r="O219" s="36"/>
      <c r="P219" s="34"/>
      <c r="Q219" s="36"/>
      <c r="R219" s="47"/>
      <c r="S219" s="36"/>
      <c r="T219" s="34"/>
      <c r="U219" s="36"/>
      <c r="V219" s="47"/>
      <c r="W219" s="36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</row>
    <row r="220" ht="22.5" customHeight="1">
      <c r="A220" s="120"/>
      <c r="B220" s="159"/>
      <c r="C220" s="36"/>
      <c r="D220" s="36"/>
      <c r="E220" s="36"/>
      <c r="F220" s="36"/>
      <c r="G220" s="36"/>
      <c r="H220" s="36"/>
      <c r="I220" s="47"/>
      <c r="J220" s="36"/>
      <c r="K220" s="36"/>
      <c r="L220" s="34"/>
      <c r="M220" s="36"/>
      <c r="N220" s="47"/>
      <c r="O220" s="36"/>
      <c r="P220" s="34"/>
      <c r="Q220" s="36"/>
      <c r="R220" s="47"/>
      <c r="S220" s="36"/>
      <c r="T220" s="34"/>
      <c r="U220" s="36"/>
      <c r="V220" s="47"/>
      <c r="W220" s="36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</row>
    <row r="221" ht="22.5" customHeight="1">
      <c r="A221" s="120"/>
      <c r="B221" s="159"/>
      <c r="C221" s="36"/>
      <c r="D221" s="36"/>
      <c r="E221" s="36"/>
      <c r="F221" s="36"/>
      <c r="G221" s="36"/>
      <c r="H221" s="36"/>
      <c r="I221" s="183"/>
      <c r="J221" s="36"/>
      <c r="K221" s="36"/>
      <c r="L221" s="34"/>
      <c r="M221" s="36"/>
      <c r="N221" s="47"/>
      <c r="O221" s="36"/>
      <c r="P221" s="34"/>
      <c r="Q221" s="36"/>
      <c r="R221" s="47"/>
      <c r="S221" s="36"/>
      <c r="T221" s="34"/>
      <c r="U221" s="36"/>
      <c r="V221" s="47"/>
      <c r="W221" s="36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</row>
    <row r="222" ht="22.5" customHeight="1">
      <c r="A222" s="120"/>
      <c r="B222" s="159"/>
      <c r="C222" s="36"/>
      <c r="D222" s="36"/>
      <c r="E222" s="36"/>
      <c r="F222" s="36"/>
      <c r="G222" s="36"/>
      <c r="H222" s="36"/>
      <c r="I222" s="47"/>
      <c r="J222" s="36"/>
      <c r="K222" s="36"/>
      <c r="L222" s="34"/>
      <c r="M222" s="36"/>
      <c r="N222" s="47"/>
      <c r="O222" s="36"/>
      <c r="P222" s="34"/>
      <c r="Q222" s="36"/>
      <c r="R222" s="47"/>
      <c r="S222" s="36"/>
      <c r="T222" s="34"/>
      <c r="U222" s="36"/>
      <c r="V222" s="47"/>
      <c r="W222" s="36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</row>
    <row r="223" ht="22.5" customHeight="1">
      <c r="A223" s="120"/>
      <c r="B223" s="159"/>
      <c r="C223" s="36"/>
      <c r="D223" s="36"/>
      <c r="E223" s="36"/>
      <c r="F223" s="36"/>
      <c r="G223" s="36"/>
      <c r="H223" s="36"/>
      <c r="I223" s="47"/>
      <c r="J223" s="36"/>
      <c r="K223" s="36"/>
      <c r="L223" s="34"/>
      <c r="M223" s="36"/>
      <c r="N223" s="47"/>
      <c r="O223" s="36"/>
      <c r="P223" s="34"/>
      <c r="Q223" s="36"/>
      <c r="R223" s="47"/>
      <c r="S223" s="36"/>
      <c r="T223" s="34"/>
      <c r="U223" s="36"/>
      <c r="V223" s="47"/>
      <c r="W223" s="36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</row>
    <row r="224" ht="22.5" customHeight="1">
      <c r="A224" s="120"/>
      <c r="B224" s="159"/>
      <c r="C224" s="36"/>
      <c r="D224" s="36"/>
      <c r="E224" s="36"/>
      <c r="F224" s="36"/>
      <c r="G224" s="36"/>
      <c r="H224" s="36"/>
      <c r="I224" s="47"/>
      <c r="J224" s="36"/>
      <c r="K224" s="36"/>
      <c r="L224" s="34"/>
      <c r="M224" s="36"/>
      <c r="N224" s="47"/>
      <c r="O224" s="36"/>
      <c r="P224" s="34"/>
      <c r="Q224" s="36"/>
      <c r="R224" s="47"/>
      <c r="S224" s="36"/>
      <c r="T224" s="34"/>
      <c r="U224" s="36"/>
      <c r="V224" s="47"/>
      <c r="W224" s="36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</row>
    <row r="225" ht="22.5" customHeight="1">
      <c r="A225" s="176"/>
      <c r="B225" s="159"/>
      <c r="C225" s="36"/>
      <c r="D225" s="36"/>
      <c r="E225" s="36"/>
      <c r="F225" s="36"/>
      <c r="G225" s="36"/>
      <c r="H225" s="36"/>
      <c r="I225" s="47"/>
      <c r="J225" s="36"/>
      <c r="K225" s="36"/>
      <c r="L225" s="34"/>
      <c r="M225" s="36"/>
      <c r="N225" s="47"/>
      <c r="O225" s="36"/>
      <c r="P225" s="34"/>
      <c r="Q225" s="36"/>
      <c r="R225" s="47"/>
      <c r="S225" s="36"/>
      <c r="T225" s="34"/>
      <c r="U225" s="36"/>
      <c r="V225" s="47"/>
      <c r="W225" s="36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</row>
    <row r="226" ht="22.5" customHeight="1">
      <c r="A226" s="120"/>
      <c r="B226" s="159"/>
      <c r="C226" s="36"/>
      <c r="D226" s="36"/>
      <c r="E226" s="36"/>
      <c r="F226" s="36"/>
      <c r="G226" s="36"/>
      <c r="H226" s="36"/>
      <c r="I226" s="47"/>
      <c r="J226" s="36"/>
      <c r="K226" s="36"/>
      <c r="L226" s="34"/>
      <c r="M226" s="36"/>
      <c r="N226" s="47"/>
      <c r="O226" s="36"/>
      <c r="P226" s="34"/>
      <c r="Q226" s="36"/>
      <c r="R226" s="47"/>
      <c r="S226" s="36"/>
      <c r="T226" s="34"/>
      <c r="U226" s="36"/>
      <c r="V226" s="47"/>
      <c r="W226" s="36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</row>
    <row r="227" ht="22.5" customHeight="1">
      <c r="A227" s="120"/>
      <c r="B227" s="159"/>
      <c r="C227" s="36"/>
      <c r="D227" s="36"/>
      <c r="E227" s="36"/>
      <c r="F227" s="36"/>
      <c r="G227" s="36"/>
      <c r="H227" s="36"/>
      <c r="I227" s="47"/>
      <c r="J227" s="36"/>
      <c r="K227" s="36"/>
      <c r="L227" s="34"/>
      <c r="M227" s="36"/>
      <c r="N227" s="47"/>
      <c r="O227" s="36"/>
      <c r="P227" s="34"/>
      <c r="Q227" s="36"/>
      <c r="R227" s="47"/>
      <c r="S227" s="36"/>
      <c r="T227" s="34"/>
      <c r="U227" s="36"/>
      <c r="V227" s="47"/>
      <c r="W227" s="36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</row>
    <row r="228" ht="22.5" customHeight="1">
      <c r="A228" s="176"/>
      <c r="B228" s="159"/>
      <c r="C228" s="36"/>
      <c r="D228" s="36"/>
      <c r="E228" s="36"/>
      <c r="F228" s="36"/>
      <c r="G228" s="36"/>
      <c r="H228" s="36"/>
      <c r="I228" s="47"/>
      <c r="J228" s="36"/>
      <c r="K228" s="36"/>
      <c r="L228" s="34"/>
      <c r="M228" s="36"/>
      <c r="N228" s="47"/>
      <c r="O228" s="36"/>
      <c r="P228" s="34"/>
      <c r="Q228" s="36"/>
      <c r="R228" s="47"/>
      <c r="S228" s="36"/>
      <c r="T228" s="34"/>
      <c r="U228" s="36"/>
      <c r="V228" s="47"/>
      <c r="W228" s="36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</row>
    <row r="229" ht="22.5" customHeight="1">
      <c r="A229" s="176"/>
      <c r="B229" s="159"/>
      <c r="C229" s="36"/>
      <c r="D229" s="36"/>
      <c r="E229" s="36"/>
      <c r="F229" s="36"/>
      <c r="G229" s="36"/>
      <c r="H229" s="36"/>
      <c r="I229" s="47"/>
      <c r="J229" s="36"/>
      <c r="K229" s="36"/>
      <c r="L229" s="34"/>
      <c r="M229" s="36"/>
      <c r="N229" s="47"/>
      <c r="O229" s="36"/>
      <c r="P229" s="34"/>
      <c r="Q229" s="36"/>
      <c r="R229" s="47"/>
      <c r="S229" s="36"/>
      <c r="T229" s="34"/>
      <c r="U229" s="36"/>
      <c r="V229" s="47"/>
      <c r="W229" s="36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</row>
    <row r="230" ht="22.5" customHeight="1">
      <c r="A230" s="176"/>
      <c r="B230" s="159"/>
      <c r="C230" s="36"/>
      <c r="D230" s="36"/>
      <c r="E230" s="36"/>
      <c r="F230" s="36"/>
      <c r="G230" s="36"/>
      <c r="H230" s="36"/>
      <c r="I230" s="47"/>
      <c r="J230" s="36"/>
      <c r="K230" s="36"/>
      <c r="L230" s="34"/>
      <c r="M230" s="36"/>
      <c r="N230" s="47"/>
      <c r="O230" s="36"/>
      <c r="P230" s="34"/>
      <c r="Q230" s="36"/>
      <c r="R230" s="47"/>
      <c r="S230" s="36"/>
      <c r="T230" s="34"/>
      <c r="U230" s="36"/>
      <c r="V230" s="47"/>
      <c r="W230" s="36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</row>
    <row r="231" ht="22.5" customHeight="1">
      <c r="A231" s="176"/>
      <c r="B231" s="159"/>
      <c r="C231" s="36"/>
      <c r="D231" s="36"/>
      <c r="E231" s="36"/>
      <c r="F231" s="36"/>
      <c r="G231" s="36"/>
      <c r="H231" s="36"/>
      <c r="I231" s="47"/>
      <c r="J231" s="36"/>
      <c r="K231" s="36"/>
      <c r="L231" s="34"/>
      <c r="M231" s="36"/>
      <c r="N231" s="47"/>
      <c r="O231" s="36"/>
      <c r="P231" s="34"/>
      <c r="Q231" s="36"/>
      <c r="R231" s="47"/>
      <c r="S231" s="36"/>
      <c r="T231" s="34"/>
      <c r="U231" s="36"/>
      <c r="V231" s="47"/>
      <c r="W231" s="36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</row>
    <row r="232" ht="22.5" customHeight="1">
      <c r="A232" s="176"/>
      <c r="B232" s="159"/>
      <c r="C232" s="36"/>
      <c r="D232" s="36"/>
      <c r="E232" s="36"/>
      <c r="F232" s="36"/>
      <c r="G232" s="36"/>
      <c r="H232" s="36"/>
      <c r="I232" s="47"/>
      <c r="J232" s="36"/>
      <c r="K232" s="36"/>
      <c r="L232" s="34"/>
      <c r="M232" s="36"/>
      <c r="N232" s="47"/>
      <c r="O232" s="36"/>
      <c r="P232" s="34"/>
      <c r="Q232" s="36"/>
      <c r="R232" s="47"/>
      <c r="S232" s="36"/>
      <c r="T232" s="34"/>
      <c r="U232" s="36"/>
      <c r="V232" s="47"/>
      <c r="W232" s="36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</row>
    <row r="233" ht="22.5" customHeight="1">
      <c r="A233" s="176"/>
      <c r="B233" s="159"/>
      <c r="C233" s="36"/>
      <c r="D233" s="36"/>
      <c r="E233" s="36"/>
      <c r="F233" s="36"/>
      <c r="G233" s="36"/>
      <c r="H233" s="36"/>
      <c r="I233" s="173"/>
      <c r="J233" s="36"/>
      <c r="K233" s="36"/>
      <c r="L233" s="34"/>
      <c r="M233" s="36"/>
      <c r="N233" s="47"/>
      <c r="O233" s="36"/>
      <c r="P233" s="34"/>
      <c r="Q233" s="36"/>
      <c r="R233" s="47"/>
      <c r="S233" s="36"/>
      <c r="T233" s="34"/>
      <c r="U233" s="36"/>
      <c r="V233" s="47"/>
      <c r="W233" s="36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</row>
    <row r="234" ht="22.5" customHeight="1">
      <c r="A234" s="176"/>
      <c r="B234" s="159"/>
      <c r="C234" s="36"/>
      <c r="D234" s="36"/>
      <c r="E234" s="36"/>
      <c r="F234" s="36"/>
      <c r="G234" s="36"/>
      <c r="H234" s="36"/>
      <c r="I234" s="173"/>
      <c r="J234" s="36"/>
      <c r="K234" s="36"/>
      <c r="L234" s="34"/>
      <c r="M234" s="36"/>
      <c r="N234" s="47"/>
      <c r="O234" s="36"/>
      <c r="P234" s="34"/>
      <c r="Q234" s="36"/>
      <c r="R234" s="47"/>
      <c r="S234" s="36"/>
      <c r="T234" s="34"/>
      <c r="U234" s="36"/>
      <c r="V234" s="47"/>
      <c r="W234" s="36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</row>
    <row r="235" ht="22.5" customHeight="1">
      <c r="A235" s="176"/>
      <c r="B235" s="159"/>
      <c r="C235" s="36"/>
      <c r="D235" s="36"/>
      <c r="E235" s="36"/>
      <c r="F235" s="36"/>
      <c r="G235" s="36"/>
      <c r="H235" s="36"/>
      <c r="I235" s="173"/>
      <c r="J235" s="36"/>
      <c r="K235" s="36"/>
      <c r="L235" s="34"/>
      <c r="M235" s="36"/>
      <c r="N235" s="47"/>
      <c r="O235" s="36"/>
      <c r="P235" s="34"/>
      <c r="Q235" s="36"/>
      <c r="R235" s="47"/>
      <c r="S235" s="36"/>
      <c r="T235" s="34"/>
      <c r="U235" s="36"/>
      <c r="V235" s="47"/>
      <c r="W235" s="36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</row>
    <row r="236" ht="22.5" customHeight="1">
      <c r="A236" s="176"/>
      <c r="B236" s="159"/>
      <c r="C236" s="36"/>
      <c r="D236" s="36"/>
      <c r="E236" s="36"/>
      <c r="F236" s="36"/>
      <c r="G236" s="36"/>
      <c r="H236" s="36"/>
      <c r="I236" s="47"/>
      <c r="J236" s="36"/>
      <c r="K236" s="36"/>
      <c r="L236" s="34"/>
      <c r="M236" s="36"/>
      <c r="N236" s="47"/>
      <c r="O236" s="36"/>
      <c r="P236" s="34"/>
      <c r="Q236" s="36"/>
      <c r="R236" s="47"/>
      <c r="S236" s="36"/>
      <c r="T236" s="34"/>
      <c r="U236" s="36"/>
      <c r="V236" s="47"/>
      <c r="W236" s="36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</row>
    <row r="237" ht="22.5" customHeight="1">
      <c r="A237" s="176"/>
      <c r="B237" s="159"/>
      <c r="C237" s="36"/>
      <c r="D237" s="36"/>
      <c r="E237" s="36"/>
      <c r="F237" s="36"/>
      <c r="G237" s="36"/>
      <c r="H237" s="36"/>
      <c r="I237" s="47"/>
      <c r="J237" s="36"/>
      <c r="K237" s="36"/>
      <c r="L237" s="34"/>
      <c r="M237" s="36"/>
      <c r="N237" s="47"/>
      <c r="O237" s="36"/>
      <c r="P237" s="34"/>
      <c r="Q237" s="36"/>
      <c r="R237" s="47"/>
      <c r="S237" s="36"/>
      <c r="T237" s="34"/>
      <c r="U237" s="36"/>
      <c r="V237" s="47"/>
      <c r="W237" s="36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</row>
    <row r="238" ht="22.5" customHeight="1">
      <c r="A238" s="176"/>
      <c r="B238" s="159"/>
      <c r="C238" s="36"/>
      <c r="D238" s="36"/>
      <c r="E238" s="36"/>
      <c r="F238" s="36"/>
      <c r="G238" s="36"/>
      <c r="H238" s="36"/>
      <c r="I238" s="47"/>
      <c r="J238" s="36"/>
      <c r="K238" s="36"/>
      <c r="L238" s="34"/>
      <c r="M238" s="36"/>
      <c r="N238" s="47"/>
      <c r="O238" s="36"/>
      <c r="P238" s="34"/>
      <c r="Q238" s="36"/>
      <c r="R238" s="47"/>
      <c r="S238" s="36"/>
      <c r="T238" s="34"/>
      <c r="U238" s="36"/>
      <c r="V238" s="47"/>
      <c r="W238" s="36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</row>
    <row r="239" ht="22.5" customHeight="1">
      <c r="A239" s="120"/>
      <c r="B239" s="159"/>
      <c r="C239" s="36"/>
      <c r="D239" s="36"/>
      <c r="E239" s="36"/>
      <c r="F239" s="36"/>
      <c r="G239" s="36"/>
      <c r="H239" s="36"/>
      <c r="I239" s="47"/>
      <c r="J239" s="36"/>
      <c r="K239" s="36"/>
      <c r="L239" s="34"/>
      <c r="M239" s="36"/>
      <c r="N239" s="47"/>
      <c r="O239" s="36"/>
      <c r="P239" s="34"/>
      <c r="Q239" s="36"/>
      <c r="R239" s="47"/>
      <c r="S239" s="36"/>
      <c r="T239" s="34"/>
      <c r="U239" s="36"/>
      <c r="V239" s="47"/>
      <c r="W239" s="36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</row>
    <row r="240" ht="22.5" customHeight="1">
      <c r="A240" s="184"/>
      <c r="B240" s="159"/>
      <c r="C240" s="36"/>
      <c r="D240" s="36"/>
      <c r="E240" s="36"/>
      <c r="F240" s="36"/>
      <c r="G240" s="36"/>
      <c r="H240" s="36"/>
      <c r="I240" s="47"/>
      <c r="J240" s="36"/>
      <c r="K240" s="36"/>
      <c r="L240" s="34"/>
      <c r="M240" s="36"/>
      <c r="N240" s="47"/>
      <c r="O240" s="36"/>
      <c r="P240" s="34"/>
      <c r="Q240" s="36"/>
      <c r="R240" s="47"/>
      <c r="S240" s="36"/>
      <c r="T240" s="34"/>
      <c r="U240" s="36"/>
      <c r="V240" s="47"/>
      <c r="W240" s="36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</row>
    <row r="241" ht="22.5" customHeight="1">
      <c r="A241" s="184"/>
      <c r="B241" s="159"/>
      <c r="C241" s="36"/>
      <c r="D241" s="36"/>
      <c r="E241" s="36"/>
      <c r="F241" s="36"/>
      <c r="G241" s="36"/>
      <c r="H241" s="36"/>
      <c r="I241" s="47"/>
      <c r="J241" s="36"/>
      <c r="K241" s="36"/>
      <c r="L241" s="34"/>
      <c r="M241" s="36"/>
      <c r="N241" s="47"/>
      <c r="O241" s="36"/>
      <c r="P241" s="34"/>
      <c r="Q241" s="36"/>
      <c r="R241" s="47"/>
      <c r="S241" s="36"/>
      <c r="T241" s="34"/>
      <c r="U241" s="36"/>
      <c r="V241" s="47"/>
      <c r="W241" s="36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</row>
    <row r="242" ht="22.5" customHeight="1">
      <c r="A242" s="120"/>
      <c r="B242" s="159"/>
      <c r="C242" s="36"/>
      <c r="D242" s="36"/>
      <c r="E242" s="36"/>
      <c r="F242" s="36"/>
      <c r="G242" s="36"/>
      <c r="H242" s="36"/>
      <c r="I242" s="47"/>
      <c r="J242" s="36"/>
      <c r="K242" s="36"/>
      <c r="L242" s="34"/>
      <c r="M242" s="36"/>
      <c r="N242" s="47"/>
      <c r="O242" s="36"/>
      <c r="P242" s="34"/>
      <c r="Q242" s="36"/>
      <c r="R242" s="47"/>
      <c r="S242" s="36"/>
      <c r="T242" s="34"/>
      <c r="U242" s="36"/>
      <c r="V242" s="47"/>
      <c r="W242" s="36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</row>
    <row r="243" ht="22.5" customHeight="1">
      <c r="A243" s="120"/>
      <c r="B243" s="159"/>
      <c r="C243" s="36"/>
      <c r="D243" s="36"/>
      <c r="E243" s="36"/>
      <c r="F243" s="36"/>
      <c r="G243" s="36"/>
      <c r="H243" s="36"/>
      <c r="I243" s="47"/>
      <c r="J243" s="36"/>
      <c r="K243" s="36"/>
      <c r="L243" s="34"/>
      <c r="M243" s="36"/>
      <c r="N243" s="47"/>
      <c r="O243" s="36"/>
      <c r="P243" s="34"/>
      <c r="Q243" s="36"/>
      <c r="R243" s="47"/>
      <c r="S243" s="36"/>
      <c r="T243" s="34"/>
      <c r="U243" s="36"/>
      <c r="V243" s="47"/>
      <c r="W243" s="36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</row>
    <row r="244" ht="22.5" customHeight="1">
      <c r="A244" s="120"/>
      <c r="B244" s="159"/>
      <c r="C244" s="36"/>
      <c r="D244" s="36"/>
      <c r="E244" s="36"/>
      <c r="F244" s="36"/>
      <c r="G244" s="36"/>
      <c r="H244" s="36"/>
      <c r="I244" s="47"/>
      <c r="J244" s="36"/>
      <c r="K244" s="36"/>
      <c r="L244" s="34"/>
      <c r="M244" s="36"/>
      <c r="N244" s="47"/>
      <c r="O244" s="36"/>
      <c r="P244" s="34"/>
      <c r="Q244" s="36"/>
      <c r="R244" s="47"/>
      <c r="S244" s="36"/>
      <c r="T244" s="34"/>
      <c r="U244" s="36"/>
      <c r="V244" s="47"/>
      <c r="W244" s="36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</row>
    <row r="245" ht="22.5" customHeight="1">
      <c r="A245" s="120"/>
      <c r="B245" s="159"/>
      <c r="C245" s="36"/>
      <c r="D245" s="36"/>
      <c r="E245" s="36"/>
      <c r="F245" s="36"/>
      <c r="G245" s="36"/>
      <c r="H245" s="36"/>
      <c r="I245" s="173"/>
      <c r="J245" s="36"/>
      <c r="K245" s="36"/>
      <c r="L245" s="34"/>
      <c r="M245" s="36"/>
      <c r="N245" s="47"/>
      <c r="O245" s="36"/>
      <c r="P245" s="34"/>
      <c r="Q245" s="36"/>
      <c r="R245" s="47"/>
      <c r="S245" s="36"/>
      <c r="T245" s="34"/>
      <c r="U245" s="36"/>
      <c r="V245" s="47"/>
      <c r="W245" s="36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</row>
    <row r="246" ht="22.5" customHeight="1">
      <c r="A246" s="120"/>
      <c r="B246" s="159"/>
      <c r="C246" s="36"/>
      <c r="D246" s="36"/>
      <c r="E246" s="36"/>
      <c r="F246" s="36"/>
      <c r="G246" s="36"/>
      <c r="H246" s="36"/>
      <c r="I246" s="47"/>
      <c r="J246" s="36"/>
      <c r="K246" s="36"/>
      <c r="L246" s="34"/>
      <c r="M246" s="36"/>
      <c r="N246" s="47"/>
      <c r="O246" s="36"/>
      <c r="P246" s="34"/>
      <c r="Q246" s="36"/>
      <c r="R246" s="47"/>
      <c r="S246" s="36"/>
      <c r="T246" s="34"/>
      <c r="U246" s="36"/>
      <c r="V246" s="47"/>
      <c r="W246" s="36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</row>
    <row r="247" ht="22.5" customHeight="1">
      <c r="A247" s="120"/>
      <c r="B247" s="159"/>
      <c r="C247" s="36"/>
      <c r="D247" s="36"/>
      <c r="E247" s="36"/>
      <c r="F247" s="36"/>
      <c r="G247" s="36"/>
      <c r="H247" s="36"/>
      <c r="I247" s="47"/>
      <c r="J247" s="36"/>
      <c r="K247" s="36"/>
      <c r="L247" s="34"/>
      <c r="M247" s="36"/>
      <c r="N247" s="47"/>
      <c r="O247" s="36"/>
      <c r="P247" s="34"/>
      <c r="Q247" s="36"/>
      <c r="R247" s="47"/>
      <c r="S247" s="36"/>
      <c r="T247" s="34"/>
      <c r="U247" s="36"/>
      <c r="V247" s="47"/>
      <c r="W247" s="36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</row>
    <row r="248" ht="22.5" customHeight="1">
      <c r="A248" s="120"/>
      <c r="B248" s="159"/>
      <c r="C248" s="36"/>
      <c r="D248" s="36"/>
      <c r="E248" s="36"/>
      <c r="F248" s="36"/>
      <c r="G248" s="36"/>
      <c r="H248" s="36"/>
      <c r="I248" s="47"/>
      <c r="J248" s="36"/>
      <c r="K248" s="36"/>
      <c r="L248" s="34"/>
      <c r="M248" s="36"/>
      <c r="N248" s="47"/>
      <c r="O248" s="36"/>
      <c r="P248" s="34"/>
      <c r="Q248" s="36"/>
      <c r="R248" s="47"/>
      <c r="S248" s="36"/>
      <c r="T248" s="34"/>
      <c r="U248" s="36"/>
      <c r="V248" s="47"/>
      <c r="W248" s="36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</row>
    <row r="249" ht="22.5" customHeight="1">
      <c r="A249" s="120"/>
      <c r="B249" s="159"/>
      <c r="C249" s="36"/>
      <c r="D249" s="36"/>
      <c r="E249" s="36"/>
      <c r="F249" s="36"/>
      <c r="G249" s="36"/>
      <c r="H249" s="36"/>
      <c r="I249" s="47"/>
      <c r="J249" s="36"/>
      <c r="K249" s="36"/>
      <c r="L249" s="34"/>
      <c r="M249" s="36"/>
      <c r="N249" s="47"/>
      <c r="O249" s="36"/>
      <c r="P249" s="34"/>
      <c r="Q249" s="36"/>
      <c r="R249" s="47"/>
      <c r="S249" s="36"/>
      <c r="T249" s="34"/>
      <c r="U249" s="36"/>
      <c r="V249" s="47"/>
      <c r="W249" s="36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</row>
    <row r="250" ht="22.5" customHeight="1">
      <c r="A250" s="120"/>
      <c r="B250" s="159"/>
      <c r="C250" s="36"/>
      <c r="D250" s="36"/>
      <c r="E250" s="36"/>
      <c r="F250" s="36"/>
      <c r="G250" s="36"/>
      <c r="H250" s="36"/>
      <c r="I250" s="47"/>
      <c r="J250" s="36"/>
      <c r="K250" s="36"/>
      <c r="L250" s="34"/>
      <c r="M250" s="36"/>
      <c r="N250" s="47"/>
      <c r="O250" s="36"/>
      <c r="P250" s="34"/>
      <c r="Q250" s="36"/>
      <c r="R250" s="47"/>
      <c r="S250" s="36"/>
      <c r="T250" s="34"/>
      <c r="U250" s="36"/>
      <c r="V250" s="47"/>
      <c r="W250" s="36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</row>
    <row r="251" ht="22.5" customHeight="1">
      <c r="A251" s="184"/>
      <c r="B251" s="159"/>
      <c r="C251" s="36"/>
      <c r="D251" s="36"/>
      <c r="E251" s="36"/>
      <c r="F251" s="36"/>
      <c r="G251" s="36"/>
      <c r="H251" s="36"/>
      <c r="I251" s="47"/>
      <c r="J251" s="36"/>
      <c r="K251" s="36"/>
      <c r="L251" s="34"/>
      <c r="M251" s="36"/>
      <c r="N251" s="47"/>
      <c r="O251" s="36"/>
      <c r="P251" s="34"/>
      <c r="Q251" s="36"/>
      <c r="R251" s="47"/>
      <c r="S251" s="36"/>
      <c r="T251" s="34"/>
      <c r="U251" s="36"/>
      <c r="V251" s="47"/>
      <c r="W251" s="36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</row>
    <row r="252" ht="22.5" customHeight="1">
      <c r="A252" s="184"/>
      <c r="B252" s="159"/>
      <c r="C252" s="36"/>
      <c r="D252" s="36"/>
      <c r="E252" s="36"/>
      <c r="F252" s="36"/>
      <c r="G252" s="36"/>
      <c r="H252" s="36"/>
      <c r="I252" s="47"/>
      <c r="J252" s="36"/>
      <c r="K252" s="36"/>
      <c r="L252" s="34"/>
      <c r="M252" s="36"/>
      <c r="N252" s="47"/>
      <c r="O252" s="36"/>
      <c r="P252" s="34"/>
      <c r="Q252" s="36"/>
      <c r="R252" s="47"/>
      <c r="S252" s="36"/>
      <c r="T252" s="34"/>
      <c r="U252" s="36"/>
      <c r="V252" s="47"/>
      <c r="W252" s="36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</row>
    <row r="253" ht="22.5" customHeight="1">
      <c r="A253" s="184"/>
      <c r="B253" s="159"/>
      <c r="C253" s="36"/>
      <c r="D253" s="36"/>
      <c r="E253" s="36"/>
      <c r="F253" s="36"/>
      <c r="G253" s="36"/>
      <c r="H253" s="36"/>
      <c r="I253" s="47"/>
      <c r="J253" s="36"/>
      <c r="K253" s="36"/>
      <c r="L253" s="34"/>
      <c r="M253" s="36"/>
      <c r="N253" s="47"/>
      <c r="O253" s="36"/>
      <c r="P253" s="34"/>
      <c r="Q253" s="36"/>
      <c r="R253" s="47"/>
      <c r="S253" s="36"/>
      <c r="T253" s="34"/>
      <c r="U253" s="36"/>
      <c r="V253" s="47"/>
      <c r="W253" s="36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</row>
    <row r="254" ht="22.5" customHeight="1">
      <c r="A254" s="120"/>
      <c r="B254" s="159"/>
      <c r="C254" s="36"/>
      <c r="D254" s="36"/>
      <c r="E254" s="36"/>
      <c r="F254" s="36"/>
      <c r="G254" s="36"/>
      <c r="H254" s="36"/>
      <c r="I254" s="47"/>
      <c r="J254" s="36"/>
      <c r="K254" s="36"/>
      <c r="L254" s="34"/>
      <c r="M254" s="36"/>
      <c r="N254" s="47"/>
      <c r="O254" s="36"/>
      <c r="P254" s="34"/>
      <c r="Q254" s="36"/>
      <c r="R254" s="47"/>
      <c r="S254" s="36"/>
      <c r="T254" s="34"/>
      <c r="U254" s="36"/>
      <c r="V254" s="47"/>
      <c r="W254" s="36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</row>
    <row r="255" ht="22.5" customHeight="1">
      <c r="A255" s="184"/>
      <c r="B255" s="159"/>
      <c r="C255" s="36"/>
      <c r="D255" s="36"/>
      <c r="E255" s="36"/>
      <c r="F255" s="36"/>
      <c r="G255" s="36"/>
      <c r="H255" s="36"/>
      <c r="I255" s="47"/>
      <c r="J255" s="36"/>
      <c r="K255" s="36"/>
      <c r="L255" s="34"/>
      <c r="M255" s="36"/>
      <c r="N255" s="47"/>
      <c r="O255" s="36"/>
      <c r="P255" s="34"/>
      <c r="Q255" s="36"/>
      <c r="R255" s="47"/>
      <c r="S255" s="36"/>
      <c r="T255" s="34"/>
      <c r="U255" s="36"/>
      <c r="V255" s="47"/>
      <c r="W255" s="36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</row>
    <row r="256" ht="22.5" customHeight="1">
      <c r="A256" s="184"/>
      <c r="B256" s="159"/>
      <c r="C256" s="36"/>
      <c r="D256" s="36"/>
      <c r="E256" s="36"/>
      <c r="F256" s="36"/>
      <c r="G256" s="36"/>
      <c r="H256" s="36"/>
      <c r="I256" s="47"/>
      <c r="J256" s="36"/>
      <c r="K256" s="36"/>
      <c r="L256" s="34"/>
      <c r="M256" s="36"/>
      <c r="N256" s="47"/>
      <c r="O256" s="36"/>
      <c r="P256" s="34"/>
      <c r="Q256" s="36"/>
      <c r="R256" s="47"/>
      <c r="S256" s="36"/>
      <c r="T256" s="34"/>
      <c r="U256" s="36"/>
      <c r="V256" s="47"/>
      <c r="W256" s="36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</row>
    <row r="257" ht="22.5" customHeight="1">
      <c r="A257" s="120"/>
      <c r="B257" s="159"/>
      <c r="C257" s="36"/>
      <c r="D257" s="36"/>
      <c r="E257" s="36"/>
      <c r="F257" s="36"/>
      <c r="G257" s="36"/>
      <c r="H257" s="36"/>
      <c r="I257" s="173"/>
      <c r="J257" s="36"/>
      <c r="K257" s="36"/>
      <c r="L257" s="34"/>
      <c r="M257" s="36"/>
      <c r="N257" s="47"/>
      <c r="O257" s="36"/>
      <c r="P257" s="34"/>
      <c r="Q257" s="36"/>
      <c r="R257" s="47"/>
      <c r="S257" s="36"/>
      <c r="T257" s="34"/>
      <c r="U257" s="36"/>
      <c r="V257" s="47"/>
      <c r="W257" s="36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</row>
    <row r="258" ht="22.5" customHeight="1">
      <c r="A258" s="184"/>
      <c r="B258" s="159"/>
      <c r="C258" s="36"/>
      <c r="D258" s="36"/>
      <c r="E258" s="36"/>
      <c r="F258" s="36"/>
      <c r="G258" s="36"/>
      <c r="H258" s="36"/>
      <c r="I258" s="47"/>
      <c r="J258" s="36"/>
      <c r="K258" s="36"/>
      <c r="L258" s="34"/>
      <c r="M258" s="36"/>
      <c r="N258" s="47"/>
      <c r="O258" s="36"/>
      <c r="P258" s="34"/>
      <c r="Q258" s="36"/>
      <c r="R258" s="47"/>
      <c r="S258" s="36"/>
      <c r="T258" s="34"/>
      <c r="U258" s="36"/>
      <c r="V258" s="47"/>
      <c r="W258" s="36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</row>
    <row r="259" ht="22.5" customHeight="1">
      <c r="A259" s="120"/>
      <c r="B259" s="159"/>
      <c r="C259" s="36"/>
      <c r="D259" s="36"/>
      <c r="E259" s="36"/>
      <c r="F259" s="36"/>
      <c r="G259" s="36"/>
      <c r="H259" s="36"/>
      <c r="I259" s="173"/>
      <c r="J259" s="36"/>
      <c r="K259" s="36"/>
      <c r="L259" s="34"/>
      <c r="M259" s="36"/>
      <c r="N259" s="47"/>
      <c r="O259" s="36"/>
      <c r="P259" s="34"/>
      <c r="Q259" s="36"/>
      <c r="R259" s="47"/>
      <c r="S259" s="36"/>
      <c r="T259" s="34"/>
      <c r="U259" s="36"/>
      <c r="V259" s="47"/>
      <c r="W259" s="36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</row>
    <row r="260" ht="22.5" customHeight="1">
      <c r="A260" s="120"/>
      <c r="B260" s="159"/>
      <c r="C260" s="36"/>
      <c r="D260" s="36"/>
      <c r="E260" s="36"/>
      <c r="F260" s="36"/>
      <c r="G260" s="36"/>
      <c r="H260" s="36"/>
      <c r="I260" s="173"/>
      <c r="J260" s="36"/>
      <c r="K260" s="36"/>
      <c r="L260" s="34"/>
      <c r="M260" s="36"/>
      <c r="N260" s="47"/>
      <c r="O260" s="36"/>
      <c r="P260" s="34"/>
      <c r="Q260" s="36"/>
      <c r="R260" s="47"/>
      <c r="S260" s="36"/>
      <c r="T260" s="34"/>
      <c r="U260" s="36"/>
      <c r="V260" s="47"/>
      <c r="W260" s="36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</row>
    <row r="261" ht="22.5" customHeight="1">
      <c r="A261" s="120"/>
      <c r="B261" s="159"/>
      <c r="C261" s="36"/>
      <c r="D261" s="36"/>
      <c r="E261" s="36"/>
      <c r="F261" s="36"/>
      <c r="G261" s="36"/>
      <c r="H261" s="36"/>
      <c r="I261" s="173"/>
      <c r="J261" s="36"/>
      <c r="K261" s="36"/>
      <c r="L261" s="34"/>
      <c r="M261" s="36"/>
      <c r="N261" s="47"/>
      <c r="O261" s="36"/>
      <c r="P261" s="34"/>
      <c r="Q261" s="36"/>
      <c r="R261" s="47"/>
      <c r="S261" s="36"/>
      <c r="T261" s="34"/>
      <c r="U261" s="36"/>
      <c r="V261" s="47"/>
      <c r="W261" s="36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</row>
    <row r="262" ht="22.5" customHeight="1">
      <c r="A262" s="120"/>
      <c r="B262" s="159"/>
      <c r="C262" s="36"/>
      <c r="D262" s="36"/>
      <c r="E262" s="36"/>
      <c r="F262" s="36"/>
      <c r="G262" s="36"/>
      <c r="H262" s="36"/>
      <c r="I262" s="47"/>
      <c r="J262" s="36"/>
      <c r="K262" s="36"/>
      <c r="L262" s="34"/>
      <c r="M262" s="36"/>
      <c r="N262" s="47"/>
      <c r="O262" s="36"/>
      <c r="P262" s="34"/>
      <c r="Q262" s="36"/>
      <c r="R262" s="47"/>
      <c r="S262" s="36"/>
      <c r="T262" s="34"/>
      <c r="U262" s="36"/>
      <c r="V262" s="47"/>
      <c r="W262" s="36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</row>
    <row r="263" ht="22.5" customHeight="1">
      <c r="A263" s="184"/>
      <c r="B263" s="159"/>
      <c r="C263" s="36"/>
      <c r="D263" s="36"/>
      <c r="E263" s="36"/>
      <c r="F263" s="36"/>
      <c r="G263" s="36"/>
      <c r="H263" s="36"/>
      <c r="I263" s="47"/>
      <c r="J263" s="36"/>
      <c r="K263" s="36"/>
      <c r="L263" s="34"/>
      <c r="M263" s="36"/>
      <c r="N263" s="47"/>
      <c r="O263" s="36"/>
      <c r="P263" s="34"/>
      <c r="Q263" s="36"/>
      <c r="R263" s="47"/>
      <c r="S263" s="36"/>
      <c r="T263" s="34"/>
      <c r="U263" s="36"/>
      <c r="V263" s="47"/>
      <c r="W263" s="36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</row>
    <row r="264" ht="22.5" customHeight="1">
      <c r="A264" s="184"/>
      <c r="B264" s="159"/>
      <c r="C264" s="36"/>
      <c r="D264" s="36"/>
      <c r="E264" s="36"/>
      <c r="F264" s="36"/>
      <c r="G264" s="36"/>
      <c r="H264" s="36"/>
      <c r="I264" s="47"/>
      <c r="J264" s="36"/>
      <c r="K264" s="36"/>
      <c r="L264" s="34"/>
      <c r="M264" s="36"/>
      <c r="N264" s="47"/>
      <c r="O264" s="36"/>
      <c r="P264" s="34"/>
      <c r="Q264" s="36"/>
      <c r="R264" s="47"/>
      <c r="S264" s="36"/>
      <c r="T264" s="34"/>
      <c r="U264" s="36"/>
      <c r="V264" s="47"/>
      <c r="W264" s="36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</row>
    <row r="265" ht="22.5" customHeight="1">
      <c r="A265" s="184"/>
      <c r="B265" s="159"/>
      <c r="C265" s="36"/>
      <c r="D265" s="36"/>
      <c r="E265" s="36"/>
      <c r="F265" s="36"/>
      <c r="G265" s="36"/>
      <c r="H265" s="36"/>
      <c r="I265" s="173"/>
      <c r="J265" s="36"/>
      <c r="K265" s="36"/>
      <c r="L265" s="34"/>
      <c r="M265" s="36"/>
      <c r="N265" s="47"/>
      <c r="O265" s="36"/>
      <c r="P265" s="34"/>
      <c r="Q265" s="36"/>
      <c r="R265" s="47"/>
      <c r="S265" s="36"/>
      <c r="T265" s="34"/>
      <c r="U265" s="36"/>
      <c r="V265" s="47"/>
      <c r="W265" s="36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</row>
    <row r="266" ht="22.5" customHeight="1">
      <c r="A266" s="184"/>
      <c r="B266" s="159"/>
      <c r="C266" s="36"/>
      <c r="D266" s="36"/>
      <c r="E266" s="36"/>
      <c r="F266" s="36"/>
      <c r="G266" s="36"/>
      <c r="H266" s="36"/>
      <c r="I266" s="47"/>
      <c r="J266" s="36"/>
      <c r="K266" s="36"/>
      <c r="L266" s="34"/>
      <c r="M266" s="36"/>
      <c r="N266" s="47"/>
      <c r="O266" s="36"/>
      <c r="P266" s="34"/>
      <c r="Q266" s="36"/>
      <c r="R266" s="47"/>
      <c r="S266" s="36"/>
      <c r="T266" s="34"/>
      <c r="U266" s="36"/>
      <c r="V266" s="47"/>
      <c r="W266" s="36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</row>
    <row r="267" ht="22.5" customHeight="1">
      <c r="A267" s="120"/>
      <c r="B267" s="159"/>
      <c r="C267" s="36"/>
      <c r="D267" s="36"/>
      <c r="E267" s="36"/>
      <c r="F267" s="158"/>
      <c r="G267" s="158"/>
      <c r="H267" s="36"/>
      <c r="I267" s="47"/>
      <c r="J267" s="36"/>
      <c r="K267" s="36"/>
      <c r="L267" s="34"/>
      <c r="M267" s="36"/>
      <c r="N267" s="47"/>
      <c r="O267" s="36"/>
      <c r="P267" s="34"/>
      <c r="Q267" s="36"/>
      <c r="R267" s="47"/>
      <c r="S267" s="36"/>
      <c r="T267" s="34"/>
      <c r="U267" s="36"/>
      <c r="V267" s="47"/>
      <c r="W267" s="36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</row>
    <row r="268" ht="22.5" customHeight="1">
      <c r="A268" s="120"/>
      <c r="B268" s="159"/>
      <c r="C268" s="36"/>
      <c r="D268" s="36"/>
      <c r="E268" s="36"/>
      <c r="F268" s="36"/>
      <c r="G268" s="36"/>
      <c r="H268" s="36"/>
      <c r="I268" s="47"/>
      <c r="J268" s="36"/>
      <c r="K268" s="36"/>
      <c r="L268" s="34"/>
      <c r="M268" s="36"/>
      <c r="N268" s="47"/>
      <c r="O268" s="36"/>
      <c r="P268" s="34"/>
      <c r="Q268" s="36"/>
      <c r="R268" s="47"/>
      <c r="S268" s="36"/>
      <c r="T268" s="34"/>
      <c r="U268" s="36"/>
      <c r="V268" s="47"/>
      <c r="W268" s="36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</row>
    <row r="269" ht="22.5" customHeight="1">
      <c r="A269" s="184"/>
      <c r="B269" s="159"/>
      <c r="C269" s="36"/>
      <c r="D269" s="36"/>
      <c r="E269" s="36"/>
      <c r="F269" s="36"/>
      <c r="G269" s="36"/>
      <c r="H269" s="36"/>
      <c r="I269" s="47"/>
      <c r="J269" s="36"/>
      <c r="K269" s="36"/>
      <c r="L269" s="34"/>
      <c r="M269" s="36"/>
      <c r="N269" s="47"/>
      <c r="O269" s="36"/>
      <c r="P269" s="34"/>
      <c r="Q269" s="36"/>
      <c r="R269" s="47"/>
      <c r="S269" s="36"/>
      <c r="T269" s="34"/>
      <c r="U269" s="36"/>
      <c r="V269" s="47"/>
      <c r="W269" s="36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</row>
    <row r="270" ht="22.5" customHeight="1">
      <c r="A270" s="184"/>
      <c r="B270" s="159"/>
      <c r="C270" s="36"/>
      <c r="D270" s="36"/>
      <c r="E270" s="36"/>
      <c r="F270" s="36"/>
      <c r="G270" s="36"/>
      <c r="H270" s="36"/>
      <c r="I270" s="47"/>
      <c r="J270" s="36"/>
      <c r="K270" s="36"/>
      <c r="L270" s="34"/>
      <c r="M270" s="36"/>
      <c r="N270" s="47"/>
      <c r="O270" s="36"/>
      <c r="P270" s="34"/>
      <c r="Q270" s="36"/>
      <c r="R270" s="47"/>
      <c r="S270" s="36"/>
      <c r="T270" s="34"/>
      <c r="U270" s="36"/>
      <c r="V270" s="47"/>
      <c r="W270" s="36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</row>
    <row r="271" ht="22.5" customHeight="1">
      <c r="A271" s="184"/>
      <c r="B271" s="159"/>
      <c r="C271" s="36"/>
      <c r="D271" s="36"/>
      <c r="E271" s="36"/>
      <c r="F271" s="36"/>
      <c r="G271" s="36"/>
      <c r="H271" s="36"/>
      <c r="I271" s="47"/>
      <c r="J271" s="36"/>
      <c r="K271" s="36"/>
      <c r="L271" s="34"/>
      <c r="M271" s="36"/>
      <c r="N271" s="47"/>
      <c r="O271" s="36"/>
      <c r="P271" s="34"/>
      <c r="Q271" s="36"/>
      <c r="R271" s="47"/>
      <c r="S271" s="36"/>
      <c r="T271" s="34"/>
      <c r="U271" s="36"/>
      <c r="V271" s="47"/>
      <c r="W271" s="36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</row>
    <row r="272" ht="22.5" customHeight="1">
      <c r="A272" s="184"/>
      <c r="B272" s="159"/>
      <c r="C272" s="36"/>
      <c r="D272" s="36"/>
      <c r="E272" s="36"/>
      <c r="F272" s="36"/>
      <c r="G272" s="36"/>
      <c r="H272" s="36"/>
      <c r="I272" s="47"/>
      <c r="J272" s="36"/>
      <c r="K272" s="36"/>
      <c r="L272" s="34"/>
      <c r="M272" s="36"/>
      <c r="N272" s="47"/>
      <c r="O272" s="36"/>
      <c r="P272" s="34"/>
      <c r="Q272" s="36"/>
      <c r="R272" s="47"/>
      <c r="S272" s="36"/>
      <c r="T272" s="34"/>
      <c r="U272" s="36"/>
      <c r="V272" s="47"/>
      <c r="W272" s="36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</row>
    <row r="273" ht="22.5" customHeight="1">
      <c r="A273" s="184"/>
      <c r="B273" s="159"/>
      <c r="C273" s="36"/>
      <c r="D273" s="36"/>
      <c r="E273" s="36"/>
      <c r="F273" s="36"/>
      <c r="G273" s="36"/>
      <c r="H273" s="36"/>
      <c r="I273" s="47"/>
      <c r="J273" s="36"/>
      <c r="K273" s="36"/>
      <c r="L273" s="34"/>
      <c r="M273" s="36"/>
      <c r="N273" s="47"/>
      <c r="O273" s="36"/>
      <c r="P273" s="34"/>
      <c r="Q273" s="36"/>
      <c r="R273" s="47"/>
      <c r="S273" s="36"/>
      <c r="T273" s="34"/>
      <c r="U273" s="36"/>
      <c r="V273" s="47"/>
      <c r="W273" s="36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</row>
    <row r="274" ht="22.5" customHeight="1">
      <c r="A274" s="184"/>
      <c r="B274" s="159"/>
      <c r="C274" s="36"/>
      <c r="D274" s="36"/>
      <c r="E274" s="36"/>
      <c r="F274" s="36"/>
      <c r="G274" s="36"/>
      <c r="H274" s="36"/>
      <c r="I274" s="47"/>
      <c r="J274" s="36"/>
      <c r="K274" s="36"/>
      <c r="L274" s="34"/>
      <c r="M274" s="36"/>
      <c r="N274" s="47"/>
      <c r="O274" s="36"/>
      <c r="P274" s="34"/>
      <c r="Q274" s="36"/>
      <c r="R274" s="47"/>
      <c r="S274" s="36"/>
      <c r="T274" s="34"/>
      <c r="U274" s="36"/>
      <c r="V274" s="47"/>
      <c r="W274" s="36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</row>
    <row r="275" ht="22.5" customHeight="1">
      <c r="A275" s="184"/>
      <c r="B275" s="159"/>
      <c r="C275" s="36"/>
      <c r="D275" s="36"/>
      <c r="E275" s="36"/>
      <c r="F275" s="36"/>
      <c r="G275" s="36"/>
      <c r="H275" s="36"/>
      <c r="I275" s="47"/>
      <c r="J275" s="36"/>
      <c r="K275" s="36"/>
      <c r="L275" s="34"/>
      <c r="M275" s="36"/>
      <c r="N275" s="47"/>
      <c r="O275" s="36"/>
      <c r="P275" s="34"/>
      <c r="Q275" s="36"/>
      <c r="R275" s="47"/>
      <c r="S275" s="36"/>
      <c r="T275" s="34"/>
      <c r="U275" s="36"/>
      <c r="V275" s="47"/>
      <c r="W275" s="36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</row>
    <row r="276" ht="22.5" customHeight="1">
      <c r="A276" s="184"/>
      <c r="B276" s="159"/>
      <c r="C276" s="36"/>
      <c r="D276" s="36"/>
      <c r="E276" s="36"/>
      <c r="F276" s="36"/>
      <c r="G276" s="36"/>
      <c r="H276" s="36"/>
      <c r="I276" s="47"/>
      <c r="J276" s="36"/>
      <c r="K276" s="36"/>
      <c r="L276" s="34"/>
      <c r="M276" s="36"/>
      <c r="N276" s="47"/>
      <c r="O276" s="36"/>
      <c r="P276" s="34"/>
      <c r="Q276" s="36"/>
      <c r="R276" s="47"/>
      <c r="S276" s="36"/>
      <c r="T276" s="34"/>
      <c r="U276" s="36"/>
      <c r="V276" s="47"/>
      <c r="W276" s="36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</row>
    <row r="277" ht="22.5" customHeight="1">
      <c r="A277" s="184"/>
      <c r="B277" s="159"/>
      <c r="C277" s="36"/>
      <c r="D277" s="36"/>
      <c r="E277" s="36"/>
      <c r="F277" s="36"/>
      <c r="G277" s="36"/>
      <c r="H277" s="36"/>
      <c r="I277" s="47"/>
      <c r="J277" s="36"/>
      <c r="K277" s="36"/>
      <c r="L277" s="34"/>
      <c r="M277" s="36"/>
      <c r="N277" s="47"/>
      <c r="O277" s="36"/>
      <c r="P277" s="34"/>
      <c r="Q277" s="36"/>
      <c r="R277" s="47"/>
      <c r="S277" s="36"/>
      <c r="T277" s="34"/>
      <c r="U277" s="36"/>
      <c r="V277" s="47"/>
      <c r="W277" s="36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</row>
    <row r="278" ht="22.5" customHeight="1">
      <c r="A278" s="184"/>
      <c r="B278" s="159"/>
      <c r="C278" s="36"/>
      <c r="D278" s="36"/>
      <c r="E278" s="36"/>
      <c r="F278" s="36"/>
      <c r="G278" s="36"/>
      <c r="H278" s="36"/>
      <c r="I278" s="173"/>
      <c r="J278" s="36"/>
      <c r="K278" s="36"/>
      <c r="L278" s="34"/>
      <c r="M278" s="36"/>
      <c r="N278" s="47"/>
      <c r="O278" s="36"/>
      <c r="P278" s="34"/>
      <c r="Q278" s="36"/>
      <c r="R278" s="47"/>
      <c r="S278" s="36"/>
      <c r="T278" s="34"/>
      <c r="U278" s="36"/>
      <c r="V278" s="47"/>
      <c r="W278" s="36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</row>
    <row r="279" ht="22.5" customHeight="1">
      <c r="A279" s="184"/>
      <c r="B279" s="159"/>
      <c r="C279" s="36"/>
      <c r="D279" s="36"/>
      <c r="E279" s="36"/>
      <c r="F279" s="36"/>
      <c r="G279" s="36"/>
      <c r="H279" s="36"/>
      <c r="I279" s="173"/>
      <c r="J279" s="36"/>
      <c r="K279" s="36"/>
      <c r="L279" s="34"/>
      <c r="M279" s="36"/>
      <c r="N279" s="47"/>
      <c r="O279" s="36"/>
      <c r="P279" s="34"/>
      <c r="Q279" s="36"/>
      <c r="R279" s="47"/>
      <c r="S279" s="36"/>
      <c r="T279" s="34"/>
      <c r="U279" s="36"/>
      <c r="V279" s="47"/>
      <c r="W279" s="36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</row>
    <row r="280" ht="22.5" customHeight="1">
      <c r="A280" s="120"/>
      <c r="B280" s="159"/>
      <c r="C280" s="36"/>
      <c r="D280" s="36"/>
      <c r="E280" s="36"/>
      <c r="F280" s="36"/>
      <c r="G280" s="36"/>
      <c r="H280" s="36"/>
      <c r="I280" s="173"/>
      <c r="J280" s="36"/>
      <c r="K280" s="36"/>
      <c r="L280" s="34"/>
      <c r="M280" s="36"/>
      <c r="N280" s="47"/>
      <c r="O280" s="36"/>
      <c r="P280" s="34"/>
      <c r="Q280" s="36"/>
      <c r="R280" s="47"/>
      <c r="S280" s="36"/>
      <c r="T280" s="34"/>
      <c r="U280" s="36"/>
      <c r="V280" s="47"/>
      <c r="W280" s="36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</row>
    <row r="281" ht="22.5" customHeight="1">
      <c r="A281" s="120"/>
      <c r="B281" s="159"/>
      <c r="C281" s="36"/>
      <c r="D281" s="36"/>
      <c r="E281" s="36"/>
      <c r="F281" s="36"/>
      <c r="G281" s="36"/>
      <c r="H281" s="36"/>
      <c r="I281" s="173"/>
      <c r="J281" s="36"/>
      <c r="K281" s="36"/>
      <c r="L281" s="34"/>
      <c r="M281" s="36"/>
      <c r="N281" s="47"/>
      <c r="O281" s="36"/>
      <c r="P281" s="34"/>
      <c r="Q281" s="36"/>
      <c r="R281" s="47"/>
      <c r="S281" s="36"/>
      <c r="T281" s="34"/>
      <c r="U281" s="36"/>
      <c r="V281" s="47"/>
      <c r="W281" s="36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</row>
    <row r="282" ht="22.5" customHeight="1">
      <c r="A282" s="184"/>
      <c r="B282" s="159"/>
      <c r="C282" s="36"/>
      <c r="D282" s="36"/>
      <c r="E282" s="36"/>
      <c r="F282" s="36"/>
      <c r="G282" s="36"/>
      <c r="H282" s="36"/>
      <c r="I282" s="173"/>
      <c r="J282" s="36"/>
      <c r="K282" s="36"/>
      <c r="L282" s="34"/>
      <c r="M282" s="36"/>
      <c r="N282" s="47"/>
      <c r="O282" s="36"/>
      <c r="P282" s="34"/>
      <c r="Q282" s="36"/>
      <c r="R282" s="47"/>
      <c r="S282" s="36"/>
      <c r="T282" s="34"/>
      <c r="U282" s="36"/>
      <c r="V282" s="47"/>
      <c r="W282" s="36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</row>
    <row r="283" ht="22.5" customHeight="1">
      <c r="A283" s="184"/>
      <c r="B283" s="159"/>
      <c r="C283" s="36"/>
      <c r="D283" s="36"/>
      <c r="E283" s="36"/>
      <c r="F283" s="36"/>
      <c r="G283" s="36"/>
      <c r="H283" s="36"/>
      <c r="I283" s="173"/>
      <c r="J283" s="36"/>
      <c r="K283" s="36"/>
      <c r="L283" s="34"/>
      <c r="M283" s="36"/>
      <c r="N283" s="47"/>
      <c r="O283" s="36"/>
      <c r="P283" s="34"/>
      <c r="Q283" s="36"/>
      <c r="R283" s="47"/>
      <c r="S283" s="36"/>
      <c r="T283" s="34"/>
      <c r="U283" s="36"/>
      <c r="V283" s="47"/>
      <c r="W283" s="36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</row>
    <row r="284" ht="22.5" customHeight="1">
      <c r="A284" s="184"/>
      <c r="B284" s="159"/>
      <c r="C284" s="36"/>
      <c r="D284" s="36"/>
      <c r="E284" s="36"/>
      <c r="F284" s="36"/>
      <c r="G284" s="36"/>
      <c r="H284" s="36"/>
      <c r="I284" s="47"/>
      <c r="J284" s="36"/>
      <c r="K284" s="36"/>
      <c r="L284" s="34"/>
      <c r="M284" s="36"/>
      <c r="N284" s="47"/>
      <c r="O284" s="36"/>
      <c r="P284" s="34"/>
      <c r="Q284" s="36"/>
      <c r="R284" s="47"/>
      <c r="S284" s="36"/>
      <c r="T284" s="34"/>
      <c r="U284" s="36"/>
      <c r="V284" s="47"/>
      <c r="W284" s="36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</row>
    <row r="285" ht="22.5" customHeight="1">
      <c r="A285" s="184"/>
      <c r="B285" s="159"/>
      <c r="C285" s="36"/>
      <c r="D285" s="36"/>
      <c r="E285" s="36"/>
      <c r="F285" s="36"/>
      <c r="G285" s="36"/>
      <c r="H285" s="36"/>
      <c r="I285" s="47"/>
      <c r="J285" s="36"/>
      <c r="K285" s="36"/>
      <c r="L285" s="34"/>
      <c r="M285" s="36"/>
      <c r="N285" s="47"/>
      <c r="O285" s="36"/>
      <c r="P285" s="34"/>
      <c r="Q285" s="36"/>
      <c r="R285" s="47"/>
      <c r="S285" s="36"/>
      <c r="T285" s="34"/>
      <c r="U285" s="36"/>
      <c r="V285" s="47"/>
      <c r="W285" s="36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</row>
    <row r="286" ht="22.5" customHeight="1">
      <c r="A286" s="184"/>
      <c r="B286" s="159"/>
      <c r="C286" s="36"/>
      <c r="D286" s="36"/>
      <c r="E286" s="36"/>
      <c r="F286" s="36"/>
      <c r="G286" s="36"/>
      <c r="H286" s="36"/>
      <c r="I286" s="47"/>
      <c r="J286" s="36"/>
      <c r="K286" s="36"/>
      <c r="L286" s="34"/>
      <c r="M286" s="36"/>
      <c r="N286" s="47"/>
      <c r="O286" s="36"/>
      <c r="P286" s="34"/>
      <c r="Q286" s="36"/>
      <c r="R286" s="47"/>
      <c r="S286" s="36"/>
      <c r="T286" s="34"/>
      <c r="U286" s="36"/>
      <c r="V286" s="47"/>
      <c r="W286" s="36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</row>
    <row r="287" ht="22.5" customHeight="1">
      <c r="A287" s="184"/>
      <c r="B287" s="159"/>
      <c r="C287" s="36"/>
      <c r="D287" s="36"/>
      <c r="E287" s="36"/>
      <c r="F287" s="36"/>
      <c r="G287" s="36"/>
      <c r="H287" s="36"/>
      <c r="I287" s="47"/>
      <c r="J287" s="36"/>
      <c r="K287" s="36"/>
      <c r="L287" s="34"/>
      <c r="M287" s="36"/>
      <c r="N287" s="47"/>
      <c r="O287" s="36"/>
      <c r="P287" s="34"/>
      <c r="Q287" s="36"/>
      <c r="R287" s="47"/>
      <c r="S287" s="36"/>
      <c r="T287" s="34"/>
      <c r="U287" s="36"/>
      <c r="V287" s="47"/>
      <c r="W287" s="36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</row>
    <row r="288" ht="22.5" customHeight="1">
      <c r="A288" s="184"/>
      <c r="B288" s="159"/>
      <c r="C288" s="36"/>
      <c r="D288" s="36"/>
      <c r="E288" s="36"/>
      <c r="F288" s="36"/>
      <c r="G288" s="36"/>
      <c r="H288" s="36"/>
      <c r="I288" s="47"/>
      <c r="J288" s="36"/>
      <c r="K288" s="36"/>
      <c r="L288" s="34"/>
      <c r="M288" s="36"/>
      <c r="N288" s="47"/>
      <c r="O288" s="36"/>
      <c r="P288" s="34"/>
      <c r="Q288" s="36"/>
      <c r="R288" s="47"/>
      <c r="S288" s="36"/>
      <c r="T288" s="34"/>
      <c r="U288" s="36"/>
      <c r="V288" s="47"/>
      <c r="W288" s="36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</row>
    <row r="289" ht="22.5" customHeight="1">
      <c r="A289" s="184"/>
      <c r="B289" s="159"/>
      <c r="C289" s="36"/>
      <c r="D289" s="36"/>
      <c r="E289" s="36"/>
      <c r="F289" s="36"/>
      <c r="G289" s="36"/>
      <c r="H289" s="36"/>
      <c r="I289" s="47"/>
      <c r="J289" s="36"/>
      <c r="K289" s="36"/>
      <c r="L289" s="34"/>
      <c r="M289" s="36"/>
      <c r="N289" s="47"/>
      <c r="O289" s="36"/>
      <c r="P289" s="34"/>
      <c r="Q289" s="36"/>
      <c r="R289" s="47"/>
      <c r="S289" s="36"/>
      <c r="T289" s="34"/>
      <c r="U289" s="36"/>
      <c r="V289" s="47"/>
      <c r="W289" s="36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</row>
    <row r="290" ht="22.5" customHeight="1">
      <c r="A290" s="120"/>
      <c r="B290" s="159"/>
      <c r="C290" s="36"/>
      <c r="D290" s="36"/>
      <c r="E290" s="36"/>
      <c r="F290" s="36"/>
      <c r="G290" s="36"/>
      <c r="H290" s="36"/>
      <c r="I290" s="47"/>
      <c r="J290" s="36"/>
      <c r="K290" s="36"/>
      <c r="L290" s="34"/>
      <c r="M290" s="36"/>
      <c r="N290" s="47"/>
      <c r="O290" s="36"/>
      <c r="P290" s="34"/>
      <c r="Q290" s="36"/>
      <c r="R290" s="47"/>
      <c r="S290" s="36"/>
      <c r="T290" s="34"/>
      <c r="U290" s="36"/>
      <c r="V290" s="47"/>
      <c r="W290" s="36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</row>
    <row r="291" ht="22.5" customHeight="1">
      <c r="A291" s="120"/>
      <c r="B291" s="159"/>
      <c r="C291" s="36"/>
      <c r="D291" s="36"/>
      <c r="E291" s="36"/>
      <c r="F291" s="36"/>
      <c r="G291" s="36"/>
      <c r="H291" s="36"/>
      <c r="I291" s="47"/>
      <c r="J291" s="36"/>
      <c r="K291" s="36"/>
      <c r="L291" s="34"/>
      <c r="M291" s="36"/>
      <c r="N291" s="47"/>
      <c r="O291" s="36"/>
      <c r="P291" s="34"/>
      <c r="Q291" s="36"/>
      <c r="R291" s="47"/>
      <c r="S291" s="36"/>
      <c r="T291" s="34"/>
      <c r="U291" s="36"/>
      <c r="V291" s="47"/>
      <c r="W291" s="36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</row>
    <row r="292" ht="22.5" customHeight="1">
      <c r="A292" s="120"/>
      <c r="B292" s="159"/>
      <c r="C292" s="36"/>
      <c r="D292" s="36"/>
      <c r="E292" s="36"/>
      <c r="F292" s="36"/>
      <c r="G292" s="36"/>
      <c r="H292" s="36"/>
      <c r="I292" s="47"/>
      <c r="J292" s="36"/>
      <c r="K292" s="36"/>
      <c r="L292" s="34"/>
      <c r="M292" s="36"/>
      <c r="N292" s="47"/>
      <c r="O292" s="36"/>
      <c r="P292" s="34"/>
      <c r="Q292" s="36"/>
      <c r="R292" s="47"/>
      <c r="S292" s="36"/>
      <c r="T292" s="34"/>
      <c r="U292" s="36"/>
      <c r="V292" s="47"/>
      <c r="W292" s="36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</row>
    <row r="293" ht="22.5" customHeight="1">
      <c r="A293" s="120"/>
      <c r="B293" s="159"/>
      <c r="C293" s="36"/>
      <c r="D293" s="36"/>
      <c r="E293" s="36"/>
      <c r="F293" s="36"/>
      <c r="G293" s="36"/>
      <c r="H293" s="36"/>
      <c r="I293" s="47"/>
      <c r="J293" s="36"/>
      <c r="K293" s="36"/>
      <c r="L293" s="34"/>
      <c r="M293" s="36"/>
      <c r="N293" s="47"/>
      <c r="O293" s="36"/>
      <c r="P293" s="34"/>
      <c r="Q293" s="36"/>
      <c r="R293" s="47"/>
      <c r="S293" s="36"/>
      <c r="T293" s="34"/>
      <c r="U293" s="36"/>
      <c r="V293" s="47"/>
      <c r="W293" s="36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</row>
    <row r="294" ht="22.5" customHeight="1">
      <c r="A294" s="120"/>
      <c r="B294" s="159"/>
      <c r="C294" s="36"/>
      <c r="D294" s="36"/>
      <c r="E294" s="36"/>
      <c r="F294" s="36"/>
      <c r="G294" s="36"/>
      <c r="H294" s="36"/>
      <c r="I294" s="47"/>
      <c r="J294" s="36"/>
      <c r="K294" s="36"/>
      <c r="L294" s="34"/>
      <c r="M294" s="36"/>
      <c r="N294" s="47"/>
      <c r="O294" s="36"/>
      <c r="P294" s="34"/>
      <c r="Q294" s="36"/>
      <c r="R294" s="47"/>
      <c r="S294" s="36"/>
      <c r="T294" s="34"/>
      <c r="U294" s="36"/>
      <c r="V294" s="47"/>
      <c r="W294" s="36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</row>
    <row r="295" ht="22.5" customHeight="1">
      <c r="A295" s="184"/>
      <c r="B295" s="159"/>
      <c r="C295" s="36"/>
      <c r="D295" s="36"/>
      <c r="E295" s="36"/>
      <c r="F295" s="36"/>
      <c r="G295" s="36"/>
      <c r="H295" s="36"/>
      <c r="I295" s="173"/>
      <c r="J295" s="36"/>
      <c r="K295" s="36"/>
      <c r="L295" s="34"/>
      <c r="M295" s="36"/>
      <c r="N295" s="47"/>
      <c r="O295" s="36"/>
      <c r="P295" s="34"/>
      <c r="Q295" s="36"/>
      <c r="R295" s="47"/>
      <c r="S295" s="36"/>
      <c r="T295" s="34"/>
      <c r="U295" s="36"/>
      <c r="V295" s="47"/>
      <c r="W295" s="36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</row>
    <row r="296" ht="22.5" customHeight="1">
      <c r="A296" s="184"/>
      <c r="B296" s="159"/>
      <c r="C296" s="36"/>
      <c r="D296" s="36"/>
      <c r="E296" s="36"/>
      <c r="F296" s="36"/>
      <c r="G296" s="36"/>
      <c r="H296" s="36"/>
      <c r="I296" s="47"/>
      <c r="J296" s="36"/>
      <c r="K296" s="36"/>
      <c r="L296" s="34"/>
      <c r="M296" s="36"/>
      <c r="N296" s="47"/>
      <c r="O296" s="36"/>
      <c r="P296" s="34"/>
      <c r="Q296" s="36"/>
      <c r="R296" s="47"/>
      <c r="S296" s="36"/>
      <c r="T296" s="34"/>
      <c r="U296" s="36"/>
      <c r="V296" s="47"/>
      <c r="W296" s="36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</row>
    <row r="297" ht="22.5" customHeight="1">
      <c r="A297" s="184"/>
      <c r="B297" s="159"/>
      <c r="C297" s="36"/>
      <c r="D297" s="36"/>
      <c r="E297" s="36"/>
      <c r="F297" s="36"/>
      <c r="G297" s="36"/>
      <c r="H297" s="36"/>
      <c r="I297" s="47"/>
      <c r="J297" s="36"/>
      <c r="K297" s="36"/>
      <c r="L297" s="34"/>
      <c r="M297" s="36"/>
      <c r="N297" s="47"/>
      <c r="O297" s="36"/>
      <c r="P297" s="34"/>
      <c r="Q297" s="36"/>
      <c r="R297" s="47"/>
      <c r="S297" s="36"/>
      <c r="T297" s="34"/>
      <c r="U297" s="36"/>
      <c r="V297" s="47"/>
      <c r="W297" s="36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</row>
    <row r="298" ht="22.5" customHeight="1">
      <c r="A298" s="120"/>
      <c r="B298" s="159"/>
      <c r="C298" s="36"/>
      <c r="D298" s="36"/>
      <c r="E298" s="36"/>
      <c r="F298" s="36"/>
      <c r="G298" s="36"/>
      <c r="H298" s="36"/>
      <c r="I298" s="47"/>
      <c r="J298" s="36"/>
      <c r="K298" s="36"/>
      <c r="L298" s="34"/>
      <c r="M298" s="36"/>
      <c r="N298" s="47"/>
      <c r="O298" s="36"/>
      <c r="P298" s="34"/>
      <c r="Q298" s="36"/>
      <c r="R298" s="47"/>
      <c r="S298" s="36"/>
      <c r="T298" s="34"/>
      <c r="U298" s="36"/>
      <c r="V298" s="47"/>
      <c r="W298" s="36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</row>
    <row r="299" ht="22.5" customHeight="1">
      <c r="A299" s="120"/>
      <c r="B299" s="159"/>
      <c r="C299" s="36"/>
      <c r="D299" s="36"/>
      <c r="E299" s="36"/>
      <c r="F299" s="36"/>
      <c r="G299" s="36"/>
      <c r="H299" s="36"/>
      <c r="I299" s="47"/>
      <c r="J299" s="36"/>
      <c r="K299" s="36"/>
      <c r="L299" s="34"/>
      <c r="M299" s="36"/>
      <c r="N299" s="47"/>
      <c r="O299" s="36"/>
      <c r="P299" s="34"/>
      <c r="Q299" s="36"/>
      <c r="R299" s="47"/>
      <c r="S299" s="36"/>
      <c r="T299" s="34"/>
      <c r="U299" s="36"/>
      <c r="V299" s="47"/>
      <c r="W299" s="36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</row>
    <row r="300" ht="22.5" customHeight="1">
      <c r="A300" s="120"/>
      <c r="B300" s="159"/>
      <c r="C300" s="36"/>
      <c r="D300" s="36"/>
      <c r="E300" s="36"/>
      <c r="F300" s="36"/>
      <c r="G300" s="36"/>
      <c r="H300" s="36"/>
      <c r="I300" s="47"/>
      <c r="J300" s="36"/>
      <c r="K300" s="36"/>
      <c r="L300" s="34"/>
      <c r="M300" s="36"/>
      <c r="N300" s="47"/>
      <c r="O300" s="36"/>
      <c r="P300" s="34"/>
      <c r="Q300" s="36"/>
      <c r="R300" s="47"/>
      <c r="S300" s="36"/>
      <c r="T300" s="34"/>
      <c r="U300" s="36"/>
      <c r="V300" s="47"/>
      <c r="W300" s="36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</row>
    <row r="301" ht="22.5" customHeight="1">
      <c r="A301" s="120"/>
      <c r="B301" s="159"/>
      <c r="C301" s="36"/>
      <c r="D301" s="36"/>
      <c r="E301" s="36"/>
      <c r="F301" s="36"/>
      <c r="G301" s="36"/>
      <c r="H301" s="36"/>
      <c r="I301" s="47"/>
      <c r="J301" s="36"/>
      <c r="K301" s="36"/>
      <c r="L301" s="34"/>
      <c r="M301" s="36"/>
      <c r="N301" s="47"/>
      <c r="O301" s="36"/>
      <c r="P301" s="34"/>
      <c r="Q301" s="36"/>
      <c r="R301" s="47"/>
      <c r="S301" s="36"/>
      <c r="T301" s="34"/>
      <c r="U301" s="36"/>
      <c r="V301" s="47"/>
      <c r="W301" s="36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</row>
    <row r="302" ht="22.5" customHeight="1">
      <c r="A302" s="120"/>
      <c r="B302" s="159"/>
      <c r="C302" s="36"/>
      <c r="D302" s="36"/>
      <c r="E302" s="36"/>
      <c r="F302" s="36"/>
      <c r="G302" s="36"/>
      <c r="H302" s="36"/>
      <c r="I302" s="47"/>
      <c r="J302" s="36"/>
      <c r="K302" s="36"/>
      <c r="L302" s="34"/>
      <c r="M302" s="36"/>
      <c r="N302" s="47"/>
      <c r="O302" s="36"/>
      <c r="P302" s="34"/>
      <c r="Q302" s="36"/>
      <c r="R302" s="47"/>
      <c r="S302" s="36"/>
      <c r="T302" s="34"/>
      <c r="U302" s="36"/>
      <c r="V302" s="47"/>
      <c r="W302" s="36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</row>
    <row r="303" ht="22.5" customHeight="1">
      <c r="A303" s="184"/>
      <c r="B303" s="159"/>
      <c r="C303" s="36"/>
      <c r="D303" s="36"/>
      <c r="E303" s="36"/>
      <c r="F303" s="36"/>
      <c r="G303" s="36"/>
      <c r="H303" s="36"/>
      <c r="I303" s="47"/>
      <c r="J303" s="36"/>
      <c r="K303" s="36"/>
      <c r="L303" s="34"/>
      <c r="M303" s="36"/>
      <c r="N303" s="47"/>
      <c r="O303" s="36"/>
      <c r="P303" s="34"/>
      <c r="Q303" s="36"/>
      <c r="R303" s="47"/>
      <c r="S303" s="36"/>
      <c r="T303" s="34"/>
      <c r="U303" s="36"/>
      <c r="V303" s="47"/>
      <c r="W303" s="36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</row>
    <row r="304" ht="22.5" customHeight="1">
      <c r="A304" s="185"/>
      <c r="B304" s="159"/>
      <c r="C304" s="36"/>
      <c r="D304" s="36"/>
      <c r="E304" s="36"/>
      <c r="F304" s="36"/>
      <c r="G304" s="36"/>
      <c r="H304" s="36"/>
      <c r="I304" s="173"/>
      <c r="J304" s="36"/>
      <c r="K304" s="36"/>
      <c r="L304" s="34"/>
      <c r="M304" s="36"/>
      <c r="N304" s="47"/>
      <c r="O304" s="36"/>
      <c r="P304" s="34"/>
      <c r="Q304" s="36"/>
      <c r="R304" s="47"/>
      <c r="S304" s="36"/>
      <c r="T304" s="34"/>
      <c r="U304" s="36"/>
      <c r="V304" s="47"/>
      <c r="W304" s="36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</row>
    <row r="305" ht="22.5" customHeight="1">
      <c r="A305" s="185"/>
      <c r="B305" s="159"/>
      <c r="C305" s="36"/>
      <c r="D305" s="36"/>
      <c r="E305" s="36"/>
      <c r="F305" s="36"/>
      <c r="G305" s="36"/>
      <c r="H305" s="36"/>
      <c r="I305" s="47"/>
      <c r="J305" s="36"/>
      <c r="K305" s="36"/>
      <c r="L305" s="34"/>
      <c r="M305" s="36"/>
      <c r="N305" s="47"/>
      <c r="O305" s="36"/>
      <c r="P305" s="34"/>
      <c r="Q305" s="36"/>
      <c r="R305" s="47"/>
      <c r="S305" s="36"/>
      <c r="T305" s="34"/>
      <c r="U305" s="36"/>
      <c r="V305" s="47"/>
      <c r="W305" s="36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</row>
    <row r="306" ht="22.5" customHeight="1">
      <c r="A306" s="185"/>
      <c r="B306" s="159"/>
      <c r="C306" s="36"/>
      <c r="D306" s="36"/>
      <c r="E306" s="36"/>
      <c r="F306" s="36"/>
      <c r="G306" s="36"/>
      <c r="H306" s="36"/>
      <c r="I306" s="47"/>
      <c r="J306" s="36"/>
      <c r="K306" s="36"/>
      <c r="L306" s="34"/>
      <c r="M306" s="36"/>
      <c r="N306" s="47"/>
      <c r="O306" s="36"/>
      <c r="P306" s="34"/>
      <c r="Q306" s="36"/>
      <c r="R306" s="47"/>
      <c r="S306" s="36"/>
      <c r="T306" s="34"/>
      <c r="U306" s="36"/>
      <c r="V306" s="47"/>
      <c r="W306" s="36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</row>
    <row r="307" ht="22.5" customHeight="1">
      <c r="A307" s="185"/>
      <c r="B307" s="159"/>
      <c r="C307" s="36"/>
      <c r="D307" s="36"/>
      <c r="E307" s="36"/>
      <c r="F307" s="36"/>
      <c r="G307" s="36"/>
      <c r="H307" s="36"/>
      <c r="I307" s="173"/>
      <c r="J307" s="36"/>
      <c r="K307" s="36"/>
      <c r="L307" s="34"/>
      <c r="M307" s="36"/>
      <c r="N307" s="47"/>
      <c r="O307" s="36"/>
      <c r="P307" s="34"/>
      <c r="Q307" s="36"/>
      <c r="R307" s="47"/>
      <c r="S307" s="36"/>
      <c r="T307" s="34"/>
      <c r="U307" s="36"/>
      <c r="V307" s="47"/>
      <c r="W307" s="36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</row>
    <row r="308" ht="22.5" customHeight="1">
      <c r="A308" s="185"/>
      <c r="B308" s="159"/>
      <c r="C308" s="36"/>
      <c r="D308" s="36"/>
      <c r="E308" s="36"/>
      <c r="F308" s="36"/>
      <c r="G308" s="36"/>
      <c r="H308" s="36"/>
      <c r="I308" s="47"/>
      <c r="J308" s="36"/>
      <c r="K308" s="36"/>
      <c r="L308" s="34"/>
      <c r="M308" s="36"/>
      <c r="N308" s="47"/>
      <c r="O308" s="36"/>
      <c r="P308" s="34"/>
      <c r="Q308" s="36"/>
      <c r="R308" s="47"/>
      <c r="S308" s="36"/>
      <c r="T308" s="34"/>
      <c r="U308" s="36"/>
      <c r="V308" s="47"/>
      <c r="W308" s="36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</row>
    <row r="309" ht="22.5" customHeight="1">
      <c r="A309" s="185"/>
      <c r="B309" s="159"/>
      <c r="C309" s="36"/>
      <c r="D309" s="36"/>
      <c r="E309" s="36"/>
      <c r="F309" s="36"/>
      <c r="G309" s="36"/>
      <c r="H309" s="36"/>
      <c r="I309" s="47"/>
      <c r="J309" s="36"/>
      <c r="K309" s="36"/>
      <c r="L309" s="34"/>
      <c r="M309" s="36"/>
      <c r="N309" s="47"/>
      <c r="O309" s="36"/>
      <c r="P309" s="34"/>
      <c r="Q309" s="36"/>
      <c r="R309" s="47"/>
      <c r="S309" s="36"/>
      <c r="T309" s="34"/>
      <c r="U309" s="36"/>
      <c r="V309" s="47"/>
      <c r="W309" s="36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</row>
    <row r="310" ht="22.5" customHeight="1">
      <c r="A310" s="185"/>
      <c r="B310" s="159"/>
      <c r="C310" s="36"/>
      <c r="D310" s="36"/>
      <c r="E310" s="36"/>
      <c r="F310" s="36"/>
      <c r="G310" s="36"/>
      <c r="H310" s="36"/>
      <c r="I310" s="47"/>
      <c r="J310" s="36"/>
      <c r="K310" s="36"/>
      <c r="L310" s="34"/>
      <c r="M310" s="36"/>
      <c r="N310" s="47"/>
      <c r="O310" s="36"/>
      <c r="P310" s="34"/>
      <c r="Q310" s="36"/>
      <c r="R310" s="47"/>
      <c r="S310" s="36"/>
      <c r="T310" s="34"/>
      <c r="U310" s="36"/>
      <c r="V310" s="47"/>
      <c r="W310" s="36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</row>
    <row r="311" ht="22.5" customHeight="1">
      <c r="A311" s="185"/>
      <c r="B311" s="159"/>
      <c r="C311" s="36"/>
      <c r="D311" s="36"/>
      <c r="E311" s="36"/>
      <c r="F311" s="36"/>
      <c r="G311" s="36"/>
      <c r="H311" s="36"/>
      <c r="I311" s="47"/>
      <c r="J311" s="36"/>
      <c r="K311" s="36"/>
      <c r="L311" s="34"/>
      <c r="M311" s="36"/>
      <c r="N311" s="47"/>
      <c r="O311" s="36"/>
      <c r="P311" s="34"/>
      <c r="Q311" s="36"/>
      <c r="R311" s="47"/>
      <c r="S311" s="36"/>
      <c r="T311" s="34"/>
      <c r="U311" s="36"/>
      <c r="V311" s="47"/>
      <c r="W311" s="36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</row>
    <row r="312" ht="22.5" customHeight="1">
      <c r="A312" s="185"/>
      <c r="B312" s="159"/>
      <c r="C312" s="36"/>
      <c r="D312" s="36"/>
      <c r="E312" s="36"/>
      <c r="F312" s="36"/>
      <c r="G312" s="36"/>
      <c r="H312" s="36"/>
      <c r="I312" s="173"/>
      <c r="J312" s="36"/>
      <c r="K312" s="36"/>
      <c r="L312" s="34"/>
      <c r="M312" s="36"/>
      <c r="N312" s="47"/>
      <c r="O312" s="36"/>
      <c r="P312" s="34"/>
      <c r="Q312" s="36"/>
      <c r="R312" s="47"/>
      <c r="S312" s="36"/>
      <c r="T312" s="34"/>
      <c r="U312" s="36"/>
      <c r="V312" s="47"/>
      <c r="W312" s="36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</row>
    <row r="313" ht="22.5" customHeight="1">
      <c r="A313" s="185"/>
      <c r="B313" s="159"/>
      <c r="C313" s="36"/>
      <c r="D313" s="36"/>
      <c r="E313" s="36"/>
      <c r="F313" s="36"/>
      <c r="G313" s="36"/>
      <c r="H313" s="36"/>
      <c r="I313" s="173"/>
      <c r="J313" s="36"/>
      <c r="K313" s="36"/>
      <c r="L313" s="34"/>
      <c r="M313" s="36"/>
      <c r="N313" s="47"/>
      <c r="O313" s="36"/>
      <c r="P313" s="34"/>
      <c r="Q313" s="36"/>
      <c r="R313" s="47"/>
      <c r="S313" s="36"/>
      <c r="T313" s="34"/>
      <c r="U313" s="36"/>
      <c r="V313" s="47"/>
      <c r="W313" s="36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</row>
    <row r="314" ht="22.5" customHeight="1">
      <c r="A314" s="185"/>
      <c r="B314" s="159"/>
      <c r="C314" s="36"/>
      <c r="D314" s="36"/>
      <c r="E314" s="36"/>
      <c r="F314" s="36"/>
      <c r="G314" s="36"/>
      <c r="H314" s="36"/>
      <c r="I314" s="173"/>
      <c r="J314" s="36"/>
      <c r="K314" s="36"/>
      <c r="L314" s="34"/>
      <c r="M314" s="36"/>
      <c r="N314" s="47"/>
      <c r="O314" s="36"/>
      <c r="P314" s="34"/>
      <c r="Q314" s="36"/>
      <c r="R314" s="47"/>
      <c r="S314" s="36"/>
      <c r="T314" s="34"/>
      <c r="U314" s="36"/>
      <c r="V314" s="47"/>
      <c r="W314" s="36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</row>
    <row r="315" ht="22.5" customHeight="1">
      <c r="A315" s="185"/>
      <c r="B315" s="159"/>
      <c r="C315" s="36"/>
      <c r="D315" s="36"/>
      <c r="E315" s="36"/>
      <c r="F315" s="36"/>
      <c r="G315" s="36"/>
      <c r="H315" s="36"/>
      <c r="I315" s="47"/>
      <c r="J315" s="36"/>
      <c r="K315" s="36"/>
      <c r="L315" s="34"/>
      <c r="M315" s="36"/>
      <c r="N315" s="47"/>
      <c r="O315" s="36"/>
      <c r="P315" s="34"/>
      <c r="Q315" s="36"/>
      <c r="R315" s="47"/>
      <c r="S315" s="36"/>
      <c r="T315" s="34"/>
      <c r="U315" s="36"/>
      <c r="V315" s="47"/>
      <c r="W315" s="36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</row>
    <row r="316" ht="22.5" customHeight="1">
      <c r="A316" s="185"/>
      <c r="B316" s="159"/>
      <c r="C316" s="36"/>
      <c r="D316" s="36"/>
      <c r="E316" s="36"/>
      <c r="F316" s="36"/>
      <c r="G316" s="36"/>
      <c r="H316" s="36"/>
      <c r="I316" s="173"/>
      <c r="J316" s="36"/>
      <c r="K316" s="36"/>
      <c r="L316" s="34"/>
      <c r="M316" s="36"/>
      <c r="N316" s="47"/>
      <c r="O316" s="36"/>
      <c r="P316" s="34"/>
      <c r="Q316" s="36"/>
      <c r="R316" s="47"/>
      <c r="S316" s="36"/>
      <c r="T316" s="34"/>
      <c r="U316" s="36"/>
      <c r="V316" s="47"/>
      <c r="W316" s="36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</row>
    <row r="317" ht="22.5" customHeight="1">
      <c r="A317" s="120"/>
      <c r="B317" s="159"/>
      <c r="C317" s="36"/>
      <c r="D317" s="36"/>
      <c r="E317" s="36"/>
      <c r="F317" s="36"/>
      <c r="G317" s="36"/>
      <c r="H317" s="36"/>
      <c r="I317" s="173"/>
      <c r="J317" s="36"/>
      <c r="K317" s="36"/>
      <c r="L317" s="34"/>
      <c r="M317" s="36"/>
      <c r="N317" s="47"/>
      <c r="O317" s="36"/>
      <c r="P317" s="34"/>
      <c r="Q317" s="36"/>
      <c r="R317" s="47"/>
      <c r="S317" s="36"/>
      <c r="T317" s="34"/>
      <c r="U317" s="36"/>
      <c r="V317" s="47"/>
      <c r="W317" s="36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</row>
    <row r="318" ht="22.5" customHeight="1">
      <c r="A318" s="185"/>
      <c r="B318" s="159"/>
      <c r="C318" s="36"/>
      <c r="D318" s="36"/>
      <c r="E318" s="36"/>
      <c r="F318" s="36"/>
      <c r="G318" s="36"/>
      <c r="H318" s="36"/>
      <c r="I318" s="47"/>
      <c r="J318" s="36"/>
      <c r="K318" s="36"/>
      <c r="L318" s="34"/>
      <c r="M318" s="36"/>
      <c r="N318" s="47"/>
      <c r="O318" s="36"/>
      <c r="P318" s="34"/>
      <c r="Q318" s="36"/>
      <c r="R318" s="47"/>
      <c r="S318" s="36"/>
      <c r="T318" s="34"/>
      <c r="U318" s="36"/>
      <c r="V318" s="47"/>
      <c r="W318" s="36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</row>
    <row r="319" ht="22.5" customHeight="1">
      <c r="A319" s="120"/>
      <c r="B319" s="159"/>
      <c r="C319" s="36"/>
      <c r="D319" s="36"/>
      <c r="E319" s="36"/>
      <c r="F319" s="36"/>
      <c r="G319" s="36"/>
      <c r="H319" s="36"/>
      <c r="I319" s="47"/>
      <c r="J319" s="36"/>
      <c r="K319" s="36"/>
      <c r="L319" s="34"/>
      <c r="M319" s="36"/>
      <c r="N319" s="47"/>
      <c r="O319" s="36"/>
      <c r="P319" s="34"/>
      <c r="Q319" s="36"/>
      <c r="R319" s="47"/>
      <c r="S319" s="36"/>
      <c r="T319" s="34"/>
      <c r="U319" s="36"/>
      <c r="V319" s="47"/>
      <c r="W319" s="36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</row>
    <row r="320" ht="22.5" customHeight="1">
      <c r="A320" s="120"/>
      <c r="B320" s="159"/>
      <c r="C320" s="36"/>
      <c r="D320" s="36"/>
      <c r="E320" s="36"/>
      <c r="F320" s="36"/>
      <c r="G320" s="36"/>
      <c r="H320" s="36"/>
      <c r="I320" s="47"/>
      <c r="J320" s="36"/>
      <c r="K320" s="36"/>
      <c r="L320" s="34"/>
      <c r="M320" s="36"/>
      <c r="N320" s="47"/>
      <c r="O320" s="36"/>
      <c r="P320" s="34"/>
      <c r="Q320" s="36"/>
      <c r="R320" s="47"/>
      <c r="S320" s="36"/>
      <c r="T320" s="34"/>
      <c r="U320" s="36"/>
      <c r="V320" s="47"/>
      <c r="W320" s="36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</row>
    <row r="321" ht="22.5" customHeight="1">
      <c r="A321" s="120"/>
      <c r="B321" s="159"/>
      <c r="C321" s="36"/>
      <c r="D321" s="36"/>
      <c r="E321" s="36"/>
      <c r="F321" s="36"/>
      <c r="G321" s="36"/>
      <c r="H321" s="36"/>
      <c r="I321" s="47"/>
      <c r="J321" s="36"/>
      <c r="K321" s="36"/>
      <c r="L321" s="34"/>
      <c r="M321" s="36"/>
      <c r="N321" s="47"/>
      <c r="O321" s="36"/>
      <c r="P321" s="34"/>
      <c r="Q321" s="36"/>
      <c r="R321" s="47"/>
      <c r="S321" s="36"/>
      <c r="T321" s="34"/>
      <c r="U321" s="36"/>
      <c r="V321" s="47"/>
      <c r="W321" s="36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</row>
    <row r="322" ht="22.5" customHeight="1">
      <c r="A322" s="120"/>
      <c r="B322" s="159"/>
      <c r="C322" s="36"/>
      <c r="D322" s="36"/>
      <c r="E322" s="36"/>
      <c r="F322" s="36"/>
      <c r="G322" s="36"/>
      <c r="H322" s="36"/>
      <c r="I322" s="183"/>
      <c r="J322" s="36"/>
      <c r="K322" s="36"/>
      <c r="L322" s="34"/>
      <c r="M322" s="36"/>
      <c r="N322" s="47"/>
      <c r="O322" s="36"/>
      <c r="P322" s="34"/>
      <c r="Q322" s="36"/>
      <c r="R322" s="47"/>
      <c r="S322" s="36"/>
      <c r="T322" s="34"/>
      <c r="U322" s="36"/>
      <c r="V322" s="47"/>
      <c r="W322" s="36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</row>
    <row r="323" ht="22.5" customHeight="1">
      <c r="A323" s="120"/>
      <c r="B323" s="159"/>
      <c r="C323" s="36"/>
      <c r="D323" s="36"/>
      <c r="E323" s="36"/>
      <c r="F323" s="36"/>
      <c r="G323" s="36"/>
      <c r="H323" s="36"/>
      <c r="I323" s="47"/>
      <c r="J323" s="36"/>
      <c r="K323" s="36"/>
      <c r="L323" s="34"/>
      <c r="M323" s="36"/>
      <c r="N323" s="47"/>
      <c r="O323" s="36"/>
      <c r="P323" s="34"/>
      <c r="Q323" s="36"/>
      <c r="R323" s="47"/>
      <c r="S323" s="36"/>
      <c r="T323" s="34"/>
      <c r="U323" s="36"/>
      <c r="V323" s="47"/>
      <c r="W323" s="36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</row>
    <row r="324" ht="22.5" customHeight="1">
      <c r="A324" s="120"/>
      <c r="B324" s="159"/>
      <c r="C324" s="36"/>
      <c r="D324" s="36"/>
      <c r="E324" s="36"/>
      <c r="F324" s="36"/>
      <c r="G324" s="36"/>
      <c r="H324" s="36"/>
      <c r="I324" s="47"/>
      <c r="J324" s="36"/>
      <c r="K324" s="36"/>
      <c r="L324" s="34"/>
      <c r="M324" s="36"/>
      <c r="N324" s="47"/>
      <c r="O324" s="36"/>
      <c r="P324" s="34"/>
      <c r="Q324" s="36"/>
      <c r="R324" s="47"/>
      <c r="S324" s="36"/>
      <c r="T324" s="34"/>
      <c r="U324" s="36"/>
      <c r="V324" s="47"/>
      <c r="W324" s="36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</row>
    <row r="325" ht="22.5" customHeight="1">
      <c r="A325" s="120"/>
      <c r="B325" s="159"/>
      <c r="C325" s="36"/>
      <c r="D325" s="36"/>
      <c r="E325" s="36"/>
      <c r="F325" s="36"/>
      <c r="G325" s="36"/>
      <c r="H325" s="36"/>
      <c r="I325" s="47"/>
      <c r="J325" s="36"/>
      <c r="K325" s="36"/>
      <c r="L325" s="34"/>
      <c r="M325" s="36"/>
      <c r="N325" s="47"/>
      <c r="O325" s="36"/>
      <c r="P325" s="34"/>
      <c r="Q325" s="36"/>
      <c r="R325" s="47"/>
      <c r="S325" s="36"/>
      <c r="T325" s="34"/>
      <c r="U325" s="36"/>
      <c r="V325" s="47"/>
      <c r="W325" s="36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</row>
    <row r="326" ht="22.5" customHeight="1">
      <c r="A326" s="120"/>
      <c r="B326" s="159"/>
      <c r="C326" s="36"/>
      <c r="D326" s="36"/>
      <c r="E326" s="36"/>
      <c r="F326" s="36"/>
      <c r="G326" s="36"/>
      <c r="H326" s="36"/>
      <c r="I326" s="47"/>
      <c r="J326" s="36"/>
      <c r="K326" s="36"/>
      <c r="L326" s="34"/>
      <c r="M326" s="30"/>
      <c r="N326" s="47"/>
      <c r="O326" s="30"/>
      <c r="P326" s="34"/>
      <c r="Q326" s="30"/>
      <c r="R326" s="47"/>
      <c r="S326" s="30"/>
      <c r="T326" s="34"/>
      <c r="U326" s="30"/>
      <c r="V326" s="47"/>
      <c r="W326" s="30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</row>
    <row r="327" ht="22.5" customHeight="1">
      <c r="A327" s="185"/>
      <c r="B327" s="159"/>
      <c r="C327" s="36"/>
      <c r="D327" s="36"/>
      <c r="E327" s="36"/>
      <c r="F327" s="36"/>
      <c r="G327" s="36"/>
      <c r="H327" s="36"/>
      <c r="I327" s="47"/>
      <c r="J327" s="36"/>
      <c r="K327" s="36"/>
      <c r="L327" s="34"/>
      <c r="M327" s="30"/>
      <c r="N327" s="47"/>
      <c r="O327" s="30"/>
      <c r="P327" s="34"/>
      <c r="Q327" s="30"/>
      <c r="R327" s="47"/>
      <c r="S327" s="30"/>
      <c r="T327" s="34"/>
      <c r="U327" s="30"/>
      <c r="V327" s="47"/>
      <c r="W327" s="30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</row>
    <row r="328" ht="22.5" customHeight="1">
      <c r="A328" s="120"/>
      <c r="B328" s="159"/>
      <c r="C328" s="54"/>
      <c r="D328" s="36"/>
      <c r="E328" s="36"/>
      <c r="F328" s="30"/>
      <c r="G328" s="30"/>
      <c r="H328" s="186"/>
      <c r="I328" s="47"/>
      <c r="J328" s="30"/>
      <c r="K328" s="30"/>
      <c r="L328" s="34"/>
      <c r="M328" s="30"/>
      <c r="N328" s="47"/>
      <c r="O328" s="30"/>
      <c r="P328" s="34"/>
      <c r="Q328" s="30"/>
      <c r="R328" s="47"/>
      <c r="S328" s="30"/>
      <c r="T328" s="34"/>
      <c r="U328" s="30"/>
      <c r="V328" s="47"/>
      <c r="W328" s="30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</row>
    <row r="329" ht="22.5" customHeight="1">
      <c r="A329" s="120"/>
      <c r="B329" s="159"/>
      <c r="C329" s="54"/>
      <c r="D329" s="54"/>
      <c r="E329" s="54"/>
      <c r="F329" s="36"/>
      <c r="G329" s="30"/>
      <c r="H329" s="36"/>
      <c r="I329" s="173"/>
      <c r="J329" s="30"/>
      <c r="K329" s="30"/>
      <c r="L329" s="34"/>
      <c r="M329" s="30"/>
      <c r="N329" s="47"/>
      <c r="O329" s="30"/>
      <c r="P329" s="34"/>
      <c r="Q329" s="30"/>
      <c r="R329" s="47"/>
      <c r="S329" s="30"/>
      <c r="T329" s="34"/>
      <c r="U329" s="30"/>
      <c r="V329" s="47"/>
      <c r="W329" s="30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</row>
    <row r="330" ht="22.5" customHeight="1">
      <c r="A330" s="120"/>
      <c r="B330" s="159"/>
      <c r="C330" s="54"/>
      <c r="D330" s="54"/>
      <c r="E330" s="54"/>
      <c r="F330" s="36"/>
      <c r="G330" s="30"/>
      <c r="H330" s="186"/>
      <c r="I330" s="173"/>
      <c r="J330" s="30"/>
      <c r="K330" s="30"/>
      <c r="L330" s="34"/>
      <c r="M330" s="30"/>
      <c r="N330" s="47"/>
      <c r="O330" s="30"/>
      <c r="P330" s="34"/>
      <c r="Q330" s="30"/>
      <c r="R330" s="47"/>
      <c r="S330" s="30"/>
      <c r="T330" s="34"/>
      <c r="U330" s="30"/>
      <c r="V330" s="47"/>
      <c r="W330" s="30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</row>
    <row r="331" ht="22.5" customHeight="1">
      <c r="A331" s="120"/>
      <c r="B331" s="159"/>
      <c r="C331" s="54"/>
      <c r="D331" s="54"/>
      <c r="E331" s="54"/>
      <c r="F331" s="54"/>
      <c r="G331" s="36"/>
      <c r="H331" s="186"/>
      <c r="I331" s="173"/>
      <c r="J331" s="30"/>
      <c r="K331" s="30"/>
      <c r="L331" s="34"/>
      <c r="M331" s="30"/>
      <c r="N331" s="47"/>
      <c r="O331" s="30"/>
      <c r="P331" s="34"/>
      <c r="Q331" s="30"/>
      <c r="R331" s="47"/>
      <c r="S331" s="30"/>
      <c r="T331" s="34"/>
      <c r="U331" s="30"/>
      <c r="V331" s="47"/>
      <c r="W331" s="30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</row>
    <row r="332" ht="22.5" customHeight="1">
      <c r="A332" s="120"/>
      <c r="B332" s="159"/>
      <c r="C332" s="54"/>
      <c r="D332" s="54"/>
      <c r="E332" s="54"/>
      <c r="F332" s="54"/>
      <c r="G332" s="36"/>
      <c r="H332" s="186"/>
      <c r="I332" s="173"/>
      <c r="J332" s="30"/>
      <c r="K332" s="30"/>
      <c r="L332" s="34"/>
      <c r="M332" s="30"/>
      <c r="N332" s="47"/>
      <c r="O332" s="30"/>
      <c r="P332" s="34"/>
      <c r="Q332" s="30"/>
      <c r="R332" s="47"/>
      <c r="S332" s="30"/>
      <c r="T332" s="34"/>
      <c r="U332" s="30"/>
      <c r="V332" s="47"/>
      <c r="W332" s="30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</row>
    <row r="333" ht="22.5" customHeight="1">
      <c r="A333" s="120"/>
      <c r="B333" s="159"/>
      <c r="C333" s="54"/>
      <c r="D333" s="54"/>
      <c r="E333" s="54"/>
      <c r="F333" s="54"/>
      <c r="G333" s="30"/>
      <c r="H333" s="186"/>
      <c r="I333" s="173"/>
      <c r="J333" s="30"/>
      <c r="K333" s="30"/>
      <c r="L333" s="34"/>
      <c r="M333" s="30"/>
      <c r="N333" s="47"/>
      <c r="O333" s="30"/>
      <c r="P333" s="34"/>
      <c r="Q333" s="30"/>
      <c r="R333" s="47"/>
      <c r="S333" s="30"/>
      <c r="T333" s="34"/>
      <c r="U333" s="30"/>
      <c r="V333" s="47"/>
      <c r="W333" s="30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</row>
    <row r="334" ht="22.5" customHeight="1">
      <c r="A334" s="120"/>
      <c r="B334" s="159"/>
      <c r="C334" s="54"/>
      <c r="D334" s="54"/>
      <c r="E334" s="54"/>
      <c r="F334" s="30"/>
      <c r="G334" s="30"/>
      <c r="H334" s="186"/>
      <c r="I334" s="173"/>
      <c r="J334" s="30"/>
      <c r="K334" s="30"/>
      <c r="L334" s="34"/>
      <c r="M334" s="30"/>
      <c r="N334" s="47"/>
      <c r="O334" s="30"/>
      <c r="P334" s="34"/>
      <c r="Q334" s="30"/>
      <c r="R334" s="47"/>
      <c r="S334" s="30"/>
      <c r="T334" s="34"/>
      <c r="U334" s="30"/>
      <c r="V334" s="47"/>
      <c r="W334" s="30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</row>
    <row r="335" ht="22.5" customHeight="1">
      <c r="A335" s="120"/>
      <c r="B335" s="159"/>
      <c r="C335" s="54"/>
      <c r="D335" s="30"/>
      <c r="E335" s="54"/>
      <c r="F335" s="30"/>
      <c r="G335" s="30"/>
      <c r="H335" s="30"/>
      <c r="I335" s="47"/>
      <c r="J335" s="30"/>
      <c r="K335" s="30"/>
      <c r="L335" s="34"/>
      <c r="M335" s="30"/>
      <c r="N335" s="47"/>
      <c r="O335" s="30"/>
      <c r="P335" s="34"/>
      <c r="Q335" s="30"/>
      <c r="R335" s="47"/>
      <c r="S335" s="30"/>
      <c r="T335" s="34"/>
      <c r="U335" s="30"/>
      <c r="V335" s="47"/>
      <c r="W335" s="30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</row>
    <row r="336" ht="22.5" customHeight="1">
      <c r="A336" s="120"/>
      <c r="B336" s="159"/>
      <c r="C336" s="54"/>
      <c r="D336" s="30"/>
      <c r="E336" s="54"/>
      <c r="F336" s="36"/>
      <c r="G336" s="30"/>
      <c r="H336" s="30"/>
      <c r="I336" s="173"/>
      <c r="J336" s="30"/>
      <c r="K336" s="30"/>
      <c r="L336" s="34"/>
      <c r="M336" s="30"/>
      <c r="N336" s="47"/>
      <c r="O336" s="30"/>
      <c r="P336" s="34"/>
      <c r="Q336" s="30"/>
      <c r="R336" s="47"/>
      <c r="S336" s="30"/>
      <c r="T336" s="34"/>
      <c r="U336" s="30"/>
      <c r="V336" s="47"/>
      <c r="W336" s="30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</row>
    <row r="337" ht="22.5" customHeight="1">
      <c r="A337" s="120"/>
      <c r="B337" s="159"/>
      <c r="C337" s="54"/>
      <c r="D337" s="30"/>
      <c r="E337" s="30"/>
      <c r="F337" s="36"/>
      <c r="G337" s="30"/>
      <c r="H337" s="30"/>
      <c r="I337" s="173"/>
      <c r="J337" s="30"/>
      <c r="K337" s="30"/>
      <c r="L337" s="34"/>
      <c r="M337" s="30"/>
      <c r="N337" s="47"/>
      <c r="O337" s="30"/>
      <c r="P337" s="34"/>
      <c r="Q337" s="30"/>
      <c r="R337" s="47"/>
      <c r="S337" s="30"/>
      <c r="T337" s="34"/>
      <c r="U337" s="30"/>
      <c r="V337" s="47"/>
      <c r="W337" s="30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</row>
    <row r="338" ht="22.5" customHeight="1">
      <c r="A338" s="120"/>
      <c r="B338" s="159"/>
      <c r="C338" s="54"/>
      <c r="D338" s="54"/>
      <c r="E338" s="54"/>
      <c r="F338" s="36"/>
      <c r="G338" s="30"/>
      <c r="H338" s="30"/>
      <c r="I338" s="173"/>
      <c r="J338" s="30"/>
      <c r="K338" s="30"/>
      <c r="L338" s="34"/>
      <c r="M338" s="30"/>
      <c r="N338" s="47"/>
      <c r="O338" s="30"/>
      <c r="P338" s="34"/>
      <c r="Q338" s="30"/>
      <c r="R338" s="47"/>
      <c r="S338" s="30"/>
      <c r="T338" s="34"/>
      <c r="U338" s="30"/>
      <c r="V338" s="47"/>
      <c r="W338" s="30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</row>
    <row r="339" ht="22.5" customHeight="1">
      <c r="A339" s="120"/>
      <c r="B339" s="159"/>
      <c r="C339" s="54"/>
      <c r="D339" s="30"/>
      <c r="E339" s="54"/>
      <c r="F339" s="36"/>
      <c r="G339" s="30"/>
      <c r="H339" s="30"/>
      <c r="I339" s="173"/>
      <c r="J339" s="30"/>
      <c r="K339" s="30"/>
      <c r="L339" s="34"/>
      <c r="M339" s="30"/>
      <c r="N339" s="47"/>
      <c r="O339" s="30"/>
      <c r="P339" s="34"/>
      <c r="Q339" s="30"/>
      <c r="R339" s="47"/>
      <c r="S339" s="30"/>
      <c r="T339" s="34"/>
      <c r="U339" s="30"/>
      <c r="V339" s="47"/>
      <c r="W339" s="30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</row>
    <row r="340" ht="22.5" customHeight="1">
      <c r="A340" s="120"/>
      <c r="B340" s="159"/>
      <c r="C340" s="54"/>
      <c r="D340" s="30"/>
      <c r="E340" s="30"/>
      <c r="F340" s="30"/>
      <c r="G340" s="30"/>
      <c r="H340" s="30"/>
      <c r="I340" s="47"/>
      <c r="J340" s="30"/>
      <c r="K340" s="30"/>
      <c r="L340" s="34"/>
      <c r="M340" s="30"/>
      <c r="N340" s="47"/>
      <c r="O340" s="30"/>
      <c r="P340" s="34"/>
      <c r="Q340" s="30"/>
      <c r="R340" s="47"/>
      <c r="S340" s="30"/>
      <c r="T340" s="34"/>
      <c r="U340" s="30"/>
      <c r="V340" s="47"/>
      <c r="W340" s="30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</row>
    <row r="341" ht="22.5" customHeight="1">
      <c r="A341" s="184"/>
      <c r="B341" s="159"/>
      <c r="C341" s="54"/>
      <c r="D341" s="30"/>
      <c r="E341" s="30"/>
      <c r="F341" s="30"/>
      <c r="G341" s="30"/>
      <c r="H341" s="30"/>
      <c r="I341" s="47"/>
      <c r="J341" s="30"/>
      <c r="K341" s="30"/>
      <c r="L341" s="34"/>
      <c r="M341" s="30"/>
      <c r="N341" s="47"/>
      <c r="O341" s="30"/>
      <c r="P341" s="34"/>
      <c r="Q341" s="30"/>
      <c r="R341" s="47"/>
      <c r="S341" s="30"/>
      <c r="T341" s="34"/>
      <c r="U341" s="30"/>
      <c r="V341" s="47"/>
      <c r="W341" s="30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</row>
    <row r="342" ht="22.5" customHeight="1">
      <c r="A342" s="184"/>
      <c r="B342" s="159"/>
      <c r="C342" s="54"/>
      <c r="D342" s="30"/>
      <c r="E342" s="30"/>
      <c r="F342" s="30"/>
      <c r="G342" s="30"/>
      <c r="H342" s="30"/>
      <c r="I342" s="47"/>
      <c r="J342" s="30"/>
      <c r="K342" s="30"/>
      <c r="L342" s="34"/>
      <c r="M342" s="30"/>
      <c r="N342" s="47"/>
      <c r="O342" s="30"/>
      <c r="P342" s="34"/>
      <c r="Q342" s="30"/>
      <c r="R342" s="47"/>
      <c r="S342" s="30"/>
      <c r="T342" s="34"/>
      <c r="U342" s="30"/>
      <c r="V342" s="47"/>
      <c r="W342" s="30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</row>
    <row r="343" ht="22.5" customHeight="1">
      <c r="A343" s="120"/>
      <c r="B343" s="159"/>
      <c r="C343" s="54"/>
      <c r="D343" s="30"/>
      <c r="E343" s="30"/>
      <c r="F343" s="30"/>
      <c r="G343" s="30"/>
      <c r="H343" s="30"/>
      <c r="I343" s="47"/>
      <c r="J343" s="30"/>
      <c r="K343" s="30"/>
      <c r="L343" s="34"/>
      <c r="M343" s="30"/>
      <c r="N343" s="47"/>
      <c r="O343" s="30"/>
      <c r="P343" s="34"/>
      <c r="Q343" s="30"/>
      <c r="R343" s="47"/>
      <c r="S343" s="30"/>
      <c r="T343" s="34"/>
      <c r="U343" s="30"/>
      <c r="V343" s="47"/>
      <c r="W343" s="30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</row>
    <row r="344" ht="22.5" customHeight="1">
      <c r="A344" s="184"/>
      <c r="B344" s="159"/>
      <c r="C344" s="54"/>
      <c r="D344" s="30"/>
      <c r="E344" s="30"/>
      <c r="F344" s="30"/>
      <c r="G344" s="30"/>
      <c r="H344" s="30"/>
      <c r="I344" s="47"/>
      <c r="J344" s="30"/>
      <c r="K344" s="30"/>
      <c r="L344" s="34"/>
      <c r="M344" s="30"/>
      <c r="N344" s="47"/>
      <c r="O344" s="30"/>
      <c r="P344" s="34"/>
      <c r="Q344" s="30"/>
      <c r="R344" s="47"/>
      <c r="S344" s="30"/>
      <c r="T344" s="34"/>
      <c r="U344" s="30"/>
      <c r="V344" s="47"/>
      <c r="W344" s="30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</row>
    <row r="345" ht="22.5" customHeight="1">
      <c r="A345" s="176"/>
      <c r="B345" s="159"/>
      <c r="C345" s="54"/>
      <c r="D345" s="30"/>
      <c r="E345" s="30"/>
      <c r="F345" s="36"/>
      <c r="G345" s="30"/>
      <c r="H345" s="30"/>
      <c r="I345" s="173"/>
      <c r="J345" s="30"/>
      <c r="K345" s="30"/>
      <c r="L345" s="34"/>
      <c r="M345" s="30"/>
      <c r="N345" s="47"/>
      <c r="O345" s="30"/>
      <c r="P345" s="34"/>
      <c r="Q345" s="30"/>
      <c r="R345" s="47"/>
      <c r="S345" s="30"/>
      <c r="T345" s="34"/>
      <c r="U345" s="30"/>
      <c r="V345" s="47"/>
      <c r="W345" s="30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</row>
    <row r="346" ht="22.5" customHeight="1">
      <c r="A346" s="120"/>
      <c r="B346" s="159"/>
      <c r="C346" s="54"/>
      <c r="D346" s="30"/>
      <c r="E346" s="30"/>
      <c r="F346" s="30"/>
      <c r="G346" s="30"/>
      <c r="H346" s="30"/>
      <c r="I346" s="47"/>
      <c r="J346" s="30"/>
      <c r="K346" s="30"/>
      <c r="L346" s="34"/>
      <c r="M346" s="30"/>
      <c r="N346" s="47"/>
      <c r="O346" s="30"/>
      <c r="P346" s="34"/>
      <c r="Q346" s="30"/>
      <c r="R346" s="47"/>
      <c r="S346" s="30"/>
      <c r="T346" s="34"/>
      <c r="U346" s="30"/>
      <c r="V346" s="47"/>
      <c r="W346" s="30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</row>
    <row r="347" ht="22.5" customHeight="1">
      <c r="A347" s="120"/>
      <c r="B347" s="159"/>
      <c r="C347" s="54"/>
      <c r="D347" s="30"/>
      <c r="E347" s="30"/>
      <c r="F347" s="30"/>
      <c r="G347" s="30"/>
      <c r="H347" s="30"/>
      <c r="I347" s="47"/>
      <c r="J347" s="30"/>
      <c r="K347" s="30"/>
      <c r="L347" s="34"/>
      <c r="M347" s="30"/>
      <c r="N347" s="47"/>
      <c r="O347" s="30"/>
      <c r="P347" s="34"/>
      <c r="Q347" s="30"/>
      <c r="R347" s="47"/>
      <c r="S347" s="30"/>
      <c r="T347" s="34"/>
      <c r="U347" s="30"/>
      <c r="V347" s="47"/>
      <c r="W347" s="30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</row>
    <row r="348" ht="22.5" customHeight="1">
      <c r="A348" s="120"/>
      <c r="B348" s="159"/>
      <c r="C348" s="54"/>
      <c r="D348" s="30"/>
      <c r="E348" s="30"/>
      <c r="F348" s="30"/>
      <c r="G348" s="30"/>
      <c r="H348" s="30"/>
      <c r="I348" s="47"/>
      <c r="J348" s="30"/>
      <c r="K348" s="30"/>
      <c r="L348" s="34"/>
      <c r="M348" s="30"/>
      <c r="N348" s="47"/>
      <c r="O348" s="187"/>
      <c r="P348" s="34"/>
      <c r="Q348" s="30"/>
      <c r="R348" s="47"/>
      <c r="S348" s="187"/>
      <c r="T348" s="34"/>
      <c r="U348" s="30"/>
      <c r="V348" s="47"/>
      <c r="W348" s="187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</row>
    <row r="349" ht="22.5" customHeight="1">
      <c r="A349" s="120"/>
      <c r="B349" s="159"/>
      <c r="C349" s="54"/>
      <c r="D349" s="30"/>
      <c r="E349" s="30"/>
      <c r="F349" s="30"/>
      <c r="G349" s="30"/>
      <c r="H349" s="30"/>
      <c r="I349" s="47"/>
      <c r="J349" s="30"/>
      <c r="K349" s="30"/>
      <c r="L349" s="34"/>
      <c r="M349" s="30"/>
      <c r="N349" s="47"/>
      <c r="O349" s="30"/>
      <c r="P349" s="34"/>
      <c r="Q349" s="30"/>
      <c r="R349" s="47"/>
      <c r="S349" s="30"/>
      <c r="T349" s="34"/>
      <c r="U349" s="30"/>
      <c r="V349" s="47"/>
      <c r="W349" s="30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</row>
    <row r="350" ht="22.5" customHeight="1">
      <c r="A350" s="120"/>
      <c r="B350" s="159"/>
      <c r="C350" s="54"/>
      <c r="D350" s="30"/>
      <c r="E350" s="30"/>
      <c r="F350" s="30"/>
      <c r="G350" s="30"/>
      <c r="H350" s="30"/>
      <c r="I350" s="47"/>
      <c r="J350" s="30"/>
      <c r="K350" s="30"/>
      <c r="L350" s="34"/>
      <c r="M350" s="30"/>
      <c r="N350" s="47"/>
      <c r="O350" s="30"/>
      <c r="P350" s="34"/>
      <c r="Q350" s="30"/>
      <c r="R350" s="47"/>
      <c r="S350" s="30"/>
      <c r="T350" s="34"/>
      <c r="U350" s="30"/>
      <c r="V350" s="47"/>
      <c r="W350" s="30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</row>
    <row r="351" ht="22.5" customHeight="1">
      <c r="A351" s="120"/>
      <c r="B351" s="159"/>
      <c r="C351" s="54"/>
      <c r="D351" s="30"/>
      <c r="E351" s="30"/>
      <c r="F351" s="30"/>
      <c r="G351" s="30"/>
      <c r="H351" s="30"/>
      <c r="I351" s="47"/>
      <c r="J351" s="30"/>
      <c r="K351" s="30"/>
      <c r="L351" s="34"/>
      <c r="M351" s="30"/>
      <c r="N351" s="47"/>
      <c r="O351" s="30"/>
      <c r="P351" s="34"/>
      <c r="Q351" s="30"/>
      <c r="R351" s="47"/>
      <c r="S351" s="30"/>
      <c r="T351" s="34"/>
      <c r="U351" s="30"/>
      <c r="V351" s="47"/>
      <c r="W351" s="30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</row>
    <row r="352" ht="22.5" customHeight="1">
      <c r="A352" s="120"/>
      <c r="B352" s="159"/>
      <c r="C352" s="54"/>
      <c r="D352" s="30"/>
      <c r="E352" s="30"/>
      <c r="F352" s="30"/>
      <c r="G352" s="30"/>
      <c r="H352" s="30"/>
      <c r="I352" s="47"/>
      <c r="J352" s="30"/>
      <c r="K352" s="30"/>
      <c r="L352" s="34"/>
      <c r="M352" s="30"/>
      <c r="N352" s="47"/>
      <c r="O352" s="30"/>
      <c r="P352" s="34"/>
      <c r="Q352" s="30"/>
      <c r="R352" s="47"/>
      <c r="S352" s="30"/>
      <c r="T352" s="34"/>
      <c r="U352" s="30"/>
      <c r="V352" s="47"/>
      <c r="W352" s="30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</row>
    <row r="353" ht="22.5" customHeight="1">
      <c r="A353" s="120"/>
      <c r="B353" s="159"/>
      <c r="C353" s="54"/>
      <c r="D353" s="30"/>
      <c r="E353" s="30"/>
      <c r="F353" s="30"/>
      <c r="G353" s="30"/>
      <c r="H353" s="30"/>
      <c r="I353" s="47"/>
      <c r="J353" s="30"/>
      <c r="K353" s="30"/>
      <c r="L353" s="34"/>
      <c r="M353" s="30"/>
      <c r="N353" s="47"/>
      <c r="O353" s="30"/>
      <c r="P353" s="34"/>
      <c r="Q353" s="30"/>
      <c r="R353" s="47"/>
      <c r="S353" s="30"/>
      <c r="T353" s="34"/>
      <c r="U353" s="30"/>
      <c r="V353" s="47"/>
      <c r="W353" s="30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</row>
    <row r="354" ht="22.5" customHeight="1">
      <c r="A354" s="120"/>
      <c r="B354" s="159"/>
      <c r="C354" s="54"/>
      <c r="D354" s="30"/>
      <c r="E354" s="30"/>
      <c r="F354" s="30"/>
      <c r="G354" s="30"/>
      <c r="H354" s="30"/>
      <c r="I354" s="47"/>
      <c r="J354" s="30"/>
      <c r="K354" s="30"/>
      <c r="L354" s="34"/>
      <c r="M354" s="30"/>
      <c r="N354" s="47"/>
      <c r="O354" s="30"/>
      <c r="P354" s="34"/>
      <c r="Q354" s="30"/>
      <c r="R354" s="47"/>
      <c r="S354" s="30"/>
      <c r="T354" s="34"/>
      <c r="U354" s="30"/>
      <c r="V354" s="47"/>
      <c r="W354" s="30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</row>
    <row r="355" ht="22.5" customHeight="1">
      <c r="A355" s="120"/>
      <c r="B355" s="159"/>
      <c r="C355" s="54"/>
      <c r="D355" s="30"/>
      <c r="E355" s="30"/>
      <c r="F355" s="30"/>
      <c r="G355" s="30"/>
      <c r="H355" s="30"/>
      <c r="I355" s="47"/>
      <c r="J355" s="30"/>
      <c r="K355" s="30"/>
      <c r="L355" s="34"/>
      <c r="M355" s="30"/>
      <c r="N355" s="47"/>
      <c r="O355" s="30"/>
      <c r="P355" s="34"/>
      <c r="Q355" s="30"/>
      <c r="R355" s="47"/>
      <c r="S355" s="30"/>
      <c r="T355" s="34"/>
      <c r="U355" s="30"/>
      <c r="V355" s="47"/>
      <c r="W355" s="30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</row>
    <row r="356" ht="22.5" customHeight="1">
      <c r="A356" s="120"/>
      <c r="B356" s="159"/>
      <c r="C356" s="54"/>
      <c r="D356" s="30"/>
      <c r="E356" s="30"/>
      <c r="F356" s="30"/>
      <c r="G356" s="30"/>
      <c r="H356" s="30"/>
      <c r="I356" s="47"/>
      <c r="J356" s="30"/>
      <c r="K356" s="30"/>
      <c r="L356" s="34"/>
      <c r="M356" s="187"/>
      <c r="N356" s="47"/>
      <c r="O356" s="30"/>
      <c r="P356" s="34"/>
      <c r="Q356" s="187"/>
      <c r="R356" s="47"/>
      <c r="S356" s="30"/>
      <c r="T356" s="34"/>
      <c r="U356" s="187"/>
      <c r="V356" s="47"/>
      <c r="W356" s="30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</row>
    <row r="357" ht="22.5" customHeight="1">
      <c r="A357" s="120"/>
      <c r="B357" s="159"/>
      <c r="C357" s="54"/>
      <c r="D357" s="30"/>
      <c r="E357" s="30"/>
      <c r="F357" s="36"/>
      <c r="G357" s="30"/>
      <c r="H357" s="30"/>
      <c r="I357" s="173"/>
      <c r="J357" s="30"/>
      <c r="K357" s="30"/>
      <c r="L357" s="34"/>
      <c r="M357" s="188"/>
      <c r="N357" s="47"/>
      <c r="O357" s="30"/>
      <c r="P357" s="34"/>
      <c r="Q357" s="188"/>
      <c r="R357" s="47"/>
      <c r="S357" s="30"/>
      <c r="T357" s="34"/>
      <c r="U357" s="188"/>
      <c r="V357" s="47"/>
      <c r="W357" s="30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</row>
    <row r="358" ht="22.5" customHeight="1">
      <c r="A358" s="120"/>
      <c r="B358" s="159"/>
      <c r="C358" s="54"/>
      <c r="D358" s="30"/>
      <c r="E358" s="30"/>
      <c r="F358" s="30"/>
      <c r="G358" s="30"/>
      <c r="H358" s="30"/>
      <c r="I358" s="47"/>
      <c r="J358" s="30"/>
      <c r="K358" s="30"/>
      <c r="L358" s="34"/>
      <c r="M358" s="88"/>
      <c r="N358" s="47"/>
      <c r="O358" s="30"/>
      <c r="P358" s="34"/>
      <c r="Q358" s="88"/>
      <c r="R358" s="47"/>
      <c r="S358" s="30"/>
      <c r="T358" s="34"/>
      <c r="U358" s="88"/>
      <c r="V358" s="47"/>
      <c r="W358" s="30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</row>
    <row r="359" ht="22.5" customHeight="1">
      <c r="A359" s="120"/>
      <c r="B359" s="159"/>
      <c r="C359" s="54"/>
      <c r="D359" s="30"/>
      <c r="E359" s="30"/>
      <c r="F359" s="30"/>
      <c r="G359" s="30"/>
      <c r="H359" s="30"/>
      <c r="I359" s="47"/>
      <c r="J359" s="30"/>
      <c r="K359" s="30"/>
      <c r="L359" s="34"/>
      <c r="M359" s="36"/>
      <c r="N359" s="47"/>
      <c r="O359" s="30"/>
      <c r="P359" s="34"/>
      <c r="Q359" s="36"/>
      <c r="R359" s="47"/>
      <c r="S359" s="30"/>
      <c r="T359" s="34"/>
      <c r="U359" s="36"/>
      <c r="V359" s="47"/>
      <c r="W359" s="30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</row>
    <row r="360" ht="22.5" customHeight="1">
      <c r="A360" s="120"/>
      <c r="B360" s="159"/>
      <c r="C360" s="54"/>
      <c r="D360" s="30"/>
      <c r="E360" s="30"/>
      <c r="F360" s="36"/>
      <c r="G360" s="30"/>
      <c r="H360" s="30"/>
      <c r="I360" s="173"/>
      <c r="J360" s="30"/>
      <c r="K360" s="30"/>
      <c r="L360" s="34"/>
      <c r="M360" s="30"/>
      <c r="N360" s="47"/>
      <c r="O360" s="36"/>
      <c r="P360" s="34"/>
      <c r="Q360" s="30"/>
      <c r="R360" s="47"/>
      <c r="S360" s="36"/>
      <c r="T360" s="34"/>
      <c r="U360" s="30"/>
      <c r="V360" s="47"/>
      <c r="W360" s="36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</row>
    <row r="361" ht="22.5" customHeight="1">
      <c r="A361" s="120"/>
      <c r="B361" s="159"/>
      <c r="C361" s="54"/>
      <c r="D361" s="30"/>
      <c r="E361" s="36"/>
      <c r="F361" s="36"/>
      <c r="G361" s="30"/>
      <c r="H361" s="30"/>
      <c r="I361" s="173"/>
      <c r="J361" s="30"/>
      <c r="K361" s="30"/>
      <c r="L361" s="34"/>
      <c r="M361" s="36"/>
      <c r="N361" s="47"/>
      <c r="O361" s="36"/>
      <c r="P361" s="34"/>
      <c r="Q361" s="36"/>
      <c r="R361" s="47"/>
      <c r="S361" s="36"/>
      <c r="T361" s="34"/>
      <c r="U361" s="36"/>
      <c r="V361" s="47"/>
      <c r="W361" s="36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</row>
    <row r="362" ht="22.5" customHeight="1">
      <c r="A362" s="120"/>
      <c r="B362" s="159"/>
      <c r="C362" s="54"/>
      <c r="D362" s="36"/>
      <c r="E362" s="36"/>
      <c r="F362" s="36"/>
      <c r="G362" s="36"/>
      <c r="H362" s="36"/>
      <c r="I362" s="173"/>
      <c r="J362" s="36"/>
      <c r="K362" s="30"/>
      <c r="L362" s="34"/>
      <c r="M362" s="36"/>
      <c r="N362" s="47"/>
      <c r="O362" s="36"/>
      <c r="P362" s="34"/>
      <c r="Q362" s="36"/>
      <c r="R362" s="47"/>
      <c r="S362" s="36"/>
      <c r="T362" s="34"/>
      <c r="U362" s="36"/>
      <c r="V362" s="47"/>
      <c r="W362" s="36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</row>
    <row r="363" ht="22.5" customHeight="1">
      <c r="A363" s="120"/>
      <c r="B363" s="159"/>
      <c r="C363" s="54"/>
      <c r="D363" s="36"/>
      <c r="E363" s="36"/>
      <c r="F363" s="36"/>
      <c r="G363" s="36"/>
      <c r="H363" s="36"/>
      <c r="I363" s="173"/>
      <c r="J363" s="36"/>
      <c r="K363" s="30"/>
      <c r="L363" s="34"/>
      <c r="M363" s="36"/>
      <c r="N363" s="47"/>
      <c r="O363" s="36"/>
      <c r="P363" s="34"/>
      <c r="Q363" s="36"/>
      <c r="R363" s="47"/>
      <c r="S363" s="36"/>
      <c r="T363" s="34"/>
      <c r="U363" s="36"/>
      <c r="V363" s="47"/>
      <c r="W363" s="36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</row>
    <row r="364" ht="22.5" customHeight="1">
      <c r="A364" s="120"/>
      <c r="B364" s="159"/>
      <c r="C364" s="54"/>
      <c r="D364" s="36"/>
      <c r="E364" s="36"/>
      <c r="F364" s="36"/>
      <c r="G364" s="36"/>
      <c r="H364" s="36"/>
      <c r="I364" s="173"/>
      <c r="J364" s="36"/>
      <c r="K364" s="30"/>
      <c r="L364" s="34"/>
      <c r="M364" s="36"/>
      <c r="N364" s="47"/>
      <c r="O364" s="36"/>
      <c r="P364" s="34"/>
      <c r="Q364" s="36"/>
      <c r="R364" s="47"/>
      <c r="S364" s="36"/>
      <c r="T364" s="34"/>
      <c r="U364" s="36"/>
      <c r="V364" s="47"/>
      <c r="W364" s="36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</row>
    <row r="365" ht="22.5" customHeight="1">
      <c r="A365" s="120"/>
      <c r="B365" s="159"/>
      <c r="C365" s="54"/>
      <c r="D365" s="30"/>
      <c r="E365" s="36"/>
      <c r="F365" s="36"/>
      <c r="G365" s="36"/>
      <c r="H365" s="36"/>
      <c r="I365" s="173"/>
      <c r="J365" s="36"/>
      <c r="K365" s="30"/>
      <c r="L365" s="34"/>
      <c r="M365" s="36"/>
      <c r="N365" s="47"/>
      <c r="O365" s="36"/>
      <c r="P365" s="34"/>
      <c r="Q365" s="36"/>
      <c r="R365" s="47"/>
      <c r="S365" s="36"/>
      <c r="T365" s="34"/>
      <c r="U365" s="36"/>
      <c r="V365" s="47"/>
      <c r="W365" s="36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</row>
    <row r="366" ht="22.5" customHeight="1">
      <c r="A366" s="120"/>
      <c r="B366" s="159"/>
      <c r="C366" s="54"/>
      <c r="D366" s="30"/>
      <c r="E366" s="36"/>
      <c r="F366" s="36"/>
      <c r="G366" s="36"/>
      <c r="H366" s="36"/>
      <c r="I366" s="173"/>
      <c r="J366" s="36"/>
      <c r="K366" s="30"/>
      <c r="L366" s="34"/>
      <c r="M366" s="36"/>
      <c r="N366" s="47"/>
      <c r="O366" s="36"/>
      <c r="P366" s="34"/>
      <c r="Q366" s="36"/>
      <c r="R366" s="47"/>
      <c r="S366" s="36"/>
      <c r="T366" s="34"/>
      <c r="U366" s="36"/>
      <c r="V366" s="47"/>
      <c r="W366" s="36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</row>
    <row r="367" ht="22.5" customHeight="1">
      <c r="A367" s="120"/>
      <c r="B367" s="159"/>
      <c r="C367" s="54"/>
      <c r="D367" s="36"/>
      <c r="E367" s="36"/>
      <c r="F367" s="36"/>
      <c r="G367" s="36"/>
      <c r="H367" s="36"/>
      <c r="I367" s="173"/>
      <c r="J367" s="36"/>
      <c r="K367" s="30"/>
      <c r="L367" s="34"/>
      <c r="M367" s="36"/>
      <c r="N367" s="47"/>
      <c r="O367" s="36"/>
      <c r="P367" s="34"/>
      <c r="Q367" s="36"/>
      <c r="R367" s="47"/>
      <c r="S367" s="36"/>
      <c r="T367" s="34"/>
      <c r="U367" s="36"/>
      <c r="V367" s="47"/>
      <c r="W367" s="36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</row>
    <row r="368" ht="22.5" customHeight="1">
      <c r="A368" s="120"/>
      <c r="B368" s="159"/>
      <c r="C368" s="54"/>
      <c r="D368" s="36"/>
      <c r="E368" s="36"/>
      <c r="F368" s="36"/>
      <c r="G368" s="36"/>
      <c r="H368" s="36"/>
      <c r="I368" s="173"/>
      <c r="J368" s="36"/>
      <c r="K368" s="30"/>
      <c r="L368" s="34"/>
      <c r="M368" s="36"/>
      <c r="N368" s="47"/>
      <c r="O368" s="30"/>
      <c r="P368" s="34"/>
      <c r="Q368" s="36"/>
      <c r="R368" s="47"/>
      <c r="S368" s="30"/>
      <c r="T368" s="34"/>
      <c r="U368" s="36"/>
      <c r="V368" s="47"/>
      <c r="W368" s="30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</row>
    <row r="369" ht="22.5" customHeight="1">
      <c r="A369" s="120"/>
      <c r="B369" s="159"/>
      <c r="C369" s="54"/>
      <c r="D369" s="36"/>
      <c r="E369" s="36"/>
      <c r="F369" s="36"/>
      <c r="G369" s="36"/>
      <c r="H369" s="36"/>
      <c r="I369" s="173"/>
      <c r="J369" s="36"/>
      <c r="K369" s="30"/>
      <c r="L369" s="34"/>
      <c r="M369" s="36"/>
      <c r="N369" s="47"/>
      <c r="O369" s="30"/>
      <c r="P369" s="34"/>
      <c r="Q369" s="36"/>
      <c r="R369" s="47"/>
      <c r="S369" s="30"/>
      <c r="T369" s="34"/>
      <c r="U369" s="36"/>
      <c r="V369" s="47"/>
      <c r="W369" s="30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</row>
    <row r="370" ht="22.5" customHeight="1">
      <c r="A370" s="120"/>
      <c r="B370" s="159"/>
      <c r="C370" s="54"/>
      <c r="D370" s="36"/>
      <c r="E370" s="36"/>
      <c r="F370" s="36"/>
      <c r="G370" s="36"/>
      <c r="H370" s="36"/>
      <c r="I370" s="173"/>
      <c r="J370" s="36"/>
      <c r="K370" s="30"/>
      <c r="L370" s="34"/>
      <c r="M370" s="36"/>
      <c r="N370" s="47"/>
      <c r="O370" s="36"/>
      <c r="P370" s="34"/>
      <c r="Q370" s="36"/>
      <c r="R370" s="47"/>
      <c r="S370" s="36"/>
      <c r="T370" s="34"/>
      <c r="U370" s="36"/>
      <c r="V370" s="47"/>
      <c r="W370" s="36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</row>
    <row r="371" ht="22.5" customHeight="1">
      <c r="A371" s="120"/>
      <c r="B371" s="159"/>
      <c r="C371" s="54"/>
      <c r="D371" s="36"/>
      <c r="E371" s="36"/>
      <c r="F371" s="36"/>
      <c r="G371" s="36"/>
      <c r="H371" s="36"/>
      <c r="I371" s="173"/>
      <c r="J371" s="36"/>
      <c r="K371" s="30"/>
      <c r="L371" s="34"/>
      <c r="M371" s="36"/>
      <c r="N371" s="47"/>
      <c r="O371" s="30"/>
      <c r="P371" s="34"/>
      <c r="Q371" s="36"/>
      <c r="R371" s="47"/>
      <c r="S371" s="30"/>
      <c r="T371" s="34"/>
      <c r="U371" s="36"/>
      <c r="V371" s="47"/>
      <c r="W371" s="30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</row>
    <row r="372" ht="22.5" customHeight="1">
      <c r="A372" s="120"/>
      <c r="B372" s="159"/>
      <c r="C372" s="54"/>
      <c r="D372" s="36"/>
      <c r="E372" s="36"/>
      <c r="F372" s="36"/>
      <c r="G372" s="36"/>
      <c r="H372" s="36"/>
      <c r="I372" s="173"/>
      <c r="J372" s="36"/>
      <c r="K372" s="30"/>
      <c r="L372" s="34"/>
      <c r="M372" s="36"/>
      <c r="N372" s="47"/>
      <c r="O372" s="36"/>
      <c r="P372" s="34"/>
      <c r="Q372" s="36"/>
      <c r="R372" s="47"/>
      <c r="S372" s="36"/>
      <c r="T372" s="34"/>
      <c r="U372" s="36"/>
      <c r="V372" s="47"/>
      <c r="W372" s="36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</row>
    <row r="373" ht="22.5" customHeight="1">
      <c r="A373" s="120"/>
      <c r="B373" s="159"/>
      <c r="C373" s="36"/>
      <c r="D373" s="36"/>
      <c r="E373" s="36"/>
      <c r="F373" s="36"/>
      <c r="G373" s="36"/>
      <c r="H373" s="36"/>
      <c r="I373" s="173"/>
      <c r="J373" s="36"/>
      <c r="K373" s="30"/>
      <c r="L373" s="34"/>
      <c r="M373" s="36"/>
      <c r="N373" s="47"/>
      <c r="O373" s="36"/>
      <c r="P373" s="34"/>
      <c r="Q373" s="36"/>
      <c r="R373" s="47"/>
      <c r="S373" s="36"/>
      <c r="T373" s="34"/>
      <c r="U373" s="36"/>
      <c r="V373" s="47"/>
      <c r="W373" s="36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</row>
    <row r="374" ht="22.5" customHeight="1">
      <c r="A374" s="120"/>
      <c r="B374" s="159"/>
      <c r="C374" s="36"/>
      <c r="D374" s="36"/>
      <c r="E374" s="36"/>
      <c r="F374" s="36"/>
      <c r="G374" s="36"/>
      <c r="H374" s="36"/>
      <c r="I374" s="173"/>
      <c r="J374" s="36"/>
      <c r="K374" s="30"/>
      <c r="L374" s="34"/>
      <c r="M374" s="153"/>
      <c r="N374" s="47"/>
      <c r="O374" s="36"/>
      <c r="P374" s="34"/>
      <c r="Q374" s="153"/>
      <c r="R374" s="47"/>
      <c r="S374" s="36"/>
      <c r="T374" s="34"/>
      <c r="U374" s="153"/>
      <c r="V374" s="47"/>
      <c r="W374" s="36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</row>
    <row r="375" ht="22.5" customHeight="1">
      <c r="A375" s="120"/>
      <c r="B375" s="159"/>
      <c r="C375" s="36"/>
      <c r="D375" s="36"/>
      <c r="E375" s="36"/>
      <c r="F375" s="36"/>
      <c r="G375" s="36"/>
      <c r="H375" s="36"/>
      <c r="I375" s="173"/>
      <c r="J375" s="36"/>
      <c r="K375" s="30"/>
      <c r="L375" s="34"/>
      <c r="M375" s="36"/>
      <c r="N375" s="47"/>
      <c r="O375" s="36"/>
      <c r="P375" s="34"/>
      <c r="Q375" s="36"/>
      <c r="R375" s="47"/>
      <c r="S375" s="36"/>
      <c r="T375" s="34"/>
      <c r="U375" s="36"/>
      <c r="V375" s="47"/>
      <c r="W375" s="36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</row>
    <row r="376" ht="22.5" customHeight="1">
      <c r="A376" s="120"/>
      <c r="B376" s="159"/>
      <c r="C376" s="54"/>
      <c r="D376" s="36"/>
      <c r="E376" s="36"/>
      <c r="F376" s="36"/>
      <c r="G376" s="36"/>
      <c r="H376" s="36"/>
      <c r="I376" s="47"/>
      <c r="J376" s="36"/>
      <c r="K376" s="30"/>
      <c r="L376" s="34"/>
      <c r="M376" s="36"/>
      <c r="N376" s="47"/>
      <c r="O376" s="36"/>
      <c r="P376" s="34"/>
      <c r="Q376" s="36"/>
      <c r="R376" s="47"/>
      <c r="S376" s="36"/>
      <c r="T376" s="34"/>
      <c r="U376" s="36"/>
      <c r="V376" s="47"/>
      <c r="W376" s="36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</row>
    <row r="377" ht="22.5" customHeight="1">
      <c r="A377" s="120"/>
      <c r="B377" s="159"/>
      <c r="C377" s="36"/>
      <c r="D377" s="36"/>
      <c r="E377" s="36"/>
      <c r="F377" s="36"/>
      <c r="G377" s="36"/>
      <c r="H377" s="36"/>
      <c r="I377" s="47"/>
      <c r="J377" s="36"/>
      <c r="K377" s="30"/>
      <c r="L377" s="34"/>
      <c r="M377" s="36"/>
      <c r="N377" s="47"/>
      <c r="O377" s="36"/>
      <c r="P377" s="34"/>
      <c r="Q377" s="36"/>
      <c r="R377" s="47"/>
      <c r="S377" s="36"/>
      <c r="T377" s="34"/>
      <c r="U377" s="36"/>
      <c r="V377" s="47"/>
      <c r="W377" s="36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</row>
    <row r="378" ht="22.5" customHeight="1">
      <c r="A378" s="120"/>
      <c r="B378" s="159"/>
      <c r="C378" s="36"/>
      <c r="D378" s="36"/>
      <c r="E378" s="36"/>
      <c r="F378" s="36"/>
      <c r="G378" s="36"/>
      <c r="H378" s="36"/>
      <c r="I378" s="47"/>
      <c r="J378" s="36"/>
      <c r="K378" s="30"/>
      <c r="L378" s="34"/>
      <c r="M378" s="30"/>
      <c r="N378" s="47"/>
      <c r="O378" s="36"/>
      <c r="P378" s="34"/>
      <c r="Q378" s="30"/>
      <c r="R378" s="47"/>
      <c r="S378" s="36"/>
      <c r="T378" s="34"/>
      <c r="U378" s="30"/>
      <c r="V378" s="47"/>
      <c r="W378" s="36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</row>
    <row r="379" ht="22.5" customHeight="1">
      <c r="A379" s="181"/>
      <c r="B379" s="159"/>
      <c r="C379" s="36"/>
      <c r="D379" s="36"/>
      <c r="E379" s="36"/>
      <c r="F379" s="36"/>
      <c r="G379" s="36"/>
      <c r="H379" s="36"/>
      <c r="I379" s="47"/>
      <c r="J379" s="36"/>
      <c r="K379" s="30"/>
      <c r="L379" s="34"/>
      <c r="M379" s="36"/>
      <c r="N379" s="47"/>
      <c r="O379" s="36"/>
      <c r="P379" s="34"/>
      <c r="Q379" s="36"/>
      <c r="R379" s="47"/>
      <c r="S379" s="36"/>
      <c r="T379" s="34"/>
      <c r="U379" s="36"/>
      <c r="V379" s="47"/>
      <c r="W379" s="36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</row>
    <row r="380" ht="22.5" customHeight="1">
      <c r="A380" s="181"/>
      <c r="B380" s="159"/>
      <c r="C380" s="54"/>
      <c r="D380" s="36"/>
      <c r="E380" s="36"/>
      <c r="F380" s="36"/>
      <c r="G380" s="36"/>
      <c r="H380" s="36"/>
      <c r="I380" s="173"/>
      <c r="J380" s="36"/>
      <c r="K380" s="30"/>
      <c r="L380" s="34"/>
      <c r="M380" s="36"/>
      <c r="N380" s="47"/>
      <c r="O380" s="30"/>
      <c r="P380" s="34"/>
      <c r="Q380" s="36"/>
      <c r="R380" s="47"/>
      <c r="S380" s="30"/>
      <c r="T380" s="34"/>
      <c r="U380" s="36"/>
      <c r="V380" s="47"/>
      <c r="W380" s="30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</row>
    <row r="381" ht="22.5" customHeight="1">
      <c r="A381" s="120"/>
      <c r="B381" s="159"/>
      <c r="C381" s="36"/>
      <c r="D381" s="36"/>
      <c r="E381" s="36"/>
      <c r="F381" s="158"/>
      <c r="G381" s="36"/>
      <c r="H381" s="36"/>
      <c r="I381" s="173"/>
      <c r="J381" s="36"/>
      <c r="K381" s="30"/>
      <c r="L381" s="34"/>
      <c r="M381" s="30"/>
      <c r="N381" s="47"/>
      <c r="O381" s="36"/>
      <c r="P381" s="34"/>
      <c r="Q381" s="30"/>
      <c r="R381" s="47"/>
      <c r="S381" s="36"/>
      <c r="T381" s="34"/>
      <c r="U381" s="30"/>
      <c r="V381" s="47"/>
      <c r="W381" s="36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</row>
    <row r="382" ht="22.5" customHeight="1">
      <c r="A382" s="120"/>
      <c r="B382" s="159"/>
      <c r="C382" s="36"/>
      <c r="D382" s="36"/>
      <c r="E382" s="36"/>
      <c r="F382" s="36"/>
      <c r="G382" s="36"/>
      <c r="H382" s="36"/>
      <c r="I382" s="173"/>
      <c r="J382" s="36"/>
      <c r="K382" s="36"/>
      <c r="L382" s="34"/>
      <c r="M382" s="153"/>
      <c r="N382" s="47"/>
      <c r="O382" s="36"/>
      <c r="P382" s="34"/>
      <c r="Q382" s="153"/>
      <c r="R382" s="47"/>
      <c r="S382" s="36"/>
      <c r="T382" s="34"/>
      <c r="U382" s="153"/>
      <c r="V382" s="47"/>
      <c r="W382" s="36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</row>
    <row r="383" ht="22.5" customHeight="1">
      <c r="A383" s="120"/>
      <c r="B383" s="159"/>
      <c r="C383" s="36"/>
      <c r="D383" s="36"/>
      <c r="E383" s="36"/>
      <c r="F383" s="36"/>
      <c r="G383" s="36"/>
      <c r="H383" s="36"/>
      <c r="I383" s="173"/>
      <c r="J383" s="36"/>
      <c r="K383" s="36"/>
      <c r="L383" s="34"/>
      <c r="M383" s="36"/>
      <c r="N383" s="47"/>
      <c r="O383" s="36"/>
      <c r="P383" s="34"/>
      <c r="Q383" s="36"/>
      <c r="R383" s="47"/>
      <c r="S383" s="36"/>
      <c r="T383" s="34"/>
      <c r="U383" s="36"/>
      <c r="V383" s="47"/>
      <c r="W383" s="36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</row>
    <row r="384" ht="22.5" customHeight="1">
      <c r="A384" s="120"/>
      <c r="B384" s="159"/>
      <c r="C384" s="36"/>
      <c r="D384" s="36"/>
      <c r="E384" s="36"/>
      <c r="F384" s="36"/>
      <c r="G384" s="36"/>
      <c r="H384" s="36"/>
      <c r="I384" s="173"/>
      <c r="J384" s="36"/>
      <c r="K384" s="36"/>
      <c r="L384" s="34"/>
      <c r="M384" s="36"/>
      <c r="N384" s="47"/>
      <c r="O384" s="36"/>
      <c r="P384" s="34"/>
      <c r="Q384" s="36"/>
      <c r="R384" s="47"/>
      <c r="S384" s="36"/>
      <c r="T384" s="34"/>
      <c r="U384" s="36"/>
      <c r="V384" s="47"/>
      <c r="W384" s="36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</row>
    <row r="385" ht="22.5" customHeight="1">
      <c r="A385" s="120"/>
      <c r="B385" s="159"/>
      <c r="C385" s="54"/>
      <c r="D385" s="54"/>
      <c r="E385" s="54"/>
      <c r="F385" s="36"/>
      <c r="G385" s="36"/>
      <c r="H385" s="36"/>
      <c r="I385" s="173"/>
      <c r="J385" s="36"/>
      <c r="K385" s="36"/>
      <c r="L385" s="34"/>
      <c r="M385" s="36"/>
      <c r="N385" s="47"/>
      <c r="O385" s="36"/>
      <c r="P385" s="34"/>
      <c r="Q385" s="36"/>
      <c r="R385" s="47"/>
      <c r="S385" s="36"/>
      <c r="T385" s="34"/>
      <c r="U385" s="36"/>
      <c r="V385" s="47"/>
      <c r="W385" s="36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</row>
    <row r="386" ht="22.5" customHeight="1">
      <c r="A386" s="120"/>
      <c r="B386" s="159"/>
      <c r="C386" s="54"/>
      <c r="D386" s="54"/>
      <c r="E386" s="54"/>
      <c r="F386" s="36"/>
      <c r="G386" s="36"/>
      <c r="H386" s="36"/>
      <c r="I386" s="173"/>
      <c r="J386" s="36"/>
      <c r="K386" s="36"/>
      <c r="L386" s="34"/>
      <c r="M386" s="36"/>
      <c r="N386" s="47"/>
      <c r="O386" s="36"/>
      <c r="P386" s="34"/>
      <c r="Q386" s="36"/>
      <c r="R386" s="47"/>
      <c r="S386" s="36"/>
      <c r="T386" s="34"/>
      <c r="U386" s="36"/>
      <c r="V386" s="47"/>
      <c r="W386" s="36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</row>
    <row r="387" ht="22.5" customHeight="1">
      <c r="A387" s="120"/>
      <c r="B387" s="159"/>
      <c r="C387" s="54"/>
      <c r="D387" s="54"/>
      <c r="E387" s="54"/>
      <c r="F387" s="36"/>
      <c r="G387" s="36"/>
      <c r="H387" s="36"/>
      <c r="I387" s="47"/>
      <c r="J387" s="36"/>
      <c r="K387" s="36"/>
      <c r="L387" s="34"/>
      <c r="M387" s="30"/>
      <c r="N387" s="47"/>
      <c r="O387" s="36"/>
      <c r="P387" s="34"/>
      <c r="Q387" s="30"/>
      <c r="R387" s="47"/>
      <c r="S387" s="36"/>
      <c r="T387" s="34"/>
      <c r="U387" s="30"/>
      <c r="V387" s="47"/>
      <c r="W387" s="36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</row>
    <row r="388" ht="22.5" customHeight="1">
      <c r="A388" s="120"/>
      <c r="B388" s="159"/>
      <c r="C388" s="36"/>
      <c r="D388" s="36"/>
      <c r="E388" s="54"/>
      <c r="F388" s="36"/>
      <c r="G388" s="36"/>
      <c r="H388" s="36"/>
      <c r="I388" s="47"/>
      <c r="J388" s="36"/>
      <c r="K388" s="36"/>
      <c r="L388" s="34"/>
      <c r="M388" s="36"/>
      <c r="N388" s="47"/>
      <c r="O388" s="36"/>
      <c r="P388" s="34"/>
      <c r="Q388" s="36"/>
      <c r="R388" s="47"/>
      <c r="S388" s="36"/>
      <c r="T388" s="34"/>
      <c r="U388" s="36"/>
      <c r="V388" s="47"/>
      <c r="W388" s="36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</row>
    <row r="389" ht="22.5" customHeight="1">
      <c r="A389" s="120"/>
      <c r="B389" s="159"/>
      <c r="C389" s="36"/>
      <c r="D389" s="36"/>
      <c r="E389" s="36"/>
      <c r="F389" s="36"/>
      <c r="G389" s="36"/>
      <c r="H389" s="36"/>
      <c r="I389" s="47"/>
      <c r="J389" s="36"/>
      <c r="K389" s="36"/>
      <c r="L389" s="34"/>
      <c r="M389" s="36"/>
      <c r="N389" s="47"/>
      <c r="O389" s="36"/>
      <c r="P389" s="34"/>
      <c r="Q389" s="36"/>
      <c r="R389" s="47"/>
      <c r="S389" s="36"/>
      <c r="T389" s="34"/>
      <c r="U389" s="36"/>
      <c r="V389" s="47"/>
      <c r="W389" s="36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</row>
    <row r="390" ht="22.5" customHeight="1">
      <c r="A390" s="120"/>
      <c r="B390" s="159"/>
      <c r="C390" s="36"/>
      <c r="D390" s="36"/>
      <c r="E390" s="36"/>
      <c r="F390" s="36"/>
      <c r="G390" s="36"/>
      <c r="H390" s="36"/>
      <c r="I390" s="47"/>
      <c r="J390" s="36"/>
      <c r="K390" s="36"/>
      <c r="L390" s="34"/>
      <c r="M390" s="36"/>
      <c r="N390" s="47"/>
      <c r="O390" s="36"/>
      <c r="P390" s="34"/>
      <c r="Q390" s="36"/>
      <c r="R390" s="47"/>
      <c r="S390" s="36"/>
      <c r="T390" s="34"/>
      <c r="U390" s="36"/>
      <c r="V390" s="47"/>
      <c r="W390" s="36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</row>
    <row r="391" ht="22.5" customHeight="1">
      <c r="A391" s="120"/>
      <c r="B391" s="159"/>
      <c r="C391" s="36"/>
      <c r="D391" s="54"/>
      <c r="E391" s="54"/>
      <c r="F391" s="36"/>
      <c r="G391" s="36"/>
      <c r="H391" s="36"/>
      <c r="I391" s="47"/>
      <c r="J391" s="36"/>
      <c r="K391" s="36"/>
      <c r="L391" s="34"/>
      <c r="M391" s="30"/>
      <c r="N391" s="47"/>
      <c r="O391" s="36"/>
      <c r="P391" s="34"/>
      <c r="Q391" s="30"/>
      <c r="R391" s="47"/>
      <c r="S391" s="36"/>
      <c r="T391" s="34"/>
      <c r="U391" s="30"/>
      <c r="V391" s="47"/>
      <c r="W391" s="36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</row>
    <row r="392" ht="22.5" customHeight="1">
      <c r="A392" s="120"/>
      <c r="B392" s="159"/>
      <c r="C392" s="54"/>
      <c r="D392" s="36"/>
      <c r="E392" s="36"/>
      <c r="F392" s="36"/>
      <c r="G392" s="36"/>
      <c r="H392" s="36"/>
      <c r="I392" s="47"/>
      <c r="J392" s="36"/>
      <c r="K392" s="36"/>
      <c r="L392" s="34"/>
      <c r="M392" s="30"/>
      <c r="N392" s="47"/>
      <c r="O392" s="36"/>
      <c r="P392" s="34"/>
      <c r="Q392" s="30"/>
      <c r="R392" s="47"/>
      <c r="S392" s="36"/>
      <c r="T392" s="34"/>
      <c r="U392" s="30"/>
      <c r="V392" s="47"/>
      <c r="W392" s="36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</row>
    <row r="393" ht="22.5" customHeight="1">
      <c r="A393" s="120"/>
      <c r="B393" s="159"/>
      <c r="C393" s="54"/>
      <c r="D393" s="36"/>
      <c r="E393" s="36"/>
      <c r="F393" s="36"/>
      <c r="G393" s="36"/>
      <c r="H393" s="36"/>
      <c r="I393" s="173"/>
      <c r="J393" s="36"/>
      <c r="K393" s="36"/>
      <c r="L393" s="34"/>
      <c r="M393" s="36"/>
      <c r="N393" s="47"/>
      <c r="O393" s="36"/>
      <c r="P393" s="34"/>
      <c r="Q393" s="36"/>
      <c r="R393" s="47"/>
      <c r="S393" s="36"/>
      <c r="T393" s="34"/>
      <c r="U393" s="36"/>
      <c r="V393" s="47"/>
      <c r="W393" s="36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</row>
    <row r="394" ht="22.5" customHeight="1">
      <c r="A394" s="120"/>
      <c r="B394" s="159"/>
      <c r="C394" s="36"/>
      <c r="D394" s="36"/>
      <c r="E394" s="36"/>
      <c r="F394" s="36"/>
      <c r="G394" s="36"/>
      <c r="H394" s="36"/>
      <c r="I394" s="47"/>
      <c r="J394" s="36"/>
      <c r="K394" s="36"/>
      <c r="L394" s="34"/>
      <c r="M394" s="36"/>
      <c r="N394" s="47"/>
      <c r="O394" s="36"/>
      <c r="P394" s="34"/>
      <c r="Q394" s="36"/>
      <c r="R394" s="47"/>
      <c r="S394" s="36"/>
      <c r="T394" s="34"/>
      <c r="U394" s="36"/>
      <c r="V394" s="47"/>
      <c r="W394" s="36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</row>
    <row r="395" ht="22.5" customHeight="1">
      <c r="A395" s="185"/>
      <c r="B395" s="159"/>
      <c r="C395" s="36"/>
      <c r="D395" s="36"/>
      <c r="E395" s="36"/>
      <c r="F395" s="36"/>
      <c r="G395" s="36"/>
      <c r="H395" s="36"/>
      <c r="I395" s="47"/>
      <c r="J395" s="36"/>
      <c r="K395" s="36"/>
      <c r="L395" s="34"/>
      <c r="M395" s="36"/>
      <c r="N395" s="47"/>
      <c r="O395" s="36"/>
      <c r="P395" s="34"/>
      <c r="Q395" s="36"/>
      <c r="R395" s="47"/>
      <c r="S395" s="36"/>
      <c r="T395" s="34"/>
      <c r="U395" s="36"/>
      <c r="V395" s="47"/>
      <c r="W395" s="36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</row>
    <row r="396" ht="22.5" customHeight="1">
      <c r="A396" s="120"/>
      <c r="B396" s="159"/>
      <c r="C396" s="36"/>
      <c r="D396" s="36"/>
      <c r="E396" s="36"/>
      <c r="F396" s="36"/>
      <c r="G396" s="36"/>
      <c r="H396" s="36"/>
      <c r="I396" s="47"/>
      <c r="J396" s="36"/>
      <c r="K396" s="36"/>
      <c r="L396" s="34"/>
      <c r="M396" s="36"/>
      <c r="N396" s="47"/>
      <c r="O396" s="36"/>
      <c r="P396" s="34"/>
      <c r="Q396" s="36"/>
      <c r="R396" s="47"/>
      <c r="S396" s="36"/>
      <c r="T396" s="34"/>
      <c r="U396" s="36"/>
      <c r="V396" s="47"/>
      <c r="W396" s="36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</row>
    <row r="397" ht="22.5" customHeight="1">
      <c r="A397" s="120"/>
      <c r="B397" s="159"/>
      <c r="C397" s="36"/>
      <c r="D397" s="36"/>
      <c r="E397" s="36"/>
      <c r="F397" s="36"/>
      <c r="G397" s="36"/>
      <c r="H397" s="36"/>
      <c r="I397" s="47"/>
      <c r="J397" s="36"/>
      <c r="K397" s="36"/>
      <c r="L397" s="34"/>
      <c r="M397" s="36"/>
      <c r="N397" s="47"/>
      <c r="O397" s="36"/>
      <c r="P397" s="34"/>
      <c r="Q397" s="36"/>
      <c r="R397" s="47"/>
      <c r="S397" s="36"/>
      <c r="T397" s="34"/>
      <c r="U397" s="36"/>
      <c r="V397" s="47"/>
      <c r="W397" s="36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</row>
    <row r="398" ht="22.5" customHeight="1">
      <c r="A398" s="185"/>
      <c r="B398" s="159"/>
      <c r="C398" s="36"/>
      <c r="D398" s="36"/>
      <c r="E398" s="36"/>
      <c r="F398" s="36"/>
      <c r="G398" s="36"/>
      <c r="H398" s="36"/>
      <c r="I398" s="47"/>
      <c r="J398" s="36"/>
      <c r="K398" s="36"/>
      <c r="L398" s="34"/>
      <c r="M398" s="36"/>
      <c r="N398" s="47"/>
      <c r="O398" s="36"/>
      <c r="P398" s="34"/>
      <c r="Q398" s="36"/>
      <c r="R398" s="47"/>
      <c r="S398" s="36"/>
      <c r="T398" s="34"/>
      <c r="U398" s="36"/>
      <c r="V398" s="47"/>
      <c r="W398" s="36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</row>
    <row r="399" ht="22.5" customHeight="1">
      <c r="A399" s="185"/>
      <c r="B399" s="159"/>
      <c r="C399" s="36"/>
      <c r="D399" s="36"/>
      <c r="E399" s="36"/>
      <c r="F399" s="36"/>
      <c r="G399" s="36"/>
      <c r="H399" s="36"/>
      <c r="I399" s="47"/>
      <c r="J399" s="36"/>
      <c r="K399" s="36"/>
      <c r="L399" s="34"/>
      <c r="M399" s="36"/>
      <c r="N399" s="47"/>
      <c r="O399" s="36"/>
      <c r="P399" s="34"/>
      <c r="Q399" s="36"/>
      <c r="R399" s="47"/>
      <c r="S399" s="36"/>
      <c r="T399" s="34"/>
      <c r="U399" s="36"/>
      <c r="V399" s="47"/>
      <c r="W399" s="36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</row>
    <row r="400" ht="22.5" customHeight="1">
      <c r="A400" s="185"/>
      <c r="B400" s="159"/>
      <c r="C400" s="36"/>
      <c r="D400" s="36"/>
      <c r="E400" s="36"/>
      <c r="F400" s="36"/>
      <c r="G400" s="36"/>
      <c r="H400" s="36"/>
      <c r="I400" s="47"/>
      <c r="J400" s="36"/>
      <c r="K400" s="36"/>
      <c r="L400" s="34"/>
      <c r="M400" s="36"/>
      <c r="N400" s="47"/>
      <c r="O400" s="36"/>
      <c r="P400" s="34"/>
      <c r="Q400" s="36"/>
      <c r="R400" s="47"/>
      <c r="S400" s="36"/>
      <c r="T400" s="34"/>
      <c r="U400" s="36"/>
      <c r="V400" s="47"/>
      <c r="W400" s="36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</row>
    <row r="401" ht="22.5" customHeight="1">
      <c r="A401" s="185"/>
      <c r="B401" s="159"/>
      <c r="C401" s="36"/>
      <c r="D401" s="36"/>
      <c r="E401" s="36"/>
      <c r="F401" s="36"/>
      <c r="G401" s="36"/>
      <c r="H401" s="36"/>
      <c r="I401" s="47"/>
      <c r="J401" s="36"/>
      <c r="K401" s="36"/>
      <c r="L401" s="34"/>
      <c r="M401" s="36"/>
      <c r="N401" s="47"/>
      <c r="O401" s="36"/>
      <c r="P401" s="34"/>
      <c r="Q401" s="36"/>
      <c r="R401" s="47"/>
      <c r="S401" s="36"/>
      <c r="T401" s="34"/>
      <c r="U401" s="36"/>
      <c r="V401" s="47"/>
      <c r="W401" s="36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</row>
    <row r="402" ht="22.5" customHeight="1">
      <c r="A402" s="185"/>
      <c r="B402" s="159"/>
      <c r="C402" s="36"/>
      <c r="D402" s="36"/>
      <c r="E402" s="36"/>
      <c r="F402" s="36"/>
      <c r="G402" s="36"/>
      <c r="H402" s="36"/>
      <c r="I402" s="47"/>
      <c r="J402" s="36"/>
      <c r="K402" s="36"/>
      <c r="L402" s="34"/>
      <c r="M402" s="36"/>
      <c r="N402" s="47"/>
      <c r="O402" s="36"/>
      <c r="P402" s="34"/>
      <c r="Q402" s="36"/>
      <c r="R402" s="47"/>
      <c r="S402" s="36"/>
      <c r="T402" s="34"/>
      <c r="U402" s="36"/>
      <c r="V402" s="47"/>
      <c r="W402" s="36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</row>
    <row r="403" ht="22.5" customHeight="1">
      <c r="A403" s="185"/>
      <c r="B403" s="159"/>
      <c r="C403" s="36"/>
      <c r="D403" s="36"/>
      <c r="E403" s="36"/>
      <c r="F403" s="36"/>
      <c r="G403" s="36"/>
      <c r="H403" s="36"/>
      <c r="I403" s="47"/>
      <c r="J403" s="36"/>
      <c r="K403" s="36"/>
      <c r="L403" s="34"/>
      <c r="M403" s="36"/>
      <c r="N403" s="47"/>
      <c r="O403" s="36"/>
      <c r="P403" s="34"/>
      <c r="Q403" s="36"/>
      <c r="R403" s="47"/>
      <c r="S403" s="36"/>
      <c r="T403" s="34"/>
      <c r="U403" s="36"/>
      <c r="V403" s="47"/>
      <c r="W403" s="36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</row>
    <row r="404" ht="22.5" customHeight="1">
      <c r="A404" s="185"/>
      <c r="B404" s="159"/>
      <c r="C404" s="36"/>
      <c r="D404" s="36"/>
      <c r="E404" s="36"/>
      <c r="F404" s="36"/>
      <c r="G404" s="36"/>
      <c r="H404" s="36"/>
      <c r="I404" s="47"/>
      <c r="J404" s="36"/>
      <c r="K404" s="36"/>
      <c r="L404" s="34"/>
      <c r="M404" s="36"/>
      <c r="N404" s="47"/>
      <c r="O404" s="36"/>
      <c r="P404" s="34"/>
      <c r="Q404" s="36"/>
      <c r="R404" s="47"/>
      <c r="S404" s="36"/>
      <c r="T404" s="34"/>
      <c r="U404" s="36"/>
      <c r="V404" s="47"/>
      <c r="W404" s="36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</row>
    <row r="405" ht="22.5" customHeight="1">
      <c r="A405" s="185"/>
      <c r="B405" s="159"/>
      <c r="C405" s="36"/>
      <c r="D405" s="36"/>
      <c r="E405" s="36"/>
      <c r="F405" s="36"/>
      <c r="G405" s="36"/>
      <c r="H405" s="36"/>
      <c r="I405" s="47"/>
      <c r="J405" s="36"/>
      <c r="K405" s="36"/>
      <c r="L405" s="34"/>
      <c r="M405" s="36"/>
      <c r="N405" s="47"/>
      <c r="O405" s="36"/>
      <c r="P405" s="34"/>
      <c r="Q405" s="36"/>
      <c r="R405" s="47"/>
      <c r="S405" s="36"/>
      <c r="T405" s="34"/>
      <c r="U405" s="36"/>
      <c r="V405" s="47"/>
      <c r="W405" s="36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</row>
    <row r="406" ht="22.5" customHeight="1">
      <c r="A406" s="185"/>
      <c r="B406" s="159"/>
      <c r="C406" s="36"/>
      <c r="D406" s="36"/>
      <c r="E406" s="36"/>
      <c r="F406" s="36"/>
      <c r="G406" s="36"/>
      <c r="H406" s="36"/>
      <c r="I406" s="47"/>
      <c r="J406" s="36"/>
      <c r="K406" s="36"/>
      <c r="L406" s="34"/>
      <c r="M406" s="36"/>
      <c r="N406" s="47"/>
      <c r="O406" s="36"/>
      <c r="P406" s="34"/>
      <c r="Q406" s="36"/>
      <c r="R406" s="47"/>
      <c r="S406" s="36"/>
      <c r="T406" s="34"/>
      <c r="U406" s="36"/>
      <c r="V406" s="47"/>
      <c r="W406" s="36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</row>
    <row r="407" ht="22.5" customHeight="1">
      <c r="A407" s="185"/>
      <c r="B407" s="159"/>
      <c r="C407" s="36"/>
      <c r="D407" s="36"/>
      <c r="E407" s="36"/>
      <c r="F407" s="36"/>
      <c r="G407" s="36"/>
      <c r="H407" s="36"/>
      <c r="I407" s="47"/>
      <c r="J407" s="36"/>
      <c r="K407" s="36"/>
      <c r="L407" s="34"/>
      <c r="M407" s="36"/>
      <c r="N407" s="47"/>
      <c r="O407" s="36"/>
      <c r="P407" s="34"/>
      <c r="Q407" s="36"/>
      <c r="R407" s="47"/>
      <c r="S407" s="36"/>
      <c r="T407" s="34"/>
      <c r="U407" s="36"/>
      <c r="V407" s="47"/>
      <c r="W407" s="36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</row>
    <row r="408" ht="22.5" customHeight="1">
      <c r="A408" s="185"/>
      <c r="B408" s="159"/>
      <c r="C408" s="36"/>
      <c r="D408" s="36"/>
      <c r="E408" s="36"/>
      <c r="F408" s="36"/>
      <c r="G408" s="36"/>
      <c r="H408" s="36"/>
      <c r="I408" s="47"/>
      <c r="J408" s="36"/>
      <c r="K408" s="36"/>
      <c r="L408" s="34"/>
      <c r="M408" s="36"/>
      <c r="N408" s="47"/>
      <c r="O408" s="36"/>
      <c r="P408" s="34"/>
      <c r="Q408" s="36"/>
      <c r="R408" s="47"/>
      <c r="S408" s="36"/>
      <c r="T408" s="34"/>
      <c r="U408" s="36"/>
      <c r="V408" s="47"/>
      <c r="W408" s="36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</row>
    <row r="409" ht="22.5" customHeight="1">
      <c r="A409" s="185"/>
      <c r="B409" s="159"/>
      <c r="C409" s="36"/>
      <c r="D409" s="36"/>
      <c r="E409" s="36"/>
      <c r="F409" s="36"/>
      <c r="G409" s="36"/>
      <c r="H409" s="36"/>
      <c r="I409" s="47"/>
      <c r="J409" s="36"/>
      <c r="K409" s="36"/>
      <c r="L409" s="34"/>
      <c r="M409" s="36"/>
      <c r="N409" s="47"/>
      <c r="O409" s="36"/>
      <c r="P409" s="34"/>
      <c r="Q409" s="36"/>
      <c r="R409" s="47"/>
      <c r="S409" s="36"/>
      <c r="T409" s="34"/>
      <c r="U409" s="36"/>
      <c r="V409" s="47"/>
      <c r="W409" s="36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</row>
    <row r="410" ht="22.5" customHeight="1">
      <c r="A410" s="185"/>
      <c r="B410" s="159"/>
      <c r="C410" s="36"/>
      <c r="D410" s="36"/>
      <c r="E410" s="36"/>
      <c r="F410" s="36"/>
      <c r="G410" s="36"/>
      <c r="H410" s="36"/>
      <c r="I410" s="47"/>
      <c r="J410" s="36"/>
      <c r="K410" s="36"/>
      <c r="L410" s="34"/>
      <c r="M410" s="36"/>
      <c r="N410" s="47"/>
      <c r="O410" s="36"/>
      <c r="P410" s="34"/>
      <c r="Q410" s="36"/>
      <c r="R410" s="47"/>
      <c r="S410" s="36"/>
      <c r="T410" s="34"/>
      <c r="U410" s="36"/>
      <c r="V410" s="47"/>
      <c r="W410" s="36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</row>
    <row r="411" ht="22.5" customHeight="1">
      <c r="A411" s="185"/>
      <c r="B411" s="159"/>
      <c r="C411" s="36"/>
      <c r="D411" s="36"/>
      <c r="E411" s="36"/>
      <c r="F411" s="36"/>
      <c r="G411" s="36"/>
      <c r="H411" s="36"/>
      <c r="I411" s="47"/>
      <c r="J411" s="36"/>
      <c r="K411" s="36"/>
      <c r="L411" s="34"/>
      <c r="M411" s="36"/>
      <c r="N411" s="47"/>
      <c r="O411" s="36"/>
      <c r="P411" s="34"/>
      <c r="Q411" s="36"/>
      <c r="R411" s="47"/>
      <c r="S411" s="36"/>
      <c r="T411" s="34"/>
      <c r="U411" s="36"/>
      <c r="V411" s="47"/>
      <c r="W411" s="36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</row>
    <row r="412" ht="22.5" customHeight="1">
      <c r="A412" s="185"/>
      <c r="B412" s="159"/>
      <c r="C412" s="36"/>
      <c r="D412" s="36"/>
      <c r="E412" s="36"/>
      <c r="F412" s="36"/>
      <c r="G412" s="36"/>
      <c r="H412" s="36"/>
      <c r="I412" s="47"/>
      <c r="J412" s="36"/>
      <c r="K412" s="36"/>
      <c r="L412" s="34"/>
      <c r="M412" s="36"/>
      <c r="N412" s="47"/>
      <c r="O412" s="36"/>
      <c r="P412" s="34"/>
      <c r="Q412" s="36"/>
      <c r="R412" s="47"/>
      <c r="S412" s="36"/>
      <c r="T412" s="34"/>
      <c r="U412" s="36"/>
      <c r="V412" s="47"/>
      <c r="W412" s="36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</row>
    <row r="413" ht="22.5" customHeight="1">
      <c r="A413" s="185"/>
      <c r="B413" s="159"/>
      <c r="C413" s="36"/>
      <c r="D413" s="36"/>
      <c r="E413" s="36"/>
      <c r="F413" s="36"/>
      <c r="G413" s="36"/>
      <c r="H413" s="36"/>
      <c r="I413" s="47"/>
      <c r="J413" s="36"/>
      <c r="K413" s="36"/>
      <c r="L413" s="34"/>
      <c r="M413" s="36"/>
      <c r="N413" s="47"/>
      <c r="O413" s="36"/>
      <c r="P413" s="34"/>
      <c r="Q413" s="36"/>
      <c r="R413" s="47"/>
      <c r="S413" s="36"/>
      <c r="T413" s="34"/>
      <c r="U413" s="36"/>
      <c r="V413" s="47"/>
      <c r="W413" s="36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</row>
    <row r="414" ht="22.5" customHeight="1">
      <c r="A414" s="185"/>
      <c r="B414" s="159"/>
      <c r="C414" s="36"/>
      <c r="D414" s="36"/>
      <c r="E414" s="36"/>
      <c r="F414" s="36"/>
      <c r="G414" s="36"/>
      <c r="H414" s="36"/>
      <c r="I414" s="47"/>
      <c r="J414" s="36"/>
      <c r="K414" s="36"/>
      <c r="L414" s="34"/>
      <c r="M414" s="36"/>
      <c r="N414" s="47"/>
      <c r="O414" s="36"/>
      <c r="P414" s="34"/>
      <c r="Q414" s="36"/>
      <c r="R414" s="47"/>
      <c r="S414" s="36"/>
      <c r="T414" s="34"/>
      <c r="U414" s="36"/>
      <c r="V414" s="47"/>
      <c r="W414" s="36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</row>
    <row r="415" ht="22.5" customHeight="1">
      <c r="A415" s="185"/>
      <c r="B415" s="159"/>
      <c r="C415" s="36"/>
      <c r="D415" s="36"/>
      <c r="E415" s="36"/>
      <c r="F415" s="36"/>
      <c r="G415" s="36"/>
      <c r="H415" s="36"/>
      <c r="I415" s="47"/>
      <c r="J415" s="36"/>
      <c r="K415" s="36"/>
      <c r="L415" s="34"/>
      <c r="M415" s="36"/>
      <c r="N415" s="47"/>
      <c r="O415" s="36"/>
      <c r="P415" s="34"/>
      <c r="Q415" s="36"/>
      <c r="R415" s="47"/>
      <c r="S415" s="36"/>
      <c r="T415" s="34"/>
      <c r="U415" s="36"/>
      <c r="V415" s="47"/>
      <c r="W415" s="36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</row>
    <row r="416" ht="22.5" customHeight="1">
      <c r="A416" s="185"/>
      <c r="B416" s="159"/>
      <c r="C416" s="36"/>
      <c r="D416" s="36"/>
      <c r="E416" s="36"/>
      <c r="F416" s="36"/>
      <c r="G416" s="36"/>
      <c r="H416" s="36"/>
      <c r="I416" s="47"/>
      <c r="J416" s="36"/>
      <c r="K416" s="36"/>
      <c r="L416" s="34"/>
      <c r="M416" s="36"/>
      <c r="N416" s="47"/>
      <c r="O416" s="36"/>
      <c r="P416" s="34"/>
      <c r="Q416" s="36"/>
      <c r="R416" s="47"/>
      <c r="S416" s="36"/>
      <c r="T416" s="34"/>
      <c r="U416" s="36"/>
      <c r="V416" s="47"/>
      <c r="W416" s="36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</row>
    <row r="417" ht="22.5" customHeight="1">
      <c r="A417" s="185"/>
      <c r="B417" s="159"/>
      <c r="C417" s="36"/>
      <c r="D417" s="36"/>
      <c r="E417" s="36"/>
      <c r="F417" s="36"/>
      <c r="G417" s="36"/>
      <c r="H417" s="36"/>
      <c r="I417" s="47"/>
      <c r="J417" s="36"/>
      <c r="K417" s="36"/>
      <c r="L417" s="34"/>
      <c r="M417" s="36"/>
      <c r="N417" s="47"/>
      <c r="O417" s="36"/>
      <c r="P417" s="34"/>
      <c r="Q417" s="36"/>
      <c r="R417" s="47"/>
      <c r="S417" s="36"/>
      <c r="T417" s="34"/>
      <c r="U417" s="36"/>
      <c r="V417" s="47"/>
      <c r="W417" s="36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</row>
    <row r="418" ht="22.5" customHeight="1">
      <c r="A418" s="185"/>
      <c r="B418" s="159"/>
      <c r="C418" s="36"/>
      <c r="D418" s="36"/>
      <c r="E418" s="36"/>
      <c r="F418" s="36"/>
      <c r="G418" s="36"/>
      <c r="H418" s="36"/>
      <c r="I418" s="47"/>
      <c r="J418" s="36"/>
      <c r="K418" s="36"/>
      <c r="L418" s="34"/>
      <c r="M418" s="36"/>
      <c r="N418" s="47"/>
      <c r="O418" s="36"/>
      <c r="P418" s="34"/>
      <c r="Q418" s="36"/>
      <c r="R418" s="47"/>
      <c r="S418" s="36"/>
      <c r="T418" s="34"/>
      <c r="U418" s="36"/>
      <c r="V418" s="47"/>
      <c r="W418" s="36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</row>
    <row r="419" ht="22.5" customHeight="1">
      <c r="A419" s="185"/>
      <c r="B419" s="159"/>
      <c r="C419" s="36"/>
      <c r="D419" s="36"/>
      <c r="E419" s="36"/>
      <c r="F419" s="36"/>
      <c r="G419" s="36"/>
      <c r="H419" s="36"/>
      <c r="I419" s="47"/>
      <c r="J419" s="36"/>
      <c r="K419" s="36"/>
      <c r="L419" s="34"/>
      <c r="M419" s="36"/>
      <c r="N419" s="47"/>
      <c r="O419" s="36"/>
      <c r="P419" s="34"/>
      <c r="Q419" s="36"/>
      <c r="R419" s="47"/>
      <c r="S419" s="36"/>
      <c r="T419" s="34"/>
      <c r="U419" s="36"/>
      <c r="V419" s="47"/>
      <c r="W419" s="36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</row>
    <row r="420" ht="22.5" customHeight="1">
      <c r="A420" s="185"/>
      <c r="B420" s="159"/>
      <c r="C420" s="36"/>
      <c r="D420" s="36"/>
      <c r="E420" s="36"/>
      <c r="F420" s="36"/>
      <c r="G420" s="36"/>
      <c r="H420" s="36"/>
      <c r="I420" s="47"/>
      <c r="J420" s="36"/>
      <c r="K420" s="36"/>
      <c r="L420" s="34"/>
      <c r="M420" s="36"/>
      <c r="N420" s="47"/>
      <c r="O420" s="36"/>
      <c r="P420" s="34"/>
      <c r="Q420" s="36"/>
      <c r="R420" s="47"/>
      <c r="S420" s="36"/>
      <c r="T420" s="34"/>
      <c r="U420" s="36"/>
      <c r="V420" s="47"/>
      <c r="W420" s="36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</row>
    <row r="421" ht="22.5" customHeight="1">
      <c r="A421" s="185"/>
      <c r="B421" s="159"/>
      <c r="C421" s="36"/>
      <c r="D421" s="36"/>
      <c r="E421" s="36"/>
      <c r="F421" s="36"/>
      <c r="G421" s="36"/>
      <c r="H421" s="36"/>
      <c r="I421" s="47"/>
      <c r="J421" s="36"/>
      <c r="K421" s="36"/>
      <c r="L421" s="34"/>
      <c r="M421" s="36"/>
      <c r="N421" s="47"/>
      <c r="O421" s="36"/>
      <c r="P421" s="34"/>
      <c r="Q421" s="36"/>
      <c r="R421" s="47"/>
      <c r="S421" s="36"/>
      <c r="T421" s="34"/>
      <c r="U421" s="36"/>
      <c r="V421" s="47"/>
      <c r="W421" s="36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</row>
    <row r="422" ht="22.5" customHeight="1">
      <c r="A422" s="185"/>
      <c r="B422" s="159"/>
      <c r="C422" s="36"/>
      <c r="D422" s="36"/>
      <c r="E422" s="36"/>
      <c r="F422" s="36"/>
      <c r="G422" s="36"/>
      <c r="H422" s="36"/>
      <c r="I422" s="47"/>
      <c r="J422" s="36"/>
      <c r="K422" s="36"/>
      <c r="L422" s="34"/>
      <c r="M422" s="36"/>
      <c r="N422" s="47"/>
      <c r="O422" s="36"/>
      <c r="P422" s="34"/>
      <c r="Q422" s="36"/>
      <c r="R422" s="47"/>
      <c r="S422" s="36"/>
      <c r="T422" s="34"/>
      <c r="U422" s="36"/>
      <c r="V422" s="47"/>
      <c r="W422" s="36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</row>
    <row r="423" ht="22.5" customHeight="1">
      <c r="A423" s="185"/>
      <c r="B423" s="159"/>
      <c r="C423" s="36"/>
      <c r="D423" s="36"/>
      <c r="E423" s="36"/>
      <c r="F423" s="36"/>
      <c r="G423" s="36"/>
      <c r="H423" s="36"/>
      <c r="I423" s="47"/>
      <c r="J423" s="36"/>
      <c r="K423" s="36"/>
      <c r="L423" s="34"/>
      <c r="M423" s="36"/>
      <c r="N423" s="47"/>
      <c r="O423" s="36"/>
      <c r="P423" s="34"/>
      <c r="Q423" s="36"/>
      <c r="R423" s="47"/>
      <c r="S423" s="36"/>
      <c r="T423" s="34"/>
      <c r="U423" s="36"/>
      <c r="V423" s="47"/>
      <c r="W423" s="36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</row>
    <row r="424" ht="22.5" customHeight="1">
      <c r="A424" s="185"/>
      <c r="B424" s="159"/>
      <c r="C424" s="36"/>
      <c r="D424" s="36"/>
      <c r="E424" s="36"/>
      <c r="F424" s="36"/>
      <c r="G424" s="36"/>
      <c r="H424" s="36"/>
      <c r="I424" s="47"/>
      <c r="J424" s="36"/>
      <c r="K424" s="36"/>
      <c r="L424" s="34"/>
      <c r="M424" s="36"/>
      <c r="N424" s="47"/>
      <c r="O424" s="36"/>
      <c r="P424" s="34"/>
      <c r="Q424" s="36"/>
      <c r="R424" s="47"/>
      <c r="S424" s="36"/>
      <c r="T424" s="34"/>
      <c r="U424" s="36"/>
      <c r="V424" s="47"/>
      <c r="W424" s="36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</row>
    <row r="425" ht="22.5" customHeight="1">
      <c r="A425" s="185"/>
      <c r="B425" s="159"/>
      <c r="C425" s="36"/>
      <c r="D425" s="36"/>
      <c r="E425" s="36"/>
      <c r="F425" s="36"/>
      <c r="G425" s="36"/>
      <c r="H425" s="36"/>
      <c r="I425" s="47"/>
      <c r="J425" s="36"/>
      <c r="K425" s="36"/>
      <c r="L425" s="34"/>
      <c r="M425" s="36"/>
      <c r="N425" s="47"/>
      <c r="O425" s="36"/>
      <c r="P425" s="34"/>
      <c r="Q425" s="36"/>
      <c r="R425" s="47"/>
      <c r="S425" s="36"/>
      <c r="T425" s="34"/>
      <c r="U425" s="36"/>
      <c r="V425" s="47"/>
      <c r="W425" s="36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</row>
    <row r="426" ht="22.5" customHeight="1">
      <c r="A426" s="185"/>
      <c r="B426" s="159"/>
      <c r="C426" s="36"/>
      <c r="D426" s="36"/>
      <c r="E426" s="36"/>
      <c r="F426" s="36"/>
      <c r="G426" s="36"/>
      <c r="H426" s="36"/>
      <c r="I426" s="47"/>
      <c r="J426" s="36"/>
      <c r="K426" s="36"/>
      <c r="L426" s="34"/>
      <c r="M426" s="36"/>
      <c r="N426" s="47"/>
      <c r="O426" s="36"/>
      <c r="P426" s="34"/>
      <c r="Q426" s="36"/>
      <c r="R426" s="47"/>
      <c r="S426" s="36"/>
      <c r="T426" s="34"/>
      <c r="U426" s="36"/>
      <c r="V426" s="47"/>
      <c r="W426" s="36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</row>
    <row r="427" ht="22.5" customHeight="1">
      <c r="A427" s="185"/>
      <c r="B427" s="159"/>
      <c r="C427" s="36"/>
      <c r="D427" s="36"/>
      <c r="E427" s="36"/>
      <c r="F427" s="36"/>
      <c r="G427" s="36"/>
      <c r="H427" s="36"/>
      <c r="I427" s="47"/>
      <c r="J427" s="36"/>
      <c r="K427" s="36"/>
      <c r="L427" s="34"/>
      <c r="M427" s="36"/>
      <c r="N427" s="47"/>
      <c r="O427" s="36"/>
      <c r="P427" s="34"/>
      <c r="Q427" s="36"/>
      <c r="R427" s="47"/>
      <c r="S427" s="36"/>
      <c r="T427" s="34"/>
      <c r="U427" s="36"/>
      <c r="V427" s="47"/>
      <c r="W427" s="36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</row>
    <row r="428" ht="22.5" customHeight="1">
      <c r="A428" s="185"/>
      <c r="B428" s="159"/>
      <c r="C428" s="36"/>
      <c r="D428" s="36"/>
      <c r="E428" s="36"/>
      <c r="F428" s="36"/>
      <c r="G428" s="36"/>
      <c r="H428" s="36"/>
      <c r="I428" s="47"/>
      <c r="J428" s="36"/>
      <c r="K428" s="36"/>
      <c r="L428" s="34"/>
      <c r="M428" s="36"/>
      <c r="N428" s="47"/>
      <c r="O428" s="36"/>
      <c r="P428" s="34"/>
      <c r="Q428" s="36"/>
      <c r="R428" s="47"/>
      <c r="S428" s="36"/>
      <c r="T428" s="34"/>
      <c r="U428" s="36"/>
      <c r="V428" s="47"/>
      <c r="W428" s="36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</row>
    <row r="429" ht="22.5" customHeight="1">
      <c r="A429" s="185"/>
      <c r="B429" s="159"/>
      <c r="C429" s="36"/>
      <c r="D429" s="36"/>
      <c r="E429" s="36"/>
      <c r="F429" s="36"/>
      <c r="G429" s="36"/>
      <c r="H429" s="36"/>
      <c r="I429" s="47"/>
      <c r="J429" s="36"/>
      <c r="K429" s="36"/>
      <c r="L429" s="34"/>
      <c r="M429" s="36"/>
      <c r="N429" s="47"/>
      <c r="O429" s="36"/>
      <c r="P429" s="34"/>
      <c r="Q429" s="36"/>
      <c r="R429" s="47"/>
      <c r="S429" s="36"/>
      <c r="T429" s="34"/>
      <c r="U429" s="36"/>
      <c r="V429" s="47"/>
      <c r="W429" s="36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</row>
    <row r="430" ht="22.5" customHeight="1">
      <c r="A430" s="185"/>
      <c r="B430" s="159"/>
      <c r="C430" s="36"/>
      <c r="D430" s="36"/>
      <c r="E430" s="36"/>
      <c r="F430" s="36"/>
      <c r="G430" s="36"/>
      <c r="H430" s="36"/>
      <c r="I430" s="47"/>
      <c r="J430" s="36"/>
      <c r="K430" s="36"/>
      <c r="L430" s="34"/>
      <c r="M430" s="36"/>
      <c r="N430" s="47"/>
      <c r="O430" s="36"/>
      <c r="P430" s="34"/>
      <c r="Q430" s="36"/>
      <c r="R430" s="47"/>
      <c r="S430" s="36"/>
      <c r="T430" s="34"/>
      <c r="U430" s="36"/>
      <c r="V430" s="47"/>
      <c r="W430" s="36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</row>
    <row r="431" ht="22.5" customHeight="1">
      <c r="A431" s="185"/>
      <c r="B431" s="159"/>
      <c r="C431" s="36"/>
      <c r="D431" s="36"/>
      <c r="E431" s="36"/>
      <c r="F431" s="36"/>
      <c r="G431" s="36"/>
      <c r="H431" s="36"/>
      <c r="I431" s="47"/>
      <c r="J431" s="36"/>
      <c r="K431" s="36"/>
      <c r="L431" s="34"/>
      <c r="M431" s="36"/>
      <c r="N431" s="47"/>
      <c r="O431" s="36"/>
      <c r="P431" s="34"/>
      <c r="Q431" s="36"/>
      <c r="R431" s="47"/>
      <c r="S431" s="36"/>
      <c r="T431" s="34"/>
      <c r="U431" s="36"/>
      <c r="V431" s="47"/>
      <c r="W431" s="36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</row>
    <row r="432" ht="22.5" customHeight="1">
      <c r="A432" s="185"/>
      <c r="B432" s="159"/>
      <c r="C432" s="36"/>
      <c r="D432" s="36"/>
      <c r="E432" s="36"/>
      <c r="F432" s="36"/>
      <c r="G432" s="36"/>
      <c r="H432" s="36"/>
      <c r="I432" s="47"/>
      <c r="J432" s="36"/>
      <c r="K432" s="36"/>
      <c r="L432" s="34"/>
      <c r="M432" s="36"/>
      <c r="N432" s="47"/>
      <c r="O432" s="36"/>
      <c r="P432" s="34"/>
      <c r="Q432" s="36"/>
      <c r="R432" s="47"/>
      <c r="S432" s="36"/>
      <c r="T432" s="34"/>
      <c r="U432" s="36"/>
      <c r="V432" s="47"/>
      <c r="W432" s="36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</row>
    <row r="433" ht="22.5" customHeight="1">
      <c r="A433" s="185"/>
      <c r="B433" s="159"/>
      <c r="C433" s="36"/>
      <c r="D433" s="36"/>
      <c r="E433" s="36"/>
      <c r="F433" s="36"/>
      <c r="G433" s="36"/>
      <c r="H433" s="36"/>
      <c r="I433" s="47"/>
      <c r="J433" s="36"/>
      <c r="K433" s="36"/>
      <c r="L433" s="34"/>
      <c r="M433" s="36"/>
      <c r="N433" s="47"/>
      <c r="O433" s="36"/>
      <c r="P433" s="34"/>
      <c r="Q433" s="36"/>
      <c r="R433" s="47"/>
      <c r="S433" s="36"/>
      <c r="T433" s="34"/>
      <c r="U433" s="36"/>
      <c r="V433" s="47"/>
      <c r="W433" s="36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</row>
    <row r="434" ht="22.5" customHeight="1">
      <c r="A434" s="185"/>
      <c r="B434" s="159"/>
      <c r="C434" s="36"/>
      <c r="D434" s="36"/>
      <c r="E434" s="36"/>
      <c r="F434" s="36"/>
      <c r="G434" s="36"/>
      <c r="H434" s="36"/>
      <c r="I434" s="47"/>
      <c r="J434" s="36"/>
      <c r="K434" s="36"/>
      <c r="L434" s="34"/>
      <c r="M434" s="36"/>
      <c r="N434" s="47"/>
      <c r="O434" s="36"/>
      <c r="P434" s="34"/>
      <c r="Q434" s="36"/>
      <c r="R434" s="47"/>
      <c r="S434" s="36"/>
      <c r="T434" s="34"/>
      <c r="U434" s="36"/>
      <c r="V434" s="47"/>
      <c r="W434" s="36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</row>
    <row r="435" ht="22.5" customHeight="1">
      <c r="A435" s="185"/>
      <c r="B435" s="159"/>
      <c r="C435" s="36"/>
      <c r="D435" s="36"/>
      <c r="E435" s="36"/>
      <c r="F435" s="36"/>
      <c r="G435" s="36"/>
      <c r="H435" s="36"/>
      <c r="I435" s="47"/>
      <c r="J435" s="36"/>
      <c r="K435" s="36"/>
      <c r="L435" s="34"/>
      <c r="M435" s="36"/>
      <c r="N435" s="47"/>
      <c r="O435" s="36"/>
      <c r="P435" s="34"/>
      <c r="Q435" s="36"/>
      <c r="R435" s="47"/>
      <c r="S435" s="36"/>
      <c r="T435" s="34"/>
      <c r="U435" s="36"/>
      <c r="V435" s="47"/>
      <c r="W435" s="36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</row>
    <row r="436" ht="22.5" customHeight="1">
      <c r="A436" s="185"/>
      <c r="B436" s="159"/>
      <c r="C436" s="36"/>
      <c r="D436" s="36"/>
      <c r="E436" s="36"/>
      <c r="F436" s="36"/>
      <c r="G436" s="36"/>
      <c r="H436" s="36"/>
      <c r="I436" s="47"/>
      <c r="J436" s="36"/>
      <c r="K436" s="36"/>
      <c r="L436" s="34"/>
      <c r="M436" s="36"/>
      <c r="N436" s="47"/>
      <c r="O436" s="36"/>
      <c r="P436" s="34"/>
      <c r="Q436" s="36"/>
      <c r="R436" s="47"/>
      <c r="S436" s="36"/>
      <c r="T436" s="34"/>
      <c r="U436" s="36"/>
      <c r="V436" s="47"/>
      <c r="W436" s="36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</row>
    <row r="437" ht="22.5" customHeight="1">
      <c r="A437" s="185"/>
      <c r="B437" s="159"/>
      <c r="C437" s="36"/>
      <c r="D437" s="36"/>
      <c r="E437" s="36"/>
      <c r="F437" s="36"/>
      <c r="G437" s="36"/>
      <c r="H437" s="36"/>
      <c r="I437" s="47"/>
      <c r="J437" s="36"/>
      <c r="K437" s="36"/>
      <c r="L437" s="34"/>
      <c r="M437" s="36"/>
      <c r="N437" s="47"/>
      <c r="O437" s="36"/>
      <c r="P437" s="34"/>
      <c r="Q437" s="36"/>
      <c r="R437" s="47"/>
      <c r="S437" s="36"/>
      <c r="T437" s="34"/>
      <c r="U437" s="36"/>
      <c r="V437" s="47"/>
      <c r="W437" s="36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</row>
    <row r="438" ht="22.5" customHeight="1">
      <c r="A438" s="185"/>
      <c r="B438" s="159"/>
      <c r="C438" s="36"/>
      <c r="D438" s="36"/>
      <c r="E438" s="36"/>
      <c r="F438" s="36"/>
      <c r="G438" s="36"/>
      <c r="H438" s="36"/>
      <c r="I438" s="47"/>
      <c r="J438" s="36"/>
      <c r="K438" s="36"/>
      <c r="L438" s="34"/>
      <c r="M438" s="36"/>
      <c r="N438" s="47"/>
      <c r="O438" s="36"/>
      <c r="P438" s="34"/>
      <c r="Q438" s="36"/>
      <c r="R438" s="47"/>
      <c r="S438" s="36"/>
      <c r="T438" s="34"/>
      <c r="U438" s="36"/>
      <c r="V438" s="47"/>
      <c r="W438" s="36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</row>
    <row r="439" ht="22.5" customHeight="1">
      <c r="A439" s="185"/>
      <c r="B439" s="159"/>
      <c r="C439" s="36"/>
      <c r="D439" s="36"/>
      <c r="E439" s="36"/>
      <c r="F439" s="36"/>
      <c r="G439" s="36"/>
      <c r="H439" s="36"/>
      <c r="I439" s="47"/>
      <c r="J439" s="36"/>
      <c r="K439" s="36"/>
      <c r="L439" s="34"/>
      <c r="M439" s="36"/>
      <c r="N439" s="47"/>
      <c r="O439" s="36"/>
      <c r="P439" s="34"/>
      <c r="Q439" s="36"/>
      <c r="R439" s="47"/>
      <c r="S439" s="36"/>
      <c r="T439" s="34"/>
      <c r="U439" s="36"/>
      <c r="V439" s="47"/>
      <c r="W439" s="36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</row>
    <row r="440" ht="22.5" customHeight="1">
      <c r="A440" s="185"/>
      <c r="B440" s="159"/>
      <c r="C440" s="36"/>
      <c r="D440" s="36"/>
      <c r="E440" s="36"/>
      <c r="F440" s="36"/>
      <c r="G440" s="36"/>
      <c r="H440" s="36"/>
      <c r="I440" s="47"/>
      <c r="J440" s="36"/>
      <c r="K440" s="36"/>
      <c r="L440" s="34"/>
      <c r="M440" s="36"/>
      <c r="N440" s="47"/>
      <c r="O440" s="36"/>
      <c r="P440" s="34"/>
      <c r="Q440" s="36"/>
      <c r="R440" s="47"/>
      <c r="S440" s="36"/>
      <c r="T440" s="34"/>
      <c r="U440" s="36"/>
      <c r="V440" s="47"/>
      <c r="W440" s="36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</row>
    <row r="441" ht="22.5" customHeight="1">
      <c r="A441" s="185"/>
      <c r="B441" s="159"/>
      <c r="C441" s="36"/>
      <c r="D441" s="36"/>
      <c r="E441" s="36"/>
      <c r="F441" s="36"/>
      <c r="G441" s="36"/>
      <c r="H441" s="36"/>
      <c r="I441" s="47"/>
      <c r="J441" s="36"/>
      <c r="K441" s="36"/>
      <c r="L441" s="34"/>
      <c r="M441" s="36"/>
      <c r="N441" s="47"/>
      <c r="O441" s="36"/>
      <c r="P441" s="34"/>
      <c r="Q441" s="36"/>
      <c r="R441" s="47"/>
      <c r="S441" s="36"/>
      <c r="T441" s="34"/>
      <c r="U441" s="36"/>
      <c r="V441" s="47"/>
      <c r="W441" s="36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</row>
    <row r="442" ht="22.5" customHeight="1">
      <c r="A442" s="185"/>
      <c r="B442" s="159"/>
      <c r="C442" s="36"/>
      <c r="D442" s="36"/>
      <c r="E442" s="36"/>
      <c r="F442" s="36"/>
      <c r="G442" s="36"/>
      <c r="H442" s="36"/>
      <c r="I442" s="173"/>
      <c r="J442" s="36"/>
      <c r="K442" s="36"/>
      <c r="L442" s="34"/>
      <c r="M442" s="36"/>
      <c r="N442" s="47"/>
      <c r="O442" s="36"/>
      <c r="P442" s="34"/>
      <c r="Q442" s="36"/>
      <c r="R442" s="47"/>
      <c r="S442" s="36"/>
      <c r="T442" s="34"/>
      <c r="U442" s="36"/>
      <c r="V442" s="47"/>
      <c r="W442" s="36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</row>
    <row r="443" ht="22.5" customHeight="1">
      <c r="A443" s="185"/>
      <c r="B443" s="159"/>
      <c r="C443" s="36"/>
      <c r="D443" s="36"/>
      <c r="E443" s="36"/>
      <c r="F443" s="36"/>
      <c r="G443" s="36"/>
      <c r="H443" s="36"/>
      <c r="I443" s="173"/>
      <c r="J443" s="36"/>
      <c r="K443" s="36"/>
      <c r="L443" s="34"/>
      <c r="M443" s="36"/>
      <c r="N443" s="47"/>
      <c r="O443" s="36"/>
      <c r="P443" s="34"/>
      <c r="Q443" s="36"/>
      <c r="R443" s="47"/>
      <c r="S443" s="36"/>
      <c r="T443" s="34"/>
      <c r="U443" s="36"/>
      <c r="V443" s="47"/>
      <c r="W443" s="36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</row>
    <row r="444" ht="22.5" customHeight="1">
      <c r="A444" s="185"/>
      <c r="B444" s="159"/>
      <c r="C444" s="36"/>
      <c r="D444" s="36"/>
      <c r="E444" s="36"/>
      <c r="F444" s="36"/>
      <c r="G444" s="36"/>
      <c r="H444" s="36"/>
      <c r="I444" s="47"/>
      <c r="J444" s="36"/>
      <c r="K444" s="36"/>
      <c r="L444" s="34"/>
      <c r="M444" s="36"/>
      <c r="N444" s="47"/>
      <c r="O444" s="36"/>
      <c r="P444" s="34"/>
      <c r="Q444" s="36"/>
      <c r="R444" s="47"/>
      <c r="S444" s="36"/>
      <c r="T444" s="34"/>
      <c r="U444" s="36"/>
      <c r="V444" s="47"/>
      <c r="W444" s="36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</row>
    <row r="445" ht="22.5" customHeight="1">
      <c r="A445" s="185"/>
      <c r="B445" s="159"/>
      <c r="C445" s="36"/>
      <c r="D445" s="36"/>
      <c r="E445" s="36"/>
      <c r="F445" s="36"/>
      <c r="G445" s="36"/>
      <c r="H445" s="36"/>
      <c r="I445" s="47"/>
      <c r="J445" s="36"/>
      <c r="K445" s="36"/>
      <c r="L445" s="34"/>
      <c r="M445" s="36"/>
      <c r="N445" s="47"/>
      <c r="O445" s="36"/>
      <c r="P445" s="34"/>
      <c r="Q445" s="36"/>
      <c r="R445" s="47"/>
      <c r="S445" s="36"/>
      <c r="T445" s="34"/>
      <c r="U445" s="36"/>
      <c r="V445" s="47"/>
      <c r="W445" s="36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</row>
    <row r="446" ht="22.5" customHeight="1">
      <c r="A446" s="185"/>
      <c r="B446" s="159"/>
      <c r="C446" s="36"/>
      <c r="D446" s="36"/>
      <c r="E446" s="36"/>
      <c r="F446" s="36"/>
      <c r="G446" s="36"/>
      <c r="H446" s="36"/>
      <c r="I446" s="47"/>
      <c r="J446" s="36"/>
      <c r="K446" s="36"/>
      <c r="L446" s="34"/>
      <c r="M446" s="36"/>
      <c r="N446" s="47"/>
      <c r="O446" s="36"/>
      <c r="P446" s="34"/>
      <c r="Q446" s="36"/>
      <c r="R446" s="47"/>
      <c r="S446" s="36"/>
      <c r="T446" s="34"/>
      <c r="U446" s="36"/>
      <c r="V446" s="47"/>
      <c r="W446" s="36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</row>
    <row r="447" ht="22.5" customHeight="1">
      <c r="A447" s="185"/>
      <c r="B447" s="159"/>
      <c r="C447" s="36"/>
      <c r="D447" s="36"/>
      <c r="E447" s="36"/>
      <c r="F447" s="36"/>
      <c r="G447" s="36"/>
      <c r="H447" s="36"/>
      <c r="I447" s="47"/>
      <c r="J447" s="36"/>
      <c r="K447" s="36"/>
      <c r="L447" s="34"/>
      <c r="M447" s="36"/>
      <c r="N447" s="47"/>
      <c r="O447" s="36"/>
      <c r="P447" s="34"/>
      <c r="Q447" s="36"/>
      <c r="R447" s="47"/>
      <c r="S447" s="36"/>
      <c r="T447" s="34"/>
      <c r="U447" s="36"/>
      <c r="V447" s="47"/>
      <c r="W447" s="36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</row>
    <row r="448" ht="22.5" customHeight="1">
      <c r="A448" s="185"/>
      <c r="B448" s="159"/>
      <c r="C448" s="36"/>
      <c r="D448" s="36"/>
      <c r="E448" s="36"/>
      <c r="F448" s="36"/>
      <c r="G448" s="36"/>
      <c r="H448" s="36"/>
      <c r="I448" s="47"/>
      <c r="J448" s="36"/>
      <c r="K448" s="36"/>
      <c r="L448" s="34"/>
      <c r="M448" s="36"/>
      <c r="N448" s="47"/>
      <c r="O448" s="36"/>
      <c r="P448" s="34"/>
      <c r="Q448" s="36"/>
      <c r="R448" s="47"/>
      <c r="S448" s="36"/>
      <c r="T448" s="34"/>
      <c r="U448" s="36"/>
      <c r="V448" s="47"/>
      <c r="W448" s="36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</row>
    <row r="449" ht="22.5" customHeight="1">
      <c r="A449" s="185"/>
      <c r="B449" s="159"/>
      <c r="C449" s="36"/>
      <c r="D449" s="36"/>
      <c r="E449" s="36"/>
      <c r="F449" s="36"/>
      <c r="G449" s="36"/>
      <c r="H449" s="36"/>
      <c r="I449" s="47"/>
      <c r="J449" s="36"/>
      <c r="K449" s="36"/>
      <c r="L449" s="34"/>
      <c r="M449" s="36"/>
      <c r="N449" s="47"/>
      <c r="O449" s="36"/>
      <c r="P449" s="34"/>
      <c r="Q449" s="36"/>
      <c r="R449" s="47"/>
      <c r="S449" s="36"/>
      <c r="T449" s="34"/>
      <c r="U449" s="36"/>
      <c r="V449" s="47"/>
      <c r="W449" s="36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</row>
    <row r="450" ht="22.5" customHeight="1">
      <c r="A450" s="185"/>
      <c r="B450" s="159"/>
      <c r="C450" s="36"/>
      <c r="D450" s="36"/>
      <c r="E450" s="36"/>
      <c r="F450" s="36"/>
      <c r="G450" s="36"/>
      <c r="H450" s="36"/>
      <c r="I450" s="47"/>
      <c r="J450" s="36"/>
      <c r="K450" s="36"/>
      <c r="L450" s="34"/>
      <c r="M450" s="36"/>
      <c r="N450" s="47"/>
      <c r="O450" s="36"/>
      <c r="P450" s="34"/>
      <c r="Q450" s="36"/>
      <c r="R450" s="47"/>
      <c r="S450" s="36"/>
      <c r="T450" s="34"/>
      <c r="U450" s="36"/>
      <c r="V450" s="47"/>
      <c r="W450" s="36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</row>
    <row r="451" ht="22.5" customHeight="1">
      <c r="A451" s="185"/>
      <c r="B451" s="159"/>
      <c r="C451" s="36"/>
      <c r="D451" s="36"/>
      <c r="E451" s="36"/>
      <c r="F451" s="36"/>
      <c r="G451" s="36"/>
      <c r="H451" s="36"/>
      <c r="I451" s="47"/>
      <c r="J451" s="36"/>
      <c r="K451" s="36"/>
      <c r="L451" s="34"/>
      <c r="M451" s="36"/>
      <c r="N451" s="47"/>
      <c r="O451" s="36"/>
      <c r="P451" s="34"/>
      <c r="Q451" s="36"/>
      <c r="R451" s="47"/>
      <c r="S451" s="36"/>
      <c r="T451" s="34"/>
      <c r="U451" s="36"/>
      <c r="V451" s="47"/>
      <c r="W451" s="36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</row>
    <row r="452" ht="22.5" customHeight="1">
      <c r="A452" s="185"/>
      <c r="B452" s="159"/>
      <c r="C452" s="36"/>
      <c r="D452" s="36"/>
      <c r="E452" s="36"/>
      <c r="F452" s="36"/>
      <c r="G452" s="36"/>
      <c r="H452" s="36"/>
      <c r="I452" s="173"/>
      <c r="J452" s="36"/>
      <c r="K452" s="36"/>
      <c r="L452" s="34"/>
      <c r="M452" s="36"/>
      <c r="N452" s="47"/>
      <c r="O452" s="36"/>
      <c r="P452" s="34"/>
      <c r="Q452" s="36"/>
      <c r="R452" s="47"/>
      <c r="S452" s="36"/>
      <c r="T452" s="34"/>
      <c r="U452" s="36"/>
      <c r="V452" s="47"/>
      <c r="W452" s="36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</row>
    <row r="453" ht="20.25" customHeight="1">
      <c r="A453" s="4"/>
      <c r="B453" s="189"/>
      <c r="C453" s="4"/>
      <c r="D453" s="4"/>
      <c r="E453" s="4"/>
      <c r="F453" s="4"/>
      <c r="G453" s="4"/>
      <c r="H453" s="4"/>
      <c r="I453" s="190"/>
      <c r="J453" s="4"/>
      <c r="K453" s="4"/>
      <c r="L453" s="191"/>
      <c r="M453" s="192"/>
      <c r="N453" s="192"/>
      <c r="O453" s="192"/>
      <c r="P453" s="4"/>
      <c r="Q453" s="10"/>
      <c r="R453" s="10"/>
      <c r="S453" s="10"/>
      <c r="T453" s="10"/>
      <c r="U453" s="10"/>
      <c r="V453" s="10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</row>
    <row r="454" ht="20.25" customHeight="1">
      <c r="A454" s="4"/>
      <c r="B454" s="189"/>
      <c r="C454" s="4"/>
      <c r="D454" s="4"/>
      <c r="E454" s="4"/>
      <c r="F454" s="4"/>
      <c r="G454" s="4"/>
      <c r="H454" s="4"/>
      <c r="I454" s="190"/>
      <c r="J454" s="4"/>
      <c r="K454" s="4"/>
      <c r="L454" s="191"/>
      <c r="M454" s="192"/>
      <c r="N454" s="192"/>
      <c r="O454" s="192"/>
      <c r="P454" s="4"/>
      <c r="Q454" s="10"/>
      <c r="R454" s="10"/>
      <c r="S454" s="10"/>
      <c r="T454" s="10"/>
      <c r="U454" s="10"/>
      <c r="V454" s="10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</row>
    <row r="455" ht="20.25" customHeight="1">
      <c r="A455" s="4"/>
      <c r="B455" s="189"/>
      <c r="C455" s="4"/>
      <c r="D455" s="4"/>
      <c r="E455" s="4"/>
      <c r="F455" s="4"/>
      <c r="G455" s="4"/>
      <c r="H455" s="4"/>
      <c r="I455" s="190"/>
      <c r="J455" s="4"/>
      <c r="K455" s="4"/>
      <c r="L455" s="191"/>
      <c r="M455" s="192"/>
      <c r="N455" s="192"/>
      <c r="O455" s="192"/>
      <c r="P455" s="4"/>
      <c r="Q455" s="10"/>
      <c r="R455" s="10"/>
      <c r="S455" s="10"/>
      <c r="T455" s="10"/>
      <c r="U455" s="10"/>
      <c r="V455" s="10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</row>
    <row r="456" ht="20.25" customHeight="1">
      <c r="A456" s="4"/>
      <c r="B456" s="189"/>
      <c r="C456" s="4"/>
      <c r="D456" s="4"/>
      <c r="E456" s="4"/>
      <c r="F456" s="4"/>
      <c r="G456" s="4"/>
      <c r="H456" s="4"/>
      <c r="I456" s="190"/>
      <c r="J456" s="4"/>
      <c r="K456" s="4"/>
      <c r="L456" s="191"/>
      <c r="M456" s="192"/>
      <c r="N456" s="192"/>
      <c r="O456" s="192"/>
      <c r="P456" s="4"/>
      <c r="Q456" s="10"/>
      <c r="R456" s="10"/>
      <c r="S456" s="10"/>
      <c r="T456" s="10"/>
      <c r="U456" s="10"/>
      <c r="V456" s="10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</row>
    <row r="457" ht="20.25" customHeight="1">
      <c r="A457" s="4"/>
      <c r="B457" s="189"/>
      <c r="C457" s="4"/>
      <c r="D457" s="4"/>
      <c r="E457" s="4"/>
      <c r="F457" s="4"/>
      <c r="G457" s="4"/>
      <c r="H457" s="4"/>
      <c r="I457" s="190"/>
      <c r="J457" s="4"/>
      <c r="K457" s="4"/>
      <c r="L457" s="191"/>
      <c r="M457" s="192"/>
      <c r="N457" s="192"/>
      <c r="O457" s="192"/>
      <c r="P457" s="4"/>
      <c r="Q457" s="10"/>
      <c r="R457" s="10"/>
      <c r="S457" s="10"/>
      <c r="T457" s="10"/>
      <c r="U457" s="10"/>
      <c r="V457" s="10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</row>
    <row r="458" ht="20.25" customHeight="1">
      <c r="A458" s="4"/>
      <c r="B458" s="189"/>
      <c r="C458" s="4"/>
      <c r="D458" s="4"/>
      <c r="E458" s="4"/>
      <c r="F458" s="4"/>
      <c r="G458" s="4"/>
      <c r="H458" s="4"/>
      <c r="I458" s="190"/>
      <c r="J458" s="4"/>
      <c r="K458" s="4"/>
      <c r="L458" s="191"/>
      <c r="M458" s="192"/>
      <c r="N458" s="192"/>
      <c r="O458" s="192"/>
      <c r="P458" s="4"/>
      <c r="Q458" s="10"/>
      <c r="R458" s="10"/>
      <c r="S458" s="10"/>
      <c r="T458" s="10"/>
      <c r="U458" s="10"/>
      <c r="V458" s="10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</row>
    <row r="459" ht="20.25" customHeight="1">
      <c r="A459" s="4"/>
      <c r="B459" s="189"/>
      <c r="C459" s="4"/>
      <c r="D459" s="4"/>
      <c r="E459" s="4"/>
      <c r="F459" s="4"/>
      <c r="G459" s="4"/>
      <c r="H459" s="4"/>
      <c r="I459" s="190"/>
      <c r="J459" s="4"/>
      <c r="K459" s="4"/>
      <c r="L459" s="191"/>
      <c r="M459" s="192"/>
      <c r="N459" s="192"/>
      <c r="O459" s="192"/>
      <c r="P459" s="4"/>
      <c r="Q459" s="10"/>
      <c r="R459" s="10"/>
      <c r="S459" s="10"/>
      <c r="T459" s="10"/>
      <c r="U459" s="10"/>
      <c r="V459" s="10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</row>
    <row r="460" ht="20.25" customHeight="1">
      <c r="A460" s="4"/>
      <c r="B460" s="189"/>
      <c r="C460" s="4"/>
      <c r="D460" s="4"/>
      <c r="E460" s="4"/>
      <c r="F460" s="4"/>
      <c r="G460" s="4"/>
      <c r="H460" s="4"/>
      <c r="I460" s="190"/>
      <c r="J460" s="4"/>
      <c r="K460" s="4"/>
      <c r="L460" s="191"/>
      <c r="M460" s="192"/>
      <c r="N460" s="192"/>
      <c r="O460" s="192"/>
      <c r="P460" s="4"/>
      <c r="Q460" s="10"/>
      <c r="R460" s="10"/>
      <c r="S460" s="10"/>
      <c r="T460" s="10"/>
      <c r="U460" s="10"/>
      <c r="V460" s="10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</row>
    <row r="461" ht="20.25" customHeight="1">
      <c r="A461" s="4"/>
      <c r="B461" s="189"/>
      <c r="C461" s="4"/>
      <c r="D461" s="4"/>
      <c r="E461" s="4"/>
      <c r="F461" s="4"/>
      <c r="G461" s="4"/>
      <c r="H461" s="4"/>
      <c r="I461" s="190"/>
      <c r="J461" s="4"/>
      <c r="K461" s="4"/>
      <c r="L461" s="191"/>
      <c r="M461" s="192"/>
      <c r="N461" s="192"/>
      <c r="O461" s="192"/>
      <c r="P461" s="4"/>
      <c r="Q461" s="10"/>
      <c r="R461" s="10"/>
      <c r="S461" s="10"/>
      <c r="T461" s="10"/>
      <c r="U461" s="10"/>
      <c r="V461" s="10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</row>
    <row r="462" ht="20.25" customHeight="1">
      <c r="A462" s="4"/>
      <c r="B462" s="189"/>
      <c r="C462" s="4"/>
      <c r="D462" s="4"/>
      <c r="E462" s="4"/>
      <c r="F462" s="4"/>
      <c r="G462" s="4"/>
      <c r="H462" s="4"/>
      <c r="I462" s="190"/>
      <c r="J462" s="4"/>
      <c r="K462" s="4"/>
      <c r="L462" s="191"/>
      <c r="M462" s="192"/>
      <c r="N462" s="192"/>
      <c r="O462" s="192"/>
      <c r="P462" s="4"/>
      <c r="Q462" s="10"/>
      <c r="R462" s="10"/>
      <c r="S462" s="10"/>
      <c r="T462" s="10"/>
      <c r="U462" s="10"/>
      <c r="V462" s="10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</row>
    <row r="463" ht="20.25" customHeight="1">
      <c r="A463" s="4"/>
      <c r="B463" s="189"/>
      <c r="C463" s="4"/>
      <c r="D463" s="4"/>
      <c r="E463" s="4"/>
      <c r="F463" s="4"/>
      <c r="G463" s="4"/>
      <c r="H463" s="4"/>
      <c r="I463" s="190"/>
      <c r="J463" s="4"/>
      <c r="K463" s="4"/>
      <c r="L463" s="191"/>
      <c r="M463" s="192"/>
      <c r="N463" s="192"/>
      <c r="O463" s="192"/>
      <c r="P463" s="4"/>
      <c r="Q463" s="10"/>
      <c r="R463" s="10"/>
      <c r="S463" s="10"/>
      <c r="T463" s="10"/>
      <c r="U463" s="10"/>
      <c r="V463" s="10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</row>
    <row r="464" ht="20.25" customHeight="1">
      <c r="A464" s="4"/>
      <c r="B464" s="189"/>
      <c r="C464" s="4"/>
      <c r="D464" s="4"/>
      <c r="E464" s="4"/>
      <c r="F464" s="4"/>
      <c r="G464" s="4"/>
      <c r="H464" s="4"/>
      <c r="I464" s="190"/>
      <c r="J464" s="4"/>
      <c r="K464" s="4"/>
      <c r="L464" s="191"/>
      <c r="M464" s="192"/>
      <c r="N464" s="192"/>
      <c r="O464" s="192"/>
      <c r="P464" s="4"/>
      <c r="Q464" s="10"/>
      <c r="R464" s="10"/>
      <c r="S464" s="10"/>
      <c r="T464" s="10"/>
      <c r="U464" s="10"/>
      <c r="V464" s="10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</row>
    <row r="465" ht="20.25" customHeight="1">
      <c r="A465" s="4"/>
      <c r="B465" s="189"/>
      <c r="C465" s="4"/>
      <c r="D465" s="4"/>
      <c r="E465" s="4"/>
      <c r="F465" s="4"/>
      <c r="G465" s="4"/>
      <c r="H465" s="4"/>
      <c r="I465" s="190"/>
      <c r="J465" s="4"/>
      <c r="K465" s="4"/>
      <c r="L465" s="191"/>
      <c r="M465" s="192"/>
      <c r="N465" s="192"/>
      <c r="O465" s="192"/>
      <c r="P465" s="4"/>
      <c r="Q465" s="10"/>
      <c r="R465" s="10"/>
      <c r="S465" s="10"/>
      <c r="T465" s="10"/>
      <c r="U465" s="10"/>
      <c r="V465" s="10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</row>
    <row r="466" ht="20.25" customHeight="1">
      <c r="A466" s="4"/>
      <c r="B466" s="189"/>
      <c r="C466" s="4"/>
      <c r="D466" s="4"/>
      <c r="E466" s="4"/>
      <c r="F466" s="4"/>
      <c r="G466" s="4"/>
      <c r="H466" s="4"/>
      <c r="I466" s="190"/>
      <c r="J466" s="4"/>
      <c r="K466" s="4"/>
      <c r="L466" s="191"/>
      <c r="M466" s="192"/>
      <c r="N466" s="192"/>
      <c r="O466" s="192"/>
      <c r="P466" s="4"/>
      <c r="Q466" s="10"/>
      <c r="R466" s="10"/>
      <c r="S466" s="10"/>
      <c r="T466" s="10"/>
      <c r="U466" s="10"/>
      <c r="V466" s="10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</row>
    <row r="467" ht="20.25" customHeight="1">
      <c r="A467" s="4"/>
      <c r="B467" s="189"/>
      <c r="C467" s="4"/>
      <c r="D467" s="4"/>
      <c r="E467" s="4"/>
      <c r="F467" s="4"/>
      <c r="G467" s="4"/>
      <c r="H467" s="4"/>
      <c r="I467" s="190"/>
      <c r="J467" s="4"/>
      <c r="K467" s="4"/>
      <c r="L467" s="191"/>
      <c r="M467" s="192"/>
      <c r="N467" s="192"/>
      <c r="O467" s="192"/>
      <c r="P467" s="4"/>
      <c r="Q467" s="10"/>
      <c r="R467" s="10"/>
      <c r="S467" s="10"/>
      <c r="T467" s="10"/>
      <c r="U467" s="10"/>
      <c r="V467" s="10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</row>
    <row r="468" ht="20.25" customHeight="1">
      <c r="A468" s="4"/>
      <c r="B468" s="189"/>
      <c r="C468" s="4"/>
      <c r="D468" s="4"/>
      <c r="E468" s="4"/>
      <c r="F468" s="4"/>
      <c r="G468" s="4"/>
      <c r="H468" s="4"/>
      <c r="I468" s="190"/>
      <c r="J468" s="4"/>
      <c r="K468" s="4"/>
      <c r="L468" s="191"/>
      <c r="M468" s="192"/>
      <c r="N468" s="192"/>
      <c r="O468" s="192"/>
      <c r="P468" s="4"/>
      <c r="Q468" s="10"/>
      <c r="R468" s="10"/>
      <c r="S468" s="10"/>
      <c r="T468" s="10"/>
      <c r="U468" s="10"/>
      <c r="V468" s="10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</row>
    <row r="469" ht="20.25" customHeight="1">
      <c r="A469" s="4"/>
      <c r="B469" s="189"/>
      <c r="C469" s="4"/>
      <c r="D469" s="4"/>
      <c r="E469" s="4"/>
      <c r="F469" s="4"/>
      <c r="G469" s="4"/>
      <c r="H469" s="4"/>
      <c r="I469" s="190"/>
      <c r="J469" s="4"/>
      <c r="K469" s="4"/>
      <c r="L469" s="191"/>
      <c r="M469" s="192"/>
      <c r="N469" s="192"/>
      <c r="O469" s="192"/>
      <c r="P469" s="4"/>
      <c r="Q469" s="10"/>
      <c r="R469" s="10"/>
      <c r="S469" s="10"/>
      <c r="T469" s="10"/>
      <c r="U469" s="10"/>
      <c r="V469" s="10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</row>
    <row r="470" ht="20.25" customHeight="1">
      <c r="A470" s="4"/>
      <c r="B470" s="189"/>
      <c r="C470" s="4"/>
      <c r="D470" s="4"/>
      <c r="E470" s="4"/>
      <c r="F470" s="4"/>
      <c r="G470" s="4"/>
      <c r="H470" s="4"/>
      <c r="I470" s="190"/>
      <c r="J470" s="4"/>
      <c r="K470" s="4"/>
      <c r="L470" s="191"/>
      <c r="M470" s="192"/>
      <c r="N470" s="192"/>
      <c r="O470" s="192"/>
      <c r="P470" s="4"/>
      <c r="Q470" s="10"/>
      <c r="R470" s="10"/>
      <c r="S470" s="10"/>
      <c r="T470" s="10"/>
      <c r="U470" s="10"/>
      <c r="V470" s="10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</row>
    <row r="471" ht="20.25" customHeight="1">
      <c r="A471" s="4"/>
      <c r="B471" s="189"/>
      <c r="C471" s="4"/>
      <c r="D471" s="4"/>
      <c r="E471" s="4"/>
      <c r="F471" s="4"/>
      <c r="G471" s="4"/>
      <c r="H471" s="4"/>
      <c r="I471" s="190"/>
      <c r="J471" s="4"/>
      <c r="K471" s="4"/>
      <c r="L471" s="191"/>
      <c r="M471" s="192"/>
      <c r="N471" s="192"/>
      <c r="O471" s="192"/>
      <c r="P471" s="4"/>
      <c r="Q471" s="10"/>
      <c r="R471" s="10"/>
      <c r="S471" s="10"/>
      <c r="T471" s="10"/>
      <c r="U471" s="10"/>
      <c r="V471" s="10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</row>
    <row r="472" ht="20.25" customHeight="1">
      <c r="A472" s="4"/>
      <c r="B472" s="189"/>
      <c r="C472" s="4"/>
      <c r="D472" s="4"/>
      <c r="E472" s="4"/>
      <c r="F472" s="4"/>
      <c r="G472" s="4"/>
      <c r="H472" s="4"/>
      <c r="I472" s="190"/>
      <c r="J472" s="4"/>
      <c r="K472" s="4"/>
      <c r="L472" s="191"/>
      <c r="M472" s="192"/>
      <c r="N472" s="192"/>
      <c r="O472" s="192"/>
      <c r="P472" s="4"/>
      <c r="Q472" s="10"/>
      <c r="R472" s="10"/>
      <c r="S472" s="10"/>
      <c r="T472" s="10"/>
      <c r="U472" s="10"/>
      <c r="V472" s="10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</row>
    <row r="473" ht="20.25" customHeight="1">
      <c r="A473" s="4"/>
      <c r="B473" s="189"/>
      <c r="C473" s="4"/>
      <c r="D473" s="4"/>
      <c r="E473" s="4"/>
      <c r="F473" s="4"/>
      <c r="G473" s="4"/>
      <c r="H473" s="4"/>
      <c r="I473" s="190"/>
      <c r="J473" s="4"/>
      <c r="K473" s="4"/>
      <c r="L473" s="191"/>
      <c r="M473" s="192"/>
      <c r="N473" s="192"/>
      <c r="O473" s="192"/>
      <c r="P473" s="4"/>
      <c r="Q473" s="10"/>
      <c r="R473" s="10"/>
      <c r="S473" s="10"/>
      <c r="T473" s="10"/>
      <c r="U473" s="10"/>
      <c r="V473" s="10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</row>
    <row r="474" ht="20.25" customHeight="1">
      <c r="A474" s="4"/>
      <c r="B474" s="189"/>
      <c r="C474" s="4"/>
      <c r="D474" s="4"/>
      <c r="E474" s="4"/>
      <c r="F474" s="4"/>
      <c r="G474" s="4"/>
      <c r="H474" s="4"/>
      <c r="I474" s="190"/>
      <c r="J474" s="4"/>
      <c r="K474" s="4"/>
      <c r="L474" s="191"/>
      <c r="M474" s="192"/>
      <c r="N474" s="192"/>
      <c r="O474" s="192"/>
      <c r="P474" s="4"/>
      <c r="Q474" s="10"/>
      <c r="R474" s="10"/>
      <c r="S474" s="10"/>
      <c r="T474" s="10"/>
      <c r="U474" s="10"/>
      <c r="V474" s="10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</row>
    <row r="475" ht="20.25" customHeight="1">
      <c r="A475" s="4"/>
      <c r="B475" s="189"/>
      <c r="C475" s="4"/>
      <c r="D475" s="4"/>
      <c r="E475" s="4"/>
      <c r="F475" s="4"/>
      <c r="G475" s="4"/>
      <c r="H475" s="4"/>
      <c r="I475" s="190"/>
      <c r="J475" s="4"/>
      <c r="K475" s="4"/>
      <c r="L475" s="191"/>
      <c r="M475" s="192"/>
      <c r="N475" s="192"/>
      <c r="O475" s="192"/>
      <c r="P475" s="4"/>
      <c r="Q475" s="10"/>
      <c r="R475" s="10"/>
      <c r="S475" s="10"/>
      <c r="T475" s="10"/>
      <c r="U475" s="10"/>
      <c r="V475" s="10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</row>
    <row r="476" ht="20.25" customHeight="1">
      <c r="A476" s="4"/>
      <c r="B476" s="189"/>
      <c r="C476" s="4"/>
      <c r="D476" s="4"/>
      <c r="E476" s="4"/>
      <c r="F476" s="4"/>
      <c r="G476" s="4"/>
      <c r="H476" s="4"/>
      <c r="I476" s="190"/>
      <c r="J476" s="4"/>
      <c r="K476" s="4"/>
      <c r="L476" s="191"/>
      <c r="M476" s="192"/>
      <c r="N476" s="192"/>
      <c r="O476" s="192"/>
      <c r="P476" s="4"/>
      <c r="Q476" s="10"/>
      <c r="R476" s="10"/>
      <c r="S476" s="10"/>
      <c r="T476" s="10"/>
      <c r="U476" s="10"/>
      <c r="V476" s="10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</row>
    <row r="477" ht="20.25" customHeight="1">
      <c r="A477" s="4"/>
      <c r="B477" s="189"/>
      <c r="C477" s="4"/>
      <c r="D477" s="4"/>
      <c r="E477" s="4"/>
      <c r="F477" s="4"/>
      <c r="G477" s="4"/>
      <c r="H477" s="4"/>
      <c r="I477" s="190"/>
      <c r="J477" s="4"/>
      <c r="K477" s="4"/>
      <c r="L477" s="191"/>
      <c r="M477" s="192"/>
      <c r="N477" s="192"/>
      <c r="O477" s="192"/>
      <c r="P477" s="4"/>
      <c r="Q477" s="10"/>
      <c r="R477" s="10"/>
      <c r="S477" s="10"/>
      <c r="T477" s="10"/>
      <c r="U477" s="10"/>
      <c r="V477" s="10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</row>
    <row r="478" ht="20.25" customHeight="1">
      <c r="A478" s="4"/>
      <c r="B478" s="189"/>
      <c r="C478" s="4"/>
      <c r="D478" s="4"/>
      <c r="E478" s="4"/>
      <c r="F478" s="4"/>
      <c r="G478" s="4"/>
      <c r="H478" s="4"/>
      <c r="I478" s="190"/>
      <c r="J478" s="4"/>
      <c r="K478" s="4"/>
      <c r="L478" s="191"/>
      <c r="M478" s="192"/>
      <c r="N478" s="192"/>
      <c r="O478" s="192"/>
      <c r="P478" s="4"/>
      <c r="Q478" s="10"/>
      <c r="R478" s="10"/>
      <c r="S478" s="10"/>
      <c r="T478" s="10"/>
      <c r="U478" s="10"/>
      <c r="V478" s="10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</row>
    <row r="479" ht="20.25" customHeight="1">
      <c r="A479" s="4"/>
      <c r="B479" s="189"/>
      <c r="C479" s="4"/>
      <c r="D479" s="4"/>
      <c r="E479" s="4"/>
      <c r="F479" s="4"/>
      <c r="G479" s="4"/>
      <c r="H479" s="4"/>
      <c r="I479" s="190"/>
      <c r="J479" s="4"/>
      <c r="K479" s="4"/>
      <c r="L479" s="191"/>
      <c r="M479" s="192"/>
      <c r="N479" s="192"/>
      <c r="O479" s="192"/>
      <c r="P479" s="4"/>
      <c r="Q479" s="10"/>
      <c r="R479" s="10"/>
      <c r="S479" s="10"/>
      <c r="T479" s="10"/>
      <c r="U479" s="10"/>
      <c r="V479" s="10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</row>
    <row r="480" ht="20.25" customHeight="1">
      <c r="A480" s="4"/>
      <c r="B480" s="189"/>
      <c r="C480" s="4"/>
      <c r="D480" s="4"/>
      <c r="E480" s="4"/>
      <c r="F480" s="4"/>
      <c r="G480" s="4"/>
      <c r="H480" s="4"/>
      <c r="I480" s="190"/>
      <c r="J480" s="4"/>
      <c r="K480" s="4"/>
      <c r="L480" s="191"/>
      <c r="M480" s="192"/>
      <c r="N480" s="192"/>
      <c r="O480" s="192"/>
      <c r="P480" s="4"/>
      <c r="Q480" s="10"/>
      <c r="R480" s="10"/>
      <c r="S480" s="10"/>
      <c r="T480" s="10"/>
      <c r="U480" s="10"/>
      <c r="V480" s="10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</row>
    <row r="481" ht="20.25" customHeight="1">
      <c r="A481" s="4"/>
      <c r="B481" s="189"/>
      <c r="C481" s="4"/>
      <c r="D481" s="4"/>
      <c r="E481" s="4"/>
      <c r="F481" s="4"/>
      <c r="G481" s="4"/>
      <c r="H481" s="4"/>
      <c r="I481" s="190"/>
      <c r="J481" s="4"/>
      <c r="K481" s="4"/>
      <c r="L481" s="191"/>
      <c r="M481" s="192"/>
      <c r="N481" s="192"/>
      <c r="O481" s="192"/>
      <c r="P481" s="4"/>
      <c r="Q481" s="10"/>
      <c r="R481" s="10"/>
      <c r="S481" s="10"/>
      <c r="T481" s="10"/>
      <c r="U481" s="10"/>
      <c r="V481" s="10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</row>
    <row r="482" ht="20.25" customHeight="1">
      <c r="A482" s="4"/>
      <c r="B482" s="189"/>
      <c r="C482" s="4"/>
      <c r="D482" s="4"/>
      <c r="E482" s="4"/>
      <c r="F482" s="4"/>
      <c r="G482" s="4"/>
      <c r="H482" s="4"/>
      <c r="I482" s="190"/>
      <c r="J482" s="4"/>
      <c r="K482" s="4"/>
      <c r="L482" s="191"/>
      <c r="M482" s="192"/>
      <c r="N482" s="192"/>
      <c r="O482" s="192"/>
      <c r="P482" s="4"/>
      <c r="Q482" s="10"/>
      <c r="R482" s="10"/>
      <c r="S482" s="10"/>
      <c r="T482" s="10"/>
      <c r="U482" s="10"/>
      <c r="V482" s="10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</row>
    <row r="483" ht="20.25" customHeight="1">
      <c r="A483" s="4"/>
      <c r="B483" s="189"/>
      <c r="C483" s="4"/>
      <c r="D483" s="4"/>
      <c r="E483" s="4"/>
      <c r="F483" s="4"/>
      <c r="G483" s="4"/>
      <c r="H483" s="4"/>
      <c r="I483" s="190"/>
      <c r="J483" s="4"/>
      <c r="K483" s="4"/>
      <c r="L483" s="191"/>
      <c r="M483" s="192"/>
      <c r="N483" s="192"/>
      <c r="O483" s="192"/>
      <c r="P483" s="4"/>
      <c r="Q483" s="10"/>
      <c r="R483" s="10"/>
      <c r="S483" s="10"/>
      <c r="T483" s="10"/>
      <c r="U483" s="10"/>
      <c r="V483" s="10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</row>
    <row r="484" ht="20.25" customHeight="1">
      <c r="A484" s="4"/>
      <c r="B484" s="189"/>
      <c r="C484" s="4"/>
      <c r="D484" s="4"/>
      <c r="E484" s="4"/>
      <c r="F484" s="4"/>
      <c r="G484" s="4"/>
      <c r="H484" s="4"/>
      <c r="I484" s="190"/>
      <c r="J484" s="4"/>
      <c r="K484" s="4"/>
      <c r="L484" s="191"/>
      <c r="M484" s="192"/>
      <c r="N484" s="192"/>
      <c r="O484" s="192"/>
      <c r="P484" s="4"/>
      <c r="Q484" s="10"/>
      <c r="R484" s="10"/>
      <c r="S484" s="10"/>
      <c r="T484" s="10"/>
      <c r="U484" s="10"/>
      <c r="V484" s="10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</row>
    <row r="485" ht="20.25" customHeight="1">
      <c r="A485" s="4"/>
      <c r="B485" s="189"/>
      <c r="C485" s="4"/>
      <c r="D485" s="4"/>
      <c r="E485" s="4"/>
      <c r="F485" s="4"/>
      <c r="G485" s="4"/>
      <c r="H485" s="4"/>
      <c r="I485" s="190"/>
      <c r="J485" s="4"/>
      <c r="K485" s="4"/>
      <c r="L485" s="191"/>
      <c r="M485" s="192"/>
      <c r="N485" s="192"/>
      <c r="O485" s="192"/>
      <c r="P485" s="4"/>
      <c r="Q485" s="10"/>
      <c r="R485" s="10"/>
      <c r="S485" s="10"/>
      <c r="T485" s="10"/>
      <c r="U485" s="10"/>
      <c r="V485" s="10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</row>
    <row r="486" ht="20.25" customHeight="1">
      <c r="A486" s="4"/>
      <c r="B486" s="189"/>
      <c r="C486" s="4"/>
      <c r="D486" s="4"/>
      <c r="E486" s="4"/>
      <c r="F486" s="4"/>
      <c r="G486" s="4"/>
      <c r="H486" s="4"/>
      <c r="I486" s="190"/>
      <c r="J486" s="4"/>
      <c r="K486" s="4"/>
      <c r="L486" s="191"/>
      <c r="M486" s="192"/>
      <c r="N486" s="192"/>
      <c r="O486" s="192"/>
      <c r="P486" s="4"/>
      <c r="Q486" s="10"/>
      <c r="R486" s="10"/>
      <c r="S486" s="10"/>
      <c r="T486" s="10"/>
      <c r="U486" s="10"/>
      <c r="V486" s="10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</row>
    <row r="487" ht="20.25" customHeight="1">
      <c r="A487" s="4"/>
      <c r="B487" s="189"/>
      <c r="C487" s="4"/>
      <c r="D487" s="4"/>
      <c r="E487" s="4"/>
      <c r="F487" s="4"/>
      <c r="G487" s="4"/>
      <c r="H487" s="4"/>
      <c r="I487" s="190"/>
      <c r="J487" s="4"/>
      <c r="K487" s="4"/>
      <c r="L487" s="191"/>
      <c r="M487" s="192"/>
      <c r="N487" s="192"/>
      <c r="O487" s="192"/>
      <c r="P487" s="4"/>
      <c r="Q487" s="10"/>
      <c r="R487" s="10"/>
      <c r="S487" s="10"/>
      <c r="T487" s="10"/>
      <c r="U487" s="10"/>
      <c r="V487" s="10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</row>
    <row r="488" ht="20.25" customHeight="1">
      <c r="A488" s="4"/>
      <c r="B488" s="189"/>
      <c r="C488" s="4"/>
      <c r="D488" s="4"/>
      <c r="E488" s="4"/>
      <c r="F488" s="4"/>
      <c r="G488" s="4"/>
      <c r="H488" s="4"/>
      <c r="I488" s="190"/>
      <c r="J488" s="4"/>
      <c r="K488" s="4"/>
      <c r="L488" s="191"/>
      <c r="M488" s="192"/>
      <c r="N488" s="192"/>
      <c r="O488" s="192"/>
      <c r="P488" s="4"/>
      <c r="Q488" s="10"/>
      <c r="R488" s="10"/>
      <c r="S488" s="10"/>
      <c r="T488" s="10"/>
      <c r="U488" s="10"/>
      <c r="V488" s="10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</row>
    <row r="489" ht="20.25" customHeight="1">
      <c r="A489" s="4"/>
      <c r="B489" s="189"/>
      <c r="C489" s="4"/>
      <c r="D489" s="4"/>
      <c r="E489" s="4"/>
      <c r="F489" s="4"/>
      <c r="G489" s="4"/>
      <c r="H489" s="4"/>
      <c r="I489" s="190"/>
      <c r="J489" s="4"/>
      <c r="K489" s="4"/>
      <c r="L489" s="191"/>
      <c r="M489" s="192"/>
      <c r="N489" s="192"/>
      <c r="O489" s="192"/>
      <c r="P489" s="4"/>
      <c r="Q489" s="10"/>
      <c r="R489" s="10"/>
      <c r="S489" s="10"/>
      <c r="T489" s="10"/>
      <c r="U489" s="10"/>
      <c r="V489" s="10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</row>
    <row r="490" ht="20.25" customHeight="1">
      <c r="A490" s="4"/>
      <c r="B490" s="189"/>
      <c r="C490" s="4"/>
      <c r="D490" s="4"/>
      <c r="E490" s="4"/>
      <c r="F490" s="4"/>
      <c r="G490" s="4"/>
      <c r="H490" s="4"/>
      <c r="I490" s="190"/>
      <c r="J490" s="4"/>
      <c r="K490" s="4"/>
      <c r="L490" s="191"/>
      <c r="M490" s="192"/>
      <c r="N490" s="192"/>
      <c r="O490" s="192"/>
      <c r="P490" s="4"/>
      <c r="Q490" s="10"/>
      <c r="R490" s="10"/>
      <c r="S490" s="10"/>
      <c r="T490" s="10"/>
      <c r="U490" s="10"/>
      <c r="V490" s="10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</row>
    <row r="491" ht="20.25" customHeight="1">
      <c r="A491" s="4"/>
      <c r="B491" s="189"/>
      <c r="C491" s="4"/>
      <c r="D491" s="4"/>
      <c r="E491" s="4"/>
      <c r="F491" s="4"/>
      <c r="G491" s="4"/>
      <c r="H491" s="4"/>
      <c r="I491" s="190"/>
      <c r="J491" s="4"/>
      <c r="K491" s="4"/>
      <c r="L491" s="191"/>
      <c r="M491" s="192"/>
      <c r="N491" s="192"/>
      <c r="O491" s="192"/>
      <c r="P491" s="4"/>
      <c r="Q491" s="10"/>
      <c r="R491" s="10"/>
      <c r="S491" s="10"/>
      <c r="T491" s="10"/>
      <c r="U491" s="10"/>
      <c r="V491" s="10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</row>
    <row r="492" ht="20.25" customHeight="1">
      <c r="A492" s="4"/>
      <c r="B492" s="189"/>
      <c r="C492" s="4"/>
      <c r="D492" s="4"/>
      <c r="E492" s="4"/>
      <c r="F492" s="4"/>
      <c r="G492" s="4"/>
      <c r="H492" s="4"/>
      <c r="I492" s="190"/>
      <c r="J492" s="4"/>
      <c r="K492" s="4"/>
      <c r="L492" s="191"/>
      <c r="M492" s="192"/>
      <c r="N492" s="192"/>
      <c r="O492" s="192"/>
      <c r="P492" s="4"/>
      <c r="Q492" s="10"/>
      <c r="R492" s="10"/>
      <c r="S492" s="10"/>
      <c r="T492" s="10"/>
      <c r="U492" s="10"/>
      <c r="V492" s="10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</row>
    <row r="493" ht="20.25" customHeight="1">
      <c r="A493" s="4"/>
      <c r="B493" s="189"/>
      <c r="C493" s="4"/>
      <c r="D493" s="4"/>
      <c r="E493" s="4"/>
      <c r="F493" s="4"/>
      <c r="G493" s="4"/>
      <c r="H493" s="4"/>
      <c r="I493" s="190"/>
      <c r="J493" s="4"/>
      <c r="K493" s="4"/>
      <c r="L493" s="191"/>
      <c r="M493" s="192"/>
      <c r="N493" s="192"/>
      <c r="O493" s="192"/>
      <c r="P493" s="4"/>
      <c r="Q493" s="10"/>
      <c r="R493" s="10"/>
      <c r="S493" s="10"/>
      <c r="T493" s="10"/>
      <c r="U493" s="10"/>
      <c r="V493" s="10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</row>
    <row r="494" ht="20.25" customHeight="1">
      <c r="A494" s="4"/>
      <c r="B494" s="189"/>
      <c r="C494" s="4"/>
      <c r="D494" s="4"/>
      <c r="E494" s="4"/>
      <c r="F494" s="4"/>
      <c r="G494" s="4"/>
      <c r="H494" s="4"/>
      <c r="I494" s="190"/>
      <c r="J494" s="4"/>
      <c r="K494" s="4"/>
      <c r="L494" s="191"/>
      <c r="M494" s="192"/>
      <c r="N494" s="192"/>
      <c r="O494" s="192"/>
      <c r="P494" s="4"/>
      <c r="Q494" s="10"/>
      <c r="R494" s="10"/>
      <c r="S494" s="10"/>
      <c r="T494" s="10"/>
      <c r="U494" s="10"/>
      <c r="V494" s="10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</row>
    <row r="495" ht="20.25" customHeight="1">
      <c r="A495" s="4"/>
      <c r="B495" s="189"/>
      <c r="C495" s="4"/>
      <c r="D495" s="4"/>
      <c r="E495" s="4"/>
      <c r="F495" s="4"/>
      <c r="G495" s="4"/>
      <c r="H495" s="4"/>
      <c r="I495" s="190"/>
      <c r="J495" s="4"/>
      <c r="K495" s="4"/>
      <c r="L495" s="191"/>
      <c r="M495" s="192"/>
      <c r="N495" s="192"/>
      <c r="O495" s="192"/>
      <c r="P495" s="4"/>
      <c r="Q495" s="10"/>
      <c r="R495" s="10"/>
      <c r="S495" s="10"/>
      <c r="T495" s="10"/>
      <c r="U495" s="10"/>
      <c r="V495" s="10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</row>
    <row r="496" ht="20.25" customHeight="1">
      <c r="A496" s="4"/>
      <c r="B496" s="189"/>
      <c r="C496" s="4"/>
      <c r="D496" s="4"/>
      <c r="E496" s="4"/>
      <c r="F496" s="4"/>
      <c r="G496" s="4"/>
      <c r="H496" s="4"/>
      <c r="I496" s="190"/>
      <c r="J496" s="4"/>
      <c r="K496" s="4"/>
      <c r="L496" s="191"/>
      <c r="M496" s="192"/>
      <c r="N496" s="192"/>
      <c r="O496" s="192"/>
      <c r="P496" s="4"/>
      <c r="Q496" s="10"/>
      <c r="R496" s="10"/>
      <c r="S496" s="10"/>
      <c r="T496" s="10"/>
      <c r="U496" s="10"/>
      <c r="V496" s="10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</row>
    <row r="497" ht="20.25" customHeight="1">
      <c r="A497" s="4"/>
      <c r="B497" s="189"/>
      <c r="C497" s="4"/>
      <c r="D497" s="4"/>
      <c r="E497" s="4"/>
      <c r="F497" s="4"/>
      <c r="G497" s="4"/>
      <c r="H497" s="4"/>
      <c r="I497" s="190"/>
      <c r="J497" s="4"/>
      <c r="K497" s="4"/>
      <c r="L497" s="191"/>
      <c r="M497" s="192"/>
      <c r="N497" s="192"/>
      <c r="O497" s="192"/>
      <c r="P497" s="4"/>
      <c r="Q497" s="10"/>
      <c r="R497" s="10"/>
      <c r="S497" s="10"/>
      <c r="T497" s="10"/>
      <c r="U497" s="10"/>
      <c r="V497" s="10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</row>
    <row r="498" ht="20.25" customHeight="1">
      <c r="A498" s="4"/>
      <c r="B498" s="189"/>
      <c r="C498" s="4"/>
      <c r="D498" s="4"/>
      <c r="E498" s="4"/>
      <c r="F498" s="4"/>
      <c r="G498" s="4"/>
      <c r="H498" s="4"/>
      <c r="I498" s="190"/>
      <c r="J498" s="4"/>
      <c r="K498" s="4"/>
      <c r="L498" s="191"/>
      <c r="M498" s="192"/>
      <c r="N498" s="192"/>
      <c r="O498" s="192"/>
      <c r="P498" s="4"/>
      <c r="Q498" s="10"/>
      <c r="R498" s="10"/>
      <c r="S498" s="10"/>
      <c r="T498" s="10"/>
      <c r="U498" s="10"/>
      <c r="V498" s="10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</row>
    <row r="499" ht="20.25" customHeight="1">
      <c r="A499" s="4"/>
      <c r="B499" s="189"/>
      <c r="C499" s="4"/>
      <c r="D499" s="4"/>
      <c r="E499" s="4"/>
      <c r="F499" s="4"/>
      <c r="G499" s="4"/>
      <c r="H499" s="4"/>
      <c r="I499" s="190"/>
      <c r="J499" s="4"/>
      <c r="K499" s="4"/>
      <c r="L499" s="191"/>
      <c r="M499" s="192"/>
      <c r="N499" s="192"/>
      <c r="O499" s="192"/>
      <c r="P499" s="4"/>
      <c r="Q499" s="10"/>
      <c r="R499" s="10"/>
      <c r="S499" s="10"/>
      <c r="T499" s="10"/>
      <c r="U499" s="10"/>
      <c r="V499" s="10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</row>
    <row r="500" ht="20.25" customHeight="1">
      <c r="A500" s="4"/>
      <c r="B500" s="189"/>
      <c r="C500" s="4"/>
      <c r="D500" s="4"/>
      <c r="E500" s="4"/>
      <c r="F500" s="4"/>
      <c r="G500" s="4"/>
      <c r="H500" s="4"/>
      <c r="I500" s="190"/>
      <c r="J500" s="4"/>
      <c r="K500" s="4"/>
      <c r="L500" s="191"/>
      <c r="M500" s="192"/>
      <c r="N500" s="192"/>
      <c r="O500" s="192"/>
      <c r="P500" s="4"/>
      <c r="Q500" s="10"/>
      <c r="R500" s="10"/>
      <c r="S500" s="10"/>
      <c r="T500" s="10"/>
      <c r="U500" s="10"/>
      <c r="V500" s="10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</row>
    <row r="501" ht="20.25" customHeight="1">
      <c r="A501" s="4"/>
      <c r="B501" s="189"/>
      <c r="C501" s="4"/>
      <c r="D501" s="4"/>
      <c r="E501" s="4"/>
      <c r="F501" s="4"/>
      <c r="G501" s="4"/>
      <c r="H501" s="4"/>
      <c r="I501" s="190"/>
      <c r="J501" s="4"/>
      <c r="K501" s="4"/>
      <c r="L501" s="191"/>
      <c r="M501" s="192"/>
      <c r="N501" s="192"/>
      <c r="O501" s="192"/>
      <c r="P501" s="4"/>
      <c r="Q501" s="10"/>
      <c r="R501" s="10"/>
      <c r="S501" s="10"/>
      <c r="T501" s="10"/>
      <c r="U501" s="10"/>
      <c r="V501" s="10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</row>
    <row r="502" ht="20.25" customHeight="1">
      <c r="A502" s="4"/>
      <c r="B502" s="189"/>
      <c r="C502" s="4"/>
      <c r="D502" s="4"/>
      <c r="E502" s="4"/>
      <c r="F502" s="4"/>
      <c r="G502" s="4"/>
      <c r="H502" s="4"/>
      <c r="I502" s="190"/>
      <c r="J502" s="4"/>
      <c r="K502" s="4"/>
      <c r="L502" s="191"/>
      <c r="M502" s="192"/>
      <c r="N502" s="192"/>
      <c r="O502" s="192"/>
      <c r="P502" s="4"/>
      <c r="Q502" s="10"/>
      <c r="R502" s="10"/>
      <c r="S502" s="10"/>
      <c r="T502" s="10"/>
      <c r="U502" s="10"/>
      <c r="V502" s="10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</row>
    <row r="503" ht="20.25" customHeight="1">
      <c r="A503" s="4"/>
      <c r="B503" s="189"/>
      <c r="C503" s="4"/>
      <c r="D503" s="4"/>
      <c r="E503" s="4"/>
      <c r="F503" s="4"/>
      <c r="G503" s="4"/>
      <c r="H503" s="4"/>
      <c r="I503" s="190"/>
      <c r="J503" s="4"/>
      <c r="K503" s="4"/>
      <c r="L503" s="191"/>
      <c r="M503" s="192"/>
      <c r="N503" s="192"/>
      <c r="O503" s="192"/>
      <c r="P503" s="4"/>
      <c r="Q503" s="10"/>
      <c r="R503" s="10"/>
      <c r="S503" s="10"/>
      <c r="T503" s="10"/>
      <c r="U503" s="10"/>
      <c r="V503" s="10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</row>
    <row r="504" ht="20.25" customHeight="1">
      <c r="A504" s="4"/>
      <c r="B504" s="189"/>
      <c r="C504" s="4"/>
      <c r="D504" s="4"/>
      <c r="E504" s="4"/>
      <c r="F504" s="4"/>
      <c r="G504" s="4"/>
      <c r="H504" s="4"/>
      <c r="I504" s="190"/>
      <c r="J504" s="4"/>
      <c r="K504" s="4"/>
      <c r="L504" s="191"/>
      <c r="M504" s="192"/>
      <c r="N504" s="192"/>
      <c r="O504" s="192"/>
      <c r="P504" s="4"/>
      <c r="Q504" s="10"/>
      <c r="R504" s="10"/>
      <c r="S504" s="10"/>
      <c r="T504" s="10"/>
      <c r="U504" s="10"/>
      <c r="V504" s="10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</row>
    <row r="505" ht="20.25" customHeight="1">
      <c r="A505" s="4"/>
      <c r="B505" s="189"/>
      <c r="C505" s="4"/>
      <c r="D505" s="4"/>
      <c r="E505" s="4"/>
      <c r="F505" s="4"/>
      <c r="G505" s="4"/>
      <c r="H505" s="4"/>
      <c r="I505" s="190"/>
      <c r="J505" s="4"/>
      <c r="K505" s="4"/>
      <c r="L505" s="191"/>
      <c r="M505" s="192"/>
      <c r="N505" s="192"/>
      <c r="O505" s="192"/>
      <c r="P505" s="4"/>
      <c r="Q505" s="10"/>
      <c r="R505" s="10"/>
      <c r="S505" s="10"/>
      <c r="T505" s="10"/>
      <c r="U505" s="10"/>
      <c r="V505" s="10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</row>
    <row r="506" ht="20.25" customHeight="1">
      <c r="A506" s="4"/>
      <c r="B506" s="189"/>
      <c r="C506" s="4"/>
      <c r="D506" s="4"/>
      <c r="E506" s="4"/>
      <c r="F506" s="4"/>
      <c r="G506" s="4"/>
      <c r="H506" s="4"/>
      <c r="I506" s="190"/>
      <c r="J506" s="4"/>
      <c r="K506" s="4"/>
      <c r="L506" s="191"/>
      <c r="M506" s="192"/>
      <c r="N506" s="192"/>
      <c r="O506" s="192"/>
      <c r="P506" s="4"/>
      <c r="Q506" s="10"/>
      <c r="R506" s="10"/>
      <c r="S506" s="10"/>
      <c r="T506" s="10"/>
      <c r="U506" s="10"/>
      <c r="V506" s="10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</row>
    <row r="507" ht="20.25" customHeight="1">
      <c r="A507" s="4"/>
      <c r="B507" s="189"/>
      <c r="C507" s="4"/>
      <c r="D507" s="4"/>
      <c r="E507" s="4"/>
      <c r="F507" s="4"/>
      <c r="G507" s="4"/>
      <c r="H507" s="4"/>
      <c r="I507" s="190"/>
      <c r="J507" s="4"/>
      <c r="K507" s="4"/>
      <c r="L507" s="191"/>
      <c r="M507" s="192"/>
      <c r="N507" s="192"/>
      <c r="O507" s="192"/>
      <c r="P507" s="4"/>
      <c r="Q507" s="10"/>
      <c r="R507" s="10"/>
      <c r="S507" s="10"/>
      <c r="T507" s="10"/>
      <c r="U507" s="10"/>
      <c r="V507" s="10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</row>
    <row r="508" ht="20.25" customHeight="1">
      <c r="A508" s="4"/>
      <c r="B508" s="189"/>
      <c r="C508" s="4"/>
      <c r="D508" s="4"/>
      <c r="E508" s="4"/>
      <c r="F508" s="4"/>
      <c r="G508" s="4"/>
      <c r="H508" s="4"/>
      <c r="I508" s="190"/>
      <c r="J508" s="4"/>
      <c r="K508" s="4"/>
      <c r="L508" s="191"/>
      <c r="M508" s="192"/>
      <c r="N508" s="192"/>
      <c r="O508" s="192"/>
      <c r="P508" s="4"/>
      <c r="Q508" s="10"/>
      <c r="R508" s="10"/>
      <c r="S508" s="10"/>
      <c r="T508" s="10"/>
      <c r="U508" s="10"/>
      <c r="V508" s="10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</row>
    <row r="509" ht="20.25" customHeight="1">
      <c r="A509" s="4"/>
      <c r="B509" s="189"/>
      <c r="C509" s="4"/>
      <c r="D509" s="4"/>
      <c r="E509" s="4"/>
      <c r="F509" s="4"/>
      <c r="G509" s="4"/>
      <c r="H509" s="4"/>
      <c r="I509" s="190"/>
      <c r="J509" s="4"/>
      <c r="K509" s="4"/>
      <c r="L509" s="191"/>
      <c r="M509" s="192"/>
      <c r="N509" s="192"/>
      <c r="O509" s="192"/>
      <c r="P509" s="4"/>
      <c r="Q509" s="192"/>
      <c r="R509" s="192"/>
      <c r="S509" s="192"/>
      <c r="T509" s="192"/>
      <c r="U509" s="192"/>
      <c r="V509" s="192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</row>
    <row r="510" ht="20.25" customHeight="1">
      <c r="A510" s="4"/>
      <c r="B510" s="189"/>
      <c r="C510" s="4"/>
      <c r="D510" s="4"/>
      <c r="E510" s="4"/>
      <c r="F510" s="4"/>
      <c r="G510" s="4"/>
      <c r="H510" s="4"/>
      <c r="I510" s="190"/>
      <c r="J510" s="4"/>
      <c r="K510" s="4"/>
      <c r="L510" s="191"/>
      <c r="M510" s="192"/>
      <c r="N510" s="192"/>
      <c r="O510" s="192"/>
      <c r="P510" s="4"/>
      <c r="Q510" s="192"/>
      <c r="R510" s="192"/>
      <c r="S510" s="192"/>
      <c r="T510" s="192"/>
      <c r="U510" s="192"/>
      <c r="V510" s="192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</row>
    <row r="511" ht="20.25" customHeight="1">
      <c r="A511" s="192"/>
      <c r="B511" s="192"/>
      <c r="C511" s="192"/>
      <c r="D511" s="192"/>
      <c r="E511" s="192"/>
      <c r="F511" s="192"/>
      <c r="G511" s="192"/>
      <c r="H511" s="192"/>
      <c r="I511" s="192"/>
      <c r="J511" s="192"/>
      <c r="K511" s="192"/>
      <c r="L511" s="192"/>
      <c r="M511" s="192"/>
      <c r="N511" s="192"/>
      <c r="O511" s="192"/>
      <c r="P511" s="192"/>
      <c r="Q511" s="192"/>
      <c r="R511" s="192"/>
      <c r="S511" s="192"/>
      <c r="T511" s="192"/>
      <c r="U511" s="192"/>
      <c r="V511" s="192"/>
      <c r="W511" s="192"/>
      <c r="X511" s="192"/>
      <c r="Y511" s="192"/>
      <c r="Z511" s="192"/>
      <c r="AA511" s="192"/>
      <c r="AB511" s="192"/>
      <c r="AC511" s="192"/>
      <c r="AD511" s="192"/>
      <c r="AE511" s="192"/>
      <c r="AF511" s="192"/>
      <c r="AG511" s="192"/>
      <c r="AH511" s="192"/>
      <c r="AI511" s="192"/>
      <c r="AJ511" s="192"/>
      <c r="AK511" s="192"/>
      <c r="AL511" s="192"/>
      <c r="AM511" s="192"/>
      <c r="AN511" s="192"/>
      <c r="AO511" s="192"/>
      <c r="AP511" s="192"/>
      <c r="AQ511" s="192"/>
      <c r="AR511" s="192"/>
      <c r="AS511" s="192"/>
      <c r="AT511" s="192"/>
      <c r="AU511" s="192"/>
      <c r="AV511" s="192"/>
      <c r="AW511" s="192"/>
      <c r="AX511" s="192"/>
      <c r="AY511" s="192"/>
      <c r="AZ511" s="192"/>
      <c r="BA511" s="192"/>
      <c r="BB511" s="192"/>
      <c r="BC511" s="192"/>
      <c r="BD511" s="192"/>
      <c r="BE511" s="192"/>
      <c r="BF511" s="192"/>
      <c r="BG511" s="192"/>
      <c r="BH511" s="192"/>
      <c r="BI511" s="192"/>
      <c r="BJ511" s="192"/>
    </row>
    <row r="512" ht="20.25" customHeight="1">
      <c r="A512" s="192"/>
      <c r="B512" s="192"/>
      <c r="C512" s="192"/>
      <c r="D512" s="192"/>
      <c r="E512" s="192"/>
      <c r="F512" s="192"/>
      <c r="G512" s="192"/>
      <c r="H512" s="192"/>
      <c r="I512" s="192"/>
      <c r="J512" s="192"/>
      <c r="K512" s="192"/>
      <c r="L512" s="192"/>
      <c r="M512" s="192"/>
      <c r="N512" s="192"/>
      <c r="O512" s="192"/>
      <c r="P512" s="192"/>
      <c r="Q512" s="192"/>
      <c r="R512" s="192"/>
      <c r="S512" s="192"/>
      <c r="T512" s="192"/>
      <c r="U512" s="192"/>
      <c r="V512" s="192"/>
      <c r="W512" s="192"/>
      <c r="X512" s="192"/>
      <c r="Y512" s="192"/>
      <c r="Z512" s="192"/>
      <c r="AA512" s="192"/>
      <c r="AB512" s="192"/>
      <c r="AC512" s="192"/>
      <c r="AD512" s="192"/>
      <c r="AE512" s="192"/>
      <c r="AF512" s="192"/>
      <c r="AG512" s="192"/>
      <c r="AH512" s="192"/>
      <c r="AI512" s="192"/>
      <c r="AJ512" s="192"/>
      <c r="AK512" s="192"/>
      <c r="AL512" s="192"/>
      <c r="AM512" s="192"/>
      <c r="AN512" s="192"/>
      <c r="AO512" s="192"/>
      <c r="AP512" s="192"/>
      <c r="AQ512" s="192"/>
      <c r="AR512" s="192"/>
      <c r="AS512" s="192"/>
      <c r="AT512" s="192"/>
      <c r="AU512" s="192"/>
      <c r="AV512" s="192"/>
      <c r="AW512" s="192"/>
      <c r="AX512" s="192"/>
      <c r="AY512" s="192"/>
      <c r="AZ512" s="192"/>
      <c r="BA512" s="192"/>
      <c r="BB512" s="192"/>
      <c r="BC512" s="192"/>
      <c r="BD512" s="192"/>
      <c r="BE512" s="192"/>
      <c r="BF512" s="192"/>
      <c r="BG512" s="192"/>
      <c r="BH512" s="192"/>
      <c r="BI512" s="192"/>
      <c r="BJ512" s="192"/>
    </row>
    <row r="513" ht="20.25" customHeight="1">
      <c r="A513" s="192"/>
      <c r="B513" s="192"/>
      <c r="C513" s="192"/>
      <c r="D513" s="192"/>
      <c r="E513" s="192"/>
      <c r="F513" s="192"/>
      <c r="G513" s="192"/>
      <c r="H513" s="192"/>
      <c r="I513" s="192"/>
      <c r="J513" s="192"/>
      <c r="K513" s="192"/>
      <c r="L513" s="192"/>
      <c r="M513" s="192"/>
      <c r="N513" s="192"/>
      <c r="O513" s="192"/>
      <c r="P513" s="192"/>
      <c r="Q513" s="192"/>
      <c r="R513" s="192"/>
      <c r="S513" s="192"/>
      <c r="T513" s="192"/>
      <c r="U513" s="192"/>
      <c r="V513" s="192"/>
      <c r="W513" s="192"/>
      <c r="X513" s="192"/>
      <c r="Y513" s="192"/>
      <c r="Z513" s="192"/>
      <c r="AA513" s="192"/>
      <c r="AB513" s="192"/>
      <c r="AC513" s="192"/>
      <c r="AD513" s="192"/>
      <c r="AE513" s="192"/>
      <c r="AF513" s="192"/>
      <c r="AG513" s="192"/>
      <c r="AH513" s="192"/>
      <c r="AI513" s="192"/>
      <c r="AJ513" s="192"/>
      <c r="AK513" s="192"/>
      <c r="AL513" s="192"/>
      <c r="AM513" s="192"/>
      <c r="AN513" s="192"/>
      <c r="AO513" s="192"/>
      <c r="AP513" s="192"/>
      <c r="AQ513" s="192"/>
      <c r="AR513" s="192"/>
      <c r="AS513" s="192"/>
      <c r="AT513" s="192"/>
      <c r="AU513" s="192"/>
      <c r="AV513" s="192"/>
      <c r="AW513" s="192"/>
      <c r="AX513" s="192"/>
      <c r="AY513" s="192"/>
      <c r="AZ513" s="192"/>
      <c r="BA513" s="192"/>
      <c r="BB513" s="192"/>
      <c r="BC513" s="192"/>
      <c r="BD513" s="192"/>
      <c r="BE513" s="192"/>
      <c r="BF513" s="192"/>
      <c r="BG513" s="192"/>
      <c r="BH513" s="192"/>
      <c r="BI513" s="192"/>
      <c r="BJ513" s="192"/>
    </row>
    <row r="514" ht="20.25" customHeight="1">
      <c r="A514" s="192"/>
      <c r="B514" s="192"/>
      <c r="C514" s="192"/>
      <c r="D514" s="192"/>
      <c r="E514" s="192"/>
      <c r="F514" s="192"/>
      <c r="G514" s="192"/>
      <c r="H514" s="192"/>
      <c r="I514" s="192"/>
      <c r="J514" s="192"/>
      <c r="K514" s="192"/>
      <c r="L514" s="192"/>
      <c r="M514" s="192"/>
      <c r="N514" s="192"/>
      <c r="O514" s="192"/>
      <c r="P514" s="192"/>
      <c r="Q514" s="192"/>
      <c r="R514" s="192"/>
      <c r="S514" s="192"/>
      <c r="T514" s="192"/>
      <c r="U514" s="192"/>
      <c r="V514" s="192"/>
      <c r="W514" s="192"/>
      <c r="X514" s="192"/>
      <c r="Y514" s="192"/>
      <c r="Z514" s="192"/>
      <c r="AA514" s="192"/>
      <c r="AB514" s="192"/>
      <c r="AC514" s="192"/>
      <c r="AD514" s="192"/>
      <c r="AE514" s="192"/>
      <c r="AF514" s="192"/>
      <c r="AG514" s="192"/>
      <c r="AH514" s="192"/>
      <c r="AI514" s="192"/>
      <c r="AJ514" s="192"/>
      <c r="AK514" s="192"/>
      <c r="AL514" s="192"/>
      <c r="AM514" s="192"/>
      <c r="AN514" s="192"/>
      <c r="AO514" s="192"/>
      <c r="AP514" s="192"/>
      <c r="AQ514" s="192"/>
      <c r="AR514" s="192"/>
      <c r="AS514" s="192"/>
      <c r="AT514" s="192"/>
      <c r="AU514" s="192"/>
      <c r="AV514" s="192"/>
      <c r="AW514" s="192"/>
      <c r="AX514" s="192"/>
      <c r="AY514" s="192"/>
      <c r="AZ514" s="192"/>
      <c r="BA514" s="192"/>
      <c r="BB514" s="192"/>
      <c r="BC514" s="192"/>
      <c r="BD514" s="192"/>
      <c r="BE514" s="192"/>
      <c r="BF514" s="192"/>
      <c r="BG514" s="192"/>
      <c r="BH514" s="192"/>
      <c r="BI514" s="192"/>
      <c r="BJ514" s="192"/>
    </row>
    <row r="515" ht="20.25" customHeight="1">
      <c r="A515" s="192"/>
      <c r="B515" s="192"/>
      <c r="C515" s="192"/>
      <c r="D515" s="192"/>
      <c r="E515" s="192"/>
      <c r="F515" s="192"/>
      <c r="G515" s="192"/>
      <c r="H515" s="192"/>
      <c r="I515" s="192"/>
      <c r="J515" s="192"/>
      <c r="K515" s="192"/>
      <c r="L515" s="192"/>
      <c r="M515" s="192"/>
      <c r="N515" s="192"/>
      <c r="O515" s="192"/>
      <c r="P515" s="192"/>
      <c r="Q515" s="192"/>
      <c r="R515" s="192"/>
      <c r="S515" s="192"/>
      <c r="T515" s="192"/>
      <c r="U515" s="192"/>
      <c r="V515" s="192"/>
      <c r="W515" s="192"/>
      <c r="X515" s="192"/>
      <c r="Y515" s="192"/>
      <c r="Z515" s="192"/>
      <c r="AA515" s="192"/>
      <c r="AB515" s="192"/>
      <c r="AC515" s="192"/>
      <c r="AD515" s="192"/>
      <c r="AE515" s="192"/>
      <c r="AF515" s="192"/>
      <c r="AG515" s="192"/>
      <c r="AH515" s="192"/>
      <c r="AI515" s="192"/>
      <c r="AJ515" s="192"/>
      <c r="AK515" s="192"/>
      <c r="AL515" s="192"/>
      <c r="AM515" s="192"/>
      <c r="AN515" s="192"/>
      <c r="AO515" s="192"/>
      <c r="AP515" s="192"/>
      <c r="AQ515" s="192"/>
      <c r="AR515" s="192"/>
      <c r="AS515" s="192"/>
      <c r="AT515" s="192"/>
      <c r="AU515" s="192"/>
      <c r="AV515" s="192"/>
      <c r="AW515" s="192"/>
      <c r="AX515" s="192"/>
      <c r="AY515" s="192"/>
      <c r="AZ515" s="192"/>
      <c r="BA515" s="192"/>
      <c r="BB515" s="192"/>
      <c r="BC515" s="192"/>
      <c r="BD515" s="192"/>
      <c r="BE515" s="192"/>
      <c r="BF515" s="192"/>
      <c r="BG515" s="192"/>
      <c r="BH515" s="192"/>
      <c r="BI515" s="192"/>
      <c r="BJ515" s="192"/>
    </row>
    <row r="516" ht="20.25" customHeight="1">
      <c r="A516" s="192"/>
      <c r="B516" s="192"/>
      <c r="C516" s="192"/>
      <c r="D516" s="192"/>
      <c r="E516" s="192"/>
      <c r="F516" s="192"/>
      <c r="G516" s="192"/>
      <c r="H516" s="192"/>
      <c r="I516" s="192"/>
      <c r="J516" s="192"/>
      <c r="K516" s="192"/>
      <c r="L516" s="192"/>
      <c r="M516" s="192"/>
      <c r="N516" s="192"/>
      <c r="O516" s="192"/>
      <c r="P516" s="192"/>
      <c r="Q516" s="192"/>
      <c r="R516" s="192"/>
      <c r="S516" s="192"/>
      <c r="T516" s="192"/>
      <c r="U516" s="192"/>
      <c r="V516" s="192"/>
      <c r="W516" s="192"/>
      <c r="X516" s="192"/>
      <c r="Y516" s="192"/>
      <c r="Z516" s="192"/>
      <c r="AA516" s="192"/>
      <c r="AB516" s="192"/>
      <c r="AC516" s="192"/>
      <c r="AD516" s="192"/>
      <c r="AE516" s="192"/>
      <c r="AF516" s="192"/>
      <c r="AG516" s="192"/>
      <c r="AH516" s="192"/>
      <c r="AI516" s="192"/>
      <c r="AJ516" s="192"/>
      <c r="AK516" s="192"/>
      <c r="AL516" s="192"/>
      <c r="AM516" s="192"/>
      <c r="AN516" s="192"/>
      <c r="AO516" s="192"/>
      <c r="AP516" s="192"/>
      <c r="AQ516" s="192"/>
      <c r="AR516" s="192"/>
      <c r="AS516" s="192"/>
      <c r="AT516" s="192"/>
      <c r="AU516" s="192"/>
      <c r="AV516" s="192"/>
      <c r="AW516" s="192"/>
      <c r="AX516" s="192"/>
      <c r="AY516" s="192"/>
      <c r="AZ516" s="192"/>
      <c r="BA516" s="192"/>
      <c r="BB516" s="192"/>
      <c r="BC516" s="192"/>
      <c r="BD516" s="192"/>
      <c r="BE516" s="192"/>
      <c r="BF516" s="192"/>
      <c r="BG516" s="192"/>
      <c r="BH516" s="192"/>
      <c r="BI516" s="192"/>
      <c r="BJ516" s="192"/>
    </row>
    <row r="517" ht="20.25" customHeight="1">
      <c r="A517" s="192"/>
      <c r="B517" s="192"/>
      <c r="C517" s="192"/>
      <c r="D517" s="192"/>
      <c r="E517" s="192"/>
      <c r="F517" s="192"/>
      <c r="G517" s="192"/>
      <c r="H517" s="192"/>
      <c r="I517" s="192"/>
      <c r="J517" s="192"/>
      <c r="K517" s="192"/>
      <c r="L517" s="192"/>
      <c r="M517" s="192"/>
      <c r="N517" s="192"/>
      <c r="O517" s="192"/>
      <c r="P517" s="192"/>
      <c r="Q517" s="192"/>
      <c r="R517" s="192"/>
      <c r="S517" s="192"/>
      <c r="T517" s="192"/>
      <c r="U517" s="192"/>
      <c r="V517" s="192"/>
      <c r="W517" s="192"/>
      <c r="X517" s="192"/>
      <c r="Y517" s="192"/>
      <c r="Z517" s="192"/>
      <c r="AA517" s="192"/>
      <c r="AB517" s="192"/>
      <c r="AC517" s="192"/>
      <c r="AD517" s="192"/>
      <c r="AE517" s="192"/>
      <c r="AF517" s="192"/>
      <c r="AG517" s="192"/>
      <c r="AH517" s="192"/>
      <c r="AI517" s="192"/>
      <c r="AJ517" s="192"/>
      <c r="AK517" s="192"/>
      <c r="AL517" s="192"/>
      <c r="AM517" s="192"/>
      <c r="AN517" s="192"/>
      <c r="AO517" s="192"/>
      <c r="AP517" s="192"/>
      <c r="AQ517" s="192"/>
      <c r="AR517" s="192"/>
      <c r="AS517" s="192"/>
      <c r="AT517" s="192"/>
      <c r="AU517" s="192"/>
      <c r="AV517" s="192"/>
      <c r="AW517" s="192"/>
      <c r="AX517" s="192"/>
      <c r="AY517" s="192"/>
      <c r="AZ517" s="192"/>
      <c r="BA517" s="192"/>
      <c r="BB517" s="192"/>
      <c r="BC517" s="192"/>
      <c r="BD517" s="192"/>
      <c r="BE517" s="192"/>
      <c r="BF517" s="192"/>
      <c r="BG517" s="192"/>
      <c r="BH517" s="192"/>
      <c r="BI517" s="192"/>
      <c r="BJ517" s="192"/>
    </row>
    <row r="518" ht="20.25" customHeight="1">
      <c r="A518" s="192"/>
      <c r="B518" s="192"/>
      <c r="C518" s="192"/>
      <c r="D518" s="192"/>
      <c r="E518" s="192"/>
      <c r="F518" s="192"/>
      <c r="G518" s="192"/>
      <c r="H518" s="192"/>
      <c r="I518" s="192"/>
      <c r="J518" s="192"/>
      <c r="K518" s="192"/>
      <c r="L518" s="192"/>
      <c r="M518" s="192"/>
      <c r="N518" s="192"/>
      <c r="O518" s="192"/>
      <c r="P518" s="192"/>
      <c r="Q518" s="192"/>
      <c r="R518" s="192"/>
      <c r="S518" s="192"/>
      <c r="T518" s="192"/>
      <c r="U518" s="192"/>
      <c r="V518" s="192"/>
      <c r="W518" s="192"/>
      <c r="X518" s="192"/>
      <c r="Y518" s="192"/>
      <c r="Z518" s="192"/>
      <c r="AA518" s="192"/>
      <c r="AB518" s="192"/>
      <c r="AC518" s="192"/>
      <c r="AD518" s="192"/>
      <c r="AE518" s="192"/>
      <c r="AF518" s="192"/>
      <c r="AG518" s="192"/>
      <c r="AH518" s="192"/>
      <c r="AI518" s="192"/>
      <c r="AJ518" s="192"/>
      <c r="AK518" s="192"/>
      <c r="AL518" s="192"/>
      <c r="AM518" s="192"/>
      <c r="AN518" s="192"/>
      <c r="AO518" s="192"/>
      <c r="AP518" s="192"/>
      <c r="AQ518" s="192"/>
      <c r="AR518" s="192"/>
      <c r="AS518" s="192"/>
      <c r="AT518" s="192"/>
      <c r="AU518" s="192"/>
      <c r="AV518" s="192"/>
      <c r="AW518" s="192"/>
      <c r="AX518" s="192"/>
      <c r="AY518" s="192"/>
      <c r="AZ518" s="192"/>
      <c r="BA518" s="192"/>
      <c r="BB518" s="192"/>
      <c r="BC518" s="192"/>
      <c r="BD518" s="192"/>
      <c r="BE518" s="192"/>
      <c r="BF518" s="192"/>
      <c r="BG518" s="192"/>
      <c r="BH518" s="192"/>
      <c r="BI518" s="192"/>
      <c r="BJ518" s="192"/>
    </row>
    <row r="519" ht="20.25" customHeight="1">
      <c r="A519" s="192"/>
      <c r="B519" s="192"/>
      <c r="C519" s="192"/>
      <c r="D519" s="192"/>
      <c r="E519" s="192"/>
      <c r="F519" s="192"/>
      <c r="G519" s="192"/>
      <c r="H519" s="192"/>
      <c r="I519" s="192"/>
      <c r="J519" s="192"/>
      <c r="K519" s="192"/>
      <c r="L519" s="192"/>
      <c r="M519" s="192"/>
      <c r="N519" s="192"/>
      <c r="O519" s="192"/>
      <c r="P519" s="192"/>
      <c r="Q519" s="192"/>
      <c r="R519" s="192"/>
      <c r="S519" s="192"/>
      <c r="T519" s="192"/>
      <c r="U519" s="192"/>
      <c r="V519" s="192"/>
      <c r="W519" s="192"/>
      <c r="X519" s="192"/>
      <c r="Y519" s="192"/>
      <c r="Z519" s="192"/>
      <c r="AA519" s="192"/>
      <c r="AB519" s="192"/>
      <c r="AC519" s="192"/>
      <c r="AD519" s="192"/>
      <c r="AE519" s="192"/>
      <c r="AF519" s="192"/>
      <c r="AG519" s="192"/>
      <c r="AH519" s="192"/>
      <c r="AI519" s="192"/>
      <c r="AJ519" s="192"/>
      <c r="AK519" s="192"/>
      <c r="AL519" s="192"/>
      <c r="AM519" s="192"/>
      <c r="AN519" s="192"/>
      <c r="AO519" s="192"/>
      <c r="AP519" s="192"/>
      <c r="AQ519" s="192"/>
      <c r="AR519" s="192"/>
      <c r="AS519" s="192"/>
      <c r="AT519" s="192"/>
      <c r="AU519" s="192"/>
      <c r="AV519" s="192"/>
      <c r="AW519" s="192"/>
      <c r="AX519" s="192"/>
      <c r="AY519" s="192"/>
      <c r="AZ519" s="192"/>
      <c r="BA519" s="192"/>
      <c r="BB519" s="192"/>
      <c r="BC519" s="192"/>
      <c r="BD519" s="192"/>
      <c r="BE519" s="192"/>
      <c r="BF519" s="192"/>
      <c r="BG519" s="192"/>
      <c r="BH519" s="192"/>
      <c r="BI519" s="192"/>
      <c r="BJ519" s="192"/>
    </row>
    <row r="520" ht="20.25" customHeight="1">
      <c r="A520" s="192"/>
      <c r="B520" s="192"/>
      <c r="C520" s="192"/>
      <c r="D520" s="192"/>
      <c r="E520" s="192"/>
      <c r="F520" s="192"/>
      <c r="G520" s="192"/>
      <c r="H520" s="192"/>
      <c r="I520" s="192"/>
      <c r="J520" s="192"/>
      <c r="K520" s="192"/>
      <c r="L520" s="192"/>
      <c r="M520" s="192"/>
      <c r="N520" s="192"/>
      <c r="O520" s="192"/>
      <c r="P520" s="192"/>
      <c r="Q520" s="192"/>
      <c r="R520" s="192"/>
      <c r="S520" s="192"/>
      <c r="T520" s="192"/>
      <c r="U520" s="192"/>
      <c r="V520" s="192"/>
      <c r="W520" s="192"/>
      <c r="X520" s="192"/>
      <c r="Y520" s="192"/>
      <c r="Z520" s="192"/>
      <c r="AA520" s="192"/>
      <c r="AB520" s="192"/>
      <c r="AC520" s="192"/>
      <c r="AD520" s="192"/>
      <c r="AE520" s="192"/>
      <c r="AF520" s="192"/>
      <c r="AG520" s="192"/>
      <c r="AH520" s="192"/>
      <c r="AI520" s="192"/>
      <c r="AJ520" s="192"/>
      <c r="AK520" s="192"/>
      <c r="AL520" s="192"/>
      <c r="AM520" s="192"/>
      <c r="AN520" s="192"/>
      <c r="AO520" s="192"/>
      <c r="AP520" s="192"/>
      <c r="AQ520" s="192"/>
      <c r="AR520" s="192"/>
      <c r="AS520" s="192"/>
      <c r="AT520" s="192"/>
      <c r="AU520" s="192"/>
      <c r="AV520" s="192"/>
      <c r="AW520" s="192"/>
      <c r="AX520" s="192"/>
      <c r="AY520" s="192"/>
      <c r="AZ520" s="192"/>
      <c r="BA520" s="192"/>
      <c r="BB520" s="192"/>
      <c r="BC520" s="192"/>
      <c r="BD520" s="192"/>
      <c r="BE520" s="192"/>
      <c r="BF520" s="192"/>
      <c r="BG520" s="192"/>
      <c r="BH520" s="192"/>
      <c r="BI520" s="192"/>
      <c r="BJ520" s="192"/>
    </row>
    <row r="521" ht="20.25" customHeight="1">
      <c r="A521" s="192"/>
      <c r="B521" s="192"/>
      <c r="C521" s="192"/>
      <c r="D521" s="192"/>
      <c r="E521" s="192"/>
      <c r="F521" s="192"/>
      <c r="G521" s="192"/>
      <c r="H521" s="192"/>
      <c r="I521" s="192"/>
      <c r="J521" s="192"/>
      <c r="K521" s="192"/>
      <c r="L521" s="192"/>
      <c r="M521" s="192"/>
      <c r="N521" s="192"/>
      <c r="O521" s="192"/>
      <c r="P521" s="192"/>
      <c r="Q521" s="192"/>
      <c r="R521" s="192"/>
      <c r="S521" s="192"/>
      <c r="T521" s="192"/>
      <c r="U521" s="192"/>
      <c r="V521" s="192"/>
      <c r="W521" s="192"/>
      <c r="X521" s="192"/>
      <c r="Y521" s="192"/>
      <c r="Z521" s="192"/>
      <c r="AA521" s="192"/>
      <c r="AB521" s="192"/>
      <c r="AC521" s="192"/>
      <c r="AD521" s="192"/>
      <c r="AE521" s="192"/>
      <c r="AF521" s="192"/>
      <c r="AG521" s="192"/>
      <c r="AH521" s="192"/>
      <c r="AI521" s="192"/>
      <c r="AJ521" s="192"/>
      <c r="AK521" s="192"/>
      <c r="AL521" s="192"/>
      <c r="AM521" s="192"/>
      <c r="AN521" s="192"/>
      <c r="AO521" s="192"/>
      <c r="AP521" s="192"/>
      <c r="AQ521" s="192"/>
      <c r="AR521" s="192"/>
      <c r="AS521" s="192"/>
      <c r="AT521" s="192"/>
      <c r="AU521" s="192"/>
      <c r="AV521" s="192"/>
      <c r="AW521" s="192"/>
      <c r="AX521" s="192"/>
      <c r="AY521" s="192"/>
      <c r="AZ521" s="192"/>
      <c r="BA521" s="192"/>
      <c r="BB521" s="192"/>
      <c r="BC521" s="192"/>
      <c r="BD521" s="192"/>
      <c r="BE521" s="192"/>
      <c r="BF521" s="192"/>
      <c r="BG521" s="192"/>
      <c r="BH521" s="192"/>
      <c r="BI521" s="192"/>
      <c r="BJ521" s="192"/>
    </row>
    <row r="522" ht="20.25" customHeight="1">
      <c r="A522" s="192"/>
      <c r="B522" s="192"/>
      <c r="C522" s="192"/>
      <c r="D522" s="192"/>
      <c r="E522" s="192"/>
      <c r="F522" s="192"/>
      <c r="G522" s="192"/>
      <c r="H522" s="192"/>
      <c r="I522" s="192"/>
      <c r="J522" s="192"/>
      <c r="K522" s="192"/>
      <c r="L522" s="192"/>
      <c r="M522" s="192"/>
      <c r="N522" s="192"/>
      <c r="O522" s="192"/>
      <c r="P522" s="192"/>
      <c r="Q522" s="192"/>
      <c r="R522" s="192"/>
      <c r="S522" s="192"/>
      <c r="T522" s="192"/>
      <c r="U522" s="192"/>
      <c r="V522" s="192"/>
      <c r="W522" s="192"/>
      <c r="X522" s="192"/>
      <c r="Y522" s="192"/>
      <c r="Z522" s="192"/>
      <c r="AA522" s="192"/>
      <c r="AB522" s="192"/>
      <c r="AC522" s="192"/>
      <c r="AD522" s="192"/>
      <c r="AE522" s="192"/>
      <c r="AF522" s="192"/>
      <c r="AG522" s="192"/>
      <c r="AH522" s="192"/>
      <c r="AI522" s="192"/>
      <c r="AJ522" s="192"/>
      <c r="AK522" s="192"/>
      <c r="AL522" s="192"/>
      <c r="AM522" s="192"/>
      <c r="AN522" s="192"/>
      <c r="AO522" s="192"/>
      <c r="AP522" s="192"/>
      <c r="AQ522" s="192"/>
      <c r="AR522" s="192"/>
      <c r="AS522" s="192"/>
      <c r="AT522" s="192"/>
      <c r="AU522" s="192"/>
      <c r="AV522" s="192"/>
      <c r="AW522" s="192"/>
      <c r="AX522" s="192"/>
      <c r="AY522" s="192"/>
      <c r="AZ522" s="192"/>
      <c r="BA522" s="192"/>
      <c r="BB522" s="192"/>
      <c r="BC522" s="192"/>
      <c r="BD522" s="192"/>
      <c r="BE522" s="192"/>
      <c r="BF522" s="192"/>
      <c r="BG522" s="192"/>
      <c r="BH522" s="192"/>
      <c r="BI522" s="192"/>
      <c r="BJ522" s="192"/>
    </row>
    <row r="523" ht="20.25" customHeight="1">
      <c r="A523" s="192"/>
      <c r="B523" s="192"/>
      <c r="C523" s="192"/>
      <c r="D523" s="192"/>
      <c r="E523" s="192"/>
      <c r="F523" s="192"/>
      <c r="G523" s="192"/>
      <c r="H523" s="192"/>
      <c r="I523" s="192"/>
      <c r="J523" s="192"/>
      <c r="K523" s="192"/>
      <c r="L523" s="192"/>
      <c r="M523" s="192"/>
      <c r="N523" s="192"/>
      <c r="O523" s="192"/>
      <c r="P523" s="192"/>
      <c r="Q523" s="192"/>
      <c r="R523" s="192"/>
      <c r="S523" s="192"/>
      <c r="T523" s="192"/>
      <c r="U523" s="192"/>
      <c r="V523" s="192"/>
      <c r="W523" s="192"/>
      <c r="X523" s="192"/>
      <c r="Y523" s="192"/>
      <c r="Z523" s="192"/>
      <c r="AA523" s="192"/>
      <c r="AB523" s="192"/>
      <c r="AC523" s="192"/>
      <c r="AD523" s="192"/>
      <c r="AE523" s="192"/>
      <c r="AF523" s="192"/>
      <c r="AG523" s="192"/>
      <c r="AH523" s="192"/>
      <c r="AI523" s="192"/>
      <c r="AJ523" s="192"/>
      <c r="AK523" s="192"/>
      <c r="AL523" s="192"/>
      <c r="AM523" s="192"/>
      <c r="AN523" s="192"/>
      <c r="AO523" s="192"/>
      <c r="AP523" s="192"/>
      <c r="AQ523" s="192"/>
      <c r="AR523" s="192"/>
      <c r="AS523" s="192"/>
      <c r="AT523" s="192"/>
      <c r="AU523" s="192"/>
      <c r="AV523" s="192"/>
      <c r="AW523" s="192"/>
      <c r="AX523" s="192"/>
      <c r="AY523" s="192"/>
      <c r="AZ523" s="192"/>
      <c r="BA523" s="192"/>
      <c r="BB523" s="192"/>
      <c r="BC523" s="192"/>
      <c r="BD523" s="192"/>
      <c r="BE523" s="192"/>
      <c r="BF523" s="192"/>
      <c r="BG523" s="192"/>
      <c r="BH523" s="192"/>
      <c r="BI523" s="192"/>
      <c r="BJ523" s="192"/>
    </row>
    <row r="524" ht="20.25" customHeight="1">
      <c r="A524" s="192"/>
      <c r="B524" s="192"/>
      <c r="C524" s="192"/>
      <c r="D524" s="192"/>
      <c r="E524" s="192"/>
      <c r="F524" s="192"/>
      <c r="G524" s="192"/>
      <c r="H524" s="192"/>
      <c r="I524" s="192"/>
      <c r="J524" s="192"/>
      <c r="K524" s="192"/>
      <c r="L524" s="192"/>
      <c r="M524" s="192"/>
      <c r="N524" s="192"/>
      <c r="O524" s="192"/>
      <c r="P524" s="192"/>
      <c r="Q524" s="192"/>
      <c r="R524" s="192"/>
      <c r="S524" s="192"/>
      <c r="T524" s="192"/>
      <c r="U524" s="192"/>
      <c r="V524" s="192"/>
      <c r="W524" s="192"/>
      <c r="X524" s="192"/>
      <c r="Y524" s="192"/>
      <c r="Z524" s="192"/>
      <c r="AA524" s="192"/>
      <c r="AB524" s="192"/>
      <c r="AC524" s="192"/>
      <c r="AD524" s="192"/>
      <c r="AE524" s="192"/>
      <c r="AF524" s="192"/>
      <c r="AG524" s="192"/>
      <c r="AH524" s="192"/>
      <c r="AI524" s="192"/>
      <c r="AJ524" s="192"/>
      <c r="AK524" s="192"/>
      <c r="AL524" s="192"/>
      <c r="AM524" s="192"/>
      <c r="AN524" s="192"/>
      <c r="AO524" s="192"/>
      <c r="AP524" s="192"/>
      <c r="AQ524" s="192"/>
      <c r="AR524" s="192"/>
      <c r="AS524" s="192"/>
      <c r="AT524" s="192"/>
      <c r="AU524" s="192"/>
      <c r="AV524" s="192"/>
      <c r="AW524" s="192"/>
      <c r="AX524" s="192"/>
      <c r="AY524" s="192"/>
      <c r="AZ524" s="192"/>
      <c r="BA524" s="192"/>
      <c r="BB524" s="192"/>
      <c r="BC524" s="192"/>
      <c r="BD524" s="192"/>
      <c r="BE524" s="192"/>
      <c r="BF524" s="192"/>
      <c r="BG524" s="192"/>
      <c r="BH524" s="192"/>
      <c r="BI524" s="192"/>
      <c r="BJ524" s="192"/>
    </row>
    <row r="525" ht="20.25" customHeight="1">
      <c r="A525" s="192"/>
      <c r="B525" s="192"/>
      <c r="C525" s="192"/>
      <c r="D525" s="192"/>
      <c r="E525" s="192"/>
      <c r="F525" s="192"/>
      <c r="G525" s="192"/>
      <c r="H525" s="192"/>
      <c r="I525" s="192"/>
      <c r="J525" s="192"/>
      <c r="K525" s="192"/>
      <c r="L525" s="192"/>
      <c r="M525" s="192"/>
      <c r="N525" s="192"/>
      <c r="O525" s="192"/>
      <c r="P525" s="192"/>
      <c r="Q525" s="10"/>
      <c r="R525" s="10"/>
      <c r="S525" s="10"/>
      <c r="T525" s="10"/>
      <c r="U525" s="10"/>
      <c r="V525" s="10"/>
      <c r="W525" s="192"/>
      <c r="X525" s="192"/>
      <c r="Y525" s="192"/>
      <c r="Z525" s="192"/>
      <c r="AA525" s="192"/>
      <c r="AB525" s="192"/>
      <c r="AC525" s="192"/>
      <c r="AD525" s="192"/>
      <c r="AE525" s="192"/>
      <c r="AF525" s="192"/>
      <c r="AG525" s="192"/>
      <c r="AH525" s="192"/>
      <c r="AI525" s="192"/>
      <c r="AJ525" s="192"/>
      <c r="AK525" s="192"/>
      <c r="AL525" s="192"/>
      <c r="AM525" s="192"/>
      <c r="AN525" s="192"/>
      <c r="AO525" s="192"/>
      <c r="AP525" s="192"/>
      <c r="AQ525" s="192"/>
      <c r="AR525" s="192"/>
      <c r="AS525" s="192"/>
      <c r="AT525" s="192"/>
      <c r="AU525" s="192"/>
      <c r="AV525" s="192"/>
      <c r="AW525" s="192"/>
      <c r="AX525" s="192"/>
      <c r="AY525" s="192"/>
      <c r="AZ525" s="192"/>
      <c r="BA525" s="192"/>
      <c r="BB525" s="192"/>
      <c r="BC525" s="192"/>
      <c r="BD525" s="192"/>
      <c r="BE525" s="192"/>
      <c r="BF525" s="192"/>
      <c r="BG525" s="192"/>
      <c r="BH525" s="192"/>
      <c r="BI525" s="192"/>
      <c r="BJ525" s="192"/>
    </row>
    <row r="526" ht="20.25" customHeight="1">
      <c r="A526" s="192"/>
      <c r="B526" s="192"/>
      <c r="C526" s="192"/>
      <c r="D526" s="192"/>
      <c r="E526" s="192"/>
      <c r="F526" s="192"/>
      <c r="G526" s="192"/>
      <c r="H526" s="192"/>
      <c r="I526" s="192"/>
      <c r="J526" s="192"/>
      <c r="K526" s="192"/>
      <c r="L526" s="192"/>
      <c r="M526" s="192"/>
      <c r="N526" s="192"/>
      <c r="O526" s="192"/>
      <c r="P526" s="192"/>
      <c r="Q526" s="10"/>
      <c r="R526" s="10"/>
      <c r="S526" s="10"/>
      <c r="T526" s="10"/>
      <c r="U526" s="10"/>
      <c r="V526" s="10"/>
      <c r="W526" s="192"/>
      <c r="X526" s="192"/>
      <c r="Y526" s="192"/>
      <c r="Z526" s="192"/>
      <c r="AA526" s="192"/>
      <c r="AB526" s="192"/>
      <c r="AC526" s="192"/>
      <c r="AD526" s="192"/>
      <c r="AE526" s="192"/>
      <c r="AF526" s="192"/>
      <c r="AG526" s="192"/>
      <c r="AH526" s="192"/>
      <c r="AI526" s="192"/>
      <c r="AJ526" s="192"/>
      <c r="AK526" s="192"/>
      <c r="AL526" s="192"/>
      <c r="AM526" s="192"/>
      <c r="AN526" s="192"/>
      <c r="AO526" s="192"/>
      <c r="AP526" s="192"/>
      <c r="AQ526" s="192"/>
      <c r="AR526" s="192"/>
      <c r="AS526" s="192"/>
      <c r="AT526" s="192"/>
      <c r="AU526" s="192"/>
      <c r="AV526" s="192"/>
      <c r="AW526" s="192"/>
      <c r="AX526" s="192"/>
      <c r="AY526" s="192"/>
      <c r="AZ526" s="192"/>
      <c r="BA526" s="192"/>
      <c r="BB526" s="192"/>
      <c r="BC526" s="192"/>
      <c r="BD526" s="192"/>
      <c r="BE526" s="192"/>
      <c r="BF526" s="192"/>
      <c r="BG526" s="192"/>
      <c r="BH526" s="192"/>
      <c r="BI526" s="192"/>
      <c r="BJ526" s="192"/>
    </row>
    <row r="527" ht="20.25" customHeight="1">
      <c r="A527" s="4"/>
      <c r="B527" s="189"/>
      <c r="C527" s="4"/>
      <c r="D527" s="4"/>
      <c r="E527" s="4"/>
      <c r="F527" s="4"/>
      <c r="G527" s="4"/>
      <c r="H527" s="4"/>
      <c r="I527" s="190"/>
      <c r="J527" s="4"/>
      <c r="K527" s="4"/>
      <c r="L527" s="191"/>
      <c r="M527" s="192"/>
      <c r="N527" s="192"/>
      <c r="O527" s="192"/>
      <c r="P527" s="4"/>
      <c r="Q527" s="10"/>
      <c r="R527" s="10"/>
      <c r="S527" s="10"/>
      <c r="T527" s="10"/>
      <c r="U527" s="10"/>
      <c r="V527" s="10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</row>
    <row r="528" ht="20.25" customHeight="1">
      <c r="A528" s="4"/>
      <c r="B528" s="189"/>
      <c r="C528" s="4"/>
      <c r="D528" s="4"/>
      <c r="E528" s="4"/>
      <c r="F528" s="4"/>
      <c r="G528" s="4"/>
      <c r="H528" s="4"/>
      <c r="I528" s="190"/>
      <c r="J528" s="4"/>
      <c r="K528" s="4"/>
      <c r="L528" s="191"/>
      <c r="M528" s="192"/>
      <c r="N528" s="192"/>
      <c r="O528" s="192"/>
      <c r="P528" s="4"/>
      <c r="Q528" s="10"/>
      <c r="R528" s="10"/>
      <c r="S528" s="10"/>
      <c r="T528" s="10"/>
      <c r="U528" s="10"/>
      <c r="V528" s="10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</row>
    <row r="529" ht="20.25" customHeight="1">
      <c r="A529" s="4"/>
      <c r="B529" s="189"/>
      <c r="C529" s="4"/>
      <c r="D529" s="4"/>
      <c r="E529" s="4"/>
      <c r="F529" s="4"/>
      <c r="G529" s="4"/>
      <c r="H529" s="4"/>
      <c r="I529" s="190"/>
      <c r="J529" s="4"/>
      <c r="K529" s="4"/>
      <c r="L529" s="191"/>
      <c r="M529" s="192"/>
      <c r="N529" s="192"/>
      <c r="O529" s="192"/>
      <c r="P529" s="4"/>
      <c r="Q529" s="10"/>
      <c r="R529" s="10"/>
      <c r="S529" s="10"/>
      <c r="T529" s="10"/>
      <c r="U529" s="10"/>
      <c r="V529" s="10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</row>
    <row r="530" ht="20.25" customHeight="1">
      <c r="A530" s="4"/>
      <c r="B530" s="189"/>
      <c r="C530" s="4"/>
      <c r="D530" s="4"/>
      <c r="E530" s="4"/>
      <c r="F530" s="4"/>
      <c r="G530" s="4"/>
      <c r="H530" s="4"/>
      <c r="I530" s="190"/>
      <c r="J530" s="4"/>
      <c r="K530" s="4"/>
      <c r="L530" s="191"/>
      <c r="M530" s="192"/>
      <c r="N530" s="192"/>
      <c r="O530" s="192"/>
      <c r="P530" s="4"/>
      <c r="Q530" s="10"/>
      <c r="R530" s="10"/>
      <c r="S530" s="10"/>
      <c r="T530" s="10"/>
      <c r="U530" s="10"/>
      <c r="V530" s="10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</row>
    <row r="531" ht="20.25" customHeight="1">
      <c r="A531" s="4"/>
      <c r="B531" s="189"/>
      <c r="C531" s="4"/>
      <c r="D531" s="4"/>
      <c r="E531" s="4"/>
      <c r="F531" s="4"/>
      <c r="G531" s="4"/>
      <c r="H531" s="4"/>
      <c r="I531" s="190"/>
      <c r="J531" s="4"/>
      <c r="K531" s="4"/>
      <c r="L531" s="191"/>
      <c r="M531" s="192"/>
      <c r="N531" s="192"/>
      <c r="O531" s="192"/>
      <c r="P531" s="4"/>
      <c r="Q531" s="10"/>
      <c r="R531" s="10"/>
      <c r="S531" s="10"/>
      <c r="T531" s="10"/>
      <c r="U531" s="10"/>
      <c r="V531" s="10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</row>
    <row r="532" ht="20.25" customHeight="1">
      <c r="A532" s="4"/>
      <c r="B532" s="189"/>
      <c r="C532" s="4"/>
      <c r="D532" s="4"/>
      <c r="E532" s="4"/>
      <c r="F532" s="4"/>
      <c r="G532" s="4"/>
      <c r="H532" s="4"/>
      <c r="I532" s="190"/>
      <c r="J532" s="4"/>
      <c r="K532" s="4"/>
      <c r="L532" s="191"/>
      <c r="M532" s="192"/>
      <c r="N532" s="192"/>
      <c r="O532" s="192"/>
      <c r="P532" s="4"/>
      <c r="Q532" s="10"/>
      <c r="R532" s="10"/>
      <c r="S532" s="10"/>
      <c r="T532" s="10"/>
      <c r="U532" s="10"/>
      <c r="V532" s="10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</row>
    <row r="533" ht="20.25" customHeight="1">
      <c r="A533" s="4"/>
      <c r="B533" s="189"/>
      <c r="C533" s="4"/>
      <c r="D533" s="4"/>
      <c r="E533" s="4"/>
      <c r="F533" s="4"/>
      <c r="G533" s="4"/>
      <c r="H533" s="4"/>
      <c r="I533" s="190"/>
      <c r="J533" s="4"/>
      <c r="K533" s="4"/>
      <c r="L533" s="191"/>
      <c r="M533" s="192"/>
      <c r="N533" s="192"/>
      <c r="O533" s="192"/>
      <c r="P533" s="4"/>
      <c r="Q533" s="10"/>
      <c r="R533" s="10"/>
      <c r="S533" s="10"/>
      <c r="T533" s="10"/>
      <c r="U533" s="10"/>
      <c r="V533" s="10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</row>
    <row r="534" ht="20.25" customHeight="1">
      <c r="A534" s="4"/>
      <c r="B534" s="189"/>
      <c r="C534" s="4"/>
      <c r="D534" s="4"/>
      <c r="E534" s="4"/>
      <c r="F534" s="4"/>
      <c r="G534" s="4"/>
      <c r="H534" s="4"/>
      <c r="I534" s="190"/>
      <c r="J534" s="4"/>
      <c r="K534" s="4"/>
      <c r="L534" s="191"/>
      <c r="M534" s="192"/>
      <c r="N534" s="192"/>
      <c r="O534" s="192"/>
      <c r="P534" s="4"/>
      <c r="Q534" s="10"/>
      <c r="R534" s="10"/>
      <c r="S534" s="10"/>
      <c r="T534" s="10"/>
      <c r="U534" s="10"/>
      <c r="V534" s="10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</row>
    <row r="535" ht="20.25" customHeight="1">
      <c r="A535" s="4"/>
      <c r="B535" s="189"/>
      <c r="C535" s="4"/>
      <c r="D535" s="4"/>
      <c r="E535" s="4"/>
      <c r="F535" s="4"/>
      <c r="G535" s="4"/>
      <c r="H535" s="4"/>
      <c r="I535" s="190"/>
      <c r="J535" s="4"/>
      <c r="K535" s="4"/>
      <c r="L535" s="191"/>
      <c r="M535" s="192"/>
      <c r="N535" s="192"/>
      <c r="O535" s="192"/>
      <c r="P535" s="4"/>
      <c r="Q535" s="10"/>
      <c r="R535" s="10"/>
      <c r="S535" s="10"/>
      <c r="T535" s="10"/>
      <c r="U535" s="10"/>
      <c r="V535" s="10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</row>
    <row r="536" ht="20.25" customHeight="1">
      <c r="A536" s="4"/>
      <c r="B536" s="189"/>
      <c r="C536" s="4"/>
      <c r="D536" s="4"/>
      <c r="E536" s="4"/>
      <c r="F536" s="4"/>
      <c r="G536" s="4"/>
      <c r="H536" s="4"/>
      <c r="I536" s="190"/>
      <c r="J536" s="4"/>
      <c r="K536" s="4"/>
      <c r="L536" s="191"/>
      <c r="M536" s="192"/>
      <c r="N536" s="192"/>
      <c r="O536" s="192"/>
      <c r="P536" s="4"/>
      <c r="Q536" s="10"/>
      <c r="R536" s="10"/>
      <c r="S536" s="10"/>
      <c r="T536" s="10"/>
      <c r="U536" s="10"/>
      <c r="V536" s="10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</row>
    <row r="537" ht="20.25" customHeight="1">
      <c r="A537" s="4"/>
      <c r="B537" s="189"/>
      <c r="C537" s="4"/>
      <c r="D537" s="4"/>
      <c r="E537" s="4"/>
      <c r="F537" s="4"/>
      <c r="G537" s="4"/>
      <c r="H537" s="4"/>
      <c r="I537" s="190"/>
      <c r="J537" s="4"/>
      <c r="K537" s="4"/>
      <c r="L537" s="191"/>
      <c r="M537" s="192"/>
      <c r="N537" s="192"/>
      <c r="O537" s="192"/>
      <c r="P537" s="4"/>
      <c r="Q537" s="10"/>
      <c r="R537" s="10"/>
      <c r="S537" s="10"/>
      <c r="T537" s="10"/>
      <c r="U537" s="10"/>
      <c r="V537" s="10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</row>
    <row r="538" ht="20.25" customHeight="1">
      <c r="A538" s="4"/>
      <c r="B538" s="189"/>
      <c r="C538" s="4"/>
      <c r="D538" s="4"/>
      <c r="E538" s="4"/>
      <c r="F538" s="4"/>
      <c r="G538" s="4"/>
      <c r="H538" s="4"/>
      <c r="I538" s="190"/>
      <c r="J538" s="4"/>
      <c r="K538" s="4"/>
      <c r="L538" s="191"/>
      <c r="M538" s="192"/>
      <c r="N538" s="192"/>
      <c r="O538" s="192"/>
      <c r="P538" s="4"/>
      <c r="Q538" s="10"/>
      <c r="R538" s="10"/>
      <c r="S538" s="10"/>
      <c r="T538" s="10"/>
      <c r="U538" s="10"/>
      <c r="V538" s="10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</row>
    <row r="539" ht="20.25" customHeight="1">
      <c r="A539" s="4"/>
      <c r="B539" s="189"/>
      <c r="C539" s="4"/>
      <c r="D539" s="4"/>
      <c r="E539" s="4"/>
      <c r="F539" s="4"/>
      <c r="G539" s="4"/>
      <c r="H539" s="4"/>
      <c r="I539" s="190"/>
      <c r="J539" s="4"/>
      <c r="K539" s="4"/>
      <c r="L539" s="191"/>
      <c r="M539" s="192"/>
      <c r="N539" s="192"/>
      <c r="O539" s="192"/>
      <c r="P539" s="4"/>
      <c r="Q539" s="10"/>
      <c r="R539" s="10"/>
      <c r="S539" s="10"/>
      <c r="T539" s="10"/>
      <c r="U539" s="10"/>
      <c r="V539" s="10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</row>
    <row r="540" ht="20.25" customHeight="1">
      <c r="A540" s="4"/>
      <c r="B540" s="189"/>
      <c r="C540" s="4"/>
      <c r="D540" s="4"/>
      <c r="E540" s="4"/>
      <c r="F540" s="4"/>
      <c r="G540" s="4"/>
      <c r="H540" s="4"/>
      <c r="I540" s="190"/>
      <c r="J540" s="4"/>
      <c r="K540" s="4"/>
      <c r="L540" s="191"/>
      <c r="M540" s="192"/>
      <c r="N540" s="192"/>
      <c r="O540" s="192"/>
      <c r="P540" s="4"/>
      <c r="Q540" s="10"/>
      <c r="R540" s="10"/>
      <c r="S540" s="10"/>
      <c r="T540" s="10"/>
      <c r="U540" s="10"/>
      <c r="V540" s="10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</row>
    <row r="541" ht="20.25" customHeight="1">
      <c r="A541" s="4"/>
      <c r="B541" s="189"/>
      <c r="C541" s="4"/>
      <c r="D541" s="4"/>
      <c r="E541" s="4"/>
      <c r="F541" s="4"/>
      <c r="G541" s="4"/>
      <c r="H541" s="4"/>
      <c r="I541" s="190"/>
      <c r="J541" s="4"/>
      <c r="K541" s="4"/>
      <c r="L541" s="191"/>
      <c r="M541" s="192"/>
      <c r="N541" s="192"/>
      <c r="O541" s="192"/>
      <c r="P541" s="4"/>
      <c r="Q541" s="10"/>
      <c r="R541" s="10"/>
      <c r="S541" s="10"/>
      <c r="T541" s="10"/>
      <c r="U541" s="10"/>
      <c r="V541" s="10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</row>
    <row r="542" ht="20.25" customHeight="1">
      <c r="A542" s="4"/>
      <c r="B542" s="189"/>
      <c r="C542" s="4"/>
      <c r="D542" s="4"/>
      <c r="E542" s="4"/>
      <c r="F542" s="4"/>
      <c r="G542" s="4"/>
      <c r="H542" s="4"/>
      <c r="I542" s="190"/>
      <c r="J542" s="4"/>
      <c r="K542" s="4"/>
      <c r="L542" s="191"/>
      <c r="M542" s="192"/>
      <c r="N542" s="192"/>
      <c r="O542" s="192"/>
      <c r="P542" s="4"/>
      <c r="Q542" s="10"/>
      <c r="R542" s="10"/>
      <c r="S542" s="10"/>
      <c r="T542" s="10"/>
      <c r="U542" s="10"/>
      <c r="V542" s="10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</row>
    <row r="543" ht="20.25" customHeight="1">
      <c r="A543" s="4"/>
      <c r="B543" s="189"/>
      <c r="C543" s="4"/>
      <c r="D543" s="4"/>
      <c r="E543" s="4"/>
      <c r="F543" s="4"/>
      <c r="G543" s="4"/>
      <c r="H543" s="4"/>
      <c r="I543" s="190"/>
      <c r="J543" s="4"/>
      <c r="K543" s="4"/>
      <c r="L543" s="191"/>
      <c r="M543" s="192"/>
      <c r="N543" s="192"/>
      <c r="O543" s="192"/>
      <c r="P543" s="4"/>
      <c r="Q543" s="10"/>
      <c r="R543" s="10"/>
      <c r="S543" s="10"/>
      <c r="T543" s="10"/>
      <c r="U543" s="10"/>
      <c r="V543" s="10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</row>
    <row r="544" ht="20.25" customHeight="1">
      <c r="A544" s="4"/>
      <c r="B544" s="189"/>
      <c r="C544" s="4"/>
      <c r="D544" s="4"/>
      <c r="E544" s="4"/>
      <c r="F544" s="4"/>
      <c r="G544" s="4"/>
      <c r="H544" s="4"/>
      <c r="I544" s="190"/>
      <c r="J544" s="4"/>
      <c r="K544" s="4"/>
      <c r="L544" s="191"/>
      <c r="M544" s="192"/>
      <c r="N544" s="192"/>
      <c r="O544" s="192"/>
      <c r="P544" s="4"/>
      <c r="Q544" s="10"/>
      <c r="R544" s="10"/>
      <c r="S544" s="10"/>
      <c r="T544" s="10"/>
      <c r="U544" s="10"/>
      <c r="V544" s="10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</row>
    <row r="545" ht="20.25" customHeight="1">
      <c r="A545" s="4"/>
      <c r="B545" s="189"/>
      <c r="C545" s="4"/>
      <c r="D545" s="4"/>
      <c r="E545" s="4"/>
      <c r="F545" s="4"/>
      <c r="G545" s="4"/>
      <c r="H545" s="4"/>
      <c r="I545" s="190"/>
      <c r="J545" s="4"/>
      <c r="K545" s="4"/>
      <c r="L545" s="191"/>
      <c r="M545" s="192"/>
      <c r="N545" s="192"/>
      <c r="O545" s="192"/>
      <c r="P545" s="4"/>
      <c r="Q545" s="10"/>
      <c r="R545" s="10"/>
      <c r="S545" s="10"/>
      <c r="T545" s="10"/>
      <c r="U545" s="10"/>
      <c r="V545" s="10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</row>
    <row r="546" ht="20.25" customHeight="1">
      <c r="A546" s="4"/>
      <c r="B546" s="189"/>
      <c r="C546" s="4"/>
      <c r="D546" s="4"/>
      <c r="E546" s="4"/>
      <c r="F546" s="4"/>
      <c r="G546" s="4"/>
      <c r="H546" s="4"/>
      <c r="I546" s="190"/>
      <c r="J546" s="4"/>
      <c r="K546" s="4"/>
      <c r="L546" s="191"/>
      <c r="M546" s="192"/>
      <c r="N546" s="192"/>
      <c r="O546" s="192"/>
      <c r="P546" s="4"/>
      <c r="Q546" s="10"/>
      <c r="R546" s="10"/>
      <c r="S546" s="10"/>
      <c r="T546" s="10"/>
      <c r="U546" s="10"/>
      <c r="V546" s="10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</row>
    <row r="547" ht="20.25" customHeight="1">
      <c r="A547" s="4"/>
      <c r="B547" s="189"/>
      <c r="C547" s="4"/>
      <c r="D547" s="4"/>
      <c r="E547" s="4"/>
      <c r="F547" s="4"/>
      <c r="G547" s="4"/>
      <c r="H547" s="4"/>
      <c r="I547" s="190"/>
      <c r="J547" s="4"/>
      <c r="K547" s="4"/>
      <c r="L547" s="191"/>
      <c r="M547" s="192"/>
      <c r="N547" s="192"/>
      <c r="O547" s="192"/>
      <c r="P547" s="4"/>
      <c r="Q547" s="10"/>
      <c r="R547" s="10"/>
      <c r="S547" s="10"/>
      <c r="T547" s="10"/>
      <c r="U547" s="10"/>
      <c r="V547" s="10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</row>
    <row r="548" ht="20.25" customHeight="1">
      <c r="A548" s="4"/>
      <c r="B548" s="189"/>
      <c r="C548" s="4"/>
      <c r="D548" s="4"/>
      <c r="E548" s="4"/>
      <c r="F548" s="4"/>
      <c r="G548" s="4"/>
      <c r="H548" s="4"/>
      <c r="I548" s="190"/>
      <c r="J548" s="4"/>
      <c r="K548" s="4"/>
      <c r="L548" s="191"/>
      <c r="M548" s="192"/>
      <c r="N548" s="192"/>
      <c r="O548" s="192"/>
      <c r="P548" s="4"/>
      <c r="Q548" s="10"/>
      <c r="R548" s="10"/>
      <c r="S548" s="10"/>
      <c r="T548" s="10"/>
      <c r="U548" s="10"/>
      <c r="V548" s="10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</row>
    <row r="549" ht="20.25" customHeight="1">
      <c r="A549" s="4"/>
      <c r="B549" s="189"/>
      <c r="C549" s="4"/>
      <c r="D549" s="4"/>
      <c r="E549" s="4"/>
      <c r="F549" s="4"/>
      <c r="G549" s="4"/>
      <c r="H549" s="4"/>
      <c r="I549" s="190"/>
      <c r="J549" s="4"/>
      <c r="K549" s="4"/>
      <c r="L549" s="191"/>
      <c r="M549" s="192"/>
      <c r="N549" s="192"/>
      <c r="O549" s="192"/>
      <c r="P549" s="4"/>
      <c r="Q549" s="10"/>
      <c r="R549" s="10"/>
      <c r="S549" s="10"/>
      <c r="T549" s="10"/>
      <c r="U549" s="10"/>
      <c r="V549" s="10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</row>
    <row r="550" ht="20.25" customHeight="1">
      <c r="A550" s="4"/>
      <c r="B550" s="189"/>
      <c r="C550" s="4"/>
      <c r="D550" s="4"/>
      <c r="E550" s="4"/>
      <c r="F550" s="4"/>
      <c r="G550" s="4"/>
      <c r="H550" s="4"/>
      <c r="I550" s="190"/>
      <c r="J550" s="4"/>
      <c r="K550" s="4"/>
      <c r="L550" s="191"/>
      <c r="M550" s="192"/>
      <c r="N550" s="192"/>
      <c r="O550" s="192"/>
      <c r="P550" s="4"/>
      <c r="Q550" s="10"/>
      <c r="R550" s="10"/>
      <c r="S550" s="10"/>
      <c r="T550" s="10"/>
      <c r="U550" s="10"/>
      <c r="V550" s="10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</row>
    <row r="551" ht="20.25" customHeight="1">
      <c r="A551" s="4"/>
      <c r="B551" s="189"/>
      <c r="C551" s="4"/>
      <c r="D551" s="4"/>
      <c r="E551" s="4"/>
      <c r="F551" s="4"/>
      <c r="G551" s="4"/>
      <c r="H551" s="4"/>
      <c r="I551" s="190"/>
      <c r="J551" s="4"/>
      <c r="K551" s="4"/>
      <c r="L551" s="191"/>
      <c r="M551" s="192"/>
      <c r="N551" s="192"/>
      <c r="O551" s="192"/>
      <c r="P551" s="4"/>
      <c r="Q551" s="10"/>
      <c r="R551" s="10"/>
      <c r="S551" s="10"/>
      <c r="T551" s="10"/>
      <c r="U551" s="10"/>
      <c r="V551" s="10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</row>
    <row r="552" ht="20.25" customHeight="1">
      <c r="A552" s="4"/>
      <c r="B552" s="189"/>
      <c r="C552" s="4"/>
      <c r="D552" s="4"/>
      <c r="E552" s="4"/>
      <c r="F552" s="4"/>
      <c r="G552" s="4"/>
      <c r="H552" s="4"/>
      <c r="I552" s="190"/>
      <c r="J552" s="4"/>
      <c r="K552" s="4"/>
      <c r="L552" s="191"/>
      <c r="M552" s="192"/>
      <c r="N552" s="192"/>
      <c r="O552" s="192"/>
      <c r="P552" s="4"/>
      <c r="Q552" s="10"/>
      <c r="R552" s="10"/>
      <c r="S552" s="10"/>
      <c r="T552" s="10"/>
      <c r="U552" s="10"/>
      <c r="V552" s="10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</row>
    <row r="553" ht="20.25" customHeight="1">
      <c r="A553" s="4"/>
      <c r="B553" s="189"/>
      <c r="C553" s="4"/>
      <c r="D553" s="4"/>
      <c r="E553" s="4"/>
      <c r="F553" s="4"/>
      <c r="G553" s="4"/>
      <c r="H553" s="4"/>
      <c r="I553" s="190"/>
      <c r="J553" s="4"/>
      <c r="K553" s="4"/>
      <c r="L553" s="191"/>
      <c r="M553" s="192"/>
      <c r="N553" s="192"/>
      <c r="O553" s="192"/>
      <c r="P553" s="4"/>
      <c r="Q553" s="10"/>
      <c r="R553" s="10"/>
      <c r="S553" s="10"/>
      <c r="T553" s="10"/>
      <c r="U553" s="10"/>
      <c r="V553" s="10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</row>
    <row r="554" ht="20.25" customHeight="1">
      <c r="A554" s="4"/>
      <c r="B554" s="189"/>
      <c r="C554" s="4"/>
      <c r="D554" s="4"/>
      <c r="E554" s="4"/>
      <c r="F554" s="4"/>
      <c r="G554" s="4"/>
      <c r="H554" s="4"/>
      <c r="I554" s="190"/>
      <c r="J554" s="4"/>
      <c r="K554" s="4"/>
      <c r="L554" s="191"/>
      <c r="M554" s="192"/>
      <c r="N554" s="192"/>
      <c r="O554" s="192"/>
      <c r="P554" s="4"/>
      <c r="Q554" s="10"/>
      <c r="R554" s="10"/>
      <c r="S554" s="10"/>
      <c r="T554" s="10"/>
      <c r="U554" s="10"/>
      <c r="V554" s="10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</row>
    <row r="555" ht="20.25" customHeight="1">
      <c r="A555" s="4"/>
      <c r="B555" s="189"/>
      <c r="C555" s="4"/>
      <c r="D555" s="4"/>
      <c r="E555" s="4"/>
      <c r="F555" s="4"/>
      <c r="G555" s="4"/>
      <c r="H555" s="4"/>
      <c r="I555" s="190"/>
      <c r="J555" s="4"/>
      <c r="K555" s="4"/>
      <c r="L555" s="191"/>
      <c r="M555" s="192"/>
      <c r="N555" s="192"/>
      <c r="O555" s="192"/>
      <c r="P555" s="4"/>
      <c r="Q555" s="10"/>
      <c r="R555" s="10"/>
      <c r="S555" s="10"/>
      <c r="T555" s="10"/>
      <c r="U555" s="10"/>
      <c r="V555" s="10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</row>
    <row r="556" ht="20.25" customHeight="1">
      <c r="A556" s="4"/>
      <c r="B556" s="189"/>
      <c r="C556" s="4"/>
      <c r="D556" s="4"/>
      <c r="E556" s="4"/>
      <c r="F556" s="4"/>
      <c r="G556" s="4"/>
      <c r="H556" s="4"/>
      <c r="I556" s="190"/>
      <c r="J556" s="4"/>
      <c r="K556" s="4"/>
      <c r="L556" s="191"/>
      <c r="M556" s="192"/>
      <c r="N556" s="192"/>
      <c r="O556" s="192"/>
      <c r="P556" s="4"/>
      <c r="Q556" s="10"/>
      <c r="R556" s="10"/>
      <c r="S556" s="10"/>
      <c r="T556" s="10"/>
      <c r="U556" s="10"/>
      <c r="V556" s="10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</row>
    <row r="557" ht="20.25" customHeight="1">
      <c r="A557" s="4"/>
      <c r="B557" s="189"/>
      <c r="C557" s="4"/>
      <c r="D557" s="4"/>
      <c r="E557" s="4"/>
      <c r="F557" s="4"/>
      <c r="G557" s="4"/>
      <c r="H557" s="4"/>
      <c r="I557" s="190"/>
      <c r="J557" s="4"/>
      <c r="K557" s="4"/>
      <c r="L557" s="191"/>
      <c r="M557" s="192"/>
      <c r="N557" s="192"/>
      <c r="O557" s="192"/>
      <c r="P557" s="4"/>
      <c r="Q557" s="10"/>
      <c r="R557" s="10"/>
      <c r="S557" s="10"/>
      <c r="T557" s="10"/>
      <c r="U557" s="10"/>
      <c r="V557" s="10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</row>
    <row r="558" ht="20.25" customHeight="1">
      <c r="A558" s="4"/>
      <c r="B558" s="189"/>
      <c r="C558" s="4"/>
      <c r="D558" s="4"/>
      <c r="E558" s="4"/>
      <c r="F558" s="4"/>
      <c r="G558" s="4"/>
      <c r="H558" s="4"/>
      <c r="I558" s="190"/>
      <c r="J558" s="4"/>
      <c r="K558" s="4"/>
      <c r="L558" s="191"/>
      <c r="M558" s="192"/>
      <c r="N558" s="192"/>
      <c r="O558" s="192"/>
      <c r="P558" s="4"/>
      <c r="Q558" s="10"/>
      <c r="R558" s="10"/>
      <c r="S558" s="10"/>
      <c r="T558" s="10"/>
      <c r="U558" s="10"/>
      <c r="V558" s="10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</row>
    <row r="559" ht="20.25" customHeight="1">
      <c r="A559" s="4"/>
      <c r="B559" s="189"/>
      <c r="C559" s="4"/>
      <c r="D559" s="4"/>
      <c r="E559" s="4"/>
      <c r="F559" s="4"/>
      <c r="G559" s="4"/>
      <c r="H559" s="4"/>
      <c r="I559" s="190"/>
      <c r="J559" s="4"/>
      <c r="K559" s="4"/>
      <c r="L559" s="191"/>
      <c r="M559" s="192"/>
      <c r="N559" s="192"/>
      <c r="O559" s="192"/>
      <c r="P559" s="4"/>
      <c r="Q559" s="10"/>
      <c r="R559" s="10"/>
      <c r="S559" s="10"/>
      <c r="T559" s="10"/>
      <c r="U559" s="10"/>
      <c r="V559" s="10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</row>
    <row r="560" ht="20.25" customHeight="1">
      <c r="A560" s="4"/>
      <c r="B560" s="189"/>
      <c r="C560" s="4"/>
      <c r="D560" s="4"/>
      <c r="E560" s="4"/>
      <c r="F560" s="4"/>
      <c r="G560" s="4"/>
      <c r="H560" s="4"/>
      <c r="I560" s="190"/>
      <c r="J560" s="4"/>
      <c r="K560" s="4"/>
      <c r="L560" s="191"/>
      <c r="M560" s="192"/>
      <c r="N560" s="192"/>
      <c r="O560" s="192"/>
      <c r="P560" s="4"/>
      <c r="Q560" s="10"/>
      <c r="R560" s="10"/>
      <c r="S560" s="10"/>
      <c r="T560" s="10"/>
      <c r="U560" s="10"/>
      <c r="V560" s="10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</row>
    <row r="561" ht="20.25" customHeight="1">
      <c r="A561" s="4"/>
      <c r="B561" s="189"/>
      <c r="C561" s="4"/>
      <c r="D561" s="4"/>
      <c r="E561" s="4"/>
      <c r="F561" s="4"/>
      <c r="G561" s="4"/>
      <c r="H561" s="4"/>
      <c r="I561" s="190"/>
      <c r="J561" s="4"/>
      <c r="K561" s="4"/>
      <c r="L561" s="191"/>
      <c r="M561" s="192"/>
      <c r="N561" s="192"/>
      <c r="O561" s="192"/>
      <c r="P561" s="4"/>
      <c r="Q561" s="10"/>
      <c r="R561" s="10"/>
      <c r="S561" s="10"/>
      <c r="T561" s="10"/>
      <c r="U561" s="10"/>
      <c r="V561" s="10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</row>
    <row r="562" ht="20.25" customHeight="1">
      <c r="A562" s="4"/>
      <c r="B562" s="189"/>
      <c r="C562" s="4"/>
      <c r="D562" s="4"/>
      <c r="E562" s="4"/>
      <c r="F562" s="4"/>
      <c r="G562" s="4"/>
      <c r="H562" s="4"/>
      <c r="I562" s="190"/>
      <c r="J562" s="4"/>
      <c r="K562" s="4"/>
      <c r="L562" s="191"/>
      <c r="M562" s="192"/>
      <c r="N562" s="192"/>
      <c r="O562" s="192"/>
      <c r="P562" s="4"/>
      <c r="Q562" s="10"/>
      <c r="R562" s="10"/>
      <c r="S562" s="10"/>
      <c r="T562" s="10"/>
      <c r="U562" s="10"/>
      <c r="V562" s="10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</row>
    <row r="563" ht="20.25" customHeight="1">
      <c r="A563" s="4"/>
      <c r="B563" s="189"/>
      <c r="C563" s="4"/>
      <c r="D563" s="4"/>
      <c r="E563" s="4"/>
      <c r="F563" s="4"/>
      <c r="G563" s="4"/>
      <c r="H563" s="4"/>
      <c r="I563" s="190"/>
      <c r="J563" s="4"/>
      <c r="K563" s="4"/>
      <c r="L563" s="191"/>
      <c r="M563" s="192"/>
      <c r="N563" s="192"/>
      <c r="O563" s="192"/>
      <c r="P563" s="4"/>
      <c r="Q563" s="10"/>
      <c r="R563" s="10"/>
      <c r="S563" s="10"/>
      <c r="T563" s="10"/>
      <c r="U563" s="10"/>
      <c r="V563" s="10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</row>
    <row r="564" ht="20.25" customHeight="1">
      <c r="A564" s="4"/>
      <c r="B564" s="189"/>
      <c r="C564" s="4"/>
      <c r="D564" s="4"/>
      <c r="E564" s="4"/>
      <c r="F564" s="4"/>
      <c r="G564" s="4"/>
      <c r="H564" s="4"/>
      <c r="I564" s="190"/>
      <c r="J564" s="4"/>
      <c r="K564" s="4"/>
      <c r="L564" s="191"/>
      <c r="M564" s="192"/>
      <c r="N564" s="192"/>
      <c r="O564" s="192"/>
      <c r="P564" s="4"/>
      <c r="Q564" s="10"/>
      <c r="R564" s="10"/>
      <c r="S564" s="10"/>
      <c r="T564" s="10"/>
      <c r="U564" s="10"/>
      <c r="V564" s="10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</row>
    <row r="565" ht="20.25" customHeight="1">
      <c r="A565" s="4"/>
      <c r="B565" s="189"/>
      <c r="C565" s="4"/>
      <c r="D565" s="4"/>
      <c r="E565" s="4"/>
      <c r="F565" s="4"/>
      <c r="G565" s="4"/>
      <c r="H565" s="4"/>
      <c r="I565" s="190"/>
      <c r="J565" s="4"/>
      <c r="K565" s="4"/>
      <c r="L565" s="191"/>
      <c r="M565" s="192"/>
      <c r="N565" s="192"/>
      <c r="O565" s="192"/>
      <c r="P565" s="4"/>
      <c r="Q565" s="10"/>
      <c r="R565" s="10"/>
      <c r="S565" s="10"/>
      <c r="T565" s="10"/>
      <c r="U565" s="10"/>
      <c r="V565" s="10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</row>
    <row r="566" ht="20.25" customHeight="1">
      <c r="A566" s="4"/>
      <c r="B566" s="189"/>
      <c r="C566" s="4"/>
      <c r="D566" s="4"/>
      <c r="E566" s="4"/>
      <c r="F566" s="4"/>
      <c r="G566" s="4"/>
      <c r="H566" s="4"/>
      <c r="I566" s="190"/>
      <c r="J566" s="4"/>
      <c r="K566" s="4"/>
      <c r="L566" s="191"/>
      <c r="M566" s="192"/>
      <c r="N566" s="192"/>
      <c r="O566" s="192"/>
      <c r="P566" s="4"/>
      <c r="Q566" s="10"/>
      <c r="R566" s="10"/>
      <c r="S566" s="10"/>
      <c r="T566" s="10"/>
      <c r="U566" s="10"/>
      <c r="V566" s="10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</row>
    <row r="567" ht="20.25" customHeight="1">
      <c r="A567" s="4"/>
      <c r="B567" s="189"/>
      <c r="C567" s="4"/>
      <c r="D567" s="4"/>
      <c r="E567" s="4"/>
      <c r="F567" s="4"/>
      <c r="G567" s="4"/>
      <c r="H567" s="4"/>
      <c r="I567" s="190"/>
      <c r="J567" s="4"/>
      <c r="K567" s="4"/>
      <c r="L567" s="191"/>
      <c r="M567" s="192"/>
      <c r="N567" s="192"/>
      <c r="O567" s="192"/>
      <c r="P567" s="4"/>
      <c r="Q567" s="10"/>
      <c r="R567" s="10"/>
      <c r="S567" s="10"/>
      <c r="T567" s="10"/>
      <c r="U567" s="10"/>
      <c r="V567" s="10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</row>
    <row r="568" ht="20.25" customHeight="1">
      <c r="A568" s="4"/>
      <c r="B568" s="189"/>
      <c r="C568" s="4"/>
      <c r="D568" s="4"/>
      <c r="E568" s="4"/>
      <c r="F568" s="4"/>
      <c r="G568" s="4"/>
      <c r="H568" s="4"/>
      <c r="I568" s="190"/>
      <c r="J568" s="4"/>
      <c r="K568" s="4"/>
      <c r="L568" s="191"/>
      <c r="M568" s="192"/>
      <c r="N568" s="192"/>
      <c r="O568" s="192"/>
      <c r="P568" s="4"/>
      <c r="Q568" s="10"/>
      <c r="R568" s="10"/>
      <c r="S568" s="10"/>
      <c r="T568" s="10"/>
      <c r="U568" s="10"/>
      <c r="V568" s="10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</row>
    <row r="569" ht="20.25" customHeight="1">
      <c r="A569" s="4"/>
      <c r="B569" s="189"/>
      <c r="C569" s="4"/>
      <c r="D569" s="4"/>
      <c r="E569" s="4"/>
      <c r="F569" s="4"/>
      <c r="G569" s="4"/>
      <c r="H569" s="4"/>
      <c r="I569" s="190"/>
      <c r="J569" s="4"/>
      <c r="K569" s="4"/>
      <c r="L569" s="191"/>
      <c r="M569" s="192"/>
      <c r="N569" s="192"/>
      <c r="O569" s="192"/>
      <c r="P569" s="4"/>
      <c r="Q569" s="10"/>
      <c r="R569" s="10"/>
      <c r="S569" s="10"/>
      <c r="T569" s="10"/>
      <c r="U569" s="10"/>
      <c r="V569" s="10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</row>
    <row r="570" ht="20.25" customHeight="1">
      <c r="A570" s="4"/>
      <c r="B570" s="189"/>
      <c r="C570" s="4"/>
      <c r="D570" s="4"/>
      <c r="E570" s="4"/>
      <c r="F570" s="4"/>
      <c r="G570" s="4"/>
      <c r="H570" s="4"/>
      <c r="I570" s="190"/>
      <c r="J570" s="4"/>
      <c r="K570" s="4"/>
      <c r="L570" s="191"/>
      <c r="M570" s="192"/>
      <c r="N570" s="192"/>
      <c r="O570" s="192"/>
      <c r="P570" s="4"/>
      <c r="Q570" s="10"/>
      <c r="R570" s="10"/>
      <c r="S570" s="10"/>
      <c r="T570" s="10"/>
      <c r="U570" s="10"/>
      <c r="V570" s="10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</row>
    <row r="571" ht="20.25" customHeight="1">
      <c r="A571" s="4"/>
      <c r="B571" s="189"/>
      <c r="C571" s="4"/>
      <c r="D571" s="4"/>
      <c r="E571" s="4"/>
      <c r="F571" s="4"/>
      <c r="G571" s="4"/>
      <c r="H571" s="4"/>
      <c r="I571" s="190"/>
      <c r="J571" s="4"/>
      <c r="K571" s="4"/>
      <c r="L571" s="191"/>
      <c r="M571" s="192"/>
      <c r="N571" s="192"/>
      <c r="O571" s="192"/>
      <c r="P571" s="4"/>
      <c r="Q571" s="10"/>
      <c r="R571" s="10"/>
      <c r="S571" s="10"/>
      <c r="T571" s="10"/>
      <c r="U571" s="10"/>
      <c r="V571" s="10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</row>
    <row r="572" ht="20.25" customHeight="1">
      <c r="A572" s="4"/>
      <c r="B572" s="189"/>
      <c r="C572" s="4"/>
      <c r="D572" s="4"/>
      <c r="E572" s="4"/>
      <c r="F572" s="4"/>
      <c r="G572" s="4"/>
      <c r="H572" s="4"/>
      <c r="I572" s="190"/>
      <c r="J572" s="4"/>
      <c r="K572" s="4"/>
      <c r="L572" s="191"/>
      <c r="M572" s="192"/>
      <c r="N572" s="192"/>
      <c r="O572" s="192"/>
      <c r="P572" s="4"/>
      <c r="Q572" s="10"/>
      <c r="R572" s="10"/>
      <c r="S572" s="10"/>
      <c r="T572" s="10"/>
      <c r="U572" s="10"/>
      <c r="V572" s="10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</row>
    <row r="573" ht="20.25" customHeight="1">
      <c r="A573" s="4"/>
      <c r="B573" s="189"/>
      <c r="C573" s="4"/>
      <c r="D573" s="4"/>
      <c r="E573" s="4"/>
      <c r="F573" s="4"/>
      <c r="G573" s="4"/>
      <c r="H573" s="4"/>
      <c r="I573" s="190"/>
      <c r="J573" s="4"/>
      <c r="K573" s="4"/>
      <c r="L573" s="191"/>
      <c r="M573" s="192"/>
      <c r="N573" s="192"/>
      <c r="O573" s="192"/>
      <c r="P573" s="4"/>
      <c r="Q573" s="10"/>
      <c r="R573" s="10"/>
      <c r="S573" s="10"/>
      <c r="T573" s="10"/>
      <c r="U573" s="10"/>
      <c r="V573" s="10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</row>
    <row r="574" ht="20.25" customHeight="1">
      <c r="A574" s="4"/>
      <c r="B574" s="189"/>
      <c r="C574" s="4"/>
      <c r="D574" s="4"/>
      <c r="E574" s="4"/>
      <c r="F574" s="4"/>
      <c r="G574" s="4"/>
      <c r="H574" s="4"/>
      <c r="I574" s="190"/>
      <c r="J574" s="4"/>
      <c r="K574" s="4"/>
      <c r="L574" s="191"/>
      <c r="M574" s="192"/>
      <c r="N574" s="192"/>
      <c r="O574" s="192"/>
      <c r="P574" s="4"/>
      <c r="Q574" s="10"/>
      <c r="R574" s="10"/>
      <c r="S574" s="10"/>
      <c r="T574" s="10"/>
      <c r="U574" s="10"/>
      <c r="V574" s="10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</row>
    <row r="575" ht="20.25" customHeight="1">
      <c r="A575" s="4"/>
      <c r="B575" s="189"/>
      <c r="C575" s="4"/>
      <c r="D575" s="4"/>
      <c r="E575" s="4"/>
      <c r="F575" s="4"/>
      <c r="G575" s="4"/>
      <c r="H575" s="4"/>
      <c r="I575" s="190"/>
      <c r="J575" s="4"/>
      <c r="K575" s="4"/>
      <c r="L575" s="191"/>
      <c r="M575" s="192"/>
      <c r="N575" s="192"/>
      <c r="O575" s="192"/>
      <c r="P575" s="4"/>
      <c r="Q575" s="10"/>
      <c r="R575" s="10"/>
      <c r="S575" s="10"/>
      <c r="T575" s="10"/>
      <c r="U575" s="10"/>
      <c r="V575" s="10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</row>
    <row r="576" ht="20.25" customHeight="1">
      <c r="A576" s="4"/>
      <c r="B576" s="189"/>
      <c r="C576" s="4"/>
      <c r="D576" s="4"/>
      <c r="E576" s="4"/>
      <c r="F576" s="4"/>
      <c r="G576" s="4"/>
      <c r="H576" s="4"/>
      <c r="I576" s="190"/>
      <c r="J576" s="4"/>
      <c r="K576" s="4"/>
      <c r="L576" s="191"/>
      <c r="M576" s="192"/>
      <c r="N576" s="192"/>
      <c r="O576" s="192"/>
      <c r="P576" s="4"/>
      <c r="Q576" s="10"/>
      <c r="R576" s="10"/>
      <c r="S576" s="10"/>
      <c r="T576" s="10"/>
      <c r="U576" s="10"/>
      <c r="V576" s="10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</row>
    <row r="577" ht="20.25" customHeight="1">
      <c r="A577" s="4"/>
      <c r="B577" s="189"/>
      <c r="C577" s="4"/>
      <c r="D577" s="4"/>
      <c r="E577" s="4"/>
      <c r="F577" s="4"/>
      <c r="G577" s="4"/>
      <c r="H577" s="4"/>
      <c r="I577" s="190"/>
      <c r="J577" s="4"/>
      <c r="K577" s="4"/>
      <c r="L577" s="191"/>
      <c r="M577" s="192"/>
      <c r="N577" s="192"/>
      <c r="O577" s="192"/>
      <c r="P577" s="4"/>
      <c r="Q577" s="10"/>
      <c r="R577" s="10"/>
      <c r="S577" s="10"/>
      <c r="T577" s="10"/>
      <c r="U577" s="10"/>
      <c r="V577" s="10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</row>
    <row r="578" ht="20.25" customHeight="1">
      <c r="A578" s="4"/>
      <c r="B578" s="189"/>
      <c r="C578" s="4"/>
      <c r="D578" s="4"/>
      <c r="E578" s="4"/>
      <c r="F578" s="4"/>
      <c r="G578" s="4"/>
      <c r="H578" s="4"/>
      <c r="I578" s="190"/>
      <c r="J578" s="4"/>
      <c r="K578" s="4"/>
      <c r="L578" s="191"/>
      <c r="M578" s="192"/>
      <c r="N578" s="192"/>
      <c r="O578" s="192"/>
      <c r="P578" s="4"/>
      <c r="Q578" s="10"/>
      <c r="R578" s="10"/>
      <c r="S578" s="10"/>
      <c r="T578" s="10"/>
      <c r="U578" s="10"/>
      <c r="V578" s="10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</row>
    <row r="579" ht="20.25" customHeight="1">
      <c r="A579" s="4"/>
      <c r="B579" s="189"/>
      <c r="C579" s="4"/>
      <c r="D579" s="4"/>
      <c r="E579" s="4"/>
      <c r="F579" s="4"/>
      <c r="G579" s="4"/>
      <c r="H579" s="4"/>
      <c r="I579" s="190"/>
      <c r="J579" s="4"/>
      <c r="K579" s="4"/>
      <c r="L579" s="191"/>
      <c r="M579" s="192"/>
      <c r="N579" s="192"/>
      <c r="O579" s="192"/>
      <c r="P579" s="4"/>
      <c r="Q579" s="10"/>
      <c r="R579" s="10"/>
      <c r="S579" s="10"/>
      <c r="T579" s="10"/>
      <c r="U579" s="10"/>
      <c r="V579" s="10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</row>
    <row r="580" ht="20.25" customHeight="1">
      <c r="A580" s="4"/>
      <c r="B580" s="189"/>
      <c r="C580" s="4"/>
      <c r="D580" s="4"/>
      <c r="E580" s="4"/>
      <c r="F580" s="4"/>
      <c r="G580" s="4"/>
      <c r="H580" s="4"/>
      <c r="I580" s="190"/>
      <c r="J580" s="4"/>
      <c r="K580" s="4"/>
      <c r="L580" s="191"/>
      <c r="M580" s="192"/>
      <c r="N580" s="192"/>
      <c r="O580" s="192"/>
      <c r="P580" s="4"/>
      <c r="Q580" s="10"/>
      <c r="R580" s="10"/>
      <c r="S580" s="10"/>
      <c r="T580" s="10"/>
      <c r="U580" s="10"/>
      <c r="V580" s="10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</row>
    <row r="581" ht="20.25" customHeight="1">
      <c r="A581" s="4"/>
      <c r="B581" s="189"/>
      <c r="C581" s="4"/>
      <c r="D581" s="4"/>
      <c r="E581" s="4"/>
      <c r="F581" s="4"/>
      <c r="G581" s="4"/>
      <c r="H581" s="4"/>
      <c r="I581" s="190"/>
      <c r="J581" s="4"/>
      <c r="K581" s="4"/>
      <c r="L581" s="191"/>
      <c r="M581" s="192"/>
      <c r="N581" s="192"/>
      <c r="O581" s="192"/>
      <c r="P581" s="4"/>
      <c r="Q581" s="10"/>
      <c r="R581" s="10"/>
      <c r="S581" s="10"/>
      <c r="T581" s="10"/>
      <c r="U581" s="10"/>
      <c r="V581" s="10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</row>
    <row r="582" ht="20.25" customHeight="1">
      <c r="A582" s="4"/>
      <c r="B582" s="189"/>
      <c r="C582" s="4"/>
      <c r="D582" s="4"/>
      <c r="E582" s="4"/>
      <c r="F582" s="4"/>
      <c r="G582" s="4"/>
      <c r="H582" s="4"/>
      <c r="I582" s="190"/>
      <c r="J582" s="4"/>
      <c r="K582" s="4"/>
      <c r="L582" s="191"/>
      <c r="M582" s="192"/>
      <c r="N582" s="192"/>
      <c r="O582" s="192"/>
      <c r="P582" s="4"/>
      <c r="Q582" s="10"/>
      <c r="R582" s="10"/>
      <c r="S582" s="10"/>
      <c r="T582" s="10"/>
      <c r="U582" s="10"/>
      <c r="V582" s="10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</row>
    <row r="583" ht="20.25" customHeight="1">
      <c r="A583" s="4"/>
      <c r="B583" s="189"/>
      <c r="C583" s="4"/>
      <c r="D583" s="4"/>
      <c r="E583" s="4"/>
      <c r="F583" s="4"/>
      <c r="G583" s="4"/>
      <c r="H583" s="4"/>
      <c r="I583" s="190"/>
      <c r="J583" s="4"/>
      <c r="K583" s="4"/>
      <c r="L583" s="191"/>
      <c r="M583" s="192"/>
      <c r="N583" s="192"/>
      <c r="O583" s="192"/>
      <c r="P583" s="4"/>
      <c r="Q583" s="10"/>
      <c r="R583" s="10"/>
      <c r="S583" s="10"/>
      <c r="T583" s="10"/>
      <c r="U583" s="10"/>
      <c r="V583" s="10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</row>
    <row r="584" ht="20.25" customHeight="1">
      <c r="A584" s="4"/>
      <c r="B584" s="189"/>
      <c r="C584" s="4"/>
      <c r="D584" s="4"/>
      <c r="E584" s="4"/>
      <c r="F584" s="4"/>
      <c r="G584" s="4"/>
      <c r="H584" s="4"/>
      <c r="I584" s="190"/>
      <c r="J584" s="4"/>
      <c r="K584" s="4"/>
      <c r="L584" s="191"/>
      <c r="M584" s="192"/>
      <c r="N584" s="192"/>
      <c r="O584" s="192"/>
      <c r="P584" s="4"/>
      <c r="Q584" s="10"/>
      <c r="R584" s="10"/>
      <c r="S584" s="10"/>
      <c r="T584" s="10"/>
      <c r="U584" s="10"/>
      <c r="V584" s="10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</row>
    <row r="585" ht="20.25" customHeight="1">
      <c r="A585" s="4"/>
      <c r="B585" s="189"/>
      <c r="C585" s="4"/>
      <c r="D585" s="4"/>
      <c r="E585" s="4"/>
      <c r="F585" s="4"/>
      <c r="G585" s="4"/>
      <c r="H585" s="4"/>
      <c r="I585" s="190"/>
      <c r="J585" s="4"/>
      <c r="K585" s="4"/>
      <c r="L585" s="191"/>
      <c r="M585" s="192"/>
      <c r="N585" s="192"/>
      <c r="O585" s="192"/>
      <c r="P585" s="4"/>
      <c r="Q585" s="10"/>
      <c r="R585" s="10"/>
      <c r="S585" s="10"/>
      <c r="T585" s="10"/>
      <c r="U585" s="10"/>
      <c r="V585" s="10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</row>
    <row r="586" ht="20.25" customHeight="1">
      <c r="A586" s="4"/>
      <c r="B586" s="189"/>
      <c r="C586" s="4"/>
      <c r="D586" s="4"/>
      <c r="E586" s="4"/>
      <c r="F586" s="4"/>
      <c r="G586" s="4"/>
      <c r="H586" s="4"/>
      <c r="I586" s="190"/>
      <c r="J586" s="4"/>
      <c r="K586" s="4"/>
      <c r="L586" s="191"/>
      <c r="M586" s="192"/>
      <c r="N586" s="192"/>
      <c r="O586" s="192"/>
      <c r="P586" s="4"/>
      <c r="Q586" s="10"/>
      <c r="R586" s="10"/>
      <c r="S586" s="10"/>
      <c r="T586" s="10"/>
      <c r="U586" s="10"/>
      <c r="V586" s="10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</row>
    <row r="587" ht="20.25" customHeight="1">
      <c r="A587" s="4"/>
      <c r="B587" s="189"/>
      <c r="C587" s="4"/>
      <c r="D587" s="4"/>
      <c r="E587" s="4"/>
      <c r="F587" s="4"/>
      <c r="G587" s="4"/>
      <c r="H587" s="4"/>
      <c r="I587" s="190"/>
      <c r="J587" s="4"/>
      <c r="K587" s="4"/>
      <c r="L587" s="191"/>
      <c r="M587" s="192"/>
      <c r="N587" s="192"/>
      <c r="O587" s="192"/>
      <c r="P587" s="4"/>
      <c r="Q587" s="10"/>
      <c r="R587" s="10"/>
      <c r="S587" s="10"/>
      <c r="T587" s="10"/>
      <c r="U587" s="10"/>
      <c r="V587" s="10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</row>
    <row r="588" ht="20.25" customHeight="1">
      <c r="A588" s="4"/>
      <c r="B588" s="189"/>
      <c r="C588" s="4"/>
      <c r="D588" s="4"/>
      <c r="E588" s="4"/>
      <c r="F588" s="4"/>
      <c r="G588" s="4"/>
      <c r="H588" s="4"/>
      <c r="I588" s="190"/>
      <c r="J588" s="4"/>
      <c r="K588" s="4"/>
      <c r="L588" s="191"/>
      <c r="M588" s="192"/>
      <c r="N588" s="192"/>
      <c r="O588" s="192"/>
      <c r="P588" s="4"/>
      <c r="Q588" s="10"/>
      <c r="R588" s="10"/>
      <c r="S588" s="10"/>
      <c r="T588" s="10"/>
      <c r="U588" s="10"/>
      <c r="V588" s="10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</row>
    <row r="589" ht="20.25" customHeight="1">
      <c r="A589" s="4"/>
      <c r="B589" s="189"/>
      <c r="C589" s="4"/>
      <c r="D589" s="4"/>
      <c r="E589" s="4"/>
      <c r="F589" s="4"/>
      <c r="G589" s="4"/>
      <c r="H589" s="4"/>
      <c r="I589" s="190"/>
      <c r="J589" s="4"/>
      <c r="K589" s="4"/>
      <c r="L589" s="191"/>
      <c r="M589" s="192"/>
      <c r="N589" s="192"/>
      <c r="O589" s="192"/>
      <c r="P589" s="4"/>
      <c r="Q589" s="10"/>
      <c r="R589" s="10"/>
      <c r="S589" s="10"/>
      <c r="T589" s="10"/>
      <c r="U589" s="10"/>
      <c r="V589" s="10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</row>
    <row r="590" ht="20.25" customHeight="1">
      <c r="A590" s="4"/>
      <c r="B590" s="189"/>
      <c r="C590" s="4"/>
      <c r="D590" s="4"/>
      <c r="E590" s="4"/>
      <c r="F590" s="4"/>
      <c r="G590" s="4"/>
      <c r="H590" s="4"/>
      <c r="I590" s="190"/>
      <c r="J590" s="4"/>
      <c r="K590" s="4"/>
      <c r="L590" s="191"/>
      <c r="M590" s="192"/>
      <c r="N590" s="192"/>
      <c r="O590" s="192"/>
      <c r="P590" s="4"/>
      <c r="Q590" s="10"/>
      <c r="R590" s="10"/>
      <c r="S590" s="10"/>
      <c r="T590" s="10"/>
      <c r="U590" s="10"/>
      <c r="V590" s="10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</row>
    <row r="591" ht="20.25" customHeight="1">
      <c r="A591" s="4"/>
      <c r="B591" s="189"/>
      <c r="C591" s="4"/>
      <c r="D591" s="4"/>
      <c r="E591" s="4"/>
      <c r="F591" s="4"/>
      <c r="G591" s="4"/>
      <c r="H591" s="4"/>
      <c r="I591" s="190"/>
      <c r="J591" s="4"/>
      <c r="K591" s="4"/>
      <c r="L591" s="191"/>
      <c r="M591" s="192"/>
      <c r="N591" s="192"/>
      <c r="O591" s="192"/>
      <c r="P591" s="4"/>
      <c r="Q591" s="10"/>
      <c r="R591" s="10"/>
      <c r="S591" s="10"/>
      <c r="T591" s="10"/>
      <c r="U591" s="10"/>
      <c r="V591" s="10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</row>
    <row r="592" ht="20.25" customHeight="1">
      <c r="A592" s="4"/>
      <c r="B592" s="189"/>
      <c r="C592" s="4"/>
      <c r="D592" s="4"/>
      <c r="E592" s="4"/>
      <c r="F592" s="4"/>
      <c r="G592" s="4"/>
      <c r="H592" s="4"/>
      <c r="I592" s="190"/>
      <c r="J592" s="4"/>
      <c r="K592" s="4"/>
      <c r="L592" s="191"/>
      <c r="M592" s="192"/>
      <c r="N592" s="192"/>
      <c r="O592" s="192"/>
      <c r="P592" s="4"/>
      <c r="Q592" s="10"/>
      <c r="R592" s="10"/>
      <c r="S592" s="10"/>
      <c r="T592" s="10"/>
      <c r="U592" s="10"/>
      <c r="V592" s="10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</row>
    <row r="593" ht="20.25" customHeight="1">
      <c r="A593" s="4"/>
      <c r="B593" s="189"/>
      <c r="C593" s="4"/>
      <c r="D593" s="4"/>
      <c r="E593" s="4"/>
      <c r="F593" s="4"/>
      <c r="G593" s="4"/>
      <c r="H593" s="4"/>
      <c r="I593" s="190"/>
      <c r="J593" s="4"/>
      <c r="K593" s="4"/>
      <c r="L593" s="191"/>
      <c r="M593" s="192"/>
      <c r="N593" s="192"/>
      <c r="O593" s="192"/>
      <c r="P593" s="4"/>
      <c r="Q593" s="10"/>
      <c r="R593" s="10"/>
      <c r="S593" s="10"/>
      <c r="T593" s="10"/>
      <c r="U593" s="10"/>
      <c r="V593" s="10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</row>
    <row r="594" ht="20.25" customHeight="1">
      <c r="A594" s="4"/>
      <c r="B594" s="189"/>
      <c r="C594" s="4"/>
      <c r="D594" s="4"/>
      <c r="E594" s="4"/>
      <c r="F594" s="4"/>
      <c r="G594" s="4"/>
      <c r="H594" s="4"/>
      <c r="I594" s="190"/>
      <c r="J594" s="4"/>
      <c r="K594" s="4"/>
      <c r="L594" s="191"/>
      <c r="M594" s="192"/>
      <c r="N594" s="192"/>
      <c r="O594" s="192"/>
      <c r="P594" s="4"/>
      <c r="Q594" s="10"/>
      <c r="R594" s="10"/>
      <c r="S594" s="10"/>
      <c r="T594" s="10"/>
      <c r="U594" s="10"/>
      <c r="V594" s="10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</row>
    <row r="595" ht="20.25" customHeight="1">
      <c r="A595" s="4"/>
      <c r="B595" s="189"/>
      <c r="C595" s="4"/>
      <c r="D595" s="4"/>
      <c r="E595" s="4"/>
      <c r="F595" s="4"/>
      <c r="G595" s="4"/>
      <c r="H595" s="4"/>
      <c r="I595" s="190"/>
      <c r="J595" s="4"/>
      <c r="K595" s="4"/>
      <c r="L595" s="191"/>
      <c r="M595" s="192"/>
      <c r="N595" s="192"/>
      <c r="O595" s="192"/>
      <c r="P595" s="4"/>
      <c r="Q595" s="10"/>
      <c r="R595" s="10"/>
      <c r="S595" s="10"/>
      <c r="T595" s="10"/>
      <c r="U595" s="10"/>
      <c r="V595" s="10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</row>
    <row r="596" ht="20.25" customHeight="1">
      <c r="A596" s="4"/>
      <c r="B596" s="189"/>
      <c r="C596" s="4"/>
      <c r="D596" s="4"/>
      <c r="E596" s="4"/>
      <c r="F596" s="4"/>
      <c r="G596" s="4"/>
      <c r="H596" s="4"/>
      <c r="I596" s="190"/>
      <c r="J596" s="4"/>
      <c r="K596" s="4"/>
      <c r="L596" s="191"/>
      <c r="M596" s="192"/>
      <c r="N596" s="192"/>
      <c r="O596" s="192"/>
      <c r="P596" s="4"/>
      <c r="Q596" s="10"/>
      <c r="R596" s="10"/>
      <c r="S596" s="10"/>
      <c r="T596" s="10"/>
      <c r="U596" s="10"/>
      <c r="V596" s="10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</row>
    <row r="597" ht="20.25" customHeight="1">
      <c r="A597" s="4"/>
      <c r="B597" s="189"/>
      <c r="C597" s="4"/>
      <c r="D597" s="4"/>
      <c r="E597" s="4"/>
      <c r="F597" s="4"/>
      <c r="G597" s="4"/>
      <c r="H597" s="4"/>
      <c r="I597" s="190"/>
      <c r="J597" s="4"/>
      <c r="K597" s="4"/>
      <c r="L597" s="191"/>
      <c r="M597" s="192"/>
      <c r="N597" s="192"/>
      <c r="O597" s="192"/>
      <c r="P597" s="4"/>
      <c r="Q597" s="10"/>
      <c r="R597" s="10"/>
      <c r="S597" s="10"/>
      <c r="T597" s="10"/>
      <c r="U597" s="10"/>
      <c r="V597" s="10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</row>
    <row r="598" ht="20.25" customHeight="1">
      <c r="A598" s="4"/>
      <c r="B598" s="189"/>
      <c r="C598" s="4"/>
      <c r="D598" s="4"/>
      <c r="E598" s="4"/>
      <c r="F598" s="4"/>
      <c r="G598" s="4"/>
      <c r="H598" s="4"/>
      <c r="I598" s="190"/>
      <c r="J598" s="4"/>
      <c r="K598" s="4"/>
      <c r="L598" s="191"/>
      <c r="M598" s="192"/>
      <c r="N598" s="192"/>
      <c r="O598" s="192"/>
      <c r="P598" s="4"/>
      <c r="Q598" s="10"/>
      <c r="R598" s="10"/>
      <c r="S598" s="10"/>
      <c r="T598" s="10"/>
      <c r="U598" s="10"/>
      <c r="V598" s="10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</row>
    <row r="599" ht="20.25" customHeight="1">
      <c r="A599" s="4"/>
      <c r="B599" s="189"/>
      <c r="C599" s="4"/>
      <c r="D599" s="4"/>
      <c r="E599" s="4"/>
      <c r="F599" s="4"/>
      <c r="G599" s="4"/>
      <c r="H599" s="4"/>
      <c r="I599" s="190"/>
      <c r="J599" s="4"/>
      <c r="K599" s="4"/>
      <c r="L599" s="191"/>
      <c r="M599" s="192"/>
      <c r="N599" s="192"/>
      <c r="O599" s="192"/>
      <c r="P599" s="4"/>
      <c r="Q599" s="10"/>
      <c r="R599" s="10"/>
      <c r="S599" s="10"/>
      <c r="T599" s="10"/>
      <c r="U599" s="10"/>
      <c r="V599" s="10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</row>
    <row r="600" ht="20.25" customHeight="1">
      <c r="A600" s="4"/>
      <c r="B600" s="189"/>
      <c r="C600" s="4"/>
      <c r="D600" s="4"/>
      <c r="E600" s="4"/>
      <c r="F600" s="4"/>
      <c r="G600" s="4"/>
      <c r="H600" s="4"/>
      <c r="I600" s="190"/>
      <c r="J600" s="4"/>
      <c r="K600" s="4"/>
      <c r="L600" s="191"/>
      <c r="M600" s="192"/>
      <c r="N600" s="192"/>
      <c r="O600" s="192"/>
      <c r="P600" s="4"/>
      <c r="Q600" s="10"/>
      <c r="R600" s="10"/>
      <c r="S600" s="10"/>
      <c r="T600" s="10"/>
      <c r="U600" s="10"/>
      <c r="V600" s="10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</row>
    <row r="601" ht="20.25" customHeight="1">
      <c r="A601" s="4"/>
      <c r="B601" s="189"/>
      <c r="C601" s="4"/>
      <c r="D601" s="4"/>
      <c r="E601" s="4"/>
      <c r="F601" s="4"/>
      <c r="G601" s="4"/>
      <c r="H601" s="4"/>
      <c r="I601" s="190"/>
      <c r="J601" s="4"/>
      <c r="K601" s="4"/>
      <c r="L601" s="191"/>
      <c r="M601" s="192"/>
      <c r="N601" s="192"/>
      <c r="O601" s="192"/>
      <c r="P601" s="4"/>
      <c r="Q601" s="10"/>
      <c r="R601" s="10"/>
      <c r="S601" s="10"/>
      <c r="T601" s="10"/>
      <c r="U601" s="10"/>
      <c r="V601" s="10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</row>
    <row r="602" ht="20.25" customHeight="1">
      <c r="A602" s="4"/>
      <c r="B602" s="189"/>
      <c r="C602" s="4"/>
      <c r="D602" s="4"/>
      <c r="E602" s="4"/>
      <c r="F602" s="4"/>
      <c r="G602" s="4"/>
      <c r="H602" s="4"/>
      <c r="I602" s="190"/>
      <c r="J602" s="4"/>
      <c r="K602" s="4"/>
      <c r="L602" s="191"/>
      <c r="M602" s="192"/>
      <c r="N602" s="192"/>
      <c r="O602" s="192"/>
      <c r="P602" s="4"/>
      <c r="Q602" s="10"/>
      <c r="R602" s="10"/>
      <c r="S602" s="10"/>
      <c r="T602" s="10"/>
      <c r="U602" s="10"/>
      <c r="V602" s="10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</row>
    <row r="603" ht="20.25" customHeight="1">
      <c r="A603" s="4"/>
      <c r="B603" s="189"/>
      <c r="C603" s="4"/>
      <c r="D603" s="4"/>
      <c r="E603" s="4"/>
      <c r="F603" s="4"/>
      <c r="G603" s="4"/>
      <c r="H603" s="4"/>
      <c r="I603" s="190"/>
      <c r="J603" s="4"/>
      <c r="K603" s="4"/>
      <c r="L603" s="191"/>
      <c r="M603" s="192"/>
      <c r="N603" s="192"/>
      <c r="O603" s="192"/>
      <c r="P603" s="4"/>
      <c r="Q603" s="10"/>
      <c r="R603" s="10"/>
      <c r="S603" s="10"/>
      <c r="T603" s="10"/>
      <c r="U603" s="10"/>
      <c r="V603" s="10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</row>
    <row r="604" ht="20.25" customHeight="1">
      <c r="A604" s="4"/>
      <c r="B604" s="189"/>
      <c r="C604" s="4"/>
      <c r="D604" s="4"/>
      <c r="E604" s="4"/>
      <c r="F604" s="4"/>
      <c r="G604" s="4"/>
      <c r="H604" s="4"/>
      <c r="I604" s="190"/>
      <c r="J604" s="4"/>
      <c r="K604" s="4"/>
      <c r="L604" s="191"/>
      <c r="M604" s="192"/>
      <c r="N604" s="192"/>
      <c r="O604" s="192"/>
      <c r="P604" s="4"/>
      <c r="Q604" s="10"/>
      <c r="R604" s="10"/>
      <c r="S604" s="10"/>
      <c r="T604" s="10"/>
      <c r="U604" s="10"/>
      <c r="V604" s="10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</row>
    <row r="605" ht="20.25" customHeight="1">
      <c r="A605" s="4"/>
      <c r="B605" s="189"/>
      <c r="C605" s="4"/>
      <c r="D605" s="4"/>
      <c r="E605" s="4"/>
      <c r="F605" s="4"/>
      <c r="G605" s="4"/>
      <c r="H605" s="4"/>
      <c r="I605" s="190"/>
      <c r="J605" s="4"/>
      <c r="K605" s="4"/>
      <c r="L605" s="191"/>
      <c r="M605" s="192"/>
      <c r="N605" s="192"/>
      <c r="O605" s="192"/>
      <c r="P605" s="4"/>
      <c r="Q605" s="10"/>
      <c r="R605" s="10"/>
      <c r="S605" s="10"/>
      <c r="T605" s="10"/>
      <c r="U605" s="10"/>
      <c r="V605" s="10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</row>
    <row r="606" ht="20.25" customHeight="1">
      <c r="A606" s="4"/>
      <c r="B606" s="189"/>
      <c r="C606" s="4"/>
      <c r="D606" s="4"/>
      <c r="E606" s="4"/>
      <c r="F606" s="4"/>
      <c r="G606" s="4"/>
      <c r="H606" s="4"/>
      <c r="I606" s="190"/>
      <c r="J606" s="4"/>
      <c r="K606" s="4"/>
      <c r="L606" s="191"/>
      <c r="M606" s="192"/>
      <c r="N606" s="192"/>
      <c r="O606" s="192"/>
      <c r="P606" s="4"/>
      <c r="Q606" s="10"/>
      <c r="R606" s="10"/>
      <c r="S606" s="10"/>
      <c r="T606" s="10"/>
      <c r="U606" s="10"/>
      <c r="V606" s="10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</row>
    <row r="607" ht="20.25" customHeight="1">
      <c r="A607" s="4"/>
      <c r="B607" s="189"/>
      <c r="C607" s="4"/>
      <c r="D607" s="4"/>
      <c r="E607" s="4"/>
      <c r="F607" s="4"/>
      <c r="G607" s="4"/>
      <c r="H607" s="4"/>
      <c r="I607" s="190"/>
      <c r="J607" s="4"/>
      <c r="K607" s="4"/>
      <c r="L607" s="191"/>
      <c r="M607" s="192"/>
      <c r="N607" s="192"/>
      <c r="O607" s="192"/>
      <c r="P607" s="4"/>
      <c r="Q607" s="10"/>
      <c r="R607" s="10"/>
      <c r="S607" s="10"/>
      <c r="T607" s="10"/>
      <c r="U607" s="10"/>
      <c r="V607" s="10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</row>
    <row r="608" ht="20.25" customHeight="1">
      <c r="A608" s="4"/>
      <c r="B608" s="189"/>
      <c r="C608" s="4"/>
      <c r="D608" s="4"/>
      <c r="E608" s="4"/>
      <c r="F608" s="4"/>
      <c r="G608" s="4"/>
      <c r="H608" s="4"/>
      <c r="I608" s="190"/>
      <c r="J608" s="4"/>
      <c r="K608" s="4"/>
      <c r="L608" s="191"/>
      <c r="M608" s="192"/>
      <c r="N608" s="192"/>
      <c r="O608" s="192"/>
      <c r="P608" s="4"/>
      <c r="Q608" s="10"/>
      <c r="R608" s="10"/>
      <c r="S608" s="10"/>
      <c r="T608" s="10"/>
      <c r="U608" s="10"/>
      <c r="V608" s="10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</row>
    <row r="609" ht="20.25" customHeight="1">
      <c r="A609" s="4"/>
      <c r="B609" s="189"/>
      <c r="C609" s="4"/>
      <c r="D609" s="4"/>
      <c r="E609" s="4"/>
      <c r="F609" s="4"/>
      <c r="G609" s="4"/>
      <c r="H609" s="4"/>
      <c r="I609" s="190"/>
      <c r="J609" s="4"/>
      <c r="K609" s="4"/>
      <c r="L609" s="191"/>
      <c r="M609" s="192"/>
      <c r="N609" s="192"/>
      <c r="O609" s="192"/>
      <c r="P609" s="4"/>
      <c r="Q609" s="10"/>
      <c r="R609" s="10"/>
      <c r="S609" s="10"/>
      <c r="T609" s="10"/>
      <c r="U609" s="10"/>
      <c r="V609" s="10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</row>
    <row r="610" ht="20.25" customHeight="1">
      <c r="A610" s="4"/>
      <c r="B610" s="189"/>
      <c r="C610" s="4"/>
      <c r="D610" s="4"/>
      <c r="E610" s="4"/>
      <c r="F610" s="4"/>
      <c r="G610" s="4"/>
      <c r="H610" s="4"/>
      <c r="I610" s="190"/>
      <c r="J610" s="4"/>
      <c r="K610" s="4"/>
      <c r="L610" s="191"/>
      <c r="M610" s="192"/>
      <c r="N610" s="192"/>
      <c r="O610" s="192"/>
      <c r="P610" s="4"/>
      <c r="Q610" s="10"/>
      <c r="R610" s="10"/>
      <c r="S610" s="10"/>
      <c r="T610" s="10"/>
      <c r="U610" s="10"/>
      <c r="V610" s="10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</row>
    <row r="611" ht="20.25" customHeight="1">
      <c r="A611" s="4"/>
      <c r="B611" s="189"/>
      <c r="C611" s="4"/>
      <c r="D611" s="4"/>
      <c r="E611" s="4"/>
      <c r="F611" s="4"/>
      <c r="G611" s="4"/>
      <c r="H611" s="4"/>
      <c r="I611" s="190"/>
      <c r="J611" s="4"/>
      <c r="K611" s="4"/>
      <c r="L611" s="191"/>
      <c r="M611" s="192"/>
      <c r="N611" s="192"/>
      <c r="O611" s="192"/>
      <c r="P611" s="4"/>
      <c r="Q611" s="10"/>
      <c r="R611" s="10"/>
      <c r="S611" s="10"/>
      <c r="T611" s="10"/>
      <c r="U611" s="10"/>
      <c r="V611" s="10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</row>
    <row r="612" ht="20.25" customHeight="1">
      <c r="A612" s="4"/>
      <c r="B612" s="189"/>
      <c r="C612" s="4"/>
      <c r="D612" s="4"/>
      <c r="E612" s="4"/>
      <c r="F612" s="4"/>
      <c r="G612" s="4"/>
      <c r="H612" s="4"/>
      <c r="I612" s="190"/>
      <c r="J612" s="4"/>
      <c r="K612" s="4"/>
      <c r="L612" s="191"/>
      <c r="M612" s="192"/>
      <c r="N612" s="192"/>
      <c r="O612" s="192"/>
      <c r="P612" s="4"/>
      <c r="Q612" s="10"/>
      <c r="R612" s="10"/>
      <c r="S612" s="10"/>
      <c r="T612" s="10"/>
      <c r="U612" s="10"/>
      <c r="V612" s="10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</row>
    <row r="613" ht="20.25" customHeight="1">
      <c r="A613" s="4"/>
      <c r="B613" s="189"/>
      <c r="C613" s="4"/>
      <c r="D613" s="4"/>
      <c r="E613" s="4"/>
      <c r="F613" s="4"/>
      <c r="G613" s="4"/>
      <c r="H613" s="4"/>
      <c r="I613" s="190"/>
      <c r="J613" s="4"/>
      <c r="K613" s="4"/>
      <c r="L613" s="191"/>
      <c r="M613" s="192"/>
      <c r="N613" s="192"/>
      <c r="O613" s="192"/>
      <c r="P613" s="4"/>
      <c r="Q613" s="10"/>
      <c r="R613" s="10"/>
      <c r="S613" s="10"/>
      <c r="T613" s="10"/>
      <c r="U613" s="10"/>
      <c r="V613" s="10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</row>
    <row r="614" ht="20.25" customHeight="1">
      <c r="A614" s="4"/>
      <c r="B614" s="189"/>
      <c r="C614" s="4"/>
      <c r="D614" s="4"/>
      <c r="E614" s="4"/>
      <c r="F614" s="4"/>
      <c r="G614" s="4"/>
      <c r="H614" s="4"/>
      <c r="I614" s="190"/>
      <c r="J614" s="4"/>
      <c r="K614" s="4"/>
      <c r="L614" s="191"/>
      <c r="M614" s="192"/>
      <c r="N614" s="192"/>
      <c r="O614" s="192"/>
      <c r="P614" s="4"/>
      <c r="Q614" s="10"/>
      <c r="R614" s="10"/>
      <c r="S614" s="10"/>
      <c r="T614" s="10"/>
      <c r="U614" s="10"/>
      <c r="V614" s="10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</row>
    <row r="615" ht="20.25" customHeight="1">
      <c r="A615" s="4"/>
      <c r="B615" s="189"/>
      <c r="C615" s="4"/>
      <c r="D615" s="4"/>
      <c r="E615" s="4"/>
      <c r="F615" s="4"/>
      <c r="G615" s="4"/>
      <c r="H615" s="4"/>
      <c r="I615" s="190"/>
      <c r="J615" s="4"/>
      <c r="K615" s="4"/>
      <c r="L615" s="191"/>
      <c r="M615" s="192"/>
      <c r="N615" s="192"/>
      <c r="O615" s="192"/>
      <c r="P615" s="4"/>
      <c r="Q615" s="10"/>
      <c r="R615" s="10"/>
      <c r="S615" s="10"/>
      <c r="T615" s="10"/>
      <c r="U615" s="10"/>
      <c r="V615" s="10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</row>
    <row r="616" ht="20.25" customHeight="1">
      <c r="A616" s="4"/>
      <c r="B616" s="189"/>
      <c r="C616" s="4"/>
      <c r="D616" s="4"/>
      <c r="E616" s="4"/>
      <c r="F616" s="4"/>
      <c r="G616" s="4"/>
      <c r="H616" s="4"/>
      <c r="I616" s="190"/>
      <c r="J616" s="4"/>
      <c r="K616" s="4"/>
      <c r="L616" s="191"/>
      <c r="M616" s="192"/>
      <c r="N616" s="192"/>
      <c r="O616" s="192"/>
      <c r="P616" s="4"/>
      <c r="Q616" s="10"/>
      <c r="R616" s="10"/>
      <c r="S616" s="10"/>
      <c r="T616" s="10"/>
      <c r="U616" s="10"/>
      <c r="V616" s="10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</row>
    <row r="617" ht="20.25" customHeight="1">
      <c r="A617" s="4"/>
      <c r="B617" s="189"/>
      <c r="C617" s="4"/>
      <c r="D617" s="4"/>
      <c r="E617" s="4"/>
      <c r="F617" s="4"/>
      <c r="G617" s="4"/>
      <c r="H617" s="4"/>
      <c r="I617" s="190"/>
      <c r="J617" s="4"/>
      <c r="K617" s="4"/>
      <c r="L617" s="191"/>
      <c r="M617" s="192"/>
      <c r="N617" s="192"/>
      <c r="O617" s="192"/>
      <c r="P617" s="4"/>
      <c r="Q617" s="10"/>
      <c r="R617" s="10"/>
      <c r="S617" s="10"/>
      <c r="T617" s="10"/>
      <c r="U617" s="10"/>
      <c r="V617" s="10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</row>
    <row r="618" ht="20.25" customHeight="1">
      <c r="A618" s="4"/>
      <c r="B618" s="189"/>
      <c r="C618" s="4"/>
      <c r="D618" s="4"/>
      <c r="E618" s="4"/>
      <c r="F618" s="4"/>
      <c r="G618" s="4"/>
      <c r="H618" s="4"/>
      <c r="I618" s="190"/>
      <c r="J618" s="4"/>
      <c r="K618" s="4"/>
      <c r="L618" s="191"/>
      <c r="M618" s="192"/>
      <c r="N618" s="192"/>
      <c r="O618" s="192"/>
      <c r="P618" s="4"/>
      <c r="Q618" s="10"/>
      <c r="R618" s="10"/>
      <c r="S618" s="10"/>
      <c r="T618" s="10"/>
      <c r="U618" s="10"/>
      <c r="V618" s="10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</row>
    <row r="619" ht="20.25" customHeight="1">
      <c r="A619" s="4"/>
      <c r="B619" s="189"/>
      <c r="C619" s="4"/>
      <c r="D619" s="4"/>
      <c r="E619" s="4"/>
      <c r="F619" s="4"/>
      <c r="G619" s="4"/>
      <c r="H619" s="4"/>
      <c r="I619" s="190"/>
      <c r="J619" s="4"/>
      <c r="K619" s="4"/>
      <c r="L619" s="191"/>
      <c r="M619" s="192"/>
      <c r="N619" s="192"/>
      <c r="O619" s="192"/>
      <c r="P619" s="4"/>
      <c r="Q619" s="10"/>
      <c r="R619" s="10"/>
      <c r="S619" s="10"/>
      <c r="T619" s="10"/>
      <c r="U619" s="10"/>
      <c r="V619" s="10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</row>
    <row r="620" ht="20.25" customHeight="1">
      <c r="A620" s="4"/>
      <c r="B620" s="189"/>
      <c r="C620" s="4"/>
      <c r="D620" s="4"/>
      <c r="E620" s="4"/>
      <c r="F620" s="4"/>
      <c r="G620" s="4"/>
      <c r="H620" s="4"/>
      <c r="I620" s="190"/>
      <c r="J620" s="4"/>
      <c r="K620" s="4"/>
      <c r="L620" s="191"/>
      <c r="M620" s="192"/>
      <c r="N620" s="192"/>
      <c r="O620" s="192"/>
      <c r="P620" s="4"/>
      <c r="Q620" s="10"/>
      <c r="R620" s="10"/>
      <c r="S620" s="10"/>
      <c r="T620" s="10"/>
      <c r="U620" s="10"/>
      <c r="V620" s="10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</row>
    <row r="621" ht="20.25" customHeight="1">
      <c r="A621" s="4"/>
      <c r="B621" s="189"/>
      <c r="C621" s="4"/>
      <c r="D621" s="4"/>
      <c r="E621" s="4"/>
      <c r="F621" s="4"/>
      <c r="G621" s="4"/>
      <c r="H621" s="4"/>
      <c r="I621" s="190"/>
      <c r="J621" s="4"/>
      <c r="K621" s="4"/>
      <c r="L621" s="191"/>
      <c r="M621" s="192"/>
      <c r="N621" s="192"/>
      <c r="O621" s="192"/>
      <c r="P621" s="4"/>
      <c r="Q621" s="192"/>
      <c r="R621" s="192"/>
      <c r="S621" s="192"/>
      <c r="T621" s="192"/>
      <c r="U621" s="192"/>
      <c r="V621" s="192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</row>
    <row r="622" ht="20.25" customHeight="1">
      <c r="A622" s="4"/>
      <c r="B622" s="189"/>
      <c r="C622" s="4"/>
      <c r="D622" s="4"/>
      <c r="E622" s="4"/>
      <c r="F622" s="4"/>
      <c r="G622" s="4"/>
      <c r="H622" s="4"/>
      <c r="I622" s="190"/>
      <c r="J622" s="4"/>
      <c r="K622" s="4"/>
      <c r="L622" s="191"/>
      <c r="M622" s="192"/>
      <c r="N622" s="192"/>
      <c r="O622" s="192"/>
      <c r="P622" s="4"/>
      <c r="Q622" s="192"/>
      <c r="R622" s="192"/>
      <c r="S622" s="192"/>
      <c r="T622" s="192"/>
      <c r="U622" s="192"/>
      <c r="V622" s="192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</row>
    <row r="623" ht="20.25" customHeight="1">
      <c r="A623" s="192"/>
      <c r="B623" s="192"/>
      <c r="C623" s="192"/>
      <c r="D623" s="192"/>
      <c r="E623" s="192"/>
      <c r="F623" s="192"/>
      <c r="G623" s="192"/>
      <c r="H623" s="192"/>
      <c r="I623" s="192"/>
      <c r="J623" s="192"/>
      <c r="K623" s="192"/>
      <c r="L623" s="192"/>
      <c r="M623" s="192"/>
      <c r="N623" s="192"/>
      <c r="O623" s="192"/>
      <c r="P623" s="192"/>
      <c r="Q623" s="192"/>
      <c r="R623" s="192"/>
      <c r="S623" s="192"/>
      <c r="T623" s="192"/>
      <c r="U623" s="192"/>
      <c r="V623" s="192"/>
      <c r="W623" s="192"/>
      <c r="X623" s="192"/>
      <c r="Y623" s="192"/>
      <c r="Z623" s="192"/>
      <c r="AA623" s="192"/>
      <c r="AB623" s="192"/>
      <c r="AC623" s="192"/>
      <c r="AD623" s="192"/>
      <c r="AE623" s="192"/>
      <c r="AF623" s="192"/>
      <c r="AG623" s="192"/>
      <c r="AH623" s="192"/>
      <c r="AI623" s="192"/>
      <c r="AJ623" s="192"/>
      <c r="AK623" s="192"/>
      <c r="AL623" s="192"/>
      <c r="AM623" s="192"/>
      <c r="AN623" s="192"/>
      <c r="AO623" s="192"/>
      <c r="AP623" s="192"/>
      <c r="AQ623" s="192"/>
      <c r="AR623" s="192"/>
      <c r="AS623" s="192"/>
      <c r="AT623" s="192"/>
      <c r="AU623" s="192"/>
      <c r="AV623" s="192"/>
      <c r="AW623" s="192"/>
      <c r="AX623" s="192"/>
      <c r="AY623" s="192"/>
      <c r="AZ623" s="192"/>
      <c r="BA623" s="192"/>
      <c r="BB623" s="192"/>
      <c r="BC623" s="192"/>
      <c r="BD623" s="192"/>
      <c r="BE623" s="192"/>
      <c r="BF623" s="192"/>
      <c r="BG623" s="192"/>
      <c r="BH623" s="192"/>
      <c r="BI623" s="192"/>
      <c r="BJ623" s="192"/>
    </row>
    <row r="624" ht="20.25" customHeight="1">
      <c r="A624" s="192"/>
      <c r="B624" s="192"/>
      <c r="C624" s="192"/>
      <c r="D624" s="192"/>
      <c r="E624" s="192"/>
      <c r="F624" s="192"/>
      <c r="G624" s="192"/>
      <c r="H624" s="192"/>
      <c r="I624" s="192"/>
      <c r="J624" s="192"/>
      <c r="K624" s="192"/>
      <c r="L624" s="192"/>
      <c r="M624" s="192"/>
      <c r="N624" s="192"/>
      <c r="O624" s="192"/>
      <c r="P624" s="192"/>
      <c r="Q624" s="192"/>
      <c r="R624" s="192"/>
      <c r="S624" s="192"/>
      <c r="T624" s="192"/>
      <c r="U624" s="192"/>
      <c r="V624" s="192"/>
      <c r="W624" s="192"/>
      <c r="X624" s="192"/>
      <c r="Y624" s="192"/>
      <c r="Z624" s="192"/>
      <c r="AA624" s="192"/>
      <c r="AB624" s="192"/>
      <c r="AC624" s="192"/>
      <c r="AD624" s="192"/>
      <c r="AE624" s="192"/>
      <c r="AF624" s="192"/>
      <c r="AG624" s="192"/>
      <c r="AH624" s="192"/>
      <c r="AI624" s="192"/>
      <c r="AJ624" s="192"/>
      <c r="AK624" s="192"/>
      <c r="AL624" s="192"/>
      <c r="AM624" s="192"/>
      <c r="AN624" s="192"/>
      <c r="AO624" s="192"/>
      <c r="AP624" s="192"/>
      <c r="AQ624" s="192"/>
      <c r="AR624" s="192"/>
      <c r="AS624" s="192"/>
      <c r="AT624" s="192"/>
      <c r="AU624" s="192"/>
      <c r="AV624" s="192"/>
      <c r="AW624" s="192"/>
      <c r="AX624" s="192"/>
      <c r="AY624" s="192"/>
      <c r="AZ624" s="192"/>
      <c r="BA624" s="192"/>
      <c r="BB624" s="192"/>
      <c r="BC624" s="192"/>
      <c r="BD624" s="192"/>
      <c r="BE624" s="192"/>
      <c r="BF624" s="192"/>
      <c r="BG624" s="192"/>
      <c r="BH624" s="192"/>
      <c r="BI624" s="192"/>
      <c r="BJ624" s="192"/>
    </row>
    <row r="625" ht="20.25" customHeight="1">
      <c r="A625" s="192"/>
      <c r="B625" s="192"/>
      <c r="C625" s="192"/>
      <c r="D625" s="192"/>
      <c r="E625" s="192"/>
      <c r="F625" s="192"/>
      <c r="G625" s="192"/>
      <c r="H625" s="192"/>
      <c r="I625" s="192"/>
      <c r="J625" s="192"/>
      <c r="K625" s="192"/>
      <c r="L625" s="192"/>
      <c r="M625" s="192"/>
      <c r="N625" s="192"/>
      <c r="O625" s="192"/>
      <c r="P625" s="192"/>
      <c r="Q625" s="192"/>
      <c r="R625" s="192"/>
      <c r="S625" s="192"/>
      <c r="T625" s="192"/>
      <c r="U625" s="192"/>
      <c r="V625" s="192"/>
      <c r="W625" s="192"/>
      <c r="X625" s="192"/>
      <c r="Y625" s="192"/>
      <c r="Z625" s="192"/>
      <c r="AA625" s="192"/>
      <c r="AB625" s="192"/>
      <c r="AC625" s="192"/>
      <c r="AD625" s="192"/>
      <c r="AE625" s="192"/>
      <c r="AF625" s="192"/>
      <c r="AG625" s="192"/>
      <c r="AH625" s="192"/>
      <c r="AI625" s="192"/>
      <c r="AJ625" s="192"/>
      <c r="AK625" s="192"/>
      <c r="AL625" s="192"/>
      <c r="AM625" s="192"/>
      <c r="AN625" s="192"/>
      <c r="AO625" s="192"/>
      <c r="AP625" s="192"/>
      <c r="AQ625" s="192"/>
      <c r="AR625" s="192"/>
      <c r="AS625" s="192"/>
      <c r="AT625" s="192"/>
      <c r="AU625" s="192"/>
      <c r="AV625" s="192"/>
      <c r="AW625" s="192"/>
      <c r="AX625" s="192"/>
      <c r="AY625" s="192"/>
      <c r="AZ625" s="192"/>
      <c r="BA625" s="192"/>
      <c r="BB625" s="192"/>
      <c r="BC625" s="192"/>
      <c r="BD625" s="192"/>
      <c r="BE625" s="192"/>
      <c r="BF625" s="192"/>
      <c r="BG625" s="192"/>
      <c r="BH625" s="192"/>
      <c r="BI625" s="192"/>
      <c r="BJ625" s="192"/>
    </row>
    <row r="626" ht="20.25" customHeight="1">
      <c r="A626" s="192"/>
      <c r="B626" s="192"/>
      <c r="C626" s="192"/>
      <c r="D626" s="192"/>
      <c r="E626" s="192"/>
      <c r="F626" s="192"/>
      <c r="G626" s="192"/>
      <c r="H626" s="192"/>
      <c r="I626" s="192"/>
      <c r="J626" s="192"/>
      <c r="K626" s="192"/>
      <c r="L626" s="192"/>
      <c r="M626" s="192"/>
      <c r="N626" s="192"/>
      <c r="O626" s="192"/>
      <c r="P626" s="192"/>
      <c r="Q626" s="192"/>
      <c r="R626" s="192"/>
      <c r="S626" s="192"/>
      <c r="T626" s="192"/>
      <c r="U626" s="192"/>
      <c r="V626" s="192"/>
      <c r="W626" s="192"/>
      <c r="X626" s="192"/>
      <c r="Y626" s="192"/>
      <c r="Z626" s="192"/>
      <c r="AA626" s="192"/>
      <c r="AB626" s="192"/>
      <c r="AC626" s="192"/>
      <c r="AD626" s="192"/>
      <c r="AE626" s="192"/>
      <c r="AF626" s="192"/>
      <c r="AG626" s="192"/>
      <c r="AH626" s="192"/>
      <c r="AI626" s="192"/>
      <c r="AJ626" s="192"/>
      <c r="AK626" s="192"/>
      <c r="AL626" s="192"/>
      <c r="AM626" s="192"/>
      <c r="AN626" s="192"/>
      <c r="AO626" s="192"/>
      <c r="AP626" s="192"/>
      <c r="AQ626" s="192"/>
      <c r="AR626" s="192"/>
      <c r="AS626" s="192"/>
      <c r="AT626" s="192"/>
      <c r="AU626" s="192"/>
      <c r="AV626" s="192"/>
      <c r="AW626" s="192"/>
      <c r="AX626" s="192"/>
      <c r="AY626" s="192"/>
      <c r="AZ626" s="192"/>
      <c r="BA626" s="192"/>
      <c r="BB626" s="192"/>
      <c r="BC626" s="192"/>
      <c r="BD626" s="192"/>
      <c r="BE626" s="192"/>
      <c r="BF626" s="192"/>
      <c r="BG626" s="192"/>
      <c r="BH626" s="192"/>
      <c r="BI626" s="192"/>
      <c r="BJ626" s="192"/>
    </row>
    <row r="627" ht="20.25" customHeight="1">
      <c r="A627" s="192"/>
      <c r="B627" s="192"/>
      <c r="C627" s="192"/>
      <c r="D627" s="192"/>
      <c r="E627" s="192"/>
      <c r="F627" s="192"/>
      <c r="G627" s="192"/>
      <c r="H627" s="192"/>
      <c r="I627" s="192"/>
      <c r="J627" s="192"/>
      <c r="K627" s="192"/>
      <c r="L627" s="192"/>
      <c r="M627" s="192"/>
      <c r="N627" s="192"/>
      <c r="O627" s="192"/>
      <c r="P627" s="192"/>
      <c r="Q627" s="192"/>
      <c r="R627" s="192"/>
      <c r="S627" s="192"/>
      <c r="T627" s="192"/>
      <c r="U627" s="192"/>
      <c r="V627" s="192"/>
      <c r="W627" s="192"/>
      <c r="X627" s="192"/>
      <c r="Y627" s="192"/>
      <c r="Z627" s="192"/>
      <c r="AA627" s="192"/>
      <c r="AB627" s="192"/>
      <c r="AC627" s="192"/>
      <c r="AD627" s="192"/>
      <c r="AE627" s="192"/>
      <c r="AF627" s="192"/>
      <c r="AG627" s="192"/>
      <c r="AH627" s="192"/>
      <c r="AI627" s="192"/>
      <c r="AJ627" s="192"/>
      <c r="AK627" s="192"/>
      <c r="AL627" s="192"/>
      <c r="AM627" s="192"/>
      <c r="AN627" s="192"/>
      <c r="AO627" s="192"/>
      <c r="AP627" s="192"/>
      <c r="AQ627" s="192"/>
      <c r="AR627" s="192"/>
      <c r="AS627" s="192"/>
      <c r="AT627" s="192"/>
      <c r="AU627" s="192"/>
      <c r="AV627" s="192"/>
      <c r="AW627" s="192"/>
      <c r="AX627" s="192"/>
      <c r="AY627" s="192"/>
      <c r="AZ627" s="192"/>
      <c r="BA627" s="192"/>
      <c r="BB627" s="192"/>
      <c r="BC627" s="192"/>
      <c r="BD627" s="192"/>
      <c r="BE627" s="192"/>
      <c r="BF627" s="192"/>
      <c r="BG627" s="192"/>
      <c r="BH627" s="192"/>
      <c r="BI627" s="192"/>
      <c r="BJ627" s="192"/>
    </row>
    <row r="628" ht="20.25" customHeight="1">
      <c r="A628" s="192"/>
      <c r="B628" s="192"/>
      <c r="C628" s="192"/>
      <c r="D628" s="192"/>
      <c r="E628" s="192"/>
      <c r="F628" s="192"/>
      <c r="G628" s="192"/>
      <c r="H628" s="192"/>
      <c r="I628" s="192"/>
      <c r="J628" s="192"/>
      <c r="K628" s="192"/>
      <c r="L628" s="192"/>
      <c r="M628" s="192"/>
      <c r="N628" s="192"/>
      <c r="O628" s="192"/>
      <c r="P628" s="192"/>
      <c r="Q628" s="192"/>
      <c r="R628" s="192"/>
      <c r="S628" s="192"/>
      <c r="T628" s="192"/>
      <c r="U628" s="192"/>
      <c r="V628" s="192"/>
      <c r="W628" s="192"/>
      <c r="X628" s="192"/>
      <c r="Y628" s="192"/>
      <c r="Z628" s="192"/>
      <c r="AA628" s="192"/>
      <c r="AB628" s="192"/>
      <c r="AC628" s="192"/>
      <c r="AD628" s="192"/>
      <c r="AE628" s="192"/>
      <c r="AF628" s="192"/>
      <c r="AG628" s="192"/>
      <c r="AH628" s="192"/>
      <c r="AI628" s="192"/>
      <c r="AJ628" s="192"/>
      <c r="AK628" s="192"/>
      <c r="AL628" s="192"/>
      <c r="AM628" s="192"/>
      <c r="AN628" s="192"/>
      <c r="AO628" s="192"/>
      <c r="AP628" s="192"/>
      <c r="AQ628" s="192"/>
      <c r="AR628" s="192"/>
      <c r="AS628" s="192"/>
      <c r="AT628" s="192"/>
      <c r="AU628" s="192"/>
      <c r="AV628" s="192"/>
      <c r="AW628" s="192"/>
      <c r="AX628" s="192"/>
      <c r="AY628" s="192"/>
      <c r="AZ628" s="192"/>
      <c r="BA628" s="192"/>
      <c r="BB628" s="192"/>
      <c r="BC628" s="192"/>
      <c r="BD628" s="192"/>
      <c r="BE628" s="192"/>
      <c r="BF628" s="192"/>
      <c r="BG628" s="192"/>
      <c r="BH628" s="192"/>
      <c r="BI628" s="192"/>
      <c r="BJ628" s="192"/>
    </row>
    <row r="629" ht="20.25" customHeight="1">
      <c r="A629" s="192"/>
      <c r="B629" s="192"/>
      <c r="C629" s="192"/>
      <c r="D629" s="192"/>
      <c r="E629" s="192"/>
      <c r="F629" s="192"/>
      <c r="G629" s="192"/>
      <c r="H629" s="192"/>
      <c r="I629" s="192"/>
      <c r="J629" s="192"/>
      <c r="K629" s="192"/>
      <c r="L629" s="192"/>
      <c r="M629" s="192"/>
      <c r="N629" s="192"/>
      <c r="O629" s="192"/>
      <c r="P629" s="192"/>
      <c r="Q629" s="192"/>
      <c r="R629" s="192"/>
      <c r="S629" s="192"/>
      <c r="T629" s="192"/>
      <c r="U629" s="192"/>
      <c r="V629" s="192"/>
      <c r="W629" s="192"/>
      <c r="X629" s="192"/>
      <c r="Y629" s="192"/>
      <c r="Z629" s="192"/>
      <c r="AA629" s="192"/>
      <c r="AB629" s="192"/>
      <c r="AC629" s="192"/>
      <c r="AD629" s="192"/>
      <c r="AE629" s="192"/>
      <c r="AF629" s="192"/>
      <c r="AG629" s="192"/>
      <c r="AH629" s="192"/>
      <c r="AI629" s="192"/>
      <c r="AJ629" s="192"/>
      <c r="AK629" s="192"/>
      <c r="AL629" s="192"/>
      <c r="AM629" s="192"/>
      <c r="AN629" s="192"/>
      <c r="AO629" s="192"/>
      <c r="AP629" s="192"/>
      <c r="AQ629" s="192"/>
      <c r="AR629" s="192"/>
      <c r="AS629" s="192"/>
      <c r="AT629" s="192"/>
      <c r="AU629" s="192"/>
      <c r="AV629" s="192"/>
      <c r="AW629" s="192"/>
      <c r="AX629" s="192"/>
      <c r="AY629" s="192"/>
      <c r="AZ629" s="192"/>
      <c r="BA629" s="192"/>
      <c r="BB629" s="192"/>
      <c r="BC629" s="192"/>
      <c r="BD629" s="192"/>
      <c r="BE629" s="192"/>
      <c r="BF629" s="192"/>
      <c r="BG629" s="192"/>
      <c r="BH629" s="192"/>
      <c r="BI629" s="192"/>
      <c r="BJ629" s="192"/>
    </row>
    <row r="630" ht="20.25" customHeight="1">
      <c r="A630" s="192"/>
      <c r="B630" s="192"/>
      <c r="C630" s="192"/>
      <c r="D630" s="192"/>
      <c r="E630" s="192"/>
      <c r="F630" s="192"/>
      <c r="G630" s="192"/>
      <c r="H630" s="192"/>
      <c r="I630" s="192"/>
      <c r="J630" s="192"/>
      <c r="K630" s="192"/>
      <c r="L630" s="192"/>
      <c r="M630" s="192"/>
      <c r="N630" s="192"/>
      <c r="O630" s="192"/>
      <c r="P630" s="192"/>
      <c r="Q630" s="192"/>
      <c r="R630" s="192"/>
      <c r="S630" s="192"/>
      <c r="T630" s="192"/>
      <c r="U630" s="192"/>
      <c r="V630" s="192"/>
      <c r="W630" s="192"/>
      <c r="X630" s="192"/>
      <c r="Y630" s="192"/>
      <c r="Z630" s="192"/>
      <c r="AA630" s="192"/>
      <c r="AB630" s="192"/>
      <c r="AC630" s="192"/>
      <c r="AD630" s="192"/>
      <c r="AE630" s="192"/>
      <c r="AF630" s="192"/>
      <c r="AG630" s="192"/>
      <c r="AH630" s="192"/>
      <c r="AI630" s="192"/>
      <c r="AJ630" s="192"/>
      <c r="AK630" s="192"/>
      <c r="AL630" s="192"/>
      <c r="AM630" s="192"/>
      <c r="AN630" s="192"/>
      <c r="AO630" s="192"/>
      <c r="AP630" s="192"/>
      <c r="AQ630" s="192"/>
      <c r="AR630" s="192"/>
      <c r="AS630" s="192"/>
      <c r="AT630" s="192"/>
      <c r="AU630" s="192"/>
      <c r="AV630" s="192"/>
      <c r="AW630" s="192"/>
      <c r="AX630" s="192"/>
      <c r="AY630" s="192"/>
      <c r="AZ630" s="192"/>
      <c r="BA630" s="192"/>
      <c r="BB630" s="192"/>
      <c r="BC630" s="192"/>
      <c r="BD630" s="192"/>
      <c r="BE630" s="192"/>
      <c r="BF630" s="192"/>
      <c r="BG630" s="192"/>
      <c r="BH630" s="192"/>
      <c r="BI630" s="192"/>
      <c r="BJ630" s="192"/>
    </row>
    <row r="631" ht="20.25" customHeight="1">
      <c r="A631" s="192"/>
      <c r="B631" s="192"/>
      <c r="C631" s="192"/>
      <c r="D631" s="192"/>
      <c r="E631" s="192"/>
      <c r="F631" s="192"/>
      <c r="G631" s="192"/>
      <c r="H631" s="192"/>
      <c r="I631" s="192"/>
      <c r="J631" s="192"/>
      <c r="K631" s="192"/>
      <c r="L631" s="192"/>
      <c r="M631" s="192"/>
      <c r="N631" s="192"/>
      <c r="O631" s="192"/>
      <c r="P631" s="192"/>
      <c r="Q631" s="192"/>
      <c r="R631" s="192"/>
      <c r="S631" s="192"/>
      <c r="T631" s="192"/>
      <c r="U631" s="192"/>
      <c r="V631" s="192"/>
      <c r="W631" s="192"/>
      <c r="X631" s="192"/>
      <c r="Y631" s="192"/>
      <c r="Z631" s="192"/>
      <c r="AA631" s="192"/>
      <c r="AB631" s="192"/>
      <c r="AC631" s="192"/>
      <c r="AD631" s="192"/>
      <c r="AE631" s="192"/>
      <c r="AF631" s="192"/>
      <c r="AG631" s="192"/>
      <c r="AH631" s="192"/>
      <c r="AI631" s="192"/>
      <c r="AJ631" s="192"/>
      <c r="AK631" s="192"/>
      <c r="AL631" s="192"/>
      <c r="AM631" s="192"/>
      <c r="AN631" s="192"/>
      <c r="AO631" s="192"/>
      <c r="AP631" s="192"/>
      <c r="AQ631" s="192"/>
      <c r="AR631" s="192"/>
      <c r="AS631" s="192"/>
      <c r="AT631" s="192"/>
      <c r="AU631" s="192"/>
      <c r="AV631" s="192"/>
      <c r="AW631" s="192"/>
      <c r="AX631" s="192"/>
      <c r="AY631" s="192"/>
      <c r="AZ631" s="192"/>
      <c r="BA631" s="192"/>
      <c r="BB631" s="192"/>
      <c r="BC631" s="192"/>
      <c r="BD631" s="192"/>
      <c r="BE631" s="192"/>
      <c r="BF631" s="192"/>
      <c r="BG631" s="192"/>
      <c r="BH631" s="192"/>
      <c r="BI631" s="192"/>
      <c r="BJ631" s="192"/>
    </row>
    <row r="632" ht="20.25" customHeight="1">
      <c r="A632" s="192"/>
      <c r="B632" s="192"/>
      <c r="C632" s="192"/>
      <c r="D632" s="192"/>
      <c r="E632" s="192"/>
      <c r="F632" s="192"/>
      <c r="G632" s="192"/>
      <c r="H632" s="192"/>
      <c r="I632" s="192"/>
      <c r="J632" s="192"/>
      <c r="K632" s="192"/>
      <c r="L632" s="192"/>
      <c r="M632" s="192"/>
      <c r="N632" s="192"/>
      <c r="O632" s="192"/>
      <c r="P632" s="192"/>
      <c r="Q632" s="192"/>
      <c r="R632" s="192"/>
      <c r="S632" s="192"/>
      <c r="T632" s="192"/>
      <c r="U632" s="192"/>
      <c r="V632" s="192"/>
      <c r="W632" s="192"/>
      <c r="X632" s="192"/>
      <c r="Y632" s="192"/>
      <c r="Z632" s="192"/>
      <c r="AA632" s="192"/>
      <c r="AB632" s="192"/>
      <c r="AC632" s="192"/>
      <c r="AD632" s="192"/>
      <c r="AE632" s="192"/>
      <c r="AF632" s="192"/>
      <c r="AG632" s="192"/>
      <c r="AH632" s="192"/>
      <c r="AI632" s="192"/>
      <c r="AJ632" s="192"/>
      <c r="AK632" s="192"/>
      <c r="AL632" s="192"/>
      <c r="AM632" s="192"/>
      <c r="AN632" s="192"/>
      <c r="AO632" s="192"/>
      <c r="AP632" s="192"/>
      <c r="AQ632" s="192"/>
      <c r="AR632" s="192"/>
      <c r="AS632" s="192"/>
      <c r="AT632" s="192"/>
      <c r="AU632" s="192"/>
      <c r="AV632" s="192"/>
      <c r="AW632" s="192"/>
      <c r="AX632" s="192"/>
      <c r="AY632" s="192"/>
      <c r="AZ632" s="192"/>
      <c r="BA632" s="192"/>
      <c r="BB632" s="192"/>
      <c r="BC632" s="192"/>
      <c r="BD632" s="192"/>
      <c r="BE632" s="192"/>
      <c r="BF632" s="192"/>
      <c r="BG632" s="192"/>
      <c r="BH632" s="192"/>
      <c r="BI632" s="192"/>
      <c r="BJ632" s="192"/>
    </row>
    <row r="633" ht="20.25" customHeight="1">
      <c r="A633" s="192"/>
      <c r="B633" s="192"/>
      <c r="C633" s="192"/>
      <c r="D633" s="192"/>
      <c r="E633" s="192"/>
      <c r="F633" s="192"/>
      <c r="G633" s="192"/>
      <c r="H633" s="192"/>
      <c r="I633" s="192"/>
      <c r="J633" s="192"/>
      <c r="K633" s="192"/>
      <c r="L633" s="192"/>
      <c r="M633" s="192"/>
      <c r="N633" s="192"/>
      <c r="O633" s="192"/>
      <c r="P633" s="192"/>
      <c r="Q633" s="192"/>
      <c r="R633" s="192"/>
      <c r="S633" s="192"/>
      <c r="T633" s="192"/>
      <c r="U633" s="192"/>
      <c r="V633" s="192"/>
      <c r="W633" s="192"/>
      <c r="X633" s="192"/>
      <c r="Y633" s="192"/>
      <c r="Z633" s="192"/>
      <c r="AA633" s="192"/>
      <c r="AB633" s="192"/>
      <c r="AC633" s="192"/>
      <c r="AD633" s="192"/>
      <c r="AE633" s="192"/>
      <c r="AF633" s="192"/>
      <c r="AG633" s="192"/>
      <c r="AH633" s="192"/>
      <c r="AI633" s="192"/>
      <c r="AJ633" s="192"/>
      <c r="AK633" s="192"/>
      <c r="AL633" s="192"/>
      <c r="AM633" s="192"/>
      <c r="AN633" s="192"/>
      <c r="AO633" s="192"/>
      <c r="AP633" s="192"/>
      <c r="AQ633" s="192"/>
      <c r="AR633" s="192"/>
      <c r="AS633" s="192"/>
      <c r="AT633" s="192"/>
      <c r="AU633" s="192"/>
      <c r="AV633" s="192"/>
      <c r="AW633" s="192"/>
      <c r="AX633" s="192"/>
      <c r="AY633" s="192"/>
      <c r="AZ633" s="192"/>
      <c r="BA633" s="192"/>
      <c r="BB633" s="192"/>
      <c r="BC633" s="192"/>
      <c r="BD633" s="192"/>
      <c r="BE633" s="192"/>
      <c r="BF633" s="192"/>
      <c r="BG633" s="192"/>
      <c r="BH633" s="192"/>
      <c r="BI633" s="192"/>
      <c r="BJ633" s="192"/>
    </row>
    <row r="634" ht="20.25" customHeight="1">
      <c r="A634" s="192"/>
      <c r="B634" s="192"/>
      <c r="C634" s="192"/>
      <c r="D634" s="192"/>
      <c r="E634" s="192"/>
      <c r="F634" s="192"/>
      <c r="G634" s="192"/>
      <c r="H634" s="192"/>
      <c r="I634" s="192"/>
      <c r="J634" s="192"/>
      <c r="K634" s="192"/>
      <c r="L634" s="192"/>
      <c r="M634" s="192"/>
      <c r="N634" s="192"/>
      <c r="O634" s="192"/>
      <c r="P634" s="192"/>
      <c r="Q634" s="192"/>
      <c r="R634" s="192"/>
      <c r="S634" s="192"/>
      <c r="T634" s="192"/>
      <c r="U634" s="192"/>
      <c r="V634" s="192"/>
      <c r="W634" s="192"/>
      <c r="X634" s="192"/>
      <c r="Y634" s="192"/>
      <c r="Z634" s="192"/>
      <c r="AA634" s="192"/>
      <c r="AB634" s="192"/>
      <c r="AC634" s="192"/>
      <c r="AD634" s="192"/>
      <c r="AE634" s="192"/>
      <c r="AF634" s="192"/>
      <c r="AG634" s="192"/>
      <c r="AH634" s="192"/>
      <c r="AI634" s="192"/>
      <c r="AJ634" s="192"/>
      <c r="AK634" s="192"/>
      <c r="AL634" s="192"/>
      <c r="AM634" s="192"/>
      <c r="AN634" s="192"/>
      <c r="AO634" s="192"/>
      <c r="AP634" s="192"/>
      <c r="AQ634" s="192"/>
      <c r="AR634" s="192"/>
      <c r="AS634" s="192"/>
      <c r="AT634" s="192"/>
      <c r="AU634" s="192"/>
      <c r="AV634" s="192"/>
      <c r="AW634" s="192"/>
      <c r="AX634" s="192"/>
      <c r="AY634" s="192"/>
      <c r="AZ634" s="192"/>
      <c r="BA634" s="192"/>
      <c r="BB634" s="192"/>
      <c r="BC634" s="192"/>
      <c r="BD634" s="192"/>
      <c r="BE634" s="192"/>
      <c r="BF634" s="192"/>
      <c r="BG634" s="192"/>
      <c r="BH634" s="192"/>
      <c r="BI634" s="192"/>
      <c r="BJ634" s="192"/>
    </row>
    <row r="635" ht="20.25" customHeight="1">
      <c r="A635" s="192"/>
      <c r="B635" s="192"/>
      <c r="C635" s="192"/>
      <c r="D635" s="192"/>
      <c r="E635" s="192"/>
      <c r="F635" s="192"/>
      <c r="G635" s="192"/>
      <c r="H635" s="192"/>
      <c r="I635" s="192"/>
      <c r="J635" s="192"/>
      <c r="K635" s="192"/>
      <c r="L635" s="192"/>
      <c r="M635" s="192"/>
      <c r="N635" s="192"/>
      <c r="O635" s="192"/>
      <c r="P635" s="192"/>
      <c r="Q635" s="192"/>
      <c r="R635" s="192"/>
      <c r="S635" s="192"/>
      <c r="T635" s="192"/>
      <c r="U635" s="192"/>
      <c r="V635" s="192"/>
      <c r="W635" s="192"/>
      <c r="X635" s="192"/>
      <c r="Y635" s="192"/>
      <c r="Z635" s="192"/>
      <c r="AA635" s="192"/>
      <c r="AB635" s="192"/>
      <c r="AC635" s="192"/>
      <c r="AD635" s="192"/>
      <c r="AE635" s="192"/>
      <c r="AF635" s="192"/>
      <c r="AG635" s="192"/>
      <c r="AH635" s="192"/>
      <c r="AI635" s="192"/>
      <c r="AJ635" s="192"/>
      <c r="AK635" s="192"/>
      <c r="AL635" s="192"/>
      <c r="AM635" s="192"/>
      <c r="AN635" s="192"/>
      <c r="AO635" s="192"/>
      <c r="AP635" s="192"/>
      <c r="AQ635" s="192"/>
      <c r="AR635" s="192"/>
      <c r="AS635" s="192"/>
      <c r="AT635" s="192"/>
      <c r="AU635" s="192"/>
      <c r="AV635" s="192"/>
      <c r="AW635" s="192"/>
      <c r="AX635" s="192"/>
      <c r="AY635" s="192"/>
      <c r="AZ635" s="192"/>
      <c r="BA635" s="192"/>
      <c r="BB635" s="192"/>
      <c r="BC635" s="192"/>
      <c r="BD635" s="192"/>
      <c r="BE635" s="192"/>
      <c r="BF635" s="192"/>
      <c r="BG635" s="192"/>
      <c r="BH635" s="192"/>
      <c r="BI635" s="192"/>
      <c r="BJ635" s="192"/>
    </row>
    <row r="636" ht="20.25" customHeight="1">
      <c r="A636" s="192"/>
      <c r="B636" s="192"/>
      <c r="C636" s="192"/>
      <c r="D636" s="192"/>
      <c r="E636" s="192"/>
      <c r="F636" s="192"/>
      <c r="G636" s="192"/>
      <c r="H636" s="192"/>
      <c r="I636" s="192"/>
      <c r="J636" s="192"/>
      <c r="K636" s="192"/>
      <c r="L636" s="192"/>
      <c r="M636" s="192"/>
      <c r="N636" s="192"/>
      <c r="O636" s="192"/>
      <c r="P636" s="192"/>
      <c r="Q636" s="192"/>
      <c r="R636" s="192"/>
      <c r="S636" s="192"/>
      <c r="T636" s="192"/>
      <c r="U636" s="192"/>
      <c r="V636" s="192"/>
      <c r="W636" s="192"/>
      <c r="X636" s="192"/>
      <c r="Y636" s="192"/>
      <c r="Z636" s="192"/>
      <c r="AA636" s="192"/>
      <c r="AB636" s="192"/>
      <c r="AC636" s="192"/>
      <c r="AD636" s="192"/>
      <c r="AE636" s="192"/>
      <c r="AF636" s="192"/>
      <c r="AG636" s="192"/>
      <c r="AH636" s="192"/>
      <c r="AI636" s="192"/>
      <c r="AJ636" s="192"/>
      <c r="AK636" s="192"/>
      <c r="AL636" s="192"/>
      <c r="AM636" s="192"/>
      <c r="AN636" s="192"/>
      <c r="AO636" s="192"/>
      <c r="AP636" s="192"/>
      <c r="AQ636" s="192"/>
      <c r="AR636" s="192"/>
      <c r="AS636" s="192"/>
      <c r="AT636" s="192"/>
      <c r="AU636" s="192"/>
      <c r="AV636" s="192"/>
      <c r="AW636" s="192"/>
      <c r="AX636" s="192"/>
      <c r="AY636" s="192"/>
      <c r="AZ636" s="192"/>
      <c r="BA636" s="192"/>
      <c r="BB636" s="192"/>
      <c r="BC636" s="192"/>
      <c r="BD636" s="192"/>
      <c r="BE636" s="192"/>
      <c r="BF636" s="192"/>
      <c r="BG636" s="192"/>
      <c r="BH636" s="192"/>
      <c r="BI636" s="192"/>
      <c r="BJ636" s="192"/>
    </row>
    <row r="637" ht="20.25" customHeight="1">
      <c r="A637" s="192"/>
      <c r="B637" s="192"/>
      <c r="C637" s="192"/>
      <c r="D637" s="192"/>
      <c r="E637" s="192"/>
      <c r="F637" s="192"/>
      <c r="G637" s="192"/>
      <c r="H637" s="192"/>
      <c r="I637" s="192"/>
      <c r="J637" s="192"/>
      <c r="K637" s="192"/>
      <c r="L637" s="192"/>
      <c r="M637" s="192"/>
      <c r="N637" s="192"/>
      <c r="O637" s="192"/>
      <c r="P637" s="192"/>
      <c r="Q637" s="192"/>
      <c r="R637" s="192"/>
      <c r="S637" s="192"/>
      <c r="T637" s="192"/>
      <c r="U637" s="192"/>
      <c r="V637" s="192"/>
      <c r="W637" s="192"/>
      <c r="X637" s="192"/>
      <c r="Y637" s="192"/>
      <c r="Z637" s="192"/>
      <c r="AA637" s="192"/>
      <c r="AB637" s="192"/>
      <c r="AC637" s="192"/>
      <c r="AD637" s="192"/>
      <c r="AE637" s="192"/>
      <c r="AF637" s="192"/>
      <c r="AG637" s="192"/>
      <c r="AH637" s="192"/>
      <c r="AI637" s="192"/>
      <c r="AJ637" s="192"/>
      <c r="AK637" s="192"/>
      <c r="AL637" s="192"/>
      <c r="AM637" s="192"/>
      <c r="AN637" s="192"/>
      <c r="AO637" s="192"/>
      <c r="AP637" s="192"/>
      <c r="AQ637" s="192"/>
      <c r="AR637" s="192"/>
      <c r="AS637" s="192"/>
      <c r="AT637" s="192"/>
      <c r="AU637" s="192"/>
      <c r="AV637" s="192"/>
      <c r="AW637" s="192"/>
      <c r="AX637" s="192"/>
      <c r="AY637" s="192"/>
      <c r="AZ637" s="192"/>
      <c r="BA637" s="192"/>
      <c r="BB637" s="192"/>
      <c r="BC637" s="192"/>
      <c r="BD637" s="192"/>
      <c r="BE637" s="192"/>
      <c r="BF637" s="192"/>
      <c r="BG637" s="192"/>
      <c r="BH637" s="192"/>
      <c r="BI637" s="192"/>
      <c r="BJ637" s="192"/>
    </row>
    <row r="638" ht="20.25" customHeight="1">
      <c r="A638" s="192"/>
      <c r="B638" s="192"/>
      <c r="C638" s="192"/>
      <c r="D638" s="192"/>
      <c r="E638" s="192"/>
      <c r="F638" s="192"/>
      <c r="G638" s="192"/>
      <c r="H638" s="192"/>
      <c r="I638" s="192"/>
      <c r="J638" s="192"/>
      <c r="K638" s="192"/>
      <c r="L638" s="192"/>
      <c r="M638" s="192"/>
      <c r="N638" s="192"/>
      <c r="O638" s="192"/>
      <c r="P638" s="192"/>
      <c r="Q638" s="192"/>
      <c r="R638" s="192"/>
      <c r="S638" s="192"/>
      <c r="T638" s="192"/>
      <c r="U638" s="192"/>
      <c r="V638" s="192"/>
      <c r="W638" s="192"/>
      <c r="X638" s="192"/>
      <c r="Y638" s="192"/>
      <c r="Z638" s="192"/>
      <c r="AA638" s="192"/>
      <c r="AB638" s="192"/>
      <c r="AC638" s="192"/>
      <c r="AD638" s="192"/>
      <c r="AE638" s="192"/>
      <c r="AF638" s="192"/>
      <c r="AG638" s="192"/>
      <c r="AH638" s="192"/>
      <c r="AI638" s="192"/>
      <c r="AJ638" s="192"/>
      <c r="AK638" s="192"/>
      <c r="AL638" s="192"/>
      <c r="AM638" s="192"/>
      <c r="AN638" s="192"/>
      <c r="AO638" s="192"/>
      <c r="AP638" s="192"/>
      <c r="AQ638" s="192"/>
      <c r="AR638" s="192"/>
      <c r="AS638" s="192"/>
      <c r="AT638" s="192"/>
      <c r="AU638" s="192"/>
      <c r="AV638" s="192"/>
      <c r="AW638" s="192"/>
      <c r="AX638" s="192"/>
      <c r="AY638" s="192"/>
      <c r="AZ638" s="192"/>
      <c r="BA638" s="192"/>
      <c r="BB638" s="192"/>
      <c r="BC638" s="192"/>
      <c r="BD638" s="192"/>
      <c r="BE638" s="192"/>
      <c r="BF638" s="192"/>
      <c r="BG638" s="192"/>
      <c r="BH638" s="192"/>
      <c r="BI638" s="192"/>
      <c r="BJ638" s="192"/>
    </row>
    <row r="639" ht="20.25" customHeight="1">
      <c r="A639" s="192"/>
      <c r="B639" s="192"/>
      <c r="C639" s="192"/>
      <c r="D639" s="192"/>
      <c r="E639" s="192"/>
      <c r="F639" s="192"/>
      <c r="G639" s="192"/>
      <c r="H639" s="192"/>
      <c r="I639" s="192"/>
      <c r="J639" s="192"/>
      <c r="K639" s="192"/>
      <c r="L639" s="192"/>
      <c r="M639" s="192"/>
      <c r="N639" s="192"/>
      <c r="O639" s="192"/>
      <c r="P639" s="192"/>
      <c r="Q639" s="192"/>
      <c r="R639" s="192"/>
      <c r="S639" s="192"/>
      <c r="T639" s="192"/>
      <c r="U639" s="192"/>
      <c r="V639" s="192"/>
      <c r="W639" s="192"/>
      <c r="X639" s="192"/>
      <c r="Y639" s="192"/>
      <c r="Z639" s="192"/>
      <c r="AA639" s="192"/>
      <c r="AB639" s="192"/>
      <c r="AC639" s="192"/>
      <c r="AD639" s="192"/>
      <c r="AE639" s="192"/>
      <c r="AF639" s="192"/>
      <c r="AG639" s="192"/>
      <c r="AH639" s="192"/>
      <c r="AI639" s="192"/>
      <c r="AJ639" s="192"/>
      <c r="AK639" s="192"/>
      <c r="AL639" s="192"/>
      <c r="AM639" s="192"/>
      <c r="AN639" s="192"/>
      <c r="AO639" s="192"/>
      <c r="AP639" s="192"/>
      <c r="AQ639" s="192"/>
      <c r="AR639" s="192"/>
      <c r="AS639" s="192"/>
      <c r="AT639" s="192"/>
      <c r="AU639" s="192"/>
      <c r="AV639" s="192"/>
      <c r="AW639" s="192"/>
      <c r="AX639" s="192"/>
      <c r="AY639" s="192"/>
      <c r="AZ639" s="192"/>
      <c r="BA639" s="192"/>
      <c r="BB639" s="192"/>
      <c r="BC639" s="192"/>
      <c r="BD639" s="192"/>
      <c r="BE639" s="192"/>
      <c r="BF639" s="192"/>
      <c r="BG639" s="192"/>
      <c r="BH639" s="192"/>
      <c r="BI639" s="192"/>
      <c r="BJ639" s="192"/>
    </row>
    <row r="640" ht="20.25" customHeight="1">
      <c r="A640" s="192"/>
      <c r="B640" s="192"/>
      <c r="C640" s="192"/>
      <c r="D640" s="192"/>
      <c r="E640" s="192"/>
      <c r="F640" s="192"/>
      <c r="G640" s="192"/>
      <c r="H640" s="192"/>
      <c r="I640" s="192"/>
      <c r="J640" s="192"/>
      <c r="K640" s="192"/>
      <c r="L640" s="192"/>
      <c r="M640" s="192"/>
      <c r="N640" s="192"/>
      <c r="O640" s="192"/>
      <c r="P640" s="192"/>
      <c r="Q640" s="192"/>
      <c r="R640" s="192"/>
      <c r="S640" s="192"/>
      <c r="T640" s="192"/>
      <c r="U640" s="192"/>
      <c r="V640" s="192"/>
      <c r="W640" s="192"/>
      <c r="X640" s="192"/>
      <c r="Y640" s="192"/>
      <c r="Z640" s="192"/>
      <c r="AA640" s="192"/>
      <c r="AB640" s="192"/>
      <c r="AC640" s="192"/>
      <c r="AD640" s="192"/>
      <c r="AE640" s="192"/>
      <c r="AF640" s="192"/>
      <c r="AG640" s="192"/>
      <c r="AH640" s="192"/>
      <c r="AI640" s="192"/>
      <c r="AJ640" s="192"/>
      <c r="AK640" s="192"/>
      <c r="AL640" s="192"/>
      <c r="AM640" s="192"/>
      <c r="AN640" s="192"/>
      <c r="AO640" s="192"/>
      <c r="AP640" s="192"/>
      <c r="AQ640" s="192"/>
      <c r="AR640" s="192"/>
      <c r="AS640" s="192"/>
      <c r="AT640" s="192"/>
      <c r="AU640" s="192"/>
      <c r="AV640" s="192"/>
      <c r="AW640" s="192"/>
      <c r="AX640" s="192"/>
      <c r="AY640" s="192"/>
      <c r="AZ640" s="192"/>
      <c r="BA640" s="192"/>
      <c r="BB640" s="192"/>
      <c r="BC640" s="192"/>
      <c r="BD640" s="192"/>
      <c r="BE640" s="192"/>
      <c r="BF640" s="192"/>
      <c r="BG640" s="192"/>
      <c r="BH640" s="192"/>
      <c r="BI640" s="192"/>
      <c r="BJ640" s="192"/>
    </row>
    <row r="641" ht="20.25" customHeight="1">
      <c r="A641" s="192"/>
      <c r="B641" s="192"/>
      <c r="C641" s="192"/>
      <c r="D641" s="192"/>
      <c r="E641" s="192"/>
      <c r="F641" s="192"/>
      <c r="G641" s="192"/>
      <c r="H641" s="192"/>
      <c r="I641" s="192"/>
      <c r="J641" s="192"/>
      <c r="K641" s="192"/>
      <c r="L641" s="192"/>
      <c r="M641" s="192"/>
      <c r="N641" s="192"/>
      <c r="O641" s="192"/>
      <c r="P641" s="192"/>
      <c r="Q641" s="192"/>
      <c r="R641" s="192"/>
      <c r="S641" s="192"/>
      <c r="T641" s="192"/>
      <c r="U641" s="192"/>
      <c r="V641" s="192"/>
      <c r="W641" s="192"/>
      <c r="X641" s="192"/>
      <c r="Y641" s="192"/>
      <c r="Z641" s="192"/>
      <c r="AA641" s="192"/>
      <c r="AB641" s="192"/>
      <c r="AC641" s="192"/>
      <c r="AD641" s="192"/>
      <c r="AE641" s="192"/>
      <c r="AF641" s="192"/>
      <c r="AG641" s="192"/>
      <c r="AH641" s="192"/>
      <c r="AI641" s="192"/>
      <c r="AJ641" s="192"/>
      <c r="AK641" s="192"/>
      <c r="AL641" s="192"/>
      <c r="AM641" s="192"/>
      <c r="AN641" s="192"/>
      <c r="AO641" s="192"/>
      <c r="AP641" s="192"/>
      <c r="AQ641" s="192"/>
      <c r="AR641" s="192"/>
      <c r="AS641" s="192"/>
      <c r="AT641" s="192"/>
      <c r="AU641" s="192"/>
      <c r="AV641" s="192"/>
      <c r="AW641" s="192"/>
      <c r="AX641" s="192"/>
      <c r="AY641" s="192"/>
      <c r="AZ641" s="192"/>
      <c r="BA641" s="192"/>
      <c r="BB641" s="192"/>
      <c r="BC641" s="192"/>
      <c r="BD641" s="192"/>
      <c r="BE641" s="192"/>
      <c r="BF641" s="192"/>
      <c r="BG641" s="192"/>
      <c r="BH641" s="192"/>
      <c r="BI641" s="192"/>
      <c r="BJ641" s="192"/>
    </row>
    <row r="642" ht="20.25" customHeight="1">
      <c r="A642" s="192"/>
      <c r="B642" s="192"/>
      <c r="C642" s="192"/>
      <c r="D642" s="192"/>
      <c r="E642" s="192"/>
      <c r="F642" s="192"/>
      <c r="G642" s="192"/>
      <c r="H642" s="192"/>
      <c r="I642" s="192"/>
      <c r="J642" s="192"/>
      <c r="K642" s="192"/>
      <c r="L642" s="192"/>
      <c r="M642" s="192"/>
      <c r="N642" s="192"/>
      <c r="O642" s="192"/>
      <c r="P642" s="192"/>
      <c r="Q642" s="192"/>
      <c r="R642" s="192"/>
      <c r="S642" s="192"/>
      <c r="T642" s="192"/>
      <c r="U642" s="192"/>
      <c r="V642" s="192"/>
      <c r="W642" s="192"/>
      <c r="X642" s="192"/>
      <c r="Y642" s="192"/>
      <c r="Z642" s="192"/>
      <c r="AA642" s="192"/>
      <c r="AB642" s="192"/>
      <c r="AC642" s="192"/>
      <c r="AD642" s="192"/>
      <c r="AE642" s="192"/>
      <c r="AF642" s="192"/>
      <c r="AG642" s="192"/>
      <c r="AH642" s="192"/>
      <c r="AI642" s="192"/>
      <c r="AJ642" s="192"/>
      <c r="AK642" s="192"/>
      <c r="AL642" s="192"/>
      <c r="AM642" s="192"/>
      <c r="AN642" s="192"/>
      <c r="AO642" s="192"/>
      <c r="AP642" s="192"/>
      <c r="AQ642" s="192"/>
      <c r="AR642" s="192"/>
      <c r="AS642" s="192"/>
      <c r="AT642" s="192"/>
      <c r="AU642" s="192"/>
      <c r="AV642" s="192"/>
      <c r="AW642" s="192"/>
      <c r="AX642" s="192"/>
      <c r="AY642" s="192"/>
      <c r="AZ642" s="192"/>
      <c r="BA642" s="192"/>
      <c r="BB642" s="192"/>
      <c r="BC642" s="192"/>
      <c r="BD642" s="192"/>
      <c r="BE642" s="192"/>
      <c r="BF642" s="192"/>
      <c r="BG642" s="192"/>
      <c r="BH642" s="192"/>
      <c r="BI642" s="192"/>
      <c r="BJ642" s="192"/>
    </row>
    <row r="643" ht="20.25" customHeight="1">
      <c r="A643" s="192"/>
      <c r="B643" s="192"/>
      <c r="C643" s="192"/>
      <c r="D643" s="192"/>
      <c r="E643" s="192"/>
      <c r="F643" s="192"/>
      <c r="G643" s="192"/>
      <c r="H643" s="192"/>
      <c r="I643" s="192"/>
      <c r="J643" s="192"/>
      <c r="K643" s="192"/>
      <c r="L643" s="192"/>
      <c r="M643" s="192"/>
      <c r="N643" s="192"/>
      <c r="O643" s="192"/>
      <c r="P643" s="192"/>
      <c r="Q643" s="192"/>
      <c r="R643" s="192"/>
      <c r="S643" s="192"/>
      <c r="T643" s="192"/>
      <c r="U643" s="192"/>
      <c r="V643" s="192"/>
      <c r="W643" s="192"/>
      <c r="X643" s="192"/>
      <c r="Y643" s="192"/>
      <c r="Z643" s="192"/>
      <c r="AA643" s="192"/>
      <c r="AB643" s="192"/>
      <c r="AC643" s="192"/>
      <c r="AD643" s="192"/>
      <c r="AE643" s="192"/>
      <c r="AF643" s="192"/>
      <c r="AG643" s="192"/>
      <c r="AH643" s="192"/>
      <c r="AI643" s="192"/>
      <c r="AJ643" s="192"/>
      <c r="AK643" s="192"/>
      <c r="AL643" s="192"/>
      <c r="AM643" s="192"/>
      <c r="AN643" s="192"/>
      <c r="AO643" s="192"/>
      <c r="AP643" s="192"/>
      <c r="AQ643" s="192"/>
      <c r="AR643" s="192"/>
      <c r="AS643" s="192"/>
      <c r="AT643" s="192"/>
      <c r="AU643" s="192"/>
      <c r="AV643" s="192"/>
      <c r="AW643" s="192"/>
      <c r="AX643" s="192"/>
      <c r="AY643" s="192"/>
      <c r="AZ643" s="192"/>
      <c r="BA643" s="192"/>
      <c r="BB643" s="192"/>
      <c r="BC643" s="192"/>
      <c r="BD643" s="192"/>
      <c r="BE643" s="192"/>
      <c r="BF643" s="192"/>
      <c r="BG643" s="192"/>
      <c r="BH643" s="192"/>
      <c r="BI643" s="192"/>
      <c r="BJ643" s="192"/>
    </row>
    <row r="644" ht="20.25" customHeight="1">
      <c r="A644" s="192"/>
      <c r="B644" s="192"/>
      <c r="C644" s="192"/>
      <c r="D644" s="192"/>
      <c r="E644" s="192"/>
      <c r="F644" s="192"/>
      <c r="G644" s="192"/>
      <c r="H644" s="192"/>
      <c r="I644" s="192"/>
      <c r="J644" s="192"/>
      <c r="K644" s="192"/>
      <c r="L644" s="192"/>
      <c r="M644" s="192"/>
      <c r="N644" s="192"/>
      <c r="O644" s="192"/>
      <c r="P644" s="192"/>
      <c r="Q644" s="192"/>
      <c r="R644" s="192"/>
      <c r="S644" s="192"/>
      <c r="T644" s="192"/>
      <c r="U644" s="192"/>
      <c r="V644" s="192"/>
      <c r="W644" s="192"/>
      <c r="X644" s="192"/>
      <c r="Y644" s="192"/>
      <c r="Z644" s="192"/>
      <c r="AA644" s="192"/>
      <c r="AB644" s="192"/>
      <c r="AC644" s="192"/>
      <c r="AD644" s="192"/>
      <c r="AE644" s="192"/>
      <c r="AF644" s="192"/>
      <c r="AG644" s="192"/>
      <c r="AH644" s="192"/>
      <c r="AI644" s="192"/>
      <c r="AJ644" s="192"/>
      <c r="AK644" s="192"/>
      <c r="AL644" s="192"/>
      <c r="AM644" s="192"/>
      <c r="AN644" s="192"/>
      <c r="AO644" s="192"/>
      <c r="AP644" s="192"/>
      <c r="AQ644" s="192"/>
      <c r="AR644" s="192"/>
      <c r="AS644" s="192"/>
      <c r="AT644" s="192"/>
      <c r="AU644" s="192"/>
      <c r="AV644" s="192"/>
      <c r="AW644" s="192"/>
      <c r="AX644" s="192"/>
      <c r="AY644" s="192"/>
      <c r="AZ644" s="192"/>
      <c r="BA644" s="192"/>
      <c r="BB644" s="192"/>
      <c r="BC644" s="192"/>
      <c r="BD644" s="192"/>
      <c r="BE644" s="192"/>
      <c r="BF644" s="192"/>
      <c r="BG644" s="192"/>
      <c r="BH644" s="192"/>
      <c r="BI644" s="192"/>
      <c r="BJ644" s="192"/>
    </row>
    <row r="645" ht="20.25" customHeight="1">
      <c r="A645" s="192"/>
      <c r="B645" s="192"/>
      <c r="C645" s="192"/>
      <c r="D645" s="192"/>
      <c r="E645" s="192"/>
      <c r="F645" s="192"/>
      <c r="G645" s="192"/>
      <c r="H645" s="192"/>
      <c r="I645" s="192"/>
      <c r="J645" s="192"/>
      <c r="K645" s="192"/>
      <c r="L645" s="192"/>
      <c r="M645" s="192"/>
      <c r="N645" s="192"/>
      <c r="O645" s="192"/>
      <c r="P645" s="192"/>
      <c r="Q645" s="192"/>
      <c r="R645" s="192"/>
      <c r="S645" s="192"/>
      <c r="T645" s="192"/>
      <c r="U645" s="192"/>
      <c r="V645" s="192"/>
      <c r="W645" s="192"/>
      <c r="X645" s="192"/>
      <c r="Y645" s="192"/>
      <c r="Z645" s="192"/>
      <c r="AA645" s="192"/>
      <c r="AB645" s="192"/>
      <c r="AC645" s="192"/>
      <c r="AD645" s="192"/>
      <c r="AE645" s="192"/>
      <c r="AF645" s="192"/>
      <c r="AG645" s="192"/>
      <c r="AH645" s="192"/>
      <c r="AI645" s="192"/>
      <c r="AJ645" s="192"/>
      <c r="AK645" s="192"/>
      <c r="AL645" s="192"/>
      <c r="AM645" s="192"/>
      <c r="AN645" s="192"/>
      <c r="AO645" s="192"/>
      <c r="AP645" s="192"/>
      <c r="AQ645" s="192"/>
      <c r="AR645" s="192"/>
      <c r="AS645" s="192"/>
      <c r="AT645" s="192"/>
      <c r="AU645" s="192"/>
      <c r="AV645" s="192"/>
      <c r="AW645" s="192"/>
      <c r="AX645" s="192"/>
      <c r="AY645" s="192"/>
      <c r="AZ645" s="192"/>
      <c r="BA645" s="192"/>
      <c r="BB645" s="192"/>
      <c r="BC645" s="192"/>
      <c r="BD645" s="192"/>
      <c r="BE645" s="192"/>
      <c r="BF645" s="192"/>
      <c r="BG645" s="192"/>
      <c r="BH645" s="192"/>
      <c r="BI645" s="192"/>
      <c r="BJ645" s="192"/>
    </row>
    <row r="646" ht="20.25" customHeight="1">
      <c r="A646" s="192"/>
      <c r="B646" s="192"/>
      <c r="C646" s="192"/>
      <c r="D646" s="192"/>
      <c r="E646" s="192"/>
      <c r="F646" s="192"/>
      <c r="G646" s="192"/>
      <c r="H646" s="192"/>
      <c r="I646" s="192"/>
      <c r="J646" s="192"/>
      <c r="K646" s="192"/>
      <c r="L646" s="192"/>
      <c r="M646" s="192"/>
      <c r="N646" s="192"/>
      <c r="O646" s="192"/>
      <c r="P646" s="192"/>
      <c r="Q646" s="192"/>
      <c r="R646" s="192"/>
      <c r="S646" s="192"/>
      <c r="T646" s="192"/>
      <c r="U646" s="192"/>
      <c r="V646" s="192"/>
      <c r="W646" s="192"/>
      <c r="X646" s="192"/>
      <c r="Y646" s="192"/>
      <c r="Z646" s="192"/>
      <c r="AA646" s="192"/>
      <c r="AB646" s="192"/>
      <c r="AC646" s="192"/>
      <c r="AD646" s="192"/>
      <c r="AE646" s="192"/>
      <c r="AF646" s="192"/>
      <c r="AG646" s="192"/>
      <c r="AH646" s="192"/>
      <c r="AI646" s="192"/>
      <c r="AJ646" s="192"/>
      <c r="AK646" s="192"/>
      <c r="AL646" s="192"/>
      <c r="AM646" s="192"/>
      <c r="AN646" s="192"/>
      <c r="AO646" s="192"/>
      <c r="AP646" s="192"/>
      <c r="AQ646" s="192"/>
      <c r="AR646" s="192"/>
      <c r="AS646" s="192"/>
      <c r="AT646" s="192"/>
      <c r="AU646" s="192"/>
      <c r="AV646" s="192"/>
      <c r="AW646" s="192"/>
      <c r="AX646" s="192"/>
      <c r="AY646" s="192"/>
      <c r="AZ646" s="192"/>
      <c r="BA646" s="192"/>
      <c r="BB646" s="192"/>
      <c r="BC646" s="192"/>
      <c r="BD646" s="192"/>
      <c r="BE646" s="192"/>
      <c r="BF646" s="192"/>
      <c r="BG646" s="192"/>
      <c r="BH646" s="192"/>
      <c r="BI646" s="192"/>
      <c r="BJ646" s="192"/>
    </row>
    <row r="647" ht="20.25" customHeight="1">
      <c r="A647" s="192"/>
      <c r="B647" s="192"/>
      <c r="C647" s="192"/>
      <c r="D647" s="192"/>
      <c r="E647" s="192"/>
      <c r="F647" s="192"/>
      <c r="G647" s="192"/>
      <c r="H647" s="192"/>
      <c r="I647" s="192"/>
      <c r="J647" s="192"/>
      <c r="K647" s="192"/>
      <c r="L647" s="192"/>
      <c r="M647" s="192"/>
      <c r="N647" s="192"/>
      <c r="O647" s="192"/>
      <c r="P647" s="192"/>
      <c r="Q647" s="192"/>
      <c r="R647" s="192"/>
      <c r="S647" s="192"/>
      <c r="T647" s="192"/>
      <c r="U647" s="192"/>
      <c r="V647" s="192"/>
      <c r="W647" s="192"/>
      <c r="X647" s="192"/>
      <c r="Y647" s="192"/>
      <c r="Z647" s="192"/>
      <c r="AA647" s="192"/>
      <c r="AB647" s="192"/>
      <c r="AC647" s="192"/>
      <c r="AD647" s="192"/>
      <c r="AE647" s="192"/>
      <c r="AF647" s="192"/>
      <c r="AG647" s="192"/>
      <c r="AH647" s="192"/>
      <c r="AI647" s="192"/>
      <c r="AJ647" s="192"/>
      <c r="AK647" s="192"/>
      <c r="AL647" s="192"/>
      <c r="AM647" s="192"/>
      <c r="AN647" s="192"/>
      <c r="AO647" s="192"/>
      <c r="AP647" s="192"/>
      <c r="AQ647" s="192"/>
      <c r="AR647" s="192"/>
      <c r="AS647" s="192"/>
      <c r="AT647" s="192"/>
      <c r="AU647" s="192"/>
      <c r="AV647" s="192"/>
      <c r="AW647" s="192"/>
      <c r="AX647" s="192"/>
      <c r="AY647" s="192"/>
      <c r="AZ647" s="192"/>
      <c r="BA647" s="192"/>
      <c r="BB647" s="192"/>
      <c r="BC647" s="192"/>
      <c r="BD647" s="192"/>
      <c r="BE647" s="192"/>
      <c r="BF647" s="192"/>
      <c r="BG647" s="192"/>
      <c r="BH647" s="192"/>
      <c r="BI647" s="192"/>
      <c r="BJ647" s="192"/>
    </row>
    <row r="648" ht="20.25" customHeight="1">
      <c r="A648" s="192"/>
      <c r="B648" s="192"/>
      <c r="C648" s="192"/>
      <c r="D648" s="192"/>
      <c r="E648" s="192"/>
      <c r="F648" s="192"/>
      <c r="G648" s="192"/>
      <c r="H648" s="192"/>
      <c r="I648" s="192"/>
      <c r="J648" s="192"/>
      <c r="K648" s="192"/>
      <c r="L648" s="192"/>
      <c r="M648" s="192"/>
      <c r="N648" s="192"/>
      <c r="O648" s="192"/>
      <c r="P648" s="192"/>
      <c r="Q648" s="192"/>
      <c r="R648" s="192"/>
      <c r="S648" s="192"/>
      <c r="T648" s="192"/>
      <c r="U648" s="192"/>
      <c r="V648" s="192"/>
      <c r="W648" s="192"/>
      <c r="X648" s="192"/>
      <c r="Y648" s="192"/>
      <c r="Z648" s="192"/>
      <c r="AA648" s="192"/>
      <c r="AB648" s="192"/>
      <c r="AC648" s="192"/>
      <c r="AD648" s="192"/>
      <c r="AE648" s="192"/>
      <c r="AF648" s="192"/>
      <c r="AG648" s="192"/>
      <c r="AH648" s="192"/>
      <c r="AI648" s="192"/>
      <c r="AJ648" s="192"/>
      <c r="AK648" s="192"/>
      <c r="AL648" s="192"/>
      <c r="AM648" s="192"/>
      <c r="AN648" s="192"/>
      <c r="AO648" s="192"/>
      <c r="AP648" s="192"/>
      <c r="AQ648" s="192"/>
      <c r="AR648" s="192"/>
      <c r="AS648" s="192"/>
      <c r="AT648" s="192"/>
      <c r="AU648" s="192"/>
      <c r="AV648" s="192"/>
      <c r="AW648" s="192"/>
      <c r="AX648" s="192"/>
      <c r="AY648" s="192"/>
      <c r="AZ648" s="192"/>
      <c r="BA648" s="192"/>
      <c r="BB648" s="192"/>
      <c r="BC648" s="192"/>
      <c r="BD648" s="192"/>
      <c r="BE648" s="192"/>
      <c r="BF648" s="192"/>
      <c r="BG648" s="192"/>
      <c r="BH648" s="192"/>
      <c r="BI648" s="192"/>
      <c r="BJ648" s="192"/>
    </row>
    <row r="649" ht="20.25" customHeight="1">
      <c r="A649" s="192"/>
      <c r="B649" s="192"/>
      <c r="C649" s="192"/>
      <c r="D649" s="192"/>
      <c r="E649" s="192"/>
      <c r="F649" s="192"/>
      <c r="G649" s="192"/>
      <c r="H649" s="192"/>
      <c r="I649" s="192"/>
      <c r="J649" s="192"/>
      <c r="K649" s="192"/>
      <c r="L649" s="192"/>
      <c r="M649" s="192"/>
      <c r="N649" s="192"/>
      <c r="O649" s="192"/>
      <c r="P649" s="192"/>
      <c r="Q649" s="192"/>
      <c r="R649" s="192"/>
      <c r="S649" s="192"/>
      <c r="T649" s="192"/>
      <c r="U649" s="192"/>
      <c r="V649" s="192"/>
      <c r="W649" s="192"/>
      <c r="X649" s="192"/>
      <c r="Y649" s="192"/>
      <c r="Z649" s="192"/>
      <c r="AA649" s="192"/>
      <c r="AB649" s="192"/>
      <c r="AC649" s="192"/>
      <c r="AD649" s="192"/>
      <c r="AE649" s="192"/>
      <c r="AF649" s="192"/>
      <c r="AG649" s="192"/>
      <c r="AH649" s="192"/>
      <c r="AI649" s="192"/>
      <c r="AJ649" s="192"/>
      <c r="AK649" s="192"/>
      <c r="AL649" s="192"/>
      <c r="AM649" s="192"/>
      <c r="AN649" s="192"/>
      <c r="AO649" s="192"/>
      <c r="AP649" s="192"/>
      <c r="AQ649" s="192"/>
      <c r="AR649" s="192"/>
      <c r="AS649" s="192"/>
      <c r="AT649" s="192"/>
      <c r="AU649" s="192"/>
      <c r="AV649" s="192"/>
      <c r="AW649" s="192"/>
      <c r="AX649" s="192"/>
      <c r="AY649" s="192"/>
      <c r="AZ649" s="192"/>
      <c r="BA649" s="192"/>
      <c r="BB649" s="192"/>
      <c r="BC649" s="192"/>
      <c r="BD649" s="192"/>
      <c r="BE649" s="192"/>
      <c r="BF649" s="192"/>
      <c r="BG649" s="192"/>
      <c r="BH649" s="192"/>
      <c r="BI649" s="192"/>
      <c r="BJ649" s="192"/>
    </row>
    <row r="650" ht="20.25" customHeight="1">
      <c r="A650" s="192"/>
      <c r="B650" s="192"/>
      <c r="C650" s="192"/>
      <c r="D650" s="192"/>
      <c r="E650" s="192"/>
      <c r="F650" s="192"/>
      <c r="G650" s="192"/>
      <c r="H650" s="192"/>
      <c r="I650" s="192"/>
      <c r="J650" s="192"/>
      <c r="K650" s="192"/>
      <c r="L650" s="192"/>
      <c r="M650" s="192"/>
      <c r="N650" s="192"/>
      <c r="O650" s="192"/>
      <c r="P650" s="192"/>
      <c r="Q650" s="192"/>
      <c r="R650" s="192"/>
      <c r="S650" s="192"/>
      <c r="T650" s="192"/>
      <c r="U650" s="192"/>
      <c r="V650" s="192"/>
      <c r="W650" s="192"/>
      <c r="X650" s="192"/>
      <c r="Y650" s="192"/>
      <c r="Z650" s="192"/>
      <c r="AA650" s="192"/>
      <c r="AB650" s="192"/>
      <c r="AC650" s="192"/>
      <c r="AD650" s="192"/>
      <c r="AE650" s="192"/>
      <c r="AF650" s="192"/>
      <c r="AG650" s="192"/>
      <c r="AH650" s="192"/>
      <c r="AI650" s="192"/>
      <c r="AJ650" s="192"/>
      <c r="AK650" s="192"/>
      <c r="AL650" s="192"/>
      <c r="AM650" s="192"/>
      <c r="AN650" s="192"/>
      <c r="AO650" s="192"/>
      <c r="AP650" s="192"/>
      <c r="AQ650" s="192"/>
      <c r="AR650" s="192"/>
      <c r="AS650" s="192"/>
      <c r="AT650" s="192"/>
      <c r="AU650" s="192"/>
      <c r="AV650" s="192"/>
      <c r="AW650" s="192"/>
      <c r="AX650" s="192"/>
      <c r="AY650" s="192"/>
      <c r="AZ650" s="192"/>
      <c r="BA650" s="192"/>
      <c r="BB650" s="192"/>
      <c r="BC650" s="192"/>
      <c r="BD650" s="192"/>
      <c r="BE650" s="192"/>
      <c r="BF650" s="192"/>
      <c r="BG650" s="192"/>
      <c r="BH650" s="192"/>
      <c r="BI650" s="192"/>
      <c r="BJ650" s="192"/>
    </row>
    <row r="651" ht="20.25" customHeight="1">
      <c r="A651" s="192"/>
      <c r="B651" s="192"/>
      <c r="C651" s="192"/>
      <c r="D651" s="192"/>
      <c r="E651" s="192"/>
      <c r="F651" s="192"/>
      <c r="G651" s="192"/>
      <c r="H651" s="192"/>
      <c r="I651" s="192"/>
      <c r="J651" s="192"/>
      <c r="K651" s="192"/>
      <c r="L651" s="192"/>
      <c r="M651" s="192"/>
      <c r="N651" s="192"/>
      <c r="O651" s="192"/>
      <c r="P651" s="192"/>
      <c r="Q651" s="192"/>
      <c r="R651" s="192"/>
      <c r="S651" s="192"/>
      <c r="T651" s="192"/>
      <c r="U651" s="192"/>
      <c r="V651" s="192"/>
      <c r="W651" s="192"/>
      <c r="X651" s="192"/>
      <c r="Y651" s="192"/>
      <c r="Z651" s="192"/>
      <c r="AA651" s="192"/>
      <c r="AB651" s="192"/>
      <c r="AC651" s="192"/>
      <c r="AD651" s="192"/>
      <c r="AE651" s="192"/>
      <c r="AF651" s="192"/>
      <c r="AG651" s="192"/>
      <c r="AH651" s="192"/>
      <c r="AI651" s="192"/>
      <c r="AJ651" s="192"/>
      <c r="AK651" s="192"/>
      <c r="AL651" s="192"/>
      <c r="AM651" s="192"/>
      <c r="AN651" s="192"/>
      <c r="AO651" s="192"/>
      <c r="AP651" s="192"/>
      <c r="AQ651" s="192"/>
      <c r="AR651" s="192"/>
      <c r="AS651" s="192"/>
      <c r="AT651" s="192"/>
      <c r="AU651" s="192"/>
      <c r="AV651" s="192"/>
      <c r="AW651" s="192"/>
      <c r="AX651" s="192"/>
      <c r="AY651" s="192"/>
      <c r="AZ651" s="192"/>
      <c r="BA651" s="192"/>
      <c r="BB651" s="192"/>
      <c r="BC651" s="192"/>
      <c r="BD651" s="192"/>
      <c r="BE651" s="192"/>
      <c r="BF651" s="192"/>
      <c r="BG651" s="192"/>
      <c r="BH651" s="192"/>
      <c r="BI651" s="192"/>
      <c r="BJ651" s="192"/>
    </row>
    <row r="652" ht="20.25" customHeight="1">
      <c r="A652" s="192"/>
      <c r="B652" s="192"/>
      <c r="C652" s="192"/>
      <c r="D652" s="192"/>
      <c r="E652" s="192"/>
      <c r="F652" s="192"/>
      <c r="G652" s="192"/>
      <c r="H652" s="192"/>
      <c r="I652" s="192"/>
      <c r="J652" s="192"/>
      <c r="K652" s="192"/>
      <c r="L652" s="192"/>
      <c r="M652" s="192"/>
      <c r="N652" s="192"/>
      <c r="O652" s="192"/>
      <c r="P652" s="192"/>
      <c r="Q652" s="192"/>
      <c r="R652" s="192"/>
      <c r="S652" s="192"/>
      <c r="T652" s="192"/>
      <c r="U652" s="192"/>
      <c r="V652" s="192"/>
      <c r="W652" s="192"/>
      <c r="X652" s="192"/>
      <c r="Y652" s="192"/>
      <c r="Z652" s="192"/>
      <c r="AA652" s="192"/>
      <c r="AB652" s="192"/>
      <c r="AC652" s="192"/>
      <c r="AD652" s="192"/>
      <c r="AE652" s="192"/>
      <c r="AF652" s="192"/>
      <c r="AG652" s="192"/>
      <c r="AH652" s="192"/>
      <c r="AI652" s="192"/>
      <c r="AJ652" s="192"/>
      <c r="AK652" s="192"/>
      <c r="AL652" s="192"/>
      <c r="AM652" s="192"/>
      <c r="AN652" s="192"/>
      <c r="AO652" s="192"/>
      <c r="AP652" s="192"/>
      <c r="AQ652" s="192"/>
      <c r="AR652" s="192"/>
      <c r="AS652" s="192"/>
      <c r="AT652" s="192"/>
      <c r="AU652" s="192"/>
      <c r="AV652" s="192"/>
      <c r="AW652" s="192"/>
      <c r="AX652" s="192"/>
      <c r="AY652" s="192"/>
      <c r="AZ652" s="192"/>
      <c r="BA652" s="192"/>
      <c r="BB652" s="192"/>
      <c r="BC652" s="192"/>
      <c r="BD652" s="192"/>
      <c r="BE652" s="192"/>
      <c r="BF652" s="192"/>
      <c r="BG652" s="192"/>
      <c r="BH652" s="192"/>
      <c r="BI652" s="192"/>
      <c r="BJ652" s="192"/>
    </row>
    <row r="653" ht="20.25" customHeight="1">
      <c r="A653" s="192"/>
      <c r="B653" s="192"/>
      <c r="C653" s="192"/>
      <c r="D653" s="192"/>
      <c r="E653" s="192"/>
      <c r="F653" s="192"/>
      <c r="G653" s="192"/>
      <c r="H653" s="192"/>
      <c r="I653" s="192"/>
      <c r="J653" s="192"/>
      <c r="K653" s="192"/>
      <c r="L653" s="192"/>
      <c r="M653" s="192"/>
      <c r="N653" s="192"/>
      <c r="O653" s="192"/>
      <c r="P653" s="192"/>
      <c r="Q653" s="10"/>
      <c r="R653" s="10"/>
      <c r="S653" s="10"/>
      <c r="T653" s="10"/>
      <c r="U653" s="10"/>
      <c r="V653" s="10"/>
      <c r="W653" s="192"/>
      <c r="X653" s="192"/>
      <c r="Y653" s="192"/>
      <c r="Z653" s="192"/>
      <c r="AA653" s="192"/>
      <c r="AB653" s="192"/>
      <c r="AC653" s="192"/>
      <c r="AD653" s="192"/>
      <c r="AE653" s="192"/>
      <c r="AF653" s="192"/>
      <c r="AG653" s="192"/>
      <c r="AH653" s="192"/>
      <c r="AI653" s="192"/>
      <c r="AJ653" s="192"/>
      <c r="AK653" s="192"/>
      <c r="AL653" s="192"/>
      <c r="AM653" s="192"/>
      <c r="AN653" s="192"/>
      <c r="AO653" s="192"/>
      <c r="AP653" s="192"/>
      <c r="AQ653" s="192"/>
      <c r="AR653" s="192"/>
      <c r="AS653" s="192"/>
      <c r="AT653" s="192"/>
      <c r="AU653" s="192"/>
      <c r="AV653" s="192"/>
      <c r="AW653" s="192"/>
      <c r="AX653" s="192"/>
      <c r="AY653" s="192"/>
      <c r="AZ653" s="192"/>
      <c r="BA653" s="192"/>
      <c r="BB653" s="192"/>
      <c r="BC653" s="192"/>
      <c r="BD653" s="192"/>
      <c r="BE653" s="192"/>
      <c r="BF653" s="192"/>
      <c r="BG653" s="192"/>
      <c r="BH653" s="192"/>
      <c r="BI653" s="192"/>
      <c r="BJ653" s="192"/>
    </row>
    <row r="654" ht="20.25" customHeight="1">
      <c r="A654" s="192"/>
      <c r="B654" s="192"/>
      <c r="C654" s="192"/>
      <c r="D654" s="192"/>
      <c r="E654" s="192"/>
      <c r="F654" s="192"/>
      <c r="G654" s="192"/>
      <c r="H654" s="192"/>
      <c r="I654" s="192"/>
      <c r="J654" s="192"/>
      <c r="K654" s="192"/>
      <c r="L654" s="192"/>
      <c r="M654" s="192"/>
      <c r="N654" s="192"/>
      <c r="O654" s="192"/>
      <c r="P654" s="192"/>
      <c r="Q654" s="10"/>
      <c r="R654" s="10"/>
      <c r="S654" s="10"/>
      <c r="T654" s="10"/>
      <c r="U654" s="10"/>
      <c r="V654" s="10"/>
      <c r="W654" s="192"/>
      <c r="X654" s="192"/>
      <c r="Y654" s="192"/>
      <c r="Z654" s="192"/>
      <c r="AA654" s="192"/>
      <c r="AB654" s="192"/>
      <c r="AC654" s="192"/>
      <c r="AD654" s="192"/>
      <c r="AE654" s="192"/>
      <c r="AF654" s="192"/>
      <c r="AG654" s="192"/>
      <c r="AH654" s="192"/>
      <c r="AI654" s="192"/>
      <c r="AJ654" s="192"/>
      <c r="AK654" s="192"/>
      <c r="AL654" s="192"/>
      <c r="AM654" s="192"/>
      <c r="AN654" s="192"/>
      <c r="AO654" s="192"/>
      <c r="AP654" s="192"/>
      <c r="AQ654" s="192"/>
      <c r="AR654" s="192"/>
      <c r="AS654" s="192"/>
      <c r="AT654" s="192"/>
      <c r="AU654" s="192"/>
      <c r="AV654" s="192"/>
      <c r="AW654" s="192"/>
      <c r="AX654" s="192"/>
      <c r="AY654" s="192"/>
      <c r="AZ654" s="192"/>
      <c r="BA654" s="192"/>
      <c r="BB654" s="192"/>
      <c r="BC654" s="192"/>
      <c r="BD654" s="192"/>
      <c r="BE654" s="192"/>
      <c r="BF654" s="192"/>
      <c r="BG654" s="192"/>
      <c r="BH654" s="192"/>
      <c r="BI654" s="192"/>
      <c r="BJ654" s="192"/>
    </row>
    <row r="655" ht="20.25" customHeight="1">
      <c r="A655" s="4"/>
      <c r="B655" s="189"/>
      <c r="C655" s="4"/>
      <c r="D655" s="4"/>
      <c r="E655" s="4"/>
      <c r="F655" s="4"/>
      <c r="G655" s="4"/>
      <c r="H655" s="4"/>
      <c r="I655" s="190"/>
      <c r="J655" s="4"/>
      <c r="K655" s="4"/>
      <c r="L655" s="191"/>
      <c r="M655" s="192"/>
      <c r="N655" s="192"/>
      <c r="O655" s="192"/>
      <c r="P655" s="4"/>
      <c r="Q655" s="10"/>
      <c r="R655" s="10"/>
      <c r="S655" s="10"/>
      <c r="T655" s="10"/>
      <c r="U655" s="10"/>
      <c r="V655" s="10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</row>
    <row r="656" ht="20.25" customHeight="1">
      <c r="A656" s="4"/>
      <c r="B656" s="189"/>
      <c r="C656" s="4"/>
      <c r="D656" s="4"/>
      <c r="E656" s="4"/>
      <c r="F656" s="4"/>
      <c r="G656" s="4"/>
      <c r="H656" s="4"/>
      <c r="I656" s="190"/>
      <c r="J656" s="4"/>
      <c r="K656" s="4"/>
      <c r="L656" s="191"/>
      <c r="M656" s="192"/>
      <c r="N656" s="192"/>
      <c r="O656" s="192"/>
      <c r="P656" s="4"/>
      <c r="Q656" s="10"/>
      <c r="R656" s="10"/>
      <c r="S656" s="10"/>
      <c r="T656" s="10"/>
      <c r="U656" s="10"/>
      <c r="V656" s="10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</row>
    <row r="657" ht="20.25" customHeight="1">
      <c r="A657" s="4"/>
      <c r="B657" s="189"/>
      <c r="C657" s="4"/>
      <c r="D657" s="4"/>
      <c r="E657" s="4"/>
      <c r="F657" s="4"/>
      <c r="G657" s="4"/>
      <c r="H657" s="4"/>
      <c r="I657" s="190"/>
      <c r="J657" s="4"/>
      <c r="K657" s="4"/>
      <c r="L657" s="191"/>
      <c r="M657" s="192"/>
      <c r="N657" s="192"/>
      <c r="O657" s="192"/>
      <c r="P657" s="4"/>
      <c r="Q657" s="10"/>
      <c r="R657" s="10"/>
      <c r="S657" s="10"/>
      <c r="T657" s="10"/>
      <c r="U657" s="10"/>
      <c r="V657" s="10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</row>
    <row r="658" ht="20.25" customHeight="1">
      <c r="A658" s="4"/>
      <c r="B658" s="189"/>
      <c r="C658" s="4"/>
      <c r="D658" s="4"/>
      <c r="E658" s="4"/>
      <c r="F658" s="4"/>
      <c r="G658" s="4"/>
      <c r="H658" s="4"/>
      <c r="I658" s="190"/>
      <c r="J658" s="4"/>
      <c r="K658" s="4"/>
      <c r="L658" s="191"/>
      <c r="M658" s="192"/>
      <c r="N658" s="192"/>
      <c r="O658" s="192"/>
      <c r="P658" s="4"/>
      <c r="Q658" s="10"/>
      <c r="R658" s="10"/>
      <c r="S658" s="10"/>
      <c r="T658" s="10"/>
      <c r="U658" s="10"/>
      <c r="V658" s="10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</row>
    <row r="659" ht="20.25" customHeight="1">
      <c r="A659" s="4"/>
      <c r="B659" s="189"/>
      <c r="C659" s="4"/>
      <c r="D659" s="4"/>
      <c r="E659" s="4"/>
      <c r="F659" s="4"/>
      <c r="G659" s="4"/>
      <c r="H659" s="4"/>
      <c r="I659" s="190"/>
      <c r="J659" s="4"/>
      <c r="K659" s="4"/>
      <c r="L659" s="191"/>
      <c r="M659" s="192"/>
      <c r="N659" s="192"/>
      <c r="O659" s="192"/>
      <c r="P659" s="4"/>
      <c r="Q659" s="10"/>
      <c r="R659" s="10"/>
      <c r="S659" s="10"/>
      <c r="T659" s="10"/>
      <c r="U659" s="10"/>
      <c r="V659" s="10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</row>
    <row r="660" ht="20.25" customHeight="1">
      <c r="A660" s="4"/>
      <c r="B660" s="189"/>
      <c r="C660" s="4"/>
      <c r="D660" s="4"/>
      <c r="E660" s="4"/>
      <c r="F660" s="4"/>
      <c r="G660" s="4"/>
      <c r="H660" s="4"/>
      <c r="I660" s="190"/>
      <c r="J660" s="4"/>
      <c r="K660" s="4"/>
      <c r="L660" s="191"/>
      <c r="M660" s="192"/>
      <c r="N660" s="192"/>
      <c r="O660" s="192"/>
      <c r="P660" s="4"/>
      <c r="Q660" s="10"/>
      <c r="R660" s="10"/>
      <c r="S660" s="10"/>
      <c r="T660" s="10"/>
      <c r="U660" s="10"/>
      <c r="V660" s="10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</row>
    <row r="661" ht="20.25" customHeight="1">
      <c r="A661" s="4"/>
      <c r="B661" s="189"/>
      <c r="C661" s="4"/>
      <c r="D661" s="4"/>
      <c r="E661" s="4"/>
      <c r="F661" s="4"/>
      <c r="G661" s="4"/>
      <c r="H661" s="4"/>
      <c r="I661" s="190"/>
      <c r="J661" s="4"/>
      <c r="K661" s="4"/>
      <c r="L661" s="191"/>
      <c r="M661" s="192"/>
      <c r="N661" s="192"/>
      <c r="O661" s="192"/>
      <c r="P661" s="4"/>
      <c r="Q661" s="10"/>
      <c r="R661" s="10"/>
      <c r="S661" s="10"/>
      <c r="T661" s="10"/>
      <c r="U661" s="10"/>
      <c r="V661" s="10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</row>
    <row r="662" ht="20.25" customHeight="1">
      <c r="A662" s="4"/>
      <c r="B662" s="189"/>
      <c r="C662" s="4"/>
      <c r="D662" s="4"/>
      <c r="E662" s="4"/>
      <c r="F662" s="4"/>
      <c r="G662" s="4"/>
      <c r="H662" s="4"/>
      <c r="I662" s="190"/>
      <c r="J662" s="4"/>
      <c r="K662" s="4"/>
      <c r="L662" s="191"/>
      <c r="M662" s="192"/>
      <c r="N662" s="192"/>
      <c r="O662" s="192"/>
      <c r="P662" s="4"/>
      <c r="Q662" s="10"/>
      <c r="R662" s="10"/>
      <c r="S662" s="10"/>
      <c r="T662" s="10"/>
      <c r="U662" s="10"/>
      <c r="V662" s="10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</row>
    <row r="663" ht="20.25" customHeight="1">
      <c r="A663" s="4"/>
      <c r="B663" s="189"/>
      <c r="C663" s="4"/>
      <c r="D663" s="4"/>
      <c r="E663" s="4"/>
      <c r="F663" s="4"/>
      <c r="G663" s="4"/>
      <c r="H663" s="4"/>
      <c r="I663" s="190"/>
      <c r="J663" s="4"/>
      <c r="K663" s="4"/>
      <c r="L663" s="191"/>
      <c r="M663" s="192"/>
      <c r="N663" s="192"/>
      <c r="O663" s="192"/>
      <c r="P663" s="4"/>
      <c r="Q663" s="10"/>
      <c r="R663" s="10"/>
      <c r="S663" s="10"/>
      <c r="T663" s="10"/>
      <c r="U663" s="10"/>
      <c r="V663" s="10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</row>
    <row r="664" ht="20.25" customHeight="1">
      <c r="A664" s="4"/>
      <c r="B664" s="189"/>
      <c r="C664" s="4"/>
      <c r="D664" s="4"/>
      <c r="E664" s="4"/>
      <c r="F664" s="4"/>
      <c r="G664" s="4"/>
      <c r="H664" s="4"/>
      <c r="I664" s="190"/>
      <c r="J664" s="4"/>
      <c r="K664" s="4"/>
      <c r="L664" s="191"/>
      <c r="M664" s="192"/>
      <c r="N664" s="192"/>
      <c r="O664" s="192"/>
      <c r="P664" s="4"/>
      <c r="Q664" s="10"/>
      <c r="R664" s="10"/>
      <c r="S664" s="10"/>
      <c r="T664" s="10"/>
      <c r="U664" s="10"/>
      <c r="V664" s="10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</row>
    <row r="665" ht="20.25" customHeight="1">
      <c r="A665" s="4"/>
      <c r="B665" s="189"/>
      <c r="C665" s="4"/>
      <c r="D665" s="4"/>
      <c r="E665" s="4"/>
      <c r="F665" s="4"/>
      <c r="G665" s="4"/>
      <c r="H665" s="4"/>
      <c r="I665" s="190"/>
      <c r="J665" s="4"/>
      <c r="K665" s="4"/>
      <c r="L665" s="191"/>
      <c r="M665" s="192"/>
      <c r="N665" s="192"/>
      <c r="O665" s="192"/>
      <c r="P665" s="4"/>
      <c r="Q665" s="10"/>
      <c r="R665" s="10"/>
      <c r="S665" s="10"/>
      <c r="T665" s="10"/>
      <c r="U665" s="10"/>
      <c r="V665" s="10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</row>
    <row r="666" ht="20.25" customHeight="1">
      <c r="A666" s="4"/>
      <c r="B666" s="189"/>
      <c r="C666" s="4"/>
      <c r="D666" s="4"/>
      <c r="E666" s="4"/>
      <c r="F666" s="4"/>
      <c r="G666" s="4"/>
      <c r="H666" s="4"/>
      <c r="I666" s="190"/>
      <c r="J666" s="4"/>
      <c r="K666" s="4"/>
      <c r="L666" s="191"/>
      <c r="M666" s="192"/>
      <c r="N666" s="192"/>
      <c r="O666" s="192"/>
      <c r="P666" s="4"/>
      <c r="Q666" s="10"/>
      <c r="R666" s="10"/>
      <c r="S666" s="10"/>
      <c r="T666" s="10"/>
      <c r="U666" s="10"/>
      <c r="V666" s="10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</row>
    <row r="667" ht="20.25" customHeight="1">
      <c r="A667" s="4"/>
      <c r="B667" s="189"/>
      <c r="C667" s="4"/>
      <c r="D667" s="4"/>
      <c r="E667" s="4"/>
      <c r="F667" s="4"/>
      <c r="G667" s="4"/>
      <c r="H667" s="4"/>
      <c r="I667" s="190"/>
      <c r="J667" s="4"/>
      <c r="K667" s="4"/>
      <c r="L667" s="191"/>
      <c r="M667" s="192"/>
      <c r="N667" s="192"/>
      <c r="O667" s="192"/>
      <c r="P667" s="4"/>
      <c r="Q667" s="10"/>
      <c r="R667" s="10"/>
      <c r="S667" s="10"/>
      <c r="T667" s="10"/>
      <c r="U667" s="10"/>
      <c r="V667" s="10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</row>
    <row r="668" ht="20.25" customHeight="1">
      <c r="A668" s="4"/>
      <c r="B668" s="189"/>
      <c r="C668" s="4"/>
      <c r="D668" s="4"/>
      <c r="E668" s="4"/>
      <c r="F668" s="4"/>
      <c r="G668" s="4"/>
      <c r="H668" s="4"/>
      <c r="I668" s="190"/>
      <c r="J668" s="4"/>
      <c r="K668" s="4"/>
      <c r="L668" s="191"/>
      <c r="M668" s="192"/>
      <c r="N668" s="192"/>
      <c r="O668" s="192"/>
      <c r="P668" s="4"/>
      <c r="Q668" s="10"/>
      <c r="R668" s="10"/>
      <c r="S668" s="10"/>
      <c r="T668" s="10"/>
      <c r="U668" s="10"/>
      <c r="V668" s="10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</row>
    <row r="669" ht="20.25" customHeight="1">
      <c r="A669" s="4"/>
      <c r="B669" s="189"/>
      <c r="C669" s="4"/>
      <c r="D669" s="4"/>
      <c r="E669" s="4"/>
      <c r="F669" s="4"/>
      <c r="G669" s="4"/>
      <c r="H669" s="4"/>
      <c r="I669" s="190"/>
      <c r="J669" s="4"/>
      <c r="K669" s="4"/>
      <c r="L669" s="191"/>
      <c r="M669" s="192"/>
      <c r="N669" s="192"/>
      <c r="O669" s="192"/>
      <c r="P669" s="4"/>
      <c r="Q669" s="10"/>
      <c r="R669" s="10"/>
      <c r="S669" s="10"/>
      <c r="T669" s="10"/>
      <c r="U669" s="10"/>
      <c r="V669" s="10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</row>
    <row r="670" ht="20.25" customHeight="1">
      <c r="A670" s="4"/>
      <c r="B670" s="189"/>
      <c r="C670" s="4"/>
      <c r="D670" s="4"/>
      <c r="E670" s="4"/>
      <c r="F670" s="4"/>
      <c r="G670" s="4"/>
      <c r="H670" s="4"/>
      <c r="I670" s="190"/>
      <c r="J670" s="4"/>
      <c r="K670" s="4"/>
      <c r="L670" s="191"/>
      <c r="M670" s="192"/>
      <c r="N670" s="192"/>
      <c r="O670" s="192"/>
      <c r="P670" s="4"/>
      <c r="Q670" s="10"/>
      <c r="R670" s="10"/>
      <c r="S670" s="10"/>
      <c r="T670" s="10"/>
      <c r="U670" s="10"/>
      <c r="V670" s="10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</row>
    <row r="671" ht="20.25" customHeight="1">
      <c r="A671" s="4"/>
      <c r="B671" s="189"/>
      <c r="C671" s="4"/>
      <c r="D671" s="4"/>
      <c r="E671" s="4"/>
      <c r="F671" s="4"/>
      <c r="G671" s="4"/>
      <c r="H671" s="4"/>
      <c r="I671" s="190"/>
      <c r="J671" s="4"/>
      <c r="K671" s="4"/>
      <c r="L671" s="191"/>
      <c r="M671" s="192"/>
      <c r="N671" s="192"/>
      <c r="O671" s="192"/>
      <c r="P671" s="4"/>
      <c r="Q671" s="10"/>
      <c r="R671" s="10"/>
      <c r="S671" s="10"/>
      <c r="T671" s="10"/>
      <c r="U671" s="10"/>
      <c r="V671" s="10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</row>
    <row r="672" ht="20.25" customHeight="1">
      <c r="A672" s="4"/>
      <c r="B672" s="189"/>
      <c r="C672" s="4"/>
      <c r="D672" s="4"/>
      <c r="E672" s="4"/>
      <c r="F672" s="4"/>
      <c r="G672" s="4"/>
      <c r="H672" s="4"/>
      <c r="I672" s="190"/>
      <c r="J672" s="4"/>
      <c r="K672" s="4"/>
      <c r="L672" s="191"/>
      <c r="M672" s="192"/>
      <c r="N672" s="192"/>
      <c r="O672" s="192"/>
      <c r="P672" s="4"/>
      <c r="Q672" s="10"/>
      <c r="R672" s="10"/>
      <c r="S672" s="10"/>
      <c r="T672" s="10"/>
      <c r="U672" s="10"/>
      <c r="V672" s="10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</row>
    <row r="673" ht="20.25" customHeight="1">
      <c r="A673" s="4"/>
      <c r="B673" s="189"/>
      <c r="C673" s="4"/>
      <c r="D673" s="4"/>
      <c r="E673" s="4"/>
      <c r="F673" s="4"/>
      <c r="G673" s="4"/>
      <c r="H673" s="4"/>
      <c r="I673" s="190"/>
      <c r="J673" s="4"/>
      <c r="K673" s="4"/>
      <c r="L673" s="191"/>
      <c r="M673" s="192"/>
      <c r="N673" s="192"/>
      <c r="O673" s="192"/>
      <c r="P673" s="4"/>
      <c r="Q673" s="10"/>
      <c r="R673" s="10"/>
      <c r="S673" s="10"/>
      <c r="T673" s="10"/>
      <c r="U673" s="10"/>
      <c r="V673" s="10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</row>
    <row r="674" ht="20.25" customHeight="1">
      <c r="A674" s="4"/>
      <c r="B674" s="189"/>
      <c r="C674" s="4"/>
      <c r="D674" s="4"/>
      <c r="E674" s="4"/>
      <c r="F674" s="4"/>
      <c r="G674" s="4"/>
      <c r="H674" s="4"/>
      <c r="I674" s="190"/>
      <c r="J674" s="4"/>
      <c r="K674" s="4"/>
      <c r="L674" s="191"/>
      <c r="M674" s="192"/>
      <c r="N674" s="192"/>
      <c r="O674" s="192"/>
      <c r="P674" s="4"/>
      <c r="Q674" s="10"/>
      <c r="R674" s="10"/>
      <c r="S674" s="10"/>
      <c r="T674" s="10"/>
      <c r="U674" s="10"/>
      <c r="V674" s="10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</row>
    <row r="675" ht="20.25" customHeight="1">
      <c r="A675" s="4"/>
      <c r="B675" s="189"/>
      <c r="C675" s="4"/>
      <c r="D675" s="4"/>
      <c r="E675" s="4"/>
      <c r="F675" s="4"/>
      <c r="G675" s="4"/>
      <c r="H675" s="4"/>
      <c r="I675" s="190"/>
      <c r="J675" s="4"/>
      <c r="K675" s="4"/>
      <c r="L675" s="191"/>
      <c r="M675" s="192"/>
      <c r="N675" s="192"/>
      <c r="O675" s="192"/>
      <c r="P675" s="4"/>
      <c r="Q675" s="10"/>
      <c r="R675" s="10"/>
      <c r="S675" s="10"/>
      <c r="T675" s="10"/>
      <c r="U675" s="10"/>
      <c r="V675" s="10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</row>
    <row r="676" ht="20.25" customHeight="1">
      <c r="A676" s="4"/>
      <c r="B676" s="189"/>
      <c r="C676" s="4"/>
      <c r="D676" s="4"/>
      <c r="E676" s="4"/>
      <c r="F676" s="4"/>
      <c r="G676" s="4"/>
      <c r="H676" s="4"/>
      <c r="I676" s="190"/>
      <c r="J676" s="4"/>
      <c r="K676" s="4"/>
      <c r="L676" s="191"/>
      <c r="M676" s="192"/>
      <c r="N676" s="192"/>
      <c r="O676" s="192"/>
      <c r="P676" s="4"/>
      <c r="Q676" s="10"/>
      <c r="R676" s="10"/>
      <c r="S676" s="10"/>
      <c r="T676" s="10"/>
      <c r="U676" s="10"/>
      <c r="V676" s="10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</row>
    <row r="677" ht="20.25" customHeight="1">
      <c r="A677" s="4"/>
      <c r="B677" s="189"/>
      <c r="C677" s="4"/>
      <c r="D677" s="4"/>
      <c r="E677" s="4"/>
      <c r="F677" s="4"/>
      <c r="G677" s="4"/>
      <c r="H677" s="4"/>
      <c r="I677" s="190"/>
      <c r="J677" s="4"/>
      <c r="K677" s="4"/>
      <c r="L677" s="191"/>
      <c r="M677" s="192"/>
      <c r="N677" s="192"/>
      <c r="O677" s="192"/>
      <c r="P677" s="4"/>
      <c r="Q677" s="10"/>
      <c r="R677" s="10"/>
      <c r="S677" s="10"/>
      <c r="T677" s="10"/>
      <c r="U677" s="10"/>
      <c r="V677" s="10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</row>
    <row r="678" ht="20.25" customHeight="1">
      <c r="A678" s="4"/>
      <c r="B678" s="189"/>
      <c r="C678" s="4"/>
      <c r="D678" s="4"/>
      <c r="E678" s="4"/>
      <c r="F678" s="4"/>
      <c r="G678" s="4"/>
      <c r="H678" s="4"/>
      <c r="I678" s="190"/>
      <c r="J678" s="4"/>
      <c r="K678" s="4"/>
      <c r="L678" s="191"/>
      <c r="M678" s="192"/>
      <c r="N678" s="192"/>
      <c r="O678" s="192"/>
      <c r="P678" s="4"/>
      <c r="Q678" s="10"/>
      <c r="R678" s="10"/>
      <c r="S678" s="10"/>
      <c r="T678" s="10"/>
      <c r="U678" s="10"/>
      <c r="V678" s="10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</row>
    <row r="679" ht="20.25" customHeight="1">
      <c r="A679" s="4"/>
      <c r="B679" s="189"/>
      <c r="C679" s="4"/>
      <c r="D679" s="4"/>
      <c r="E679" s="4"/>
      <c r="F679" s="4"/>
      <c r="G679" s="4"/>
      <c r="H679" s="4"/>
      <c r="I679" s="190"/>
      <c r="J679" s="4"/>
      <c r="K679" s="4"/>
      <c r="L679" s="191"/>
      <c r="M679" s="192"/>
      <c r="N679" s="192"/>
      <c r="O679" s="192"/>
      <c r="P679" s="4"/>
      <c r="Q679" s="10"/>
      <c r="R679" s="10"/>
      <c r="S679" s="10"/>
      <c r="T679" s="10"/>
      <c r="U679" s="10"/>
      <c r="V679" s="10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</row>
    <row r="680" ht="20.25" customHeight="1">
      <c r="A680" s="4"/>
      <c r="B680" s="189"/>
      <c r="C680" s="4"/>
      <c r="D680" s="4"/>
      <c r="E680" s="4"/>
      <c r="F680" s="4"/>
      <c r="G680" s="4"/>
      <c r="H680" s="4"/>
      <c r="I680" s="190"/>
      <c r="J680" s="4"/>
      <c r="K680" s="4"/>
      <c r="L680" s="191"/>
      <c r="M680" s="192"/>
      <c r="N680" s="192"/>
      <c r="O680" s="192"/>
      <c r="P680" s="4"/>
      <c r="Q680" s="10"/>
      <c r="R680" s="10"/>
      <c r="S680" s="10"/>
      <c r="T680" s="10"/>
      <c r="U680" s="10"/>
      <c r="V680" s="10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</row>
    <row r="681" ht="20.25" customHeight="1">
      <c r="A681" s="4"/>
      <c r="B681" s="189"/>
      <c r="C681" s="4"/>
      <c r="D681" s="4"/>
      <c r="E681" s="4"/>
      <c r="F681" s="4"/>
      <c r="G681" s="4"/>
      <c r="H681" s="4"/>
      <c r="I681" s="190"/>
      <c r="J681" s="4"/>
      <c r="K681" s="4"/>
      <c r="L681" s="191"/>
      <c r="M681" s="192"/>
      <c r="N681" s="192"/>
      <c r="O681" s="192"/>
      <c r="P681" s="4"/>
      <c r="Q681" s="10"/>
      <c r="R681" s="10"/>
      <c r="S681" s="10"/>
      <c r="T681" s="10"/>
      <c r="U681" s="10"/>
      <c r="V681" s="10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</row>
    <row r="682" ht="20.25" customHeight="1">
      <c r="A682" s="4"/>
      <c r="B682" s="189"/>
      <c r="C682" s="4"/>
      <c r="D682" s="4"/>
      <c r="E682" s="4"/>
      <c r="F682" s="4"/>
      <c r="G682" s="4"/>
      <c r="H682" s="4"/>
      <c r="I682" s="190"/>
      <c r="J682" s="4"/>
      <c r="K682" s="4"/>
      <c r="L682" s="191"/>
      <c r="M682" s="192"/>
      <c r="N682" s="192"/>
      <c r="O682" s="192"/>
      <c r="P682" s="4"/>
      <c r="Q682" s="10"/>
      <c r="R682" s="10"/>
      <c r="S682" s="10"/>
      <c r="T682" s="10"/>
      <c r="U682" s="10"/>
      <c r="V682" s="10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</row>
    <row r="683" ht="20.25" customHeight="1">
      <c r="A683" s="4"/>
      <c r="B683" s="189"/>
      <c r="C683" s="4"/>
      <c r="D683" s="4"/>
      <c r="E683" s="4"/>
      <c r="F683" s="4"/>
      <c r="G683" s="4"/>
      <c r="H683" s="4"/>
      <c r="I683" s="190"/>
      <c r="J683" s="4"/>
      <c r="K683" s="4"/>
      <c r="L683" s="191"/>
      <c r="M683" s="192"/>
      <c r="N683" s="192"/>
      <c r="O683" s="192"/>
      <c r="P683" s="4"/>
      <c r="Q683" s="10"/>
      <c r="R683" s="10"/>
      <c r="S683" s="10"/>
      <c r="T683" s="10"/>
      <c r="U683" s="10"/>
      <c r="V683" s="10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</row>
    <row r="684" ht="20.25" customHeight="1">
      <c r="A684" s="4"/>
      <c r="B684" s="189"/>
      <c r="C684" s="4"/>
      <c r="D684" s="4"/>
      <c r="E684" s="4"/>
      <c r="F684" s="4"/>
      <c r="G684" s="4"/>
      <c r="H684" s="4"/>
      <c r="I684" s="190"/>
      <c r="J684" s="4"/>
      <c r="K684" s="4"/>
      <c r="L684" s="191"/>
      <c r="M684" s="192"/>
      <c r="N684" s="192"/>
      <c r="O684" s="192"/>
      <c r="P684" s="4"/>
      <c r="Q684" s="10"/>
      <c r="R684" s="10"/>
      <c r="S684" s="10"/>
      <c r="T684" s="10"/>
      <c r="U684" s="10"/>
      <c r="V684" s="10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</row>
    <row r="685" ht="20.25" customHeight="1">
      <c r="A685" s="4"/>
      <c r="B685" s="189"/>
      <c r="C685" s="4"/>
      <c r="D685" s="4"/>
      <c r="E685" s="4"/>
      <c r="F685" s="4"/>
      <c r="G685" s="4"/>
      <c r="H685" s="4"/>
      <c r="I685" s="190"/>
      <c r="J685" s="4"/>
      <c r="K685" s="4"/>
      <c r="L685" s="191"/>
      <c r="M685" s="192"/>
      <c r="N685" s="192"/>
      <c r="O685" s="192"/>
      <c r="P685" s="4"/>
      <c r="Q685" s="10"/>
      <c r="R685" s="10"/>
      <c r="S685" s="10"/>
      <c r="T685" s="10"/>
      <c r="U685" s="10"/>
      <c r="V685" s="10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</row>
    <row r="686" ht="20.25" customHeight="1">
      <c r="A686" s="4"/>
      <c r="B686" s="189"/>
      <c r="C686" s="4"/>
      <c r="D686" s="4"/>
      <c r="E686" s="4"/>
      <c r="F686" s="4"/>
      <c r="G686" s="4"/>
      <c r="H686" s="4"/>
      <c r="I686" s="190"/>
      <c r="J686" s="4"/>
      <c r="K686" s="4"/>
      <c r="L686" s="191"/>
      <c r="M686" s="192"/>
      <c r="N686" s="192"/>
      <c r="O686" s="192"/>
      <c r="P686" s="4"/>
      <c r="Q686" s="10"/>
      <c r="R686" s="10"/>
      <c r="S686" s="10"/>
      <c r="T686" s="10"/>
      <c r="U686" s="10"/>
      <c r="V686" s="10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</row>
    <row r="687" ht="20.25" customHeight="1">
      <c r="A687" s="4"/>
      <c r="B687" s="189"/>
      <c r="C687" s="4"/>
      <c r="D687" s="4"/>
      <c r="E687" s="4"/>
      <c r="F687" s="4"/>
      <c r="G687" s="4"/>
      <c r="H687" s="4"/>
      <c r="I687" s="190"/>
      <c r="J687" s="4"/>
      <c r="K687" s="4"/>
      <c r="L687" s="191"/>
      <c r="M687" s="192"/>
      <c r="N687" s="192"/>
      <c r="O687" s="192"/>
      <c r="P687" s="4"/>
      <c r="Q687" s="10"/>
      <c r="R687" s="10"/>
      <c r="S687" s="10"/>
      <c r="T687" s="10"/>
      <c r="U687" s="10"/>
      <c r="V687" s="10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</row>
    <row r="688" ht="20.25" customHeight="1">
      <c r="A688" s="4"/>
      <c r="B688" s="189"/>
      <c r="C688" s="4"/>
      <c r="D688" s="4"/>
      <c r="E688" s="4"/>
      <c r="F688" s="4"/>
      <c r="G688" s="4"/>
      <c r="H688" s="4"/>
      <c r="I688" s="190"/>
      <c r="J688" s="4"/>
      <c r="K688" s="4"/>
      <c r="L688" s="191"/>
      <c r="M688" s="192"/>
      <c r="N688" s="192"/>
      <c r="O688" s="192"/>
      <c r="P688" s="4"/>
      <c r="Q688" s="10"/>
      <c r="R688" s="10"/>
      <c r="S688" s="10"/>
      <c r="T688" s="10"/>
      <c r="U688" s="10"/>
      <c r="V688" s="10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</row>
    <row r="689" ht="20.25" customHeight="1">
      <c r="A689" s="4"/>
      <c r="B689" s="189"/>
      <c r="C689" s="4"/>
      <c r="D689" s="4"/>
      <c r="E689" s="4"/>
      <c r="F689" s="4"/>
      <c r="G689" s="4"/>
      <c r="H689" s="4"/>
      <c r="I689" s="190"/>
      <c r="J689" s="4"/>
      <c r="K689" s="4"/>
      <c r="L689" s="191"/>
      <c r="M689" s="192"/>
      <c r="N689" s="192"/>
      <c r="O689" s="192"/>
      <c r="P689" s="4"/>
      <c r="Q689" s="10"/>
      <c r="R689" s="10"/>
      <c r="S689" s="10"/>
      <c r="T689" s="10"/>
      <c r="U689" s="10"/>
      <c r="V689" s="10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</row>
    <row r="690" ht="20.25" customHeight="1">
      <c r="A690" s="4"/>
      <c r="B690" s="189"/>
      <c r="C690" s="4"/>
      <c r="D690" s="4"/>
      <c r="E690" s="4"/>
      <c r="F690" s="4"/>
      <c r="G690" s="4"/>
      <c r="H690" s="4"/>
      <c r="I690" s="190"/>
      <c r="J690" s="4"/>
      <c r="K690" s="4"/>
      <c r="L690" s="191"/>
      <c r="M690" s="192"/>
      <c r="N690" s="192"/>
      <c r="O690" s="192"/>
      <c r="P690" s="4"/>
      <c r="Q690" s="10"/>
      <c r="R690" s="10"/>
      <c r="S690" s="10"/>
      <c r="T690" s="10"/>
      <c r="U690" s="10"/>
      <c r="V690" s="10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</row>
    <row r="691" ht="20.25" customHeight="1">
      <c r="A691" s="4"/>
      <c r="B691" s="189"/>
      <c r="C691" s="4"/>
      <c r="D691" s="4"/>
      <c r="E691" s="4"/>
      <c r="F691" s="4"/>
      <c r="G691" s="4"/>
      <c r="H691" s="4"/>
      <c r="I691" s="190"/>
      <c r="J691" s="4"/>
      <c r="K691" s="4"/>
      <c r="L691" s="191"/>
      <c r="M691" s="192"/>
      <c r="N691" s="192"/>
      <c r="O691" s="192"/>
      <c r="P691" s="4"/>
      <c r="Q691" s="10"/>
      <c r="R691" s="10"/>
      <c r="S691" s="10"/>
      <c r="T691" s="10"/>
      <c r="U691" s="10"/>
      <c r="V691" s="10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</row>
    <row r="692" ht="20.25" customHeight="1">
      <c r="A692" s="4"/>
      <c r="B692" s="189"/>
      <c r="C692" s="4"/>
      <c r="D692" s="4"/>
      <c r="E692" s="4"/>
      <c r="F692" s="4"/>
      <c r="G692" s="4"/>
      <c r="H692" s="4"/>
      <c r="I692" s="190"/>
      <c r="J692" s="4"/>
      <c r="K692" s="4"/>
      <c r="L692" s="191"/>
      <c r="M692" s="192"/>
      <c r="N692" s="192"/>
      <c r="O692" s="192"/>
      <c r="P692" s="4"/>
      <c r="Q692" s="10"/>
      <c r="R692" s="10"/>
      <c r="S692" s="10"/>
      <c r="T692" s="10"/>
      <c r="U692" s="10"/>
      <c r="V692" s="10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</row>
    <row r="693" ht="20.25" customHeight="1">
      <c r="A693" s="4"/>
      <c r="B693" s="189"/>
      <c r="C693" s="4"/>
      <c r="D693" s="4"/>
      <c r="E693" s="4"/>
      <c r="F693" s="4"/>
      <c r="G693" s="4"/>
      <c r="H693" s="4"/>
      <c r="I693" s="190"/>
      <c r="J693" s="4"/>
      <c r="K693" s="4"/>
      <c r="L693" s="191"/>
      <c r="M693" s="192"/>
      <c r="N693" s="192"/>
      <c r="O693" s="192"/>
      <c r="P693" s="4"/>
      <c r="Q693" s="10"/>
      <c r="R693" s="10"/>
      <c r="S693" s="10"/>
      <c r="T693" s="10"/>
      <c r="U693" s="10"/>
      <c r="V693" s="10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</row>
    <row r="694" ht="20.25" customHeight="1">
      <c r="A694" s="4"/>
      <c r="B694" s="189"/>
      <c r="C694" s="4"/>
      <c r="D694" s="4"/>
      <c r="E694" s="4"/>
      <c r="F694" s="4"/>
      <c r="G694" s="4"/>
      <c r="H694" s="4"/>
      <c r="I694" s="190"/>
      <c r="J694" s="4"/>
      <c r="K694" s="4"/>
      <c r="L694" s="191"/>
      <c r="M694" s="192"/>
      <c r="N694" s="192"/>
      <c r="O694" s="192"/>
      <c r="P694" s="4"/>
      <c r="Q694" s="10"/>
      <c r="R694" s="10"/>
      <c r="S694" s="10"/>
      <c r="T694" s="10"/>
      <c r="U694" s="10"/>
      <c r="V694" s="10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</row>
    <row r="695" ht="20.25" customHeight="1">
      <c r="A695" s="4"/>
      <c r="B695" s="189"/>
      <c r="C695" s="4"/>
      <c r="D695" s="4"/>
      <c r="E695" s="4"/>
      <c r="F695" s="4"/>
      <c r="G695" s="4"/>
      <c r="H695" s="4"/>
      <c r="I695" s="190"/>
      <c r="J695" s="4"/>
      <c r="K695" s="4"/>
      <c r="L695" s="191"/>
      <c r="M695" s="192"/>
      <c r="N695" s="192"/>
      <c r="O695" s="192"/>
      <c r="P695" s="4"/>
      <c r="Q695" s="10"/>
      <c r="R695" s="10"/>
      <c r="S695" s="10"/>
      <c r="T695" s="10"/>
      <c r="U695" s="10"/>
      <c r="V695" s="10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</row>
    <row r="696" ht="20.25" customHeight="1">
      <c r="A696" s="4"/>
      <c r="B696" s="189"/>
      <c r="C696" s="4"/>
      <c r="D696" s="4"/>
      <c r="E696" s="4"/>
      <c r="F696" s="4"/>
      <c r="G696" s="4"/>
      <c r="H696" s="4"/>
      <c r="I696" s="190"/>
      <c r="J696" s="4"/>
      <c r="K696" s="4"/>
      <c r="L696" s="191"/>
      <c r="M696" s="192"/>
      <c r="N696" s="192"/>
      <c r="O696" s="192"/>
      <c r="P696" s="4"/>
      <c r="Q696" s="10"/>
      <c r="R696" s="10"/>
      <c r="S696" s="10"/>
      <c r="T696" s="10"/>
      <c r="U696" s="10"/>
      <c r="V696" s="10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</row>
    <row r="697" ht="20.25" customHeight="1">
      <c r="A697" s="4"/>
      <c r="B697" s="189"/>
      <c r="C697" s="4"/>
      <c r="D697" s="4"/>
      <c r="E697" s="4"/>
      <c r="F697" s="4"/>
      <c r="G697" s="4"/>
      <c r="H697" s="4"/>
      <c r="I697" s="190"/>
      <c r="J697" s="4"/>
      <c r="K697" s="4"/>
      <c r="L697" s="191"/>
      <c r="M697" s="192"/>
      <c r="N697" s="192"/>
      <c r="O697" s="192"/>
      <c r="P697" s="4"/>
      <c r="Q697" s="10"/>
      <c r="R697" s="10"/>
      <c r="S697" s="10"/>
      <c r="T697" s="10"/>
      <c r="U697" s="10"/>
      <c r="V697" s="10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</row>
    <row r="698" ht="20.25" customHeight="1">
      <c r="A698" s="4"/>
      <c r="B698" s="189"/>
      <c r="C698" s="4"/>
      <c r="D698" s="4"/>
      <c r="E698" s="4"/>
      <c r="F698" s="4"/>
      <c r="G698" s="4"/>
      <c r="H698" s="4"/>
      <c r="I698" s="190"/>
      <c r="J698" s="4"/>
      <c r="K698" s="4"/>
      <c r="L698" s="191"/>
      <c r="M698" s="192"/>
      <c r="N698" s="192"/>
      <c r="O698" s="192"/>
      <c r="P698" s="4"/>
      <c r="Q698" s="10"/>
      <c r="R698" s="10"/>
      <c r="S698" s="10"/>
      <c r="T698" s="10"/>
      <c r="U698" s="10"/>
      <c r="V698" s="10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</row>
    <row r="699" ht="20.25" customHeight="1">
      <c r="A699" s="4"/>
      <c r="B699" s="189"/>
      <c r="C699" s="4"/>
      <c r="D699" s="4"/>
      <c r="E699" s="4"/>
      <c r="F699" s="4"/>
      <c r="G699" s="4"/>
      <c r="H699" s="4"/>
      <c r="I699" s="190"/>
      <c r="J699" s="4"/>
      <c r="K699" s="4"/>
      <c r="L699" s="191"/>
      <c r="M699" s="192"/>
      <c r="N699" s="192"/>
      <c r="O699" s="192"/>
      <c r="P699" s="4"/>
      <c r="Q699" s="10"/>
      <c r="R699" s="10"/>
      <c r="S699" s="10"/>
      <c r="T699" s="10"/>
      <c r="U699" s="10"/>
      <c r="V699" s="10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</row>
    <row r="700" ht="20.25" customHeight="1">
      <c r="A700" s="4"/>
      <c r="B700" s="189"/>
      <c r="C700" s="4"/>
      <c r="D700" s="4"/>
      <c r="E700" s="4"/>
      <c r="F700" s="4"/>
      <c r="G700" s="4"/>
      <c r="H700" s="4"/>
      <c r="I700" s="190"/>
      <c r="J700" s="4"/>
      <c r="K700" s="4"/>
      <c r="L700" s="191"/>
      <c r="M700" s="192"/>
      <c r="N700" s="192"/>
      <c r="O700" s="192"/>
      <c r="P700" s="4"/>
      <c r="Q700" s="10"/>
      <c r="R700" s="10"/>
      <c r="S700" s="10"/>
      <c r="T700" s="10"/>
      <c r="U700" s="10"/>
      <c r="V700" s="10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</row>
    <row r="701" ht="20.25" customHeight="1">
      <c r="A701" s="4"/>
      <c r="B701" s="189"/>
      <c r="C701" s="4"/>
      <c r="D701" s="4"/>
      <c r="E701" s="4"/>
      <c r="F701" s="4"/>
      <c r="G701" s="4"/>
      <c r="H701" s="4"/>
      <c r="I701" s="190"/>
      <c r="J701" s="4"/>
      <c r="K701" s="4"/>
      <c r="L701" s="191"/>
      <c r="M701" s="192"/>
      <c r="N701" s="192"/>
      <c r="O701" s="192"/>
      <c r="P701" s="4"/>
      <c r="Q701" s="10"/>
      <c r="R701" s="10"/>
      <c r="S701" s="10"/>
      <c r="T701" s="10"/>
      <c r="U701" s="10"/>
      <c r="V701" s="10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</row>
    <row r="702" ht="20.25" customHeight="1">
      <c r="A702" s="4"/>
      <c r="B702" s="189"/>
      <c r="C702" s="4"/>
      <c r="D702" s="4"/>
      <c r="E702" s="4"/>
      <c r="F702" s="4"/>
      <c r="G702" s="4"/>
      <c r="H702" s="4"/>
      <c r="I702" s="190"/>
      <c r="J702" s="4"/>
      <c r="K702" s="4"/>
      <c r="L702" s="191"/>
      <c r="M702" s="192"/>
      <c r="N702" s="192"/>
      <c r="O702" s="192"/>
      <c r="P702" s="4"/>
      <c r="Q702" s="10"/>
      <c r="R702" s="10"/>
      <c r="S702" s="10"/>
      <c r="T702" s="10"/>
      <c r="U702" s="10"/>
      <c r="V702" s="10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</row>
    <row r="703" ht="20.25" customHeight="1">
      <c r="A703" s="4"/>
      <c r="B703" s="189"/>
      <c r="C703" s="4"/>
      <c r="D703" s="4"/>
      <c r="E703" s="4"/>
      <c r="F703" s="4"/>
      <c r="G703" s="4"/>
      <c r="H703" s="4"/>
      <c r="I703" s="190"/>
      <c r="J703" s="4"/>
      <c r="K703" s="4"/>
      <c r="L703" s="191"/>
      <c r="M703" s="192"/>
      <c r="N703" s="192"/>
      <c r="O703" s="192"/>
      <c r="P703" s="4"/>
      <c r="Q703" s="10"/>
      <c r="R703" s="10"/>
      <c r="S703" s="10"/>
      <c r="T703" s="10"/>
      <c r="U703" s="10"/>
      <c r="V703" s="10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</row>
    <row r="704" ht="20.25" customHeight="1">
      <c r="A704" s="4"/>
      <c r="B704" s="189"/>
      <c r="C704" s="4"/>
      <c r="D704" s="4"/>
      <c r="E704" s="4"/>
      <c r="F704" s="4"/>
      <c r="G704" s="4"/>
      <c r="H704" s="4"/>
      <c r="I704" s="190"/>
      <c r="J704" s="4"/>
      <c r="K704" s="4"/>
      <c r="L704" s="191"/>
      <c r="M704" s="192"/>
      <c r="N704" s="192"/>
      <c r="O704" s="192"/>
      <c r="P704" s="4"/>
      <c r="Q704" s="10"/>
      <c r="R704" s="10"/>
      <c r="S704" s="10"/>
      <c r="T704" s="10"/>
      <c r="U704" s="10"/>
      <c r="V704" s="10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</row>
    <row r="705" ht="20.25" customHeight="1">
      <c r="A705" s="4"/>
      <c r="B705" s="189"/>
      <c r="C705" s="4"/>
      <c r="D705" s="4"/>
      <c r="E705" s="4"/>
      <c r="F705" s="4"/>
      <c r="G705" s="4"/>
      <c r="H705" s="4"/>
      <c r="I705" s="190"/>
      <c r="J705" s="4"/>
      <c r="K705" s="4"/>
      <c r="L705" s="191"/>
      <c r="M705" s="192"/>
      <c r="N705" s="192"/>
      <c r="O705" s="192"/>
      <c r="P705" s="4"/>
      <c r="Q705" s="10"/>
      <c r="R705" s="10"/>
      <c r="S705" s="10"/>
      <c r="T705" s="10"/>
      <c r="U705" s="10"/>
      <c r="V705" s="10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</row>
    <row r="706" ht="20.25" customHeight="1">
      <c r="A706" s="4"/>
      <c r="B706" s="189"/>
      <c r="C706" s="4"/>
      <c r="D706" s="4"/>
      <c r="E706" s="4"/>
      <c r="F706" s="4"/>
      <c r="G706" s="4"/>
      <c r="H706" s="4"/>
      <c r="I706" s="190"/>
      <c r="J706" s="4"/>
      <c r="K706" s="4"/>
      <c r="L706" s="191"/>
      <c r="M706" s="192"/>
      <c r="N706" s="192"/>
      <c r="O706" s="192"/>
      <c r="P706" s="4"/>
      <c r="Q706" s="10"/>
      <c r="R706" s="10"/>
      <c r="S706" s="10"/>
      <c r="T706" s="10"/>
      <c r="U706" s="10"/>
      <c r="V706" s="10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</row>
    <row r="707" ht="20.25" customHeight="1">
      <c r="A707" s="4"/>
      <c r="B707" s="189"/>
      <c r="C707" s="4"/>
      <c r="D707" s="4"/>
      <c r="E707" s="4"/>
      <c r="F707" s="4"/>
      <c r="G707" s="4"/>
      <c r="H707" s="4"/>
      <c r="I707" s="190"/>
      <c r="J707" s="4"/>
      <c r="K707" s="4"/>
      <c r="L707" s="191"/>
      <c r="M707" s="192"/>
      <c r="N707" s="192"/>
      <c r="O707" s="192"/>
      <c r="P707" s="4"/>
      <c r="Q707" s="10"/>
      <c r="R707" s="10"/>
      <c r="S707" s="10"/>
      <c r="T707" s="10"/>
      <c r="U707" s="10"/>
      <c r="V707" s="10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</row>
    <row r="708" ht="20.25" customHeight="1">
      <c r="A708" s="4"/>
      <c r="B708" s="189"/>
      <c r="C708" s="4"/>
      <c r="D708" s="4"/>
      <c r="E708" s="4"/>
      <c r="F708" s="4"/>
      <c r="G708" s="4"/>
      <c r="H708" s="4"/>
      <c r="I708" s="190"/>
      <c r="J708" s="4"/>
      <c r="K708" s="4"/>
      <c r="L708" s="191"/>
      <c r="M708" s="192"/>
      <c r="N708" s="192"/>
      <c r="O708" s="192"/>
      <c r="P708" s="4"/>
      <c r="Q708" s="10"/>
      <c r="R708" s="10"/>
      <c r="S708" s="10"/>
      <c r="T708" s="10"/>
      <c r="U708" s="10"/>
      <c r="V708" s="10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</row>
    <row r="709" ht="20.25" customHeight="1">
      <c r="A709" s="4"/>
      <c r="B709" s="189"/>
      <c r="C709" s="4"/>
      <c r="D709" s="4"/>
      <c r="E709" s="4"/>
      <c r="F709" s="4"/>
      <c r="G709" s="4"/>
      <c r="H709" s="4"/>
      <c r="I709" s="190"/>
      <c r="J709" s="4"/>
      <c r="K709" s="4"/>
      <c r="L709" s="191"/>
      <c r="M709" s="192"/>
      <c r="N709" s="192"/>
      <c r="O709" s="192"/>
      <c r="P709" s="4"/>
      <c r="Q709" s="10"/>
      <c r="R709" s="10"/>
      <c r="S709" s="10"/>
      <c r="T709" s="10"/>
      <c r="U709" s="10"/>
      <c r="V709" s="10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</row>
    <row r="710" ht="20.25" customHeight="1">
      <c r="A710" s="4"/>
      <c r="B710" s="189"/>
      <c r="C710" s="4"/>
      <c r="D710" s="4"/>
      <c r="E710" s="4"/>
      <c r="F710" s="4"/>
      <c r="G710" s="4"/>
      <c r="H710" s="4"/>
      <c r="I710" s="190"/>
      <c r="J710" s="4"/>
      <c r="K710" s="4"/>
      <c r="L710" s="191"/>
      <c r="M710" s="192"/>
      <c r="N710" s="192"/>
      <c r="O710" s="192"/>
      <c r="P710" s="4"/>
      <c r="Q710" s="10"/>
      <c r="R710" s="10"/>
      <c r="S710" s="10"/>
      <c r="T710" s="10"/>
      <c r="U710" s="10"/>
      <c r="V710" s="10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</row>
    <row r="711" ht="20.25" customHeight="1">
      <c r="A711" s="4"/>
      <c r="B711" s="189"/>
      <c r="C711" s="4"/>
      <c r="D711" s="4"/>
      <c r="E711" s="4"/>
      <c r="F711" s="4"/>
      <c r="G711" s="4"/>
      <c r="H711" s="4"/>
      <c r="I711" s="190"/>
      <c r="J711" s="4"/>
      <c r="K711" s="4"/>
      <c r="L711" s="191"/>
      <c r="M711" s="192"/>
      <c r="N711" s="192"/>
      <c r="O711" s="192"/>
      <c r="P711" s="4"/>
      <c r="Q711" s="10"/>
      <c r="R711" s="10"/>
      <c r="S711" s="10"/>
      <c r="T711" s="10"/>
      <c r="U711" s="10"/>
      <c r="V711" s="10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</row>
    <row r="712" ht="20.25" customHeight="1">
      <c r="A712" s="4"/>
      <c r="B712" s="189"/>
      <c r="C712" s="4"/>
      <c r="D712" s="4"/>
      <c r="E712" s="4"/>
      <c r="F712" s="4"/>
      <c r="G712" s="4"/>
      <c r="H712" s="4"/>
      <c r="I712" s="190"/>
      <c r="J712" s="4"/>
      <c r="K712" s="4"/>
      <c r="L712" s="191"/>
      <c r="M712" s="192"/>
      <c r="N712" s="192"/>
      <c r="O712" s="192"/>
      <c r="P712" s="4"/>
      <c r="Q712" s="10"/>
      <c r="R712" s="10"/>
      <c r="S712" s="10"/>
      <c r="T712" s="10"/>
      <c r="U712" s="10"/>
      <c r="V712" s="10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</row>
    <row r="713" ht="20.25" customHeight="1">
      <c r="A713" s="4"/>
      <c r="B713" s="189"/>
      <c r="C713" s="4"/>
      <c r="D713" s="4"/>
      <c r="E713" s="4"/>
      <c r="F713" s="4"/>
      <c r="G713" s="4"/>
      <c r="H713" s="4"/>
      <c r="I713" s="190"/>
      <c r="J713" s="4"/>
      <c r="K713" s="4"/>
      <c r="L713" s="191"/>
      <c r="M713" s="192"/>
      <c r="N713" s="192"/>
      <c r="O713" s="192"/>
      <c r="P713" s="4"/>
      <c r="Q713" s="10"/>
      <c r="R713" s="10"/>
      <c r="S713" s="10"/>
      <c r="T713" s="10"/>
      <c r="U713" s="10"/>
      <c r="V713" s="10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</row>
    <row r="714" ht="20.25" customHeight="1">
      <c r="A714" s="4"/>
      <c r="B714" s="189"/>
      <c r="C714" s="4"/>
      <c r="D714" s="4"/>
      <c r="E714" s="4"/>
      <c r="F714" s="4"/>
      <c r="G714" s="4"/>
      <c r="H714" s="4"/>
      <c r="I714" s="190"/>
      <c r="J714" s="4"/>
      <c r="K714" s="4"/>
      <c r="L714" s="191"/>
      <c r="M714" s="192"/>
      <c r="N714" s="192"/>
      <c r="O714" s="192"/>
      <c r="P714" s="4"/>
      <c r="Q714" s="10"/>
      <c r="R714" s="10"/>
      <c r="S714" s="10"/>
      <c r="T714" s="10"/>
      <c r="U714" s="10"/>
      <c r="V714" s="10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</row>
    <row r="715" ht="20.25" customHeight="1">
      <c r="A715" s="4"/>
      <c r="B715" s="189"/>
      <c r="C715" s="4"/>
      <c r="D715" s="4"/>
      <c r="E715" s="4"/>
      <c r="F715" s="4"/>
      <c r="G715" s="4"/>
      <c r="H715" s="4"/>
      <c r="I715" s="190"/>
      <c r="J715" s="4"/>
      <c r="K715" s="4"/>
      <c r="L715" s="191"/>
      <c r="M715" s="192"/>
      <c r="N715" s="192"/>
      <c r="O715" s="192"/>
      <c r="P715" s="4"/>
      <c r="Q715" s="10"/>
      <c r="R715" s="10"/>
      <c r="S715" s="10"/>
      <c r="T715" s="10"/>
      <c r="U715" s="10"/>
      <c r="V715" s="10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</row>
    <row r="716" ht="20.25" customHeight="1">
      <c r="A716" s="4"/>
      <c r="B716" s="189"/>
      <c r="C716" s="4"/>
      <c r="D716" s="4"/>
      <c r="E716" s="4"/>
      <c r="F716" s="4"/>
      <c r="G716" s="4"/>
      <c r="H716" s="4"/>
      <c r="I716" s="190"/>
      <c r="J716" s="4"/>
      <c r="K716" s="4"/>
      <c r="L716" s="191"/>
      <c r="M716" s="192"/>
      <c r="N716" s="192"/>
      <c r="O716" s="192"/>
      <c r="P716" s="4"/>
      <c r="Q716" s="10"/>
      <c r="R716" s="10"/>
      <c r="S716" s="10"/>
      <c r="T716" s="10"/>
      <c r="U716" s="10"/>
      <c r="V716" s="10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</row>
    <row r="717" ht="20.25" customHeight="1">
      <c r="A717" s="4"/>
      <c r="B717" s="189"/>
      <c r="C717" s="4"/>
      <c r="D717" s="4"/>
      <c r="E717" s="4"/>
      <c r="F717" s="4"/>
      <c r="G717" s="4"/>
      <c r="H717" s="4"/>
      <c r="I717" s="190"/>
      <c r="J717" s="4"/>
      <c r="K717" s="4"/>
      <c r="L717" s="191"/>
      <c r="M717" s="192"/>
      <c r="N717" s="192"/>
      <c r="O717" s="192"/>
      <c r="P717" s="4"/>
      <c r="Q717" s="10"/>
      <c r="R717" s="10"/>
      <c r="S717" s="10"/>
      <c r="T717" s="10"/>
      <c r="U717" s="10"/>
      <c r="V717" s="10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</row>
    <row r="718" ht="20.25" customHeight="1">
      <c r="A718" s="4"/>
      <c r="B718" s="189"/>
      <c r="C718" s="4"/>
      <c r="D718" s="4"/>
      <c r="E718" s="4"/>
      <c r="F718" s="4"/>
      <c r="G718" s="4"/>
      <c r="H718" s="4"/>
      <c r="I718" s="190"/>
      <c r="J718" s="4"/>
      <c r="K718" s="4"/>
      <c r="L718" s="191"/>
      <c r="M718" s="192"/>
      <c r="N718" s="192"/>
      <c r="O718" s="192"/>
      <c r="P718" s="4"/>
      <c r="Q718" s="10"/>
      <c r="R718" s="10"/>
      <c r="S718" s="10"/>
      <c r="T718" s="10"/>
      <c r="U718" s="10"/>
      <c r="V718" s="10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</row>
    <row r="719" ht="20.25" customHeight="1">
      <c r="A719" s="4"/>
      <c r="B719" s="189"/>
      <c r="C719" s="4"/>
      <c r="D719" s="4"/>
      <c r="E719" s="4"/>
      <c r="F719" s="4"/>
      <c r="G719" s="4"/>
      <c r="H719" s="4"/>
      <c r="I719" s="190"/>
      <c r="J719" s="4"/>
      <c r="K719" s="4"/>
      <c r="L719" s="191"/>
      <c r="M719" s="192"/>
      <c r="N719" s="192"/>
      <c r="O719" s="192"/>
      <c r="P719" s="4"/>
      <c r="Q719" s="10"/>
      <c r="R719" s="10"/>
      <c r="S719" s="10"/>
      <c r="T719" s="10"/>
      <c r="U719" s="10"/>
      <c r="V719" s="10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</row>
    <row r="720" ht="20.25" customHeight="1">
      <c r="A720" s="4"/>
      <c r="B720" s="189"/>
      <c r="C720" s="4"/>
      <c r="D720" s="4"/>
      <c r="E720" s="4"/>
      <c r="F720" s="4"/>
      <c r="G720" s="4"/>
      <c r="H720" s="4"/>
      <c r="I720" s="190"/>
      <c r="J720" s="4"/>
      <c r="K720" s="4"/>
      <c r="L720" s="191"/>
      <c r="M720" s="192"/>
      <c r="N720" s="192"/>
      <c r="O720" s="192"/>
      <c r="P720" s="4"/>
      <c r="Q720" s="10"/>
      <c r="R720" s="10"/>
      <c r="S720" s="10"/>
      <c r="T720" s="10"/>
      <c r="U720" s="10"/>
      <c r="V720" s="10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</row>
    <row r="721" ht="20.25" customHeight="1">
      <c r="A721" s="4"/>
      <c r="B721" s="189"/>
      <c r="C721" s="4"/>
      <c r="D721" s="4"/>
      <c r="E721" s="4"/>
      <c r="F721" s="4"/>
      <c r="G721" s="4"/>
      <c r="H721" s="4"/>
      <c r="I721" s="190"/>
      <c r="J721" s="4"/>
      <c r="K721" s="4"/>
      <c r="L721" s="191"/>
      <c r="M721" s="192"/>
      <c r="N721" s="192"/>
      <c r="O721" s="192"/>
      <c r="P721" s="4"/>
      <c r="Q721" s="10"/>
      <c r="R721" s="10"/>
      <c r="S721" s="10"/>
      <c r="T721" s="10"/>
      <c r="U721" s="10"/>
      <c r="V721" s="10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</row>
    <row r="722" ht="20.25" customHeight="1">
      <c r="A722" s="4"/>
      <c r="B722" s="189"/>
      <c r="C722" s="4"/>
      <c r="D722" s="4"/>
      <c r="E722" s="4"/>
      <c r="F722" s="4"/>
      <c r="G722" s="4"/>
      <c r="H722" s="4"/>
      <c r="I722" s="190"/>
      <c r="J722" s="4"/>
      <c r="K722" s="4"/>
      <c r="L722" s="191"/>
      <c r="M722" s="192"/>
      <c r="N722" s="192"/>
      <c r="O722" s="192"/>
      <c r="P722" s="4"/>
      <c r="Q722" s="10"/>
      <c r="R722" s="10"/>
      <c r="S722" s="10"/>
      <c r="T722" s="10"/>
      <c r="U722" s="10"/>
      <c r="V722" s="10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</row>
    <row r="723" ht="20.25" customHeight="1">
      <c r="A723" s="4"/>
      <c r="B723" s="189"/>
      <c r="C723" s="4"/>
      <c r="D723" s="4"/>
      <c r="E723" s="4"/>
      <c r="F723" s="4"/>
      <c r="G723" s="4"/>
      <c r="H723" s="4"/>
      <c r="I723" s="190"/>
      <c r="J723" s="4"/>
      <c r="K723" s="4"/>
      <c r="L723" s="191"/>
      <c r="M723" s="192"/>
      <c r="N723" s="192"/>
      <c r="O723" s="192"/>
      <c r="P723" s="4"/>
      <c r="Q723" s="10"/>
      <c r="R723" s="10"/>
      <c r="S723" s="10"/>
      <c r="T723" s="10"/>
      <c r="U723" s="10"/>
      <c r="V723" s="10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</row>
    <row r="724" ht="20.25" customHeight="1">
      <c r="A724" s="4"/>
      <c r="B724" s="189"/>
      <c r="C724" s="4"/>
      <c r="D724" s="4"/>
      <c r="E724" s="4"/>
      <c r="F724" s="4"/>
      <c r="G724" s="4"/>
      <c r="H724" s="4"/>
      <c r="I724" s="190"/>
      <c r="J724" s="4"/>
      <c r="K724" s="4"/>
      <c r="L724" s="191"/>
      <c r="M724" s="192"/>
      <c r="N724" s="192"/>
      <c r="O724" s="192"/>
      <c r="P724" s="4"/>
      <c r="Q724" s="10"/>
      <c r="R724" s="10"/>
      <c r="S724" s="10"/>
      <c r="T724" s="10"/>
      <c r="U724" s="10"/>
      <c r="V724" s="10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</row>
    <row r="725" ht="20.25" customHeight="1">
      <c r="A725" s="4"/>
      <c r="B725" s="189"/>
      <c r="C725" s="4"/>
      <c r="D725" s="4"/>
      <c r="E725" s="4"/>
      <c r="F725" s="4"/>
      <c r="G725" s="4"/>
      <c r="H725" s="4"/>
      <c r="I725" s="190"/>
      <c r="J725" s="4"/>
      <c r="K725" s="4"/>
      <c r="L725" s="191"/>
      <c r="M725" s="192"/>
      <c r="N725" s="192"/>
      <c r="O725" s="192"/>
      <c r="P725" s="4"/>
      <c r="Q725" s="10"/>
      <c r="R725" s="10"/>
      <c r="S725" s="10"/>
      <c r="T725" s="10"/>
      <c r="U725" s="10"/>
      <c r="V725" s="10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</row>
    <row r="726" ht="20.25" customHeight="1">
      <c r="A726" s="4"/>
      <c r="B726" s="189"/>
      <c r="C726" s="4"/>
      <c r="D726" s="4"/>
      <c r="E726" s="4"/>
      <c r="F726" s="4"/>
      <c r="G726" s="4"/>
      <c r="H726" s="4"/>
      <c r="I726" s="190"/>
      <c r="J726" s="4"/>
      <c r="K726" s="4"/>
      <c r="L726" s="191"/>
      <c r="M726" s="192"/>
      <c r="N726" s="192"/>
      <c r="O726" s="192"/>
      <c r="P726" s="4"/>
      <c r="Q726" s="10"/>
      <c r="R726" s="10"/>
      <c r="S726" s="10"/>
      <c r="T726" s="10"/>
      <c r="U726" s="10"/>
      <c r="V726" s="10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</row>
    <row r="727" ht="20.25" customHeight="1">
      <c r="A727" s="4"/>
      <c r="B727" s="189"/>
      <c r="C727" s="4"/>
      <c r="D727" s="4"/>
      <c r="E727" s="4"/>
      <c r="F727" s="4"/>
      <c r="G727" s="4"/>
      <c r="H727" s="4"/>
      <c r="I727" s="190"/>
      <c r="J727" s="4"/>
      <c r="K727" s="4"/>
      <c r="L727" s="191"/>
      <c r="M727" s="192"/>
      <c r="N727" s="192"/>
      <c r="O727" s="192"/>
      <c r="P727" s="4"/>
      <c r="Q727" s="10"/>
      <c r="R727" s="10"/>
      <c r="S727" s="10"/>
      <c r="T727" s="10"/>
      <c r="U727" s="10"/>
      <c r="V727" s="10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</row>
    <row r="728" ht="20.25" customHeight="1">
      <c r="A728" s="4"/>
      <c r="B728" s="189"/>
      <c r="C728" s="4"/>
      <c r="D728" s="4"/>
      <c r="E728" s="4"/>
      <c r="F728" s="4"/>
      <c r="G728" s="4"/>
      <c r="H728" s="4"/>
      <c r="I728" s="190"/>
      <c r="J728" s="4"/>
      <c r="K728" s="4"/>
      <c r="L728" s="191"/>
      <c r="M728" s="192"/>
      <c r="N728" s="192"/>
      <c r="O728" s="192"/>
      <c r="P728" s="4"/>
      <c r="Q728" s="10"/>
      <c r="R728" s="10"/>
      <c r="S728" s="10"/>
      <c r="T728" s="10"/>
      <c r="U728" s="10"/>
      <c r="V728" s="10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</row>
    <row r="729" ht="20.25" customHeight="1">
      <c r="A729" s="4"/>
      <c r="B729" s="189"/>
      <c r="C729" s="4"/>
      <c r="D729" s="4"/>
      <c r="E729" s="4"/>
      <c r="F729" s="4"/>
      <c r="G729" s="4"/>
      <c r="H729" s="4"/>
      <c r="I729" s="190"/>
      <c r="J729" s="4"/>
      <c r="K729" s="4"/>
      <c r="L729" s="191"/>
      <c r="M729" s="192"/>
      <c r="N729" s="192"/>
      <c r="O729" s="192"/>
      <c r="P729" s="4"/>
      <c r="Q729" s="10"/>
      <c r="R729" s="10"/>
      <c r="S729" s="10"/>
      <c r="T729" s="10"/>
      <c r="U729" s="10"/>
      <c r="V729" s="10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</row>
    <row r="730" ht="20.25" customHeight="1">
      <c r="A730" s="4"/>
      <c r="B730" s="189"/>
      <c r="C730" s="4"/>
      <c r="D730" s="4"/>
      <c r="E730" s="4"/>
      <c r="F730" s="4"/>
      <c r="G730" s="4"/>
      <c r="H730" s="4"/>
      <c r="I730" s="190"/>
      <c r="J730" s="4"/>
      <c r="K730" s="4"/>
      <c r="L730" s="191"/>
      <c r="M730" s="192"/>
      <c r="N730" s="192"/>
      <c r="O730" s="192"/>
      <c r="P730" s="4"/>
      <c r="Q730" s="10"/>
      <c r="R730" s="10"/>
      <c r="S730" s="10"/>
      <c r="T730" s="10"/>
      <c r="U730" s="10"/>
      <c r="V730" s="10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</row>
    <row r="731" ht="20.25" customHeight="1">
      <c r="A731" s="4"/>
      <c r="B731" s="189"/>
      <c r="C731" s="4"/>
      <c r="D731" s="4"/>
      <c r="E731" s="4"/>
      <c r="F731" s="4"/>
      <c r="G731" s="4"/>
      <c r="H731" s="4"/>
      <c r="I731" s="190"/>
      <c r="J731" s="4"/>
      <c r="K731" s="4"/>
      <c r="L731" s="191"/>
      <c r="M731" s="192"/>
      <c r="N731" s="192"/>
      <c r="O731" s="192"/>
      <c r="P731" s="4"/>
      <c r="Q731" s="10"/>
      <c r="R731" s="10"/>
      <c r="S731" s="10"/>
      <c r="T731" s="10"/>
      <c r="U731" s="10"/>
      <c r="V731" s="10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</row>
    <row r="732" ht="20.25" customHeight="1">
      <c r="A732" s="4"/>
      <c r="B732" s="189"/>
      <c r="C732" s="4"/>
      <c r="D732" s="4"/>
      <c r="E732" s="4"/>
      <c r="F732" s="4"/>
      <c r="G732" s="4"/>
      <c r="H732" s="4"/>
      <c r="I732" s="190"/>
      <c r="J732" s="4"/>
      <c r="K732" s="4"/>
      <c r="L732" s="191"/>
      <c r="M732" s="192"/>
      <c r="N732" s="192"/>
      <c r="O732" s="192"/>
      <c r="P732" s="4"/>
      <c r="Q732" s="10"/>
      <c r="R732" s="10"/>
      <c r="S732" s="10"/>
      <c r="T732" s="10"/>
      <c r="U732" s="10"/>
      <c r="V732" s="10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</row>
    <row r="733" ht="20.25" customHeight="1">
      <c r="A733" s="4"/>
      <c r="B733" s="189"/>
      <c r="C733" s="4"/>
      <c r="D733" s="4"/>
      <c r="E733" s="4"/>
      <c r="F733" s="4"/>
      <c r="G733" s="4"/>
      <c r="H733" s="4"/>
      <c r="I733" s="190"/>
      <c r="J733" s="4"/>
      <c r="K733" s="4"/>
      <c r="L733" s="191"/>
      <c r="M733" s="192"/>
      <c r="N733" s="192"/>
      <c r="O733" s="192"/>
      <c r="P733" s="4"/>
      <c r="Q733" s="10"/>
      <c r="R733" s="10"/>
      <c r="S733" s="10"/>
      <c r="T733" s="10"/>
      <c r="U733" s="10"/>
      <c r="V733" s="10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</row>
    <row r="734" ht="20.25" customHeight="1">
      <c r="A734" s="4"/>
      <c r="B734" s="189"/>
      <c r="C734" s="4"/>
      <c r="D734" s="4"/>
      <c r="E734" s="4"/>
      <c r="F734" s="4"/>
      <c r="G734" s="4"/>
      <c r="H734" s="4"/>
      <c r="I734" s="190"/>
      <c r="J734" s="4"/>
      <c r="K734" s="4"/>
      <c r="L734" s="191"/>
      <c r="M734" s="192"/>
      <c r="N734" s="192"/>
      <c r="O734" s="192"/>
      <c r="P734" s="4"/>
      <c r="Q734" s="10"/>
      <c r="R734" s="10"/>
      <c r="S734" s="10"/>
      <c r="T734" s="10"/>
      <c r="U734" s="10"/>
      <c r="V734" s="10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</row>
    <row r="735" ht="20.25" customHeight="1">
      <c r="A735" s="4"/>
      <c r="B735" s="189"/>
      <c r="C735" s="4"/>
      <c r="D735" s="4"/>
      <c r="E735" s="4"/>
      <c r="F735" s="4"/>
      <c r="G735" s="4"/>
      <c r="H735" s="4"/>
      <c r="I735" s="190"/>
      <c r="J735" s="4"/>
      <c r="K735" s="4"/>
      <c r="L735" s="191"/>
      <c r="M735" s="192"/>
      <c r="N735" s="192"/>
      <c r="O735" s="192"/>
      <c r="P735" s="4"/>
      <c r="Q735" s="10"/>
      <c r="R735" s="10"/>
      <c r="S735" s="10"/>
      <c r="T735" s="10"/>
      <c r="U735" s="10"/>
      <c r="V735" s="10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</row>
    <row r="736" ht="20.25" customHeight="1">
      <c r="A736" s="4"/>
      <c r="B736" s="189"/>
      <c r="C736" s="4"/>
      <c r="D736" s="4"/>
      <c r="E736" s="4"/>
      <c r="F736" s="4"/>
      <c r="G736" s="4"/>
      <c r="H736" s="4"/>
      <c r="I736" s="190"/>
      <c r="J736" s="4"/>
      <c r="K736" s="4"/>
      <c r="L736" s="191"/>
      <c r="M736" s="192"/>
      <c r="N736" s="192"/>
      <c r="O736" s="192"/>
      <c r="P736" s="4"/>
      <c r="Q736" s="10"/>
      <c r="R736" s="10"/>
      <c r="S736" s="10"/>
      <c r="T736" s="10"/>
      <c r="U736" s="10"/>
      <c r="V736" s="10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</row>
    <row r="737" ht="20.25" customHeight="1">
      <c r="A737" s="4"/>
      <c r="B737" s="189"/>
      <c r="C737" s="4"/>
      <c r="D737" s="4"/>
      <c r="E737" s="4"/>
      <c r="F737" s="4"/>
      <c r="G737" s="4"/>
      <c r="H737" s="4"/>
      <c r="I737" s="190"/>
      <c r="J737" s="4"/>
      <c r="K737" s="4"/>
      <c r="L737" s="191"/>
      <c r="M737" s="192"/>
      <c r="N737" s="192"/>
      <c r="O737" s="192"/>
      <c r="P737" s="4"/>
      <c r="Q737" s="10"/>
      <c r="R737" s="10"/>
      <c r="S737" s="10"/>
      <c r="T737" s="10"/>
      <c r="U737" s="10"/>
      <c r="V737" s="10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</row>
    <row r="738" ht="20.25" customHeight="1">
      <c r="A738" s="4"/>
      <c r="B738" s="189"/>
      <c r="C738" s="4"/>
      <c r="D738" s="4"/>
      <c r="E738" s="4"/>
      <c r="F738" s="4"/>
      <c r="G738" s="4"/>
      <c r="H738" s="4"/>
      <c r="I738" s="190"/>
      <c r="J738" s="4"/>
      <c r="K738" s="4"/>
      <c r="L738" s="191"/>
      <c r="M738" s="192"/>
      <c r="N738" s="192"/>
      <c r="O738" s="192"/>
      <c r="P738" s="4"/>
      <c r="Q738" s="10"/>
      <c r="R738" s="10"/>
      <c r="S738" s="10"/>
      <c r="T738" s="10"/>
      <c r="U738" s="10"/>
      <c r="V738" s="10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</row>
    <row r="739" ht="20.25" customHeight="1">
      <c r="A739" s="4"/>
      <c r="B739" s="189"/>
      <c r="C739" s="4"/>
      <c r="D739" s="4"/>
      <c r="E739" s="4"/>
      <c r="F739" s="4"/>
      <c r="G739" s="4"/>
      <c r="H739" s="4"/>
      <c r="I739" s="190"/>
      <c r="J739" s="4"/>
      <c r="K739" s="4"/>
      <c r="L739" s="191"/>
      <c r="M739" s="192"/>
      <c r="N739" s="192"/>
      <c r="O739" s="192"/>
      <c r="P739" s="4"/>
      <c r="Q739" s="10"/>
      <c r="R739" s="10"/>
      <c r="S739" s="10"/>
      <c r="T739" s="10"/>
      <c r="U739" s="10"/>
      <c r="V739" s="10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</row>
    <row r="740" ht="20.25" customHeight="1">
      <c r="A740" s="4"/>
      <c r="B740" s="189"/>
      <c r="C740" s="4"/>
      <c r="D740" s="4"/>
      <c r="E740" s="4"/>
      <c r="F740" s="4"/>
      <c r="G740" s="4"/>
      <c r="H740" s="4"/>
      <c r="I740" s="190"/>
      <c r="J740" s="4"/>
      <c r="K740" s="4"/>
      <c r="L740" s="191"/>
      <c r="M740" s="192"/>
      <c r="N740" s="192"/>
      <c r="O740" s="192"/>
      <c r="P740" s="4"/>
      <c r="Q740" s="10"/>
      <c r="R740" s="10"/>
      <c r="S740" s="10"/>
      <c r="T740" s="10"/>
      <c r="U740" s="10"/>
      <c r="V740" s="10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</row>
    <row r="741" ht="20.25" customHeight="1">
      <c r="A741" s="4"/>
      <c r="B741" s="189"/>
      <c r="C741" s="4"/>
      <c r="D741" s="4"/>
      <c r="E741" s="4"/>
      <c r="F741" s="4"/>
      <c r="G741" s="4"/>
      <c r="H741" s="4"/>
      <c r="I741" s="190"/>
      <c r="J741" s="4"/>
      <c r="K741" s="4"/>
      <c r="L741" s="191"/>
      <c r="M741" s="192"/>
      <c r="N741" s="192"/>
      <c r="O741" s="192"/>
      <c r="P741" s="4"/>
      <c r="Q741" s="10"/>
      <c r="R741" s="10"/>
      <c r="S741" s="10"/>
      <c r="T741" s="10"/>
      <c r="U741" s="10"/>
      <c r="V741" s="10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</row>
    <row r="742" ht="20.25" customHeight="1">
      <c r="A742" s="4"/>
      <c r="B742" s="189"/>
      <c r="C742" s="4"/>
      <c r="D742" s="4"/>
      <c r="E742" s="4"/>
      <c r="F742" s="4"/>
      <c r="G742" s="4"/>
      <c r="H742" s="4"/>
      <c r="I742" s="190"/>
      <c r="J742" s="4"/>
      <c r="K742" s="4"/>
      <c r="L742" s="191"/>
      <c r="M742" s="192"/>
      <c r="N742" s="192"/>
      <c r="O742" s="192"/>
      <c r="P742" s="4"/>
      <c r="Q742" s="10"/>
      <c r="R742" s="10"/>
      <c r="S742" s="10"/>
      <c r="T742" s="10"/>
      <c r="U742" s="10"/>
      <c r="V742" s="10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</row>
    <row r="743" ht="20.25" customHeight="1">
      <c r="A743" s="4"/>
      <c r="B743" s="189"/>
      <c r="C743" s="4"/>
      <c r="D743" s="4"/>
      <c r="E743" s="4"/>
      <c r="F743" s="4"/>
      <c r="G743" s="4"/>
      <c r="H743" s="4"/>
      <c r="I743" s="190"/>
      <c r="J743" s="4"/>
      <c r="K743" s="4"/>
      <c r="L743" s="191"/>
      <c r="M743" s="192"/>
      <c r="N743" s="192"/>
      <c r="O743" s="192"/>
      <c r="P743" s="4"/>
      <c r="Q743" s="10"/>
      <c r="R743" s="10"/>
      <c r="S743" s="10"/>
      <c r="T743" s="10"/>
      <c r="U743" s="10"/>
      <c r="V743" s="10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</row>
    <row r="744" ht="20.25" customHeight="1">
      <c r="A744" s="4"/>
      <c r="B744" s="189"/>
      <c r="C744" s="4"/>
      <c r="D744" s="4"/>
      <c r="E744" s="4"/>
      <c r="F744" s="4"/>
      <c r="G744" s="4"/>
      <c r="H744" s="4"/>
      <c r="I744" s="190"/>
      <c r="J744" s="4"/>
      <c r="K744" s="4"/>
      <c r="L744" s="191"/>
      <c r="M744" s="192"/>
      <c r="N744" s="192"/>
      <c r="O744" s="192"/>
      <c r="P744" s="4"/>
      <c r="Q744" s="10"/>
      <c r="R744" s="10"/>
      <c r="S744" s="10"/>
      <c r="T744" s="10"/>
      <c r="U744" s="10"/>
      <c r="V744" s="10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</row>
    <row r="745" ht="20.25" customHeight="1">
      <c r="A745" s="4"/>
      <c r="B745" s="189"/>
      <c r="C745" s="4"/>
      <c r="D745" s="4"/>
      <c r="E745" s="4"/>
      <c r="F745" s="4"/>
      <c r="G745" s="4"/>
      <c r="H745" s="4"/>
      <c r="I745" s="190"/>
      <c r="J745" s="4"/>
      <c r="K745" s="4"/>
      <c r="L745" s="191"/>
      <c r="M745" s="192"/>
      <c r="N745" s="192"/>
      <c r="O745" s="192"/>
      <c r="P745" s="4"/>
      <c r="Q745" s="10"/>
      <c r="R745" s="10"/>
      <c r="S745" s="10"/>
      <c r="T745" s="10"/>
      <c r="U745" s="10"/>
      <c r="V745" s="10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</row>
    <row r="746" ht="20.25" customHeight="1">
      <c r="A746" s="4"/>
      <c r="B746" s="189"/>
      <c r="C746" s="4"/>
      <c r="D746" s="4"/>
      <c r="E746" s="4"/>
      <c r="F746" s="4"/>
      <c r="G746" s="4"/>
      <c r="H746" s="4"/>
      <c r="I746" s="190"/>
      <c r="J746" s="4"/>
      <c r="K746" s="4"/>
      <c r="L746" s="191"/>
      <c r="M746" s="192"/>
      <c r="N746" s="192"/>
      <c r="O746" s="192"/>
      <c r="P746" s="4"/>
      <c r="Q746" s="10"/>
      <c r="R746" s="10"/>
      <c r="S746" s="10"/>
      <c r="T746" s="10"/>
      <c r="U746" s="10"/>
      <c r="V746" s="10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</row>
    <row r="747" ht="20.25" customHeight="1">
      <c r="A747" s="4"/>
      <c r="B747" s="189"/>
      <c r="C747" s="4"/>
      <c r="D747" s="4"/>
      <c r="E747" s="4"/>
      <c r="F747" s="4"/>
      <c r="G747" s="4"/>
      <c r="H747" s="4"/>
      <c r="I747" s="190"/>
      <c r="J747" s="4"/>
      <c r="K747" s="4"/>
      <c r="L747" s="191"/>
      <c r="M747" s="192"/>
      <c r="N747" s="192"/>
      <c r="O747" s="192"/>
      <c r="P747" s="4"/>
      <c r="Q747" s="10"/>
      <c r="R747" s="10"/>
      <c r="S747" s="10"/>
      <c r="T747" s="10"/>
      <c r="U747" s="10"/>
      <c r="V747" s="10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</row>
    <row r="748" ht="20.25" customHeight="1">
      <c r="A748" s="4"/>
      <c r="B748" s="189"/>
      <c r="C748" s="4"/>
      <c r="D748" s="4"/>
      <c r="E748" s="4"/>
      <c r="F748" s="4"/>
      <c r="G748" s="4"/>
      <c r="H748" s="4"/>
      <c r="I748" s="190"/>
      <c r="J748" s="4"/>
      <c r="K748" s="4"/>
      <c r="L748" s="191"/>
      <c r="M748" s="192"/>
      <c r="N748" s="192"/>
      <c r="O748" s="192"/>
      <c r="P748" s="4"/>
      <c r="Q748" s="10"/>
      <c r="R748" s="10"/>
      <c r="S748" s="10"/>
      <c r="T748" s="10"/>
      <c r="U748" s="10"/>
      <c r="V748" s="10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</row>
    <row r="749" ht="20.25" customHeight="1">
      <c r="A749" s="4"/>
      <c r="B749" s="189"/>
      <c r="C749" s="4"/>
      <c r="D749" s="4"/>
      <c r="E749" s="4"/>
      <c r="F749" s="4"/>
      <c r="G749" s="4"/>
      <c r="H749" s="4"/>
      <c r="I749" s="190"/>
      <c r="J749" s="4"/>
      <c r="K749" s="4"/>
      <c r="L749" s="191"/>
      <c r="M749" s="192"/>
      <c r="N749" s="192"/>
      <c r="O749" s="192"/>
      <c r="P749" s="4"/>
      <c r="Q749" s="10"/>
      <c r="R749" s="10"/>
      <c r="S749" s="10"/>
      <c r="T749" s="10"/>
      <c r="U749" s="10"/>
      <c r="V749" s="10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</row>
    <row r="750" ht="20.25" customHeight="1">
      <c r="A750" s="4"/>
      <c r="B750" s="189"/>
      <c r="C750" s="4"/>
      <c r="D750" s="4"/>
      <c r="E750" s="4"/>
      <c r="F750" s="4"/>
      <c r="G750" s="4"/>
      <c r="H750" s="4"/>
      <c r="I750" s="190"/>
      <c r="J750" s="4"/>
      <c r="K750" s="4"/>
      <c r="L750" s="191"/>
      <c r="M750" s="192"/>
      <c r="N750" s="192"/>
      <c r="O750" s="192"/>
      <c r="P750" s="4"/>
      <c r="Q750" s="10"/>
      <c r="R750" s="10"/>
      <c r="S750" s="10"/>
      <c r="T750" s="10"/>
      <c r="U750" s="10"/>
      <c r="V750" s="10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</row>
    <row r="751" ht="20.25" customHeight="1">
      <c r="A751" s="4"/>
      <c r="B751" s="189"/>
      <c r="C751" s="4"/>
      <c r="D751" s="4"/>
      <c r="E751" s="4"/>
      <c r="F751" s="4"/>
      <c r="G751" s="4"/>
      <c r="H751" s="4"/>
      <c r="I751" s="190"/>
      <c r="J751" s="4"/>
      <c r="K751" s="4"/>
      <c r="L751" s="191"/>
      <c r="M751" s="192"/>
      <c r="N751" s="192"/>
      <c r="O751" s="192"/>
      <c r="P751" s="4"/>
      <c r="Q751" s="10"/>
      <c r="R751" s="10"/>
      <c r="S751" s="10"/>
      <c r="T751" s="10"/>
      <c r="U751" s="10"/>
      <c r="V751" s="10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</row>
    <row r="752" ht="20.25" customHeight="1">
      <c r="A752" s="4"/>
      <c r="B752" s="189"/>
      <c r="C752" s="4"/>
      <c r="D752" s="4"/>
      <c r="E752" s="4"/>
      <c r="F752" s="4"/>
      <c r="G752" s="4"/>
      <c r="H752" s="4"/>
      <c r="I752" s="190"/>
      <c r="J752" s="4"/>
      <c r="K752" s="4"/>
      <c r="L752" s="191"/>
      <c r="M752" s="192"/>
      <c r="N752" s="192"/>
      <c r="O752" s="192"/>
      <c r="P752" s="4"/>
      <c r="Q752" s="10"/>
      <c r="R752" s="10"/>
      <c r="S752" s="10"/>
      <c r="T752" s="10"/>
      <c r="U752" s="10"/>
      <c r="V752" s="10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</row>
    <row r="753" ht="20.25" customHeight="1">
      <c r="A753" s="4"/>
      <c r="B753" s="189"/>
      <c r="C753" s="4"/>
      <c r="D753" s="4"/>
      <c r="E753" s="4"/>
      <c r="F753" s="4"/>
      <c r="G753" s="4"/>
      <c r="H753" s="4"/>
      <c r="I753" s="190"/>
      <c r="J753" s="4"/>
      <c r="K753" s="4"/>
      <c r="L753" s="191"/>
      <c r="M753" s="192"/>
      <c r="N753" s="192"/>
      <c r="O753" s="192"/>
      <c r="P753" s="4"/>
      <c r="Q753" s="10"/>
      <c r="R753" s="10"/>
      <c r="S753" s="10"/>
      <c r="T753" s="10"/>
      <c r="U753" s="10"/>
      <c r="V753" s="10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</row>
    <row r="754" ht="20.25" customHeight="1">
      <c r="A754" s="4"/>
      <c r="B754" s="189"/>
      <c r="C754" s="4"/>
      <c r="D754" s="4"/>
      <c r="E754" s="4"/>
      <c r="F754" s="4"/>
      <c r="G754" s="4"/>
      <c r="H754" s="4"/>
      <c r="I754" s="190"/>
      <c r="J754" s="4"/>
      <c r="K754" s="4"/>
      <c r="L754" s="191"/>
      <c r="M754" s="192"/>
      <c r="N754" s="192"/>
      <c r="O754" s="192"/>
      <c r="P754" s="4"/>
      <c r="Q754" s="10"/>
      <c r="R754" s="10"/>
      <c r="S754" s="10"/>
      <c r="T754" s="10"/>
      <c r="U754" s="10"/>
      <c r="V754" s="10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</row>
    <row r="755" ht="20.25" customHeight="1">
      <c r="A755" s="4"/>
      <c r="B755" s="189"/>
      <c r="C755" s="4"/>
      <c r="D755" s="4"/>
      <c r="E755" s="4"/>
      <c r="F755" s="4"/>
      <c r="G755" s="4"/>
      <c r="H755" s="4"/>
      <c r="I755" s="190"/>
      <c r="J755" s="4"/>
      <c r="K755" s="4"/>
      <c r="L755" s="191"/>
      <c r="M755" s="192"/>
      <c r="N755" s="192"/>
      <c r="O755" s="192"/>
      <c r="P755" s="4"/>
      <c r="Q755" s="10"/>
      <c r="R755" s="10"/>
      <c r="S755" s="10"/>
      <c r="T755" s="10"/>
      <c r="U755" s="10"/>
      <c r="V755" s="10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</row>
    <row r="756" ht="20.25" customHeight="1">
      <c r="A756" s="4"/>
      <c r="B756" s="189"/>
      <c r="C756" s="4"/>
      <c r="D756" s="4"/>
      <c r="E756" s="4"/>
      <c r="F756" s="4"/>
      <c r="G756" s="4"/>
      <c r="H756" s="4"/>
      <c r="I756" s="190"/>
      <c r="J756" s="4"/>
      <c r="K756" s="4"/>
      <c r="L756" s="191"/>
      <c r="M756" s="192"/>
      <c r="N756" s="192"/>
      <c r="O756" s="192"/>
      <c r="P756" s="4"/>
      <c r="Q756" s="10"/>
      <c r="R756" s="10"/>
      <c r="S756" s="10"/>
      <c r="T756" s="10"/>
      <c r="U756" s="10"/>
      <c r="V756" s="10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</row>
    <row r="757" ht="20.25" customHeight="1">
      <c r="A757" s="4"/>
      <c r="B757" s="189"/>
      <c r="C757" s="4"/>
      <c r="D757" s="4"/>
      <c r="E757" s="4"/>
      <c r="F757" s="4"/>
      <c r="G757" s="4"/>
      <c r="H757" s="4"/>
      <c r="I757" s="190"/>
      <c r="J757" s="4"/>
      <c r="K757" s="4"/>
      <c r="L757" s="191"/>
      <c r="M757" s="192"/>
      <c r="N757" s="192"/>
      <c r="O757" s="192"/>
      <c r="P757" s="4"/>
      <c r="Q757" s="10"/>
      <c r="R757" s="10"/>
      <c r="S757" s="10"/>
      <c r="T757" s="10"/>
      <c r="U757" s="10"/>
      <c r="V757" s="10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</row>
    <row r="758" ht="20.25" customHeight="1">
      <c r="A758" s="4"/>
      <c r="B758" s="189"/>
      <c r="C758" s="4"/>
      <c r="D758" s="4"/>
      <c r="E758" s="4"/>
      <c r="F758" s="4"/>
      <c r="G758" s="4"/>
      <c r="H758" s="4"/>
      <c r="I758" s="190"/>
      <c r="J758" s="4"/>
      <c r="K758" s="4"/>
      <c r="L758" s="191"/>
      <c r="M758" s="192"/>
      <c r="N758" s="192"/>
      <c r="O758" s="192"/>
      <c r="P758" s="4"/>
      <c r="Q758" s="10"/>
      <c r="R758" s="10"/>
      <c r="S758" s="10"/>
      <c r="T758" s="10"/>
      <c r="U758" s="10"/>
      <c r="V758" s="10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</row>
    <row r="759" ht="20.25" customHeight="1">
      <c r="A759" s="4"/>
      <c r="B759" s="189"/>
      <c r="C759" s="4"/>
      <c r="D759" s="4"/>
      <c r="E759" s="4"/>
      <c r="F759" s="4"/>
      <c r="G759" s="4"/>
      <c r="H759" s="4"/>
      <c r="I759" s="190"/>
      <c r="J759" s="4"/>
      <c r="K759" s="4"/>
      <c r="L759" s="191"/>
      <c r="M759" s="192"/>
      <c r="N759" s="192"/>
      <c r="O759" s="192"/>
      <c r="P759" s="4"/>
      <c r="Q759" s="10"/>
      <c r="R759" s="10"/>
      <c r="S759" s="10"/>
      <c r="T759" s="10"/>
      <c r="U759" s="10"/>
      <c r="V759" s="10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</row>
    <row r="760" ht="20.25" customHeight="1">
      <c r="A760" s="4"/>
      <c r="B760" s="189"/>
      <c r="C760" s="4"/>
      <c r="D760" s="4"/>
      <c r="E760" s="4"/>
      <c r="F760" s="4"/>
      <c r="G760" s="4"/>
      <c r="H760" s="4"/>
      <c r="I760" s="190"/>
      <c r="J760" s="4"/>
      <c r="K760" s="4"/>
      <c r="L760" s="191"/>
      <c r="M760" s="192"/>
      <c r="N760" s="192"/>
      <c r="O760" s="192"/>
      <c r="P760" s="4"/>
      <c r="Q760" s="10"/>
      <c r="R760" s="10"/>
      <c r="S760" s="10"/>
      <c r="T760" s="10"/>
      <c r="U760" s="10"/>
      <c r="V760" s="10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</row>
    <row r="761" ht="20.25" customHeight="1">
      <c r="A761" s="4"/>
      <c r="B761" s="189"/>
      <c r="C761" s="4"/>
      <c r="D761" s="4"/>
      <c r="E761" s="4"/>
      <c r="F761" s="4"/>
      <c r="G761" s="4"/>
      <c r="H761" s="4"/>
      <c r="I761" s="190"/>
      <c r="J761" s="4"/>
      <c r="K761" s="4"/>
      <c r="L761" s="191"/>
      <c r="M761" s="192"/>
      <c r="N761" s="192"/>
      <c r="O761" s="192"/>
      <c r="P761" s="4"/>
      <c r="Q761" s="10"/>
      <c r="R761" s="10"/>
      <c r="S761" s="10"/>
      <c r="T761" s="10"/>
      <c r="U761" s="10"/>
      <c r="V761" s="10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</row>
    <row r="762" ht="20.25" customHeight="1">
      <c r="A762" s="4"/>
      <c r="B762" s="189"/>
      <c r="C762" s="4"/>
      <c r="D762" s="4"/>
      <c r="E762" s="4"/>
      <c r="F762" s="4"/>
      <c r="G762" s="4"/>
      <c r="H762" s="4"/>
      <c r="I762" s="190"/>
      <c r="J762" s="4"/>
      <c r="K762" s="4"/>
      <c r="L762" s="191"/>
      <c r="M762" s="192"/>
      <c r="N762" s="192"/>
      <c r="O762" s="192"/>
      <c r="P762" s="4"/>
      <c r="Q762" s="10"/>
      <c r="R762" s="10"/>
      <c r="S762" s="10"/>
      <c r="T762" s="10"/>
      <c r="U762" s="10"/>
      <c r="V762" s="10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</row>
    <row r="763" ht="20.25" customHeight="1">
      <c r="A763" s="4"/>
      <c r="B763" s="189"/>
      <c r="C763" s="4"/>
      <c r="D763" s="4"/>
      <c r="E763" s="4"/>
      <c r="F763" s="4"/>
      <c r="G763" s="4"/>
      <c r="H763" s="4"/>
      <c r="I763" s="190"/>
      <c r="J763" s="4"/>
      <c r="K763" s="4"/>
      <c r="L763" s="191"/>
      <c r="M763" s="192"/>
      <c r="N763" s="192"/>
      <c r="O763" s="192"/>
      <c r="P763" s="4"/>
      <c r="Q763" s="10"/>
      <c r="R763" s="10"/>
      <c r="S763" s="10"/>
      <c r="T763" s="10"/>
      <c r="U763" s="10"/>
      <c r="V763" s="10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</row>
    <row r="764" ht="20.25" customHeight="1">
      <c r="A764" s="4"/>
      <c r="B764" s="189"/>
      <c r="C764" s="4"/>
      <c r="D764" s="4"/>
      <c r="E764" s="4"/>
      <c r="F764" s="4"/>
      <c r="G764" s="4"/>
      <c r="H764" s="4"/>
      <c r="I764" s="190"/>
      <c r="J764" s="4"/>
      <c r="K764" s="4"/>
      <c r="L764" s="191"/>
      <c r="M764" s="192"/>
      <c r="N764" s="192"/>
      <c r="O764" s="192"/>
      <c r="P764" s="4"/>
      <c r="Q764" s="10"/>
      <c r="R764" s="10"/>
      <c r="S764" s="10"/>
      <c r="T764" s="10"/>
      <c r="U764" s="10"/>
      <c r="V764" s="10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</row>
    <row r="765" ht="20.25" customHeight="1">
      <c r="A765" s="4"/>
      <c r="B765" s="189"/>
      <c r="C765" s="4"/>
      <c r="D765" s="4"/>
      <c r="E765" s="4"/>
      <c r="F765" s="4"/>
      <c r="G765" s="4"/>
      <c r="H765" s="4"/>
      <c r="I765" s="190"/>
      <c r="J765" s="4"/>
      <c r="K765" s="4"/>
      <c r="L765" s="191"/>
      <c r="M765" s="192"/>
      <c r="N765" s="192"/>
      <c r="O765" s="192"/>
      <c r="P765" s="4"/>
      <c r="Q765" s="10"/>
      <c r="R765" s="10"/>
      <c r="S765" s="10"/>
      <c r="T765" s="10"/>
      <c r="U765" s="10"/>
      <c r="V765" s="10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</row>
    <row r="766" ht="20.25" customHeight="1">
      <c r="A766" s="4"/>
      <c r="B766" s="189"/>
      <c r="C766" s="4"/>
      <c r="D766" s="4"/>
      <c r="E766" s="4"/>
      <c r="F766" s="4"/>
      <c r="G766" s="4"/>
      <c r="H766" s="4"/>
      <c r="I766" s="190"/>
      <c r="J766" s="4"/>
      <c r="K766" s="4"/>
      <c r="L766" s="191"/>
      <c r="M766" s="192"/>
      <c r="N766" s="192"/>
      <c r="O766" s="192"/>
      <c r="P766" s="4"/>
      <c r="Q766" s="10"/>
      <c r="R766" s="10"/>
      <c r="S766" s="10"/>
      <c r="T766" s="10"/>
      <c r="U766" s="10"/>
      <c r="V766" s="10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</row>
    <row r="767" ht="20.25" customHeight="1">
      <c r="A767" s="4"/>
      <c r="B767" s="189"/>
      <c r="C767" s="4"/>
      <c r="D767" s="4"/>
      <c r="E767" s="4"/>
      <c r="F767" s="4"/>
      <c r="G767" s="4"/>
      <c r="H767" s="4"/>
      <c r="I767" s="190"/>
      <c r="J767" s="4"/>
      <c r="K767" s="4"/>
      <c r="L767" s="191"/>
      <c r="M767" s="192"/>
      <c r="N767" s="192"/>
      <c r="O767" s="192"/>
      <c r="P767" s="4"/>
      <c r="Q767" s="10"/>
      <c r="R767" s="10"/>
      <c r="S767" s="10"/>
      <c r="T767" s="10"/>
      <c r="U767" s="10"/>
      <c r="V767" s="10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</row>
    <row r="768" ht="20.25" customHeight="1">
      <c r="A768" s="4"/>
      <c r="B768" s="189"/>
      <c r="C768" s="4"/>
      <c r="D768" s="4"/>
      <c r="E768" s="4"/>
      <c r="F768" s="4"/>
      <c r="G768" s="4"/>
      <c r="H768" s="4"/>
      <c r="I768" s="190"/>
      <c r="J768" s="4"/>
      <c r="K768" s="4"/>
      <c r="L768" s="191"/>
      <c r="M768" s="192"/>
      <c r="N768" s="192"/>
      <c r="O768" s="192"/>
      <c r="P768" s="4"/>
      <c r="Q768" s="10"/>
      <c r="R768" s="10"/>
      <c r="S768" s="10"/>
      <c r="T768" s="10"/>
      <c r="U768" s="10"/>
      <c r="V768" s="10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</row>
    <row r="769" ht="20.25" customHeight="1">
      <c r="A769" s="4"/>
      <c r="B769" s="189"/>
      <c r="C769" s="4"/>
      <c r="D769" s="4"/>
      <c r="E769" s="4"/>
      <c r="F769" s="4"/>
      <c r="G769" s="4"/>
      <c r="H769" s="4"/>
      <c r="I769" s="190"/>
      <c r="J769" s="4"/>
      <c r="K769" s="4"/>
      <c r="L769" s="191"/>
      <c r="M769" s="192"/>
      <c r="N769" s="192"/>
      <c r="O769" s="192"/>
      <c r="P769" s="4"/>
      <c r="Q769" s="10"/>
      <c r="R769" s="10"/>
      <c r="S769" s="10"/>
      <c r="T769" s="10"/>
      <c r="U769" s="10"/>
      <c r="V769" s="10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</row>
    <row r="770" ht="20.25" customHeight="1">
      <c r="A770" s="4"/>
      <c r="B770" s="189"/>
      <c r="C770" s="4"/>
      <c r="D770" s="4"/>
      <c r="E770" s="4"/>
      <c r="F770" s="4"/>
      <c r="G770" s="4"/>
      <c r="H770" s="4"/>
      <c r="I770" s="190"/>
      <c r="J770" s="4"/>
      <c r="K770" s="4"/>
      <c r="L770" s="191"/>
      <c r="M770" s="192"/>
      <c r="N770" s="192"/>
      <c r="O770" s="192"/>
      <c r="P770" s="4"/>
      <c r="Q770" s="10"/>
      <c r="R770" s="10"/>
      <c r="S770" s="10"/>
      <c r="T770" s="10"/>
      <c r="U770" s="10"/>
      <c r="V770" s="10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</row>
    <row r="771" ht="20.25" customHeight="1">
      <c r="A771" s="4"/>
      <c r="B771" s="189"/>
      <c r="C771" s="4"/>
      <c r="D771" s="4"/>
      <c r="E771" s="4"/>
      <c r="F771" s="4"/>
      <c r="G771" s="4"/>
      <c r="H771" s="4"/>
      <c r="I771" s="190"/>
      <c r="J771" s="4"/>
      <c r="K771" s="4"/>
      <c r="L771" s="191"/>
      <c r="M771" s="192"/>
      <c r="N771" s="192"/>
      <c r="O771" s="192"/>
      <c r="P771" s="4"/>
      <c r="Q771" s="10"/>
      <c r="R771" s="10"/>
      <c r="S771" s="10"/>
      <c r="T771" s="10"/>
      <c r="U771" s="10"/>
      <c r="V771" s="10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</row>
    <row r="772" ht="20.25" customHeight="1">
      <c r="A772" s="4"/>
      <c r="B772" s="189"/>
      <c r="C772" s="4"/>
      <c r="D772" s="4"/>
      <c r="E772" s="4"/>
      <c r="F772" s="4"/>
      <c r="G772" s="4"/>
      <c r="H772" s="4"/>
      <c r="I772" s="190"/>
      <c r="J772" s="4"/>
      <c r="K772" s="4"/>
      <c r="L772" s="191"/>
      <c r="M772" s="192"/>
      <c r="N772" s="192"/>
      <c r="O772" s="192"/>
      <c r="P772" s="4"/>
      <c r="Q772" s="10"/>
      <c r="R772" s="10"/>
      <c r="S772" s="10"/>
      <c r="T772" s="10"/>
      <c r="U772" s="10"/>
      <c r="V772" s="10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</row>
    <row r="773" ht="20.25" customHeight="1">
      <c r="A773" s="4"/>
      <c r="B773" s="189"/>
      <c r="C773" s="4"/>
      <c r="D773" s="4"/>
      <c r="E773" s="4"/>
      <c r="F773" s="4"/>
      <c r="G773" s="4"/>
      <c r="H773" s="4"/>
      <c r="I773" s="190"/>
      <c r="J773" s="4"/>
      <c r="K773" s="4"/>
      <c r="L773" s="191"/>
      <c r="M773" s="192"/>
      <c r="N773" s="192"/>
      <c r="O773" s="192"/>
      <c r="P773" s="4"/>
      <c r="Q773" s="10"/>
      <c r="R773" s="10"/>
      <c r="S773" s="10"/>
      <c r="T773" s="10"/>
      <c r="U773" s="10"/>
      <c r="V773" s="10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</row>
    <row r="774" ht="20.25" customHeight="1">
      <c r="A774" s="4"/>
      <c r="B774" s="189"/>
      <c r="C774" s="4"/>
      <c r="D774" s="4"/>
      <c r="E774" s="4"/>
      <c r="F774" s="4"/>
      <c r="G774" s="4"/>
      <c r="H774" s="4"/>
      <c r="I774" s="190"/>
      <c r="J774" s="4"/>
      <c r="K774" s="4"/>
      <c r="L774" s="191"/>
      <c r="M774" s="192"/>
      <c r="N774" s="192"/>
      <c r="O774" s="192"/>
      <c r="P774" s="4"/>
      <c r="Q774" s="10"/>
      <c r="R774" s="10"/>
      <c r="S774" s="10"/>
      <c r="T774" s="10"/>
      <c r="U774" s="10"/>
      <c r="V774" s="10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</row>
    <row r="775" ht="20.25" customHeight="1">
      <c r="A775" s="4"/>
      <c r="B775" s="189"/>
      <c r="C775" s="4"/>
      <c r="D775" s="4"/>
      <c r="E775" s="4"/>
      <c r="F775" s="4"/>
      <c r="G775" s="4"/>
      <c r="H775" s="4"/>
      <c r="I775" s="190"/>
      <c r="J775" s="4"/>
      <c r="K775" s="4"/>
      <c r="L775" s="191"/>
      <c r="M775" s="192"/>
      <c r="N775" s="192"/>
      <c r="O775" s="192"/>
      <c r="P775" s="4"/>
      <c r="Q775" s="10"/>
      <c r="R775" s="10"/>
      <c r="S775" s="10"/>
      <c r="T775" s="10"/>
      <c r="U775" s="10"/>
      <c r="V775" s="10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</row>
    <row r="776" ht="20.25" customHeight="1">
      <c r="A776" s="4"/>
      <c r="B776" s="189"/>
      <c r="C776" s="4"/>
      <c r="D776" s="4"/>
      <c r="E776" s="4"/>
      <c r="F776" s="4"/>
      <c r="G776" s="4"/>
      <c r="H776" s="4"/>
      <c r="I776" s="190"/>
      <c r="J776" s="4"/>
      <c r="K776" s="4"/>
      <c r="L776" s="191"/>
      <c r="M776" s="192"/>
      <c r="N776" s="192"/>
      <c r="O776" s="192"/>
      <c r="P776" s="4"/>
      <c r="Q776" s="10"/>
      <c r="R776" s="10"/>
      <c r="S776" s="10"/>
      <c r="T776" s="10"/>
      <c r="U776" s="10"/>
      <c r="V776" s="10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</row>
    <row r="777" ht="20.25" customHeight="1">
      <c r="A777" s="4"/>
      <c r="B777" s="189"/>
      <c r="C777" s="4"/>
      <c r="D777" s="4"/>
      <c r="E777" s="4"/>
      <c r="F777" s="4"/>
      <c r="G777" s="4"/>
      <c r="H777" s="4"/>
      <c r="I777" s="190"/>
      <c r="J777" s="4"/>
      <c r="K777" s="4"/>
      <c r="L777" s="191"/>
      <c r="M777" s="192"/>
      <c r="N777" s="192"/>
      <c r="O777" s="192"/>
      <c r="P777" s="4"/>
      <c r="Q777" s="10"/>
      <c r="R777" s="10"/>
      <c r="S777" s="10"/>
      <c r="T777" s="10"/>
      <c r="U777" s="10"/>
      <c r="V777" s="10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</row>
    <row r="778" ht="20.25" customHeight="1">
      <c r="A778" s="4"/>
      <c r="B778" s="189"/>
      <c r="C778" s="4"/>
      <c r="D778" s="4"/>
      <c r="E778" s="4"/>
      <c r="F778" s="4"/>
      <c r="G778" s="4"/>
      <c r="H778" s="4"/>
      <c r="I778" s="190"/>
      <c r="J778" s="4"/>
      <c r="K778" s="4"/>
      <c r="L778" s="191"/>
      <c r="M778" s="192"/>
      <c r="N778" s="192"/>
      <c r="O778" s="192"/>
      <c r="P778" s="4"/>
      <c r="Q778" s="10"/>
      <c r="R778" s="10"/>
      <c r="S778" s="10"/>
      <c r="T778" s="10"/>
      <c r="U778" s="10"/>
      <c r="V778" s="10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</row>
    <row r="779" ht="20.25" customHeight="1">
      <c r="A779" s="4"/>
      <c r="B779" s="189"/>
      <c r="C779" s="4"/>
      <c r="D779" s="4"/>
      <c r="E779" s="4"/>
      <c r="F779" s="4"/>
      <c r="G779" s="4"/>
      <c r="H779" s="4"/>
      <c r="I779" s="190"/>
      <c r="J779" s="4"/>
      <c r="K779" s="4"/>
      <c r="L779" s="191"/>
      <c r="M779" s="192"/>
      <c r="N779" s="192"/>
      <c r="O779" s="192"/>
      <c r="P779" s="4"/>
      <c r="Q779" s="10"/>
      <c r="R779" s="10"/>
      <c r="S779" s="10"/>
      <c r="T779" s="10"/>
      <c r="U779" s="10"/>
      <c r="V779" s="10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</row>
    <row r="780" ht="20.25" customHeight="1">
      <c r="A780" s="4"/>
      <c r="B780" s="189"/>
      <c r="C780" s="4"/>
      <c r="D780" s="4"/>
      <c r="E780" s="4"/>
      <c r="F780" s="4"/>
      <c r="G780" s="4"/>
      <c r="H780" s="4"/>
      <c r="I780" s="190"/>
      <c r="J780" s="4"/>
      <c r="K780" s="4"/>
      <c r="L780" s="191"/>
      <c r="M780" s="192"/>
      <c r="N780" s="192"/>
      <c r="O780" s="192"/>
      <c r="P780" s="4"/>
      <c r="Q780" s="10"/>
      <c r="R780" s="10"/>
      <c r="S780" s="10"/>
      <c r="T780" s="10"/>
      <c r="U780" s="10"/>
      <c r="V780" s="10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</row>
    <row r="781" ht="20.25" customHeight="1">
      <c r="A781" s="4"/>
      <c r="B781" s="189"/>
      <c r="C781" s="4"/>
      <c r="D781" s="4"/>
      <c r="E781" s="4"/>
      <c r="F781" s="4"/>
      <c r="G781" s="4"/>
      <c r="H781" s="4"/>
      <c r="I781" s="190"/>
      <c r="J781" s="4"/>
      <c r="K781" s="4"/>
      <c r="L781" s="191"/>
      <c r="M781" s="192"/>
      <c r="N781" s="192"/>
      <c r="O781" s="192"/>
      <c r="P781" s="4"/>
      <c r="Q781" s="10"/>
      <c r="R781" s="10"/>
      <c r="S781" s="10"/>
      <c r="T781" s="10"/>
      <c r="U781" s="10"/>
      <c r="V781" s="10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</row>
    <row r="782" ht="20.25" customHeight="1">
      <c r="A782" s="4"/>
      <c r="B782" s="189"/>
      <c r="C782" s="4"/>
      <c r="D782" s="4"/>
      <c r="E782" s="4"/>
      <c r="F782" s="4"/>
      <c r="G782" s="4"/>
      <c r="H782" s="4"/>
      <c r="I782" s="190"/>
      <c r="J782" s="4"/>
      <c r="K782" s="4"/>
      <c r="L782" s="191"/>
      <c r="M782" s="192"/>
      <c r="N782" s="192"/>
      <c r="O782" s="192"/>
      <c r="P782" s="4"/>
      <c r="Q782" s="10"/>
      <c r="R782" s="10"/>
      <c r="S782" s="10"/>
      <c r="T782" s="10"/>
      <c r="U782" s="10"/>
      <c r="V782" s="10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</row>
    <row r="783" ht="20.25" customHeight="1">
      <c r="A783" s="4"/>
      <c r="B783" s="189"/>
      <c r="C783" s="4"/>
      <c r="D783" s="4"/>
      <c r="E783" s="4"/>
      <c r="F783" s="4"/>
      <c r="G783" s="4"/>
      <c r="H783" s="4"/>
      <c r="I783" s="190"/>
      <c r="J783" s="4"/>
      <c r="K783" s="4"/>
      <c r="L783" s="191"/>
      <c r="M783" s="192"/>
      <c r="N783" s="192"/>
      <c r="O783" s="192"/>
      <c r="P783" s="4"/>
      <c r="Q783" s="10"/>
      <c r="R783" s="10"/>
      <c r="S783" s="10"/>
      <c r="T783" s="10"/>
      <c r="U783" s="10"/>
      <c r="V783" s="10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</row>
    <row r="784" ht="20.25" customHeight="1">
      <c r="A784" s="4"/>
      <c r="B784" s="189"/>
      <c r="C784" s="4"/>
      <c r="D784" s="4"/>
      <c r="E784" s="4"/>
      <c r="F784" s="4"/>
      <c r="G784" s="4"/>
      <c r="H784" s="4"/>
      <c r="I784" s="190"/>
      <c r="J784" s="4"/>
      <c r="K784" s="4"/>
      <c r="L784" s="191"/>
      <c r="M784" s="192"/>
      <c r="N784" s="192"/>
      <c r="O784" s="192"/>
      <c r="P784" s="4"/>
      <c r="Q784" s="10"/>
      <c r="R784" s="10"/>
      <c r="S784" s="10"/>
      <c r="T784" s="10"/>
      <c r="U784" s="10"/>
      <c r="V784" s="10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</row>
    <row r="785" ht="20.25" customHeight="1">
      <c r="A785" s="4"/>
      <c r="B785" s="189"/>
      <c r="C785" s="4"/>
      <c r="D785" s="4"/>
      <c r="E785" s="4"/>
      <c r="F785" s="4"/>
      <c r="G785" s="4"/>
      <c r="H785" s="4"/>
      <c r="I785" s="190"/>
      <c r="J785" s="4"/>
      <c r="K785" s="4"/>
      <c r="L785" s="191"/>
      <c r="M785" s="192"/>
      <c r="N785" s="192"/>
      <c r="O785" s="192"/>
      <c r="P785" s="4"/>
      <c r="Q785" s="10"/>
      <c r="R785" s="10"/>
      <c r="S785" s="10"/>
      <c r="T785" s="10"/>
      <c r="U785" s="10"/>
      <c r="V785" s="10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</row>
    <row r="786" ht="20.25" customHeight="1">
      <c r="A786" s="4"/>
      <c r="B786" s="189"/>
      <c r="C786" s="4"/>
      <c r="D786" s="4"/>
      <c r="E786" s="4"/>
      <c r="F786" s="4"/>
      <c r="G786" s="4"/>
      <c r="H786" s="4"/>
      <c r="I786" s="190"/>
      <c r="J786" s="4"/>
      <c r="K786" s="4"/>
      <c r="L786" s="191"/>
      <c r="M786" s="192"/>
      <c r="N786" s="192"/>
      <c r="O786" s="192"/>
      <c r="P786" s="4"/>
      <c r="Q786" s="10"/>
      <c r="R786" s="10"/>
      <c r="S786" s="10"/>
      <c r="T786" s="10"/>
      <c r="U786" s="10"/>
      <c r="V786" s="10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</row>
    <row r="787" ht="20.25" customHeight="1">
      <c r="A787" s="4"/>
      <c r="B787" s="189"/>
      <c r="C787" s="4"/>
      <c r="D787" s="4"/>
      <c r="E787" s="4"/>
      <c r="F787" s="4"/>
      <c r="G787" s="4"/>
      <c r="H787" s="4"/>
      <c r="I787" s="190"/>
      <c r="J787" s="4"/>
      <c r="K787" s="4"/>
      <c r="L787" s="191"/>
      <c r="M787" s="192"/>
      <c r="N787" s="192"/>
      <c r="O787" s="192"/>
      <c r="P787" s="4"/>
      <c r="Q787" s="10"/>
      <c r="R787" s="10"/>
      <c r="S787" s="10"/>
      <c r="T787" s="10"/>
      <c r="U787" s="10"/>
      <c r="V787" s="10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</row>
    <row r="788" ht="20.25" customHeight="1">
      <c r="A788" s="4"/>
      <c r="B788" s="189"/>
      <c r="C788" s="4"/>
      <c r="D788" s="4"/>
      <c r="E788" s="4"/>
      <c r="F788" s="4"/>
      <c r="G788" s="4"/>
      <c r="H788" s="4"/>
      <c r="I788" s="190"/>
      <c r="J788" s="4"/>
      <c r="K788" s="4"/>
      <c r="L788" s="191"/>
      <c r="M788" s="192"/>
      <c r="N788" s="192"/>
      <c r="O788" s="192"/>
      <c r="P788" s="4"/>
      <c r="Q788" s="10"/>
      <c r="R788" s="10"/>
      <c r="S788" s="10"/>
      <c r="T788" s="10"/>
      <c r="U788" s="10"/>
      <c r="V788" s="10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</row>
    <row r="789" ht="20.25" customHeight="1">
      <c r="A789" s="4"/>
      <c r="B789" s="189"/>
      <c r="C789" s="4"/>
      <c r="D789" s="4"/>
      <c r="E789" s="4"/>
      <c r="F789" s="4"/>
      <c r="G789" s="4"/>
      <c r="H789" s="4"/>
      <c r="I789" s="190"/>
      <c r="J789" s="4"/>
      <c r="K789" s="4"/>
      <c r="L789" s="191"/>
      <c r="M789" s="192"/>
      <c r="N789" s="192"/>
      <c r="O789" s="192"/>
      <c r="P789" s="4"/>
      <c r="Q789" s="10"/>
      <c r="R789" s="10"/>
      <c r="S789" s="10"/>
      <c r="T789" s="10"/>
      <c r="U789" s="10"/>
      <c r="V789" s="10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</row>
    <row r="790" ht="20.25" customHeight="1">
      <c r="A790" s="4"/>
      <c r="B790" s="189"/>
      <c r="C790" s="4"/>
      <c r="D790" s="4"/>
      <c r="E790" s="4"/>
      <c r="F790" s="4"/>
      <c r="G790" s="4"/>
      <c r="H790" s="4"/>
      <c r="I790" s="190"/>
      <c r="J790" s="4"/>
      <c r="K790" s="4"/>
      <c r="L790" s="191"/>
      <c r="M790" s="192"/>
      <c r="N790" s="192"/>
      <c r="O790" s="192"/>
      <c r="P790" s="4"/>
      <c r="Q790" s="10"/>
      <c r="R790" s="10"/>
      <c r="S790" s="10"/>
      <c r="T790" s="10"/>
      <c r="U790" s="10"/>
      <c r="V790" s="10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</row>
    <row r="791" ht="20.25" customHeight="1">
      <c r="A791" s="4"/>
      <c r="B791" s="189"/>
      <c r="C791" s="4"/>
      <c r="D791" s="4"/>
      <c r="E791" s="4"/>
      <c r="F791" s="4"/>
      <c r="G791" s="4"/>
      <c r="H791" s="4"/>
      <c r="I791" s="190"/>
      <c r="J791" s="4"/>
      <c r="K791" s="4"/>
      <c r="L791" s="191"/>
      <c r="M791" s="192"/>
      <c r="N791" s="192"/>
      <c r="O791" s="192"/>
      <c r="P791" s="4"/>
      <c r="Q791" s="10"/>
      <c r="R791" s="10"/>
      <c r="S791" s="10"/>
      <c r="T791" s="10"/>
      <c r="U791" s="10"/>
      <c r="V791" s="10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</row>
    <row r="792" ht="20.25" customHeight="1">
      <c r="A792" s="4"/>
      <c r="B792" s="189"/>
      <c r="C792" s="4"/>
      <c r="D792" s="4"/>
      <c r="E792" s="4"/>
      <c r="F792" s="4"/>
      <c r="G792" s="4"/>
      <c r="H792" s="4"/>
      <c r="I792" s="190"/>
      <c r="J792" s="4"/>
      <c r="K792" s="4"/>
      <c r="L792" s="191"/>
      <c r="M792" s="192"/>
      <c r="N792" s="192"/>
      <c r="O792" s="192"/>
      <c r="P792" s="4"/>
      <c r="Q792" s="10"/>
      <c r="R792" s="10"/>
      <c r="S792" s="10"/>
      <c r="T792" s="10"/>
      <c r="U792" s="10"/>
      <c r="V792" s="10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</row>
    <row r="793" ht="20.25" customHeight="1">
      <c r="A793" s="4"/>
      <c r="B793" s="189"/>
      <c r="C793" s="4"/>
      <c r="D793" s="4"/>
      <c r="E793" s="4"/>
      <c r="F793" s="4"/>
      <c r="G793" s="4"/>
      <c r="H793" s="4"/>
      <c r="I793" s="190"/>
      <c r="J793" s="4"/>
      <c r="K793" s="4"/>
      <c r="L793" s="191"/>
      <c r="M793" s="192"/>
      <c r="N793" s="192"/>
      <c r="O793" s="192"/>
      <c r="P793" s="4"/>
      <c r="Q793" s="10"/>
      <c r="R793" s="10"/>
      <c r="S793" s="10"/>
      <c r="T793" s="10"/>
      <c r="U793" s="10"/>
      <c r="V793" s="10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</row>
    <row r="794" ht="20.25" customHeight="1">
      <c r="A794" s="4"/>
      <c r="B794" s="189"/>
      <c r="C794" s="4"/>
      <c r="D794" s="4"/>
      <c r="E794" s="4"/>
      <c r="F794" s="4"/>
      <c r="G794" s="4"/>
      <c r="H794" s="4"/>
      <c r="I794" s="190"/>
      <c r="J794" s="4"/>
      <c r="K794" s="4"/>
      <c r="L794" s="191"/>
      <c r="M794" s="192"/>
      <c r="N794" s="192"/>
      <c r="O794" s="192"/>
      <c r="P794" s="4"/>
      <c r="Q794" s="10"/>
      <c r="R794" s="10"/>
      <c r="S794" s="10"/>
      <c r="T794" s="10"/>
      <c r="U794" s="10"/>
      <c r="V794" s="10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</row>
    <row r="795" ht="20.25" customHeight="1">
      <c r="A795" s="4"/>
      <c r="B795" s="189"/>
      <c r="C795" s="4"/>
      <c r="D795" s="4"/>
      <c r="E795" s="4"/>
      <c r="F795" s="4"/>
      <c r="G795" s="4"/>
      <c r="H795" s="4"/>
      <c r="I795" s="190"/>
      <c r="J795" s="4"/>
      <c r="K795" s="4"/>
      <c r="L795" s="191"/>
      <c r="M795" s="192"/>
      <c r="N795" s="192"/>
      <c r="O795" s="192"/>
      <c r="P795" s="4"/>
      <c r="Q795" s="10"/>
      <c r="R795" s="10"/>
      <c r="S795" s="10"/>
      <c r="T795" s="10"/>
      <c r="U795" s="10"/>
      <c r="V795" s="10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</row>
    <row r="796" ht="20.25" customHeight="1">
      <c r="A796" s="4"/>
      <c r="B796" s="189"/>
      <c r="C796" s="4"/>
      <c r="D796" s="4"/>
      <c r="E796" s="4"/>
      <c r="F796" s="4"/>
      <c r="G796" s="4"/>
      <c r="H796" s="4"/>
      <c r="I796" s="190"/>
      <c r="J796" s="4"/>
      <c r="K796" s="4"/>
      <c r="L796" s="191"/>
      <c r="M796" s="192"/>
      <c r="N796" s="192"/>
      <c r="O796" s="192"/>
      <c r="P796" s="4"/>
      <c r="Q796" s="10"/>
      <c r="R796" s="10"/>
      <c r="S796" s="10"/>
      <c r="T796" s="10"/>
      <c r="U796" s="10"/>
      <c r="V796" s="10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</row>
    <row r="797" ht="20.25" customHeight="1">
      <c r="A797" s="4"/>
      <c r="B797" s="189"/>
      <c r="C797" s="4"/>
      <c r="D797" s="4"/>
      <c r="E797" s="4"/>
      <c r="F797" s="4"/>
      <c r="G797" s="4"/>
      <c r="H797" s="4"/>
      <c r="I797" s="190"/>
      <c r="J797" s="4"/>
      <c r="K797" s="4"/>
      <c r="L797" s="191"/>
      <c r="M797" s="192"/>
      <c r="N797" s="192"/>
      <c r="O797" s="192"/>
      <c r="P797" s="4"/>
      <c r="Q797" s="10"/>
      <c r="R797" s="10"/>
      <c r="S797" s="10"/>
      <c r="T797" s="10"/>
      <c r="U797" s="10"/>
      <c r="V797" s="10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</row>
    <row r="798" ht="20.25" customHeight="1">
      <c r="A798" s="4"/>
      <c r="B798" s="189"/>
      <c r="C798" s="4"/>
      <c r="D798" s="4"/>
      <c r="E798" s="4"/>
      <c r="F798" s="4"/>
      <c r="G798" s="4"/>
      <c r="H798" s="4"/>
      <c r="I798" s="190"/>
      <c r="J798" s="4"/>
      <c r="K798" s="4"/>
      <c r="L798" s="191"/>
      <c r="M798" s="192"/>
      <c r="N798" s="192"/>
      <c r="O798" s="192"/>
      <c r="P798" s="4"/>
      <c r="Q798" s="10"/>
      <c r="R798" s="10"/>
      <c r="S798" s="10"/>
      <c r="T798" s="10"/>
      <c r="U798" s="10"/>
      <c r="V798" s="10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</row>
    <row r="799" ht="20.25" customHeight="1">
      <c r="A799" s="4"/>
      <c r="B799" s="189"/>
      <c r="C799" s="4"/>
      <c r="D799" s="4"/>
      <c r="E799" s="4"/>
      <c r="F799" s="4"/>
      <c r="G799" s="4"/>
      <c r="H799" s="4"/>
      <c r="I799" s="190"/>
      <c r="J799" s="4"/>
      <c r="K799" s="4"/>
      <c r="L799" s="191"/>
      <c r="M799" s="192"/>
      <c r="N799" s="192"/>
      <c r="O799" s="192"/>
      <c r="P799" s="4"/>
      <c r="Q799" s="10"/>
      <c r="R799" s="10"/>
      <c r="S799" s="10"/>
      <c r="T799" s="10"/>
      <c r="U799" s="10"/>
      <c r="V799" s="10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</row>
    <row r="800" ht="20.25" customHeight="1">
      <c r="A800" s="4"/>
      <c r="B800" s="189"/>
      <c r="C800" s="4"/>
      <c r="D800" s="4"/>
      <c r="E800" s="4"/>
      <c r="F800" s="4"/>
      <c r="G800" s="4"/>
      <c r="H800" s="4"/>
      <c r="I800" s="190"/>
      <c r="J800" s="4"/>
      <c r="K800" s="4"/>
      <c r="L800" s="191"/>
      <c r="M800" s="192"/>
      <c r="N800" s="192"/>
      <c r="O800" s="192"/>
      <c r="P800" s="4"/>
      <c r="Q800" s="10"/>
      <c r="R800" s="10"/>
      <c r="S800" s="10"/>
      <c r="T800" s="10"/>
      <c r="U800" s="10"/>
      <c r="V800" s="10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</row>
    <row r="801" ht="20.25" customHeight="1">
      <c r="A801" s="4"/>
      <c r="B801" s="189"/>
      <c r="C801" s="4"/>
      <c r="D801" s="4"/>
      <c r="E801" s="4"/>
      <c r="F801" s="4"/>
      <c r="G801" s="4"/>
      <c r="H801" s="4"/>
      <c r="I801" s="190"/>
      <c r="J801" s="4"/>
      <c r="K801" s="4"/>
      <c r="L801" s="191"/>
      <c r="M801" s="192"/>
      <c r="N801" s="192"/>
      <c r="O801" s="192"/>
      <c r="P801" s="4"/>
      <c r="Q801" s="10"/>
      <c r="R801" s="10"/>
      <c r="S801" s="10"/>
      <c r="T801" s="10"/>
      <c r="U801" s="10"/>
      <c r="V801" s="10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</row>
    <row r="802" ht="20.25" customHeight="1">
      <c r="A802" s="4"/>
      <c r="B802" s="189"/>
      <c r="C802" s="4"/>
      <c r="D802" s="4"/>
      <c r="E802" s="4"/>
      <c r="F802" s="4"/>
      <c r="G802" s="4"/>
      <c r="H802" s="4"/>
      <c r="I802" s="190"/>
      <c r="J802" s="4"/>
      <c r="K802" s="4"/>
      <c r="L802" s="191"/>
      <c r="M802" s="192"/>
      <c r="N802" s="192"/>
      <c r="O802" s="192"/>
      <c r="P802" s="4"/>
      <c r="Q802" s="10"/>
      <c r="R802" s="10"/>
      <c r="S802" s="10"/>
      <c r="T802" s="10"/>
      <c r="U802" s="10"/>
      <c r="V802" s="10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</row>
    <row r="803" ht="20.25" customHeight="1">
      <c r="A803" s="4"/>
      <c r="B803" s="189"/>
      <c r="C803" s="4"/>
      <c r="D803" s="4"/>
      <c r="E803" s="4"/>
      <c r="F803" s="4"/>
      <c r="G803" s="4"/>
      <c r="H803" s="4"/>
      <c r="I803" s="190"/>
      <c r="J803" s="4"/>
      <c r="K803" s="4"/>
      <c r="L803" s="191"/>
      <c r="M803" s="192"/>
      <c r="N803" s="192"/>
      <c r="O803" s="192"/>
      <c r="P803" s="4"/>
      <c r="Q803" s="10"/>
      <c r="R803" s="10"/>
      <c r="S803" s="10"/>
      <c r="T803" s="10"/>
      <c r="U803" s="10"/>
      <c r="V803" s="10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</row>
    <row r="804" ht="20.25" customHeight="1">
      <c r="A804" s="4"/>
      <c r="B804" s="189"/>
      <c r="C804" s="4"/>
      <c r="D804" s="4"/>
      <c r="E804" s="4"/>
      <c r="F804" s="4"/>
      <c r="G804" s="4"/>
      <c r="H804" s="4"/>
      <c r="I804" s="190"/>
      <c r="J804" s="4"/>
      <c r="K804" s="4"/>
      <c r="L804" s="191"/>
      <c r="M804" s="192"/>
      <c r="N804" s="192"/>
      <c r="O804" s="192"/>
      <c r="P804" s="4"/>
      <c r="Q804" s="10"/>
      <c r="R804" s="10"/>
      <c r="S804" s="10"/>
      <c r="T804" s="10"/>
      <c r="U804" s="10"/>
      <c r="V804" s="10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</row>
    <row r="805" ht="20.25" customHeight="1">
      <c r="A805" s="4"/>
      <c r="B805" s="189"/>
      <c r="C805" s="4"/>
      <c r="D805" s="4"/>
      <c r="E805" s="4"/>
      <c r="F805" s="4"/>
      <c r="G805" s="4"/>
      <c r="H805" s="4"/>
      <c r="I805" s="190"/>
      <c r="J805" s="4"/>
      <c r="K805" s="4"/>
      <c r="L805" s="191"/>
      <c r="M805" s="192"/>
      <c r="N805" s="192"/>
      <c r="O805" s="192"/>
      <c r="P805" s="4"/>
      <c r="Q805" s="10"/>
      <c r="R805" s="10"/>
      <c r="S805" s="10"/>
      <c r="T805" s="10"/>
      <c r="U805" s="10"/>
      <c r="V805" s="10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</row>
    <row r="806" ht="20.25" customHeight="1">
      <c r="A806" s="4"/>
      <c r="B806" s="189"/>
      <c r="C806" s="4"/>
      <c r="D806" s="4"/>
      <c r="E806" s="4"/>
      <c r="F806" s="4"/>
      <c r="G806" s="4"/>
      <c r="H806" s="4"/>
      <c r="I806" s="190"/>
      <c r="J806" s="4"/>
      <c r="K806" s="4"/>
      <c r="L806" s="191"/>
      <c r="M806" s="192"/>
      <c r="N806" s="192"/>
      <c r="O806" s="192"/>
      <c r="P806" s="4"/>
      <c r="Q806" s="10"/>
      <c r="R806" s="10"/>
      <c r="S806" s="10"/>
      <c r="T806" s="10"/>
      <c r="U806" s="10"/>
      <c r="V806" s="10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</row>
    <row r="807" ht="20.25" customHeight="1">
      <c r="A807" s="4"/>
      <c r="B807" s="189"/>
      <c r="C807" s="4"/>
      <c r="D807" s="4"/>
      <c r="E807" s="4"/>
      <c r="F807" s="4"/>
      <c r="G807" s="4"/>
      <c r="H807" s="4"/>
      <c r="I807" s="190"/>
      <c r="J807" s="4"/>
      <c r="K807" s="4"/>
      <c r="L807" s="191"/>
      <c r="M807" s="192"/>
      <c r="N807" s="192"/>
      <c r="O807" s="192"/>
      <c r="P807" s="4"/>
      <c r="Q807" s="10"/>
      <c r="R807" s="10"/>
      <c r="S807" s="10"/>
      <c r="T807" s="10"/>
      <c r="U807" s="10"/>
      <c r="V807" s="10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</row>
    <row r="808" ht="20.25" customHeight="1">
      <c r="A808" s="4"/>
      <c r="B808" s="189"/>
      <c r="C808" s="4"/>
      <c r="D808" s="4"/>
      <c r="E808" s="4"/>
      <c r="F808" s="4"/>
      <c r="G808" s="4"/>
      <c r="H808" s="4"/>
      <c r="I808" s="190"/>
      <c r="J808" s="4"/>
      <c r="K808" s="4"/>
      <c r="L808" s="191"/>
      <c r="M808" s="192"/>
      <c r="N808" s="192"/>
      <c r="O808" s="192"/>
      <c r="P808" s="4"/>
      <c r="Q808" s="10"/>
      <c r="R808" s="10"/>
      <c r="S808" s="10"/>
      <c r="T808" s="10"/>
      <c r="U808" s="10"/>
      <c r="V808" s="10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</row>
    <row r="809" ht="20.25" customHeight="1">
      <c r="A809" s="4"/>
      <c r="B809" s="189"/>
      <c r="C809" s="4"/>
      <c r="D809" s="4"/>
      <c r="E809" s="4"/>
      <c r="F809" s="4"/>
      <c r="G809" s="4"/>
      <c r="H809" s="4"/>
      <c r="I809" s="190"/>
      <c r="J809" s="4"/>
      <c r="K809" s="4"/>
      <c r="L809" s="191"/>
      <c r="M809" s="192"/>
      <c r="N809" s="192"/>
      <c r="O809" s="192"/>
      <c r="P809" s="4"/>
      <c r="Q809" s="10"/>
      <c r="R809" s="10"/>
      <c r="S809" s="10"/>
      <c r="T809" s="10"/>
      <c r="U809" s="10"/>
      <c r="V809" s="10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</row>
    <row r="810" ht="20.25" customHeight="1">
      <c r="A810" s="4"/>
      <c r="B810" s="189"/>
      <c r="C810" s="4"/>
      <c r="D810" s="4"/>
      <c r="E810" s="4"/>
      <c r="F810" s="4"/>
      <c r="G810" s="4"/>
      <c r="H810" s="4"/>
      <c r="I810" s="190"/>
      <c r="J810" s="4"/>
      <c r="K810" s="4"/>
      <c r="L810" s="191"/>
      <c r="M810" s="192"/>
      <c r="N810" s="192"/>
      <c r="O810" s="192"/>
      <c r="P810" s="4"/>
      <c r="Q810" s="10"/>
      <c r="R810" s="10"/>
      <c r="S810" s="10"/>
      <c r="T810" s="10"/>
      <c r="U810" s="10"/>
      <c r="V810" s="10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</row>
    <row r="811" ht="20.25" customHeight="1">
      <c r="A811" s="4"/>
      <c r="B811" s="189"/>
      <c r="C811" s="4"/>
      <c r="D811" s="4"/>
      <c r="E811" s="4"/>
      <c r="F811" s="4"/>
      <c r="G811" s="4"/>
      <c r="H811" s="4"/>
      <c r="I811" s="190"/>
      <c r="J811" s="4"/>
      <c r="K811" s="4"/>
      <c r="L811" s="191"/>
      <c r="M811" s="192"/>
      <c r="N811" s="192"/>
      <c r="O811" s="192"/>
      <c r="P811" s="4"/>
      <c r="Q811" s="10"/>
      <c r="R811" s="10"/>
      <c r="S811" s="10"/>
      <c r="T811" s="10"/>
      <c r="U811" s="10"/>
      <c r="V811" s="10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</row>
    <row r="812" ht="20.25" customHeight="1">
      <c r="A812" s="4"/>
      <c r="B812" s="189"/>
      <c r="C812" s="4"/>
      <c r="D812" s="4"/>
      <c r="E812" s="4"/>
      <c r="F812" s="4"/>
      <c r="G812" s="4"/>
      <c r="H812" s="4"/>
      <c r="I812" s="190"/>
      <c r="J812" s="4"/>
      <c r="K812" s="4"/>
      <c r="L812" s="191"/>
      <c r="M812" s="192"/>
      <c r="N812" s="192"/>
      <c r="O812" s="192"/>
      <c r="P812" s="4"/>
      <c r="Q812" s="10"/>
      <c r="R812" s="10"/>
      <c r="S812" s="10"/>
      <c r="T812" s="10"/>
      <c r="U812" s="10"/>
      <c r="V812" s="10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</row>
    <row r="813" ht="20.25" customHeight="1">
      <c r="A813" s="4"/>
      <c r="B813" s="189"/>
      <c r="C813" s="4"/>
      <c r="D813" s="4"/>
      <c r="E813" s="4"/>
      <c r="F813" s="4"/>
      <c r="G813" s="4"/>
      <c r="H813" s="4"/>
      <c r="I813" s="190"/>
      <c r="J813" s="4"/>
      <c r="K813" s="4"/>
      <c r="L813" s="191"/>
      <c r="M813" s="192"/>
      <c r="N813" s="192"/>
      <c r="O813" s="192"/>
      <c r="P813" s="4"/>
      <c r="Q813" s="10"/>
      <c r="R813" s="10"/>
      <c r="S813" s="10"/>
      <c r="T813" s="10"/>
      <c r="U813" s="10"/>
      <c r="V813" s="10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</row>
    <row r="814" ht="20.25" customHeight="1">
      <c r="A814" s="4"/>
      <c r="B814" s="189"/>
      <c r="C814" s="4"/>
      <c r="D814" s="4"/>
      <c r="E814" s="4"/>
      <c r="F814" s="4"/>
      <c r="G814" s="4"/>
      <c r="H814" s="4"/>
      <c r="I814" s="190"/>
      <c r="J814" s="4"/>
      <c r="K814" s="4"/>
      <c r="L814" s="191"/>
      <c r="M814" s="192"/>
      <c r="N814" s="192"/>
      <c r="O814" s="192"/>
      <c r="P814" s="4"/>
      <c r="Q814" s="10"/>
      <c r="R814" s="10"/>
      <c r="S814" s="10"/>
      <c r="T814" s="10"/>
      <c r="U814" s="10"/>
      <c r="V814" s="10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</row>
    <row r="815" ht="20.25" customHeight="1">
      <c r="A815" s="4"/>
      <c r="B815" s="189"/>
      <c r="C815" s="4"/>
      <c r="D815" s="4"/>
      <c r="E815" s="4"/>
      <c r="F815" s="4"/>
      <c r="G815" s="4"/>
      <c r="H815" s="4"/>
      <c r="I815" s="190"/>
      <c r="J815" s="4"/>
      <c r="K815" s="4"/>
      <c r="L815" s="191"/>
      <c r="M815" s="192"/>
      <c r="N815" s="192"/>
      <c r="O815" s="192"/>
      <c r="P815" s="4"/>
      <c r="Q815" s="10"/>
      <c r="R815" s="10"/>
      <c r="S815" s="10"/>
      <c r="T815" s="10"/>
      <c r="U815" s="10"/>
      <c r="V815" s="10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</row>
    <row r="816" ht="20.25" customHeight="1">
      <c r="A816" s="4"/>
      <c r="B816" s="189"/>
      <c r="C816" s="4"/>
      <c r="D816" s="4"/>
      <c r="E816" s="4"/>
      <c r="F816" s="4"/>
      <c r="G816" s="4"/>
      <c r="H816" s="4"/>
      <c r="I816" s="190"/>
      <c r="J816" s="4"/>
      <c r="K816" s="4"/>
      <c r="L816" s="191"/>
      <c r="M816" s="192"/>
      <c r="N816" s="192"/>
      <c r="O816" s="192"/>
      <c r="P816" s="4"/>
      <c r="Q816" s="10"/>
      <c r="R816" s="10"/>
      <c r="S816" s="10"/>
      <c r="T816" s="10"/>
      <c r="U816" s="10"/>
      <c r="V816" s="10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</row>
    <row r="817" ht="20.25" customHeight="1">
      <c r="A817" s="4"/>
      <c r="B817" s="189"/>
      <c r="C817" s="4"/>
      <c r="D817" s="4"/>
      <c r="E817" s="4"/>
      <c r="F817" s="4"/>
      <c r="G817" s="4"/>
      <c r="H817" s="4"/>
      <c r="I817" s="190"/>
      <c r="J817" s="4"/>
      <c r="K817" s="4"/>
      <c r="L817" s="191"/>
      <c r="M817" s="192"/>
      <c r="N817" s="192"/>
      <c r="O817" s="192"/>
      <c r="P817" s="4"/>
      <c r="Q817" s="10"/>
      <c r="R817" s="10"/>
      <c r="S817" s="10"/>
      <c r="T817" s="10"/>
      <c r="U817" s="10"/>
      <c r="V817" s="10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</row>
    <row r="818" ht="20.25" customHeight="1">
      <c r="A818" s="4"/>
      <c r="B818" s="189"/>
      <c r="C818" s="4"/>
      <c r="D818" s="4"/>
      <c r="E818" s="4"/>
      <c r="F818" s="4"/>
      <c r="G818" s="4"/>
      <c r="H818" s="4"/>
      <c r="I818" s="190"/>
      <c r="J818" s="4"/>
      <c r="K818" s="4"/>
      <c r="L818" s="191"/>
      <c r="M818" s="192"/>
      <c r="N818" s="192"/>
      <c r="O818" s="192"/>
      <c r="P818" s="4"/>
      <c r="Q818" s="10"/>
      <c r="R818" s="10"/>
      <c r="S818" s="10"/>
      <c r="T818" s="10"/>
      <c r="U818" s="10"/>
      <c r="V818" s="10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</row>
    <row r="819" ht="20.25" customHeight="1">
      <c r="A819" s="4"/>
      <c r="B819" s="189"/>
      <c r="C819" s="4"/>
      <c r="D819" s="4"/>
      <c r="E819" s="4"/>
      <c r="F819" s="4"/>
      <c r="G819" s="4"/>
      <c r="H819" s="4"/>
      <c r="I819" s="190"/>
      <c r="J819" s="4"/>
      <c r="K819" s="4"/>
      <c r="L819" s="191"/>
      <c r="M819" s="192"/>
      <c r="N819" s="192"/>
      <c r="O819" s="192"/>
      <c r="P819" s="4"/>
      <c r="Q819" s="10"/>
      <c r="R819" s="10"/>
      <c r="S819" s="10"/>
      <c r="T819" s="10"/>
      <c r="U819" s="10"/>
      <c r="V819" s="10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</row>
    <row r="820" ht="20.25" customHeight="1">
      <c r="A820" s="4"/>
      <c r="B820" s="189"/>
      <c r="C820" s="4"/>
      <c r="D820" s="4"/>
      <c r="E820" s="4"/>
      <c r="F820" s="4"/>
      <c r="G820" s="4"/>
      <c r="H820" s="4"/>
      <c r="I820" s="190"/>
      <c r="J820" s="4"/>
      <c r="K820" s="4"/>
      <c r="L820" s="191"/>
      <c r="M820" s="192"/>
      <c r="N820" s="192"/>
      <c r="O820" s="192"/>
      <c r="P820" s="4"/>
      <c r="Q820" s="10"/>
      <c r="R820" s="10"/>
      <c r="S820" s="10"/>
      <c r="T820" s="10"/>
      <c r="U820" s="10"/>
      <c r="V820" s="10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</row>
    <row r="821" ht="20.25" customHeight="1">
      <c r="A821" s="4"/>
      <c r="B821" s="189"/>
      <c r="C821" s="4"/>
      <c r="D821" s="4"/>
      <c r="E821" s="4"/>
      <c r="F821" s="4"/>
      <c r="G821" s="4"/>
      <c r="H821" s="4"/>
      <c r="I821" s="190"/>
      <c r="J821" s="4"/>
      <c r="K821" s="4"/>
      <c r="L821" s="191"/>
      <c r="M821" s="192"/>
      <c r="N821" s="192"/>
      <c r="O821" s="192"/>
      <c r="P821" s="4"/>
      <c r="Q821" s="10"/>
      <c r="R821" s="10"/>
      <c r="S821" s="10"/>
      <c r="T821" s="10"/>
      <c r="U821" s="10"/>
      <c r="V821" s="10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</row>
    <row r="822" ht="20.25" customHeight="1">
      <c r="A822" s="4"/>
      <c r="B822" s="189"/>
      <c r="C822" s="4"/>
      <c r="D822" s="4"/>
      <c r="E822" s="4"/>
      <c r="F822" s="4"/>
      <c r="G822" s="4"/>
      <c r="H822" s="4"/>
      <c r="I822" s="190"/>
      <c r="J822" s="4"/>
      <c r="K822" s="4"/>
      <c r="L822" s="191"/>
      <c r="M822" s="192"/>
      <c r="N822" s="192"/>
      <c r="O822" s="192"/>
      <c r="P822" s="4"/>
      <c r="Q822" s="10"/>
      <c r="R822" s="10"/>
      <c r="S822" s="10"/>
      <c r="T822" s="10"/>
      <c r="U822" s="10"/>
      <c r="V822" s="10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</row>
    <row r="823" ht="20.25" customHeight="1">
      <c r="A823" s="4"/>
      <c r="B823" s="189"/>
      <c r="C823" s="4"/>
      <c r="D823" s="4"/>
      <c r="E823" s="4"/>
      <c r="F823" s="4"/>
      <c r="G823" s="4"/>
      <c r="H823" s="4"/>
      <c r="I823" s="190"/>
      <c r="J823" s="4"/>
      <c r="K823" s="4"/>
      <c r="L823" s="191"/>
      <c r="M823" s="192"/>
      <c r="N823" s="192"/>
      <c r="O823" s="192"/>
      <c r="P823" s="4"/>
      <c r="Q823" s="10"/>
      <c r="R823" s="10"/>
      <c r="S823" s="10"/>
      <c r="T823" s="10"/>
      <c r="U823" s="10"/>
      <c r="V823" s="10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</row>
    <row r="824" ht="20.25" customHeight="1">
      <c r="A824" s="4"/>
      <c r="B824" s="189"/>
      <c r="C824" s="4"/>
      <c r="D824" s="4"/>
      <c r="E824" s="4"/>
      <c r="F824" s="4"/>
      <c r="G824" s="4"/>
      <c r="H824" s="4"/>
      <c r="I824" s="190"/>
      <c r="J824" s="4"/>
      <c r="K824" s="4"/>
      <c r="L824" s="191"/>
      <c r="M824" s="192"/>
      <c r="N824" s="192"/>
      <c r="O824" s="192"/>
      <c r="P824" s="4"/>
      <c r="Q824" s="10"/>
      <c r="R824" s="10"/>
      <c r="S824" s="10"/>
      <c r="T824" s="10"/>
      <c r="U824" s="10"/>
      <c r="V824" s="10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</row>
    <row r="825" ht="20.25" customHeight="1">
      <c r="A825" s="4"/>
      <c r="B825" s="189"/>
      <c r="C825" s="4"/>
      <c r="D825" s="4"/>
      <c r="E825" s="4"/>
      <c r="F825" s="4"/>
      <c r="G825" s="4"/>
      <c r="H825" s="4"/>
      <c r="I825" s="190"/>
      <c r="J825" s="4"/>
      <c r="K825" s="4"/>
      <c r="L825" s="191"/>
      <c r="M825" s="192"/>
      <c r="N825" s="192"/>
      <c r="O825" s="192"/>
      <c r="P825" s="4"/>
      <c r="Q825" s="10"/>
      <c r="R825" s="10"/>
      <c r="S825" s="10"/>
      <c r="T825" s="10"/>
      <c r="U825" s="10"/>
      <c r="V825" s="10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</row>
    <row r="826" ht="20.25" customHeight="1">
      <c r="A826" s="4"/>
      <c r="B826" s="189"/>
      <c r="C826" s="4"/>
      <c r="D826" s="4"/>
      <c r="E826" s="4"/>
      <c r="F826" s="4"/>
      <c r="G826" s="4"/>
      <c r="H826" s="4"/>
      <c r="I826" s="190"/>
      <c r="J826" s="4"/>
      <c r="K826" s="4"/>
      <c r="L826" s="191"/>
      <c r="M826" s="192"/>
      <c r="N826" s="192"/>
      <c r="O826" s="192"/>
      <c r="P826" s="4"/>
      <c r="Q826" s="10"/>
      <c r="R826" s="10"/>
      <c r="S826" s="10"/>
      <c r="T826" s="10"/>
      <c r="U826" s="10"/>
      <c r="V826" s="10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</row>
    <row r="827" ht="20.25" customHeight="1">
      <c r="A827" s="4"/>
      <c r="B827" s="189"/>
      <c r="C827" s="4"/>
      <c r="D827" s="4"/>
      <c r="E827" s="4"/>
      <c r="F827" s="4"/>
      <c r="G827" s="4"/>
      <c r="H827" s="4"/>
      <c r="I827" s="190"/>
      <c r="J827" s="4"/>
      <c r="K827" s="4"/>
      <c r="L827" s="191"/>
      <c r="M827" s="192"/>
      <c r="N827" s="192"/>
      <c r="O827" s="192"/>
      <c r="P827" s="4"/>
      <c r="Q827" s="10"/>
      <c r="R827" s="10"/>
      <c r="S827" s="10"/>
      <c r="T827" s="10"/>
      <c r="U827" s="10"/>
      <c r="V827" s="10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</row>
    <row r="828" ht="20.25" customHeight="1">
      <c r="A828" s="4"/>
      <c r="B828" s="189"/>
      <c r="C828" s="4"/>
      <c r="D828" s="4"/>
      <c r="E828" s="4"/>
      <c r="F828" s="4"/>
      <c r="G828" s="4"/>
      <c r="H828" s="4"/>
      <c r="I828" s="190"/>
      <c r="J828" s="4"/>
      <c r="K828" s="4"/>
      <c r="L828" s="191"/>
      <c r="M828" s="192"/>
      <c r="N828" s="192"/>
      <c r="O828" s="192"/>
      <c r="P828" s="4"/>
      <c r="Q828" s="10"/>
      <c r="R828" s="10"/>
      <c r="S828" s="10"/>
      <c r="T828" s="10"/>
      <c r="U828" s="10"/>
      <c r="V828" s="10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</row>
    <row r="829" ht="20.25" customHeight="1">
      <c r="A829" s="4"/>
      <c r="B829" s="189"/>
      <c r="C829" s="4"/>
      <c r="D829" s="4"/>
      <c r="E829" s="4"/>
      <c r="F829" s="4"/>
      <c r="G829" s="4"/>
      <c r="H829" s="4"/>
      <c r="I829" s="190"/>
      <c r="J829" s="4"/>
      <c r="K829" s="4"/>
      <c r="L829" s="191"/>
      <c r="M829" s="192"/>
      <c r="N829" s="192"/>
      <c r="O829" s="192"/>
      <c r="P829" s="4"/>
      <c r="Q829" s="10"/>
      <c r="R829" s="10"/>
      <c r="S829" s="10"/>
      <c r="T829" s="10"/>
      <c r="U829" s="10"/>
      <c r="V829" s="10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</row>
    <row r="830" ht="20.25" customHeight="1">
      <c r="A830" s="4"/>
      <c r="B830" s="189"/>
      <c r="C830" s="4"/>
      <c r="D830" s="4"/>
      <c r="E830" s="4"/>
      <c r="F830" s="4"/>
      <c r="G830" s="4"/>
      <c r="H830" s="4"/>
      <c r="I830" s="190"/>
      <c r="J830" s="4"/>
      <c r="K830" s="4"/>
      <c r="L830" s="191"/>
      <c r="M830" s="192"/>
      <c r="N830" s="192"/>
      <c r="O830" s="192"/>
      <c r="P830" s="4"/>
      <c r="Q830" s="10"/>
      <c r="R830" s="10"/>
      <c r="S830" s="10"/>
      <c r="T830" s="10"/>
      <c r="U830" s="10"/>
      <c r="V830" s="10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</row>
    <row r="831" ht="20.25" customHeight="1">
      <c r="A831" s="4"/>
      <c r="B831" s="189"/>
      <c r="C831" s="4"/>
      <c r="D831" s="4"/>
      <c r="E831" s="4"/>
      <c r="F831" s="4"/>
      <c r="G831" s="4"/>
      <c r="H831" s="4"/>
      <c r="I831" s="190"/>
      <c r="J831" s="4"/>
      <c r="K831" s="4"/>
      <c r="L831" s="191"/>
      <c r="M831" s="192"/>
      <c r="N831" s="192"/>
      <c r="O831" s="192"/>
      <c r="P831" s="4"/>
      <c r="Q831" s="10"/>
      <c r="R831" s="10"/>
      <c r="S831" s="10"/>
      <c r="T831" s="10"/>
      <c r="U831" s="10"/>
      <c r="V831" s="10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</row>
    <row r="832" ht="20.25" customHeight="1">
      <c r="A832" s="4"/>
      <c r="B832" s="189"/>
      <c r="C832" s="4"/>
      <c r="D832" s="4"/>
      <c r="E832" s="4"/>
      <c r="F832" s="4"/>
      <c r="G832" s="4"/>
      <c r="H832" s="4"/>
      <c r="I832" s="190"/>
      <c r="J832" s="4"/>
      <c r="K832" s="4"/>
      <c r="L832" s="191"/>
      <c r="M832" s="192"/>
      <c r="N832" s="192"/>
      <c r="O832" s="192"/>
      <c r="P832" s="4"/>
      <c r="Q832" s="10"/>
      <c r="R832" s="10"/>
      <c r="S832" s="10"/>
      <c r="T832" s="10"/>
      <c r="U832" s="10"/>
      <c r="V832" s="10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</row>
    <row r="833" ht="20.25" customHeight="1">
      <c r="A833" s="4"/>
      <c r="B833" s="189"/>
      <c r="C833" s="4"/>
      <c r="D833" s="4"/>
      <c r="E833" s="4"/>
      <c r="F833" s="4"/>
      <c r="G833" s="4"/>
      <c r="H833" s="4"/>
      <c r="I833" s="190"/>
      <c r="J833" s="4"/>
      <c r="K833" s="4"/>
      <c r="L833" s="191"/>
      <c r="M833" s="192"/>
      <c r="N833" s="192"/>
      <c r="O833" s="192"/>
      <c r="P833" s="4"/>
      <c r="Q833" s="10"/>
      <c r="R833" s="10"/>
      <c r="S833" s="10"/>
      <c r="T833" s="10"/>
      <c r="U833" s="10"/>
      <c r="V833" s="10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</row>
    <row r="834" ht="20.25" customHeight="1">
      <c r="A834" s="4"/>
      <c r="B834" s="189"/>
      <c r="C834" s="4"/>
      <c r="D834" s="4"/>
      <c r="E834" s="4"/>
      <c r="F834" s="4"/>
      <c r="G834" s="4"/>
      <c r="H834" s="4"/>
      <c r="I834" s="190"/>
      <c r="J834" s="4"/>
      <c r="K834" s="4"/>
      <c r="L834" s="191"/>
      <c r="M834" s="192"/>
      <c r="N834" s="192"/>
      <c r="O834" s="192"/>
      <c r="P834" s="4"/>
      <c r="Q834" s="10"/>
      <c r="R834" s="10"/>
      <c r="S834" s="10"/>
      <c r="T834" s="10"/>
      <c r="U834" s="10"/>
      <c r="V834" s="10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</row>
    <row r="835" ht="20.25" customHeight="1">
      <c r="A835" s="4"/>
      <c r="B835" s="189"/>
      <c r="C835" s="4"/>
      <c r="D835" s="4"/>
      <c r="E835" s="4"/>
      <c r="F835" s="4"/>
      <c r="G835" s="4"/>
      <c r="H835" s="4"/>
      <c r="I835" s="190"/>
      <c r="J835" s="4"/>
      <c r="K835" s="4"/>
      <c r="L835" s="191"/>
      <c r="M835" s="192"/>
      <c r="N835" s="192"/>
      <c r="O835" s="192"/>
      <c r="P835" s="4"/>
      <c r="Q835" s="10"/>
      <c r="R835" s="10"/>
      <c r="S835" s="10"/>
      <c r="T835" s="10"/>
      <c r="U835" s="10"/>
      <c r="V835" s="10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</row>
    <row r="836" ht="20.25" customHeight="1">
      <c r="A836" s="4"/>
      <c r="B836" s="189"/>
      <c r="C836" s="4"/>
      <c r="D836" s="4"/>
      <c r="E836" s="4"/>
      <c r="F836" s="4"/>
      <c r="G836" s="4"/>
      <c r="H836" s="4"/>
      <c r="I836" s="190"/>
      <c r="J836" s="4"/>
      <c r="K836" s="4"/>
      <c r="L836" s="191"/>
      <c r="M836" s="192"/>
      <c r="N836" s="192"/>
      <c r="O836" s="192"/>
      <c r="P836" s="4"/>
      <c r="Q836" s="10"/>
      <c r="R836" s="10"/>
      <c r="S836" s="10"/>
      <c r="T836" s="10"/>
      <c r="U836" s="10"/>
      <c r="V836" s="10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</row>
    <row r="837" ht="20.25" customHeight="1">
      <c r="A837" s="4"/>
      <c r="B837" s="189"/>
      <c r="C837" s="4"/>
      <c r="D837" s="4"/>
      <c r="E837" s="4"/>
      <c r="F837" s="4"/>
      <c r="G837" s="4"/>
      <c r="H837" s="4"/>
      <c r="I837" s="190"/>
      <c r="J837" s="4"/>
      <c r="K837" s="4"/>
      <c r="L837" s="191"/>
      <c r="M837" s="192"/>
      <c r="N837" s="192"/>
      <c r="O837" s="192"/>
      <c r="P837" s="4"/>
      <c r="Q837" s="10"/>
      <c r="R837" s="10"/>
      <c r="S837" s="10"/>
      <c r="T837" s="10"/>
      <c r="U837" s="10"/>
      <c r="V837" s="10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</row>
    <row r="838" ht="20.25" customHeight="1">
      <c r="A838" s="4"/>
      <c r="B838" s="189"/>
      <c r="C838" s="4"/>
      <c r="D838" s="4"/>
      <c r="E838" s="4"/>
      <c r="F838" s="4"/>
      <c r="G838" s="4"/>
      <c r="H838" s="4"/>
      <c r="I838" s="190"/>
      <c r="J838" s="4"/>
      <c r="K838" s="4"/>
      <c r="L838" s="191"/>
      <c r="M838" s="192"/>
      <c r="N838" s="192"/>
      <c r="O838" s="192"/>
      <c r="P838" s="4"/>
      <c r="Q838" s="10"/>
      <c r="R838" s="10"/>
      <c r="S838" s="10"/>
      <c r="T838" s="10"/>
      <c r="U838" s="10"/>
      <c r="V838" s="10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</row>
    <row r="839" ht="20.25" customHeight="1">
      <c r="A839" s="4"/>
      <c r="B839" s="189"/>
      <c r="C839" s="4"/>
      <c r="D839" s="4"/>
      <c r="E839" s="4"/>
      <c r="F839" s="4"/>
      <c r="G839" s="4"/>
      <c r="H839" s="4"/>
      <c r="I839" s="190"/>
      <c r="J839" s="4"/>
      <c r="K839" s="4"/>
      <c r="L839" s="191"/>
      <c r="M839" s="192"/>
      <c r="N839" s="192"/>
      <c r="O839" s="192"/>
      <c r="P839" s="4"/>
      <c r="Q839" s="10"/>
      <c r="R839" s="10"/>
      <c r="S839" s="10"/>
      <c r="T839" s="10"/>
      <c r="U839" s="10"/>
      <c r="V839" s="10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</row>
    <row r="840" ht="20.25" customHeight="1">
      <c r="A840" s="4"/>
      <c r="B840" s="189"/>
      <c r="C840" s="4"/>
      <c r="D840" s="4"/>
      <c r="E840" s="4"/>
      <c r="F840" s="4"/>
      <c r="G840" s="4"/>
      <c r="H840" s="4"/>
      <c r="I840" s="190"/>
      <c r="J840" s="4"/>
      <c r="K840" s="4"/>
      <c r="L840" s="191"/>
      <c r="M840" s="192"/>
      <c r="N840" s="192"/>
      <c r="O840" s="192"/>
      <c r="P840" s="4"/>
      <c r="Q840" s="10"/>
      <c r="R840" s="10"/>
      <c r="S840" s="10"/>
      <c r="T840" s="10"/>
      <c r="U840" s="10"/>
      <c r="V840" s="10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</row>
    <row r="841" ht="20.25" customHeight="1">
      <c r="A841" s="4"/>
      <c r="B841" s="189"/>
      <c r="C841" s="4"/>
      <c r="D841" s="4"/>
      <c r="E841" s="4"/>
      <c r="F841" s="4"/>
      <c r="G841" s="4"/>
      <c r="H841" s="4"/>
      <c r="I841" s="190"/>
      <c r="J841" s="4"/>
      <c r="K841" s="4"/>
      <c r="L841" s="191"/>
      <c r="M841" s="192"/>
      <c r="N841" s="192"/>
      <c r="O841" s="192"/>
      <c r="P841" s="4"/>
      <c r="Q841" s="10"/>
      <c r="R841" s="10"/>
      <c r="S841" s="10"/>
      <c r="T841" s="10"/>
      <c r="U841" s="10"/>
      <c r="V841" s="10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</row>
    <row r="842" ht="20.25" customHeight="1">
      <c r="A842" s="4"/>
      <c r="B842" s="189"/>
      <c r="C842" s="4"/>
      <c r="D842" s="4"/>
      <c r="E842" s="4"/>
      <c r="F842" s="4"/>
      <c r="G842" s="4"/>
      <c r="H842" s="4"/>
      <c r="I842" s="190"/>
      <c r="J842" s="4"/>
      <c r="K842" s="4"/>
      <c r="L842" s="191"/>
      <c r="M842" s="192"/>
      <c r="N842" s="192"/>
      <c r="O842" s="192"/>
      <c r="P842" s="4"/>
      <c r="Q842" s="10"/>
      <c r="R842" s="10"/>
      <c r="S842" s="10"/>
      <c r="T842" s="10"/>
      <c r="U842" s="10"/>
      <c r="V842" s="10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</row>
    <row r="843" ht="20.25" customHeight="1">
      <c r="A843" s="4"/>
      <c r="B843" s="189"/>
      <c r="C843" s="4"/>
      <c r="D843" s="4"/>
      <c r="E843" s="4"/>
      <c r="F843" s="4"/>
      <c r="G843" s="4"/>
      <c r="H843" s="4"/>
      <c r="I843" s="190"/>
      <c r="J843" s="4"/>
      <c r="K843" s="4"/>
      <c r="L843" s="191"/>
      <c r="M843" s="192"/>
      <c r="N843" s="192"/>
      <c r="O843" s="192"/>
      <c r="P843" s="4"/>
      <c r="Q843" s="10"/>
      <c r="R843" s="10"/>
      <c r="S843" s="10"/>
      <c r="T843" s="10"/>
      <c r="U843" s="10"/>
      <c r="V843" s="10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</row>
    <row r="844" ht="20.25" customHeight="1">
      <c r="A844" s="4"/>
      <c r="B844" s="189"/>
      <c r="C844" s="4"/>
      <c r="D844" s="4"/>
      <c r="E844" s="4"/>
      <c r="F844" s="4"/>
      <c r="G844" s="4"/>
      <c r="H844" s="4"/>
      <c r="I844" s="190"/>
      <c r="J844" s="4"/>
      <c r="K844" s="4"/>
      <c r="L844" s="191"/>
      <c r="M844" s="192"/>
      <c r="N844" s="192"/>
      <c r="O844" s="192"/>
      <c r="P844" s="4"/>
      <c r="Q844" s="10"/>
      <c r="R844" s="10"/>
      <c r="S844" s="10"/>
      <c r="T844" s="10"/>
      <c r="U844" s="10"/>
      <c r="V844" s="10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</row>
    <row r="845" ht="20.25" customHeight="1">
      <c r="A845" s="4"/>
      <c r="B845" s="189"/>
      <c r="C845" s="4"/>
      <c r="D845" s="4"/>
      <c r="E845" s="4"/>
      <c r="F845" s="4"/>
      <c r="G845" s="4"/>
      <c r="H845" s="4"/>
      <c r="I845" s="190"/>
      <c r="J845" s="4"/>
      <c r="K845" s="4"/>
      <c r="L845" s="191"/>
      <c r="M845" s="192"/>
      <c r="N845" s="192"/>
      <c r="O845" s="192"/>
      <c r="P845" s="4"/>
      <c r="Q845" s="10"/>
      <c r="R845" s="10"/>
      <c r="S845" s="10"/>
      <c r="T845" s="10"/>
      <c r="U845" s="10"/>
      <c r="V845" s="10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</row>
    <row r="846" ht="20.25" customHeight="1">
      <c r="A846" s="4"/>
      <c r="B846" s="189"/>
      <c r="C846" s="4"/>
      <c r="D846" s="4"/>
      <c r="E846" s="4"/>
      <c r="F846" s="4"/>
      <c r="G846" s="4"/>
      <c r="H846" s="4"/>
      <c r="I846" s="190"/>
      <c r="J846" s="4"/>
      <c r="K846" s="4"/>
      <c r="L846" s="191"/>
      <c r="M846" s="192"/>
      <c r="N846" s="192"/>
      <c r="O846" s="192"/>
      <c r="P846" s="4"/>
      <c r="Q846" s="10"/>
      <c r="R846" s="10"/>
      <c r="S846" s="10"/>
      <c r="T846" s="10"/>
      <c r="U846" s="10"/>
      <c r="V846" s="10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</row>
    <row r="847" ht="20.25" customHeight="1">
      <c r="A847" s="4"/>
      <c r="B847" s="189"/>
      <c r="C847" s="4"/>
      <c r="D847" s="4"/>
      <c r="E847" s="4"/>
      <c r="F847" s="4"/>
      <c r="G847" s="4"/>
      <c r="H847" s="4"/>
      <c r="I847" s="190"/>
      <c r="J847" s="4"/>
      <c r="K847" s="4"/>
      <c r="L847" s="191"/>
      <c r="M847" s="192"/>
      <c r="N847" s="192"/>
      <c r="O847" s="192"/>
      <c r="P847" s="4"/>
      <c r="Q847" s="10"/>
      <c r="R847" s="10"/>
      <c r="S847" s="10"/>
      <c r="T847" s="10"/>
      <c r="U847" s="10"/>
      <c r="V847" s="10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</row>
    <row r="848" ht="20.25" customHeight="1">
      <c r="A848" s="4"/>
      <c r="B848" s="189"/>
      <c r="C848" s="4"/>
      <c r="D848" s="4"/>
      <c r="E848" s="4"/>
      <c r="F848" s="4"/>
      <c r="G848" s="4"/>
      <c r="H848" s="4"/>
      <c r="I848" s="190"/>
      <c r="J848" s="4"/>
      <c r="K848" s="4"/>
      <c r="L848" s="191"/>
      <c r="M848" s="192"/>
      <c r="N848" s="192"/>
      <c r="O848" s="192"/>
      <c r="P848" s="4"/>
      <c r="Q848" s="10"/>
      <c r="R848" s="10"/>
      <c r="S848" s="10"/>
      <c r="T848" s="10"/>
      <c r="U848" s="10"/>
      <c r="V848" s="10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</row>
    <row r="849" ht="20.25" customHeight="1">
      <c r="A849" s="4"/>
      <c r="B849" s="189"/>
      <c r="C849" s="4"/>
      <c r="D849" s="4"/>
      <c r="E849" s="4"/>
      <c r="F849" s="4"/>
      <c r="G849" s="4"/>
      <c r="H849" s="4"/>
      <c r="I849" s="190"/>
      <c r="J849" s="4"/>
      <c r="K849" s="4"/>
      <c r="L849" s="191"/>
      <c r="M849" s="192"/>
      <c r="N849" s="192"/>
      <c r="O849" s="192"/>
      <c r="P849" s="4"/>
      <c r="Q849" s="10"/>
      <c r="R849" s="10"/>
      <c r="S849" s="10"/>
      <c r="T849" s="10"/>
      <c r="U849" s="10"/>
      <c r="V849" s="10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</row>
    <row r="850" ht="20.25" customHeight="1">
      <c r="A850" s="4"/>
      <c r="B850" s="189"/>
      <c r="C850" s="4"/>
      <c r="D850" s="4"/>
      <c r="E850" s="4"/>
      <c r="F850" s="4"/>
      <c r="G850" s="4"/>
      <c r="H850" s="4"/>
      <c r="I850" s="190"/>
      <c r="J850" s="4"/>
      <c r="K850" s="4"/>
      <c r="L850" s="191"/>
      <c r="M850" s="192"/>
      <c r="N850" s="192"/>
      <c r="O850" s="192"/>
      <c r="P850" s="4"/>
      <c r="Q850" s="10"/>
      <c r="R850" s="10"/>
      <c r="S850" s="10"/>
      <c r="T850" s="10"/>
      <c r="U850" s="10"/>
      <c r="V850" s="10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</row>
    <row r="851" ht="20.25" customHeight="1">
      <c r="A851" s="4"/>
      <c r="B851" s="189"/>
      <c r="C851" s="4"/>
      <c r="D851" s="4"/>
      <c r="E851" s="4"/>
      <c r="F851" s="4"/>
      <c r="G851" s="4"/>
      <c r="H851" s="4"/>
      <c r="I851" s="190"/>
      <c r="J851" s="4"/>
      <c r="K851" s="4"/>
      <c r="L851" s="191"/>
      <c r="M851" s="192"/>
      <c r="N851" s="192"/>
      <c r="O851" s="192"/>
      <c r="P851" s="4"/>
      <c r="Q851" s="10"/>
      <c r="R851" s="10"/>
      <c r="S851" s="10"/>
      <c r="T851" s="10"/>
      <c r="U851" s="10"/>
      <c r="V851" s="10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</row>
    <row r="852" ht="20.25" customHeight="1">
      <c r="A852" s="4"/>
      <c r="B852" s="189"/>
      <c r="C852" s="4"/>
      <c r="D852" s="4"/>
      <c r="E852" s="4"/>
      <c r="F852" s="4"/>
      <c r="G852" s="4"/>
      <c r="H852" s="4"/>
      <c r="I852" s="190"/>
      <c r="J852" s="4"/>
      <c r="K852" s="4"/>
      <c r="L852" s="191"/>
      <c r="M852" s="192"/>
      <c r="N852" s="192"/>
      <c r="O852" s="192"/>
      <c r="P852" s="4"/>
      <c r="Q852" s="10"/>
      <c r="R852" s="10"/>
      <c r="S852" s="10"/>
      <c r="T852" s="10"/>
      <c r="U852" s="10"/>
      <c r="V852" s="10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</row>
    <row r="853" ht="20.25" customHeight="1">
      <c r="A853" s="4"/>
      <c r="B853" s="189"/>
      <c r="C853" s="4"/>
      <c r="D853" s="4"/>
      <c r="E853" s="4"/>
      <c r="F853" s="4"/>
      <c r="G853" s="4"/>
      <c r="H853" s="4"/>
      <c r="I853" s="190"/>
      <c r="J853" s="4"/>
      <c r="K853" s="4"/>
      <c r="L853" s="191"/>
      <c r="M853" s="192"/>
      <c r="N853" s="192"/>
      <c r="O853" s="192"/>
      <c r="P853" s="4"/>
      <c r="Q853" s="10"/>
      <c r="R853" s="10"/>
      <c r="S853" s="10"/>
      <c r="T853" s="10"/>
      <c r="U853" s="10"/>
      <c r="V853" s="10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</row>
    <row r="854" ht="20.25" customHeight="1">
      <c r="A854" s="4"/>
      <c r="B854" s="189"/>
      <c r="C854" s="4"/>
      <c r="D854" s="4"/>
      <c r="E854" s="4"/>
      <c r="F854" s="4"/>
      <c r="G854" s="4"/>
      <c r="H854" s="4"/>
      <c r="I854" s="190"/>
      <c r="J854" s="4"/>
      <c r="K854" s="4"/>
      <c r="L854" s="191"/>
      <c r="M854" s="192"/>
      <c r="N854" s="192"/>
      <c r="O854" s="192"/>
      <c r="P854" s="4"/>
      <c r="Q854" s="10"/>
      <c r="R854" s="10"/>
      <c r="S854" s="10"/>
      <c r="T854" s="10"/>
      <c r="U854" s="10"/>
      <c r="V854" s="10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</row>
    <row r="855" ht="20.25" customHeight="1">
      <c r="A855" s="4"/>
      <c r="B855" s="189"/>
      <c r="C855" s="4"/>
      <c r="D855" s="4"/>
      <c r="E855" s="4"/>
      <c r="F855" s="4"/>
      <c r="G855" s="4"/>
      <c r="H855" s="4"/>
      <c r="I855" s="190"/>
      <c r="J855" s="4"/>
      <c r="K855" s="4"/>
      <c r="L855" s="191"/>
      <c r="M855" s="192"/>
      <c r="N855" s="192"/>
      <c r="O855" s="192"/>
      <c r="P855" s="4"/>
      <c r="Q855" s="10"/>
      <c r="R855" s="10"/>
      <c r="S855" s="10"/>
      <c r="T855" s="10"/>
      <c r="U855" s="10"/>
      <c r="V855" s="10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</row>
    <row r="856" ht="20.25" customHeight="1">
      <c r="A856" s="4"/>
      <c r="B856" s="189"/>
      <c r="C856" s="4"/>
      <c r="D856" s="4"/>
      <c r="E856" s="4"/>
      <c r="F856" s="4"/>
      <c r="G856" s="4"/>
      <c r="H856" s="4"/>
      <c r="I856" s="190"/>
      <c r="J856" s="4"/>
      <c r="K856" s="4"/>
      <c r="L856" s="191"/>
      <c r="M856" s="192"/>
      <c r="N856" s="192"/>
      <c r="O856" s="192"/>
      <c r="P856" s="4"/>
      <c r="Q856" s="10"/>
      <c r="R856" s="10"/>
      <c r="S856" s="10"/>
      <c r="T856" s="10"/>
      <c r="U856" s="10"/>
      <c r="V856" s="10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</row>
    <row r="857" ht="20.25" customHeight="1">
      <c r="A857" s="4"/>
      <c r="B857" s="189"/>
      <c r="C857" s="4"/>
      <c r="D857" s="4"/>
      <c r="E857" s="4"/>
      <c r="F857" s="4"/>
      <c r="G857" s="4"/>
      <c r="H857" s="4"/>
      <c r="I857" s="190"/>
      <c r="J857" s="4"/>
      <c r="K857" s="4"/>
      <c r="L857" s="191"/>
      <c r="M857" s="192"/>
      <c r="N857" s="192"/>
      <c r="O857" s="192"/>
      <c r="P857" s="4"/>
      <c r="Q857" s="10"/>
      <c r="R857" s="10"/>
      <c r="S857" s="10"/>
      <c r="T857" s="10"/>
      <c r="U857" s="10"/>
      <c r="V857" s="10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</row>
    <row r="858" ht="20.25" customHeight="1">
      <c r="A858" s="4"/>
      <c r="B858" s="189"/>
      <c r="C858" s="4"/>
      <c r="D858" s="4"/>
      <c r="E858" s="4"/>
      <c r="F858" s="4"/>
      <c r="G858" s="4"/>
      <c r="H858" s="4"/>
      <c r="I858" s="190"/>
      <c r="J858" s="4"/>
      <c r="K858" s="4"/>
      <c r="L858" s="191"/>
      <c r="M858" s="192"/>
      <c r="N858" s="192"/>
      <c r="O858" s="192"/>
      <c r="P858" s="4"/>
      <c r="Q858" s="10"/>
      <c r="R858" s="10"/>
      <c r="S858" s="10"/>
      <c r="T858" s="10"/>
      <c r="U858" s="10"/>
      <c r="V858" s="10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</row>
    <row r="859" ht="20.25" customHeight="1">
      <c r="A859" s="4"/>
      <c r="B859" s="189"/>
      <c r="C859" s="4"/>
      <c r="D859" s="4"/>
      <c r="E859" s="4"/>
      <c r="F859" s="4"/>
      <c r="G859" s="4"/>
      <c r="H859" s="4"/>
      <c r="I859" s="190"/>
      <c r="J859" s="4"/>
      <c r="K859" s="4"/>
      <c r="L859" s="191"/>
      <c r="M859" s="192"/>
      <c r="N859" s="192"/>
      <c r="O859" s="192"/>
      <c r="P859" s="4"/>
      <c r="Q859" s="10"/>
      <c r="R859" s="10"/>
      <c r="S859" s="10"/>
      <c r="T859" s="10"/>
      <c r="U859" s="10"/>
      <c r="V859" s="10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</row>
    <row r="860" ht="20.25" customHeight="1">
      <c r="A860" s="4"/>
      <c r="B860" s="189"/>
      <c r="C860" s="4"/>
      <c r="D860" s="4"/>
      <c r="E860" s="4"/>
      <c r="F860" s="4"/>
      <c r="G860" s="4"/>
      <c r="H860" s="4"/>
      <c r="I860" s="190"/>
      <c r="J860" s="4"/>
      <c r="K860" s="4"/>
      <c r="L860" s="191"/>
      <c r="M860" s="192"/>
      <c r="N860" s="192"/>
      <c r="O860" s="192"/>
      <c r="P860" s="4"/>
      <c r="Q860" s="10"/>
      <c r="R860" s="10"/>
      <c r="S860" s="10"/>
      <c r="T860" s="10"/>
      <c r="U860" s="10"/>
      <c r="V860" s="10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</row>
    <row r="861" ht="20.25" customHeight="1">
      <c r="A861" s="4"/>
      <c r="B861" s="189"/>
      <c r="C861" s="4"/>
      <c r="D861" s="4"/>
      <c r="E861" s="4"/>
      <c r="F861" s="4"/>
      <c r="G861" s="4"/>
      <c r="H861" s="4"/>
      <c r="I861" s="190"/>
      <c r="J861" s="4"/>
      <c r="K861" s="4"/>
      <c r="L861" s="191"/>
      <c r="M861" s="192"/>
      <c r="N861" s="192"/>
      <c r="O861" s="192"/>
      <c r="P861" s="4"/>
      <c r="Q861" s="10"/>
      <c r="R861" s="10"/>
      <c r="S861" s="10"/>
      <c r="T861" s="10"/>
      <c r="U861" s="10"/>
      <c r="V861" s="10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</row>
    <row r="862" ht="20.25" customHeight="1">
      <c r="A862" s="4"/>
      <c r="B862" s="189"/>
      <c r="C862" s="4"/>
      <c r="D862" s="4"/>
      <c r="E862" s="4"/>
      <c r="F862" s="4"/>
      <c r="G862" s="4"/>
      <c r="H862" s="4"/>
      <c r="I862" s="190"/>
      <c r="J862" s="4"/>
      <c r="K862" s="4"/>
      <c r="L862" s="191"/>
      <c r="M862" s="192"/>
      <c r="N862" s="192"/>
      <c r="O862" s="192"/>
      <c r="P862" s="4"/>
      <c r="Q862" s="10"/>
      <c r="R862" s="10"/>
      <c r="S862" s="10"/>
      <c r="T862" s="10"/>
      <c r="U862" s="10"/>
      <c r="V862" s="10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</row>
    <row r="863" ht="20.25" customHeight="1">
      <c r="A863" s="4"/>
      <c r="B863" s="189"/>
      <c r="C863" s="4"/>
      <c r="D863" s="4"/>
      <c r="E863" s="4"/>
      <c r="F863" s="4"/>
      <c r="G863" s="4"/>
      <c r="H863" s="4"/>
      <c r="I863" s="190"/>
      <c r="J863" s="4"/>
      <c r="K863" s="4"/>
      <c r="L863" s="191"/>
      <c r="M863" s="192"/>
      <c r="N863" s="192"/>
      <c r="O863" s="192"/>
      <c r="P863" s="4"/>
      <c r="Q863" s="10"/>
      <c r="R863" s="10"/>
      <c r="S863" s="10"/>
      <c r="T863" s="10"/>
      <c r="U863" s="10"/>
      <c r="V863" s="10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</row>
    <row r="864" ht="20.25" customHeight="1">
      <c r="A864" s="4"/>
      <c r="B864" s="189"/>
      <c r="C864" s="4"/>
      <c r="D864" s="4"/>
      <c r="E864" s="4"/>
      <c r="F864" s="4"/>
      <c r="G864" s="4"/>
      <c r="H864" s="4"/>
      <c r="I864" s="190"/>
      <c r="J864" s="4"/>
      <c r="K864" s="4"/>
      <c r="L864" s="191"/>
      <c r="M864" s="192"/>
      <c r="N864" s="192"/>
      <c r="O864" s="192"/>
      <c r="P864" s="4"/>
      <c r="Q864" s="10"/>
      <c r="R864" s="10"/>
      <c r="S864" s="10"/>
      <c r="T864" s="10"/>
      <c r="U864" s="10"/>
      <c r="V864" s="10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</row>
    <row r="865" ht="20.25" customHeight="1">
      <c r="A865" s="4"/>
      <c r="B865" s="189"/>
      <c r="C865" s="4"/>
      <c r="D865" s="4"/>
      <c r="E865" s="4"/>
      <c r="F865" s="4"/>
      <c r="G865" s="4"/>
      <c r="H865" s="4"/>
      <c r="I865" s="190"/>
      <c r="J865" s="4"/>
      <c r="K865" s="4"/>
      <c r="L865" s="191"/>
      <c r="M865" s="192"/>
      <c r="N865" s="192"/>
      <c r="O865" s="192"/>
      <c r="P865" s="4"/>
      <c r="Q865" s="10"/>
      <c r="R865" s="10"/>
      <c r="S865" s="10"/>
      <c r="T865" s="10"/>
      <c r="U865" s="10"/>
      <c r="V865" s="10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</row>
    <row r="866" ht="20.25" customHeight="1">
      <c r="A866" s="4"/>
      <c r="B866" s="189"/>
      <c r="C866" s="4"/>
      <c r="D866" s="4"/>
      <c r="E866" s="4"/>
      <c r="F866" s="4"/>
      <c r="G866" s="4"/>
      <c r="H866" s="4"/>
      <c r="I866" s="190"/>
      <c r="J866" s="4"/>
      <c r="K866" s="4"/>
      <c r="L866" s="191"/>
      <c r="M866" s="192"/>
      <c r="N866" s="192"/>
      <c r="O866" s="192"/>
      <c r="P866" s="4"/>
      <c r="Q866" s="10"/>
      <c r="R866" s="10"/>
      <c r="S866" s="10"/>
      <c r="T866" s="10"/>
      <c r="U866" s="10"/>
      <c r="V866" s="10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</row>
    <row r="867" ht="20.25" customHeight="1">
      <c r="A867" s="4"/>
      <c r="B867" s="189"/>
      <c r="C867" s="4"/>
      <c r="D867" s="4"/>
      <c r="E867" s="4"/>
      <c r="F867" s="4"/>
      <c r="G867" s="4"/>
      <c r="H867" s="4"/>
      <c r="I867" s="190"/>
      <c r="J867" s="4"/>
      <c r="K867" s="4"/>
      <c r="L867" s="191"/>
      <c r="M867" s="192"/>
      <c r="N867" s="192"/>
      <c r="O867" s="192"/>
      <c r="P867" s="4"/>
      <c r="Q867" s="10"/>
      <c r="R867" s="10"/>
      <c r="S867" s="10"/>
      <c r="T867" s="10"/>
      <c r="U867" s="10"/>
      <c r="V867" s="10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</row>
    <row r="868" ht="20.25" customHeight="1">
      <c r="A868" s="4"/>
      <c r="B868" s="189"/>
      <c r="C868" s="4"/>
      <c r="D868" s="4"/>
      <c r="E868" s="4"/>
      <c r="F868" s="4"/>
      <c r="G868" s="4"/>
      <c r="H868" s="4"/>
      <c r="I868" s="190"/>
      <c r="J868" s="4"/>
      <c r="K868" s="4"/>
      <c r="L868" s="191"/>
      <c r="M868" s="192"/>
      <c r="N868" s="192"/>
      <c r="O868" s="192"/>
      <c r="P868" s="4"/>
      <c r="Q868" s="10"/>
      <c r="R868" s="10"/>
      <c r="S868" s="10"/>
      <c r="T868" s="10"/>
      <c r="U868" s="10"/>
      <c r="V868" s="10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</row>
    <row r="869" ht="20.25" customHeight="1">
      <c r="A869" s="4"/>
      <c r="B869" s="189"/>
      <c r="C869" s="4"/>
      <c r="D869" s="4"/>
      <c r="E869" s="4"/>
      <c r="F869" s="4"/>
      <c r="G869" s="4"/>
      <c r="H869" s="4"/>
      <c r="I869" s="190"/>
      <c r="J869" s="4"/>
      <c r="K869" s="4"/>
      <c r="L869" s="191"/>
      <c r="M869" s="192"/>
      <c r="N869" s="192"/>
      <c r="O869" s="192"/>
      <c r="P869" s="4"/>
      <c r="Q869" s="10"/>
      <c r="R869" s="10"/>
      <c r="S869" s="10"/>
      <c r="T869" s="10"/>
      <c r="U869" s="10"/>
      <c r="V869" s="10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</row>
    <row r="870" ht="20.25" customHeight="1">
      <c r="A870" s="4"/>
      <c r="B870" s="189"/>
      <c r="C870" s="4"/>
      <c r="D870" s="4"/>
      <c r="E870" s="4"/>
      <c r="F870" s="4"/>
      <c r="G870" s="4"/>
      <c r="H870" s="4"/>
      <c r="I870" s="190"/>
      <c r="J870" s="4"/>
      <c r="K870" s="4"/>
      <c r="L870" s="191"/>
      <c r="M870" s="192"/>
      <c r="N870" s="192"/>
      <c r="O870" s="192"/>
      <c r="P870" s="4"/>
      <c r="Q870" s="10"/>
      <c r="R870" s="10"/>
      <c r="S870" s="10"/>
      <c r="T870" s="10"/>
      <c r="U870" s="10"/>
      <c r="V870" s="10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</row>
    <row r="871" ht="20.25" customHeight="1">
      <c r="A871" s="4"/>
      <c r="B871" s="189"/>
      <c r="C871" s="4"/>
      <c r="D871" s="4"/>
      <c r="E871" s="4"/>
      <c r="F871" s="4"/>
      <c r="G871" s="4"/>
      <c r="H871" s="4"/>
      <c r="I871" s="190"/>
      <c r="J871" s="4"/>
      <c r="K871" s="4"/>
      <c r="L871" s="191"/>
      <c r="M871" s="192"/>
      <c r="N871" s="192"/>
      <c r="O871" s="192"/>
      <c r="P871" s="4"/>
      <c r="Q871" s="10"/>
      <c r="R871" s="10"/>
      <c r="S871" s="10"/>
      <c r="T871" s="10"/>
      <c r="U871" s="10"/>
      <c r="V871" s="10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</row>
    <row r="872" ht="20.25" customHeight="1">
      <c r="A872" s="4"/>
      <c r="B872" s="189"/>
      <c r="C872" s="4"/>
      <c r="D872" s="4"/>
      <c r="E872" s="4"/>
      <c r="F872" s="4"/>
      <c r="G872" s="4"/>
      <c r="H872" s="4"/>
      <c r="I872" s="190"/>
      <c r="J872" s="4"/>
      <c r="K872" s="4"/>
      <c r="L872" s="191"/>
      <c r="M872" s="192"/>
      <c r="N872" s="192"/>
      <c r="O872" s="192"/>
      <c r="P872" s="4"/>
      <c r="Q872" s="10"/>
      <c r="R872" s="10"/>
      <c r="S872" s="10"/>
      <c r="T872" s="10"/>
      <c r="U872" s="10"/>
      <c r="V872" s="10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</row>
    <row r="873" ht="20.25" customHeight="1">
      <c r="A873" s="4"/>
      <c r="B873" s="189"/>
      <c r="C873" s="4"/>
      <c r="D873" s="4"/>
      <c r="E873" s="4"/>
      <c r="F873" s="4"/>
      <c r="G873" s="4"/>
      <c r="H873" s="4"/>
      <c r="I873" s="190"/>
      <c r="J873" s="4"/>
      <c r="K873" s="4"/>
      <c r="L873" s="191"/>
      <c r="M873" s="192"/>
      <c r="N873" s="192"/>
      <c r="O873" s="192"/>
      <c r="P873" s="4"/>
      <c r="Q873" s="10"/>
      <c r="R873" s="10"/>
      <c r="S873" s="10"/>
      <c r="T873" s="10"/>
      <c r="U873" s="10"/>
      <c r="V873" s="10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</row>
    <row r="874" ht="20.25" customHeight="1">
      <c r="A874" s="4"/>
      <c r="B874" s="189"/>
      <c r="C874" s="4"/>
      <c r="D874" s="4"/>
      <c r="E874" s="4"/>
      <c r="F874" s="4"/>
      <c r="G874" s="4"/>
      <c r="H874" s="4"/>
      <c r="I874" s="190"/>
      <c r="J874" s="4"/>
      <c r="K874" s="4"/>
      <c r="L874" s="191"/>
      <c r="M874" s="192"/>
      <c r="N874" s="192"/>
      <c r="O874" s="192"/>
      <c r="P874" s="4"/>
      <c r="Q874" s="10"/>
      <c r="R874" s="10"/>
      <c r="S874" s="10"/>
      <c r="T874" s="10"/>
      <c r="U874" s="10"/>
      <c r="V874" s="10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</row>
    <row r="875" ht="20.25" customHeight="1">
      <c r="A875" s="4"/>
      <c r="B875" s="189"/>
      <c r="C875" s="4"/>
      <c r="D875" s="4"/>
      <c r="E875" s="4"/>
      <c r="F875" s="4"/>
      <c r="G875" s="4"/>
      <c r="H875" s="4"/>
      <c r="I875" s="190"/>
      <c r="J875" s="4"/>
      <c r="K875" s="4"/>
      <c r="L875" s="191"/>
      <c r="M875" s="192"/>
      <c r="N875" s="192"/>
      <c r="O875" s="192"/>
      <c r="P875" s="4"/>
      <c r="Q875" s="10"/>
      <c r="R875" s="10"/>
      <c r="S875" s="10"/>
      <c r="T875" s="10"/>
      <c r="U875" s="10"/>
      <c r="V875" s="10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</row>
    <row r="876" ht="20.25" customHeight="1">
      <c r="A876" s="4"/>
      <c r="B876" s="189"/>
      <c r="C876" s="4"/>
      <c r="D876" s="4"/>
      <c r="E876" s="4"/>
      <c r="F876" s="4"/>
      <c r="G876" s="4"/>
      <c r="H876" s="4"/>
      <c r="I876" s="190"/>
      <c r="J876" s="4"/>
      <c r="K876" s="4"/>
      <c r="L876" s="191"/>
      <c r="M876" s="192"/>
      <c r="N876" s="192"/>
      <c r="O876" s="192"/>
      <c r="P876" s="4"/>
      <c r="Q876" s="10"/>
      <c r="R876" s="10"/>
      <c r="S876" s="10"/>
      <c r="T876" s="10"/>
      <c r="U876" s="10"/>
      <c r="V876" s="10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</row>
    <row r="877" ht="20.25" customHeight="1">
      <c r="A877" s="4"/>
      <c r="B877" s="189"/>
      <c r="C877" s="4"/>
      <c r="D877" s="4"/>
      <c r="E877" s="4"/>
      <c r="F877" s="4"/>
      <c r="G877" s="4"/>
      <c r="H877" s="4"/>
      <c r="I877" s="190"/>
      <c r="J877" s="4"/>
      <c r="K877" s="4"/>
      <c r="L877" s="191"/>
      <c r="M877" s="192"/>
      <c r="N877" s="192"/>
      <c r="O877" s="192"/>
      <c r="P877" s="4"/>
      <c r="Q877" s="10"/>
      <c r="R877" s="10"/>
      <c r="S877" s="10"/>
      <c r="T877" s="10"/>
      <c r="U877" s="10"/>
      <c r="V877" s="10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</row>
    <row r="878" ht="20.25" customHeight="1">
      <c r="A878" s="4"/>
      <c r="B878" s="189"/>
      <c r="C878" s="4"/>
      <c r="D878" s="4"/>
      <c r="E878" s="4"/>
      <c r="F878" s="4"/>
      <c r="G878" s="4"/>
      <c r="H878" s="4"/>
      <c r="I878" s="190"/>
      <c r="J878" s="4"/>
      <c r="K878" s="4"/>
      <c r="L878" s="191"/>
      <c r="M878" s="192"/>
      <c r="N878" s="192"/>
      <c r="O878" s="192"/>
      <c r="P878" s="4"/>
      <c r="Q878" s="10"/>
      <c r="R878" s="10"/>
      <c r="S878" s="10"/>
      <c r="T878" s="10"/>
      <c r="U878" s="10"/>
      <c r="V878" s="10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</row>
    <row r="879" ht="20.25" customHeight="1">
      <c r="A879" s="4"/>
      <c r="B879" s="189"/>
      <c r="C879" s="4"/>
      <c r="D879" s="4"/>
      <c r="E879" s="4"/>
      <c r="F879" s="4"/>
      <c r="G879" s="4"/>
      <c r="H879" s="4"/>
      <c r="I879" s="190"/>
      <c r="J879" s="4"/>
      <c r="K879" s="4"/>
      <c r="L879" s="191"/>
      <c r="M879" s="192"/>
      <c r="N879" s="192"/>
      <c r="O879" s="192"/>
      <c r="P879" s="4"/>
      <c r="Q879" s="10"/>
      <c r="R879" s="10"/>
      <c r="S879" s="10"/>
      <c r="T879" s="10"/>
      <c r="U879" s="10"/>
      <c r="V879" s="10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</row>
    <row r="880" ht="20.25" customHeight="1">
      <c r="A880" s="4"/>
      <c r="B880" s="189"/>
      <c r="C880" s="4"/>
      <c r="D880" s="4"/>
      <c r="E880" s="4"/>
      <c r="F880" s="4"/>
      <c r="G880" s="4"/>
      <c r="H880" s="4"/>
      <c r="I880" s="190"/>
      <c r="J880" s="4"/>
      <c r="K880" s="4"/>
      <c r="L880" s="191"/>
      <c r="M880" s="192"/>
      <c r="N880" s="192"/>
      <c r="O880" s="192"/>
      <c r="P880" s="4"/>
      <c r="Q880" s="10"/>
      <c r="R880" s="10"/>
      <c r="S880" s="10"/>
      <c r="T880" s="10"/>
      <c r="U880" s="10"/>
      <c r="V880" s="10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</row>
    <row r="881" ht="20.25" customHeight="1">
      <c r="A881" s="4"/>
      <c r="B881" s="189"/>
      <c r="C881" s="4"/>
      <c r="D881" s="4"/>
      <c r="E881" s="4"/>
      <c r="F881" s="4"/>
      <c r="G881" s="4"/>
      <c r="H881" s="4"/>
      <c r="I881" s="190"/>
      <c r="J881" s="4"/>
      <c r="K881" s="4"/>
      <c r="L881" s="191"/>
      <c r="M881" s="192"/>
      <c r="N881" s="192"/>
      <c r="O881" s="192"/>
      <c r="P881" s="4"/>
      <c r="Q881" s="10"/>
      <c r="R881" s="10"/>
      <c r="S881" s="10"/>
      <c r="T881" s="10"/>
      <c r="U881" s="10"/>
      <c r="V881" s="10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</row>
    <row r="882" ht="20.25" customHeight="1">
      <c r="A882" s="4"/>
      <c r="B882" s="189"/>
      <c r="C882" s="4"/>
      <c r="D882" s="4"/>
      <c r="E882" s="4"/>
      <c r="F882" s="4"/>
      <c r="G882" s="4"/>
      <c r="H882" s="4"/>
      <c r="I882" s="190"/>
      <c r="J882" s="4"/>
      <c r="K882" s="4"/>
      <c r="L882" s="191"/>
      <c r="M882" s="192"/>
      <c r="N882" s="192"/>
      <c r="O882" s="192"/>
      <c r="P882" s="4"/>
      <c r="Q882" s="10"/>
      <c r="R882" s="10"/>
      <c r="S882" s="10"/>
      <c r="T882" s="10"/>
      <c r="U882" s="10"/>
      <c r="V882" s="10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</row>
    <row r="883" ht="20.25" customHeight="1">
      <c r="A883" s="4"/>
      <c r="B883" s="189"/>
      <c r="C883" s="4"/>
      <c r="D883" s="4"/>
      <c r="E883" s="4"/>
      <c r="F883" s="4"/>
      <c r="G883" s="4"/>
      <c r="H883" s="4"/>
      <c r="I883" s="190"/>
      <c r="J883" s="4"/>
      <c r="K883" s="4"/>
      <c r="L883" s="191"/>
      <c r="M883" s="192"/>
      <c r="N883" s="192"/>
      <c r="O883" s="192"/>
      <c r="P883" s="4"/>
      <c r="Q883" s="10"/>
      <c r="R883" s="10"/>
      <c r="S883" s="10"/>
      <c r="T883" s="10"/>
      <c r="U883" s="10"/>
      <c r="V883" s="10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</row>
    <row r="884" ht="20.25" customHeight="1">
      <c r="A884" s="4"/>
      <c r="B884" s="189"/>
      <c r="C884" s="4"/>
      <c r="D884" s="4"/>
      <c r="E884" s="4"/>
      <c r="F884" s="4"/>
      <c r="G884" s="4"/>
      <c r="H884" s="4"/>
      <c r="I884" s="190"/>
      <c r="J884" s="4"/>
      <c r="K884" s="4"/>
      <c r="L884" s="191"/>
      <c r="M884" s="192"/>
      <c r="N884" s="192"/>
      <c r="O884" s="192"/>
      <c r="P884" s="4"/>
      <c r="Q884" s="10"/>
      <c r="R884" s="10"/>
      <c r="S884" s="10"/>
      <c r="T884" s="10"/>
      <c r="U884" s="10"/>
      <c r="V884" s="10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</row>
    <row r="885" ht="20.25" customHeight="1">
      <c r="A885" s="4"/>
      <c r="B885" s="189"/>
      <c r="C885" s="4"/>
      <c r="D885" s="4"/>
      <c r="E885" s="4"/>
      <c r="F885" s="4"/>
      <c r="G885" s="4"/>
      <c r="H885" s="4"/>
      <c r="I885" s="190"/>
      <c r="J885" s="4"/>
      <c r="K885" s="4"/>
      <c r="L885" s="191"/>
      <c r="M885" s="192"/>
      <c r="N885" s="192"/>
      <c r="O885" s="192"/>
      <c r="P885" s="4"/>
      <c r="Q885" s="10"/>
      <c r="R885" s="10"/>
      <c r="S885" s="10"/>
      <c r="T885" s="10"/>
      <c r="U885" s="10"/>
      <c r="V885" s="10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</row>
    <row r="886" ht="20.25" customHeight="1">
      <c r="A886" s="4"/>
      <c r="B886" s="189"/>
      <c r="C886" s="4"/>
      <c r="D886" s="4"/>
      <c r="E886" s="4"/>
      <c r="F886" s="4"/>
      <c r="G886" s="4"/>
      <c r="H886" s="4"/>
      <c r="I886" s="190"/>
      <c r="J886" s="4"/>
      <c r="K886" s="4"/>
      <c r="L886" s="191"/>
      <c r="M886" s="192"/>
      <c r="N886" s="192"/>
      <c r="O886" s="192"/>
      <c r="P886" s="4"/>
      <c r="Q886" s="10"/>
      <c r="R886" s="10"/>
      <c r="S886" s="10"/>
      <c r="T886" s="10"/>
      <c r="U886" s="10"/>
      <c r="V886" s="10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</row>
    <row r="887" ht="20.25" customHeight="1">
      <c r="A887" s="4"/>
      <c r="B887" s="189"/>
      <c r="C887" s="4"/>
      <c r="D887" s="4"/>
      <c r="E887" s="4"/>
      <c r="F887" s="4"/>
      <c r="G887" s="4"/>
      <c r="H887" s="4"/>
      <c r="I887" s="190"/>
      <c r="J887" s="4"/>
      <c r="K887" s="4"/>
      <c r="L887" s="191"/>
      <c r="M887" s="192"/>
      <c r="N887" s="192"/>
      <c r="O887" s="192"/>
      <c r="P887" s="4"/>
      <c r="Q887" s="10"/>
      <c r="R887" s="10"/>
      <c r="S887" s="10"/>
      <c r="T887" s="10"/>
      <c r="U887" s="10"/>
      <c r="V887" s="10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</row>
    <row r="888" ht="20.25" customHeight="1">
      <c r="A888" s="4"/>
      <c r="B888" s="189"/>
      <c r="C888" s="4"/>
      <c r="D888" s="4"/>
      <c r="E888" s="4"/>
      <c r="F888" s="4"/>
      <c r="G888" s="4"/>
      <c r="H888" s="4"/>
      <c r="I888" s="190"/>
      <c r="J888" s="4"/>
      <c r="K888" s="4"/>
      <c r="L888" s="191"/>
      <c r="M888" s="192"/>
      <c r="N888" s="192"/>
      <c r="O888" s="192"/>
      <c r="P888" s="4"/>
      <c r="Q888" s="10"/>
      <c r="R888" s="10"/>
      <c r="S888" s="10"/>
      <c r="T888" s="10"/>
      <c r="U888" s="10"/>
      <c r="V888" s="10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</row>
    <row r="889" ht="20.25" customHeight="1">
      <c r="A889" s="4"/>
      <c r="B889" s="189"/>
      <c r="C889" s="4"/>
      <c r="D889" s="4"/>
      <c r="E889" s="4"/>
      <c r="F889" s="4"/>
      <c r="G889" s="4"/>
      <c r="H889" s="4"/>
      <c r="I889" s="190"/>
      <c r="J889" s="4"/>
      <c r="K889" s="4"/>
      <c r="L889" s="191"/>
      <c r="M889" s="192"/>
      <c r="N889" s="192"/>
      <c r="O889" s="192"/>
      <c r="P889" s="4"/>
      <c r="Q889" s="10"/>
      <c r="R889" s="10"/>
      <c r="S889" s="10"/>
      <c r="T889" s="10"/>
      <c r="U889" s="10"/>
      <c r="V889" s="10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</row>
    <row r="890" ht="20.25" customHeight="1">
      <c r="A890" s="4"/>
      <c r="B890" s="189"/>
      <c r="C890" s="4"/>
      <c r="D890" s="4"/>
      <c r="E890" s="4"/>
      <c r="F890" s="4"/>
      <c r="G890" s="4"/>
      <c r="H890" s="4"/>
      <c r="I890" s="190"/>
      <c r="J890" s="4"/>
      <c r="K890" s="4"/>
      <c r="L890" s="191"/>
      <c r="M890" s="192"/>
      <c r="N890" s="192"/>
      <c r="O890" s="192"/>
      <c r="P890" s="4"/>
      <c r="Q890" s="10"/>
      <c r="R890" s="10"/>
      <c r="S890" s="10"/>
      <c r="T890" s="10"/>
      <c r="U890" s="10"/>
      <c r="V890" s="10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</row>
    <row r="891" ht="20.25" customHeight="1">
      <c r="A891" s="4"/>
      <c r="B891" s="189"/>
      <c r="C891" s="4"/>
      <c r="D891" s="4"/>
      <c r="E891" s="4"/>
      <c r="F891" s="4"/>
      <c r="G891" s="4"/>
      <c r="H891" s="4"/>
      <c r="I891" s="190"/>
      <c r="J891" s="4"/>
      <c r="K891" s="4"/>
      <c r="L891" s="191"/>
      <c r="M891" s="192"/>
      <c r="N891" s="192"/>
      <c r="O891" s="192"/>
      <c r="P891" s="4"/>
      <c r="Q891" s="10"/>
      <c r="R891" s="10"/>
      <c r="S891" s="10"/>
      <c r="T891" s="10"/>
      <c r="U891" s="10"/>
      <c r="V891" s="10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</row>
    <row r="892" ht="20.25" customHeight="1">
      <c r="A892" s="4"/>
      <c r="B892" s="189"/>
      <c r="C892" s="4"/>
      <c r="D892" s="4"/>
      <c r="E892" s="4"/>
      <c r="F892" s="4"/>
      <c r="G892" s="4"/>
      <c r="H892" s="4"/>
      <c r="I892" s="190"/>
      <c r="J892" s="4"/>
      <c r="K892" s="4"/>
      <c r="L892" s="191"/>
      <c r="M892" s="192"/>
      <c r="N892" s="192"/>
      <c r="O892" s="192"/>
      <c r="P892" s="4"/>
      <c r="Q892" s="10"/>
      <c r="R892" s="10"/>
      <c r="S892" s="10"/>
      <c r="T892" s="10"/>
      <c r="U892" s="10"/>
      <c r="V892" s="10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</row>
    <row r="893" ht="20.25" customHeight="1">
      <c r="A893" s="4"/>
      <c r="B893" s="189"/>
      <c r="C893" s="4"/>
      <c r="D893" s="4"/>
      <c r="E893" s="4"/>
      <c r="F893" s="4"/>
      <c r="G893" s="4"/>
      <c r="H893" s="4"/>
      <c r="I893" s="190"/>
      <c r="J893" s="4"/>
      <c r="K893" s="4"/>
      <c r="L893" s="191"/>
      <c r="M893" s="192"/>
      <c r="N893" s="192"/>
      <c r="O893" s="192"/>
      <c r="P893" s="4"/>
      <c r="Q893" s="10"/>
      <c r="R893" s="10"/>
      <c r="S893" s="10"/>
      <c r="T893" s="10"/>
      <c r="U893" s="10"/>
      <c r="V893" s="10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</row>
    <row r="894" ht="20.25" customHeight="1">
      <c r="A894" s="4"/>
      <c r="B894" s="189"/>
      <c r="C894" s="4"/>
      <c r="D894" s="4"/>
      <c r="E894" s="4"/>
      <c r="F894" s="4"/>
      <c r="G894" s="4"/>
      <c r="H894" s="4"/>
      <c r="I894" s="190"/>
      <c r="J894" s="4"/>
      <c r="K894" s="4"/>
      <c r="L894" s="191"/>
      <c r="M894" s="192"/>
      <c r="N894" s="192"/>
      <c r="O894" s="192"/>
      <c r="P894" s="4"/>
      <c r="Q894" s="10"/>
      <c r="R894" s="10"/>
      <c r="S894" s="10"/>
      <c r="T894" s="10"/>
      <c r="U894" s="10"/>
      <c r="V894" s="10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</row>
    <row r="895" ht="20.25" customHeight="1">
      <c r="A895" s="4"/>
      <c r="B895" s="189"/>
      <c r="C895" s="4"/>
      <c r="D895" s="4"/>
      <c r="E895" s="4"/>
      <c r="F895" s="4"/>
      <c r="G895" s="4"/>
      <c r="H895" s="4"/>
      <c r="I895" s="190"/>
      <c r="J895" s="4"/>
      <c r="K895" s="4"/>
      <c r="L895" s="191"/>
      <c r="M895" s="192"/>
      <c r="N895" s="192"/>
      <c r="O895" s="192"/>
      <c r="P895" s="4"/>
      <c r="Q895" s="10"/>
      <c r="R895" s="10"/>
      <c r="S895" s="10"/>
      <c r="T895" s="10"/>
      <c r="U895" s="10"/>
      <c r="V895" s="10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</row>
    <row r="896" ht="20.25" customHeight="1">
      <c r="A896" s="4"/>
      <c r="B896" s="189"/>
      <c r="C896" s="4"/>
      <c r="D896" s="4"/>
      <c r="E896" s="4"/>
      <c r="F896" s="4"/>
      <c r="G896" s="4"/>
      <c r="H896" s="4"/>
      <c r="I896" s="190"/>
      <c r="J896" s="4"/>
      <c r="K896" s="4"/>
      <c r="L896" s="191"/>
      <c r="M896" s="192"/>
      <c r="N896" s="192"/>
      <c r="O896" s="192"/>
      <c r="P896" s="4"/>
      <c r="Q896" s="10"/>
      <c r="R896" s="10"/>
      <c r="S896" s="10"/>
      <c r="T896" s="10"/>
      <c r="U896" s="10"/>
      <c r="V896" s="10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</row>
    <row r="897" ht="20.25" customHeight="1">
      <c r="A897" s="4"/>
      <c r="B897" s="189"/>
      <c r="C897" s="4"/>
      <c r="D897" s="4"/>
      <c r="E897" s="4"/>
      <c r="F897" s="4"/>
      <c r="G897" s="4"/>
      <c r="H897" s="4"/>
      <c r="I897" s="190"/>
      <c r="J897" s="4"/>
      <c r="K897" s="4"/>
      <c r="L897" s="191"/>
      <c r="M897" s="192"/>
      <c r="N897" s="192"/>
      <c r="O897" s="192"/>
      <c r="P897" s="4"/>
      <c r="Q897" s="10"/>
      <c r="R897" s="10"/>
      <c r="S897" s="10"/>
      <c r="T897" s="10"/>
      <c r="U897" s="10"/>
      <c r="V897" s="10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</row>
    <row r="898" ht="20.25" customHeight="1">
      <c r="A898" s="4"/>
      <c r="B898" s="189"/>
      <c r="C898" s="4"/>
      <c r="D898" s="4"/>
      <c r="E898" s="4"/>
      <c r="F898" s="4"/>
      <c r="G898" s="4"/>
      <c r="H898" s="4"/>
      <c r="I898" s="190"/>
      <c r="J898" s="4"/>
      <c r="K898" s="4"/>
      <c r="L898" s="191"/>
      <c r="M898" s="192"/>
      <c r="N898" s="192"/>
      <c r="O898" s="192"/>
      <c r="P898" s="4"/>
      <c r="Q898" s="10"/>
      <c r="R898" s="10"/>
      <c r="S898" s="10"/>
      <c r="T898" s="10"/>
      <c r="U898" s="10"/>
      <c r="V898" s="10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</row>
    <row r="899" ht="20.25" customHeight="1">
      <c r="A899" s="4"/>
      <c r="B899" s="189"/>
      <c r="C899" s="4"/>
      <c r="D899" s="4"/>
      <c r="E899" s="4"/>
      <c r="F899" s="4"/>
      <c r="G899" s="4"/>
      <c r="H899" s="4"/>
      <c r="I899" s="190"/>
      <c r="J899" s="4"/>
      <c r="K899" s="4"/>
      <c r="L899" s="191"/>
      <c r="M899" s="192"/>
      <c r="N899" s="192"/>
      <c r="O899" s="192"/>
      <c r="P899" s="4"/>
      <c r="Q899" s="10"/>
      <c r="R899" s="10"/>
      <c r="S899" s="10"/>
      <c r="T899" s="10"/>
      <c r="U899" s="10"/>
      <c r="V899" s="10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</row>
    <row r="900" ht="20.25" customHeight="1">
      <c r="A900" s="4"/>
      <c r="B900" s="189"/>
      <c r="C900" s="4"/>
      <c r="D900" s="4"/>
      <c r="E900" s="4"/>
      <c r="F900" s="4"/>
      <c r="G900" s="4"/>
      <c r="H900" s="4"/>
      <c r="I900" s="190"/>
      <c r="J900" s="4"/>
      <c r="K900" s="4"/>
      <c r="L900" s="191"/>
      <c r="M900" s="192"/>
      <c r="N900" s="192"/>
      <c r="O900" s="192"/>
      <c r="P900" s="4"/>
      <c r="Q900" s="10"/>
      <c r="R900" s="10"/>
      <c r="S900" s="10"/>
      <c r="T900" s="10"/>
      <c r="U900" s="10"/>
      <c r="V900" s="10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</row>
    <row r="901" ht="20.25" customHeight="1">
      <c r="A901" s="4"/>
      <c r="B901" s="189"/>
      <c r="C901" s="4"/>
      <c r="D901" s="4"/>
      <c r="E901" s="4"/>
      <c r="F901" s="4"/>
      <c r="G901" s="4"/>
      <c r="H901" s="4"/>
      <c r="I901" s="190"/>
      <c r="J901" s="4"/>
      <c r="K901" s="4"/>
      <c r="L901" s="191"/>
      <c r="M901" s="192"/>
      <c r="N901" s="192"/>
      <c r="O901" s="192"/>
      <c r="P901" s="4"/>
      <c r="Q901" s="10"/>
      <c r="R901" s="10"/>
      <c r="S901" s="10"/>
      <c r="T901" s="10"/>
      <c r="U901" s="10"/>
      <c r="V901" s="10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</row>
    <row r="902" ht="20.25" customHeight="1">
      <c r="A902" s="4"/>
      <c r="B902" s="189"/>
      <c r="C902" s="4"/>
      <c r="D902" s="4"/>
      <c r="E902" s="4"/>
      <c r="F902" s="4"/>
      <c r="G902" s="4"/>
      <c r="H902" s="4"/>
      <c r="I902" s="190"/>
      <c r="J902" s="4"/>
      <c r="K902" s="4"/>
      <c r="L902" s="191"/>
      <c r="M902" s="192"/>
      <c r="N902" s="192"/>
      <c r="O902" s="192"/>
      <c r="P902" s="4"/>
      <c r="Q902" s="10"/>
      <c r="R902" s="10"/>
      <c r="S902" s="10"/>
      <c r="T902" s="10"/>
      <c r="U902" s="10"/>
      <c r="V902" s="10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</row>
    <row r="903" ht="20.25" customHeight="1">
      <c r="A903" s="4"/>
      <c r="B903" s="189"/>
      <c r="C903" s="4"/>
      <c r="D903" s="4"/>
      <c r="E903" s="4"/>
      <c r="F903" s="4"/>
      <c r="G903" s="4"/>
      <c r="H903" s="4"/>
      <c r="I903" s="190"/>
      <c r="J903" s="4"/>
      <c r="K903" s="4"/>
      <c r="L903" s="191"/>
      <c r="M903" s="192"/>
      <c r="N903" s="192"/>
      <c r="O903" s="192"/>
      <c r="P903" s="4"/>
      <c r="Q903" s="10"/>
      <c r="R903" s="10"/>
      <c r="S903" s="10"/>
      <c r="T903" s="10"/>
      <c r="U903" s="10"/>
      <c r="V903" s="10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</row>
    <row r="904" ht="20.25" customHeight="1">
      <c r="A904" s="4"/>
      <c r="B904" s="189"/>
      <c r="C904" s="4"/>
      <c r="D904" s="4"/>
      <c r="E904" s="4"/>
      <c r="F904" s="4"/>
      <c r="G904" s="4"/>
      <c r="H904" s="4"/>
      <c r="I904" s="190"/>
      <c r="J904" s="4"/>
      <c r="K904" s="4"/>
      <c r="L904" s="191"/>
      <c r="M904" s="192"/>
      <c r="N904" s="192"/>
      <c r="O904" s="192"/>
      <c r="P904" s="4"/>
      <c r="Q904" s="10"/>
      <c r="R904" s="10"/>
      <c r="S904" s="10"/>
      <c r="T904" s="10"/>
      <c r="U904" s="10"/>
      <c r="V904" s="10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</row>
    <row r="905" ht="20.25" customHeight="1">
      <c r="A905" s="4"/>
      <c r="B905" s="189"/>
      <c r="C905" s="4"/>
      <c r="D905" s="4"/>
      <c r="E905" s="4"/>
      <c r="F905" s="4"/>
      <c r="G905" s="4"/>
      <c r="H905" s="4"/>
      <c r="I905" s="190"/>
      <c r="J905" s="4"/>
      <c r="K905" s="4"/>
      <c r="L905" s="191"/>
      <c r="M905" s="192"/>
      <c r="N905" s="192"/>
      <c r="O905" s="192"/>
      <c r="P905" s="4"/>
      <c r="Q905" s="10"/>
      <c r="R905" s="10"/>
      <c r="S905" s="10"/>
      <c r="T905" s="10"/>
      <c r="U905" s="10"/>
      <c r="V905" s="10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</row>
    <row r="906" ht="20.25" customHeight="1">
      <c r="A906" s="4"/>
      <c r="B906" s="189"/>
      <c r="C906" s="4"/>
      <c r="D906" s="4"/>
      <c r="E906" s="4"/>
      <c r="F906" s="4"/>
      <c r="G906" s="4"/>
      <c r="H906" s="4"/>
      <c r="I906" s="190"/>
      <c r="J906" s="4"/>
      <c r="K906" s="4"/>
      <c r="L906" s="191"/>
      <c r="M906" s="192"/>
      <c r="N906" s="192"/>
      <c r="O906" s="192"/>
      <c r="P906" s="4"/>
      <c r="Q906" s="10"/>
      <c r="R906" s="10"/>
      <c r="S906" s="10"/>
      <c r="T906" s="10"/>
      <c r="U906" s="10"/>
      <c r="V906" s="10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</row>
    <row r="907" ht="20.25" customHeight="1">
      <c r="A907" s="4"/>
      <c r="B907" s="189"/>
      <c r="C907" s="4"/>
      <c r="D907" s="4"/>
      <c r="E907" s="4"/>
      <c r="F907" s="4"/>
      <c r="G907" s="4"/>
      <c r="H907" s="4"/>
      <c r="I907" s="190"/>
      <c r="J907" s="4"/>
      <c r="K907" s="4"/>
      <c r="L907" s="191"/>
      <c r="M907" s="192"/>
      <c r="N907" s="192"/>
      <c r="O907" s="192"/>
      <c r="P907" s="4"/>
      <c r="Q907" s="10"/>
      <c r="R907" s="10"/>
      <c r="S907" s="10"/>
      <c r="T907" s="10"/>
      <c r="U907" s="10"/>
      <c r="V907" s="10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</row>
    <row r="908" ht="20.25" customHeight="1">
      <c r="A908" s="4"/>
      <c r="B908" s="189"/>
      <c r="C908" s="4"/>
      <c r="D908" s="4"/>
      <c r="E908" s="4"/>
      <c r="F908" s="4"/>
      <c r="G908" s="4"/>
      <c r="H908" s="4"/>
      <c r="I908" s="190"/>
      <c r="J908" s="4"/>
      <c r="K908" s="4"/>
      <c r="L908" s="191"/>
      <c r="M908" s="192"/>
      <c r="N908" s="192"/>
      <c r="O908" s="192"/>
      <c r="P908" s="4"/>
      <c r="Q908" s="10"/>
      <c r="R908" s="10"/>
      <c r="S908" s="10"/>
      <c r="T908" s="10"/>
      <c r="U908" s="10"/>
      <c r="V908" s="10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</row>
    <row r="909" ht="20.25" customHeight="1">
      <c r="A909" s="4"/>
      <c r="B909" s="189"/>
      <c r="C909" s="4"/>
      <c r="D909" s="4"/>
      <c r="E909" s="4"/>
      <c r="F909" s="4"/>
      <c r="G909" s="4"/>
      <c r="H909" s="4"/>
      <c r="I909" s="190"/>
      <c r="J909" s="4"/>
      <c r="K909" s="4"/>
      <c r="L909" s="191"/>
      <c r="M909" s="192"/>
      <c r="N909" s="192"/>
      <c r="O909" s="192"/>
      <c r="P909" s="4"/>
      <c r="Q909" s="10"/>
      <c r="R909" s="10"/>
      <c r="S909" s="10"/>
      <c r="T909" s="10"/>
      <c r="U909" s="10"/>
      <c r="V909" s="10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</row>
    <row r="910" ht="20.25" customHeight="1">
      <c r="A910" s="4"/>
      <c r="B910" s="189"/>
      <c r="C910" s="4"/>
      <c r="D910" s="4"/>
      <c r="E910" s="4"/>
      <c r="F910" s="4"/>
      <c r="G910" s="4"/>
      <c r="H910" s="4"/>
      <c r="I910" s="190"/>
      <c r="J910" s="4"/>
      <c r="K910" s="4"/>
      <c r="L910" s="191"/>
      <c r="M910" s="192"/>
      <c r="N910" s="192"/>
      <c r="O910" s="192"/>
      <c r="P910" s="4"/>
      <c r="Q910" s="10"/>
      <c r="R910" s="10"/>
      <c r="S910" s="10"/>
      <c r="T910" s="10"/>
      <c r="U910" s="10"/>
      <c r="V910" s="10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</row>
    <row r="911" ht="20.25" customHeight="1">
      <c r="A911" s="4"/>
      <c r="B911" s="189"/>
      <c r="C911" s="4"/>
      <c r="D911" s="4"/>
      <c r="E911" s="4"/>
      <c r="F911" s="4"/>
      <c r="G911" s="4"/>
      <c r="H911" s="4"/>
      <c r="I911" s="190"/>
      <c r="J911" s="4"/>
      <c r="K911" s="4"/>
      <c r="L911" s="191"/>
      <c r="M911" s="192"/>
      <c r="N911" s="192"/>
      <c r="O911" s="192"/>
      <c r="P911" s="4"/>
      <c r="Q911" s="10"/>
      <c r="R911" s="10"/>
      <c r="S911" s="10"/>
      <c r="T911" s="10"/>
      <c r="U911" s="10"/>
      <c r="V911" s="10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</row>
    <row r="912" ht="20.25" customHeight="1">
      <c r="A912" s="4"/>
      <c r="B912" s="189"/>
      <c r="C912" s="4"/>
      <c r="D912" s="4"/>
      <c r="E912" s="4"/>
      <c r="F912" s="4"/>
      <c r="G912" s="4"/>
      <c r="H912" s="4"/>
      <c r="I912" s="190"/>
      <c r="J912" s="4"/>
      <c r="K912" s="4"/>
      <c r="L912" s="191"/>
      <c r="M912" s="192"/>
      <c r="N912" s="192"/>
      <c r="O912" s="192"/>
      <c r="P912" s="4"/>
      <c r="Q912" s="10"/>
      <c r="R912" s="10"/>
      <c r="S912" s="10"/>
      <c r="T912" s="10"/>
      <c r="U912" s="10"/>
      <c r="V912" s="10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</row>
    <row r="913" ht="20.25" customHeight="1">
      <c r="A913" s="4"/>
      <c r="B913" s="189"/>
      <c r="C913" s="4"/>
      <c r="D913" s="4"/>
      <c r="E913" s="4"/>
      <c r="F913" s="4"/>
      <c r="G913" s="4"/>
      <c r="H913" s="4"/>
      <c r="I913" s="190"/>
      <c r="J913" s="4"/>
      <c r="K913" s="4"/>
      <c r="L913" s="191"/>
      <c r="M913" s="192"/>
      <c r="N913" s="192"/>
      <c r="O913" s="192"/>
      <c r="P913" s="4"/>
      <c r="Q913" s="10"/>
      <c r="R913" s="10"/>
      <c r="S913" s="10"/>
      <c r="T913" s="10"/>
      <c r="U913" s="10"/>
      <c r="V913" s="10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</row>
    <row r="914" ht="20.25" customHeight="1">
      <c r="A914" s="4"/>
      <c r="B914" s="189"/>
      <c r="C914" s="4"/>
      <c r="D914" s="4"/>
      <c r="E914" s="4"/>
      <c r="F914" s="4"/>
      <c r="G914" s="4"/>
      <c r="H914" s="4"/>
      <c r="I914" s="190"/>
      <c r="J914" s="4"/>
      <c r="K914" s="4"/>
      <c r="L914" s="191"/>
      <c r="M914" s="192"/>
      <c r="N914" s="192"/>
      <c r="O914" s="192"/>
      <c r="P914" s="4"/>
      <c r="Q914" s="10"/>
      <c r="R914" s="10"/>
      <c r="S914" s="10"/>
      <c r="T914" s="10"/>
      <c r="U914" s="10"/>
      <c r="V914" s="10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</row>
    <row r="915" ht="20.25" customHeight="1">
      <c r="A915" s="4"/>
      <c r="B915" s="189"/>
      <c r="C915" s="4"/>
      <c r="D915" s="4"/>
      <c r="E915" s="4"/>
      <c r="F915" s="4"/>
      <c r="G915" s="4"/>
      <c r="H915" s="4"/>
      <c r="I915" s="190"/>
      <c r="J915" s="4"/>
      <c r="K915" s="4"/>
      <c r="L915" s="191"/>
      <c r="M915" s="192"/>
      <c r="N915" s="192"/>
      <c r="O915" s="192"/>
      <c r="P915" s="4"/>
      <c r="Q915" s="10"/>
      <c r="R915" s="10"/>
      <c r="S915" s="10"/>
      <c r="T915" s="10"/>
      <c r="U915" s="10"/>
      <c r="V915" s="10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</row>
    <row r="916" ht="20.25" customHeight="1">
      <c r="A916" s="4"/>
      <c r="B916" s="189"/>
      <c r="C916" s="4"/>
      <c r="D916" s="4"/>
      <c r="E916" s="4"/>
      <c r="F916" s="4"/>
      <c r="G916" s="4"/>
      <c r="H916" s="4"/>
      <c r="I916" s="190"/>
      <c r="J916" s="4"/>
      <c r="K916" s="4"/>
      <c r="L916" s="191"/>
      <c r="M916" s="192"/>
      <c r="N916" s="192"/>
      <c r="O916" s="192"/>
      <c r="P916" s="4"/>
      <c r="Q916" s="10"/>
      <c r="R916" s="10"/>
      <c r="S916" s="10"/>
      <c r="T916" s="10"/>
      <c r="U916" s="10"/>
      <c r="V916" s="10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</row>
    <row r="917" ht="20.25" customHeight="1">
      <c r="A917" s="4"/>
      <c r="B917" s="189"/>
      <c r="C917" s="4"/>
      <c r="D917" s="4"/>
      <c r="E917" s="4"/>
      <c r="F917" s="4"/>
      <c r="G917" s="4"/>
      <c r="H917" s="4"/>
      <c r="I917" s="190"/>
      <c r="J917" s="4"/>
      <c r="K917" s="4"/>
      <c r="L917" s="191"/>
      <c r="M917" s="192"/>
      <c r="N917" s="192"/>
      <c r="O917" s="192"/>
      <c r="P917" s="4"/>
      <c r="Q917" s="10"/>
      <c r="R917" s="10"/>
      <c r="S917" s="10"/>
      <c r="T917" s="10"/>
      <c r="U917" s="10"/>
      <c r="V917" s="10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</row>
    <row r="918" ht="20.25" customHeight="1">
      <c r="A918" s="4"/>
      <c r="B918" s="189"/>
      <c r="C918" s="4"/>
      <c r="D918" s="4"/>
      <c r="E918" s="4"/>
      <c r="F918" s="4"/>
      <c r="G918" s="4"/>
      <c r="H918" s="4"/>
      <c r="I918" s="190"/>
      <c r="J918" s="4"/>
      <c r="K918" s="4"/>
      <c r="L918" s="191"/>
      <c r="M918" s="192"/>
      <c r="N918" s="192"/>
      <c r="O918" s="192"/>
      <c r="P918" s="4"/>
      <c r="Q918" s="10"/>
      <c r="R918" s="10"/>
      <c r="S918" s="10"/>
      <c r="T918" s="10"/>
      <c r="U918" s="10"/>
      <c r="V918" s="10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</row>
    <row r="919" ht="20.25" customHeight="1">
      <c r="A919" s="4"/>
      <c r="B919" s="189"/>
      <c r="C919" s="4"/>
      <c r="D919" s="4"/>
      <c r="E919" s="4"/>
      <c r="F919" s="4"/>
      <c r="G919" s="4"/>
      <c r="H919" s="4"/>
      <c r="I919" s="190"/>
      <c r="J919" s="4"/>
      <c r="K919" s="4"/>
      <c r="L919" s="191"/>
      <c r="M919" s="192"/>
      <c r="N919" s="192"/>
      <c r="O919" s="192"/>
      <c r="P919" s="4"/>
      <c r="Q919" s="10"/>
      <c r="R919" s="10"/>
      <c r="S919" s="10"/>
      <c r="T919" s="10"/>
      <c r="U919" s="10"/>
      <c r="V919" s="10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</row>
    <row r="920" ht="20.25" customHeight="1">
      <c r="A920" s="4"/>
      <c r="B920" s="189"/>
      <c r="C920" s="4"/>
      <c r="D920" s="4"/>
      <c r="E920" s="4"/>
      <c r="F920" s="4"/>
      <c r="G920" s="4"/>
      <c r="H920" s="4"/>
      <c r="I920" s="190"/>
      <c r="J920" s="4"/>
      <c r="K920" s="4"/>
      <c r="L920" s="191"/>
      <c r="M920" s="192"/>
      <c r="N920" s="192"/>
      <c r="O920" s="192"/>
      <c r="P920" s="4"/>
      <c r="Q920" s="10"/>
      <c r="R920" s="10"/>
      <c r="S920" s="10"/>
      <c r="T920" s="10"/>
      <c r="U920" s="10"/>
      <c r="V920" s="10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</row>
    <row r="921" ht="20.25" customHeight="1">
      <c r="A921" s="4"/>
      <c r="B921" s="189"/>
      <c r="C921" s="4"/>
      <c r="D921" s="4"/>
      <c r="E921" s="4"/>
      <c r="F921" s="4"/>
      <c r="G921" s="4"/>
      <c r="H921" s="4"/>
      <c r="I921" s="190"/>
      <c r="J921" s="4"/>
      <c r="K921" s="4"/>
      <c r="L921" s="191"/>
      <c r="M921" s="192"/>
      <c r="N921" s="192"/>
      <c r="O921" s="192"/>
      <c r="P921" s="4"/>
      <c r="Q921" s="10"/>
      <c r="R921" s="10"/>
      <c r="S921" s="10"/>
      <c r="T921" s="10"/>
      <c r="U921" s="10"/>
      <c r="V921" s="10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</row>
    <row r="922" ht="20.25" customHeight="1">
      <c r="A922" s="4"/>
      <c r="B922" s="189"/>
      <c r="C922" s="4"/>
      <c r="D922" s="4"/>
      <c r="E922" s="4"/>
      <c r="F922" s="4"/>
      <c r="G922" s="4"/>
      <c r="H922" s="4"/>
      <c r="I922" s="190"/>
      <c r="J922" s="4"/>
      <c r="K922" s="4"/>
      <c r="L922" s="191"/>
      <c r="M922" s="192"/>
      <c r="N922" s="192"/>
      <c r="O922" s="192"/>
      <c r="P922" s="4"/>
      <c r="Q922" s="10"/>
      <c r="R922" s="10"/>
      <c r="S922" s="10"/>
      <c r="T922" s="10"/>
      <c r="U922" s="10"/>
      <c r="V922" s="10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</row>
    <row r="923" ht="20.25" customHeight="1">
      <c r="A923" s="4"/>
      <c r="B923" s="189"/>
      <c r="C923" s="4"/>
      <c r="D923" s="4"/>
      <c r="E923" s="4"/>
      <c r="F923" s="4"/>
      <c r="G923" s="4"/>
      <c r="H923" s="4"/>
      <c r="I923" s="190"/>
      <c r="J923" s="4"/>
      <c r="K923" s="4"/>
      <c r="L923" s="191"/>
      <c r="M923" s="192"/>
      <c r="N923" s="192"/>
      <c r="O923" s="192"/>
      <c r="P923" s="4"/>
      <c r="Q923" s="10"/>
      <c r="R923" s="10"/>
      <c r="S923" s="10"/>
      <c r="T923" s="10"/>
      <c r="U923" s="10"/>
      <c r="V923" s="10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</row>
    <row r="924" ht="20.25" customHeight="1">
      <c r="A924" s="4"/>
      <c r="B924" s="189"/>
      <c r="C924" s="4"/>
      <c r="D924" s="4"/>
      <c r="E924" s="4"/>
      <c r="F924" s="4"/>
      <c r="G924" s="4"/>
      <c r="H924" s="4"/>
      <c r="I924" s="190"/>
      <c r="J924" s="4"/>
      <c r="K924" s="4"/>
      <c r="L924" s="191"/>
      <c r="M924" s="192"/>
      <c r="N924" s="192"/>
      <c r="O924" s="192"/>
      <c r="P924" s="4"/>
      <c r="Q924" s="10"/>
      <c r="R924" s="10"/>
      <c r="S924" s="10"/>
      <c r="T924" s="10"/>
      <c r="U924" s="10"/>
      <c r="V924" s="10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</row>
    <row r="925" ht="20.25" customHeight="1">
      <c r="A925" s="4"/>
      <c r="B925" s="189"/>
      <c r="C925" s="4"/>
      <c r="D925" s="4"/>
      <c r="E925" s="4"/>
      <c r="F925" s="4"/>
      <c r="G925" s="4"/>
      <c r="H925" s="4"/>
      <c r="I925" s="190"/>
      <c r="J925" s="4"/>
      <c r="K925" s="4"/>
      <c r="L925" s="191"/>
      <c r="M925" s="192"/>
      <c r="N925" s="192"/>
      <c r="O925" s="192"/>
      <c r="P925" s="4"/>
      <c r="Q925" s="10"/>
      <c r="R925" s="10"/>
      <c r="S925" s="10"/>
      <c r="T925" s="10"/>
      <c r="U925" s="10"/>
      <c r="V925" s="10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</row>
    <row r="926" ht="20.25" customHeight="1">
      <c r="A926" s="4"/>
      <c r="B926" s="189"/>
      <c r="C926" s="4"/>
      <c r="D926" s="4"/>
      <c r="E926" s="4"/>
      <c r="F926" s="4"/>
      <c r="G926" s="4"/>
      <c r="H926" s="4"/>
      <c r="I926" s="190"/>
      <c r="J926" s="4"/>
      <c r="K926" s="4"/>
      <c r="L926" s="191"/>
      <c r="M926" s="192"/>
      <c r="N926" s="192"/>
      <c r="O926" s="192"/>
      <c r="P926" s="4"/>
      <c r="Q926" s="10"/>
      <c r="R926" s="10"/>
      <c r="S926" s="10"/>
      <c r="T926" s="10"/>
      <c r="U926" s="10"/>
      <c r="V926" s="10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</row>
    <row r="927" ht="20.25" customHeight="1">
      <c r="A927" s="4"/>
      <c r="B927" s="189"/>
      <c r="C927" s="4"/>
      <c r="D927" s="4"/>
      <c r="E927" s="4"/>
      <c r="F927" s="4"/>
      <c r="G927" s="4"/>
      <c r="H927" s="4"/>
      <c r="I927" s="190"/>
      <c r="J927" s="4"/>
      <c r="K927" s="4"/>
      <c r="L927" s="191"/>
      <c r="M927" s="192"/>
      <c r="N927" s="192"/>
      <c r="O927" s="192"/>
      <c r="P927" s="4"/>
      <c r="Q927" s="10"/>
      <c r="R927" s="10"/>
      <c r="S927" s="10"/>
      <c r="T927" s="10"/>
      <c r="U927" s="10"/>
      <c r="V927" s="10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</row>
    <row r="928" ht="20.25" customHeight="1">
      <c r="A928" s="4"/>
      <c r="B928" s="189"/>
      <c r="C928" s="4"/>
      <c r="D928" s="4"/>
      <c r="E928" s="4"/>
      <c r="F928" s="4"/>
      <c r="G928" s="4"/>
      <c r="H928" s="4"/>
      <c r="I928" s="190"/>
      <c r="J928" s="4"/>
      <c r="K928" s="4"/>
      <c r="L928" s="191"/>
      <c r="M928" s="192"/>
      <c r="N928" s="192"/>
      <c r="O928" s="192"/>
      <c r="P928" s="4"/>
      <c r="Q928" s="10"/>
      <c r="R928" s="10"/>
      <c r="S928" s="10"/>
      <c r="T928" s="10"/>
      <c r="U928" s="10"/>
      <c r="V928" s="10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</row>
    <row r="929" ht="20.25" customHeight="1">
      <c r="A929" s="4"/>
      <c r="B929" s="189"/>
      <c r="C929" s="4"/>
      <c r="D929" s="4"/>
      <c r="E929" s="4"/>
      <c r="F929" s="4"/>
      <c r="G929" s="4"/>
      <c r="H929" s="4"/>
      <c r="I929" s="190"/>
      <c r="J929" s="4"/>
      <c r="K929" s="4"/>
      <c r="L929" s="191"/>
      <c r="M929" s="192"/>
      <c r="N929" s="192"/>
      <c r="O929" s="192"/>
      <c r="P929" s="4"/>
      <c r="Q929" s="10"/>
      <c r="R929" s="10"/>
      <c r="S929" s="10"/>
      <c r="T929" s="10"/>
      <c r="U929" s="10"/>
      <c r="V929" s="10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</row>
    <row r="930" ht="20.25" customHeight="1">
      <c r="A930" s="4"/>
      <c r="B930" s="189"/>
      <c r="C930" s="4"/>
      <c r="D930" s="4"/>
      <c r="E930" s="4"/>
      <c r="F930" s="4"/>
      <c r="G930" s="4"/>
      <c r="H930" s="4"/>
      <c r="I930" s="190"/>
      <c r="J930" s="4"/>
      <c r="K930" s="4"/>
      <c r="L930" s="191"/>
      <c r="M930" s="192"/>
      <c r="N930" s="192"/>
      <c r="O930" s="192"/>
      <c r="P930" s="4"/>
      <c r="Q930" s="10"/>
      <c r="R930" s="10"/>
      <c r="S930" s="10"/>
      <c r="T930" s="10"/>
      <c r="U930" s="10"/>
      <c r="V930" s="10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</row>
    <row r="931" ht="20.25" customHeight="1">
      <c r="A931" s="4"/>
      <c r="B931" s="189"/>
      <c r="C931" s="4"/>
      <c r="D931" s="4"/>
      <c r="E931" s="4"/>
      <c r="F931" s="4"/>
      <c r="G931" s="4"/>
      <c r="H931" s="4"/>
      <c r="I931" s="190"/>
      <c r="J931" s="4"/>
      <c r="K931" s="4"/>
      <c r="L931" s="191"/>
      <c r="M931" s="192"/>
      <c r="N931" s="192"/>
      <c r="O931" s="192"/>
      <c r="P931" s="4"/>
      <c r="Q931" s="10"/>
      <c r="R931" s="10"/>
      <c r="S931" s="10"/>
      <c r="T931" s="10"/>
      <c r="U931" s="10"/>
      <c r="V931" s="10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</row>
    <row r="932" ht="20.25" customHeight="1">
      <c r="A932" s="4"/>
      <c r="B932" s="189"/>
      <c r="C932" s="4"/>
      <c r="D932" s="4"/>
      <c r="E932" s="4"/>
      <c r="F932" s="4"/>
      <c r="G932" s="4"/>
      <c r="H932" s="4"/>
      <c r="I932" s="190"/>
      <c r="J932" s="4"/>
      <c r="K932" s="4"/>
      <c r="L932" s="191"/>
      <c r="M932" s="192"/>
      <c r="N932" s="192"/>
      <c r="O932" s="192"/>
      <c r="P932" s="4"/>
      <c r="Q932" s="10"/>
      <c r="R932" s="10"/>
      <c r="S932" s="10"/>
      <c r="T932" s="10"/>
      <c r="U932" s="10"/>
      <c r="V932" s="10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</row>
    <row r="933" ht="20.25" customHeight="1">
      <c r="A933" s="4"/>
      <c r="B933" s="189"/>
      <c r="C933" s="4"/>
      <c r="D933" s="4"/>
      <c r="E933" s="4"/>
      <c r="F933" s="4"/>
      <c r="G933" s="4"/>
      <c r="H933" s="4"/>
      <c r="I933" s="190"/>
      <c r="J933" s="4"/>
      <c r="K933" s="4"/>
      <c r="L933" s="191"/>
      <c r="M933" s="192"/>
      <c r="N933" s="192"/>
      <c r="O933" s="192"/>
      <c r="P933" s="4"/>
      <c r="Q933" s="10"/>
      <c r="R933" s="10"/>
      <c r="S933" s="10"/>
      <c r="T933" s="10"/>
      <c r="U933" s="10"/>
      <c r="V933" s="10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</row>
    <row r="934" ht="20.25" customHeight="1">
      <c r="A934" s="4"/>
      <c r="B934" s="189"/>
      <c r="C934" s="4"/>
      <c r="D934" s="4"/>
      <c r="E934" s="4"/>
      <c r="F934" s="4"/>
      <c r="G934" s="4"/>
      <c r="H934" s="4"/>
      <c r="I934" s="190"/>
      <c r="J934" s="4"/>
      <c r="K934" s="4"/>
      <c r="L934" s="191"/>
      <c r="M934" s="192"/>
      <c r="N934" s="192"/>
      <c r="O934" s="192"/>
      <c r="P934" s="4"/>
      <c r="Q934" s="10"/>
      <c r="R934" s="10"/>
      <c r="S934" s="10"/>
      <c r="T934" s="10"/>
      <c r="U934" s="10"/>
      <c r="V934" s="10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</row>
    <row r="935" ht="20.25" customHeight="1">
      <c r="A935" s="4"/>
      <c r="B935" s="189"/>
      <c r="C935" s="4"/>
      <c r="D935" s="4"/>
      <c r="E935" s="4"/>
      <c r="F935" s="4"/>
      <c r="G935" s="4"/>
      <c r="H935" s="4"/>
      <c r="I935" s="190"/>
      <c r="J935" s="4"/>
      <c r="K935" s="4"/>
      <c r="L935" s="191"/>
      <c r="M935" s="192"/>
      <c r="N935" s="192"/>
      <c r="O935" s="192"/>
      <c r="P935" s="4"/>
      <c r="Q935" s="10"/>
      <c r="R935" s="10"/>
      <c r="S935" s="10"/>
      <c r="T935" s="10"/>
      <c r="U935" s="10"/>
      <c r="V935" s="10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</row>
    <row r="936" ht="20.25" customHeight="1">
      <c r="A936" s="4"/>
      <c r="B936" s="189"/>
      <c r="C936" s="4"/>
      <c r="D936" s="4"/>
      <c r="E936" s="4"/>
      <c r="F936" s="4"/>
      <c r="G936" s="4"/>
      <c r="H936" s="4"/>
      <c r="I936" s="190"/>
      <c r="J936" s="4"/>
      <c r="K936" s="4"/>
      <c r="L936" s="191"/>
      <c r="M936" s="192"/>
      <c r="N936" s="192"/>
      <c r="O936" s="192"/>
      <c r="P936" s="4"/>
      <c r="Q936" s="10"/>
      <c r="R936" s="10"/>
      <c r="S936" s="10"/>
      <c r="T936" s="10"/>
      <c r="U936" s="10"/>
      <c r="V936" s="10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</row>
    <row r="937" ht="20.25" customHeight="1">
      <c r="A937" s="4"/>
      <c r="B937" s="189"/>
      <c r="C937" s="4"/>
      <c r="D937" s="4"/>
      <c r="E937" s="4"/>
      <c r="F937" s="4"/>
      <c r="G937" s="4"/>
      <c r="H937" s="4"/>
      <c r="I937" s="190"/>
      <c r="J937" s="4"/>
      <c r="K937" s="4"/>
      <c r="L937" s="191"/>
      <c r="M937" s="192"/>
      <c r="N937" s="192"/>
      <c r="O937" s="192"/>
      <c r="P937" s="4"/>
      <c r="Q937" s="10"/>
      <c r="R937" s="10"/>
      <c r="S937" s="10"/>
      <c r="T937" s="10"/>
      <c r="U937" s="10"/>
      <c r="V937" s="10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</row>
    <row r="938" ht="20.25" customHeight="1">
      <c r="A938" s="4"/>
      <c r="B938" s="189"/>
      <c r="C938" s="4"/>
      <c r="D938" s="4"/>
      <c r="E938" s="4"/>
      <c r="F938" s="4"/>
      <c r="G938" s="4"/>
      <c r="H938" s="4"/>
      <c r="I938" s="190"/>
      <c r="J938" s="4"/>
      <c r="K938" s="4"/>
      <c r="L938" s="191"/>
      <c r="M938" s="192"/>
      <c r="N938" s="192"/>
      <c r="O938" s="192"/>
      <c r="P938" s="4"/>
      <c r="Q938" s="10"/>
      <c r="R938" s="10"/>
      <c r="S938" s="10"/>
      <c r="T938" s="10"/>
      <c r="U938" s="10"/>
      <c r="V938" s="10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</row>
    <row r="939" ht="20.25" customHeight="1">
      <c r="A939" s="4"/>
      <c r="B939" s="189"/>
      <c r="C939" s="4"/>
      <c r="D939" s="4"/>
      <c r="E939" s="4"/>
      <c r="F939" s="4"/>
      <c r="G939" s="4"/>
      <c r="H939" s="4"/>
      <c r="I939" s="190"/>
      <c r="J939" s="4"/>
      <c r="K939" s="4"/>
      <c r="L939" s="191"/>
      <c r="M939" s="192"/>
      <c r="N939" s="192"/>
      <c r="O939" s="192"/>
      <c r="P939" s="4"/>
      <c r="Q939" s="10"/>
      <c r="R939" s="10"/>
      <c r="S939" s="10"/>
      <c r="T939" s="10"/>
      <c r="U939" s="10"/>
      <c r="V939" s="10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</row>
    <row r="940" ht="20.25" customHeight="1">
      <c r="A940" s="4"/>
      <c r="B940" s="189"/>
      <c r="C940" s="4"/>
      <c r="D940" s="4"/>
      <c r="E940" s="4"/>
      <c r="F940" s="4"/>
      <c r="G940" s="4"/>
      <c r="H940" s="4"/>
      <c r="I940" s="190"/>
      <c r="J940" s="4"/>
      <c r="K940" s="4"/>
      <c r="L940" s="191"/>
      <c r="M940" s="192"/>
      <c r="N940" s="192"/>
      <c r="O940" s="192"/>
      <c r="P940" s="4"/>
      <c r="Q940" s="10"/>
      <c r="R940" s="10"/>
      <c r="S940" s="10"/>
      <c r="T940" s="10"/>
      <c r="U940" s="10"/>
      <c r="V940" s="10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</row>
    <row r="941" ht="20.25" customHeight="1">
      <c r="A941" s="4"/>
      <c r="B941" s="189"/>
      <c r="C941" s="4"/>
      <c r="D941" s="4"/>
      <c r="E941" s="4"/>
      <c r="F941" s="4"/>
      <c r="G941" s="4"/>
      <c r="H941" s="4"/>
      <c r="I941" s="190"/>
      <c r="J941" s="4"/>
      <c r="K941" s="4"/>
      <c r="L941" s="191"/>
      <c r="M941" s="192"/>
      <c r="N941" s="192"/>
      <c r="O941" s="192"/>
      <c r="P941" s="4"/>
      <c r="Q941" s="10"/>
      <c r="R941" s="10"/>
      <c r="S941" s="10"/>
      <c r="T941" s="10"/>
      <c r="U941" s="10"/>
      <c r="V941" s="10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</row>
    <row r="942" ht="20.25" customHeight="1">
      <c r="A942" s="4"/>
      <c r="B942" s="189"/>
      <c r="C942" s="4"/>
      <c r="D942" s="4"/>
      <c r="E942" s="4"/>
      <c r="F942" s="4"/>
      <c r="G942" s="4"/>
      <c r="H942" s="4"/>
      <c r="I942" s="190"/>
      <c r="J942" s="4"/>
      <c r="K942" s="4"/>
      <c r="L942" s="191"/>
      <c r="M942" s="192"/>
      <c r="N942" s="192"/>
      <c r="O942" s="192"/>
      <c r="P942" s="4"/>
      <c r="Q942" s="10"/>
      <c r="R942" s="10"/>
      <c r="S942" s="10"/>
      <c r="T942" s="10"/>
      <c r="U942" s="10"/>
      <c r="V942" s="10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</row>
    <row r="943" ht="20.25" customHeight="1">
      <c r="A943" s="4"/>
      <c r="B943" s="189"/>
      <c r="C943" s="4"/>
      <c r="D943" s="4"/>
      <c r="E943" s="4"/>
      <c r="F943" s="4"/>
      <c r="G943" s="4"/>
      <c r="H943" s="4"/>
      <c r="I943" s="190"/>
      <c r="J943" s="4"/>
      <c r="K943" s="4"/>
      <c r="L943" s="191"/>
      <c r="M943" s="192"/>
      <c r="N943" s="192"/>
      <c r="O943" s="192"/>
      <c r="P943" s="4"/>
      <c r="Q943" s="10"/>
      <c r="R943" s="10"/>
      <c r="S943" s="10"/>
      <c r="T943" s="10"/>
      <c r="U943" s="10"/>
      <c r="V943" s="10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</row>
    <row r="944" ht="20.25" customHeight="1">
      <c r="A944" s="4"/>
      <c r="B944" s="189"/>
      <c r="C944" s="4"/>
      <c r="D944" s="4"/>
      <c r="E944" s="4"/>
      <c r="F944" s="4"/>
      <c r="G944" s="4"/>
      <c r="H944" s="4"/>
      <c r="I944" s="190"/>
      <c r="J944" s="4"/>
      <c r="K944" s="4"/>
      <c r="L944" s="191"/>
      <c r="M944" s="192"/>
      <c r="N944" s="192"/>
      <c r="O944" s="192"/>
      <c r="P944" s="4"/>
      <c r="Q944" s="10"/>
      <c r="R944" s="10"/>
      <c r="S944" s="10"/>
      <c r="T944" s="10"/>
      <c r="U944" s="10"/>
      <c r="V944" s="10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</row>
    <row r="945" ht="20.25" customHeight="1">
      <c r="A945" s="4"/>
      <c r="B945" s="189"/>
      <c r="C945" s="4"/>
      <c r="D945" s="4"/>
      <c r="E945" s="4"/>
      <c r="F945" s="4"/>
      <c r="G945" s="4"/>
      <c r="H945" s="4"/>
      <c r="I945" s="190"/>
      <c r="J945" s="4"/>
      <c r="K945" s="4"/>
      <c r="L945" s="191"/>
      <c r="M945" s="192"/>
      <c r="N945" s="192"/>
      <c r="O945" s="192"/>
      <c r="P945" s="4"/>
      <c r="Q945" s="10"/>
      <c r="R945" s="10"/>
      <c r="S945" s="10"/>
      <c r="T945" s="10"/>
      <c r="U945" s="10"/>
      <c r="V945" s="10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</row>
    <row r="946" ht="20.25" customHeight="1">
      <c r="A946" s="4"/>
      <c r="B946" s="189"/>
      <c r="C946" s="4"/>
      <c r="D946" s="4"/>
      <c r="E946" s="4"/>
      <c r="F946" s="4"/>
      <c r="G946" s="4"/>
      <c r="H946" s="4"/>
      <c r="I946" s="190"/>
      <c r="J946" s="4"/>
      <c r="K946" s="4"/>
      <c r="L946" s="191"/>
      <c r="M946" s="192"/>
      <c r="N946" s="192"/>
      <c r="O946" s="192"/>
      <c r="P946" s="4"/>
      <c r="Q946" s="10"/>
      <c r="R946" s="10"/>
      <c r="S946" s="10"/>
      <c r="T946" s="10"/>
      <c r="U946" s="10"/>
      <c r="V946" s="10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</row>
    <row r="947" ht="20.25" customHeight="1">
      <c r="A947" s="4"/>
      <c r="B947" s="189"/>
      <c r="C947" s="4"/>
      <c r="D947" s="4"/>
      <c r="E947" s="4"/>
      <c r="F947" s="4"/>
      <c r="G947" s="4"/>
      <c r="H947" s="4"/>
      <c r="I947" s="190"/>
      <c r="J947" s="4"/>
      <c r="K947" s="4"/>
      <c r="L947" s="191"/>
      <c r="M947" s="192"/>
      <c r="N947" s="192"/>
      <c r="O947" s="192"/>
      <c r="P947" s="4"/>
      <c r="Q947" s="10"/>
      <c r="R947" s="10"/>
      <c r="S947" s="10"/>
      <c r="T947" s="10"/>
      <c r="U947" s="10"/>
      <c r="V947" s="10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</row>
    <row r="948" ht="20.25" customHeight="1">
      <c r="A948" s="4"/>
      <c r="B948" s="189"/>
      <c r="C948" s="4"/>
      <c r="D948" s="4"/>
      <c r="E948" s="4"/>
      <c r="F948" s="4"/>
      <c r="G948" s="4"/>
      <c r="H948" s="4"/>
      <c r="I948" s="190"/>
      <c r="J948" s="4"/>
      <c r="K948" s="4"/>
      <c r="L948" s="191"/>
      <c r="M948" s="192"/>
      <c r="N948" s="192"/>
      <c r="O948" s="192"/>
      <c r="P948" s="4"/>
      <c r="Q948" s="10"/>
      <c r="R948" s="10"/>
      <c r="S948" s="10"/>
      <c r="T948" s="10"/>
      <c r="U948" s="10"/>
      <c r="V948" s="10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</row>
    <row r="949" ht="20.25" customHeight="1">
      <c r="A949" s="4"/>
      <c r="B949" s="189"/>
      <c r="C949" s="4"/>
      <c r="D949" s="4"/>
      <c r="E949" s="4"/>
      <c r="F949" s="4"/>
      <c r="G949" s="4"/>
      <c r="H949" s="4"/>
      <c r="I949" s="190"/>
      <c r="J949" s="4"/>
      <c r="K949" s="4"/>
      <c r="L949" s="191"/>
      <c r="M949" s="192"/>
      <c r="N949" s="192"/>
      <c r="O949" s="192"/>
      <c r="P949" s="4"/>
      <c r="Q949" s="10"/>
      <c r="R949" s="10"/>
      <c r="S949" s="10"/>
      <c r="T949" s="10"/>
      <c r="U949" s="10"/>
      <c r="V949" s="10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</row>
    <row r="950" ht="20.25" customHeight="1">
      <c r="A950" s="4"/>
      <c r="B950" s="189"/>
      <c r="C950" s="4"/>
      <c r="D950" s="4"/>
      <c r="E950" s="4"/>
      <c r="F950" s="4"/>
      <c r="G950" s="4"/>
      <c r="H950" s="4"/>
      <c r="I950" s="190"/>
      <c r="J950" s="4"/>
      <c r="K950" s="4"/>
      <c r="L950" s="191"/>
      <c r="M950" s="192"/>
      <c r="N950" s="192"/>
      <c r="O950" s="192"/>
      <c r="P950" s="4"/>
      <c r="Q950" s="10"/>
      <c r="R950" s="10"/>
      <c r="S950" s="10"/>
      <c r="T950" s="10"/>
      <c r="U950" s="10"/>
      <c r="V950" s="10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</row>
    <row r="951" ht="20.25" customHeight="1">
      <c r="A951" s="4"/>
      <c r="B951" s="189"/>
      <c r="C951" s="4"/>
      <c r="D951" s="4"/>
      <c r="E951" s="4"/>
      <c r="F951" s="4"/>
      <c r="G951" s="4"/>
      <c r="H951" s="4"/>
      <c r="I951" s="190"/>
      <c r="J951" s="4"/>
      <c r="K951" s="4"/>
      <c r="L951" s="191"/>
      <c r="M951" s="192"/>
      <c r="N951" s="192"/>
      <c r="O951" s="192"/>
      <c r="P951" s="4"/>
      <c r="Q951" s="10"/>
      <c r="R951" s="10"/>
      <c r="S951" s="10"/>
      <c r="T951" s="10"/>
      <c r="U951" s="10"/>
      <c r="V951" s="10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</row>
    <row r="952" ht="20.25" customHeight="1">
      <c r="A952" s="4"/>
      <c r="B952" s="189"/>
      <c r="C952" s="4"/>
      <c r="D952" s="4"/>
      <c r="E952" s="4"/>
      <c r="F952" s="4"/>
      <c r="G952" s="4"/>
      <c r="H952" s="4"/>
      <c r="I952" s="190"/>
      <c r="J952" s="4"/>
      <c r="K952" s="4"/>
      <c r="L952" s="191"/>
      <c r="M952" s="192"/>
      <c r="N952" s="192"/>
      <c r="O952" s="192"/>
      <c r="P952" s="4"/>
      <c r="Q952" s="10"/>
      <c r="R952" s="10"/>
      <c r="S952" s="10"/>
      <c r="T952" s="10"/>
      <c r="U952" s="10"/>
      <c r="V952" s="10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</row>
    <row r="953" ht="20.25" customHeight="1">
      <c r="A953" s="4"/>
      <c r="B953" s="189"/>
      <c r="C953" s="4"/>
      <c r="D953" s="4"/>
      <c r="E953" s="4"/>
      <c r="F953" s="4"/>
      <c r="G953" s="4"/>
      <c r="H953" s="4"/>
      <c r="I953" s="190"/>
      <c r="J953" s="4"/>
      <c r="K953" s="4"/>
      <c r="L953" s="191"/>
      <c r="M953" s="192"/>
      <c r="N953" s="192"/>
      <c r="O953" s="192"/>
      <c r="P953" s="4"/>
      <c r="Q953" s="10"/>
      <c r="R953" s="10"/>
      <c r="S953" s="10"/>
      <c r="T953" s="10"/>
      <c r="U953" s="10"/>
      <c r="V953" s="10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</row>
    <row r="954" ht="20.25" customHeight="1">
      <c r="A954" s="4"/>
      <c r="B954" s="189"/>
      <c r="C954" s="4"/>
      <c r="D954" s="4"/>
      <c r="E954" s="4"/>
      <c r="F954" s="4"/>
      <c r="G954" s="4"/>
      <c r="H954" s="4"/>
      <c r="I954" s="190"/>
      <c r="J954" s="4"/>
      <c r="K954" s="4"/>
      <c r="L954" s="191"/>
      <c r="M954" s="192"/>
      <c r="N954" s="192"/>
      <c r="O954" s="192"/>
      <c r="P954" s="4"/>
      <c r="Q954" s="10"/>
      <c r="R954" s="10"/>
      <c r="S954" s="10"/>
      <c r="T954" s="10"/>
      <c r="U954" s="10"/>
      <c r="V954" s="10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</row>
    <row r="955" ht="20.25" customHeight="1">
      <c r="A955" s="4"/>
      <c r="B955" s="189"/>
      <c r="C955" s="4"/>
      <c r="D955" s="4"/>
      <c r="E955" s="4"/>
      <c r="F955" s="4"/>
      <c r="G955" s="4"/>
      <c r="H955" s="4"/>
      <c r="I955" s="190"/>
      <c r="J955" s="4"/>
      <c r="K955" s="4"/>
      <c r="L955" s="191"/>
      <c r="M955" s="192"/>
      <c r="N955" s="192"/>
      <c r="O955" s="192"/>
      <c r="P955" s="4"/>
      <c r="Q955" s="10"/>
      <c r="R955" s="10"/>
      <c r="S955" s="10"/>
      <c r="T955" s="10"/>
      <c r="U955" s="10"/>
      <c r="V955" s="10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</row>
    <row r="956" ht="20.25" customHeight="1">
      <c r="A956" s="4"/>
      <c r="B956" s="189"/>
      <c r="C956" s="4"/>
      <c r="D956" s="4"/>
      <c r="E956" s="4"/>
      <c r="F956" s="4"/>
      <c r="G956" s="4"/>
      <c r="H956" s="4"/>
      <c r="I956" s="190"/>
      <c r="J956" s="4"/>
      <c r="K956" s="4"/>
      <c r="L956" s="191"/>
      <c r="M956" s="192"/>
      <c r="N956" s="192"/>
      <c r="O956" s="192"/>
      <c r="P956" s="4"/>
      <c r="Q956" s="10"/>
      <c r="R956" s="10"/>
      <c r="S956" s="10"/>
      <c r="T956" s="10"/>
      <c r="U956" s="10"/>
      <c r="V956" s="10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</row>
    <row r="957" ht="20.25" customHeight="1">
      <c r="A957" s="4"/>
      <c r="B957" s="189"/>
      <c r="C957" s="4"/>
      <c r="D957" s="4"/>
      <c r="E957" s="4"/>
      <c r="F957" s="4"/>
      <c r="G957" s="4"/>
      <c r="H957" s="4"/>
      <c r="I957" s="190"/>
      <c r="J957" s="4"/>
      <c r="K957" s="4"/>
      <c r="L957" s="191"/>
      <c r="M957" s="192"/>
      <c r="N957" s="192"/>
      <c r="O957" s="192"/>
      <c r="P957" s="4"/>
      <c r="Q957" s="10"/>
      <c r="R957" s="10"/>
      <c r="S957" s="10"/>
      <c r="T957" s="10"/>
      <c r="U957" s="10"/>
      <c r="V957" s="10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</row>
    <row r="958" ht="20.25" customHeight="1">
      <c r="A958" s="4"/>
      <c r="B958" s="189"/>
      <c r="C958" s="4"/>
      <c r="D958" s="4"/>
      <c r="E958" s="4"/>
      <c r="F958" s="4"/>
      <c r="G958" s="4"/>
      <c r="H958" s="4"/>
      <c r="I958" s="190"/>
      <c r="J958" s="4"/>
      <c r="K958" s="4"/>
      <c r="L958" s="191"/>
      <c r="M958" s="192"/>
      <c r="N958" s="192"/>
      <c r="O958" s="192"/>
      <c r="P958" s="4"/>
      <c r="Q958" s="10"/>
      <c r="R958" s="10"/>
      <c r="S958" s="10"/>
      <c r="T958" s="10"/>
      <c r="U958" s="10"/>
      <c r="V958" s="10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</row>
    <row r="959" ht="20.25" customHeight="1">
      <c r="A959" s="4"/>
      <c r="B959" s="189"/>
      <c r="C959" s="4"/>
      <c r="D959" s="4"/>
      <c r="E959" s="4"/>
      <c r="F959" s="4"/>
      <c r="G959" s="4"/>
      <c r="H959" s="4"/>
      <c r="I959" s="190"/>
      <c r="J959" s="4"/>
      <c r="K959" s="4"/>
      <c r="L959" s="191"/>
      <c r="M959" s="192"/>
      <c r="N959" s="192"/>
      <c r="O959" s="192"/>
      <c r="P959" s="4"/>
      <c r="Q959" s="10"/>
      <c r="R959" s="10"/>
      <c r="S959" s="10"/>
      <c r="T959" s="10"/>
      <c r="U959" s="10"/>
      <c r="V959" s="10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</row>
    <row r="960" ht="20.25" customHeight="1">
      <c r="A960" s="4"/>
      <c r="B960" s="189"/>
      <c r="C960" s="4"/>
      <c r="D960" s="4"/>
      <c r="E960" s="4"/>
      <c r="F960" s="4"/>
      <c r="G960" s="4"/>
      <c r="H960" s="4"/>
      <c r="I960" s="190"/>
      <c r="J960" s="4"/>
      <c r="K960" s="4"/>
      <c r="L960" s="191"/>
      <c r="M960" s="192"/>
      <c r="N960" s="192"/>
      <c r="O960" s="192"/>
      <c r="P960" s="4"/>
      <c r="Q960" s="10"/>
      <c r="R960" s="10"/>
      <c r="S960" s="10"/>
      <c r="T960" s="10"/>
      <c r="U960" s="10"/>
      <c r="V960" s="10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</row>
    <row r="961" ht="20.25" customHeight="1">
      <c r="A961" s="4"/>
      <c r="B961" s="189"/>
      <c r="C961" s="4"/>
      <c r="D961" s="4"/>
      <c r="E961" s="4"/>
      <c r="F961" s="4"/>
      <c r="G961" s="4"/>
      <c r="H961" s="4"/>
      <c r="I961" s="190"/>
      <c r="J961" s="4"/>
      <c r="K961" s="4"/>
      <c r="L961" s="191"/>
      <c r="M961" s="192"/>
      <c r="N961" s="192"/>
      <c r="O961" s="192"/>
      <c r="P961" s="4"/>
      <c r="Q961" s="10"/>
      <c r="R961" s="10"/>
      <c r="S961" s="10"/>
      <c r="T961" s="10"/>
      <c r="U961" s="10"/>
      <c r="V961" s="10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</row>
    <row r="962" ht="20.25" customHeight="1">
      <c r="A962" s="4"/>
      <c r="B962" s="189"/>
      <c r="C962" s="4"/>
      <c r="D962" s="4"/>
      <c r="E962" s="4"/>
      <c r="F962" s="4"/>
      <c r="G962" s="4"/>
      <c r="H962" s="4"/>
      <c r="I962" s="190"/>
      <c r="J962" s="4"/>
      <c r="K962" s="4"/>
      <c r="L962" s="191"/>
      <c r="M962" s="192"/>
      <c r="N962" s="192"/>
      <c r="O962" s="192"/>
      <c r="P962" s="4"/>
      <c r="Q962" s="10"/>
      <c r="R962" s="10"/>
      <c r="S962" s="10"/>
      <c r="T962" s="10"/>
      <c r="U962" s="10"/>
      <c r="V962" s="10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</row>
    <row r="963" ht="20.25" customHeight="1">
      <c r="A963" s="4"/>
      <c r="B963" s="189"/>
      <c r="C963" s="4"/>
      <c r="D963" s="4"/>
      <c r="E963" s="4"/>
      <c r="F963" s="4"/>
      <c r="G963" s="4"/>
      <c r="H963" s="4"/>
      <c r="I963" s="190"/>
      <c r="J963" s="4"/>
      <c r="K963" s="4"/>
      <c r="L963" s="191"/>
      <c r="M963" s="192"/>
      <c r="N963" s="192"/>
      <c r="O963" s="192"/>
      <c r="P963" s="4"/>
      <c r="Q963" s="10"/>
      <c r="R963" s="10"/>
      <c r="S963" s="10"/>
      <c r="T963" s="10"/>
      <c r="U963" s="10"/>
      <c r="V963" s="10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</row>
    <row r="964" ht="20.25" customHeight="1">
      <c r="A964" s="4"/>
      <c r="B964" s="189"/>
      <c r="C964" s="4"/>
      <c r="D964" s="4"/>
      <c r="E964" s="4"/>
      <c r="F964" s="4"/>
      <c r="G964" s="4"/>
      <c r="H964" s="4"/>
      <c r="I964" s="190"/>
      <c r="J964" s="4"/>
      <c r="K964" s="4"/>
      <c r="L964" s="191"/>
      <c r="M964" s="192"/>
      <c r="N964" s="192"/>
      <c r="O964" s="192"/>
      <c r="P964" s="4"/>
      <c r="Q964" s="10"/>
      <c r="R964" s="10"/>
      <c r="S964" s="10"/>
      <c r="T964" s="10"/>
      <c r="U964" s="10"/>
      <c r="V964" s="10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</row>
    <row r="965" ht="20.25" customHeight="1">
      <c r="A965" s="4"/>
      <c r="B965" s="189"/>
      <c r="C965" s="4"/>
      <c r="D965" s="4"/>
      <c r="E965" s="4"/>
      <c r="F965" s="4"/>
      <c r="G965" s="4"/>
      <c r="H965" s="4"/>
      <c r="I965" s="190"/>
      <c r="J965" s="4"/>
      <c r="K965" s="4"/>
      <c r="L965" s="191"/>
      <c r="M965" s="192"/>
      <c r="N965" s="192"/>
      <c r="O965" s="192"/>
      <c r="P965" s="4"/>
      <c r="Q965" s="10"/>
      <c r="R965" s="10"/>
      <c r="S965" s="10"/>
      <c r="T965" s="10"/>
      <c r="U965" s="10"/>
      <c r="V965" s="10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</row>
    <row r="966" ht="20.25" customHeight="1">
      <c r="A966" s="4"/>
      <c r="B966" s="189"/>
      <c r="C966" s="4"/>
      <c r="D966" s="4"/>
      <c r="E966" s="4"/>
      <c r="F966" s="4"/>
      <c r="G966" s="4"/>
      <c r="H966" s="4"/>
      <c r="I966" s="190"/>
      <c r="J966" s="4"/>
      <c r="K966" s="4"/>
      <c r="L966" s="191"/>
      <c r="M966" s="192"/>
      <c r="N966" s="192"/>
      <c r="O966" s="192"/>
      <c r="P966" s="4"/>
      <c r="Q966" s="10"/>
      <c r="R966" s="10"/>
      <c r="S966" s="10"/>
      <c r="T966" s="10"/>
      <c r="U966" s="10"/>
      <c r="V966" s="10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</row>
    <row r="967" ht="20.25" customHeight="1">
      <c r="A967" s="4"/>
      <c r="B967" s="189"/>
      <c r="C967" s="4"/>
      <c r="D967" s="4"/>
      <c r="E967" s="4"/>
      <c r="F967" s="4"/>
      <c r="G967" s="4"/>
      <c r="H967" s="4"/>
      <c r="I967" s="190"/>
      <c r="J967" s="4"/>
      <c r="K967" s="4"/>
      <c r="L967" s="191"/>
      <c r="M967" s="192"/>
      <c r="N967" s="192"/>
      <c r="O967" s="192"/>
      <c r="P967" s="4"/>
      <c r="Q967" s="10"/>
      <c r="R967" s="10"/>
      <c r="S967" s="10"/>
      <c r="T967" s="10"/>
      <c r="U967" s="10"/>
      <c r="V967" s="10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</row>
    <row r="968" ht="20.25" customHeight="1">
      <c r="A968" s="4"/>
      <c r="B968" s="189"/>
      <c r="C968" s="4"/>
      <c r="D968" s="4"/>
      <c r="E968" s="4"/>
      <c r="F968" s="4"/>
      <c r="G968" s="4"/>
      <c r="H968" s="4"/>
      <c r="I968" s="190"/>
      <c r="J968" s="4"/>
      <c r="K968" s="4"/>
      <c r="L968" s="191"/>
      <c r="M968" s="192"/>
      <c r="N968" s="192"/>
      <c r="O968" s="192"/>
      <c r="P968" s="4"/>
      <c r="Q968" s="10"/>
      <c r="R968" s="10"/>
      <c r="S968" s="10"/>
      <c r="T968" s="10"/>
      <c r="U968" s="10"/>
      <c r="V968" s="10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</row>
    <row r="969" ht="20.25" customHeight="1">
      <c r="A969" s="4"/>
      <c r="B969" s="189"/>
      <c r="C969" s="4"/>
      <c r="D969" s="4"/>
      <c r="E969" s="4"/>
      <c r="F969" s="4"/>
      <c r="G969" s="4"/>
      <c r="H969" s="4"/>
      <c r="I969" s="190"/>
      <c r="J969" s="4"/>
      <c r="K969" s="4"/>
      <c r="L969" s="191"/>
      <c r="M969" s="192"/>
      <c r="N969" s="192"/>
      <c r="O969" s="192"/>
      <c r="P969" s="4"/>
      <c r="Q969" s="10"/>
      <c r="R969" s="10"/>
      <c r="S969" s="10"/>
      <c r="T969" s="10"/>
      <c r="U969" s="10"/>
      <c r="V969" s="10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</row>
    <row r="970" ht="20.25" customHeight="1">
      <c r="A970" s="4"/>
      <c r="B970" s="189"/>
      <c r="C970" s="4"/>
      <c r="D970" s="4"/>
      <c r="E970" s="4"/>
      <c r="F970" s="4"/>
      <c r="G970" s="4"/>
      <c r="H970" s="4"/>
      <c r="I970" s="190"/>
      <c r="J970" s="4"/>
      <c r="K970" s="4"/>
      <c r="L970" s="191"/>
      <c r="M970" s="192"/>
      <c r="N970" s="192"/>
      <c r="O970" s="192"/>
      <c r="P970" s="4"/>
      <c r="Q970" s="10"/>
      <c r="R970" s="10"/>
      <c r="S970" s="10"/>
      <c r="T970" s="10"/>
      <c r="U970" s="10"/>
      <c r="V970" s="10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</row>
    <row r="971" ht="20.25" customHeight="1">
      <c r="A971" s="4"/>
      <c r="B971" s="189"/>
      <c r="C971" s="4"/>
      <c r="D971" s="4"/>
      <c r="E971" s="4"/>
      <c r="F971" s="4"/>
      <c r="G971" s="4"/>
      <c r="H971" s="4"/>
      <c r="I971" s="190"/>
      <c r="J971" s="4"/>
      <c r="K971" s="4"/>
      <c r="L971" s="191"/>
      <c r="M971" s="192"/>
      <c r="N971" s="192"/>
      <c r="O971" s="192"/>
      <c r="P971" s="4"/>
      <c r="Q971" s="10"/>
      <c r="R971" s="10"/>
      <c r="S971" s="10"/>
      <c r="T971" s="10"/>
      <c r="U971" s="10"/>
      <c r="V971" s="10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</row>
    <row r="972" ht="20.25" customHeight="1">
      <c r="A972" s="4"/>
      <c r="B972" s="189"/>
      <c r="C972" s="4"/>
      <c r="D972" s="4"/>
      <c r="E972" s="4"/>
      <c r="F972" s="4"/>
      <c r="G972" s="4"/>
      <c r="H972" s="4"/>
      <c r="I972" s="190"/>
      <c r="J972" s="4"/>
      <c r="K972" s="4"/>
      <c r="L972" s="191"/>
      <c r="M972" s="192"/>
      <c r="N972" s="192"/>
      <c r="O972" s="192"/>
      <c r="P972" s="4"/>
      <c r="Q972" s="10"/>
      <c r="R972" s="10"/>
      <c r="S972" s="10"/>
      <c r="T972" s="10"/>
      <c r="U972" s="10"/>
      <c r="V972" s="10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</row>
    <row r="973" ht="20.25" customHeight="1">
      <c r="A973" s="4"/>
      <c r="B973" s="189"/>
      <c r="C973" s="4"/>
      <c r="D973" s="4"/>
      <c r="E973" s="4"/>
      <c r="F973" s="4"/>
      <c r="G973" s="4"/>
      <c r="H973" s="4"/>
      <c r="I973" s="190"/>
      <c r="J973" s="4"/>
      <c r="K973" s="4"/>
      <c r="L973" s="191"/>
      <c r="M973" s="192"/>
      <c r="N973" s="192"/>
      <c r="O973" s="192"/>
      <c r="P973" s="4"/>
      <c r="Q973" s="10"/>
      <c r="R973" s="10"/>
      <c r="S973" s="10"/>
      <c r="T973" s="10"/>
      <c r="U973" s="10"/>
      <c r="V973" s="10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</row>
    <row r="974" ht="20.25" customHeight="1">
      <c r="A974" s="4"/>
      <c r="B974" s="189"/>
      <c r="C974" s="4"/>
      <c r="D974" s="4"/>
      <c r="E974" s="4"/>
      <c r="F974" s="4"/>
      <c r="G974" s="4"/>
      <c r="H974" s="4"/>
      <c r="I974" s="190"/>
      <c r="J974" s="4"/>
      <c r="K974" s="4"/>
      <c r="L974" s="191"/>
      <c r="M974" s="192"/>
      <c r="N974" s="192"/>
      <c r="O974" s="192"/>
      <c r="P974" s="4"/>
      <c r="Q974" s="10"/>
      <c r="R974" s="10"/>
      <c r="S974" s="10"/>
      <c r="T974" s="10"/>
      <c r="U974" s="10"/>
      <c r="V974" s="10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</row>
    <row r="975" ht="20.25" customHeight="1">
      <c r="A975" s="4"/>
      <c r="B975" s="189"/>
      <c r="C975" s="4"/>
      <c r="D975" s="4"/>
      <c r="E975" s="4"/>
      <c r="F975" s="4"/>
      <c r="G975" s="4"/>
      <c r="H975" s="4"/>
      <c r="I975" s="190"/>
      <c r="J975" s="4"/>
      <c r="K975" s="4"/>
      <c r="L975" s="191"/>
      <c r="M975" s="192"/>
      <c r="N975" s="192"/>
      <c r="O975" s="192"/>
      <c r="P975" s="4"/>
      <c r="Q975" s="10"/>
      <c r="R975" s="10"/>
      <c r="S975" s="10"/>
      <c r="T975" s="10"/>
      <c r="U975" s="10"/>
      <c r="V975" s="10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</row>
    <row r="976" ht="20.25" customHeight="1">
      <c r="A976" s="4"/>
      <c r="B976" s="189"/>
      <c r="C976" s="4"/>
      <c r="D976" s="4"/>
      <c r="E976" s="4"/>
      <c r="F976" s="4"/>
      <c r="G976" s="4"/>
      <c r="H976" s="4"/>
      <c r="I976" s="190"/>
      <c r="J976" s="4"/>
      <c r="K976" s="4"/>
      <c r="L976" s="191"/>
      <c r="M976" s="192"/>
      <c r="N976" s="192"/>
      <c r="O976" s="192"/>
      <c r="P976" s="4"/>
      <c r="Q976" s="10"/>
      <c r="R976" s="10"/>
      <c r="S976" s="10"/>
      <c r="T976" s="10"/>
      <c r="U976" s="10"/>
      <c r="V976" s="10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</row>
    <row r="977" ht="20.25" customHeight="1">
      <c r="A977" s="4"/>
      <c r="B977" s="189"/>
      <c r="C977" s="4"/>
      <c r="D977" s="4"/>
      <c r="E977" s="4"/>
      <c r="F977" s="4"/>
      <c r="G977" s="4"/>
      <c r="H977" s="4"/>
      <c r="I977" s="190"/>
      <c r="J977" s="4"/>
      <c r="K977" s="4"/>
      <c r="L977" s="191"/>
      <c r="M977" s="192"/>
      <c r="N977" s="192"/>
      <c r="O977" s="192"/>
      <c r="P977" s="4"/>
      <c r="Q977" s="10"/>
      <c r="R977" s="10"/>
      <c r="S977" s="10"/>
      <c r="T977" s="10"/>
      <c r="U977" s="10"/>
      <c r="V977" s="10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</row>
    <row r="978" ht="20.25" customHeight="1">
      <c r="A978" s="4"/>
      <c r="B978" s="189"/>
      <c r="C978" s="4"/>
      <c r="D978" s="4"/>
      <c r="E978" s="4"/>
      <c r="F978" s="4"/>
      <c r="G978" s="4"/>
      <c r="H978" s="4"/>
      <c r="I978" s="190"/>
      <c r="J978" s="4"/>
      <c r="K978" s="4"/>
      <c r="L978" s="191"/>
      <c r="M978" s="192"/>
      <c r="N978" s="192"/>
      <c r="O978" s="192"/>
      <c r="P978" s="4"/>
      <c r="Q978" s="10"/>
      <c r="R978" s="10"/>
      <c r="S978" s="10"/>
      <c r="T978" s="10"/>
      <c r="U978" s="10"/>
      <c r="V978" s="10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</row>
    <row r="979" ht="20.25" customHeight="1">
      <c r="A979" s="4"/>
      <c r="B979" s="189"/>
      <c r="C979" s="4"/>
      <c r="D979" s="4"/>
      <c r="E979" s="4"/>
      <c r="F979" s="4"/>
      <c r="G979" s="4"/>
      <c r="H979" s="4"/>
      <c r="I979" s="190"/>
      <c r="J979" s="4"/>
      <c r="K979" s="4"/>
      <c r="L979" s="191"/>
      <c r="M979" s="192"/>
      <c r="N979" s="192"/>
      <c r="O979" s="192"/>
      <c r="P979" s="4"/>
      <c r="Q979" s="10"/>
      <c r="R979" s="10"/>
      <c r="S979" s="10"/>
      <c r="T979" s="10"/>
      <c r="U979" s="10"/>
      <c r="V979" s="10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</row>
    <row r="980" ht="20.25" customHeight="1">
      <c r="A980" s="4"/>
      <c r="B980" s="189"/>
      <c r="C980" s="4"/>
      <c r="D980" s="4"/>
      <c r="E980" s="4"/>
      <c r="F980" s="4"/>
      <c r="G980" s="4"/>
      <c r="H980" s="4"/>
      <c r="I980" s="190"/>
      <c r="J980" s="4"/>
      <c r="K980" s="4"/>
      <c r="L980" s="191"/>
      <c r="M980" s="192"/>
      <c r="N980" s="192"/>
      <c r="O980" s="192"/>
      <c r="P980" s="4"/>
      <c r="Q980" s="10"/>
      <c r="R980" s="10"/>
      <c r="S980" s="10"/>
      <c r="T980" s="10"/>
      <c r="U980" s="10"/>
      <c r="V980" s="10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</row>
    <row r="981" ht="20.25" customHeight="1">
      <c r="A981" s="4"/>
      <c r="B981" s="189"/>
      <c r="C981" s="4"/>
      <c r="D981" s="4"/>
      <c r="E981" s="4"/>
      <c r="F981" s="4"/>
      <c r="G981" s="4"/>
      <c r="H981" s="4"/>
      <c r="I981" s="190"/>
      <c r="J981" s="4"/>
      <c r="K981" s="4"/>
      <c r="L981" s="191"/>
      <c r="M981" s="192"/>
      <c r="N981" s="192"/>
      <c r="O981" s="192"/>
      <c r="P981" s="4"/>
      <c r="Q981" s="10"/>
      <c r="R981" s="10"/>
      <c r="S981" s="10"/>
      <c r="T981" s="10"/>
      <c r="U981" s="10"/>
      <c r="V981" s="10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</row>
    <row r="982" ht="20.25" customHeight="1">
      <c r="A982" s="4"/>
      <c r="B982" s="189"/>
      <c r="C982" s="4"/>
      <c r="D982" s="4"/>
      <c r="E982" s="4"/>
      <c r="F982" s="4"/>
      <c r="G982" s="4"/>
      <c r="H982" s="4"/>
      <c r="I982" s="190"/>
      <c r="J982" s="4"/>
      <c r="K982" s="4"/>
      <c r="L982" s="191"/>
      <c r="M982" s="192"/>
      <c r="N982" s="192"/>
      <c r="O982" s="192"/>
      <c r="P982" s="4"/>
      <c r="Q982" s="10"/>
      <c r="R982" s="10"/>
      <c r="S982" s="10"/>
      <c r="T982" s="10"/>
      <c r="U982" s="10"/>
      <c r="V982" s="10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</row>
    <row r="983" ht="20.25" customHeight="1">
      <c r="A983" s="4"/>
      <c r="B983" s="189"/>
      <c r="C983" s="4"/>
      <c r="D983" s="4"/>
      <c r="E983" s="4"/>
      <c r="F983" s="4"/>
      <c r="G983" s="4"/>
      <c r="H983" s="4"/>
      <c r="I983" s="190"/>
      <c r="J983" s="4"/>
      <c r="K983" s="4"/>
      <c r="L983" s="191"/>
      <c r="M983" s="192"/>
      <c r="N983" s="192"/>
      <c r="O983" s="192"/>
      <c r="P983" s="4"/>
      <c r="Q983" s="10"/>
      <c r="R983" s="10"/>
      <c r="S983" s="10"/>
      <c r="T983" s="10"/>
      <c r="U983" s="10"/>
      <c r="V983" s="10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</row>
    <row r="984" ht="20.25" customHeight="1">
      <c r="A984" s="4"/>
      <c r="B984" s="189"/>
      <c r="C984" s="4"/>
      <c r="D984" s="4"/>
      <c r="E984" s="4"/>
      <c r="F984" s="4"/>
      <c r="G984" s="4"/>
      <c r="H984" s="4"/>
      <c r="I984" s="190"/>
      <c r="J984" s="4"/>
      <c r="K984" s="4"/>
      <c r="L984" s="191"/>
      <c r="M984" s="192"/>
      <c r="N984" s="192"/>
      <c r="O984" s="192"/>
      <c r="P984" s="4"/>
      <c r="Q984" s="10"/>
      <c r="R984" s="10"/>
      <c r="S984" s="10"/>
      <c r="T984" s="10"/>
      <c r="U984" s="10"/>
      <c r="V984" s="10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</row>
    <row r="985" ht="20.25" customHeight="1">
      <c r="A985" s="4"/>
      <c r="B985" s="189"/>
      <c r="C985" s="4"/>
      <c r="D985" s="4"/>
      <c r="E985" s="4"/>
      <c r="F985" s="4"/>
      <c r="G985" s="4"/>
      <c r="H985" s="4"/>
      <c r="I985" s="190"/>
      <c r="J985" s="4"/>
      <c r="K985" s="4"/>
      <c r="L985" s="191"/>
      <c r="M985" s="192"/>
      <c r="N985" s="192"/>
      <c r="O985" s="192"/>
      <c r="P985" s="4"/>
      <c r="Q985" s="10"/>
      <c r="R985" s="10"/>
      <c r="S985" s="10"/>
      <c r="T985" s="10"/>
      <c r="U985" s="10"/>
      <c r="V985" s="10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</row>
    <row r="986" ht="20.25" customHeight="1">
      <c r="A986" s="4"/>
      <c r="B986" s="189"/>
      <c r="C986" s="4"/>
      <c r="D986" s="4"/>
      <c r="E986" s="4"/>
      <c r="F986" s="4"/>
      <c r="G986" s="4"/>
      <c r="H986" s="4"/>
      <c r="I986" s="190"/>
      <c r="J986" s="4"/>
      <c r="K986" s="4"/>
      <c r="L986" s="191"/>
      <c r="M986" s="192"/>
      <c r="N986" s="192"/>
      <c r="O986" s="192"/>
      <c r="P986" s="4"/>
      <c r="Q986" s="10"/>
      <c r="R986" s="10"/>
      <c r="S986" s="10"/>
      <c r="T986" s="10"/>
      <c r="U986" s="10"/>
      <c r="V986" s="10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</row>
    <row r="987" ht="20.25" customHeight="1">
      <c r="A987" s="4"/>
      <c r="B987" s="189"/>
      <c r="C987" s="4"/>
      <c r="D987" s="4"/>
      <c r="E987" s="4"/>
      <c r="F987" s="4"/>
      <c r="G987" s="4"/>
      <c r="H987" s="4"/>
      <c r="I987" s="190"/>
      <c r="J987" s="4"/>
      <c r="K987" s="4"/>
      <c r="L987" s="191"/>
      <c r="M987" s="192"/>
      <c r="N987" s="192"/>
      <c r="O987" s="192"/>
      <c r="P987" s="4"/>
      <c r="Q987" s="10"/>
      <c r="R987" s="10"/>
      <c r="S987" s="10"/>
      <c r="T987" s="10"/>
      <c r="U987" s="10"/>
      <c r="V987" s="10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</row>
    <row r="988" ht="20.25" customHeight="1">
      <c r="A988" s="4"/>
      <c r="B988" s="189"/>
      <c r="C988" s="4"/>
      <c r="D988" s="4"/>
      <c r="E988" s="4"/>
      <c r="F988" s="4"/>
      <c r="G988" s="4"/>
      <c r="H988" s="4"/>
      <c r="I988" s="190"/>
      <c r="J988" s="4"/>
      <c r="K988" s="4"/>
      <c r="L988" s="191"/>
      <c r="M988" s="192"/>
      <c r="N988" s="192"/>
      <c r="O988" s="192"/>
      <c r="P988" s="4"/>
      <c r="Q988" s="10"/>
      <c r="R988" s="10"/>
      <c r="S988" s="10"/>
      <c r="T988" s="10"/>
      <c r="U988" s="10"/>
      <c r="V988" s="10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</row>
    <row r="989" ht="20.25" customHeight="1">
      <c r="A989" s="4"/>
      <c r="B989" s="189"/>
      <c r="C989" s="4"/>
      <c r="D989" s="4"/>
      <c r="E989" s="4"/>
      <c r="F989" s="4"/>
      <c r="G989" s="4"/>
      <c r="H989" s="4"/>
      <c r="I989" s="190"/>
      <c r="J989" s="4"/>
      <c r="K989" s="4"/>
      <c r="L989" s="191"/>
      <c r="M989" s="192"/>
      <c r="N989" s="192"/>
      <c r="O989" s="192"/>
      <c r="P989" s="4"/>
      <c r="Q989" s="10"/>
      <c r="R989" s="10"/>
      <c r="S989" s="10"/>
      <c r="T989" s="10"/>
      <c r="U989" s="10"/>
      <c r="V989" s="10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</row>
    <row r="990" ht="20.25" customHeight="1">
      <c r="A990" s="4"/>
      <c r="B990" s="189"/>
      <c r="C990" s="4"/>
      <c r="D990" s="4"/>
      <c r="E990" s="4"/>
      <c r="F990" s="4"/>
      <c r="G990" s="4"/>
      <c r="H990" s="4"/>
      <c r="I990" s="190"/>
      <c r="J990" s="4"/>
      <c r="K990" s="4"/>
      <c r="L990" s="191"/>
      <c r="M990" s="192"/>
      <c r="N990" s="192"/>
      <c r="O990" s="192"/>
      <c r="P990" s="4"/>
      <c r="Q990" s="10"/>
      <c r="R990" s="10"/>
      <c r="S990" s="10"/>
      <c r="T990" s="10"/>
      <c r="U990" s="10"/>
      <c r="V990" s="10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</row>
    <row r="991" ht="20.25" customHeight="1">
      <c r="A991" s="4"/>
      <c r="B991" s="189"/>
      <c r="C991" s="4"/>
      <c r="D991" s="4"/>
      <c r="E991" s="4"/>
      <c r="F991" s="4"/>
      <c r="G991" s="4"/>
      <c r="H991" s="4"/>
      <c r="I991" s="190"/>
      <c r="J991" s="4"/>
      <c r="K991" s="4"/>
      <c r="L991" s="191"/>
      <c r="M991" s="192"/>
      <c r="N991" s="192"/>
      <c r="O991" s="192"/>
      <c r="P991" s="4"/>
      <c r="Q991" s="10"/>
      <c r="R991" s="10"/>
      <c r="S991" s="10"/>
      <c r="T991" s="10"/>
      <c r="U991" s="10"/>
      <c r="V991" s="10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</row>
    <row r="992" ht="20.25" customHeight="1">
      <c r="A992" s="4"/>
      <c r="B992" s="189"/>
      <c r="C992" s="4"/>
      <c r="D992" s="4"/>
      <c r="E992" s="4"/>
      <c r="F992" s="4"/>
      <c r="G992" s="4"/>
      <c r="H992" s="4"/>
      <c r="I992" s="190"/>
      <c r="J992" s="4"/>
      <c r="K992" s="4"/>
      <c r="L992" s="191"/>
      <c r="M992" s="192"/>
      <c r="N992" s="192"/>
      <c r="O992" s="192"/>
      <c r="P992" s="4"/>
      <c r="Q992" s="10"/>
      <c r="R992" s="10"/>
      <c r="S992" s="10"/>
      <c r="T992" s="10"/>
      <c r="U992" s="10"/>
      <c r="V992" s="10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</row>
    <row r="993" ht="20.25" customHeight="1">
      <c r="A993" s="4"/>
      <c r="B993" s="189"/>
      <c r="C993" s="4"/>
      <c r="D993" s="4"/>
      <c r="E993" s="4"/>
      <c r="F993" s="4"/>
      <c r="G993" s="4"/>
      <c r="H993" s="4"/>
      <c r="I993" s="190"/>
      <c r="J993" s="4"/>
      <c r="K993" s="4"/>
      <c r="L993" s="191"/>
      <c r="M993" s="192"/>
      <c r="N993" s="192"/>
      <c r="O993" s="192"/>
      <c r="P993" s="4"/>
      <c r="Q993" s="10"/>
      <c r="R993" s="10"/>
      <c r="S993" s="10"/>
      <c r="T993" s="10"/>
      <c r="U993" s="10"/>
      <c r="V993" s="10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</row>
    <row r="994" ht="20.25" customHeight="1">
      <c r="A994" s="4"/>
      <c r="B994" s="189"/>
      <c r="C994" s="4"/>
      <c r="D994" s="4"/>
      <c r="E994" s="4"/>
      <c r="F994" s="4"/>
      <c r="G994" s="4"/>
      <c r="H994" s="4"/>
      <c r="I994" s="190"/>
      <c r="J994" s="4"/>
      <c r="K994" s="4"/>
      <c r="L994" s="191"/>
      <c r="M994" s="192"/>
      <c r="N994" s="192"/>
      <c r="O994" s="192"/>
      <c r="P994" s="4"/>
      <c r="Q994" s="10"/>
      <c r="R994" s="10"/>
      <c r="S994" s="10"/>
      <c r="T994" s="10"/>
      <c r="U994" s="10"/>
      <c r="V994" s="10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</row>
    <row r="995" ht="20.25" customHeight="1">
      <c r="A995" s="4"/>
      <c r="B995" s="189"/>
      <c r="C995" s="4"/>
      <c r="D995" s="4"/>
      <c r="E995" s="4"/>
      <c r="F995" s="4"/>
      <c r="G995" s="4"/>
      <c r="H995" s="4"/>
      <c r="I995" s="190"/>
      <c r="J995" s="4"/>
      <c r="K995" s="4"/>
      <c r="L995" s="191"/>
      <c r="M995" s="192"/>
      <c r="N995" s="192"/>
      <c r="O995" s="192"/>
      <c r="P995" s="4"/>
      <c r="Q995" s="10"/>
      <c r="R995" s="10"/>
      <c r="S995" s="10"/>
      <c r="T995" s="10"/>
      <c r="U995" s="10"/>
      <c r="V995" s="10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</row>
    <row r="996" ht="20.25" customHeight="1">
      <c r="A996" s="4"/>
      <c r="B996" s="189"/>
      <c r="C996" s="4"/>
      <c r="D996" s="4"/>
      <c r="E996" s="4"/>
      <c r="F996" s="4"/>
      <c r="G996" s="4"/>
      <c r="H996" s="4"/>
      <c r="I996" s="190"/>
      <c r="J996" s="4"/>
      <c r="K996" s="4"/>
      <c r="L996" s="191"/>
      <c r="M996" s="192"/>
      <c r="N996" s="192"/>
      <c r="O996" s="192"/>
      <c r="P996" s="4"/>
      <c r="Q996" s="10"/>
      <c r="R996" s="10"/>
      <c r="S996" s="10"/>
      <c r="T996" s="10"/>
      <c r="U996" s="10"/>
      <c r="V996" s="10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</row>
    <row r="997" ht="20.25" customHeight="1">
      <c r="A997" s="4"/>
      <c r="B997" s="189"/>
      <c r="C997" s="4"/>
      <c r="D997" s="4"/>
      <c r="E997" s="4"/>
      <c r="F997" s="4"/>
      <c r="G997" s="4"/>
      <c r="H997" s="4"/>
      <c r="I997" s="190"/>
      <c r="J997" s="4"/>
      <c r="K997" s="4"/>
      <c r="L997" s="191"/>
      <c r="M997" s="192"/>
      <c r="N997" s="192"/>
      <c r="O997" s="192"/>
      <c r="P997" s="4"/>
      <c r="Q997" s="10"/>
      <c r="R997" s="10"/>
      <c r="S997" s="10"/>
      <c r="T997" s="10"/>
      <c r="U997" s="10"/>
      <c r="V997" s="10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</row>
    <row r="998" ht="20.25" customHeight="1">
      <c r="A998" s="4"/>
      <c r="B998" s="189"/>
      <c r="C998" s="4"/>
      <c r="D998" s="4"/>
      <c r="E998" s="4"/>
      <c r="F998" s="4"/>
      <c r="G998" s="4"/>
      <c r="H998" s="4"/>
      <c r="I998" s="190"/>
      <c r="J998" s="4"/>
      <c r="K998" s="4"/>
      <c r="L998" s="191"/>
      <c r="M998" s="192"/>
      <c r="N998" s="192"/>
      <c r="O998" s="192"/>
      <c r="P998" s="4"/>
      <c r="Q998" s="10"/>
      <c r="R998" s="10"/>
      <c r="S998" s="10"/>
      <c r="T998" s="10"/>
      <c r="U998" s="10"/>
      <c r="V998" s="10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</row>
    <row r="999" ht="20.25" customHeight="1">
      <c r="A999" s="4"/>
      <c r="B999" s="189"/>
      <c r="C999" s="4"/>
      <c r="D999" s="4"/>
      <c r="E999" s="4"/>
      <c r="F999" s="4"/>
      <c r="G999" s="4"/>
      <c r="H999" s="4"/>
      <c r="I999" s="190"/>
      <c r="J999" s="4"/>
      <c r="K999" s="4"/>
      <c r="L999" s="191"/>
      <c r="M999" s="192"/>
      <c r="N999" s="192"/>
      <c r="O999" s="192"/>
      <c r="P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</row>
    <row r="1000" ht="20.25" customHeight="1">
      <c r="A1000" s="4"/>
      <c r="B1000" s="189"/>
      <c r="C1000" s="4"/>
      <c r="D1000" s="4"/>
      <c r="E1000" s="4"/>
      <c r="F1000" s="4"/>
      <c r="G1000" s="4"/>
      <c r="H1000" s="4"/>
      <c r="I1000" s="190"/>
      <c r="J1000" s="4"/>
      <c r="K1000" s="4"/>
      <c r="L1000" s="191"/>
      <c r="M1000" s="192"/>
      <c r="N1000" s="192"/>
      <c r="O1000" s="192"/>
      <c r="P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</row>
  </sheetData>
  <mergeCells count="34">
    <mergeCell ref="A1:V1"/>
    <mergeCell ref="AA3:AF3"/>
    <mergeCell ref="AN3:AW3"/>
    <mergeCell ref="AA4:AC4"/>
    <mergeCell ref="AD4:AE4"/>
    <mergeCell ref="AP4:AS4"/>
    <mergeCell ref="AT4:AU4"/>
    <mergeCell ref="AA5:AC5"/>
    <mergeCell ref="AD5:AE5"/>
    <mergeCell ref="AA7:AF7"/>
    <mergeCell ref="AA8:AC8"/>
    <mergeCell ref="AD8:AE8"/>
    <mergeCell ref="AN8:AQ8"/>
    <mergeCell ref="AD9:AE9"/>
    <mergeCell ref="AA9:AC9"/>
    <mergeCell ref="AA10:AC10"/>
    <mergeCell ref="AD10:AE10"/>
    <mergeCell ref="AA11:AC11"/>
    <mergeCell ref="AD11:AE11"/>
    <mergeCell ref="AA12:AF12"/>
    <mergeCell ref="AD13:AE13"/>
    <mergeCell ref="AA17:AC17"/>
    <mergeCell ref="AD17:AE17"/>
    <mergeCell ref="AA18:AF18"/>
    <mergeCell ref="AA25:AF25"/>
    <mergeCell ref="AA32:AF32"/>
    <mergeCell ref="AA39:AF39"/>
    <mergeCell ref="AA13:AC13"/>
    <mergeCell ref="AA14:AC14"/>
    <mergeCell ref="AD14:AE14"/>
    <mergeCell ref="AA15:AC15"/>
    <mergeCell ref="AD15:AE15"/>
    <mergeCell ref="AA16:AC16"/>
    <mergeCell ref="AD16:AE16"/>
  </mergeCells>
  <conditionalFormatting sqref="A16 F105 G26:G29 G120:H120 J115:J117 J119:J123">
    <cfRule type="containsText" dxfId="0" priority="1" operator="containsText" text="거부">
      <formula>NOT(ISERROR(SEARCH(("거부"),(A16))))</formula>
    </cfRule>
  </conditionalFormatting>
  <conditionalFormatting sqref="A16 F105 G26:G29 G120:H120 J115:J117 J119:J123">
    <cfRule type="containsText" dxfId="1" priority="2" operator="containsText" text="리턴">
      <formula>NOT(ISERROR(SEARCH(("리턴"),(A16))))</formula>
    </cfRule>
  </conditionalFormatting>
  <conditionalFormatting sqref="A16 F105 G26:G29 G120:H120 J115:J117 J119:J123">
    <cfRule type="containsText" dxfId="2" priority="3" operator="containsText" text="실패">
      <formula>NOT(ISERROR(SEARCH(("실패"),(A16))))</formula>
    </cfRule>
  </conditionalFormatting>
  <conditionalFormatting sqref="A16 F105 G26:G29 G120:H120 J115:J117 J119:J123">
    <cfRule type="containsText" dxfId="3" priority="4" operator="containsText" text="관리">
      <formula>NOT(ISERROR(SEARCH(("관리"),(A16))))</formula>
    </cfRule>
  </conditionalFormatting>
  <conditionalFormatting sqref="A16 F105 G26:G29 G120:H120 J115:J117 J119:J123">
    <cfRule type="containsText" dxfId="4" priority="5" operator="containsText" text="등록">
      <formula>NOT(ISERROR(SEARCH(("등록"),(A16))))</formula>
    </cfRule>
  </conditionalFormatting>
  <conditionalFormatting sqref="A128">
    <cfRule type="containsText" dxfId="0" priority="6" operator="containsText" text="거부">
      <formula>NOT(ISERROR(SEARCH(("거부"),(A128))))</formula>
    </cfRule>
  </conditionalFormatting>
  <conditionalFormatting sqref="A128">
    <cfRule type="containsText" dxfId="1" priority="7" operator="containsText" text="리턴">
      <formula>NOT(ISERROR(SEARCH(("리턴"),(A128))))</formula>
    </cfRule>
  </conditionalFormatting>
  <conditionalFormatting sqref="A128">
    <cfRule type="containsText" dxfId="2" priority="8" operator="containsText" text="실패">
      <formula>NOT(ISERROR(SEARCH(("실패"),(A128))))</formula>
    </cfRule>
  </conditionalFormatting>
  <conditionalFormatting sqref="A128">
    <cfRule type="containsText" dxfId="3" priority="9" operator="containsText" text="관리">
      <formula>NOT(ISERROR(SEARCH(("관리"),(A128))))</formula>
    </cfRule>
  </conditionalFormatting>
  <conditionalFormatting sqref="A128">
    <cfRule type="containsText" dxfId="4" priority="10" operator="containsText" text="등록">
      <formula>NOT(ISERROR(SEARCH(("등록"),(A128))))</formula>
    </cfRule>
  </conditionalFormatting>
  <conditionalFormatting sqref="A189">
    <cfRule type="containsText" dxfId="0" priority="11" operator="containsText" text="거부">
      <formula>NOT(ISERROR(SEARCH(("거부"),(A189))))</formula>
    </cfRule>
  </conditionalFormatting>
  <conditionalFormatting sqref="A189">
    <cfRule type="containsText" dxfId="1" priority="12" operator="containsText" text="리턴">
      <formula>NOT(ISERROR(SEARCH(("리턴"),(A189))))</formula>
    </cfRule>
  </conditionalFormatting>
  <conditionalFormatting sqref="A189">
    <cfRule type="containsText" dxfId="2" priority="13" operator="containsText" text="실패">
      <formula>NOT(ISERROR(SEARCH(("실패"),(A189))))</formula>
    </cfRule>
  </conditionalFormatting>
  <conditionalFormatting sqref="A189">
    <cfRule type="containsText" dxfId="3" priority="14" operator="containsText" text="관리">
      <formula>NOT(ISERROR(SEARCH(("관리"),(A189))))</formula>
    </cfRule>
  </conditionalFormatting>
  <conditionalFormatting sqref="A189">
    <cfRule type="containsText" dxfId="4" priority="15" operator="containsText" text="등록">
      <formula>NOT(ISERROR(SEARCH(("등록"),(A189))))</formula>
    </cfRule>
  </conditionalFormatting>
  <conditionalFormatting sqref="A206">
    <cfRule type="containsText" dxfId="0" priority="16" operator="containsText" text="거부">
      <formula>NOT(ISERROR(SEARCH(("거부"),(A206))))</formula>
    </cfRule>
  </conditionalFormatting>
  <conditionalFormatting sqref="A206">
    <cfRule type="containsText" dxfId="1" priority="17" operator="containsText" text="리턴">
      <formula>NOT(ISERROR(SEARCH(("리턴"),(A206))))</formula>
    </cfRule>
  </conditionalFormatting>
  <conditionalFormatting sqref="A206">
    <cfRule type="containsText" dxfId="2" priority="18" operator="containsText" text="실패">
      <formula>NOT(ISERROR(SEARCH(("실패"),(A206))))</formula>
    </cfRule>
  </conditionalFormatting>
  <conditionalFormatting sqref="A206">
    <cfRule type="containsText" dxfId="3" priority="19" operator="containsText" text="관리">
      <formula>NOT(ISERROR(SEARCH(("관리"),(A206))))</formula>
    </cfRule>
  </conditionalFormatting>
  <conditionalFormatting sqref="A206">
    <cfRule type="containsText" dxfId="4" priority="20" operator="containsText" text="등록">
      <formula>NOT(ISERROR(SEARCH(("등록"),(A206))))</formula>
    </cfRule>
  </conditionalFormatting>
  <conditionalFormatting sqref="A238">
    <cfRule type="containsText" dxfId="0" priority="21" operator="containsText" text="거부">
      <formula>NOT(ISERROR(SEARCH(("거부"),(A238))))</formula>
    </cfRule>
  </conditionalFormatting>
  <conditionalFormatting sqref="A238">
    <cfRule type="containsText" dxfId="1" priority="22" operator="containsText" text="리턴">
      <formula>NOT(ISERROR(SEARCH(("리턴"),(A238))))</formula>
    </cfRule>
  </conditionalFormatting>
  <conditionalFormatting sqref="A238">
    <cfRule type="containsText" dxfId="2" priority="23" operator="containsText" text="실패">
      <formula>NOT(ISERROR(SEARCH(("실패"),(A238))))</formula>
    </cfRule>
  </conditionalFormatting>
  <conditionalFormatting sqref="A238">
    <cfRule type="containsText" dxfId="3" priority="24" operator="containsText" text="관리">
      <formula>NOT(ISERROR(SEARCH(("관리"),(A238))))</formula>
    </cfRule>
  </conditionalFormatting>
  <conditionalFormatting sqref="A238">
    <cfRule type="containsText" dxfId="4" priority="25" operator="containsText" text="등록">
      <formula>NOT(ISERROR(SEARCH(("등록"),(A238))))</formula>
    </cfRule>
  </conditionalFormatting>
  <conditionalFormatting sqref="A239">
    <cfRule type="containsText" dxfId="0" priority="26" operator="containsText" text="거부">
      <formula>NOT(ISERROR(SEARCH(("거부"),(A239))))</formula>
    </cfRule>
  </conditionalFormatting>
  <conditionalFormatting sqref="A239">
    <cfRule type="containsText" dxfId="1" priority="27" operator="containsText" text="리턴">
      <formula>NOT(ISERROR(SEARCH(("리턴"),(A239))))</formula>
    </cfRule>
  </conditionalFormatting>
  <conditionalFormatting sqref="A239">
    <cfRule type="containsText" dxfId="2" priority="28" operator="containsText" text="실패">
      <formula>NOT(ISERROR(SEARCH(("실패"),(A239))))</formula>
    </cfRule>
  </conditionalFormatting>
  <conditionalFormatting sqref="A239">
    <cfRule type="containsText" dxfId="3" priority="29" operator="containsText" text="관리">
      <formula>NOT(ISERROR(SEARCH(("관리"),(A239))))</formula>
    </cfRule>
  </conditionalFormatting>
  <conditionalFormatting sqref="A239">
    <cfRule type="containsText" dxfId="4" priority="30" operator="containsText" text="등록">
      <formula>NOT(ISERROR(SEARCH(("등록"),(A239))))</formula>
    </cfRule>
  </conditionalFormatting>
  <conditionalFormatting sqref="A240">
    <cfRule type="containsText" dxfId="0" priority="31" operator="containsText" text="거부">
      <formula>NOT(ISERROR(SEARCH(("거부"),(A240))))</formula>
    </cfRule>
  </conditionalFormatting>
  <conditionalFormatting sqref="A240">
    <cfRule type="containsText" dxfId="1" priority="32" operator="containsText" text="리턴">
      <formula>NOT(ISERROR(SEARCH(("리턴"),(A240))))</formula>
    </cfRule>
  </conditionalFormatting>
  <conditionalFormatting sqref="A240">
    <cfRule type="containsText" dxfId="2" priority="33" operator="containsText" text="실패">
      <formula>NOT(ISERROR(SEARCH(("실패"),(A240))))</formula>
    </cfRule>
  </conditionalFormatting>
  <conditionalFormatting sqref="A240">
    <cfRule type="containsText" dxfId="3" priority="34" operator="containsText" text="관리">
      <formula>NOT(ISERROR(SEARCH(("관리"),(A240))))</formula>
    </cfRule>
  </conditionalFormatting>
  <conditionalFormatting sqref="A240">
    <cfRule type="containsText" dxfId="4" priority="35" operator="containsText" text="등록">
      <formula>NOT(ISERROR(SEARCH(("등록"),(A240))))</formula>
    </cfRule>
  </conditionalFormatting>
  <conditionalFormatting sqref="A242">
    <cfRule type="containsText" dxfId="0" priority="36" operator="containsText" text="거부">
      <formula>NOT(ISERROR(SEARCH(("거부"),(A242))))</formula>
    </cfRule>
  </conditionalFormatting>
  <conditionalFormatting sqref="A242">
    <cfRule type="containsText" dxfId="1" priority="37" operator="containsText" text="리턴">
      <formula>NOT(ISERROR(SEARCH(("리턴"),(A242))))</formula>
    </cfRule>
  </conditionalFormatting>
  <conditionalFormatting sqref="A242">
    <cfRule type="containsText" dxfId="2" priority="38" operator="containsText" text="실패">
      <formula>NOT(ISERROR(SEARCH(("실패"),(A242))))</formula>
    </cfRule>
  </conditionalFormatting>
  <conditionalFormatting sqref="A242">
    <cfRule type="containsText" dxfId="3" priority="39" operator="containsText" text="관리">
      <formula>NOT(ISERROR(SEARCH(("관리"),(A242))))</formula>
    </cfRule>
  </conditionalFormatting>
  <conditionalFormatting sqref="A242">
    <cfRule type="containsText" dxfId="4" priority="40" operator="containsText" text="등록">
      <formula>NOT(ISERROR(SEARCH(("등록"),(A242))))</formula>
    </cfRule>
  </conditionalFormatting>
  <conditionalFormatting sqref="A254">
    <cfRule type="containsText" dxfId="0" priority="41" operator="containsText" text="거부">
      <formula>NOT(ISERROR(SEARCH(("거부"),(A254))))</formula>
    </cfRule>
  </conditionalFormatting>
  <conditionalFormatting sqref="A254">
    <cfRule type="containsText" dxfId="1" priority="42" operator="containsText" text="리턴">
      <formula>NOT(ISERROR(SEARCH(("리턴"),(A254))))</formula>
    </cfRule>
  </conditionalFormatting>
  <conditionalFormatting sqref="A254">
    <cfRule type="containsText" dxfId="2" priority="43" operator="containsText" text="실패">
      <formula>NOT(ISERROR(SEARCH(("실패"),(A254))))</formula>
    </cfRule>
  </conditionalFormatting>
  <conditionalFormatting sqref="A254">
    <cfRule type="containsText" dxfId="3" priority="44" operator="containsText" text="관리">
      <formula>NOT(ISERROR(SEARCH(("관리"),(A254))))</formula>
    </cfRule>
  </conditionalFormatting>
  <conditionalFormatting sqref="A254">
    <cfRule type="containsText" dxfId="4" priority="45" operator="containsText" text="등록">
      <formula>NOT(ISERROR(SEARCH(("등록"),(A254))))</formula>
    </cfRule>
  </conditionalFormatting>
  <conditionalFormatting sqref="A243:A248">
    <cfRule type="containsText" dxfId="0" priority="46" operator="containsText" text="거부">
      <formula>NOT(ISERROR(SEARCH(("거부"),(A243))))</formula>
    </cfRule>
  </conditionalFormatting>
  <conditionalFormatting sqref="A243:A248">
    <cfRule type="containsText" dxfId="1" priority="47" operator="containsText" text="리턴">
      <formula>NOT(ISERROR(SEARCH(("리턴"),(A243))))</formula>
    </cfRule>
  </conditionalFormatting>
  <conditionalFormatting sqref="A243:A248">
    <cfRule type="containsText" dxfId="2" priority="48" operator="containsText" text="실패">
      <formula>NOT(ISERROR(SEARCH(("실패"),(A243))))</formula>
    </cfRule>
  </conditionalFormatting>
  <conditionalFormatting sqref="A243:A248">
    <cfRule type="containsText" dxfId="3" priority="49" operator="containsText" text="관리">
      <formula>NOT(ISERROR(SEARCH(("관리"),(A243))))</formula>
    </cfRule>
  </conditionalFormatting>
  <conditionalFormatting sqref="A243:A248">
    <cfRule type="containsText" dxfId="4" priority="50" operator="containsText" text="등록">
      <formula>NOT(ISERROR(SEARCH(("등록"),(A243))))</formula>
    </cfRule>
  </conditionalFormatting>
  <conditionalFormatting sqref="A250:A251">
    <cfRule type="containsText" dxfId="0" priority="51" operator="containsText" text="거부">
      <formula>NOT(ISERROR(SEARCH(("거부"),(A250))))</formula>
    </cfRule>
  </conditionalFormatting>
  <conditionalFormatting sqref="A250:A251">
    <cfRule type="containsText" dxfId="1" priority="52" operator="containsText" text="리턴">
      <formula>NOT(ISERROR(SEARCH(("리턴"),(A250))))</formula>
    </cfRule>
  </conditionalFormatting>
  <conditionalFormatting sqref="A250:A251">
    <cfRule type="containsText" dxfId="2" priority="53" operator="containsText" text="실패">
      <formula>NOT(ISERROR(SEARCH(("실패"),(A250))))</formula>
    </cfRule>
  </conditionalFormatting>
  <conditionalFormatting sqref="A250:A251">
    <cfRule type="containsText" dxfId="3" priority="54" operator="containsText" text="관리">
      <formula>NOT(ISERROR(SEARCH(("관리"),(A250))))</formula>
    </cfRule>
  </conditionalFormatting>
  <conditionalFormatting sqref="A250:A251">
    <cfRule type="containsText" dxfId="4" priority="55" operator="containsText" text="등록">
      <formula>NOT(ISERROR(SEARCH(("등록"),(A250))))</formula>
    </cfRule>
  </conditionalFormatting>
  <conditionalFormatting sqref="A253">
    <cfRule type="containsText" dxfId="0" priority="56" operator="containsText" text="거부">
      <formula>NOT(ISERROR(SEARCH(("거부"),(A253))))</formula>
    </cfRule>
  </conditionalFormatting>
  <conditionalFormatting sqref="A253">
    <cfRule type="containsText" dxfId="1" priority="57" operator="containsText" text="리턴">
      <formula>NOT(ISERROR(SEARCH(("리턴"),(A253))))</formula>
    </cfRule>
  </conditionalFormatting>
  <conditionalFormatting sqref="A253">
    <cfRule type="containsText" dxfId="2" priority="58" operator="containsText" text="실패">
      <formula>NOT(ISERROR(SEARCH(("실패"),(A253))))</formula>
    </cfRule>
  </conditionalFormatting>
  <conditionalFormatting sqref="A253">
    <cfRule type="containsText" dxfId="3" priority="59" operator="containsText" text="관리">
      <formula>NOT(ISERROR(SEARCH(("관리"),(A253))))</formula>
    </cfRule>
  </conditionalFormatting>
  <conditionalFormatting sqref="A253">
    <cfRule type="containsText" dxfId="4" priority="60" operator="containsText" text="등록">
      <formula>NOT(ISERROR(SEARCH(("등록"),(A253))))</formula>
    </cfRule>
  </conditionalFormatting>
  <conditionalFormatting sqref="A249">
    <cfRule type="containsText" dxfId="0" priority="61" operator="containsText" text="거부">
      <formula>NOT(ISERROR(SEARCH(("거부"),(A249))))</formula>
    </cfRule>
  </conditionalFormatting>
  <conditionalFormatting sqref="A249">
    <cfRule type="containsText" dxfId="1" priority="62" operator="containsText" text="리턴">
      <formula>NOT(ISERROR(SEARCH(("리턴"),(A249))))</formula>
    </cfRule>
  </conditionalFormatting>
  <conditionalFormatting sqref="A249">
    <cfRule type="containsText" dxfId="2" priority="63" operator="containsText" text="실패">
      <formula>NOT(ISERROR(SEARCH(("실패"),(A249))))</formula>
    </cfRule>
  </conditionalFormatting>
  <conditionalFormatting sqref="A249">
    <cfRule type="containsText" dxfId="3" priority="64" operator="containsText" text="관리">
      <formula>NOT(ISERROR(SEARCH(("관리"),(A249))))</formula>
    </cfRule>
  </conditionalFormatting>
  <conditionalFormatting sqref="A249">
    <cfRule type="containsText" dxfId="4" priority="65" operator="containsText" text="등록">
      <formula>NOT(ISERROR(SEARCH(("등록"),(A249))))</formula>
    </cfRule>
  </conditionalFormatting>
  <conditionalFormatting sqref="A255">
    <cfRule type="containsText" dxfId="0" priority="66" operator="containsText" text="거부">
      <formula>NOT(ISERROR(SEARCH(("거부"),(A255))))</formula>
    </cfRule>
  </conditionalFormatting>
  <conditionalFormatting sqref="A255">
    <cfRule type="containsText" dxfId="1" priority="67" operator="containsText" text="리턴">
      <formula>NOT(ISERROR(SEARCH(("리턴"),(A255))))</formula>
    </cfRule>
  </conditionalFormatting>
  <conditionalFormatting sqref="A255">
    <cfRule type="containsText" dxfId="2" priority="68" operator="containsText" text="실패">
      <formula>NOT(ISERROR(SEARCH(("실패"),(A255))))</formula>
    </cfRule>
  </conditionalFormatting>
  <conditionalFormatting sqref="A255">
    <cfRule type="containsText" dxfId="3" priority="69" operator="containsText" text="관리">
      <formula>NOT(ISERROR(SEARCH(("관리"),(A255))))</formula>
    </cfRule>
  </conditionalFormatting>
  <conditionalFormatting sqref="A255">
    <cfRule type="containsText" dxfId="4" priority="70" operator="containsText" text="등록">
      <formula>NOT(ISERROR(SEARCH(("등록"),(A255))))</formula>
    </cfRule>
  </conditionalFormatting>
  <conditionalFormatting sqref="A256">
    <cfRule type="containsText" dxfId="0" priority="71" operator="containsText" text="거부">
      <formula>NOT(ISERROR(SEARCH(("거부"),(A256))))</formula>
    </cfRule>
  </conditionalFormatting>
  <conditionalFormatting sqref="A256">
    <cfRule type="containsText" dxfId="1" priority="72" operator="containsText" text="리턴">
      <formula>NOT(ISERROR(SEARCH(("리턴"),(A256))))</formula>
    </cfRule>
  </conditionalFormatting>
  <conditionalFormatting sqref="A256">
    <cfRule type="containsText" dxfId="2" priority="73" operator="containsText" text="실패">
      <formula>NOT(ISERROR(SEARCH(("실패"),(A256))))</formula>
    </cfRule>
  </conditionalFormatting>
  <conditionalFormatting sqref="A256">
    <cfRule type="containsText" dxfId="3" priority="74" operator="containsText" text="관리">
      <formula>NOT(ISERROR(SEARCH(("관리"),(A256))))</formula>
    </cfRule>
  </conditionalFormatting>
  <conditionalFormatting sqref="A256">
    <cfRule type="containsText" dxfId="4" priority="75" operator="containsText" text="등록">
      <formula>NOT(ISERROR(SEARCH(("등록"),(A256))))</formula>
    </cfRule>
  </conditionalFormatting>
  <conditionalFormatting sqref="A257">
    <cfRule type="containsText" dxfId="0" priority="76" operator="containsText" text="거부">
      <formula>NOT(ISERROR(SEARCH(("거부"),(A257))))</formula>
    </cfRule>
  </conditionalFormatting>
  <conditionalFormatting sqref="A257">
    <cfRule type="containsText" dxfId="1" priority="77" operator="containsText" text="리턴">
      <formula>NOT(ISERROR(SEARCH(("리턴"),(A257))))</formula>
    </cfRule>
  </conditionalFormatting>
  <conditionalFormatting sqref="A257">
    <cfRule type="containsText" dxfId="2" priority="78" operator="containsText" text="실패">
      <formula>NOT(ISERROR(SEARCH(("실패"),(A257))))</formula>
    </cfRule>
  </conditionalFormatting>
  <conditionalFormatting sqref="A257">
    <cfRule type="containsText" dxfId="3" priority="79" operator="containsText" text="관리">
      <formula>NOT(ISERROR(SEARCH(("관리"),(A257))))</formula>
    </cfRule>
  </conditionalFormatting>
  <conditionalFormatting sqref="A257">
    <cfRule type="containsText" dxfId="4" priority="80" operator="containsText" text="등록">
      <formula>NOT(ISERROR(SEARCH(("등록"),(A257))))</formula>
    </cfRule>
  </conditionalFormatting>
  <conditionalFormatting sqref="A258">
    <cfRule type="containsText" dxfId="0" priority="81" operator="containsText" text="거부">
      <formula>NOT(ISERROR(SEARCH(("거부"),(A258))))</formula>
    </cfRule>
  </conditionalFormatting>
  <conditionalFormatting sqref="A258">
    <cfRule type="containsText" dxfId="1" priority="82" operator="containsText" text="리턴">
      <formula>NOT(ISERROR(SEARCH(("리턴"),(A258))))</formula>
    </cfRule>
  </conditionalFormatting>
  <conditionalFormatting sqref="A258">
    <cfRule type="containsText" dxfId="2" priority="83" operator="containsText" text="실패">
      <formula>NOT(ISERROR(SEARCH(("실패"),(A258))))</formula>
    </cfRule>
  </conditionalFormatting>
  <conditionalFormatting sqref="A258">
    <cfRule type="containsText" dxfId="3" priority="84" operator="containsText" text="관리">
      <formula>NOT(ISERROR(SEARCH(("관리"),(A258))))</formula>
    </cfRule>
  </conditionalFormatting>
  <conditionalFormatting sqref="A258">
    <cfRule type="containsText" dxfId="4" priority="85" operator="containsText" text="등록">
      <formula>NOT(ISERROR(SEARCH(("등록"),(A258))))</formula>
    </cfRule>
  </conditionalFormatting>
  <conditionalFormatting sqref="A259">
    <cfRule type="containsText" dxfId="0" priority="86" operator="containsText" text="거부">
      <formula>NOT(ISERROR(SEARCH(("거부"),(A259))))</formula>
    </cfRule>
  </conditionalFormatting>
  <conditionalFormatting sqref="A259">
    <cfRule type="containsText" dxfId="1" priority="87" operator="containsText" text="리턴">
      <formula>NOT(ISERROR(SEARCH(("리턴"),(A259))))</formula>
    </cfRule>
  </conditionalFormatting>
  <conditionalFormatting sqref="A259">
    <cfRule type="containsText" dxfId="2" priority="88" operator="containsText" text="실패">
      <formula>NOT(ISERROR(SEARCH(("실패"),(A259))))</formula>
    </cfRule>
  </conditionalFormatting>
  <conditionalFormatting sqref="A259">
    <cfRule type="containsText" dxfId="3" priority="89" operator="containsText" text="관리">
      <formula>NOT(ISERROR(SEARCH(("관리"),(A259))))</formula>
    </cfRule>
  </conditionalFormatting>
  <conditionalFormatting sqref="A259">
    <cfRule type="containsText" dxfId="4" priority="90" operator="containsText" text="등록">
      <formula>NOT(ISERROR(SEARCH(("등록"),(A259))))</formula>
    </cfRule>
  </conditionalFormatting>
  <conditionalFormatting sqref="A260">
    <cfRule type="containsText" dxfId="0" priority="91" operator="containsText" text="거부">
      <formula>NOT(ISERROR(SEARCH(("거부"),(A260))))</formula>
    </cfRule>
  </conditionalFormatting>
  <conditionalFormatting sqref="A260">
    <cfRule type="containsText" dxfId="1" priority="92" operator="containsText" text="리턴">
      <formula>NOT(ISERROR(SEARCH(("리턴"),(A260))))</formula>
    </cfRule>
  </conditionalFormatting>
  <conditionalFormatting sqref="A260">
    <cfRule type="containsText" dxfId="2" priority="93" operator="containsText" text="실패">
      <formula>NOT(ISERROR(SEARCH(("실패"),(A260))))</formula>
    </cfRule>
  </conditionalFormatting>
  <conditionalFormatting sqref="A260">
    <cfRule type="containsText" dxfId="3" priority="94" operator="containsText" text="관리">
      <formula>NOT(ISERROR(SEARCH(("관리"),(A260))))</formula>
    </cfRule>
  </conditionalFormatting>
  <conditionalFormatting sqref="A260">
    <cfRule type="containsText" dxfId="4" priority="95" operator="containsText" text="등록">
      <formula>NOT(ISERROR(SEARCH(("등록"),(A260))))</formula>
    </cfRule>
  </conditionalFormatting>
  <conditionalFormatting sqref="A261">
    <cfRule type="containsText" dxfId="0" priority="96" operator="containsText" text="거부">
      <formula>NOT(ISERROR(SEARCH(("거부"),(A261))))</formula>
    </cfRule>
  </conditionalFormatting>
  <conditionalFormatting sqref="A261">
    <cfRule type="containsText" dxfId="1" priority="97" operator="containsText" text="리턴">
      <formula>NOT(ISERROR(SEARCH(("리턴"),(A261))))</formula>
    </cfRule>
  </conditionalFormatting>
  <conditionalFormatting sqref="A261">
    <cfRule type="containsText" dxfId="2" priority="98" operator="containsText" text="실패">
      <formula>NOT(ISERROR(SEARCH(("실패"),(A261))))</formula>
    </cfRule>
  </conditionalFormatting>
  <conditionalFormatting sqref="A261">
    <cfRule type="containsText" dxfId="3" priority="99" operator="containsText" text="관리">
      <formula>NOT(ISERROR(SEARCH(("관리"),(A261))))</formula>
    </cfRule>
  </conditionalFormatting>
  <conditionalFormatting sqref="A261">
    <cfRule type="containsText" dxfId="4" priority="100" operator="containsText" text="등록">
      <formula>NOT(ISERROR(SEARCH(("등록"),(A261))))</formula>
    </cfRule>
  </conditionalFormatting>
  <conditionalFormatting sqref="A262">
    <cfRule type="containsText" dxfId="0" priority="101" operator="containsText" text="거부">
      <formula>NOT(ISERROR(SEARCH(("거부"),(A262))))</formula>
    </cfRule>
  </conditionalFormatting>
  <conditionalFormatting sqref="A262">
    <cfRule type="containsText" dxfId="1" priority="102" operator="containsText" text="리턴">
      <formula>NOT(ISERROR(SEARCH(("리턴"),(A262))))</formula>
    </cfRule>
  </conditionalFormatting>
  <conditionalFormatting sqref="A262">
    <cfRule type="containsText" dxfId="2" priority="103" operator="containsText" text="실패">
      <formula>NOT(ISERROR(SEARCH(("실패"),(A262))))</formula>
    </cfRule>
  </conditionalFormatting>
  <conditionalFormatting sqref="A262">
    <cfRule type="containsText" dxfId="3" priority="104" operator="containsText" text="관리">
      <formula>NOT(ISERROR(SEARCH(("관리"),(A262))))</formula>
    </cfRule>
  </conditionalFormatting>
  <conditionalFormatting sqref="A262">
    <cfRule type="containsText" dxfId="4" priority="105" operator="containsText" text="등록">
      <formula>NOT(ISERROR(SEARCH(("등록"),(A262))))</formula>
    </cfRule>
  </conditionalFormatting>
  <conditionalFormatting sqref="A263">
    <cfRule type="containsText" dxfId="0" priority="106" operator="containsText" text="거부">
      <formula>NOT(ISERROR(SEARCH(("거부"),(A263))))</formula>
    </cfRule>
  </conditionalFormatting>
  <conditionalFormatting sqref="A263">
    <cfRule type="containsText" dxfId="1" priority="107" operator="containsText" text="리턴">
      <formula>NOT(ISERROR(SEARCH(("리턴"),(A263))))</formula>
    </cfRule>
  </conditionalFormatting>
  <conditionalFormatting sqref="A263">
    <cfRule type="containsText" dxfId="2" priority="108" operator="containsText" text="실패">
      <formula>NOT(ISERROR(SEARCH(("실패"),(A263))))</formula>
    </cfRule>
  </conditionalFormatting>
  <conditionalFormatting sqref="A263">
    <cfRule type="containsText" dxfId="3" priority="109" operator="containsText" text="관리">
      <formula>NOT(ISERROR(SEARCH(("관리"),(A263))))</formula>
    </cfRule>
  </conditionalFormatting>
  <conditionalFormatting sqref="A263">
    <cfRule type="containsText" dxfId="4" priority="110" operator="containsText" text="등록">
      <formula>NOT(ISERROR(SEARCH(("등록"),(A263))))</formula>
    </cfRule>
  </conditionalFormatting>
  <conditionalFormatting sqref="A264">
    <cfRule type="containsText" dxfId="0" priority="111" operator="containsText" text="거부">
      <formula>NOT(ISERROR(SEARCH(("거부"),(A264))))</formula>
    </cfRule>
  </conditionalFormatting>
  <conditionalFormatting sqref="A264">
    <cfRule type="containsText" dxfId="1" priority="112" operator="containsText" text="리턴">
      <formula>NOT(ISERROR(SEARCH(("리턴"),(A264))))</formula>
    </cfRule>
  </conditionalFormatting>
  <conditionalFormatting sqref="A264">
    <cfRule type="containsText" dxfId="2" priority="113" operator="containsText" text="실패">
      <formula>NOT(ISERROR(SEARCH(("실패"),(A264))))</formula>
    </cfRule>
  </conditionalFormatting>
  <conditionalFormatting sqref="A264">
    <cfRule type="containsText" dxfId="3" priority="114" operator="containsText" text="관리">
      <formula>NOT(ISERROR(SEARCH(("관리"),(A264))))</formula>
    </cfRule>
  </conditionalFormatting>
  <conditionalFormatting sqref="A264">
    <cfRule type="containsText" dxfId="4" priority="115" operator="containsText" text="등록">
      <formula>NOT(ISERROR(SEARCH(("등록"),(A264))))</formula>
    </cfRule>
  </conditionalFormatting>
  <conditionalFormatting sqref="A265">
    <cfRule type="containsText" dxfId="0" priority="116" operator="containsText" text="거부">
      <formula>NOT(ISERROR(SEARCH(("거부"),(A265))))</formula>
    </cfRule>
  </conditionalFormatting>
  <conditionalFormatting sqref="A265">
    <cfRule type="containsText" dxfId="1" priority="117" operator="containsText" text="리턴">
      <formula>NOT(ISERROR(SEARCH(("리턴"),(A265))))</formula>
    </cfRule>
  </conditionalFormatting>
  <conditionalFormatting sqref="A265">
    <cfRule type="containsText" dxfId="2" priority="118" operator="containsText" text="실패">
      <formula>NOT(ISERROR(SEARCH(("실패"),(A265))))</formula>
    </cfRule>
  </conditionalFormatting>
  <conditionalFormatting sqref="A265">
    <cfRule type="containsText" dxfId="3" priority="119" operator="containsText" text="관리">
      <formula>NOT(ISERROR(SEARCH(("관리"),(A265))))</formula>
    </cfRule>
  </conditionalFormatting>
  <conditionalFormatting sqref="A265">
    <cfRule type="containsText" dxfId="4" priority="120" operator="containsText" text="등록">
      <formula>NOT(ISERROR(SEARCH(("등록"),(A265))))</formula>
    </cfRule>
  </conditionalFormatting>
  <conditionalFormatting sqref="A266">
    <cfRule type="containsText" dxfId="0" priority="121" operator="containsText" text="거부">
      <formula>NOT(ISERROR(SEARCH(("거부"),(A266))))</formula>
    </cfRule>
  </conditionalFormatting>
  <conditionalFormatting sqref="A266">
    <cfRule type="containsText" dxfId="1" priority="122" operator="containsText" text="리턴">
      <formula>NOT(ISERROR(SEARCH(("리턴"),(A266))))</formula>
    </cfRule>
  </conditionalFormatting>
  <conditionalFormatting sqref="A266">
    <cfRule type="containsText" dxfId="2" priority="123" operator="containsText" text="실패">
      <formula>NOT(ISERROR(SEARCH(("실패"),(A266))))</formula>
    </cfRule>
  </conditionalFormatting>
  <conditionalFormatting sqref="A266">
    <cfRule type="containsText" dxfId="3" priority="124" operator="containsText" text="관리">
      <formula>NOT(ISERROR(SEARCH(("관리"),(A266))))</formula>
    </cfRule>
  </conditionalFormatting>
  <conditionalFormatting sqref="A266">
    <cfRule type="containsText" dxfId="4" priority="125" operator="containsText" text="등록">
      <formula>NOT(ISERROR(SEARCH(("등록"),(A266))))</formula>
    </cfRule>
  </conditionalFormatting>
  <conditionalFormatting sqref="A267">
    <cfRule type="containsText" dxfId="0" priority="126" operator="containsText" text="거부">
      <formula>NOT(ISERROR(SEARCH(("거부"),(A267))))</formula>
    </cfRule>
  </conditionalFormatting>
  <conditionalFormatting sqref="A267">
    <cfRule type="containsText" dxfId="1" priority="127" operator="containsText" text="리턴">
      <formula>NOT(ISERROR(SEARCH(("리턴"),(A267))))</formula>
    </cfRule>
  </conditionalFormatting>
  <conditionalFormatting sqref="A267">
    <cfRule type="containsText" dxfId="2" priority="128" operator="containsText" text="실패">
      <formula>NOT(ISERROR(SEARCH(("실패"),(A267))))</formula>
    </cfRule>
  </conditionalFormatting>
  <conditionalFormatting sqref="A267">
    <cfRule type="containsText" dxfId="3" priority="129" operator="containsText" text="관리">
      <formula>NOT(ISERROR(SEARCH(("관리"),(A267))))</formula>
    </cfRule>
  </conditionalFormatting>
  <conditionalFormatting sqref="A267">
    <cfRule type="containsText" dxfId="4" priority="130" operator="containsText" text="등록">
      <formula>NOT(ISERROR(SEARCH(("등록"),(A267))))</formula>
    </cfRule>
  </conditionalFormatting>
  <conditionalFormatting sqref="A268">
    <cfRule type="containsText" dxfId="0" priority="131" operator="containsText" text="거부">
      <formula>NOT(ISERROR(SEARCH(("거부"),(A268))))</formula>
    </cfRule>
  </conditionalFormatting>
  <conditionalFormatting sqref="A268">
    <cfRule type="containsText" dxfId="1" priority="132" operator="containsText" text="리턴">
      <formula>NOT(ISERROR(SEARCH(("리턴"),(A268))))</formula>
    </cfRule>
  </conditionalFormatting>
  <conditionalFormatting sqref="A268">
    <cfRule type="containsText" dxfId="2" priority="133" operator="containsText" text="실패">
      <formula>NOT(ISERROR(SEARCH(("실패"),(A268))))</formula>
    </cfRule>
  </conditionalFormatting>
  <conditionalFormatting sqref="A268">
    <cfRule type="containsText" dxfId="3" priority="134" operator="containsText" text="관리">
      <formula>NOT(ISERROR(SEARCH(("관리"),(A268))))</formula>
    </cfRule>
  </conditionalFormatting>
  <conditionalFormatting sqref="A268">
    <cfRule type="containsText" dxfId="4" priority="135" operator="containsText" text="등록">
      <formula>NOT(ISERROR(SEARCH(("등록"),(A268))))</formula>
    </cfRule>
  </conditionalFormatting>
  <conditionalFormatting sqref="A269">
    <cfRule type="containsText" dxfId="0" priority="136" operator="containsText" text="거부">
      <formula>NOT(ISERROR(SEARCH(("거부"),(A269))))</formula>
    </cfRule>
  </conditionalFormatting>
  <conditionalFormatting sqref="A269">
    <cfRule type="containsText" dxfId="1" priority="137" operator="containsText" text="리턴">
      <formula>NOT(ISERROR(SEARCH(("리턴"),(A269))))</formula>
    </cfRule>
  </conditionalFormatting>
  <conditionalFormatting sqref="A269">
    <cfRule type="containsText" dxfId="2" priority="138" operator="containsText" text="실패">
      <formula>NOT(ISERROR(SEARCH(("실패"),(A269))))</formula>
    </cfRule>
  </conditionalFormatting>
  <conditionalFormatting sqref="A269">
    <cfRule type="containsText" dxfId="3" priority="139" operator="containsText" text="관리">
      <formula>NOT(ISERROR(SEARCH(("관리"),(A269))))</formula>
    </cfRule>
  </conditionalFormatting>
  <conditionalFormatting sqref="A269">
    <cfRule type="containsText" dxfId="4" priority="140" operator="containsText" text="등록">
      <formula>NOT(ISERROR(SEARCH(("등록"),(A269))))</formula>
    </cfRule>
  </conditionalFormatting>
  <conditionalFormatting sqref="A270">
    <cfRule type="containsText" dxfId="0" priority="141" operator="containsText" text="거부">
      <formula>NOT(ISERROR(SEARCH(("거부"),(A270))))</formula>
    </cfRule>
  </conditionalFormatting>
  <conditionalFormatting sqref="A270">
    <cfRule type="containsText" dxfId="1" priority="142" operator="containsText" text="리턴">
      <formula>NOT(ISERROR(SEARCH(("리턴"),(A270))))</formula>
    </cfRule>
  </conditionalFormatting>
  <conditionalFormatting sqref="A270">
    <cfRule type="containsText" dxfId="2" priority="143" operator="containsText" text="실패">
      <formula>NOT(ISERROR(SEARCH(("실패"),(A270))))</formula>
    </cfRule>
  </conditionalFormatting>
  <conditionalFormatting sqref="A270">
    <cfRule type="containsText" dxfId="3" priority="144" operator="containsText" text="관리">
      <formula>NOT(ISERROR(SEARCH(("관리"),(A270))))</formula>
    </cfRule>
  </conditionalFormatting>
  <conditionalFormatting sqref="A270">
    <cfRule type="containsText" dxfId="4" priority="145" operator="containsText" text="등록">
      <formula>NOT(ISERROR(SEARCH(("등록"),(A270))))</formula>
    </cfRule>
  </conditionalFormatting>
  <conditionalFormatting sqref="A271">
    <cfRule type="containsText" dxfId="0" priority="146" operator="containsText" text="거부">
      <formula>NOT(ISERROR(SEARCH(("거부"),(A271))))</formula>
    </cfRule>
  </conditionalFormatting>
  <conditionalFormatting sqref="A271">
    <cfRule type="containsText" dxfId="1" priority="147" operator="containsText" text="리턴">
      <formula>NOT(ISERROR(SEARCH(("리턴"),(A271))))</formula>
    </cfRule>
  </conditionalFormatting>
  <conditionalFormatting sqref="A271">
    <cfRule type="containsText" dxfId="2" priority="148" operator="containsText" text="실패">
      <formula>NOT(ISERROR(SEARCH(("실패"),(A271))))</formula>
    </cfRule>
  </conditionalFormatting>
  <conditionalFormatting sqref="A271">
    <cfRule type="containsText" dxfId="3" priority="149" operator="containsText" text="관리">
      <formula>NOT(ISERROR(SEARCH(("관리"),(A271))))</formula>
    </cfRule>
  </conditionalFormatting>
  <conditionalFormatting sqref="A271">
    <cfRule type="containsText" dxfId="4" priority="150" operator="containsText" text="등록">
      <formula>NOT(ISERROR(SEARCH(("등록"),(A271))))</formula>
    </cfRule>
  </conditionalFormatting>
  <conditionalFormatting sqref="A272">
    <cfRule type="containsText" dxfId="0" priority="151" operator="containsText" text="거부">
      <formula>NOT(ISERROR(SEARCH(("거부"),(A272))))</formula>
    </cfRule>
  </conditionalFormatting>
  <conditionalFormatting sqref="A272">
    <cfRule type="containsText" dxfId="1" priority="152" operator="containsText" text="리턴">
      <formula>NOT(ISERROR(SEARCH(("리턴"),(A272))))</formula>
    </cfRule>
  </conditionalFormatting>
  <conditionalFormatting sqref="A272">
    <cfRule type="containsText" dxfId="2" priority="153" operator="containsText" text="실패">
      <formula>NOT(ISERROR(SEARCH(("실패"),(A272))))</formula>
    </cfRule>
  </conditionalFormatting>
  <conditionalFormatting sqref="A272">
    <cfRule type="containsText" dxfId="3" priority="154" operator="containsText" text="관리">
      <formula>NOT(ISERROR(SEARCH(("관리"),(A272))))</formula>
    </cfRule>
  </conditionalFormatting>
  <conditionalFormatting sqref="A272">
    <cfRule type="containsText" dxfId="4" priority="155" operator="containsText" text="등록">
      <formula>NOT(ISERROR(SEARCH(("등록"),(A272))))</formula>
    </cfRule>
  </conditionalFormatting>
  <conditionalFormatting sqref="A273">
    <cfRule type="containsText" dxfId="0" priority="156" operator="containsText" text="거부">
      <formula>NOT(ISERROR(SEARCH(("거부"),(A273))))</formula>
    </cfRule>
  </conditionalFormatting>
  <conditionalFormatting sqref="A273">
    <cfRule type="containsText" dxfId="1" priority="157" operator="containsText" text="리턴">
      <formula>NOT(ISERROR(SEARCH(("리턴"),(A273))))</formula>
    </cfRule>
  </conditionalFormatting>
  <conditionalFormatting sqref="A273">
    <cfRule type="containsText" dxfId="2" priority="158" operator="containsText" text="실패">
      <formula>NOT(ISERROR(SEARCH(("실패"),(A273))))</formula>
    </cfRule>
  </conditionalFormatting>
  <conditionalFormatting sqref="A273">
    <cfRule type="containsText" dxfId="3" priority="159" operator="containsText" text="관리">
      <formula>NOT(ISERROR(SEARCH(("관리"),(A273))))</formula>
    </cfRule>
  </conditionalFormatting>
  <conditionalFormatting sqref="A273">
    <cfRule type="containsText" dxfId="4" priority="160" operator="containsText" text="등록">
      <formula>NOT(ISERROR(SEARCH(("등록"),(A273))))</formula>
    </cfRule>
  </conditionalFormatting>
  <conditionalFormatting sqref="A274">
    <cfRule type="containsText" dxfId="0" priority="161" operator="containsText" text="거부">
      <formula>NOT(ISERROR(SEARCH(("거부"),(A274))))</formula>
    </cfRule>
  </conditionalFormatting>
  <conditionalFormatting sqref="A274">
    <cfRule type="containsText" dxfId="1" priority="162" operator="containsText" text="리턴">
      <formula>NOT(ISERROR(SEARCH(("리턴"),(A274))))</formula>
    </cfRule>
  </conditionalFormatting>
  <conditionalFormatting sqref="A274">
    <cfRule type="containsText" dxfId="2" priority="163" operator="containsText" text="실패">
      <formula>NOT(ISERROR(SEARCH(("실패"),(A274))))</formula>
    </cfRule>
  </conditionalFormatting>
  <conditionalFormatting sqref="A274">
    <cfRule type="containsText" dxfId="3" priority="164" operator="containsText" text="관리">
      <formula>NOT(ISERROR(SEARCH(("관리"),(A274))))</formula>
    </cfRule>
  </conditionalFormatting>
  <conditionalFormatting sqref="A274">
    <cfRule type="containsText" dxfId="4" priority="165" operator="containsText" text="등록">
      <formula>NOT(ISERROR(SEARCH(("등록"),(A274))))</formula>
    </cfRule>
  </conditionalFormatting>
  <conditionalFormatting sqref="A275">
    <cfRule type="containsText" dxfId="0" priority="166" operator="containsText" text="거부">
      <formula>NOT(ISERROR(SEARCH(("거부"),(A275))))</formula>
    </cfRule>
  </conditionalFormatting>
  <conditionalFormatting sqref="A275">
    <cfRule type="containsText" dxfId="1" priority="167" operator="containsText" text="리턴">
      <formula>NOT(ISERROR(SEARCH(("리턴"),(A275))))</formula>
    </cfRule>
  </conditionalFormatting>
  <conditionalFormatting sqref="A275">
    <cfRule type="containsText" dxfId="2" priority="168" operator="containsText" text="실패">
      <formula>NOT(ISERROR(SEARCH(("실패"),(A275))))</formula>
    </cfRule>
  </conditionalFormatting>
  <conditionalFormatting sqref="A275">
    <cfRule type="containsText" dxfId="3" priority="169" operator="containsText" text="관리">
      <formula>NOT(ISERROR(SEARCH(("관리"),(A275))))</formula>
    </cfRule>
  </conditionalFormatting>
  <conditionalFormatting sqref="A275">
    <cfRule type="containsText" dxfId="4" priority="170" operator="containsText" text="등록">
      <formula>NOT(ISERROR(SEARCH(("등록"),(A275))))</formula>
    </cfRule>
  </conditionalFormatting>
  <conditionalFormatting sqref="A276">
    <cfRule type="containsText" dxfId="0" priority="171" operator="containsText" text="거부">
      <formula>NOT(ISERROR(SEARCH(("거부"),(A276))))</formula>
    </cfRule>
  </conditionalFormatting>
  <conditionalFormatting sqref="A276">
    <cfRule type="containsText" dxfId="1" priority="172" operator="containsText" text="리턴">
      <formula>NOT(ISERROR(SEARCH(("리턴"),(A276))))</formula>
    </cfRule>
  </conditionalFormatting>
  <conditionalFormatting sqref="A276">
    <cfRule type="containsText" dxfId="2" priority="173" operator="containsText" text="실패">
      <formula>NOT(ISERROR(SEARCH(("실패"),(A276))))</formula>
    </cfRule>
  </conditionalFormatting>
  <conditionalFormatting sqref="A276">
    <cfRule type="containsText" dxfId="3" priority="174" operator="containsText" text="관리">
      <formula>NOT(ISERROR(SEARCH(("관리"),(A276))))</formula>
    </cfRule>
  </conditionalFormatting>
  <conditionalFormatting sqref="A276">
    <cfRule type="containsText" dxfId="4" priority="175" operator="containsText" text="등록">
      <formula>NOT(ISERROR(SEARCH(("등록"),(A276))))</formula>
    </cfRule>
  </conditionalFormatting>
  <conditionalFormatting sqref="A277">
    <cfRule type="containsText" dxfId="0" priority="176" operator="containsText" text="거부">
      <formula>NOT(ISERROR(SEARCH(("거부"),(A277))))</formula>
    </cfRule>
  </conditionalFormatting>
  <conditionalFormatting sqref="A277">
    <cfRule type="containsText" dxfId="1" priority="177" operator="containsText" text="리턴">
      <formula>NOT(ISERROR(SEARCH(("리턴"),(A277))))</formula>
    </cfRule>
  </conditionalFormatting>
  <conditionalFormatting sqref="A277">
    <cfRule type="containsText" dxfId="2" priority="178" operator="containsText" text="실패">
      <formula>NOT(ISERROR(SEARCH(("실패"),(A277))))</formula>
    </cfRule>
  </conditionalFormatting>
  <conditionalFormatting sqref="A277">
    <cfRule type="containsText" dxfId="3" priority="179" operator="containsText" text="관리">
      <formula>NOT(ISERROR(SEARCH(("관리"),(A277))))</formula>
    </cfRule>
  </conditionalFormatting>
  <conditionalFormatting sqref="A277">
    <cfRule type="containsText" dxfId="4" priority="180" operator="containsText" text="등록">
      <formula>NOT(ISERROR(SEARCH(("등록"),(A277))))</formula>
    </cfRule>
  </conditionalFormatting>
  <conditionalFormatting sqref="A278">
    <cfRule type="containsText" dxfId="0" priority="181" operator="containsText" text="거부">
      <formula>NOT(ISERROR(SEARCH(("거부"),(A278))))</formula>
    </cfRule>
  </conditionalFormatting>
  <conditionalFormatting sqref="A278">
    <cfRule type="containsText" dxfId="1" priority="182" operator="containsText" text="리턴">
      <formula>NOT(ISERROR(SEARCH(("리턴"),(A278))))</formula>
    </cfRule>
  </conditionalFormatting>
  <conditionalFormatting sqref="A278">
    <cfRule type="containsText" dxfId="2" priority="183" operator="containsText" text="실패">
      <formula>NOT(ISERROR(SEARCH(("실패"),(A278))))</formula>
    </cfRule>
  </conditionalFormatting>
  <conditionalFormatting sqref="A278">
    <cfRule type="containsText" dxfId="3" priority="184" operator="containsText" text="관리">
      <formula>NOT(ISERROR(SEARCH(("관리"),(A278))))</formula>
    </cfRule>
  </conditionalFormatting>
  <conditionalFormatting sqref="A278">
    <cfRule type="containsText" dxfId="4" priority="185" operator="containsText" text="등록">
      <formula>NOT(ISERROR(SEARCH(("등록"),(A278))))</formula>
    </cfRule>
  </conditionalFormatting>
  <conditionalFormatting sqref="A241">
    <cfRule type="containsText" dxfId="0" priority="186" operator="containsText" text="거부">
      <formula>NOT(ISERROR(SEARCH(("거부"),(A241))))</formula>
    </cfRule>
  </conditionalFormatting>
  <conditionalFormatting sqref="A241">
    <cfRule type="containsText" dxfId="1" priority="187" operator="containsText" text="리턴">
      <formula>NOT(ISERROR(SEARCH(("리턴"),(A241))))</formula>
    </cfRule>
  </conditionalFormatting>
  <conditionalFormatting sqref="A241">
    <cfRule type="containsText" dxfId="2" priority="188" operator="containsText" text="실패">
      <formula>NOT(ISERROR(SEARCH(("실패"),(A241))))</formula>
    </cfRule>
  </conditionalFormatting>
  <conditionalFormatting sqref="A241">
    <cfRule type="containsText" dxfId="3" priority="189" operator="containsText" text="관리">
      <formula>NOT(ISERROR(SEARCH(("관리"),(A241))))</formula>
    </cfRule>
  </conditionalFormatting>
  <conditionalFormatting sqref="A241">
    <cfRule type="containsText" dxfId="4" priority="190" operator="containsText" text="등록">
      <formula>NOT(ISERROR(SEARCH(("등록"),(A241))))</formula>
    </cfRule>
  </conditionalFormatting>
  <conditionalFormatting sqref="A279">
    <cfRule type="containsText" dxfId="0" priority="191" operator="containsText" text="거부">
      <formula>NOT(ISERROR(SEARCH(("거부"),(A279))))</formula>
    </cfRule>
  </conditionalFormatting>
  <conditionalFormatting sqref="A279">
    <cfRule type="containsText" dxfId="1" priority="192" operator="containsText" text="리턴">
      <formula>NOT(ISERROR(SEARCH(("리턴"),(A279))))</formula>
    </cfRule>
  </conditionalFormatting>
  <conditionalFormatting sqref="A279">
    <cfRule type="containsText" dxfId="2" priority="193" operator="containsText" text="실패">
      <formula>NOT(ISERROR(SEARCH(("실패"),(A279))))</formula>
    </cfRule>
  </conditionalFormatting>
  <conditionalFormatting sqref="A279">
    <cfRule type="containsText" dxfId="3" priority="194" operator="containsText" text="관리">
      <formula>NOT(ISERROR(SEARCH(("관리"),(A279))))</formula>
    </cfRule>
  </conditionalFormatting>
  <conditionalFormatting sqref="A279">
    <cfRule type="containsText" dxfId="4" priority="195" operator="containsText" text="등록">
      <formula>NOT(ISERROR(SEARCH(("등록"),(A279))))</formula>
    </cfRule>
  </conditionalFormatting>
  <conditionalFormatting sqref="A280">
    <cfRule type="containsText" dxfId="0" priority="196" operator="containsText" text="거부">
      <formula>NOT(ISERROR(SEARCH(("거부"),(A280))))</formula>
    </cfRule>
  </conditionalFormatting>
  <conditionalFormatting sqref="A280">
    <cfRule type="containsText" dxfId="1" priority="197" operator="containsText" text="리턴">
      <formula>NOT(ISERROR(SEARCH(("리턴"),(A280))))</formula>
    </cfRule>
  </conditionalFormatting>
  <conditionalFormatting sqref="A280">
    <cfRule type="containsText" dxfId="2" priority="198" operator="containsText" text="실패">
      <formula>NOT(ISERROR(SEARCH(("실패"),(A280))))</formula>
    </cfRule>
  </conditionalFormatting>
  <conditionalFormatting sqref="A280">
    <cfRule type="containsText" dxfId="3" priority="199" operator="containsText" text="관리">
      <formula>NOT(ISERROR(SEARCH(("관리"),(A280))))</formula>
    </cfRule>
  </conditionalFormatting>
  <conditionalFormatting sqref="A280">
    <cfRule type="containsText" dxfId="4" priority="200" operator="containsText" text="등록">
      <formula>NOT(ISERROR(SEARCH(("등록"),(A280))))</formula>
    </cfRule>
  </conditionalFormatting>
  <conditionalFormatting sqref="A281">
    <cfRule type="containsText" dxfId="0" priority="201" operator="containsText" text="거부">
      <formula>NOT(ISERROR(SEARCH(("거부"),(A281))))</formula>
    </cfRule>
  </conditionalFormatting>
  <conditionalFormatting sqref="A281">
    <cfRule type="containsText" dxfId="1" priority="202" operator="containsText" text="리턴">
      <formula>NOT(ISERROR(SEARCH(("리턴"),(A281))))</formula>
    </cfRule>
  </conditionalFormatting>
  <conditionalFormatting sqref="A281">
    <cfRule type="containsText" dxfId="2" priority="203" operator="containsText" text="실패">
      <formula>NOT(ISERROR(SEARCH(("실패"),(A281))))</formula>
    </cfRule>
  </conditionalFormatting>
  <conditionalFormatting sqref="A281">
    <cfRule type="containsText" dxfId="3" priority="204" operator="containsText" text="관리">
      <formula>NOT(ISERROR(SEARCH(("관리"),(A281))))</formula>
    </cfRule>
  </conditionalFormatting>
  <conditionalFormatting sqref="A281">
    <cfRule type="containsText" dxfId="4" priority="205" operator="containsText" text="등록">
      <formula>NOT(ISERROR(SEARCH(("등록"),(A281))))</formula>
    </cfRule>
  </conditionalFormatting>
  <conditionalFormatting sqref="A282">
    <cfRule type="containsText" dxfId="0" priority="206" operator="containsText" text="거부">
      <formula>NOT(ISERROR(SEARCH(("거부"),(A282))))</formula>
    </cfRule>
  </conditionalFormatting>
  <conditionalFormatting sqref="A282">
    <cfRule type="containsText" dxfId="1" priority="207" operator="containsText" text="리턴">
      <formula>NOT(ISERROR(SEARCH(("리턴"),(A282))))</formula>
    </cfRule>
  </conditionalFormatting>
  <conditionalFormatting sqref="A282">
    <cfRule type="containsText" dxfId="2" priority="208" operator="containsText" text="실패">
      <formula>NOT(ISERROR(SEARCH(("실패"),(A282))))</formula>
    </cfRule>
  </conditionalFormatting>
  <conditionalFormatting sqref="A282">
    <cfRule type="containsText" dxfId="3" priority="209" operator="containsText" text="관리">
      <formula>NOT(ISERROR(SEARCH(("관리"),(A282))))</formula>
    </cfRule>
  </conditionalFormatting>
  <conditionalFormatting sqref="A282">
    <cfRule type="containsText" dxfId="4" priority="210" operator="containsText" text="등록">
      <formula>NOT(ISERROR(SEARCH(("등록"),(A282))))</formula>
    </cfRule>
  </conditionalFormatting>
  <conditionalFormatting sqref="A283">
    <cfRule type="containsText" dxfId="0" priority="211" operator="containsText" text="거부">
      <formula>NOT(ISERROR(SEARCH(("거부"),(A283))))</formula>
    </cfRule>
  </conditionalFormatting>
  <conditionalFormatting sqref="A283">
    <cfRule type="containsText" dxfId="1" priority="212" operator="containsText" text="리턴">
      <formula>NOT(ISERROR(SEARCH(("리턴"),(A283))))</formula>
    </cfRule>
  </conditionalFormatting>
  <conditionalFormatting sqref="A283">
    <cfRule type="containsText" dxfId="2" priority="213" operator="containsText" text="실패">
      <formula>NOT(ISERROR(SEARCH(("실패"),(A283))))</formula>
    </cfRule>
  </conditionalFormatting>
  <conditionalFormatting sqref="A283">
    <cfRule type="containsText" dxfId="3" priority="214" operator="containsText" text="관리">
      <formula>NOT(ISERROR(SEARCH(("관리"),(A283))))</formula>
    </cfRule>
  </conditionalFormatting>
  <conditionalFormatting sqref="A283">
    <cfRule type="containsText" dxfId="4" priority="215" operator="containsText" text="등록">
      <formula>NOT(ISERROR(SEARCH(("등록"),(A283))))</formula>
    </cfRule>
  </conditionalFormatting>
  <conditionalFormatting sqref="A284">
    <cfRule type="containsText" dxfId="0" priority="216" operator="containsText" text="거부">
      <formula>NOT(ISERROR(SEARCH(("거부"),(A284))))</formula>
    </cfRule>
  </conditionalFormatting>
  <conditionalFormatting sqref="A284">
    <cfRule type="containsText" dxfId="1" priority="217" operator="containsText" text="리턴">
      <formula>NOT(ISERROR(SEARCH(("리턴"),(A284))))</formula>
    </cfRule>
  </conditionalFormatting>
  <conditionalFormatting sqref="A284">
    <cfRule type="containsText" dxfId="2" priority="218" operator="containsText" text="실패">
      <formula>NOT(ISERROR(SEARCH(("실패"),(A284))))</formula>
    </cfRule>
  </conditionalFormatting>
  <conditionalFormatting sqref="A284">
    <cfRule type="containsText" dxfId="3" priority="219" operator="containsText" text="관리">
      <formula>NOT(ISERROR(SEARCH(("관리"),(A284))))</formula>
    </cfRule>
  </conditionalFormatting>
  <conditionalFormatting sqref="A284">
    <cfRule type="containsText" dxfId="4" priority="220" operator="containsText" text="등록">
      <formula>NOT(ISERROR(SEARCH(("등록"),(A284))))</formula>
    </cfRule>
  </conditionalFormatting>
  <conditionalFormatting sqref="A285">
    <cfRule type="containsText" dxfId="0" priority="221" operator="containsText" text="거부">
      <formula>NOT(ISERROR(SEARCH(("거부"),(A285))))</formula>
    </cfRule>
  </conditionalFormatting>
  <conditionalFormatting sqref="A285">
    <cfRule type="containsText" dxfId="1" priority="222" operator="containsText" text="리턴">
      <formula>NOT(ISERROR(SEARCH(("리턴"),(A285))))</formula>
    </cfRule>
  </conditionalFormatting>
  <conditionalFormatting sqref="A285">
    <cfRule type="containsText" dxfId="2" priority="223" operator="containsText" text="실패">
      <formula>NOT(ISERROR(SEARCH(("실패"),(A285))))</formula>
    </cfRule>
  </conditionalFormatting>
  <conditionalFormatting sqref="A285">
    <cfRule type="containsText" dxfId="3" priority="224" operator="containsText" text="관리">
      <formula>NOT(ISERROR(SEARCH(("관리"),(A285))))</formula>
    </cfRule>
  </conditionalFormatting>
  <conditionalFormatting sqref="A285">
    <cfRule type="containsText" dxfId="4" priority="225" operator="containsText" text="등록">
      <formula>NOT(ISERROR(SEARCH(("등록"),(A285))))</formula>
    </cfRule>
  </conditionalFormatting>
  <conditionalFormatting sqref="A286">
    <cfRule type="containsText" dxfId="0" priority="226" operator="containsText" text="거부">
      <formula>NOT(ISERROR(SEARCH(("거부"),(A286))))</formula>
    </cfRule>
  </conditionalFormatting>
  <conditionalFormatting sqref="A286">
    <cfRule type="containsText" dxfId="1" priority="227" operator="containsText" text="리턴">
      <formula>NOT(ISERROR(SEARCH(("리턴"),(A286))))</formula>
    </cfRule>
  </conditionalFormatting>
  <conditionalFormatting sqref="A286">
    <cfRule type="containsText" dxfId="2" priority="228" operator="containsText" text="실패">
      <formula>NOT(ISERROR(SEARCH(("실패"),(A286))))</formula>
    </cfRule>
  </conditionalFormatting>
  <conditionalFormatting sqref="A286">
    <cfRule type="containsText" dxfId="3" priority="229" operator="containsText" text="관리">
      <formula>NOT(ISERROR(SEARCH(("관리"),(A286))))</formula>
    </cfRule>
  </conditionalFormatting>
  <conditionalFormatting sqref="A286">
    <cfRule type="containsText" dxfId="4" priority="230" operator="containsText" text="등록">
      <formula>NOT(ISERROR(SEARCH(("등록"),(A286))))</formula>
    </cfRule>
  </conditionalFormatting>
  <conditionalFormatting sqref="A287">
    <cfRule type="containsText" dxfId="0" priority="231" operator="containsText" text="거부">
      <formula>NOT(ISERROR(SEARCH(("거부"),(A287))))</formula>
    </cfRule>
  </conditionalFormatting>
  <conditionalFormatting sqref="A287">
    <cfRule type="containsText" dxfId="1" priority="232" operator="containsText" text="리턴">
      <formula>NOT(ISERROR(SEARCH(("리턴"),(A287))))</formula>
    </cfRule>
  </conditionalFormatting>
  <conditionalFormatting sqref="A287">
    <cfRule type="containsText" dxfId="2" priority="233" operator="containsText" text="실패">
      <formula>NOT(ISERROR(SEARCH(("실패"),(A287))))</formula>
    </cfRule>
  </conditionalFormatting>
  <conditionalFormatting sqref="A287">
    <cfRule type="containsText" dxfId="3" priority="234" operator="containsText" text="관리">
      <formula>NOT(ISERROR(SEARCH(("관리"),(A287))))</formula>
    </cfRule>
  </conditionalFormatting>
  <conditionalFormatting sqref="A287">
    <cfRule type="containsText" dxfId="4" priority="235" operator="containsText" text="등록">
      <formula>NOT(ISERROR(SEARCH(("등록"),(A287))))</formula>
    </cfRule>
  </conditionalFormatting>
  <conditionalFormatting sqref="A288">
    <cfRule type="containsText" dxfId="0" priority="236" operator="containsText" text="거부">
      <formula>NOT(ISERROR(SEARCH(("거부"),(A288))))</formula>
    </cfRule>
  </conditionalFormatting>
  <conditionalFormatting sqref="A288">
    <cfRule type="containsText" dxfId="1" priority="237" operator="containsText" text="리턴">
      <formula>NOT(ISERROR(SEARCH(("리턴"),(A288))))</formula>
    </cfRule>
  </conditionalFormatting>
  <conditionalFormatting sqref="A288">
    <cfRule type="containsText" dxfId="2" priority="238" operator="containsText" text="실패">
      <formula>NOT(ISERROR(SEARCH(("실패"),(A288))))</formula>
    </cfRule>
  </conditionalFormatting>
  <conditionalFormatting sqref="A288">
    <cfRule type="containsText" dxfId="3" priority="239" operator="containsText" text="관리">
      <formula>NOT(ISERROR(SEARCH(("관리"),(A288))))</formula>
    </cfRule>
  </conditionalFormatting>
  <conditionalFormatting sqref="A288">
    <cfRule type="containsText" dxfId="4" priority="240" operator="containsText" text="등록">
      <formula>NOT(ISERROR(SEARCH(("등록"),(A288))))</formula>
    </cfRule>
  </conditionalFormatting>
  <conditionalFormatting sqref="A289">
    <cfRule type="containsText" dxfId="0" priority="241" operator="containsText" text="거부">
      <formula>NOT(ISERROR(SEARCH(("거부"),(A289))))</formula>
    </cfRule>
  </conditionalFormatting>
  <conditionalFormatting sqref="A289">
    <cfRule type="containsText" dxfId="1" priority="242" operator="containsText" text="리턴">
      <formula>NOT(ISERROR(SEARCH(("리턴"),(A289))))</formula>
    </cfRule>
  </conditionalFormatting>
  <conditionalFormatting sqref="A289">
    <cfRule type="containsText" dxfId="2" priority="243" operator="containsText" text="실패">
      <formula>NOT(ISERROR(SEARCH(("실패"),(A289))))</formula>
    </cfRule>
  </conditionalFormatting>
  <conditionalFormatting sqref="A289">
    <cfRule type="containsText" dxfId="3" priority="244" operator="containsText" text="관리">
      <formula>NOT(ISERROR(SEARCH(("관리"),(A289))))</formula>
    </cfRule>
  </conditionalFormatting>
  <conditionalFormatting sqref="A289">
    <cfRule type="containsText" dxfId="4" priority="245" operator="containsText" text="등록">
      <formula>NOT(ISERROR(SEARCH(("등록"),(A289))))</formula>
    </cfRule>
  </conditionalFormatting>
  <conditionalFormatting sqref="A290">
    <cfRule type="containsText" dxfId="0" priority="246" operator="containsText" text="거부">
      <formula>NOT(ISERROR(SEARCH(("거부"),(A290))))</formula>
    </cfRule>
  </conditionalFormatting>
  <conditionalFormatting sqref="A290">
    <cfRule type="containsText" dxfId="1" priority="247" operator="containsText" text="리턴">
      <formula>NOT(ISERROR(SEARCH(("리턴"),(A290))))</formula>
    </cfRule>
  </conditionalFormatting>
  <conditionalFormatting sqref="A290">
    <cfRule type="containsText" dxfId="2" priority="248" operator="containsText" text="실패">
      <formula>NOT(ISERROR(SEARCH(("실패"),(A290))))</formula>
    </cfRule>
  </conditionalFormatting>
  <conditionalFormatting sqref="A290">
    <cfRule type="containsText" dxfId="3" priority="249" operator="containsText" text="관리">
      <formula>NOT(ISERROR(SEARCH(("관리"),(A290))))</formula>
    </cfRule>
  </conditionalFormatting>
  <conditionalFormatting sqref="A290">
    <cfRule type="containsText" dxfId="4" priority="250" operator="containsText" text="등록">
      <formula>NOT(ISERROR(SEARCH(("등록"),(A290))))</formula>
    </cfRule>
  </conditionalFormatting>
  <conditionalFormatting sqref="A291">
    <cfRule type="containsText" dxfId="0" priority="251" operator="containsText" text="거부">
      <formula>NOT(ISERROR(SEARCH(("거부"),(A291))))</formula>
    </cfRule>
  </conditionalFormatting>
  <conditionalFormatting sqref="A291">
    <cfRule type="containsText" dxfId="1" priority="252" operator="containsText" text="리턴">
      <formula>NOT(ISERROR(SEARCH(("리턴"),(A291))))</formula>
    </cfRule>
  </conditionalFormatting>
  <conditionalFormatting sqref="A291">
    <cfRule type="containsText" dxfId="2" priority="253" operator="containsText" text="실패">
      <formula>NOT(ISERROR(SEARCH(("실패"),(A291))))</formula>
    </cfRule>
  </conditionalFormatting>
  <conditionalFormatting sqref="A291">
    <cfRule type="containsText" dxfId="3" priority="254" operator="containsText" text="관리">
      <formula>NOT(ISERROR(SEARCH(("관리"),(A291))))</formula>
    </cfRule>
  </conditionalFormatting>
  <conditionalFormatting sqref="A291">
    <cfRule type="containsText" dxfId="4" priority="255" operator="containsText" text="등록">
      <formula>NOT(ISERROR(SEARCH(("등록"),(A291))))</formula>
    </cfRule>
  </conditionalFormatting>
  <conditionalFormatting sqref="A292">
    <cfRule type="containsText" dxfId="0" priority="256" operator="containsText" text="거부">
      <formula>NOT(ISERROR(SEARCH(("거부"),(A292))))</formula>
    </cfRule>
  </conditionalFormatting>
  <conditionalFormatting sqref="A292">
    <cfRule type="containsText" dxfId="1" priority="257" operator="containsText" text="리턴">
      <formula>NOT(ISERROR(SEARCH(("리턴"),(A292))))</formula>
    </cfRule>
  </conditionalFormatting>
  <conditionalFormatting sqref="A292">
    <cfRule type="containsText" dxfId="2" priority="258" operator="containsText" text="실패">
      <formula>NOT(ISERROR(SEARCH(("실패"),(A292))))</formula>
    </cfRule>
  </conditionalFormatting>
  <conditionalFormatting sqref="A292">
    <cfRule type="containsText" dxfId="3" priority="259" operator="containsText" text="관리">
      <formula>NOT(ISERROR(SEARCH(("관리"),(A292))))</formula>
    </cfRule>
  </conditionalFormatting>
  <conditionalFormatting sqref="A292">
    <cfRule type="containsText" dxfId="4" priority="260" operator="containsText" text="등록">
      <formula>NOT(ISERROR(SEARCH(("등록"),(A292))))</formula>
    </cfRule>
  </conditionalFormatting>
  <conditionalFormatting sqref="A293">
    <cfRule type="containsText" dxfId="0" priority="261" operator="containsText" text="거부">
      <formula>NOT(ISERROR(SEARCH(("거부"),(A293))))</formula>
    </cfRule>
  </conditionalFormatting>
  <conditionalFormatting sqref="A293">
    <cfRule type="containsText" dxfId="1" priority="262" operator="containsText" text="리턴">
      <formula>NOT(ISERROR(SEARCH(("리턴"),(A293))))</formula>
    </cfRule>
  </conditionalFormatting>
  <conditionalFormatting sqref="A293">
    <cfRule type="containsText" dxfId="2" priority="263" operator="containsText" text="실패">
      <formula>NOT(ISERROR(SEARCH(("실패"),(A293))))</formula>
    </cfRule>
  </conditionalFormatting>
  <conditionalFormatting sqref="A293">
    <cfRule type="containsText" dxfId="3" priority="264" operator="containsText" text="관리">
      <formula>NOT(ISERROR(SEARCH(("관리"),(A293))))</formula>
    </cfRule>
  </conditionalFormatting>
  <conditionalFormatting sqref="A293">
    <cfRule type="containsText" dxfId="4" priority="265" operator="containsText" text="등록">
      <formula>NOT(ISERROR(SEARCH(("등록"),(A293))))</formula>
    </cfRule>
  </conditionalFormatting>
  <conditionalFormatting sqref="A294">
    <cfRule type="containsText" dxfId="0" priority="266" operator="containsText" text="거부">
      <formula>NOT(ISERROR(SEARCH(("거부"),(A294))))</formula>
    </cfRule>
  </conditionalFormatting>
  <conditionalFormatting sqref="A294">
    <cfRule type="containsText" dxfId="1" priority="267" operator="containsText" text="리턴">
      <formula>NOT(ISERROR(SEARCH(("리턴"),(A294))))</formula>
    </cfRule>
  </conditionalFormatting>
  <conditionalFormatting sqref="A294">
    <cfRule type="containsText" dxfId="2" priority="268" operator="containsText" text="실패">
      <formula>NOT(ISERROR(SEARCH(("실패"),(A294))))</formula>
    </cfRule>
  </conditionalFormatting>
  <conditionalFormatting sqref="A294">
    <cfRule type="containsText" dxfId="3" priority="269" operator="containsText" text="관리">
      <formula>NOT(ISERROR(SEARCH(("관리"),(A294))))</formula>
    </cfRule>
  </conditionalFormatting>
  <conditionalFormatting sqref="A294">
    <cfRule type="containsText" dxfId="4" priority="270" operator="containsText" text="등록">
      <formula>NOT(ISERROR(SEARCH(("등록"),(A294))))</formula>
    </cfRule>
  </conditionalFormatting>
  <conditionalFormatting sqref="A295">
    <cfRule type="containsText" dxfId="0" priority="271" operator="containsText" text="거부">
      <formula>NOT(ISERROR(SEARCH(("거부"),(A295))))</formula>
    </cfRule>
  </conditionalFormatting>
  <conditionalFormatting sqref="A295">
    <cfRule type="containsText" dxfId="1" priority="272" operator="containsText" text="리턴">
      <formula>NOT(ISERROR(SEARCH(("리턴"),(A295))))</formula>
    </cfRule>
  </conditionalFormatting>
  <conditionalFormatting sqref="A295">
    <cfRule type="containsText" dxfId="2" priority="273" operator="containsText" text="실패">
      <formula>NOT(ISERROR(SEARCH(("실패"),(A295))))</formula>
    </cfRule>
  </conditionalFormatting>
  <conditionalFormatting sqref="A295">
    <cfRule type="containsText" dxfId="3" priority="274" operator="containsText" text="관리">
      <formula>NOT(ISERROR(SEARCH(("관리"),(A295))))</formula>
    </cfRule>
  </conditionalFormatting>
  <conditionalFormatting sqref="A295">
    <cfRule type="containsText" dxfId="4" priority="275" operator="containsText" text="등록">
      <formula>NOT(ISERROR(SEARCH(("등록"),(A295))))</formula>
    </cfRule>
  </conditionalFormatting>
  <conditionalFormatting sqref="A296">
    <cfRule type="containsText" dxfId="0" priority="276" operator="containsText" text="거부">
      <formula>NOT(ISERROR(SEARCH(("거부"),(A296))))</formula>
    </cfRule>
  </conditionalFormatting>
  <conditionalFormatting sqref="A296">
    <cfRule type="containsText" dxfId="1" priority="277" operator="containsText" text="리턴">
      <formula>NOT(ISERROR(SEARCH(("리턴"),(A296))))</formula>
    </cfRule>
  </conditionalFormatting>
  <conditionalFormatting sqref="A296">
    <cfRule type="containsText" dxfId="2" priority="278" operator="containsText" text="실패">
      <formula>NOT(ISERROR(SEARCH(("실패"),(A296))))</formula>
    </cfRule>
  </conditionalFormatting>
  <conditionalFormatting sqref="A296">
    <cfRule type="containsText" dxfId="3" priority="279" operator="containsText" text="관리">
      <formula>NOT(ISERROR(SEARCH(("관리"),(A296))))</formula>
    </cfRule>
  </conditionalFormatting>
  <conditionalFormatting sqref="A296">
    <cfRule type="containsText" dxfId="4" priority="280" operator="containsText" text="등록">
      <formula>NOT(ISERROR(SEARCH(("등록"),(A296))))</formula>
    </cfRule>
  </conditionalFormatting>
  <conditionalFormatting sqref="A297:A299">
    <cfRule type="containsText" dxfId="0" priority="281" operator="containsText" text="거부">
      <formula>NOT(ISERROR(SEARCH(("거부"),(A297))))</formula>
    </cfRule>
  </conditionalFormatting>
  <conditionalFormatting sqref="A297:A299">
    <cfRule type="containsText" dxfId="1" priority="282" operator="containsText" text="리턴">
      <formula>NOT(ISERROR(SEARCH(("리턴"),(A297))))</formula>
    </cfRule>
  </conditionalFormatting>
  <conditionalFormatting sqref="A297:A299">
    <cfRule type="containsText" dxfId="2" priority="283" operator="containsText" text="실패">
      <formula>NOT(ISERROR(SEARCH(("실패"),(A297))))</formula>
    </cfRule>
  </conditionalFormatting>
  <conditionalFormatting sqref="A297:A299">
    <cfRule type="containsText" dxfId="3" priority="284" operator="containsText" text="관리">
      <formula>NOT(ISERROR(SEARCH(("관리"),(A297))))</formula>
    </cfRule>
  </conditionalFormatting>
  <conditionalFormatting sqref="A297:A299">
    <cfRule type="containsText" dxfId="4" priority="285" operator="containsText" text="등록">
      <formula>NOT(ISERROR(SEARCH(("등록"),(A297))))</formula>
    </cfRule>
  </conditionalFormatting>
  <conditionalFormatting sqref="A300:A301">
    <cfRule type="containsText" dxfId="0" priority="286" operator="containsText" text="거부">
      <formula>NOT(ISERROR(SEARCH(("거부"),(A300))))</formula>
    </cfRule>
  </conditionalFormatting>
  <conditionalFormatting sqref="A300:A301">
    <cfRule type="containsText" dxfId="1" priority="287" operator="containsText" text="리턴">
      <formula>NOT(ISERROR(SEARCH(("리턴"),(A300))))</formula>
    </cfRule>
  </conditionalFormatting>
  <conditionalFormatting sqref="A300:A301">
    <cfRule type="containsText" dxfId="2" priority="288" operator="containsText" text="실패">
      <formula>NOT(ISERROR(SEARCH(("실패"),(A300))))</formula>
    </cfRule>
  </conditionalFormatting>
  <conditionalFormatting sqref="A300:A301">
    <cfRule type="containsText" dxfId="3" priority="289" operator="containsText" text="관리">
      <formula>NOT(ISERROR(SEARCH(("관리"),(A300))))</formula>
    </cfRule>
  </conditionalFormatting>
  <conditionalFormatting sqref="A300:A301">
    <cfRule type="containsText" dxfId="4" priority="290" operator="containsText" text="등록">
      <formula>NOT(ISERROR(SEARCH(("등록"),(A300))))</formula>
    </cfRule>
  </conditionalFormatting>
  <conditionalFormatting sqref="A302">
    <cfRule type="containsText" dxfId="0" priority="291" operator="containsText" text="거부">
      <formula>NOT(ISERROR(SEARCH(("거부"),(A302))))</formula>
    </cfRule>
  </conditionalFormatting>
  <conditionalFormatting sqref="A302">
    <cfRule type="containsText" dxfId="1" priority="292" operator="containsText" text="리턴">
      <formula>NOT(ISERROR(SEARCH(("리턴"),(A302))))</formula>
    </cfRule>
  </conditionalFormatting>
  <conditionalFormatting sqref="A302">
    <cfRule type="containsText" dxfId="2" priority="293" operator="containsText" text="실패">
      <formula>NOT(ISERROR(SEARCH(("실패"),(A302))))</formula>
    </cfRule>
  </conditionalFormatting>
  <conditionalFormatting sqref="A302">
    <cfRule type="containsText" dxfId="3" priority="294" operator="containsText" text="관리">
      <formula>NOT(ISERROR(SEARCH(("관리"),(A302))))</formula>
    </cfRule>
  </conditionalFormatting>
  <conditionalFormatting sqref="A302">
    <cfRule type="containsText" dxfId="4" priority="295" operator="containsText" text="등록">
      <formula>NOT(ISERROR(SEARCH(("등록"),(A302))))</formula>
    </cfRule>
  </conditionalFormatting>
  <conditionalFormatting sqref="J110:J114">
    <cfRule type="containsText" dxfId="0" priority="296" operator="containsText" text="거부">
      <formula>NOT(ISERROR(SEARCH(("거부"),(J110))))</formula>
    </cfRule>
  </conditionalFormatting>
  <conditionalFormatting sqref="J110:J114">
    <cfRule type="containsText" dxfId="1" priority="297" operator="containsText" text="리턴">
      <formula>NOT(ISERROR(SEARCH(("리턴"),(J110))))</formula>
    </cfRule>
  </conditionalFormatting>
  <conditionalFormatting sqref="J110:J114">
    <cfRule type="containsText" dxfId="2" priority="298" operator="containsText" text="실패">
      <formula>NOT(ISERROR(SEARCH(("실패"),(J110))))</formula>
    </cfRule>
  </conditionalFormatting>
  <conditionalFormatting sqref="J110:J114">
    <cfRule type="containsText" dxfId="3" priority="299" operator="containsText" text="관리">
      <formula>NOT(ISERROR(SEARCH(("관리"),(J110))))</formula>
    </cfRule>
  </conditionalFormatting>
  <conditionalFormatting sqref="J110:J114">
    <cfRule type="containsText" dxfId="4" priority="300" operator="containsText" text="등록">
      <formula>NOT(ISERROR(SEARCH(("등록"),(J110))))</formula>
    </cfRule>
  </conditionalFormatting>
  <conditionalFormatting sqref="E110">
    <cfRule type="containsText" dxfId="0" priority="301" operator="containsText" text="거부">
      <formula>NOT(ISERROR(SEARCH(("거부"),(E110))))</formula>
    </cfRule>
  </conditionalFormatting>
  <conditionalFormatting sqref="E110">
    <cfRule type="containsText" dxfId="1" priority="302" operator="containsText" text="리턴">
      <formula>NOT(ISERROR(SEARCH(("리턴"),(E110))))</formula>
    </cfRule>
  </conditionalFormatting>
  <conditionalFormatting sqref="E110">
    <cfRule type="containsText" dxfId="2" priority="303" operator="containsText" text="실패">
      <formula>NOT(ISERROR(SEARCH(("실패"),(E110))))</formula>
    </cfRule>
  </conditionalFormatting>
  <conditionalFormatting sqref="E110">
    <cfRule type="containsText" dxfId="3" priority="304" operator="containsText" text="관리">
      <formula>NOT(ISERROR(SEARCH(("관리"),(E110))))</formula>
    </cfRule>
  </conditionalFormatting>
  <conditionalFormatting sqref="E110">
    <cfRule type="containsText" dxfId="4" priority="305" operator="containsText" text="등록">
      <formula>NOT(ISERROR(SEARCH(("등록"),(E110))))</formula>
    </cfRule>
  </conditionalFormatting>
  <conditionalFormatting sqref="E112">
    <cfRule type="containsText" dxfId="0" priority="306" operator="containsText" text="거부">
      <formula>NOT(ISERROR(SEARCH(("거부"),(E112))))</formula>
    </cfRule>
  </conditionalFormatting>
  <conditionalFormatting sqref="E112">
    <cfRule type="containsText" dxfId="1" priority="307" operator="containsText" text="리턴">
      <formula>NOT(ISERROR(SEARCH(("리턴"),(E112))))</formula>
    </cfRule>
  </conditionalFormatting>
  <conditionalFormatting sqref="E112">
    <cfRule type="containsText" dxfId="2" priority="308" operator="containsText" text="실패">
      <formula>NOT(ISERROR(SEARCH(("실패"),(E112))))</formula>
    </cfRule>
  </conditionalFormatting>
  <conditionalFormatting sqref="E112">
    <cfRule type="containsText" dxfId="3" priority="309" operator="containsText" text="관리">
      <formula>NOT(ISERROR(SEARCH(("관리"),(E112))))</formula>
    </cfRule>
  </conditionalFormatting>
  <conditionalFormatting sqref="E112">
    <cfRule type="containsText" dxfId="4" priority="310" operator="containsText" text="등록">
      <formula>NOT(ISERROR(SEARCH(("등록"),(E112))))</formula>
    </cfRule>
  </conditionalFormatting>
  <conditionalFormatting sqref="G126">
    <cfRule type="containsText" dxfId="0" priority="311" operator="containsText" text="거부">
      <formula>NOT(ISERROR(SEARCH(("거부"),(G126))))</formula>
    </cfRule>
  </conditionalFormatting>
  <conditionalFormatting sqref="G126">
    <cfRule type="containsText" dxfId="1" priority="312" operator="containsText" text="리턴">
      <formula>NOT(ISERROR(SEARCH(("리턴"),(G126))))</formula>
    </cfRule>
  </conditionalFormatting>
  <conditionalFormatting sqref="G126">
    <cfRule type="containsText" dxfId="2" priority="313" operator="containsText" text="실패">
      <formula>NOT(ISERROR(SEARCH(("실패"),(G126))))</formula>
    </cfRule>
  </conditionalFormatting>
  <conditionalFormatting sqref="G126">
    <cfRule type="containsText" dxfId="3" priority="314" operator="containsText" text="관리">
      <formula>NOT(ISERROR(SEARCH(("관리"),(G126))))</formula>
    </cfRule>
  </conditionalFormatting>
  <conditionalFormatting sqref="G126">
    <cfRule type="containsText" dxfId="4" priority="315" operator="containsText" text="등록">
      <formula>NOT(ISERROR(SEARCH(("등록"),(G126))))</formula>
    </cfRule>
  </conditionalFormatting>
  <conditionalFormatting sqref="H126">
    <cfRule type="containsText" dxfId="0" priority="316" operator="containsText" text="거부">
      <formula>NOT(ISERROR(SEARCH(("거부"),(H126))))</formula>
    </cfRule>
  </conditionalFormatting>
  <conditionalFormatting sqref="H126">
    <cfRule type="containsText" dxfId="1" priority="317" operator="containsText" text="리턴">
      <formula>NOT(ISERROR(SEARCH(("리턴"),(H126))))</formula>
    </cfRule>
  </conditionalFormatting>
  <conditionalFormatting sqref="H126">
    <cfRule type="containsText" dxfId="2" priority="318" operator="containsText" text="실패">
      <formula>NOT(ISERROR(SEARCH(("실패"),(H126))))</formula>
    </cfRule>
  </conditionalFormatting>
  <conditionalFormatting sqref="H126">
    <cfRule type="containsText" dxfId="3" priority="319" operator="containsText" text="관리">
      <formula>NOT(ISERROR(SEARCH(("관리"),(H126))))</formula>
    </cfRule>
  </conditionalFormatting>
  <conditionalFormatting sqref="H126">
    <cfRule type="containsText" dxfId="4" priority="320" operator="containsText" text="등록">
      <formula>NOT(ISERROR(SEARCH(("등록"),(H126))))</formula>
    </cfRule>
  </conditionalFormatting>
  <conditionalFormatting sqref="A126">
    <cfRule type="containsText" dxfId="0" priority="321" operator="containsText" text="거부">
      <formula>NOT(ISERROR(SEARCH(("거부"),(A126))))</formula>
    </cfRule>
  </conditionalFormatting>
  <conditionalFormatting sqref="A126">
    <cfRule type="containsText" dxfId="1" priority="322" operator="containsText" text="리턴">
      <formula>NOT(ISERROR(SEARCH(("리턴"),(A126))))</formula>
    </cfRule>
  </conditionalFormatting>
  <conditionalFormatting sqref="A126">
    <cfRule type="containsText" dxfId="2" priority="323" operator="containsText" text="실패">
      <formula>NOT(ISERROR(SEARCH(("실패"),(A126))))</formula>
    </cfRule>
  </conditionalFormatting>
  <conditionalFormatting sqref="A126">
    <cfRule type="containsText" dxfId="3" priority="324" operator="containsText" text="관리">
      <formula>NOT(ISERROR(SEARCH(("관리"),(A126))))</formula>
    </cfRule>
  </conditionalFormatting>
  <conditionalFormatting sqref="A126">
    <cfRule type="containsText" dxfId="4" priority="325" operator="containsText" text="등록">
      <formula>NOT(ISERROR(SEARCH(("등록"),(A126))))</formula>
    </cfRule>
  </conditionalFormatting>
  <conditionalFormatting sqref="A165">
    <cfRule type="containsText" dxfId="0" priority="326" operator="containsText" text="거부">
      <formula>NOT(ISERROR(SEARCH(("거부"),(A165))))</formula>
    </cfRule>
  </conditionalFormatting>
  <conditionalFormatting sqref="A165">
    <cfRule type="containsText" dxfId="1" priority="327" operator="containsText" text="리턴">
      <formula>NOT(ISERROR(SEARCH(("리턴"),(A165))))</formula>
    </cfRule>
  </conditionalFormatting>
  <conditionalFormatting sqref="A165">
    <cfRule type="containsText" dxfId="2" priority="328" operator="containsText" text="실패">
      <formula>NOT(ISERROR(SEARCH(("실패"),(A165))))</formula>
    </cfRule>
  </conditionalFormatting>
  <conditionalFormatting sqref="A165">
    <cfRule type="containsText" dxfId="3" priority="329" operator="containsText" text="관리">
      <formula>NOT(ISERROR(SEARCH(("관리"),(A165))))</formula>
    </cfRule>
  </conditionalFormatting>
  <conditionalFormatting sqref="A165">
    <cfRule type="containsText" dxfId="4" priority="330" operator="containsText" text="등록">
      <formula>NOT(ISERROR(SEARCH(("등록"),(A165))))</formula>
    </cfRule>
  </conditionalFormatting>
  <conditionalFormatting sqref="A166">
    <cfRule type="containsText" dxfId="0" priority="331" operator="containsText" text="거부">
      <formula>NOT(ISERROR(SEARCH(("거부"),(A166))))</formula>
    </cfRule>
  </conditionalFormatting>
  <conditionalFormatting sqref="A166">
    <cfRule type="containsText" dxfId="1" priority="332" operator="containsText" text="리턴">
      <formula>NOT(ISERROR(SEARCH(("리턴"),(A166))))</formula>
    </cfRule>
  </conditionalFormatting>
  <conditionalFormatting sqref="A166">
    <cfRule type="containsText" dxfId="2" priority="333" operator="containsText" text="실패">
      <formula>NOT(ISERROR(SEARCH(("실패"),(A166))))</formula>
    </cfRule>
  </conditionalFormatting>
  <conditionalFormatting sqref="A166">
    <cfRule type="containsText" dxfId="3" priority="334" operator="containsText" text="관리">
      <formula>NOT(ISERROR(SEARCH(("관리"),(A166))))</formula>
    </cfRule>
  </conditionalFormatting>
  <conditionalFormatting sqref="A166">
    <cfRule type="containsText" dxfId="4" priority="335" operator="containsText" text="등록">
      <formula>NOT(ISERROR(SEARCH(("등록"),(A166))))</formula>
    </cfRule>
  </conditionalFormatting>
  <conditionalFormatting sqref="A189">
    <cfRule type="containsText" dxfId="0" priority="336" operator="containsText" text="거부">
      <formula>NOT(ISERROR(SEARCH(("거부"),(A189))))</formula>
    </cfRule>
  </conditionalFormatting>
  <conditionalFormatting sqref="A189">
    <cfRule type="containsText" dxfId="1" priority="337" operator="containsText" text="리턴">
      <formula>NOT(ISERROR(SEARCH(("리턴"),(A189))))</formula>
    </cfRule>
  </conditionalFormatting>
  <conditionalFormatting sqref="A189">
    <cfRule type="containsText" dxfId="2" priority="338" operator="containsText" text="실패">
      <formula>NOT(ISERROR(SEARCH(("실패"),(A189))))</formula>
    </cfRule>
  </conditionalFormatting>
  <conditionalFormatting sqref="A189">
    <cfRule type="containsText" dxfId="3" priority="339" operator="containsText" text="관리">
      <formula>NOT(ISERROR(SEARCH(("관리"),(A189))))</formula>
    </cfRule>
  </conditionalFormatting>
  <conditionalFormatting sqref="A189">
    <cfRule type="containsText" dxfId="4" priority="340" operator="containsText" text="등록">
      <formula>NOT(ISERROR(SEARCH(("등록"),(A189))))</formula>
    </cfRule>
  </conditionalFormatting>
  <conditionalFormatting sqref="A223">
    <cfRule type="containsText" dxfId="0" priority="341" operator="containsText" text="거부">
      <formula>NOT(ISERROR(SEARCH(("거부"),(A223))))</formula>
    </cfRule>
  </conditionalFormatting>
  <conditionalFormatting sqref="A223">
    <cfRule type="containsText" dxfId="1" priority="342" operator="containsText" text="리턴">
      <formula>NOT(ISERROR(SEARCH(("리턴"),(A223))))</formula>
    </cfRule>
  </conditionalFormatting>
  <conditionalFormatting sqref="A223">
    <cfRule type="containsText" dxfId="2" priority="343" operator="containsText" text="실패">
      <formula>NOT(ISERROR(SEARCH(("실패"),(A223))))</formula>
    </cfRule>
  </conditionalFormatting>
  <conditionalFormatting sqref="A223">
    <cfRule type="containsText" dxfId="3" priority="344" operator="containsText" text="관리">
      <formula>NOT(ISERROR(SEARCH(("관리"),(A223))))</formula>
    </cfRule>
  </conditionalFormatting>
  <conditionalFormatting sqref="A223">
    <cfRule type="containsText" dxfId="4" priority="345" operator="containsText" text="등록">
      <formula>NOT(ISERROR(SEARCH(("등록"),(A223))))</formula>
    </cfRule>
  </conditionalFormatting>
  <conditionalFormatting sqref="A224">
    <cfRule type="containsText" dxfId="0" priority="346" operator="containsText" text="거부">
      <formula>NOT(ISERROR(SEARCH(("거부"),(A224))))</formula>
    </cfRule>
  </conditionalFormatting>
  <conditionalFormatting sqref="A224">
    <cfRule type="containsText" dxfId="1" priority="347" operator="containsText" text="리턴">
      <formula>NOT(ISERROR(SEARCH(("리턴"),(A224))))</formula>
    </cfRule>
  </conditionalFormatting>
  <conditionalFormatting sqref="A224">
    <cfRule type="containsText" dxfId="2" priority="348" operator="containsText" text="실패">
      <formula>NOT(ISERROR(SEARCH(("실패"),(A224))))</formula>
    </cfRule>
  </conditionalFormatting>
  <conditionalFormatting sqref="A224">
    <cfRule type="containsText" dxfId="3" priority="349" operator="containsText" text="관리">
      <formula>NOT(ISERROR(SEARCH(("관리"),(A224))))</formula>
    </cfRule>
  </conditionalFormatting>
  <conditionalFormatting sqref="A224">
    <cfRule type="containsText" dxfId="4" priority="350" operator="containsText" text="등록">
      <formula>NOT(ISERROR(SEARCH(("등록"),(A224))))</formula>
    </cfRule>
  </conditionalFormatting>
  <conditionalFormatting sqref="A230">
    <cfRule type="containsText" dxfId="0" priority="351" operator="containsText" text="거부">
      <formula>NOT(ISERROR(SEARCH(("거부"),(A230))))</formula>
    </cfRule>
  </conditionalFormatting>
  <conditionalFormatting sqref="A230">
    <cfRule type="containsText" dxfId="1" priority="352" operator="containsText" text="리턴">
      <formula>NOT(ISERROR(SEARCH(("리턴"),(A230))))</formula>
    </cfRule>
  </conditionalFormatting>
  <conditionalFormatting sqref="A230">
    <cfRule type="containsText" dxfId="2" priority="353" operator="containsText" text="실패">
      <formula>NOT(ISERROR(SEARCH(("실패"),(A230))))</formula>
    </cfRule>
  </conditionalFormatting>
  <conditionalFormatting sqref="A230">
    <cfRule type="containsText" dxfId="3" priority="354" operator="containsText" text="관리">
      <formula>NOT(ISERROR(SEARCH(("관리"),(A230))))</formula>
    </cfRule>
  </conditionalFormatting>
  <conditionalFormatting sqref="A230">
    <cfRule type="containsText" dxfId="4" priority="355" operator="containsText" text="등록">
      <formula>NOT(ISERROR(SEARCH(("등록"),(A230))))</formula>
    </cfRule>
  </conditionalFormatting>
  <conditionalFormatting sqref="A231">
    <cfRule type="containsText" dxfId="0" priority="356" operator="containsText" text="거부">
      <formula>NOT(ISERROR(SEARCH(("거부"),(A231))))</formula>
    </cfRule>
  </conditionalFormatting>
  <conditionalFormatting sqref="A231">
    <cfRule type="containsText" dxfId="1" priority="357" operator="containsText" text="리턴">
      <formula>NOT(ISERROR(SEARCH(("리턴"),(A231))))</formula>
    </cfRule>
  </conditionalFormatting>
  <conditionalFormatting sqref="A231">
    <cfRule type="containsText" dxfId="2" priority="358" operator="containsText" text="실패">
      <formula>NOT(ISERROR(SEARCH(("실패"),(A231))))</formula>
    </cfRule>
  </conditionalFormatting>
  <conditionalFormatting sqref="A231">
    <cfRule type="containsText" dxfId="3" priority="359" operator="containsText" text="관리">
      <formula>NOT(ISERROR(SEARCH(("관리"),(A231))))</formula>
    </cfRule>
  </conditionalFormatting>
  <conditionalFormatting sqref="A231">
    <cfRule type="containsText" dxfId="4" priority="360" operator="containsText" text="등록">
      <formula>NOT(ISERROR(SEARCH(("등록"),(A231))))</formula>
    </cfRule>
  </conditionalFormatting>
  <conditionalFormatting sqref="A232">
    <cfRule type="containsText" dxfId="0" priority="361" operator="containsText" text="거부">
      <formula>NOT(ISERROR(SEARCH(("거부"),(A232))))</formula>
    </cfRule>
  </conditionalFormatting>
  <conditionalFormatting sqref="A232">
    <cfRule type="containsText" dxfId="1" priority="362" operator="containsText" text="리턴">
      <formula>NOT(ISERROR(SEARCH(("리턴"),(A232))))</formula>
    </cfRule>
  </conditionalFormatting>
  <conditionalFormatting sqref="A232">
    <cfRule type="containsText" dxfId="2" priority="363" operator="containsText" text="실패">
      <formula>NOT(ISERROR(SEARCH(("실패"),(A232))))</formula>
    </cfRule>
  </conditionalFormatting>
  <conditionalFormatting sqref="A232">
    <cfRule type="containsText" dxfId="3" priority="364" operator="containsText" text="관리">
      <formula>NOT(ISERROR(SEARCH(("관리"),(A232))))</formula>
    </cfRule>
  </conditionalFormatting>
  <conditionalFormatting sqref="A232">
    <cfRule type="containsText" dxfId="4" priority="365" operator="containsText" text="등록">
      <formula>NOT(ISERROR(SEARCH(("등록"),(A232))))</formula>
    </cfRule>
  </conditionalFormatting>
  <conditionalFormatting sqref="A233">
    <cfRule type="containsText" dxfId="0" priority="366" operator="containsText" text="거부">
      <formula>NOT(ISERROR(SEARCH(("거부"),(A233))))</formula>
    </cfRule>
  </conditionalFormatting>
  <conditionalFormatting sqref="A233">
    <cfRule type="containsText" dxfId="1" priority="367" operator="containsText" text="리턴">
      <formula>NOT(ISERROR(SEARCH(("리턴"),(A233))))</formula>
    </cfRule>
  </conditionalFormatting>
  <conditionalFormatting sqref="A233">
    <cfRule type="containsText" dxfId="2" priority="368" operator="containsText" text="실패">
      <formula>NOT(ISERROR(SEARCH(("실패"),(A233))))</formula>
    </cfRule>
  </conditionalFormatting>
  <conditionalFormatting sqref="A233">
    <cfRule type="containsText" dxfId="3" priority="369" operator="containsText" text="관리">
      <formula>NOT(ISERROR(SEARCH(("관리"),(A233))))</formula>
    </cfRule>
  </conditionalFormatting>
  <conditionalFormatting sqref="A233">
    <cfRule type="containsText" dxfId="4" priority="370" operator="containsText" text="등록">
      <formula>NOT(ISERROR(SEARCH(("등록"),(A233))))</formula>
    </cfRule>
  </conditionalFormatting>
  <conditionalFormatting sqref="A234">
    <cfRule type="containsText" dxfId="0" priority="371" operator="containsText" text="거부">
      <formula>NOT(ISERROR(SEARCH(("거부"),(A234))))</formula>
    </cfRule>
  </conditionalFormatting>
  <conditionalFormatting sqref="A234">
    <cfRule type="containsText" dxfId="1" priority="372" operator="containsText" text="리턴">
      <formula>NOT(ISERROR(SEARCH(("리턴"),(A234))))</formula>
    </cfRule>
  </conditionalFormatting>
  <conditionalFormatting sqref="A234">
    <cfRule type="containsText" dxfId="2" priority="373" operator="containsText" text="실패">
      <formula>NOT(ISERROR(SEARCH(("실패"),(A234))))</formula>
    </cfRule>
  </conditionalFormatting>
  <conditionalFormatting sqref="A234">
    <cfRule type="containsText" dxfId="3" priority="374" operator="containsText" text="관리">
      <formula>NOT(ISERROR(SEARCH(("관리"),(A234))))</formula>
    </cfRule>
  </conditionalFormatting>
  <conditionalFormatting sqref="A234">
    <cfRule type="containsText" dxfId="4" priority="375" operator="containsText" text="등록">
      <formula>NOT(ISERROR(SEARCH(("등록"),(A234))))</formula>
    </cfRule>
  </conditionalFormatting>
  <conditionalFormatting sqref="A235">
    <cfRule type="containsText" dxfId="0" priority="376" operator="containsText" text="거부">
      <formula>NOT(ISERROR(SEARCH(("거부"),(A235))))</formula>
    </cfRule>
  </conditionalFormatting>
  <conditionalFormatting sqref="A235">
    <cfRule type="containsText" dxfId="1" priority="377" operator="containsText" text="리턴">
      <formula>NOT(ISERROR(SEARCH(("리턴"),(A235))))</formula>
    </cfRule>
  </conditionalFormatting>
  <conditionalFormatting sqref="A235">
    <cfRule type="containsText" dxfId="2" priority="378" operator="containsText" text="실패">
      <formula>NOT(ISERROR(SEARCH(("실패"),(A235))))</formula>
    </cfRule>
  </conditionalFormatting>
  <conditionalFormatting sqref="A235">
    <cfRule type="containsText" dxfId="3" priority="379" operator="containsText" text="관리">
      <formula>NOT(ISERROR(SEARCH(("관리"),(A235))))</formula>
    </cfRule>
  </conditionalFormatting>
  <conditionalFormatting sqref="A235">
    <cfRule type="containsText" dxfId="4" priority="380" operator="containsText" text="등록">
      <formula>NOT(ISERROR(SEARCH(("등록"),(A235))))</formula>
    </cfRule>
  </conditionalFormatting>
  <conditionalFormatting sqref="A236">
    <cfRule type="containsText" dxfId="0" priority="381" operator="containsText" text="거부">
      <formula>NOT(ISERROR(SEARCH(("거부"),(A236))))</formula>
    </cfRule>
  </conditionalFormatting>
  <conditionalFormatting sqref="A236">
    <cfRule type="containsText" dxfId="1" priority="382" operator="containsText" text="리턴">
      <formula>NOT(ISERROR(SEARCH(("리턴"),(A236))))</formula>
    </cfRule>
  </conditionalFormatting>
  <conditionalFormatting sqref="A236">
    <cfRule type="containsText" dxfId="2" priority="383" operator="containsText" text="실패">
      <formula>NOT(ISERROR(SEARCH(("실패"),(A236))))</formula>
    </cfRule>
  </conditionalFormatting>
  <conditionalFormatting sqref="A236">
    <cfRule type="containsText" dxfId="3" priority="384" operator="containsText" text="관리">
      <formula>NOT(ISERROR(SEARCH(("관리"),(A236))))</formula>
    </cfRule>
  </conditionalFormatting>
  <conditionalFormatting sqref="A236">
    <cfRule type="containsText" dxfId="4" priority="385" operator="containsText" text="등록">
      <formula>NOT(ISERROR(SEARCH(("등록"),(A236))))</formula>
    </cfRule>
  </conditionalFormatting>
  <conditionalFormatting sqref="A237">
    <cfRule type="containsText" dxfId="0" priority="386" operator="containsText" text="거부">
      <formula>NOT(ISERROR(SEARCH(("거부"),(A237))))</formula>
    </cfRule>
  </conditionalFormatting>
  <conditionalFormatting sqref="A237">
    <cfRule type="containsText" dxfId="1" priority="387" operator="containsText" text="리턴">
      <formula>NOT(ISERROR(SEARCH(("리턴"),(A237))))</formula>
    </cfRule>
  </conditionalFormatting>
  <conditionalFormatting sqref="A237">
    <cfRule type="containsText" dxfId="2" priority="388" operator="containsText" text="실패">
      <formula>NOT(ISERROR(SEARCH(("실패"),(A237))))</formula>
    </cfRule>
  </conditionalFormatting>
  <conditionalFormatting sqref="A237">
    <cfRule type="containsText" dxfId="3" priority="389" operator="containsText" text="관리">
      <formula>NOT(ISERROR(SEARCH(("관리"),(A237))))</formula>
    </cfRule>
  </conditionalFormatting>
  <conditionalFormatting sqref="A237">
    <cfRule type="containsText" dxfId="4" priority="390" operator="containsText" text="등록">
      <formula>NOT(ISERROR(SEARCH(("등록"),(A237))))</formula>
    </cfRule>
  </conditionalFormatting>
  <conditionalFormatting sqref="D120:E120">
    <cfRule type="containsText" dxfId="0" priority="391" operator="containsText" text="거부">
      <formula>NOT(ISERROR(SEARCH(("거부"),(D120))))</formula>
    </cfRule>
  </conditionalFormatting>
  <conditionalFormatting sqref="D120:E120">
    <cfRule type="containsText" dxfId="1" priority="392" operator="containsText" text="리턴">
      <formula>NOT(ISERROR(SEARCH(("리턴"),(D120))))</formula>
    </cfRule>
  </conditionalFormatting>
  <conditionalFormatting sqref="D120:E120">
    <cfRule type="containsText" dxfId="2" priority="393" operator="containsText" text="실패">
      <formula>NOT(ISERROR(SEARCH(("실패"),(D120))))</formula>
    </cfRule>
  </conditionalFormatting>
  <conditionalFormatting sqref="D120:E120">
    <cfRule type="containsText" dxfId="3" priority="394" operator="containsText" text="관리">
      <formula>NOT(ISERROR(SEARCH(("관리"),(D120))))</formula>
    </cfRule>
  </conditionalFormatting>
  <conditionalFormatting sqref="D120:E120">
    <cfRule type="containsText" dxfId="4" priority="395" operator="containsText" text="등록">
      <formula>NOT(ISERROR(SEARCH(("등록"),(D120))))</formula>
    </cfRule>
  </conditionalFormatting>
  <conditionalFormatting sqref="F89:F91 H89:H97 G91:G92 F96:F97 F101:F118 H101 G102 G110:G111 H110 H112:H118 D115:E118 G115:G118 A116 A252">
    <cfRule type="containsText" dxfId="0" priority="396" operator="containsText" text="거부">
      <formula>NOT(ISERROR(SEARCH(("거부"),(F89))))</formula>
    </cfRule>
  </conditionalFormatting>
  <conditionalFormatting sqref="F89:F91 H89:H97 G91:G92 F96:F97 F101:F118 H101 G102 G110:G111 H110 H112:H118 D115:E118 G115:G118 A116 A252">
    <cfRule type="containsText" dxfId="1" priority="397" operator="containsText" text="리턴">
      <formula>NOT(ISERROR(SEARCH(("리턴"),(F89))))</formula>
    </cfRule>
  </conditionalFormatting>
  <conditionalFormatting sqref="F89:F91 H89:H97 G91:G92 F96:F97 F101:F118 H101 G102 G110:G111 H110 H112:H118 D115:E118 G115:G118 A116 A252">
    <cfRule type="containsText" dxfId="2" priority="398" operator="containsText" text="실패">
      <formula>NOT(ISERROR(SEARCH(("실패"),(F89))))</formula>
    </cfRule>
  </conditionalFormatting>
  <conditionalFormatting sqref="F89:F91 H89:H97 G91:G92 F96:F97 F101:F118 H101 G102 G110:G111 H110 H112:H118 D115:E118 G115:G118 A116 A252">
    <cfRule type="containsText" dxfId="3" priority="399" operator="containsText" text="관리">
      <formula>NOT(ISERROR(SEARCH(("관리"),(F89))))</formula>
    </cfRule>
  </conditionalFormatting>
  <conditionalFormatting sqref="F89:F91 H89:H97 G91:G92 F96:F97 F101:F118 H101 G102 G110:G111 H110 H112:H118 D115:E118 G115:G118 A116 A252">
    <cfRule type="containsText" dxfId="4" priority="400" operator="containsText" text="등록">
      <formula>NOT(ISERROR(SEARCH(("등록"),(F89))))</formula>
    </cfRule>
  </conditionalFormatting>
  <conditionalFormatting sqref="A141">
    <cfRule type="containsText" dxfId="0" priority="401" operator="containsText" text="거부">
      <formula>NOT(ISERROR(SEARCH(("거부"),(A141))))</formula>
    </cfRule>
  </conditionalFormatting>
  <conditionalFormatting sqref="A141">
    <cfRule type="containsText" dxfId="1" priority="402" operator="containsText" text="리턴">
      <formula>NOT(ISERROR(SEARCH(("리턴"),(A141))))</formula>
    </cfRule>
  </conditionalFormatting>
  <conditionalFormatting sqref="A141">
    <cfRule type="containsText" dxfId="2" priority="403" operator="containsText" text="실패">
      <formula>NOT(ISERROR(SEARCH(("실패"),(A141))))</formula>
    </cfRule>
  </conditionalFormatting>
  <conditionalFormatting sqref="A141">
    <cfRule type="containsText" dxfId="3" priority="404" operator="containsText" text="관리">
      <formula>NOT(ISERROR(SEARCH(("관리"),(A141))))</formula>
    </cfRule>
  </conditionalFormatting>
  <conditionalFormatting sqref="A141">
    <cfRule type="containsText" dxfId="4" priority="405" operator="containsText" text="등록">
      <formula>NOT(ISERROR(SEARCH(("등록"),(A141))))</formula>
    </cfRule>
  </conditionalFormatting>
  <conditionalFormatting sqref="A316">
    <cfRule type="containsText" dxfId="0" priority="406" operator="containsText" text="거부">
      <formula>NOT(ISERROR(SEARCH(("거부"),(A316))))</formula>
    </cfRule>
  </conditionalFormatting>
  <conditionalFormatting sqref="A316">
    <cfRule type="containsText" dxfId="1" priority="407" operator="containsText" text="리턴">
      <formula>NOT(ISERROR(SEARCH(("리턴"),(A316))))</formula>
    </cfRule>
  </conditionalFormatting>
  <conditionalFormatting sqref="A316">
    <cfRule type="containsText" dxfId="2" priority="408" operator="containsText" text="실패">
      <formula>NOT(ISERROR(SEARCH(("실패"),(A316))))</formula>
    </cfRule>
  </conditionalFormatting>
  <conditionalFormatting sqref="A316">
    <cfRule type="containsText" dxfId="3" priority="409" operator="containsText" text="관리">
      <formula>NOT(ISERROR(SEARCH(("관리"),(A316))))</formula>
    </cfRule>
  </conditionalFormatting>
  <conditionalFormatting sqref="A316">
    <cfRule type="containsText" dxfId="4" priority="410" operator="containsText" text="등록">
      <formula>NOT(ISERROR(SEARCH(("등록"),(A316))))</formula>
    </cfRule>
  </conditionalFormatting>
  <conditionalFormatting sqref="A210">
    <cfRule type="containsText" dxfId="0" priority="411" operator="containsText" text="거부">
      <formula>NOT(ISERROR(SEARCH(("거부"),(A210))))</formula>
    </cfRule>
  </conditionalFormatting>
  <conditionalFormatting sqref="A210">
    <cfRule type="containsText" dxfId="1" priority="412" operator="containsText" text="리턴">
      <formula>NOT(ISERROR(SEARCH(("리턴"),(A210))))</formula>
    </cfRule>
  </conditionalFormatting>
  <conditionalFormatting sqref="A210">
    <cfRule type="containsText" dxfId="2" priority="413" operator="containsText" text="실패">
      <formula>NOT(ISERROR(SEARCH(("실패"),(A210))))</formula>
    </cfRule>
  </conditionalFormatting>
  <conditionalFormatting sqref="A210">
    <cfRule type="containsText" dxfId="3" priority="414" operator="containsText" text="관리">
      <formula>NOT(ISERROR(SEARCH(("관리"),(A210))))</formula>
    </cfRule>
  </conditionalFormatting>
  <conditionalFormatting sqref="A210">
    <cfRule type="containsText" dxfId="4" priority="415" operator="containsText" text="등록">
      <formula>NOT(ISERROR(SEARCH(("등록"),(A210))))</formula>
    </cfRule>
  </conditionalFormatting>
  <conditionalFormatting sqref="A318">
    <cfRule type="containsText" dxfId="0" priority="416" operator="containsText" text="거부">
      <formula>NOT(ISERROR(SEARCH(("거부"),(A318))))</formula>
    </cfRule>
  </conditionalFormatting>
  <conditionalFormatting sqref="A318">
    <cfRule type="containsText" dxfId="1" priority="417" operator="containsText" text="리턴">
      <formula>NOT(ISERROR(SEARCH(("리턴"),(A318))))</formula>
    </cfRule>
  </conditionalFormatting>
  <conditionalFormatting sqref="A318">
    <cfRule type="containsText" dxfId="2" priority="418" operator="containsText" text="실패">
      <formula>NOT(ISERROR(SEARCH(("실패"),(A318))))</formula>
    </cfRule>
  </conditionalFormatting>
  <conditionalFormatting sqref="A318">
    <cfRule type="containsText" dxfId="3" priority="419" operator="containsText" text="관리">
      <formula>NOT(ISERROR(SEARCH(("관리"),(A318))))</formula>
    </cfRule>
  </conditionalFormatting>
  <conditionalFormatting sqref="A318">
    <cfRule type="containsText" dxfId="4" priority="420" operator="containsText" text="등록">
      <formula>NOT(ISERROR(SEARCH(("등록"),(A318))))</formula>
    </cfRule>
  </conditionalFormatting>
  <conditionalFormatting sqref="A319">
    <cfRule type="containsText" dxfId="0" priority="421" operator="containsText" text="거부">
      <formula>NOT(ISERROR(SEARCH(("거부"),(A319))))</formula>
    </cfRule>
  </conditionalFormatting>
  <conditionalFormatting sqref="A319">
    <cfRule type="containsText" dxfId="1" priority="422" operator="containsText" text="리턴">
      <formula>NOT(ISERROR(SEARCH(("리턴"),(A319))))</formula>
    </cfRule>
  </conditionalFormatting>
  <conditionalFormatting sqref="A319">
    <cfRule type="containsText" dxfId="2" priority="423" operator="containsText" text="실패">
      <formula>NOT(ISERROR(SEARCH(("실패"),(A319))))</formula>
    </cfRule>
  </conditionalFormatting>
  <conditionalFormatting sqref="A319">
    <cfRule type="containsText" dxfId="3" priority="424" operator="containsText" text="관리">
      <formula>NOT(ISERROR(SEARCH(("관리"),(A319))))</formula>
    </cfRule>
  </conditionalFormatting>
  <conditionalFormatting sqref="A319">
    <cfRule type="containsText" dxfId="4" priority="425" operator="containsText" text="등록">
      <formula>NOT(ISERROR(SEARCH(("등록"),(A319))))</formula>
    </cfRule>
  </conditionalFormatting>
  <conditionalFormatting sqref="A213">
    <cfRule type="containsText" dxfId="0" priority="426" operator="containsText" text="거부">
      <formula>NOT(ISERROR(SEARCH(("거부"),(A213))))</formula>
    </cfRule>
  </conditionalFormatting>
  <conditionalFormatting sqref="A213">
    <cfRule type="containsText" dxfId="1" priority="427" operator="containsText" text="리턴">
      <formula>NOT(ISERROR(SEARCH(("리턴"),(A213))))</formula>
    </cfRule>
  </conditionalFormatting>
  <conditionalFormatting sqref="A213">
    <cfRule type="containsText" dxfId="2" priority="428" operator="containsText" text="실패">
      <formula>NOT(ISERROR(SEARCH(("실패"),(A213))))</formula>
    </cfRule>
  </conditionalFormatting>
  <conditionalFormatting sqref="A213">
    <cfRule type="containsText" dxfId="3" priority="429" operator="containsText" text="관리">
      <formula>NOT(ISERROR(SEARCH(("관리"),(A213))))</formula>
    </cfRule>
  </conditionalFormatting>
  <conditionalFormatting sqref="A213">
    <cfRule type="containsText" dxfId="4" priority="430" operator="containsText" text="등록">
      <formula>NOT(ISERROR(SEARCH(("등록"),(A213))))</formula>
    </cfRule>
  </conditionalFormatting>
  <conditionalFormatting sqref="A320">
    <cfRule type="containsText" dxfId="0" priority="431" operator="containsText" text="거부">
      <formula>NOT(ISERROR(SEARCH(("거부"),(A320))))</formula>
    </cfRule>
  </conditionalFormatting>
  <conditionalFormatting sqref="A320">
    <cfRule type="containsText" dxfId="1" priority="432" operator="containsText" text="리턴">
      <formula>NOT(ISERROR(SEARCH(("리턴"),(A320))))</formula>
    </cfRule>
  </conditionalFormatting>
  <conditionalFormatting sqref="A320">
    <cfRule type="containsText" dxfId="2" priority="433" operator="containsText" text="실패">
      <formula>NOT(ISERROR(SEARCH(("실패"),(A320))))</formula>
    </cfRule>
  </conditionalFormatting>
  <conditionalFormatting sqref="A320">
    <cfRule type="containsText" dxfId="3" priority="434" operator="containsText" text="관리">
      <formula>NOT(ISERROR(SEARCH(("관리"),(A320))))</formula>
    </cfRule>
  </conditionalFormatting>
  <conditionalFormatting sqref="A320">
    <cfRule type="containsText" dxfId="4" priority="435" operator="containsText" text="등록">
      <formula>NOT(ISERROR(SEARCH(("등록"),(A320))))</formula>
    </cfRule>
  </conditionalFormatting>
  <conditionalFormatting sqref="A321">
    <cfRule type="containsText" dxfId="0" priority="436" operator="containsText" text="거부">
      <formula>NOT(ISERROR(SEARCH(("거부"),(A321))))</formula>
    </cfRule>
  </conditionalFormatting>
  <conditionalFormatting sqref="A321">
    <cfRule type="containsText" dxfId="1" priority="437" operator="containsText" text="리턴">
      <formula>NOT(ISERROR(SEARCH(("리턴"),(A321))))</formula>
    </cfRule>
  </conditionalFormatting>
  <conditionalFormatting sqref="A321">
    <cfRule type="containsText" dxfId="2" priority="438" operator="containsText" text="실패">
      <formula>NOT(ISERROR(SEARCH(("실패"),(A321))))</formula>
    </cfRule>
  </conditionalFormatting>
  <conditionalFormatting sqref="A321">
    <cfRule type="containsText" dxfId="3" priority="439" operator="containsText" text="관리">
      <formula>NOT(ISERROR(SEARCH(("관리"),(A321))))</formula>
    </cfRule>
  </conditionalFormatting>
  <conditionalFormatting sqref="A321">
    <cfRule type="containsText" dxfId="4" priority="440" operator="containsText" text="등록">
      <formula>NOT(ISERROR(SEARCH(("등록"),(A321))))</formula>
    </cfRule>
  </conditionalFormatting>
  <conditionalFormatting sqref="A322">
    <cfRule type="containsText" dxfId="0" priority="441" operator="containsText" text="거부">
      <formula>NOT(ISERROR(SEARCH(("거부"),(A322))))</formula>
    </cfRule>
  </conditionalFormatting>
  <conditionalFormatting sqref="A322">
    <cfRule type="containsText" dxfId="1" priority="442" operator="containsText" text="리턴">
      <formula>NOT(ISERROR(SEARCH(("리턴"),(A322))))</formula>
    </cfRule>
  </conditionalFormatting>
  <conditionalFormatting sqref="A322">
    <cfRule type="containsText" dxfId="2" priority="443" operator="containsText" text="실패">
      <formula>NOT(ISERROR(SEARCH(("실패"),(A322))))</formula>
    </cfRule>
  </conditionalFormatting>
  <conditionalFormatting sqref="A322">
    <cfRule type="containsText" dxfId="3" priority="444" operator="containsText" text="관리">
      <formula>NOT(ISERROR(SEARCH(("관리"),(A322))))</formula>
    </cfRule>
  </conditionalFormatting>
  <conditionalFormatting sqref="A322">
    <cfRule type="containsText" dxfId="4" priority="445" operator="containsText" text="등록">
      <formula>NOT(ISERROR(SEARCH(("등록"),(A322))))</formula>
    </cfRule>
  </conditionalFormatting>
  <conditionalFormatting sqref="A323">
    <cfRule type="containsText" dxfId="0" priority="446" operator="containsText" text="거부">
      <formula>NOT(ISERROR(SEARCH(("거부"),(A323))))</formula>
    </cfRule>
  </conditionalFormatting>
  <conditionalFormatting sqref="A323">
    <cfRule type="containsText" dxfId="1" priority="447" operator="containsText" text="리턴">
      <formula>NOT(ISERROR(SEARCH(("리턴"),(A323))))</formula>
    </cfRule>
  </conditionalFormatting>
  <conditionalFormatting sqref="A323">
    <cfRule type="containsText" dxfId="2" priority="448" operator="containsText" text="실패">
      <formula>NOT(ISERROR(SEARCH(("실패"),(A323))))</formula>
    </cfRule>
  </conditionalFormatting>
  <conditionalFormatting sqref="A323">
    <cfRule type="containsText" dxfId="3" priority="449" operator="containsText" text="관리">
      <formula>NOT(ISERROR(SEARCH(("관리"),(A323))))</formula>
    </cfRule>
  </conditionalFormatting>
  <conditionalFormatting sqref="A323">
    <cfRule type="containsText" dxfId="4" priority="450" operator="containsText" text="등록">
      <formula>NOT(ISERROR(SEARCH(("등록"),(A323))))</formula>
    </cfRule>
  </conditionalFormatting>
  <conditionalFormatting sqref="A219">
    <cfRule type="containsText" dxfId="0" priority="451" operator="containsText" text="거부">
      <formula>NOT(ISERROR(SEARCH(("거부"),(A219))))</formula>
    </cfRule>
  </conditionalFormatting>
  <conditionalFormatting sqref="A219">
    <cfRule type="containsText" dxfId="1" priority="452" operator="containsText" text="리턴">
      <formula>NOT(ISERROR(SEARCH(("리턴"),(A219))))</formula>
    </cfRule>
  </conditionalFormatting>
  <conditionalFormatting sqref="A219">
    <cfRule type="containsText" dxfId="2" priority="453" operator="containsText" text="실패">
      <formula>NOT(ISERROR(SEARCH(("실패"),(A219))))</formula>
    </cfRule>
  </conditionalFormatting>
  <conditionalFormatting sqref="A219">
    <cfRule type="containsText" dxfId="3" priority="454" operator="containsText" text="관리">
      <formula>NOT(ISERROR(SEARCH(("관리"),(A219))))</formula>
    </cfRule>
  </conditionalFormatting>
  <conditionalFormatting sqref="A219">
    <cfRule type="containsText" dxfId="4" priority="455" operator="containsText" text="등록">
      <formula>NOT(ISERROR(SEARCH(("등록"),(A219))))</formula>
    </cfRule>
  </conditionalFormatting>
  <conditionalFormatting sqref="A229">
    <cfRule type="containsText" dxfId="0" priority="456" operator="containsText" text="거부">
      <formula>NOT(ISERROR(SEARCH(("거부"),(A229))))</formula>
    </cfRule>
  </conditionalFormatting>
  <conditionalFormatting sqref="A229">
    <cfRule type="containsText" dxfId="1" priority="457" operator="containsText" text="리턴">
      <formula>NOT(ISERROR(SEARCH(("리턴"),(A229))))</formula>
    </cfRule>
  </conditionalFormatting>
  <conditionalFormatting sqref="A229">
    <cfRule type="containsText" dxfId="2" priority="458" operator="containsText" text="실패">
      <formula>NOT(ISERROR(SEARCH(("실패"),(A229))))</formula>
    </cfRule>
  </conditionalFormatting>
  <conditionalFormatting sqref="A229">
    <cfRule type="containsText" dxfId="3" priority="459" operator="containsText" text="관리">
      <formula>NOT(ISERROR(SEARCH(("관리"),(A229))))</formula>
    </cfRule>
  </conditionalFormatting>
  <conditionalFormatting sqref="A229">
    <cfRule type="containsText" dxfId="4" priority="460" operator="containsText" text="등록">
      <formula>NOT(ISERROR(SEARCH(("등록"),(A229))))</formula>
    </cfRule>
  </conditionalFormatting>
  <conditionalFormatting sqref="G112">
    <cfRule type="containsText" dxfId="0" priority="461" operator="containsText" text="거부">
      <formula>NOT(ISERROR(SEARCH(("거부"),(G112))))</formula>
    </cfRule>
  </conditionalFormatting>
  <conditionalFormatting sqref="G112">
    <cfRule type="containsText" dxfId="1" priority="462" operator="containsText" text="리턴">
      <formula>NOT(ISERROR(SEARCH(("리턴"),(G112))))</formula>
    </cfRule>
  </conditionalFormatting>
  <conditionalFormatting sqref="G112">
    <cfRule type="containsText" dxfId="2" priority="463" operator="containsText" text="실패">
      <formula>NOT(ISERROR(SEARCH(("실패"),(G112))))</formula>
    </cfRule>
  </conditionalFormatting>
  <conditionalFormatting sqref="G112">
    <cfRule type="containsText" dxfId="3" priority="464" operator="containsText" text="관리">
      <formula>NOT(ISERROR(SEARCH(("관리"),(G112))))</formula>
    </cfRule>
  </conditionalFormatting>
  <conditionalFormatting sqref="G112">
    <cfRule type="containsText" dxfId="4" priority="465" operator="containsText" text="등록">
      <formula>NOT(ISERROR(SEARCH(("등록"),(G112))))</formula>
    </cfRule>
  </conditionalFormatting>
  <conditionalFormatting sqref="A138">
    <cfRule type="containsText" dxfId="0" priority="466" operator="containsText" text="거부">
      <formula>NOT(ISERROR(SEARCH(("거부"),(A138))))</formula>
    </cfRule>
  </conditionalFormatting>
  <conditionalFormatting sqref="A138">
    <cfRule type="containsText" dxfId="1" priority="467" operator="containsText" text="리턴">
      <formula>NOT(ISERROR(SEARCH(("리턴"),(A138))))</formula>
    </cfRule>
  </conditionalFormatting>
  <conditionalFormatting sqref="A138">
    <cfRule type="containsText" dxfId="2" priority="468" operator="containsText" text="실패">
      <formula>NOT(ISERROR(SEARCH(("실패"),(A138))))</formula>
    </cfRule>
  </conditionalFormatting>
  <conditionalFormatting sqref="A138">
    <cfRule type="containsText" dxfId="3" priority="469" operator="containsText" text="관리">
      <formula>NOT(ISERROR(SEARCH(("관리"),(A138))))</formula>
    </cfRule>
  </conditionalFormatting>
  <conditionalFormatting sqref="A138">
    <cfRule type="containsText" dxfId="4" priority="470" operator="containsText" text="등록">
      <formula>NOT(ISERROR(SEARCH(("등록"),(A138))))</formula>
    </cfRule>
  </conditionalFormatting>
  <conditionalFormatting sqref="A143">
    <cfRule type="containsText" dxfId="0" priority="471" operator="containsText" text="거부">
      <formula>NOT(ISERROR(SEARCH(("거부"),(A143))))</formula>
    </cfRule>
  </conditionalFormatting>
  <conditionalFormatting sqref="A143">
    <cfRule type="containsText" dxfId="1" priority="472" operator="containsText" text="리턴">
      <formula>NOT(ISERROR(SEARCH(("리턴"),(A143))))</formula>
    </cfRule>
  </conditionalFormatting>
  <conditionalFormatting sqref="A143">
    <cfRule type="containsText" dxfId="2" priority="473" operator="containsText" text="실패">
      <formula>NOT(ISERROR(SEARCH(("실패"),(A143))))</formula>
    </cfRule>
  </conditionalFormatting>
  <conditionalFormatting sqref="A143">
    <cfRule type="containsText" dxfId="3" priority="474" operator="containsText" text="관리">
      <formula>NOT(ISERROR(SEARCH(("관리"),(A143))))</formula>
    </cfRule>
  </conditionalFormatting>
  <conditionalFormatting sqref="A143">
    <cfRule type="containsText" dxfId="4" priority="475" operator="containsText" text="등록">
      <formula>NOT(ISERROR(SEARCH(("등록"),(A143))))</formula>
    </cfRule>
  </conditionalFormatting>
  <conditionalFormatting sqref="A144">
    <cfRule type="containsText" dxfId="0" priority="476" operator="containsText" text="거부">
      <formula>NOT(ISERROR(SEARCH(("거부"),(A144))))</formula>
    </cfRule>
  </conditionalFormatting>
  <conditionalFormatting sqref="A144">
    <cfRule type="containsText" dxfId="1" priority="477" operator="containsText" text="리턴">
      <formula>NOT(ISERROR(SEARCH(("리턴"),(A144))))</formula>
    </cfRule>
  </conditionalFormatting>
  <conditionalFormatting sqref="A144">
    <cfRule type="containsText" dxfId="2" priority="478" operator="containsText" text="실패">
      <formula>NOT(ISERROR(SEARCH(("실패"),(A144))))</formula>
    </cfRule>
  </conditionalFormatting>
  <conditionalFormatting sqref="A144">
    <cfRule type="containsText" dxfId="3" priority="479" operator="containsText" text="관리">
      <formula>NOT(ISERROR(SEARCH(("관리"),(A144))))</formula>
    </cfRule>
  </conditionalFormatting>
  <conditionalFormatting sqref="A144">
    <cfRule type="containsText" dxfId="4" priority="480" operator="containsText" text="등록">
      <formula>NOT(ISERROR(SEARCH(("등록"),(A144))))</formula>
    </cfRule>
  </conditionalFormatting>
  <conditionalFormatting sqref="D144">
    <cfRule type="containsText" dxfId="0" priority="481" operator="containsText" text="거부">
      <formula>NOT(ISERROR(SEARCH(("거부"),(D144))))</formula>
    </cfRule>
  </conditionalFormatting>
  <conditionalFormatting sqref="D144">
    <cfRule type="containsText" dxfId="1" priority="482" operator="containsText" text="리턴">
      <formula>NOT(ISERROR(SEARCH(("리턴"),(D144))))</formula>
    </cfRule>
  </conditionalFormatting>
  <conditionalFormatting sqref="D144">
    <cfRule type="containsText" dxfId="2" priority="483" operator="containsText" text="실패">
      <formula>NOT(ISERROR(SEARCH(("실패"),(D144))))</formula>
    </cfRule>
  </conditionalFormatting>
  <conditionalFormatting sqref="D144">
    <cfRule type="containsText" dxfId="3" priority="484" operator="containsText" text="관리">
      <formula>NOT(ISERROR(SEARCH(("관리"),(D144))))</formula>
    </cfRule>
  </conditionalFormatting>
  <conditionalFormatting sqref="D144">
    <cfRule type="containsText" dxfId="4" priority="485" operator="containsText" text="등록">
      <formula>NOT(ISERROR(SEARCH(("등록"),(D144))))</formula>
    </cfRule>
  </conditionalFormatting>
  <conditionalFormatting sqref="A147">
    <cfRule type="containsText" dxfId="0" priority="486" operator="containsText" text="거부">
      <formula>NOT(ISERROR(SEARCH(("거부"),(A147))))</formula>
    </cfRule>
  </conditionalFormatting>
  <conditionalFormatting sqref="A147">
    <cfRule type="containsText" dxfId="1" priority="487" operator="containsText" text="리턴">
      <formula>NOT(ISERROR(SEARCH(("리턴"),(A147))))</formula>
    </cfRule>
  </conditionalFormatting>
  <conditionalFormatting sqref="A147">
    <cfRule type="containsText" dxfId="2" priority="488" operator="containsText" text="실패">
      <formula>NOT(ISERROR(SEARCH(("실패"),(A147))))</formula>
    </cfRule>
  </conditionalFormatting>
  <conditionalFormatting sqref="A147">
    <cfRule type="containsText" dxfId="3" priority="489" operator="containsText" text="관리">
      <formula>NOT(ISERROR(SEARCH(("관리"),(A147))))</formula>
    </cfRule>
  </conditionalFormatting>
  <conditionalFormatting sqref="A147">
    <cfRule type="containsText" dxfId="4" priority="490" operator="containsText" text="등록">
      <formula>NOT(ISERROR(SEARCH(("등록"),(A147))))</formula>
    </cfRule>
  </conditionalFormatting>
  <conditionalFormatting sqref="A148">
    <cfRule type="containsText" dxfId="0" priority="491" operator="containsText" text="거부">
      <formula>NOT(ISERROR(SEARCH(("거부"),(A148))))</formula>
    </cfRule>
  </conditionalFormatting>
  <conditionalFormatting sqref="A148">
    <cfRule type="containsText" dxfId="1" priority="492" operator="containsText" text="리턴">
      <formula>NOT(ISERROR(SEARCH(("리턴"),(A148))))</formula>
    </cfRule>
  </conditionalFormatting>
  <conditionalFormatting sqref="A148">
    <cfRule type="containsText" dxfId="2" priority="493" operator="containsText" text="실패">
      <formula>NOT(ISERROR(SEARCH(("실패"),(A148))))</formula>
    </cfRule>
  </conditionalFormatting>
  <conditionalFormatting sqref="A148">
    <cfRule type="containsText" dxfId="3" priority="494" operator="containsText" text="관리">
      <formula>NOT(ISERROR(SEARCH(("관리"),(A148))))</formula>
    </cfRule>
  </conditionalFormatting>
  <conditionalFormatting sqref="A148">
    <cfRule type="containsText" dxfId="4" priority="495" operator="containsText" text="등록">
      <formula>NOT(ISERROR(SEARCH(("등록"),(A148))))</formula>
    </cfRule>
  </conditionalFormatting>
  <conditionalFormatting sqref="A158">
    <cfRule type="containsText" dxfId="0" priority="496" operator="containsText" text="거부">
      <formula>NOT(ISERROR(SEARCH(("거부"),(A158))))</formula>
    </cfRule>
  </conditionalFormatting>
  <conditionalFormatting sqref="A158">
    <cfRule type="containsText" dxfId="1" priority="497" operator="containsText" text="리턴">
      <formula>NOT(ISERROR(SEARCH(("리턴"),(A158))))</formula>
    </cfRule>
  </conditionalFormatting>
  <conditionalFormatting sqref="A158">
    <cfRule type="containsText" dxfId="2" priority="498" operator="containsText" text="실패">
      <formula>NOT(ISERROR(SEARCH(("실패"),(A158))))</formula>
    </cfRule>
  </conditionalFormatting>
  <conditionalFormatting sqref="A158">
    <cfRule type="containsText" dxfId="3" priority="499" operator="containsText" text="관리">
      <formula>NOT(ISERROR(SEARCH(("관리"),(A158))))</formula>
    </cfRule>
  </conditionalFormatting>
  <conditionalFormatting sqref="A158">
    <cfRule type="containsText" dxfId="4" priority="500" operator="containsText" text="등록">
      <formula>NOT(ISERROR(SEARCH(("등록"),(A158))))</formula>
    </cfRule>
  </conditionalFormatting>
  <conditionalFormatting sqref="A160">
    <cfRule type="containsText" dxfId="0" priority="501" operator="containsText" text="거부">
      <formula>NOT(ISERROR(SEARCH(("거부"),(A160))))</formula>
    </cfRule>
  </conditionalFormatting>
  <conditionalFormatting sqref="A160">
    <cfRule type="containsText" dxfId="1" priority="502" operator="containsText" text="리턴">
      <formula>NOT(ISERROR(SEARCH(("리턴"),(A160))))</formula>
    </cfRule>
  </conditionalFormatting>
  <conditionalFormatting sqref="A160">
    <cfRule type="containsText" dxfId="2" priority="503" operator="containsText" text="실패">
      <formula>NOT(ISERROR(SEARCH(("실패"),(A160))))</formula>
    </cfRule>
  </conditionalFormatting>
  <conditionalFormatting sqref="A160">
    <cfRule type="containsText" dxfId="3" priority="504" operator="containsText" text="관리">
      <formula>NOT(ISERROR(SEARCH(("관리"),(A160))))</formula>
    </cfRule>
  </conditionalFormatting>
  <conditionalFormatting sqref="A160">
    <cfRule type="containsText" dxfId="4" priority="505" operator="containsText" text="등록">
      <formula>NOT(ISERROR(SEARCH(("등록"),(A160))))</formula>
    </cfRule>
  </conditionalFormatting>
  <conditionalFormatting sqref="A163">
    <cfRule type="containsText" dxfId="0" priority="506" operator="containsText" text="거부">
      <formula>NOT(ISERROR(SEARCH(("거부"),(A163))))</formula>
    </cfRule>
  </conditionalFormatting>
  <conditionalFormatting sqref="A163">
    <cfRule type="containsText" dxfId="1" priority="507" operator="containsText" text="리턴">
      <formula>NOT(ISERROR(SEARCH(("리턴"),(A163))))</formula>
    </cfRule>
  </conditionalFormatting>
  <conditionalFormatting sqref="A163">
    <cfRule type="containsText" dxfId="2" priority="508" operator="containsText" text="실패">
      <formula>NOT(ISERROR(SEARCH(("실패"),(A163))))</formula>
    </cfRule>
  </conditionalFormatting>
  <conditionalFormatting sqref="A163">
    <cfRule type="containsText" dxfId="3" priority="509" operator="containsText" text="관리">
      <formula>NOT(ISERROR(SEARCH(("관리"),(A163))))</formula>
    </cfRule>
  </conditionalFormatting>
  <conditionalFormatting sqref="A163">
    <cfRule type="containsText" dxfId="4" priority="510" operator="containsText" text="등록">
      <formula>NOT(ISERROR(SEARCH(("등록"),(A163))))</formula>
    </cfRule>
  </conditionalFormatting>
  <conditionalFormatting sqref="A164">
    <cfRule type="containsText" dxfId="0" priority="511" operator="containsText" text="거부">
      <formula>NOT(ISERROR(SEARCH(("거부"),(A164))))</formula>
    </cfRule>
  </conditionalFormatting>
  <conditionalFormatting sqref="A164">
    <cfRule type="containsText" dxfId="1" priority="512" operator="containsText" text="리턴">
      <formula>NOT(ISERROR(SEARCH(("리턴"),(A164))))</formula>
    </cfRule>
  </conditionalFormatting>
  <conditionalFormatting sqref="A164">
    <cfRule type="containsText" dxfId="2" priority="513" operator="containsText" text="실패">
      <formula>NOT(ISERROR(SEARCH(("실패"),(A164))))</formula>
    </cfRule>
  </conditionalFormatting>
  <conditionalFormatting sqref="A164">
    <cfRule type="containsText" dxfId="3" priority="514" operator="containsText" text="관리">
      <formula>NOT(ISERROR(SEARCH(("관리"),(A164))))</formula>
    </cfRule>
  </conditionalFormatting>
  <conditionalFormatting sqref="A164">
    <cfRule type="containsText" dxfId="4" priority="515" operator="containsText" text="등록">
      <formula>NOT(ISERROR(SEARCH(("등록"),(A164))))</formula>
    </cfRule>
  </conditionalFormatting>
  <conditionalFormatting sqref="A324">
    <cfRule type="containsText" dxfId="0" priority="516" operator="containsText" text="거부">
      <formula>NOT(ISERROR(SEARCH(("거부"),(A324))))</formula>
    </cfRule>
  </conditionalFormatting>
  <conditionalFormatting sqref="A324">
    <cfRule type="containsText" dxfId="1" priority="517" operator="containsText" text="리턴">
      <formula>NOT(ISERROR(SEARCH(("리턴"),(A324))))</formula>
    </cfRule>
  </conditionalFormatting>
  <conditionalFormatting sqref="A324">
    <cfRule type="containsText" dxfId="2" priority="518" operator="containsText" text="실패">
      <formula>NOT(ISERROR(SEARCH(("실패"),(A324))))</formula>
    </cfRule>
  </conditionalFormatting>
  <conditionalFormatting sqref="A324">
    <cfRule type="containsText" dxfId="3" priority="519" operator="containsText" text="관리">
      <formula>NOT(ISERROR(SEARCH(("관리"),(A324))))</formula>
    </cfRule>
  </conditionalFormatting>
  <conditionalFormatting sqref="A324">
    <cfRule type="containsText" dxfId="4" priority="520" operator="containsText" text="등록">
      <formula>NOT(ISERROR(SEARCH(("등록"),(A324))))</formula>
    </cfRule>
  </conditionalFormatting>
  <conditionalFormatting sqref="A325">
    <cfRule type="containsText" dxfId="0" priority="521" operator="containsText" text="거부">
      <formula>NOT(ISERROR(SEARCH(("거부"),(A325))))</formula>
    </cfRule>
  </conditionalFormatting>
  <conditionalFormatting sqref="A325">
    <cfRule type="containsText" dxfId="1" priority="522" operator="containsText" text="리턴">
      <formula>NOT(ISERROR(SEARCH(("리턴"),(A325))))</formula>
    </cfRule>
  </conditionalFormatting>
  <conditionalFormatting sqref="A325">
    <cfRule type="containsText" dxfId="2" priority="523" operator="containsText" text="실패">
      <formula>NOT(ISERROR(SEARCH(("실패"),(A325))))</formula>
    </cfRule>
  </conditionalFormatting>
  <conditionalFormatting sqref="A325">
    <cfRule type="containsText" dxfId="3" priority="524" operator="containsText" text="관리">
      <formula>NOT(ISERROR(SEARCH(("관리"),(A325))))</formula>
    </cfRule>
  </conditionalFormatting>
  <conditionalFormatting sqref="A325">
    <cfRule type="containsText" dxfId="4" priority="525" operator="containsText" text="등록">
      <formula>NOT(ISERROR(SEARCH(("등록"),(A325))))</formula>
    </cfRule>
  </conditionalFormatting>
  <conditionalFormatting sqref="A194">
    <cfRule type="containsText" dxfId="0" priority="526" operator="containsText" text="거부">
      <formula>NOT(ISERROR(SEARCH(("거부"),(A194))))</formula>
    </cfRule>
  </conditionalFormatting>
  <conditionalFormatting sqref="A194">
    <cfRule type="containsText" dxfId="1" priority="527" operator="containsText" text="리턴">
      <formula>NOT(ISERROR(SEARCH(("리턴"),(A194))))</formula>
    </cfRule>
  </conditionalFormatting>
  <conditionalFormatting sqref="A194">
    <cfRule type="containsText" dxfId="2" priority="528" operator="containsText" text="실패">
      <formula>NOT(ISERROR(SEARCH(("실패"),(A194))))</formula>
    </cfRule>
  </conditionalFormatting>
  <conditionalFormatting sqref="A194">
    <cfRule type="containsText" dxfId="3" priority="529" operator="containsText" text="관리">
      <formula>NOT(ISERROR(SEARCH(("관리"),(A194))))</formula>
    </cfRule>
  </conditionalFormatting>
  <conditionalFormatting sqref="A194">
    <cfRule type="containsText" dxfId="4" priority="530" operator="containsText" text="등록">
      <formula>NOT(ISERROR(SEARCH(("등록"),(A194))))</formula>
    </cfRule>
  </conditionalFormatting>
  <conditionalFormatting sqref="A187">
    <cfRule type="containsText" dxfId="0" priority="531" operator="containsText" text="거부">
      <formula>NOT(ISERROR(SEARCH(("거부"),(A187))))</formula>
    </cfRule>
  </conditionalFormatting>
  <conditionalFormatting sqref="A187">
    <cfRule type="containsText" dxfId="1" priority="532" operator="containsText" text="리턴">
      <formula>NOT(ISERROR(SEARCH(("리턴"),(A187))))</formula>
    </cfRule>
  </conditionalFormatting>
  <conditionalFormatting sqref="A187">
    <cfRule type="containsText" dxfId="2" priority="533" operator="containsText" text="실패">
      <formula>NOT(ISERROR(SEARCH(("실패"),(A187))))</formula>
    </cfRule>
  </conditionalFormatting>
  <conditionalFormatting sqref="A187">
    <cfRule type="containsText" dxfId="3" priority="534" operator="containsText" text="관리">
      <formula>NOT(ISERROR(SEARCH(("관리"),(A187))))</formula>
    </cfRule>
  </conditionalFormatting>
  <conditionalFormatting sqref="A187">
    <cfRule type="containsText" dxfId="4" priority="535" operator="containsText" text="등록">
      <formula>NOT(ISERROR(SEARCH(("등록"),(A187))))</formula>
    </cfRule>
  </conditionalFormatting>
  <conditionalFormatting sqref="A188">
    <cfRule type="containsText" dxfId="0" priority="536" operator="containsText" text="거부">
      <formula>NOT(ISERROR(SEARCH(("거부"),(A188))))</formula>
    </cfRule>
  </conditionalFormatting>
  <conditionalFormatting sqref="A188">
    <cfRule type="containsText" dxfId="1" priority="537" operator="containsText" text="리턴">
      <formula>NOT(ISERROR(SEARCH(("리턴"),(A188))))</formula>
    </cfRule>
  </conditionalFormatting>
  <conditionalFormatting sqref="A188">
    <cfRule type="containsText" dxfId="2" priority="538" operator="containsText" text="실패">
      <formula>NOT(ISERROR(SEARCH(("실패"),(A188))))</formula>
    </cfRule>
  </conditionalFormatting>
  <conditionalFormatting sqref="A188">
    <cfRule type="containsText" dxfId="3" priority="539" operator="containsText" text="관리">
      <formula>NOT(ISERROR(SEARCH(("관리"),(A188))))</formula>
    </cfRule>
  </conditionalFormatting>
  <conditionalFormatting sqref="A188">
    <cfRule type="containsText" dxfId="4" priority="540" operator="containsText" text="등록">
      <formula>NOT(ISERROR(SEARCH(("등록"),(A188))))</formula>
    </cfRule>
  </conditionalFormatting>
  <conditionalFormatting sqref="A196">
    <cfRule type="containsText" dxfId="0" priority="541" operator="containsText" text="거부">
      <formula>NOT(ISERROR(SEARCH(("거부"),(A196))))</formula>
    </cfRule>
  </conditionalFormatting>
  <conditionalFormatting sqref="A196">
    <cfRule type="containsText" dxfId="1" priority="542" operator="containsText" text="리턴">
      <formula>NOT(ISERROR(SEARCH(("리턴"),(A196))))</formula>
    </cfRule>
  </conditionalFormatting>
  <conditionalFormatting sqref="A196">
    <cfRule type="containsText" dxfId="2" priority="543" operator="containsText" text="실패">
      <formula>NOT(ISERROR(SEARCH(("실패"),(A196))))</formula>
    </cfRule>
  </conditionalFormatting>
  <conditionalFormatting sqref="A196">
    <cfRule type="containsText" dxfId="3" priority="544" operator="containsText" text="관리">
      <formula>NOT(ISERROR(SEARCH(("관리"),(A196))))</formula>
    </cfRule>
  </conditionalFormatting>
  <conditionalFormatting sqref="A196">
    <cfRule type="containsText" dxfId="4" priority="545" operator="containsText" text="등록">
      <formula>NOT(ISERROR(SEARCH(("등록"),(A196))))</formula>
    </cfRule>
  </conditionalFormatting>
  <conditionalFormatting sqref="A196">
    <cfRule type="containsText" dxfId="0" priority="546" operator="containsText" text="거부">
      <formula>NOT(ISERROR(SEARCH(("거부"),(A196))))</formula>
    </cfRule>
  </conditionalFormatting>
  <conditionalFormatting sqref="A196">
    <cfRule type="containsText" dxfId="1" priority="547" operator="containsText" text="리턴">
      <formula>NOT(ISERROR(SEARCH(("리턴"),(A196))))</formula>
    </cfRule>
  </conditionalFormatting>
  <conditionalFormatting sqref="A196">
    <cfRule type="containsText" dxfId="2" priority="548" operator="containsText" text="실패">
      <formula>NOT(ISERROR(SEARCH(("실패"),(A196))))</formula>
    </cfRule>
  </conditionalFormatting>
  <conditionalFormatting sqref="A196">
    <cfRule type="containsText" dxfId="3" priority="549" operator="containsText" text="관리">
      <formula>NOT(ISERROR(SEARCH(("관리"),(A196))))</formula>
    </cfRule>
  </conditionalFormatting>
  <conditionalFormatting sqref="A196">
    <cfRule type="containsText" dxfId="4" priority="550" operator="containsText" text="등록">
      <formula>NOT(ISERROR(SEARCH(("등록"),(A196))))</formula>
    </cfRule>
  </conditionalFormatting>
  <conditionalFormatting sqref="A198">
    <cfRule type="containsText" dxfId="0" priority="551" operator="containsText" text="거부">
      <formula>NOT(ISERROR(SEARCH(("거부"),(A198))))</formula>
    </cfRule>
  </conditionalFormatting>
  <conditionalFormatting sqref="A198">
    <cfRule type="containsText" dxfId="1" priority="552" operator="containsText" text="리턴">
      <formula>NOT(ISERROR(SEARCH(("리턴"),(A198))))</formula>
    </cfRule>
  </conditionalFormatting>
  <conditionalFormatting sqref="A198">
    <cfRule type="containsText" dxfId="2" priority="553" operator="containsText" text="실패">
      <formula>NOT(ISERROR(SEARCH(("실패"),(A198))))</formula>
    </cfRule>
  </conditionalFormatting>
  <conditionalFormatting sqref="A198">
    <cfRule type="containsText" dxfId="3" priority="554" operator="containsText" text="관리">
      <formula>NOT(ISERROR(SEARCH(("관리"),(A198))))</formula>
    </cfRule>
  </conditionalFormatting>
  <conditionalFormatting sqref="A198">
    <cfRule type="containsText" dxfId="4" priority="555" operator="containsText" text="등록">
      <formula>NOT(ISERROR(SEARCH(("등록"),(A198))))</formula>
    </cfRule>
  </conditionalFormatting>
  <conditionalFormatting sqref="A115">
    <cfRule type="containsText" dxfId="0" priority="556" operator="containsText" text="거부">
      <formula>NOT(ISERROR(SEARCH(("거부"),(A115))))</formula>
    </cfRule>
  </conditionalFormatting>
  <conditionalFormatting sqref="A115">
    <cfRule type="containsText" dxfId="1" priority="557" operator="containsText" text="리턴">
      <formula>NOT(ISERROR(SEARCH(("리턴"),(A115))))</formula>
    </cfRule>
  </conditionalFormatting>
  <conditionalFormatting sqref="A115">
    <cfRule type="containsText" dxfId="2" priority="558" operator="containsText" text="실패">
      <formula>NOT(ISERROR(SEARCH(("실패"),(A115))))</formula>
    </cfRule>
  </conditionalFormatting>
  <conditionalFormatting sqref="A115">
    <cfRule type="containsText" dxfId="3" priority="559" operator="containsText" text="관리">
      <formula>NOT(ISERROR(SEARCH(("관리"),(A115))))</formula>
    </cfRule>
  </conditionalFormatting>
  <conditionalFormatting sqref="A115">
    <cfRule type="containsText" dxfId="4" priority="560" operator="containsText" text="등록">
      <formula>NOT(ISERROR(SEARCH(("등록"),(A115))))</formula>
    </cfRule>
  </conditionalFormatting>
  <conditionalFormatting sqref="A209">
    <cfRule type="containsText" dxfId="0" priority="561" operator="containsText" text="거부">
      <formula>NOT(ISERROR(SEARCH(("거부"),(A209))))</formula>
    </cfRule>
  </conditionalFormatting>
  <conditionalFormatting sqref="A209">
    <cfRule type="containsText" dxfId="1" priority="562" operator="containsText" text="리턴">
      <formula>NOT(ISERROR(SEARCH(("리턴"),(A209))))</formula>
    </cfRule>
  </conditionalFormatting>
  <conditionalFormatting sqref="A209">
    <cfRule type="containsText" dxfId="2" priority="563" operator="containsText" text="실패">
      <formula>NOT(ISERROR(SEARCH(("실패"),(A209))))</formula>
    </cfRule>
  </conditionalFormatting>
  <conditionalFormatting sqref="A209">
    <cfRule type="containsText" dxfId="3" priority="564" operator="containsText" text="관리">
      <formula>NOT(ISERROR(SEARCH(("관리"),(A209))))</formula>
    </cfRule>
  </conditionalFormatting>
  <conditionalFormatting sqref="A209">
    <cfRule type="containsText" dxfId="4" priority="565" operator="containsText" text="등록">
      <formula>NOT(ISERROR(SEARCH(("등록"),(A209))))</formula>
    </cfRule>
  </conditionalFormatting>
  <conditionalFormatting sqref="A215:A216">
    <cfRule type="containsText" dxfId="0" priority="566" operator="containsText" text="거부">
      <formula>NOT(ISERROR(SEARCH(("거부"),(A215))))</formula>
    </cfRule>
  </conditionalFormatting>
  <conditionalFormatting sqref="A215:A216">
    <cfRule type="containsText" dxfId="1" priority="567" operator="containsText" text="리턴">
      <formula>NOT(ISERROR(SEARCH(("리턴"),(A215))))</formula>
    </cfRule>
  </conditionalFormatting>
  <conditionalFormatting sqref="A215:A216">
    <cfRule type="containsText" dxfId="2" priority="568" operator="containsText" text="실패">
      <formula>NOT(ISERROR(SEARCH(("실패"),(A215))))</formula>
    </cfRule>
  </conditionalFormatting>
  <conditionalFormatting sqref="A215:A216">
    <cfRule type="containsText" dxfId="3" priority="569" operator="containsText" text="관리">
      <formula>NOT(ISERROR(SEARCH(("관리"),(A215))))</formula>
    </cfRule>
  </conditionalFormatting>
  <conditionalFormatting sqref="A215:A216">
    <cfRule type="containsText" dxfId="4" priority="570" operator="containsText" text="등록">
      <formula>NOT(ISERROR(SEARCH(("등록"),(A215))))</formula>
    </cfRule>
  </conditionalFormatting>
  <conditionalFormatting sqref="A217">
    <cfRule type="containsText" dxfId="0" priority="571" operator="containsText" text="거부">
      <formula>NOT(ISERROR(SEARCH(("거부"),(A217))))</formula>
    </cfRule>
  </conditionalFormatting>
  <conditionalFormatting sqref="A217">
    <cfRule type="containsText" dxfId="1" priority="572" operator="containsText" text="리턴">
      <formula>NOT(ISERROR(SEARCH(("리턴"),(A217))))</formula>
    </cfRule>
  </conditionalFormatting>
  <conditionalFormatting sqref="A217">
    <cfRule type="containsText" dxfId="2" priority="573" operator="containsText" text="실패">
      <formula>NOT(ISERROR(SEARCH(("실패"),(A217))))</formula>
    </cfRule>
  </conditionalFormatting>
  <conditionalFormatting sqref="A217">
    <cfRule type="containsText" dxfId="3" priority="574" operator="containsText" text="관리">
      <formula>NOT(ISERROR(SEARCH(("관리"),(A217))))</formula>
    </cfRule>
  </conditionalFormatting>
  <conditionalFormatting sqref="A217">
    <cfRule type="containsText" dxfId="4" priority="575" operator="containsText" text="등록">
      <formula>NOT(ISERROR(SEARCH(("등록"),(A217))))</formula>
    </cfRule>
  </conditionalFormatting>
  <conditionalFormatting sqref="A327">
    <cfRule type="containsText" dxfId="0" priority="576" operator="containsText" text="거부">
      <formula>NOT(ISERROR(SEARCH(("거부"),(A327))))</formula>
    </cfRule>
  </conditionalFormatting>
  <conditionalFormatting sqref="A327">
    <cfRule type="containsText" dxfId="1" priority="577" operator="containsText" text="리턴">
      <formula>NOT(ISERROR(SEARCH(("리턴"),(A327))))</formula>
    </cfRule>
  </conditionalFormatting>
  <conditionalFormatting sqref="A327">
    <cfRule type="containsText" dxfId="2" priority="578" operator="containsText" text="실패">
      <formula>NOT(ISERROR(SEARCH(("실패"),(A327))))</formula>
    </cfRule>
  </conditionalFormatting>
  <conditionalFormatting sqref="A327">
    <cfRule type="containsText" dxfId="3" priority="579" operator="containsText" text="관리">
      <formula>NOT(ISERROR(SEARCH(("관리"),(A327))))</formula>
    </cfRule>
  </conditionalFormatting>
  <conditionalFormatting sqref="A327">
    <cfRule type="containsText" dxfId="4" priority="580" operator="containsText" text="등록">
      <formula>NOT(ISERROR(SEARCH(("등록"),(A327))))</formula>
    </cfRule>
  </conditionalFormatting>
  <conditionalFormatting sqref="A327">
    <cfRule type="containsText" dxfId="0" priority="581" operator="containsText" text="거부">
      <formula>NOT(ISERROR(SEARCH(("거부"),(A327))))</formula>
    </cfRule>
  </conditionalFormatting>
  <conditionalFormatting sqref="A327">
    <cfRule type="containsText" dxfId="1" priority="582" operator="containsText" text="리턴">
      <formula>NOT(ISERROR(SEARCH(("리턴"),(A327))))</formula>
    </cfRule>
  </conditionalFormatting>
  <conditionalFormatting sqref="A327">
    <cfRule type="containsText" dxfId="2" priority="583" operator="containsText" text="실패">
      <formula>NOT(ISERROR(SEARCH(("실패"),(A327))))</formula>
    </cfRule>
  </conditionalFormatting>
  <conditionalFormatting sqref="A327">
    <cfRule type="containsText" dxfId="3" priority="584" operator="containsText" text="관리">
      <formula>NOT(ISERROR(SEARCH(("관리"),(A327))))</formula>
    </cfRule>
  </conditionalFormatting>
  <conditionalFormatting sqref="A327">
    <cfRule type="containsText" dxfId="4" priority="585" operator="containsText" text="등록">
      <formula>NOT(ISERROR(SEARCH(("등록"),(A327))))</formula>
    </cfRule>
  </conditionalFormatting>
  <conditionalFormatting sqref="A327">
    <cfRule type="containsText" dxfId="0" priority="586" operator="containsText" text="거부">
      <formula>NOT(ISERROR(SEARCH(("거부"),(A327))))</formula>
    </cfRule>
  </conditionalFormatting>
  <conditionalFormatting sqref="A327">
    <cfRule type="containsText" dxfId="1" priority="587" operator="containsText" text="리턴">
      <formula>NOT(ISERROR(SEARCH(("리턴"),(A327))))</formula>
    </cfRule>
  </conditionalFormatting>
  <conditionalFormatting sqref="A327">
    <cfRule type="containsText" dxfId="2" priority="588" operator="containsText" text="실패">
      <formula>NOT(ISERROR(SEARCH(("실패"),(A327))))</formula>
    </cfRule>
  </conditionalFormatting>
  <conditionalFormatting sqref="A327">
    <cfRule type="containsText" dxfId="3" priority="589" operator="containsText" text="관리">
      <formula>NOT(ISERROR(SEARCH(("관리"),(A327))))</formula>
    </cfRule>
  </conditionalFormatting>
  <conditionalFormatting sqref="A327">
    <cfRule type="containsText" dxfId="4" priority="590" operator="containsText" text="등록">
      <formula>NOT(ISERROR(SEARCH(("등록"),(A327))))</formula>
    </cfRule>
  </conditionalFormatting>
  <conditionalFormatting sqref="A328">
    <cfRule type="containsText" dxfId="0" priority="591" operator="containsText" text="거부">
      <formula>NOT(ISERROR(SEARCH(("거부"),(A328))))</formula>
    </cfRule>
  </conditionalFormatting>
  <conditionalFormatting sqref="A328">
    <cfRule type="containsText" dxfId="1" priority="592" operator="containsText" text="리턴">
      <formula>NOT(ISERROR(SEARCH(("리턴"),(A328))))</formula>
    </cfRule>
  </conditionalFormatting>
  <conditionalFormatting sqref="A328">
    <cfRule type="containsText" dxfId="2" priority="593" operator="containsText" text="실패">
      <formula>NOT(ISERROR(SEARCH(("실패"),(A328))))</formula>
    </cfRule>
  </conditionalFormatting>
  <conditionalFormatting sqref="A328">
    <cfRule type="containsText" dxfId="3" priority="594" operator="containsText" text="관리">
      <formula>NOT(ISERROR(SEARCH(("관리"),(A328))))</formula>
    </cfRule>
  </conditionalFormatting>
  <conditionalFormatting sqref="A328">
    <cfRule type="containsText" dxfId="4" priority="595" operator="containsText" text="등록">
      <formula>NOT(ISERROR(SEARCH(("등록"),(A328))))</formula>
    </cfRule>
  </conditionalFormatting>
  <conditionalFormatting sqref="A328">
    <cfRule type="containsText" dxfId="0" priority="596" operator="containsText" text="거부">
      <formula>NOT(ISERROR(SEARCH(("거부"),(A328))))</formula>
    </cfRule>
  </conditionalFormatting>
  <conditionalFormatting sqref="A328">
    <cfRule type="containsText" dxfId="1" priority="597" operator="containsText" text="리턴">
      <formula>NOT(ISERROR(SEARCH(("리턴"),(A328))))</formula>
    </cfRule>
  </conditionalFormatting>
  <conditionalFormatting sqref="A328">
    <cfRule type="containsText" dxfId="2" priority="598" operator="containsText" text="실패">
      <formula>NOT(ISERROR(SEARCH(("실패"),(A328))))</formula>
    </cfRule>
  </conditionalFormatting>
  <conditionalFormatting sqref="A328">
    <cfRule type="containsText" dxfId="3" priority="599" operator="containsText" text="관리">
      <formula>NOT(ISERROR(SEARCH(("관리"),(A328))))</formula>
    </cfRule>
  </conditionalFormatting>
  <conditionalFormatting sqref="A328">
    <cfRule type="containsText" dxfId="4" priority="600" operator="containsText" text="등록">
      <formula>NOT(ISERROR(SEARCH(("등록"),(A328))))</formula>
    </cfRule>
  </conditionalFormatting>
  <conditionalFormatting sqref="A328">
    <cfRule type="containsText" dxfId="0" priority="601" operator="containsText" text="거부">
      <formula>NOT(ISERROR(SEARCH(("거부"),(A328))))</formula>
    </cfRule>
  </conditionalFormatting>
  <conditionalFormatting sqref="A328">
    <cfRule type="containsText" dxfId="1" priority="602" operator="containsText" text="리턴">
      <formula>NOT(ISERROR(SEARCH(("리턴"),(A328))))</formula>
    </cfRule>
  </conditionalFormatting>
  <conditionalFormatting sqref="A328">
    <cfRule type="containsText" dxfId="2" priority="603" operator="containsText" text="실패">
      <formula>NOT(ISERROR(SEARCH(("실패"),(A328))))</formula>
    </cfRule>
  </conditionalFormatting>
  <conditionalFormatting sqref="A328">
    <cfRule type="containsText" dxfId="3" priority="604" operator="containsText" text="관리">
      <formula>NOT(ISERROR(SEARCH(("관리"),(A328))))</formula>
    </cfRule>
  </conditionalFormatting>
  <conditionalFormatting sqref="A328">
    <cfRule type="containsText" dxfId="4" priority="605" operator="containsText" text="등록">
      <formula>NOT(ISERROR(SEARCH(("등록"),(A328))))</formula>
    </cfRule>
  </conditionalFormatting>
  <conditionalFormatting sqref="A329">
    <cfRule type="containsText" dxfId="0" priority="606" operator="containsText" text="거부">
      <formula>NOT(ISERROR(SEARCH(("거부"),(A329))))</formula>
    </cfRule>
  </conditionalFormatting>
  <conditionalFormatting sqref="A329">
    <cfRule type="containsText" dxfId="1" priority="607" operator="containsText" text="리턴">
      <formula>NOT(ISERROR(SEARCH(("리턴"),(A329))))</formula>
    </cfRule>
  </conditionalFormatting>
  <conditionalFormatting sqref="A329">
    <cfRule type="containsText" dxfId="2" priority="608" operator="containsText" text="실패">
      <formula>NOT(ISERROR(SEARCH(("실패"),(A329))))</formula>
    </cfRule>
  </conditionalFormatting>
  <conditionalFormatting sqref="A329">
    <cfRule type="containsText" dxfId="3" priority="609" operator="containsText" text="관리">
      <formula>NOT(ISERROR(SEARCH(("관리"),(A329))))</formula>
    </cfRule>
  </conditionalFormatting>
  <conditionalFormatting sqref="A329">
    <cfRule type="containsText" dxfId="4" priority="610" operator="containsText" text="등록">
      <formula>NOT(ISERROR(SEARCH(("등록"),(A329))))</formula>
    </cfRule>
  </conditionalFormatting>
  <conditionalFormatting sqref="A329">
    <cfRule type="containsText" dxfId="0" priority="611" operator="containsText" text="거부">
      <formula>NOT(ISERROR(SEARCH(("거부"),(A329))))</formula>
    </cfRule>
  </conditionalFormatting>
  <conditionalFormatting sqref="A329">
    <cfRule type="containsText" dxfId="1" priority="612" operator="containsText" text="리턴">
      <formula>NOT(ISERROR(SEARCH(("리턴"),(A329))))</formula>
    </cfRule>
  </conditionalFormatting>
  <conditionalFormatting sqref="A329">
    <cfRule type="containsText" dxfId="2" priority="613" operator="containsText" text="실패">
      <formula>NOT(ISERROR(SEARCH(("실패"),(A329))))</formula>
    </cfRule>
  </conditionalFormatting>
  <conditionalFormatting sqref="A329">
    <cfRule type="containsText" dxfId="3" priority="614" operator="containsText" text="관리">
      <formula>NOT(ISERROR(SEARCH(("관리"),(A329))))</formula>
    </cfRule>
  </conditionalFormatting>
  <conditionalFormatting sqref="A329">
    <cfRule type="containsText" dxfId="4" priority="615" operator="containsText" text="등록">
      <formula>NOT(ISERROR(SEARCH(("등록"),(A329))))</formula>
    </cfRule>
  </conditionalFormatting>
  <conditionalFormatting sqref="A329">
    <cfRule type="containsText" dxfId="0" priority="616" operator="containsText" text="거부">
      <formula>NOT(ISERROR(SEARCH(("거부"),(A329))))</formula>
    </cfRule>
  </conditionalFormatting>
  <conditionalFormatting sqref="A329">
    <cfRule type="containsText" dxfId="1" priority="617" operator="containsText" text="리턴">
      <formula>NOT(ISERROR(SEARCH(("리턴"),(A329))))</formula>
    </cfRule>
  </conditionalFormatting>
  <conditionalFormatting sqref="A329">
    <cfRule type="containsText" dxfId="2" priority="618" operator="containsText" text="실패">
      <formula>NOT(ISERROR(SEARCH(("실패"),(A329))))</formula>
    </cfRule>
  </conditionalFormatting>
  <conditionalFormatting sqref="A329">
    <cfRule type="containsText" dxfId="3" priority="619" operator="containsText" text="관리">
      <formula>NOT(ISERROR(SEARCH(("관리"),(A329))))</formula>
    </cfRule>
  </conditionalFormatting>
  <conditionalFormatting sqref="A329">
    <cfRule type="containsText" dxfId="4" priority="620" operator="containsText" text="등록">
      <formula>NOT(ISERROR(SEARCH(("등록"),(A329))))</formula>
    </cfRule>
  </conditionalFormatting>
  <conditionalFormatting sqref="A331">
    <cfRule type="containsText" dxfId="0" priority="621" operator="containsText" text="거부">
      <formula>NOT(ISERROR(SEARCH(("거부"),(A331))))</formula>
    </cfRule>
  </conditionalFormatting>
  <conditionalFormatting sqref="A331">
    <cfRule type="containsText" dxfId="1" priority="622" operator="containsText" text="리턴">
      <formula>NOT(ISERROR(SEARCH(("리턴"),(A331))))</formula>
    </cfRule>
  </conditionalFormatting>
  <conditionalFormatting sqref="A331">
    <cfRule type="containsText" dxfId="2" priority="623" operator="containsText" text="실패">
      <formula>NOT(ISERROR(SEARCH(("실패"),(A331))))</formula>
    </cfRule>
  </conditionalFormatting>
  <conditionalFormatting sqref="A331">
    <cfRule type="containsText" dxfId="3" priority="624" operator="containsText" text="관리">
      <formula>NOT(ISERROR(SEARCH(("관리"),(A331))))</formula>
    </cfRule>
  </conditionalFormatting>
  <conditionalFormatting sqref="A331">
    <cfRule type="containsText" dxfId="4" priority="625" operator="containsText" text="등록">
      <formula>NOT(ISERROR(SEARCH(("등록"),(A331))))</formula>
    </cfRule>
  </conditionalFormatting>
  <conditionalFormatting sqref="A331">
    <cfRule type="containsText" dxfId="0" priority="626" operator="containsText" text="거부">
      <formula>NOT(ISERROR(SEARCH(("거부"),(A331))))</formula>
    </cfRule>
  </conditionalFormatting>
  <conditionalFormatting sqref="A331">
    <cfRule type="containsText" dxfId="1" priority="627" operator="containsText" text="리턴">
      <formula>NOT(ISERROR(SEARCH(("리턴"),(A331))))</formula>
    </cfRule>
  </conditionalFormatting>
  <conditionalFormatting sqref="A331">
    <cfRule type="containsText" dxfId="2" priority="628" operator="containsText" text="실패">
      <formula>NOT(ISERROR(SEARCH(("실패"),(A331))))</formula>
    </cfRule>
  </conditionalFormatting>
  <conditionalFormatting sqref="A331">
    <cfRule type="containsText" dxfId="3" priority="629" operator="containsText" text="관리">
      <formula>NOT(ISERROR(SEARCH(("관리"),(A331))))</formula>
    </cfRule>
  </conditionalFormatting>
  <conditionalFormatting sqref="A331">
    <cfRule type="containsText" dxfId="4" priority="630" operator="containsText" text="등록">
      <formula>NOT(ISERROR(SEARCH(("등록"),(A331))))</formula>
    </cfRule>
  </conditionalFormatting>
  <conditionalFormatting sqref="A331">
    <cfRule type="containsText" dxfId="0" priority="631" operator="containsText" text="거부">
      <formula>NOT(ISERROR(SEARCH(("거부"),(A331))))</formula>
    </cfRule>
  </conditionalFormatting>
  <conditionalFormatting sqref="A331">
    <cfRule type="containsText" dxfId="1" priority="632" operator="containsText" text="리턴">
      <formula>NOT(ISERROR(SEARCH(("리턴"),(A331))))</formula>
    </cfRule>
  </conditionalFormatting>
  <conditionalFormatting sqref="A331">
    <cfRule type="containsText" dxfId="2" priority="633" operator="containsText" text="실패">
      <formula>NOT(ISERROR(SEARCH(("실패"),(A331))))</formula>
    </cfRule>
  </conditionalFormatting>
  <conditionalFormatting sqref="A331">
    <cfRule type="containsText" dxfId="3" priority="634" operator="containsText" text="관리">
      <formula>NOT(ISERROR(SEARCH(("관리"),(A331))))</formula>
    </cfRule>
  </conditionalFormatting>
  <conditionalFormatting sqref="A331">
    <cfRule type="containsText" dxfId="4" priority="635" operator="containsText" text="등록">
      <formula>NOT(ISERROR(SEARCH(("등록"),(A331))))</formula>
    </cfRule>
  </conditionalFormatting>
  <conditionalFormatting sqref="A330">
    <cfRule type="containsText" dxfId="0" priority="636" operator="containsText" text="거부">
      <formula>NOT(ISERROR(SEARCH(("거부"),(A330))))</formula>
    </cfRule>
  </conditionalFormatting>
  <conditionalFormatting sqref="A330">
    <cfRule type="containsText" dxfId="1" priority="637" operator="containsText" text="리턴">
      <formula>NOT(ISERROR(SEARCH(("리턴"),(A330))))</formula>
    </cfRule>
  </conditionalFormatting>
  <conditionalFormatting sqref="A330">
    <cfRule type="containsText" dxfId="2" priority="638" operator="containsText" text="실패">
      <formula>NOT(ISERROR(SEARCH(("실패"),(A330))))</formula>
    </cfRule>
  </conditionalFormatting>
  <conditionalFormatting sqref="A330">
    <cfRule type="containsText" dxfId="3" priority="639" operator="containsText" text="관리">
      <formula>NOT(ISERROR(SEARCH(("관리"),(A330))))</formula>
    </cfRule>
  </conditionalFormatting>
  <conditionalFormatting sqref="A330">
    <cfRule type="containsText" dxfId="4" priority="640" operator="containsText" text="등록">
      <formula>NOT(ISERROR(SEARCH(("등록"),(A330))))</formula>
    </cfRule>
  </conditionalFormatting>
  <conditionalFormatting sqref="A330">
    <cfRule type="containsText" dxfId="0" priority="641" operator="containsText" text="거부">
      <formula>NOT(ISERROR(SEARCH(("거부"),(A330))))</formula>
    </cfRule>
  </conditionalFormatting>
  <conditionalFormatting sqref="A330">
    <cfRule type="containsText" dxfId="1" priority="642" operator="containsText" text="리턴">
      <formula>NOT(ISERROR(SEARCH(("리턴"),(A330))))</formula>
    </cfRule>
  </conditionalFormatting>
  <conditionalFormatting sqref="A330">
    <cfRule type="containsText" dxfId="2" priority="643" operator="containsText" text="실패">
      <formula>NOT(ISERROR(SEARCH(("실패"),(A330))))</formula>
    </cfRule>
  </conditionalFormatting>
  <conditionalFormatting sqref="A330">
    <cfRule type="containsText" dxfId="3" priority="644" operator="containsText" text="관리">
      <formula>NOT(ISERROR(SEARCH(("관리"),(A330))))</formula>
    </cfRule>
  </conditionalFormatting>
  <conditionalFormatting sqref="A330">
    <cfRule type="containsText" dxfId="4" priority="645" operator="containsText" text="등록">
      <formula>NOT(ISERROR(SEARCH(("등록"),(A330))))</formula>
    </cfRule>
  </conditionalFormatting>
  <conditionalFormatting sqref="A330">
    <cfRule type="containsText" dxfId="0" priority="646" operator="containsText" text="거부">
      <formula>NOT(ISERROR(SEARCH(("거부"),(A330))))</formula>
    </cfRule>
  </conditionalFormatting>
  <conditionalFormatting sqref="A330">
    <cfRule type="containsText" dxfId="1" priority="647" operator="containsText" text="리턴">
      <formula>NOT(ISERROR(SEARCH(("리턴"),(A330))))</formula>
    </cfRule>
  </conditionalFormatting>
  <conditionalFormatting sqref="A330">
    <cfRule type="containsText" dxfId="2" priority="648" operator="containsText" text="실패">
      <formula>NOT(ISERROR(SEARCH(("실패"),(A330))))</formula>
    </cfRule>
  </conditionalFormatting>
  <conditionalFormatting sqref="A330">
    <cfRule type="containsText" dxfId="3" priority="649" operator="containsText" text="관리">
      <formula>NOT(ISERROR(SEARCH(("관리"),(A330))))</formula>
    </cfRule>
  </conditionalFormatting>
  <conditionalFormatting sqref="A330">
    <cfRule type="containsText" dxfId="4" priority="650" operator="containsText" text="등록">
      <formula>NOT(ISERROR(SEARCH(("등록"),(A330))))</formula>
    </cfRule>
  </conditionalFormatting>
  <conditionalFormatting sqref="A332">
    <cfRule type="containsText" dxfId="0" priority="651" operator="containsText" text="거부">
      <formula>NOT(ISERROR(SEARCH(("거부"),(A332))))</formula>
    </cfRule>
  </conditionalFormatting>
  <conditionalFormatting sqref="A332">
    <cfRule type="containsText" dxfId="1" priority="652" operator="containsText" text="리턴">
      <formula>NOT(ISERROR(SEARCH(("리턴"),(A332))))</formula>
    </cfRule>
  </conditionalFormatting>
  <conditionalFormatting sqref="A332">
    <cfRule type="containsText" dxfId="2" priority="653" operator="containsText" text="실패">
      <formula>NOT(ISERROR(SEARCH(("실패"),(A332))))</formula>
    </cfRule>
  </conditionalFormatting>
  <conditionalFormatting sqref="A332">
    <cfRule type="containsText" dxfId="3" priority="654" operator="containsText" text="관리">
      <formula>NOT(ISERROR(SEARCH(("관리"),(A332))))</formula>
    </cfRule>
  </conditionalFormatting>
  <conditionalFormatting sqref="A332">
    <cfRule type="containsText" dxfId="4" priority="655" operator="containsText" text="등록">
      <formula>NOT(ISERROR(SEARCH(("등록"),(A332))))</formula>
    </cfRule>
  </conditionalFormatting>
  <conditionalFormatting sqref="A332">
    <cfRule type="containsText" dxfId="0" priority="656" operator="containsText" text="거부">
      <formula>NOT(ISERROR(SEARCH(("거부"),(A332))))</formula>
    </cfRule>
  </conditionalFormatting>
  <conditionalFormatting sqref="A332">
    <cfRule type="containsText" dxfId="1" priority="657" operator="containsText" text="리턴">
      <formula>NOT(ISERROR(SEARCH(("리턴"),(A332))))</formula>
    </cfRule>
  </conditionalFormatting>
  <conditionalFormatting sqref="A332">
    <cfRule type="containsText" dxfId="2" priority="658" operator="containsText" text="실패">
      <formula>NOT(ISERROR(SEARCH(("실패"),(A332))))</formula>
    </cfRule>
  </conditionalFormatting>
  <conditionalFormatting sqref="A332">
    <cfRule type="containsText" dxfId="3" priority="659" operator="containsText" text="관리">
      <formula>NOT(ISERROR(SEARCH(("관리"),(A332))))</formula>
    </cfRule>
  </conditionalFormatting>
  <conditionalFormatting sqref="A332">
    <cfRule type="containsText" dxfId="4" priority="660" operator="containsText" text="등록">
      <formula>NOT(ISERROR(SEARCH(("등록"),(A332))))</formula>
    </cfRule>
  </conditionalFormatting>
  <conditionalFormatting sqref="A332">
    <cfRule type="containsText" dxfId="0" priority="661" operator="containsText" text="거부">
      <formula>NOT(ISERROR(SEARCH(("거부"),(A332))))</formula>
    </cfRule>
  </conditionalFormatting>
  <conditionalFormatting sqref="A332">
    <cfRule type="containsText" dxfId="1" priority="662" operator="containsText" text="리턴">
      <formula>NOT(ISERROR(SEARCH(("리턴"),(A332))))</formula>
    </cfRule>
  </conditionalFormatting>
  <conditionalFormatting sqref="A332">
    <cfRule type="containsText" dxfId="2" priority="663" operator="containsText" text="실패">
      <formula>NOT(ISERROR(SEARCH(("실패"),(A332))))</formula>
    </cfRule>
  </conditionalFormatting>
  <conditionalFormatting sqref="A332">
    <cfRule type="containsText" dxfId="3" priority="664" operator="containsText" text="관리">
      <formula>NOT(ISERROR(SEARCH(("관리"),(A332))))</formula>
    </cfRule>
  </conditionalFormatting>
  <conditionalFormatting sqref="A332">
    <cfRule type="containsText" dxfId="4" priority="665" operator="containsText" text="등록">
      <formula>NOT(ISERROR(SEARCH(("등록"),(A332))))</formula>
    </cfRule>
  </conditionalFormatting>
  <conditionalFormatting sqref="A333 A358 D339:H343 D344:E344 D349:H349 D351:H351 D356:F356 D357:H358 F337 F338:H338 F345:H348 F350:H350 F352:G352 F353:H353 F354:F355 G344:H344 H354:H356 J337:J338 J350">
    <cfRule type="containsText" dxfId="0" priority="666" operator="containsText" text="거부">
      <formula>NOT(ISERROR(SEARCH(("거부"),(A333))))</formula>
    </cfRule>
  </conditionalFormatting>
  <conditionalFormatting sqref="A333 A358 D339:H343 D344:E344 D349:H349 D351:H351 D356:F356 D357:H358 F337 F338:H338 F345:H348 F350:H350 F352:G352 F353:H353 F354:F355 G344:H344 H354:H356 J337:J338 J350">
    <cfRule type="containsText" dxfId="1" priority="667" operator="containsText" text="리턴">
      <formula>NOT(ISERROR(SEARCH(("리턴"),(A333))))</formula>
    </cfRule>
  </conditionalFormatting>
  <conditionalFormatting sqref="A333 A358 D339:H343 D344:E344 D349:H349 D351:H351 D356:F356 D357:H358 F337 F338:H338 F345:H348 F350:H350 F352:G352 F353:H353 F354:F355 G344:H344 H354:H356 J337:J338 J350">
    <cfRule type="containsText" dxfId="2" priority="668" operator="containsText" text="실패">
      <formula>NOT(ISERROR(SEARCH(("실패"),(A333))))</formula>
    </cfRule>
  </conditionalFormatting>
  <conditionalFormatting sqref="A333 A358 D339:H343 D344:E344 D349:H349 D351:H351 D356:F356 D357:H358 F337 F338:H338 F345:H348 F350:H350 F352:G352 F353:H353 F354:F355 G344:H344 H354:H356 J337:J338 J350">
    <cfRule type="containsText" dxfId="3" priority="669" operator="containsText" text="관리">
      <formula>NOT(ISERROR(SEARCH(("관리"),(A333))))</formula>
    </cfRule>
  </conditionalFormatting>
  <conditionalFormatting sqref="A333 A358 D339:H343 D344:E344 D349:H349 D351:H351 D356:F356 D357:H358 F337 F338:H338 F345:H348 F350:H350 F352:G352 F353:H353 F354:F355 G344:H344 H354:H356 J337:J338 J350">
    <cfRule type="containsText" dxfId="4" priority="670" operator="containsText" text="등록">
      <formula>NOT(ISERROR(SEARCH(("등록"),(A333))))</formula>
    </cfRule>
  </conditionalFormatting>
  <conditionalFormatting sqref="D334:H334">
    <cfRule type="containsText" dxfId="0" priority="671" operator="containsText" text="거부">
      <formula>NOT(ISERROR(SEARCH(("거부"),(D334))))</formula>
    </cfRule>
  </conditionalFormatting>
  <conditionalFormatting sqref="D334:H334">
    <cfRule type="containsText" dxfId="1" priority="672" operator="containsText" text="리턴">
      <formula>NOT(ISERROR(SEARCH(("리턴"),(D334))))</formula>
    </cfRule>
  </conditionalFormatting>
  <conditionalFormatting sqref="D334:H334">
    <cfRule type="containsText" dxfId="2" priority="673" operator="containsText" text="실패">
      <formula>NOT(ISERROR(SEARCH(("실패"),(D334))))</formula>
    </cfRule>
  </conditionalFormatting>
  <conditionalFormatting sqref="D334:H334">
    <cfRule type="containsText" dxfId="3" priority="674" operator="containsText" text="관리">
      <formula>NOT(ISERROR(SEARCH(("관리"),(D334))))</formula>
    </cfRule>
  </conditionalFormatting>
  <conditionalFormatting sqref="D334:H334">
    <cfRule type="containsText" dxfId="4" priority="675" operator="containsText" text="등록">
      <formula>NOT(ISERROR(SEARCH(("등록"),(D334))))</formula>
    </cfRule>
  </conditionalFormatting>
  <conditionalFormatting sqref="D334:H334">
    <cfRule type="containsText" dxfId="0" priority="676" operator="containsText" text="거부">
      <formula>NOT(ISERROR(SEARCH(("거부"),(D334))))</formula>
    </cfRule>
  </conditionalFormatting>
  <conditionalFormatting sqref="D334:H334">
    <cfRule type="containsText" dxfId="1" priority="677" operator="containsText" text="리턴">
      <formula>NOT(ISERROR(SEARCH(("리턴"),(D334))))</formula>
    </cfRule>
  </conditionalFormatting>
  <conditionalFormatting sqref="D334:H334">
    <cfRule type="containsText" dxfId="2" priority="678" operator="containsText" text="실패">
      <formula>NOT(ISERROR(SEARCH(("실패"),(D334))))</formula>
    </cfRule>
  </conditionalFormatting>
  <conditionalFormatting sqref="D334:H334">
    <cfRule type="containsText" dxfId="3" priority="679" operator="containsText" text="관리">
      <formula>NOT(ISERROR(SEARCH(("관리"),(D334))))</formula>
    </cfRule>
  </conditionalFormatting>
  <conditionalFormatting sqref="D334:H334">
    <cfRule type="containsText" dxfId="4" priority="680" operator="containsText" text="등록">
      <formula>NOT(ISERROR(SEARCH(("등록"),(D334))))</formula>
    </cfRule>
  </conditionalFormatting>
  <conditionalFormatting sqref="D334:H334">
    <cfRule type="containsText" dxfId="0" priority="681" operator="containsText" text="거부">
      <formula>NOT(ISERROR(SEARCH(("거부"),(D334))))</formula>
    </cfRule>
  </conditionalFormatting>
  <conditionalFormatting sqref="D334:H334">
    <cfRule type="containsText" dxfId="1" priority="682" operator="containsText" text="리턴">
      <formula>NOT(ISERROR(SEARCH(("리턴"),(D334))))</formula>
    </cfRule>
  </conditionalFormatting>
  <conditionalFormatting sqref="D334:H334">
    <cfRule type="containsText" dxfId="2" priority="683" operator="containsText" text="실패">
      <formula>NOT(ISERROR(SEARCH(("실패"),(D334))))</formula>
    </cfRule>
  </conditionalFormatting>
  <conditionalFormatting sqref="D334:H334">
    <cfRule type="containsText" dxfId="3" priority="684" operator="containsText" text="관리">
      <formula>NOT(ISERROR(SEARCH(("관리"),(D334))))</formula>
    </cfRule>
  </conditionalFormatting>
  <conditionalFormatting sqref="D334:H334">
    <cfRule type="containsText" dxfId="4" priority="685" operator="containsText" text="등록">
      <formula>NOT(ISERROR(SEARCH(("등록"),(D334))))</formula>
    </cfRule>
  </conditionalFormatting>
  <conditionalFormatting sqref="D334:H334">
    <cfRule type="containsText" dxfId="0" priority="686" operator="containsText" text="거부">
      <formula>NOT(ISERROR(SEARCH(("거부"),(D334))))</formula>
    </cfRule>
  </conditionalFormatting>
  <conditionalFormatting sqref="D334:H334">
    <cfRule type="containsText" dxfId="1" priority="687" operator="containsText" text="리턴">
      <formula>NOT(ISERROR(SEARCH(("리턴"),(D334))))</formula>
    </cfRule>
  </conditionalFormatting>
  <conditionalFormatting sqref="D334:H334">
    <cfRule type="containsText" dxfId="2" priority="688" operator="containsText" text="실패">
      <formula>NOT(ISERROR(SEARCH(("실패"),(D334))))</formula>
    </cfRule>
  </conditionalFormatting>
  <conditionalFormatting sqref="D334:H334">
    <cfRule type="containsText" dxfId="3" priority="689" operator="containsText" text="관리">
      <formula>NOT(ISERROR(SEARCH(("관리"),(D334))))</formula>
    </cfRule>
  </conditionalFormatting>
  <conditionalFormatting sqref="D334:H334">
    <cfRule type="containsText" dxfId="4" priority="690" operator="containsText" text="등록">
      <formula>NOT(ISERROR(SEARCH(("등록"),(D334))))</formula>
    </cfRule>
  </conditionalFormatting>
  <conditionalFormatting sqref="A334">
    <cfRule type="containsText" dxfId="0" priority="691" operator="containsText" text="거부">
      <formula>NOT(ISERROR(SEARCH(("거부"),(A334))))</formula>
    </cfRule>
  </conditionalFormatting>
  <conditionalFormatting sqref="A334">
    <cfRule type="containsText" dxfId="1" priority="692" operator="containsText" text="리턴">
      <formula>NOT(ISERROR(SEARCH(("리턴"),(A334))))</formula>
    </cfRule>
  </conditionalFormatting>
  <conditionalFormatting sqref="A334">
    <cfRule type="containsText" dxfId="2" priority="693" operator="containsText" text="실패">
      <formula>NOT(ISERROR(SEARCH(("실패"),(A334))))</formula>
    </cfRule>
  </conditionalFormatting>
  <conditionalFormatting sqref="A334">
    <cfRule type="containsText" dxfId="3" priority="694" operator="containsText" text="관리">
      <formula>NOT(ISERROR(SEARCH(("관리"),(A334))))</formula>
    </cfRule>
  </conditionalFormatting>
  <conditionalFormatting sqref="A334">
    <cfRule type="containsText" dxfId="4" priority="695" operator="containsText" text="등록">
      <formula>NOT(ISERROR(SEARCH(("등록"),(A334))))</formula>
    </cfRule>
  </conditionalFormatting>
  <conditionalFormatting sqref="A334">
    <cfRule type="containsText" dxfId="0" priority="696" operator="containsText" text="거부">
      <formula>NOT(ISERROR(SEARCH(("거부"),(A334))))</formula>
    </cfRule>
  </conditionalFormatting>
  <conditionalFormatting sqref="A334">
    <cfRule type="containsText" dxfId="1" priority="697" operator="containsText" text="리턴">
      <formula>NOT(ISERROR(SEARCH(("리턴"),(A334))))</formula>
    </cfRule>
  </conditionalFormatting>
  <conditionalFormatting sqref="A334">
    <cfRule type="containsText" dxfId="2" priority="698" operator="containsText" text="실패">
      <formula>NOT(ISERROR(SEARCH(("실패"),(A334))))</formula>
    </cfRule>
  </conditionalFormatting>
  <conditionalFormatting sqref="A334">
    <cfRule type="containsText" dxfId="3" priority="699" operator="containsText" text="관리">
      <formula>NOT(ISERROR(SEARCH(("관리"),(A334))))</formula>
    </cfRule>
  </conditionalFormatting>
  <conditionalFormatting sqref="A334">
    <cfRule type="containsText" dxfId="4" priority="700" operator="containsText" text="등록">
      <formula>NOT(ISERROR(SEARCH(("등록"),(A334))))</formula>
    </cfRule>
  </conditionalFormatting>
  <conditionalFormatting sqref="A334">
    <cfRule type="containsText" dxfId="0" priority="701" operator="containsText" text="거부">
      <formula>NOT(ISERROR(SEARCH(("거부"),(A334))))</formula>
    </cfRule>
  </conditionalFormatting>
  <conditionalFormatting sqref="A334">
    <cfRule type="containsText" dxfId="1" priority="702" operator="containsText" text="리턴">
      <formula>NOT(ISERROR(SEARCH(("리턴"),(A334))))</formula>
    </cfRule>
  </conditionalFormatting>
  <conditionalFormatting sqref="A334">
    <cfRule type="containsText" dxfId="2" priority="703" operator="containsText" text="실패">
      <formula>NOT(ISERROR(SEARCH(("실패"),(A334))))</formula>
    </cfRule>
  </conditionalFormatting>
  <conditionalFormatting sqref="A334">
    <cfRule type="containsText" dxfId="3" priority="704" operator="containsText" text="관리">
      <formula>NOT(ISERROR(SEARCH(("관리"),(A334))))</formula>
    </cfRule>
  </conditionalFormatting>
  <conditionalFormatting sqref="A334">
    <cfRule type="containsText" dxfId="4" priority="705" operator="containsText" text="등록">
      <formula>NOT(ISERROR(SEARCH(("등록"),(A334))))</formula>
    </cfRule>
  </conditionalFormatting>
  <conditionalFormatting sqref="G337">
    <cfRule type="containsText" dxfId="0" priority="706" operator="containsText" text="거부">
      <formula>NOT(ISERROR(SEARCH(("거부"),(G337))))</formula>
    </cfRule>
  </conditionalFormatting>
  <conditionalFormatting sqref="G337">
    <cfRule type="containsText" dxfId="1" priority="707" operator="containsText" text="리턴">
      <formula>NOT(ISERROR(SEARCH(("리턴"),(G337))))</formula>
    </cfRule>
  </conditionalFormatting>
  <conditionalFormatting sqref="G337">
    <cfRule type="containsText" dxfId="2" priority="708" operator="containsText" text="실패">
      <formula>NOT(ISERROR(SEARCH(("실패"),(G337))))</formula>
    </cfRule>
  </conditionalFormatting>
  <conditionalFormatting sqref="G337">
    <cfRule type="containsText" dxfId="3" priority="709" operator="containsText" text="관리">
      <formula>NOT(ISERROR(SEARCH(("관리"),(G337))))</formula>
    </cfRule>
  </conditionalFormatting>
  <conditionalFormatting sqref="G337">
    <cfRule type="containsText" dxfId="4" priority="710" operator="containsText" text="등록">
      <formula>NOT(ISERROR(SEARCH(("등록"),(G337))))</formula>
    </cfRule>
  </conditionalFormatting>
  <conditionalFormatting sqref="G337">
    <cfRule type="containsText" dxfId="0" priority="711" operator="containsText" text="거부">
      <formula>NOT(ISERROR(SEARCH(("거부"),(G337))))</formula>
    </cfRule>
  </conditionalFormatting>
  <conditionalFormatting sqref="G337">
    <cfRule type="containsText" dxfId="1" priority="712" operator="containsText" text="리턴">
      <formula>NOT(ISERROR(SEARCH(("리턴"),(G337))))</formula>
    </cfRule>
  </conditionalFormatting>
  <conditionalFormatting sqref="G337">
    <cfRule type="containsText" dxfId="2" priority="713" operator="containsText" text="실패">
      <formula>NOT(ISERROR(SEARCH(("실패"),(G337))))</formula>
    </cfRule>
  </conditionalFormatting>
  <conditionalFormatting sqref="G337">
    <cfRule type="containsText" dxfId="3" priority="714" operator="containsText" text="관리">
      <formula>NOT(ISERROR(SEARCH(("관리"),(G337))))</formula>
    </cfRule>
  </conditionalFormatting>
  <conditionalFormatting sqref="G337">
    <cfRule type="containsText" dxfId="4" priority="715" operator="containsText" text="등록">
      <formula>NOT(ISERROR(SEARCH(("등록"),(G337))))</formula>
    </cfRule>
  </conditionalFormatting>
  <conditionalFormatting sqref="G337">
    <cfRule type="containsText" dxfId="0" priority="716" operator="containsText" text="거부">
      <formula>NOT(ISERROR(SEARCH(("거부"),(G337))))</formula>
    </cfRule>
  </conditionalFormatting>
  <conditionalFormatting sqref="G337">
    <cfRule type="containsText" dxfId="1" priority="717" operator="containsText" text="리턴">
      <formula>NOT(ISERROR(SEARCH(("리턴"),(G337))))</formula>
    </cfRule>
  </conditionalFormatting>
  <conditionalFormatting sqref="G337">
    <cfRule type="containsText" dxfId="2" priority="718" operator="containsText" text="실패">
      <formula>NOT(ISERROR(SEARCH(("실패"),(G337))))</formula>
    </cfRule>
  </conditionalFormatting>
  <conditionalFormatting sqref="G337">
    <cfRule type="containsText" dxfId="3" priority="719" operator="containsText" text="관리">
      <formula>NOT(ISERROR(SEARCH(("관리"),(G337))))</formula>
    </cfRule>
  </conditionalFormatting>
  <conditionalFormatting sqref="G337">
    <cfRule type="containsText" dxfId="4" priority="720" operator="containsText" text="등록">
      <formula>NOT(ISERROR(SEARCH(("등록"),(G337))))</formula>
    </cfRule>
  </conditionalFormatting>
  <conditionalFormatting sqref="G337">
    <cfRule type="containsText" dxfId="0" priority="721" operator="containsText" text="거부">
      <formula>NOT(ISERROR(SEARCH(("거부"),(G337))))</formula>
    </cfRule>
  </conditionalFormatting>
  <conditionalFormatting sqref="G337">
    <cfRule type="containsText" dxfId="1" priority="722" operator="containsText" text="리턴">
      <formula>NOT(ISERROR(SEARCH(("리턴"),(G337))))</formula>
    </cfRule>
  </conditionalFormatting>
  <conditionalFormatting sqref="G337">
    <cfRule type="containsText" dxfId="2" priority="723" operator="containsText" text="실패">
      <formula>NOT(ISERROR(SEARCH(("실패"),(G337))))</formula>
    </cfRule>
  </conditionalFormatting>
  <conditionalFormatting sqref="G337">
    <cfRule type="containsText" dxfId="3" priority="724" operator="containsText" text="관리">
      <formula>NOT(ISERROR(SEARCH(("관리"),(G337))))</formula>
    </cfRule>
  </conditionalFormatting>
  <conditionalFormatting sqref="G337">
    <cfRule type="containsText" dxfId="4" priority="725" operator="containsText" text="등록">
      <formula>NOT(ISERROR(SEARCH(("등록"),(G337))))</formula>
    </cfRule>
  </conditionalFormatting>
  <conditionalFormatting sqref="A337">
    <cfRule type="containsText" dxfId="0" priority="726" operator="containsText" text="거부">
      <formula>NOT(ISERROR(SEARCH(("거부"),(A337))))</formula>
    </cfRule>
  </conditionalFormatting>
  <conditionalFormatting sqref="A337">
    <cfRule type="containsText" dxfId="1" priority="727" operator="containsText" text="리턴">
      <formula>NOT(ISERROR(SEARCH(("리턴"),(A337))))</formula>
    </cfRule>
  </conditionalFormatting>
  <conditionalFormatting sqref="A337">
    <cfRule type="containsText" dxfId="2" priority="728" operator="containsText" text="실패">
      <formula>NOT(ISERROR(SEARCH(("실패"),(A337))))</formula>
    </cfRule>
  </conditionalFormatting>
  <conditionalFormatting sqref="A337">
    <cfRule type="containsText" dxfId="3" priority="729" operator="containsText" text="관리">
      <formula>NOT(ISERROR(SEARCH(("관리"),(A337))))</formula>
    </cfRule>
  </conditionalFormatting>
  <conditionalFormatting sqref="A337">
    <cfRule type="containsText" dxfId="4" priority="730" operator="containsText" text="등록">
      <formula>NOT(ISERROR(SEARCH(("등록"),(A337))))</formula>
    </cfRule>
  </conditionalFormatting>
  <conditionalFormatting sqref="A337">
    <cfRule type="containsText" dxfId="0" priority="731" operator="containsText" text="거부">
      <formula>NOT(ISERROR(SEARCH(("거부"),(A337))))</formula>
    </cfRule>
  </conditionalFormatting>
  <conditionalFormatting sqref="A337">
    <cfRule type="containsText" dxfId="1" priority="732" operator="containsText" text="리턴">
      <formula>NOT(ISERROR(SEARCH(("리턴"),(A337))))</formula>
    </cfRule>
  </conditionalFormatting>
  <conditionalFormatting sqref="A337">
    <cfRule type="containsText" dxfId="2" priority="733" operator="containsText" text="실패">
      <formula>NOT(ISERROR(SEARCH(("실패"),(A337))))</formula>
    </cfRule>
  </conditionalFormatting>
  <conditionalFormatting sqref="A337">
    <cfRule type="containsText" dxfId="3" priority="734" operator="containsText" text="관리">
      <formula>NOT(ISERROR(SEARCH(("관리"),(A337))))</formula>
    </cfRule>
  </conditionalFormatting>
  <conditionalFormatting sqref="A337">
    <cfRule type="containsText" dxfId="4" priority="735" operator="containsText" text="등록">
      <formula>NOT(ISERROR(SEARCH(("등록"),(A337))))</formula>
    </cfRule>
  </conditionalFormatting>
  <conditionalFormatting sqref="A337">
    <cfRule type="containsText" dxfId="0" priority="736" operator="containsText" text="거부">
      <formula>NOT(ISERROR(SEARCH(("거부"),(A337))))</formula>
    </cfRule>
  </conditionalFormatting>
  <conditionalFormatting sqref="A337">
    <cfRule type="containsText" dxfId="1" priority="737" operator="containsText" text="리턴">
      <formula>NOT(ISERROR(SEARCH(("리턴"),(A337))))</formula>
    </cfRule>
  </conditionalFormatting>
  <conditionalFormatting sqref="A337">
    <cfRule type="containsText" dxfId="2" priority="738" operator="containsText" text="실패">
      <formula>NOT(ISERROR(SEARCH(("실패"),(A337))))</formula>
    </cfRule>
  </conditionalFormatting>
  <conditionalFormatting sqref="A337">
    <cfRule type="containsText" dxfId="3" priority="739" operator="containsText" text="관리">
      <formula>NOT(ISERROR(SEARCH(("관리"),(A337))))</formula>
    </cfRule>
  </conditionalFormatting>
  <conditionalFormatting sqref="A337">
    <cfRule type="containsText" dxfId="4" priority="740" operator="containsText" text="등록">
      <formula>NOT(ISERROR(SEARCH(("등록"),(A337))))</formula>
    </cfRule>
  </conditionalFormatting>
  <conditionalFormatting sqref="D337:E337">
    <cfRule type="containsText" dxfId="0" priority="741" operator="containsText" text="거부">
      <formula>NOT(ISERROR(SEARCH(("거부"),(D337))))</formula>
    </cfRule>
  </conditionalFormatting>
  <conditionalFormatting sqref="D337:E337">
    <cfRule type="containsText" dxfId="1" priority="742" operator="containsText" text="리턴">
      <formula>NOT(ISERROR(SEARCH(("리턴"),(D337))))</formula>
    </cfRule>
  </conditionalFormatting>
  <conditionalFormatting sqref="D337:E337">
    <cfRule type="containsText" dxfId="2" priority="743" operator="containsText" text="실패">
      <formula>NOT(ISERROR(SEARCH(("실패"),(D337))))</formula>
    </cfRule>
  </conditionalFormatting>
  <conditionalFormatting sqref="D337:E337">
    <cfRule type="containsText" dxfId="3" priority="744" operator="containsText" text="관리">
      <formula>NOT(ISERROR(SEARCH(("관리"),(D337))))</formula>
    </cfRule>
  </conditionalFormatting>
  <conditionalFormatting sqref="D337:E337">
    <cfRule type="containsText" dxfId="4" priority="745" operator="containsText" text="등록">
      <formula>NOT(ISERROR(SEARCH(("등록"),(D337))))</formula>
    </cfRule>
  </conditionalFormatting>
  <conditionalFormatting sqref="D337:E337">
    <cfRule type="containsText" dxfId="0" priority="746" operator="containsText" text="거부">
      <formula>NOT(ISERROR(SEARCH(("거부"),(D337))))</formula>
    </cfRule>
  </conditionalFormatting>
  <conditionalFormatting sqref="D337:E337">
    <cfRule type="containsText" dxfId="1" priority="747" operator="containsText" text="리턴">
      <formula>NOT(ISERROR(SEARCH(("리턴"),(D337))))</formula>
    </cfRule>
  </conditionalFormatting>
  <conditionalFormatting sqref="D337:E337">
    <cfRule type="containsText" dxfId="2" priority="748" operator="containsText" text="실패">
      <formula>NOT(ISERROR(SEARCH(("실패"),(D337))))</formula>
    </cfRule>
  </conditionalFormatting>
  <conditionalFormatting sqref="D337:E337">
    <cfRule type="containsText" dxfId="3" priority="749" operator="containsText" text="관리">
      <formula>NOT(ISERROR(SEARCH(("관리"),(D337))))</formula>
    </cfRule>
  </conditionalFormatting>
  <conditionalFormatting sqref="D337:E337">
    <cfRule type="containsText" dxfId="4" priority="750" operator="containsText" text="등록">
      <formula>NOT(ISERROR(SEARCH(("등록"),(D337))))</formula>
    </cfRule>
  </conditionalFormatting>
  <conditionalFormatting sqref="D337:E337">
    <cfRule type="containsText" dxfId="0" priority="751" operator="containsText" text="거부">
      <formula>NOT(ISERROR(SEARCH(("거부"),(D337))))</formula>
    </cfRule>
  </conditionalFormatting>
  <conditionalFormatting sqref="D337:E337">
    <cfRule type="containsText" dxfId="1" priority="752" operator="containsText" text="리턴">
      <formula>NOT(ISERROR(SEARCH(("리턴"),(D337))))</formula>
    </cfRule>
  </conditionalFormatting>
  <conditionalFormatting sqref="D337:E337">
    <cfRule type="containsText" dxfId="2" priority="753" operator="containsText" text="실패">
      <formula>NOT(ISERROR(SEARCH(("실패"),(D337))))</formula>
    </cfRule>
  </conditionalFormatting>
  <conditionalFormatting sqref="D337:E337">
    <cfRule type="containsText" dxfId="3" priority="754" operator="containsText" text="관리">
      <formula>NOT(ISERROR(SEARCH(("관리"),(D337))))</formula>
    </cfRule>
  </conditionalFormatting>
  <conditionalFormatting sqref="D337:E337">
    <cfRule type="containsText" dxfId="4" priority="755" operator="containsText" text="등록">
      <formula>NOT(ISERROR(SEARCH(("등록"),(D337))))</formula>
    </cfRule>
  </conditionalFormatting>
  <conditionalFormatting sqref="D337:E337">
    <cfRule type="containsText" dxfId="0" priority="756" operator="containsText" text="거부">
      <formula>NOT(ISERROR(SEARCH(("거부"),(D337))))</formula>
    </cfRule>
  </conditionalFormatting>
  <conditionalFormatting sqref="D337:E337">
    <cfRule type="containsText" dxfId="1" priority="757" operator="containsText" text="리턴">
      <formula>NOT(ISERROR(SEARCH(("리턴"),(D337))))</formula>
    </cfRule>
  </conditionalFormatting>
  <conditionalFormatting sqref="D337:E337">
    <cfRule type="containsText" dxfId="2" priority="758" operator="containsText" text="실패">
      <formula>NOT(ISERROR(SEARCH(("실패"),(D337))))</formula>
    </cfRule>
  </conditionalFormatting>
  <conditionalFormatting sqref="D337:E337">
    <cfRule type="containsText" dxfId="3" priority="759" operator="containsText" text="관리">
      <formula>NOT(ISERROR(SEARCH(("관리"),(D337))))</formula>
    </cfRule>
  </conditionalFormatting>
  <conditionalFormatting sqref="D337:E337">
    <cfRule type="containsText" dxfId="4" priority="760" operator="containsText" text="등록">
      <formula>NOT(ISERROR(SEARCH(("등록"),(D337))))</formula>
    </cfRule>
  </conditionalFormatting>
  <conditionalFormatting sqref="F335">
    <cfRule type="containsText" dxfId="0" priority="761" operator="containsText" text="거부">
      <formula>NOT(ISERROR(SEARCH(("거부"),(F335))))</formula>
    </cfRule>
  </conditionalFormatting>
  <conditionalFormatting sqref="F335">
    <cfRule type="containsText" dxfId="1" priority="762" operator="containsText" text="리턴">
      <formula>NOT(ISERROR(SEARCH(("리턴"),(F335))))</formula>
    </cfRule>
  </conditionalFormatting>
  <conditionalFormatting sqref="F335">
    <cfRule type="containsText" dxfId="2" priority="763" operator="containsText" text="실패">
      <formula>NOT(ISERROR(SEARCH(("실패"),(F335))))</formula>
    </cfRule>
  </conditionalFormatting>
  <conditionalFormatting sqref="F335">
    <cfRule type="containsText" dxfId="3" priority="764" operator="containsText" text="관리">
      <formula>NOT(ISERROR(SEARCH(("관리"),(F335))))</formula>
    </cfRule>
  </conditionalFormatting>
  <conditionalFormatting sqref="F335">
    <cfRule type="containsText" dxfId="4" priority="765" operator="containsText" text="등록">
      <formula>NOT(ISERROR(SEARCH(("등록"),(F335))))</formula>
    </cfRule>
  </conditionalFormatting>
  <conditionalFormatting sqref="A335">
    <cfRule type="containsText" dxfId="0" priority="766" operator="containsText" text="거부">
      <formula>NOT(ISERROR(SEARCH(("거부"),(A335))))</formula>
    </cfRule>
  </conditionalFormatting>
  <conditionalFormatting sqref="A335">
    <cfRule type="containsText" dxfId="1" priority="767" operator="containsText" text="리턴">
      <formula>NOT(ISERROR(SEARCH(("리턴"),(A335))))</formula>
    </cfRule>
  </conditionalFormatting>
  <conditionalFormatting sqref="A335">
    <cfRule type="containsText" dxfId="2" priority="768" operator="containsText" text="실패">
      <formula>NOT(ISERROR(SEARCH(("실패"),(A335))))</formula>
    </cfRule>
  </conditionalFormatting>
  <conditionalFormatting sqref="A335">
    <cfRule type="containsText" dxfId="3" priority="769" operator="containsText" text="관리">
      <formula>NOT(ISERROR(SEARCH(("관리"),(A335))))</formula>
    </cfRule>
  </conditionalFormatting>
  <conditionalFormatting sqref="A335">
    <cfRule type="containsText" dxfId="4" priority="770" operator="containsText" text="등록">
      <formula>NOT(ISERROR(SEARCH(("등록"),(A335))))</formula>
    </cfRule>
  </conditionalFormatting>
  <conditionalFormatting sqref="G335">
    <cfRule type="containsText" dxfId="0" priority="771" operator="containsText" text="거부">
      <formula>NOT(ISERROR(SEARCH(("거부"),(G335))))</formula>
    </cfRule>
  </conditionalFormatting>
  <conditionalFormatting sqref="G335">
    <cfRule type="containsText" dxfId="1" priority="772" operator="containsText" text="리턴">
      <formula>NOT(ISERROR(SEARCH(("리턴"),(G335))))</formula>
    </cfRule>
  </conditionalFormatting>
  <conditionalFormatting sqref="G335">
    <cfRule type="containsText" dxfId="2" priority="773" operator="containsText" text="실패">
      <formula>NOT(ISERROR(SEARCH(("실패"),(G335))))</formula>
    </cfRule>
  </conditionalFormatting>
  <conditionalFormatting sqref="G335">
    <cfRule type="containsText" dxfId="3" priority="774" operator="containsText" text="관리">
      <formula>NOT(ISERROR(SEARCH(("관리"),(G335))))</formula>
    </cfRule>
  </conditionalFormatting>
  <conditionalFormatting sqref="G335">
    <cfRule type="containsText" dxfId="4" priority="775" operator="containsText" text="등록">
      <formula>NOT(ISERROR(SEARCH(("등록"),(G335))))</formula>
    </cfRule>
  </conditionalFormatting>
  <conditionalFormatting sqref="G335">
    <cfRule type="containsText" dxfId="0" priority="776" operator="containsText" text="거부">
      <formula>NOT(ISERROR(SEARCH(("거부"),(G335))))</formula>
    </cfRule>
  </conditionalFormatting>
  <conditionalFormatting sqref="G335">
    <cfRule type="containsText" dxfId="1" priority="777" operator="containsText" text="리턴">
      <formula>NOT(ISERROR(SEARCH(("리턴"),(G335))))</formula>
    </cfRule>
  </conditionalFormatting>
  <conditionalFormatting sqref="G335">
    <cfRule type="containsText" dxfId="2" priority="778" operator="containsText" text="실패">
      <formula>NOT(ISERROR(SEARCH(("실패"),(G335))))</formula>
    </cfRule>
  </conditionalFormatting>
  <conditionalFormatting sqref="G335">
    <cfRule type="containsText" dxfId="3" priority="779" operator="containsText" text="관리">
      <formula>NOT(ISERROR(SEARCH(("관리"),(G335))))</formula>
    </cfRule>
  </conditionalFormatting>
  <conditionalFormatting sqref="G335">
    <cfRule type="containsText" dxfId="4" priority="780" operator="containsText" text="등록">
      <formula>NOT(ISERROR(SEARCH(("등록"),(G335))))</formula>
    </cfRule>
  </conditionalFormatting>
  <conditionalFormatting sqref="G335">
    <cfRule type="containsText" dxfId="0" priority="781" operator="containsText" text="거부">
      <formula>NOT(ISERROR(SEARCH(("거부"),(G335))))</formula>
    </cfRule>
  </conditionalFormatting>
  <conditionalFormatting sqref="G335">
    <cfRule type="containsText" dxfId="1" priority="782" operator="containsText" text="리턴">
      <formula>NOT(ISERROR(SEARCH(("리턴"),(G335))))</formula>
    </cfRule>
  </conditionalFormatting>
  <conditionalFormatting sqref="G335">
    <cfRule type="containsText" dxfId="2" priority="783" operator="containsText" text="실패">
      <formula>NOT(ISERROR(SEARCH(("실패"),(G335))))</formula>
    </cfRule>
  </conditionalFormatting>
  <conditionalFormatting sqref="G335">
    <cfRule type="containsText" dxfId="3" priority="784" operator="containsText" text="관리">
      <formula>NOT(ISERROR(SEARCH(("관리"),(G335))))</formula>
    </cfRule>
  </conditionalFormatting>
  <conditionalFormatting sqref="G335">
    <cfRule type="containsText" dxfId="4" priority="785" operator="containsText" text="등록">
      <formula>NOT(ISERROR(SEARCH(("등록"),(G335))))</formula>
    </cfRule>
  </conditionalFormatting>
  <conditionalFormatting sqref="G335">
    <cfRule type="containsText" dxfId="0" priority="786" operator="containsText" text="거부">
      <formula>NOT(ISERROR(SEARCH(("거부"),(G335))))</formula>
    </cfRule>
  </conditionalFormatting>
  <conditionalFormatting sqref="G335">
    <cfRule type="containsText" dxfId="1" priority="787" operator="containsText" text="리턴">
      <formula>NOT(ISERROR(SEARCH(("리턴"),(G335))))</formula>
    </cfRule>
  </conditionalFormatting>
  <conditionalFormatting sqref="G335">
    <cfRule type="containsText" dxfId="2" priority="788" operator="containsText" text="실패">
      <formula>NOT(ISERROR(SEARCH(("실패"),(G335))))</formula>
    </cfRule>
  </conditionalFormatting>
  <conditionalFormatting sqref="G335">
    <cfRule type="containsText" dxfId="3" priority="789" operator="containsText" text="관리">
      <formula>NOT(ISERROR(SEARCH(("관리"),(G335))))</formula>
    </cfRule>
  </conditionalFormatting>
  <conditionalFormatting sqref="G335">
    <cfRule type="containsText" dxfId="4" priority="790" operator="containsText" text="등록">
      <formula>NOT(ISERROR(SEARCH(("등록"),(G335))))</formula>
    </cfRule>
  </conditionalFormatting>
  <conditionalFormatting sqref="H335">
    <cfRule type="containsText" dxfId="0" priority="791" operator="containsText" text="거부">
      <formula>NOT(ISERROR(SEARCH(("거부"),(H335))))</formula>
    </cfRule>
  </conditionalFormatting>
  <conditionalFormatting sqref="H335">
    <cfRule type="containsText" dxfId="1" priority="792" operator="containsText" text="리턴">
      <formula>NOT(ISERROR(SEARCH(("리턴"),(H335))))</formula>
    </cfRule>
  </conditionalFormatting>
  <conditionalFormatting sqref="H335">
    <cfRule type="containsText" dxfId="2" priority="793" operator="containsText" text="실패">
      <formula>NOT(ISERROR(SEARCH(("실패"),(H335))))</formula>
    </cfRule>
  </conditionalFormatting>
  <conditionalFormatting sqref="H335">
    <cfRule type="containsText" dxfId="3" priority="794" operator="containsText" text="관리">
      <formula>NOT(ISERROR(SEARCH(("관리"),(H335))))</formula>
    </cfRule>
  </conditionalFormatting>
  <conditionalFormatting sqref="H335">
    <cfRule type="containsText" dxfId="4" priority="795" operator="containsText" text="등록">
      <formula>NOT(ISERROR(SEARCH(("등록"),(H335))))</formula>
    </cfRule>
  </conditionalFormatting>
  <conditionalFormatting sqref="H335">
    <cfRule type="containsText" dxfId="0" priority="796" operator="containsText" text="거부">
      <formula>NOT(ISERROR(SEARCH(("거부"),(H335))))</formula>
    </cfRule>
  </conditionalFormatting>
  <conditionalFormatting sqref="H335">
    <cfRule type="containsText" dxfId="1" priority="797" operator="containsText" text="리턴">
      <formula>NOT(ISERROR(SEARCH(("리턴"),(H335))))</formula>
    </cfRule>
  </conditionalFormatting>
  <conditionalFormatting sqref="H335">
    <cfRule type="containsText" dxfId="2" priority="798" operator="containsText" text="실패">
      <formula>NOT(ISERROR(SEARCH(("실패"),(H335))))</formula>
    </cfRule>
  </conditionalFormatting>
  <conditionalFormatting sqref="H335">
    <cfRule type="containsText" dxfId="3" priority="799" operator="containsText" text="관리">
      <formula>NOT(ISERROR(SEARCH(("관리"),(H335))))</formula>
    </cfRule>
  </conditionalFormatting>
  <conditionalFormatting sqref="H335">
    <cfRule type="containsText" dxfId="4" priority="800" operator="containsText" text="등록">
      <formula>NOT(ISERROR(SEARCH(("등록"),(H335))))</formula>
    </cfRule>
  </conditionalFormatting>
  <conditionalFormatting sqref="H335">
    <cfRule type="containsText" dxfId="0" priority="801" operator="containsText" text="거부">
      <formula>NOT(ISERROR(SEARCH(("거부"),(H335))))</formula>
    </cfRule>
  </conditionalFormatting>
  <conditionalFormatting sqref="H335">
    <cfRule type="containsText" dxfId="1" priority="802" operator="containsText" text="리턴">
      <formula>NOT(ISERROR(SEARCH(("리턴"),(H335))))</formula>
    </cfRule>
  </conditionalFormatting>
  <conditionalFormatting sqref="H335">
    <cfRule type="containsText" dxfId="2" priority="803" operator="containsText" text="실패">
      <formula>NOT(ISERROR(SEARCH(("실패"),(H335))))</formula>
    </cfRule>
  </conditionalFormatting>
  <conditionalFormatting sqref="H335">
    <cfRule type="containsText" dxfId="3" priority="804" operator="containsText" text="관리">
      <formula>NOT(ISERROR(SEARCH(("관리"),(H335))))</formula>
    </cfRule>
  </conditionalFormatting>
  <conditionalFormatting sqref="H335">
    <cfRule type="containsText" dxfId="4" priority="805" operator="containsText" text="등록">
      <formula>NOT(ISERROR(SEARCH(("등록"),(H335))))</formula>
    </cfRule>
  </conditionalFormatting>
  <conditionalFormatting sqref="H335">
    <cfRule type="containsText" dxfId="0" priority="806" operator="containsText" text="거부">
      <formula>NOT(ISERROR(SEARCH(("거부"),(H335))))</formula>
    </cfRule>
  </conditionalFormatting>
  <conditionalFormatting sqref="H335">
    <cfRule type="containsText" dxfId="1" priority="807" operator="containsText" text="리턴">
      <formula>NOT(ISERROR(SEARCH(("리턴"),(H335))))</formula>
    </cfRule>
  </conditionalFormatting>
  <conditionalFormatting sqref="H335">
    <cfRule type="containsText" dxfId="2" priority="808" operator="containsText" text="실패">
      <formula>NOT(ISERROR(SEARCH(("실패"),(H335))))</formula>
    </cfRule>
  </conditionalFormatting>
  <conditionalFormatting sqref="H335">
    <cfRule type="containsText" dxfId="3" priority="809" operator="containsText" text="관리">
      <formula>NOT(ISERROR(SEARCH(("관리"),(H335))))</formula>
    </cfRule>
  </conditionalFormatting>
  <conditionalFormatting sqref="H335">
    <cfRule type="containsText" dxfId="4" priority="810" operator="containsText" text="등록">
      <formula>NOT(ISERROR(SEARCH(("등록"),(H335))))</formula>
    </cfRule>
  </conditionalFormatting>
  <conditionalFormatting sqref="A336">
    <cfRule type="containsText" dxfId="0" priority="811" operator="containsText" text="거부">
      <formula>NOT(ISERROR(SEARCH(("거부"),(A336))))</formula>
    </cfRule>
  </conditionalFormatting>
  <conditionalFormatting sqref="A336">
    <cfRule type="containsText" dxfId="1" priority="812" operator="containsText" text="리턴">
      <formula>NOT(ISERROR(SEARCH(("리턴"),(A336))))</formula>
    </cfRule>
  </conditionalFormatting>
  <conditionalFormatting sqref="A336">
    <cfRule type="containsText" dxfId="2" priority="813" operator="containsText" text="실패">
      <formula>NOT(ISERROR(SEARCH(("실패"),(A336))))</formula>
    </cfRule>
  </conditionalFormatting>
  <conditionalFormatting sqref="A336">
    <cfRule type="containsText" dxfId="3" priority="814" operator="containsText" text="관리">
      <formula>NOT(ISERROR(SEARCH(("관리"),(A336))))</formula>
    </cfRule>
  </conditionalFormatting>
  <conditionalFormatting sqref="A336">
    <cfRule type="containsText" dxfId="4" priority="815" operator="containsText" text="등록">
      <formula>NOT(ISERROR(SEARCH(("등록"),(A336))))</formula>
    </cfRule>
  </conditionalFormatting>
  <conditionalFormatting sqref="H336">
    <cfRule type="containsText" dxfId="0" priority="816" operator="containsText" text="거부">
      <formula>NOT(ISERROR(SEARCH(("거부"),(H336))))</formula>
    </cfRule>
  </conditionalFormatting>
  <conditionalFormatting sqref="H336">
    <cfRule type="containsText" dxfId="1" priority="817" operator="containsText" text="리턴">
      <formula>NOT(ISERROR(SEARCH(("리턴"),(H336))))</formula>
    </cfRule>
  </conditionalFormatting>
  <conditionalFormatting sqref="H336">
    <cfRule type="containsText" dxfId="2" priority="818" operator="containsText" text="실패">
      <formula>NOT(ISERROR(SEARCH(("실패"),(H336))))</formula>
    </cfRule>
  </conditionalFormatting>
  <conditionalFormatting sqref="H336">
    <cfRule type="containsText" dxfId="3" priority="819" operator="containsText" text="관리">
      <formula>NOT(ISERROR(SEARCH(("관리"),(H336))))</formula>
    </cfRule>
  </conditionalFormatting>
  <conditionalFormatting sqref="H336">
    <cfRule type="containsText" dxfId="4" priority="820" operator="containsText" text="등록">
      <formula>NOT(ISERROR(SEARCH(("등록"),(H336))))</formula>
    </cfRule>
  </conditionalFormatting>
  <conditionalFormatting sqref="H336">
    <cfRule type="containsText" dxfId="0" priority="821" operator="containsText" text="거부">
      <formula>NOT(ISERROR(SEARCH(("거부"),(H336))))</formula>
    </cfRule>
  </conditionalFormatting>
  <conditionalFormatting sqref="H336">
    <cfRule type="containsText" dxfId="1" priority="822" operator="containsText" text="리턴">
      <formula>NOT(ISERROR(SEARCH(("리턴"),(H336))))</formula>
    </cfRule>
  </conditionalFormatting>
  <conditionalFormatting sqref="H336">
    <cfRule type="containsText" dxfId="2" priority="823" operator="containsText" text="실패">
      <formula>NOT(ISERROR(SEARCH(("실패"),(H336))))</formula>
    </cfRule>
  </conditionalFormatting>
  <conditionalFormatting sqref="H336">
    <cfRule type="containsText" dxfId="3" priority="824" operator="containsText" text="관리">
      <formula>NOT(ISERROR(SEARCH(("관리"),(H336))))</formula>
    </cfRule>
  </conditionalFormatting>
  <conditionalFormatting sqref="H336">
    <cfRule type="containsText" dxfId="4" priority="825" operator="containsText" text="등록">
      <formula>NOT(ISERROR(SEARCH(("등록"),(H336))))</formula>
    </cfRule>
  </conditionalFormatting>
  <conditionalFormatting sqref="H336">
    <cfRule type="containsText" dxfId="0" priority="826" operator="containsText" text="거부">
      <formula>NOT(ISERROR(SEARCH(("거부"),(H336))))</formula>
    </cfRule>
  </conditionalFormatting>
  <conditionalFormatting sqref="H336">
    <cfRule type="containsText" dxfId="1" priority="827" operator="containsText" text="리턴">
      <formula>NOT(ISERROR(SEARCH(("리턴"),(H336))))</formula>
    </cfRule>
  </conditionalFormatting>
  <conditionalFormatting sqref="H336">
    <cfRule type="containsText" dxfId="2" priority="828" operator="containsText" text="실패">
      <formula>NOT(ISERROR(SEARCH(("실패"),(H336))))</formula>
    </cfRule>
  </conditionalFormatting>
  <conditionalFormatting sqref="H336">
    <cfRule type="containsText" dxfId="3" priority="829" operator="containsText" text="관리">
      <formula>NOT(ISERROR(SEARCH(("관리"),(H336))))</formula>
    </cfRule>
  </conditionalFormatting>
  <conditionalFormatting sqref="H336">
    <cfRule type="containsText" dxfId="4" priority="830" operator="containsText" text="등록">
      <formula>NOT(ISERROR(SEARCH(("등록"),(H336))))</formula>
    </cfRule>
  </conditionalFormatting>
  <conditionalFormatting sqref="H336">
    <cfRule type="containsText" dxfId="0" priority="831" operator="containsText" text="거부">
      <formula>NOT(ISERROR(SEARCH(("거부"),(H336))))</formula>
    </cfRule>
  </conditionalFormatting>
  <conditionalFormatting sqref="H336">
    <cfRule type="containsText" dxfId="1" priority="832" operator="containsText" text="리턴">
      <formula>NOT(ISERROR(SEARCH(("리턴"),(H336))))</formula>
    </cfRule>
  </conditionalFormatting>
  <conditionalFormatting sqref="H336">
    <cfRule type="containsText" dxfId="2" priority="833" operator="containsText" text="실패">
      <formula>NOT(ISERROR(SEARCH(("실패"),(H336))))</formula>
    </cfRule>
  </conditionalFormatting>
  <conditionalFormatting sqref="H336">
    <cfRule type="containsText" dxfId="3" priority="834" operator="containsText" text="관리">
      <formula>NOT(ISERROR(SEARCH(("관리"),(H336))))</formula>
    </cfRule>
  </conditionalFormatting>
  <conditionalFormatting sqref="H336">
    <cfRule type="containsText" dxfId="4" priority="835" operator="containsText" text="등록">
      <formula>NOT(ISERROR(SEARCH(("등록"),(H336))))</formula>
    </cfRule>
  </conditionalFormatting>
  <conditionalFormatting sqref="A338">
    <cfRule type="containsText" dxfId="0" priority="836" operator="containsText" text="거부">
      <formula>NOT(ISERROR(SEARCH(("거부"),(A338))))</formula>
    </cfRule>
  </conditionalFormatting>
  <conditionalFormatting sqref="A338">
    <cfRule type="containsText" dxfId="1" priority="837" operator="containsText" text="리턴">
      <formula>NOT(ISERROR(SEARCH(("리턴"),(A338))))</formula>
    </cfRule>
  </conditionalFormatting>
  <conditionalFormatting sqref="A338">
    <cfRule type="containsText" dxfId="2" priority="838" operator="containsText" text="실패">
      <formula>NOT(ISERROR(SEARCH(("실패"),(A338))))</formula>
    </cfRule>
  </conditionalFormatting>
  <conditionalFormatting sqref="A338">
    <cfRule type="containsText" dxfId="3" priority="839" operator="containsText" text="관리">
      <formula>NOT(ISERROR(SEARCH(("관리"),(A338))))</formula>
    </cfRule>
  </conditionalFormatting>
  <conditionalFormatting sqref="A338">
    <cfRule type="containsText" dxfId="4" priority="840" operator="containsText" text="등록">
      <formula>NOT(ISERROR(SEARCH(("등록"),(A338))))</formula>
    </cfRule>
  </conditionalFormatting>
  <conditionalFormatting sqref="A338">
    <cfRule type="containsText" dxfId="0" priority="841" operator="containsText" text="거부">
      <formula>NOT(ISERROR(SEARCH(("거부"),(A338))))</formula>
    </cfRule>
  </conditionalFormatting>
  <conditionalFormatting sqref="A338">
    <cfRule type="containsText" dxfId="1" priority="842" operator="containsText" text="리턴">
      <formula>NOT(ISERROR(SEARCH(("리턴"),(A338))))</formula>
    </cfRule>
  </conditionalFormatting>
  <conditionalFormatting sqref="A338">
    <cfRule type="containsText" dxfId="2" priority="843" operator="containsText" text="실패">
      <formula>NOT(ISERROR(SEARCH(("실패"),(A338))))</formula>
    </cfRule>
  </conditionalFormatting>
  <conditionalFormatting sqref="A338">
    <cfRule type="containsText" dxfId="3" priority="844" operator="containsText" text="관리">
      <formula>NOT(ISERROR(SEARCH(("관리"),(A338))))</formula>
    </cfRule>
  </conditionalFormatting>
  <conditionalFormatting sqref="A338">
    <cfRule type="containsText" dxfId="4" priority="845" operator="containsText" text="등록">
      <formula>NOT(ISERROR(SEARCH(("등록"),(A338))))</formula>
    </cfRule>
  </conditionalFormatting>
  <conditionalFormatting sqref="A338">
    <cfRule type="containsText" dxfId="0" priority="846" operator="containsText" text="거부">
      <formula>NOT(ISERROR(SEARCH(("거부"),(A338))))</formula>
    </cfRule>
  </conditionalFormatting>
  <conditionalFormatting sqref="A338">
    <cfRule type="containsText" dxfId="1" priority="847" operator="containsText" text="리턴">
      <formula>NOT(ISERROR(SEARCH(("리턴"),(A338))))</formula>
    </cfRule>
  </conditionalFormatting>
  <conditionalFormatting sqref="A338">
    <cfRule type="containsText" dxfId="2" priority="848" operator="containsText" text="실패">
      <formula>NOT(ISERROR(SEARCH(("실패"),(A338))))</formula>
    </cfRule>
  </conditionalFormatting>
  <conditionalFormatting sqref="A338">
    <cfRule type="containsText" dxfId="3" priority="849" operator="containsText" text="관리">
      <formula>NOT(ISERROR(SEARCH(("관리"),(A338))))</formula>
    </cfRule>
  </conditionalFormatting>
  <conditionalFormatting sqref="A338">
    <cfRule type="containsText" dxfId="4" priority="850" operator="containsText" text="등록">
      <formula>NOT(ISERROR(SEARCH(("등록"),(A338))))</formula>
    </cfRule>
  </conditionalFormatting>
  <conditionalFormatting sqref="J339">
    <cfRule type="containsText" dxfId="0" priority="851" operator="containsText" text="거부">
      <formula>NOT(ISERROR(SEARCH(("거부"),(J339))))</formula>
    </cfRule>
  </conditionalFormatting>
  <conditionalFormatting sqref="J339">
    <cfRule type="containsText" dxfId="1" priority="852" operator="containsText" text="리턴">
      <formula>NOT(ISERROR(SEARCH(("리턴"),(J339))))</formula>
    </cfRule>
  </conditionalFormatting>
  <conditionalFormatting sqref="J339">
    <cfRule type="containsText" dxfId="2" priority="853" operator="containsText" text="실패">
      <formula>NOT(ISERROR(SEARCH(("실패"),(J339))))</formula>
    </cfRule>
  </conditionalFormatting>
  <conditionalFormatting sqref="J339">
    <cfRule type="containsText" dxfId="3" priority="854" operator="containsText" text="관리">
      <formula>NOT(ISERROR(SEARCH(("관리"),(J339))))</formula>
    </cfRule>
  </conditionalFormatting>
  <conditionalFormatting sqref="J339">
    <cfRule type="containsText" dxfId="4" priority="855" operator="containsText" text="등록">
      <formula>NOT(ISERROR(SEARCH(("등록"),(J339))))</formula>
    </cfRule>
  </conditionalFormatting>
  <conditionalFormatting sqref="A339">
    <cfRule type="containsText" dxfId="0" priority="856" operator="containsText" text="거부">
      <formula>NOT(ISERROR(SEARCH(("거부"),(A339))))</formula>
    </cfRule>
  </conditionalFormatting>
  <conditionalFormatting sqref="A339">
    <cfRule type="containsText" dxfId="1" priority="857" operator="containsText" text="리턴">
      <formula>NOT(ISERROR(SEARCH(("리턴"),(A339))))</formula>
    </cfRule>
  </conditionalFormatting>
  <conditionalFormatting sqref="A339">
    <cfRule type="containsText" dxfId="2" priority="858" operator="containsText" text="실패">
      <formula>NOT(ISERROR(SEARCH(("실패"),(A339))))</formula>
    </cfRule>
  </conditionalFormatting>
  <conditionalFormatting sqref="A339">
    <cfRule type="containsText" dxfId="3" priority="859" operator="containsText" text="관리">
      <formula>NOT(ISERROR(SEARCH(("관리"),(A339))))</formula>
    </cfRule>
  </conditionalFormatting>
  <conditionalFormatting sqref="A339">
    <cfRule type="containsText" dxfId="4" priority="860" operator="containsText" text="등록">
      <formula>NOT(ISERROR(SEARCH(("등록"),(A339))))</formula>
    </cfRule>
  </conditionalFormatting>
  <conditionalFormatting sqref="A340">
    <cfRule type="containsText" dxfId="0" priority="861" operator="containsText" text="거부">
      <formula>NOT(ISERROR(SEARCH(("거부"),(A340))))</formula>
    </cfRule>
  </conditionalFormatting>
  <conditionalFormatting sqref="A340">
    <cfRule type="containsText" dxfId="1" priority="862" operator="containsText" text="리턴">
      <formula>NOT(ISERROR(SEARCH(("리턴"),(A340))))</formula>
    </cfRule>
  </conditionalFormatting>
  <conditionalFormatting sqref="A340">
    <cfRule type="containsText" dxfId="2" priority="863" operator="containsText" text="실패">
      <formula>NOT(ISERROR(SEARCH(("실패"),(A340))))</formula>
    </cfRule>
  </conditionalFormatting>
  <conditionalFormatting sqref="A340">
    <cfRule type="containsText" dxfId="3" priority="864" operator="containsText" text="관리">
      <formula>NOT(ISERROR(SEARCH(("관리"),(A340))))</formula>
    </cfRule>
  </conditionalFormatting>
  <conditionalFormatting sqref="A340">
    <cfRule type="containsText" dxfId="4" priority="865" operator="containsText" text="등록">
      <formula>NOT(ISERROR(SEARCH(("등록"),(A340))))</formula>
    </cfRule>
  </conditionalFormatting>
  <conditionalFormatting sqref="J340">
    <cfRule type="containsText" dxfId="0" priority="866" operator="containsText" text="거부">
      <formula>NOT(ISERROR(SEARCH(("거부"),(J340))))</formula>
    </cfRule>
  </conditionalFormatting>
  <conditionalFormatting sqref="J340">
    <cfRule type="containsText" dxfId="1" priority="867" operator="containsText" text="리턴">
      <formula>NOT(ISERROR(SEARCH(("리턴"),(J340))))</formula>
    </cfRule>
  </conditionalFormatting>
  <conditionalFormatting sqref="J340">
    <cfRule type="containsText" dxfId="2" priority="868" operator="containsText" text="실패">
      <formula>NOT(ISERROR(SEARCH(("실패"),(J340))))</formula>
    </cfRule>
  </conditionalFormatting>
  <conditionalFormatting sqref="J340">
    <cfRule type="containsText" dxfId="3" priority="869" operator="containsText" text="관리">
      <formula>NOT(ISERROR(SEARCH(("관리"),(J340))))</formula>
    </cfRule>
  </conditionalFormatting>
  <conditionalFormatting sqref="J340">
    <cfRule type="containsText" dxfId="4" priority="870" operator="containsText" text="등록">
      <formula>NOT(ISERROR(SEARCH(("등록"),(J340))))</formula>
    </cfRule>
  </conditionalFormatting>
  <conditionalFormatting sqref="A341">
    <cfRule type="containsText" dxfId="0" priority="871" operator="containsText" text="거부">
      <formula>NOT(ISERROR(SEARCH(("거부"),(A341))))</formula>
    </cfRule>
  </conditionalFormatting>
  <conditionalFormatting sqref="A341">
    <cfRule type="containsText" dxfId="1" priority="872" operator="containsText" text="리턴">
      <formula>NOT(ISERROR(SEARCH(("리턴"),(A341))))</formula>
    </cfRule>
  </conditionalFormatting>
  <conditionalFormatting sqref="A341">
    <cfRule type="containsText" dxfId="2" priority="873" operator="containsText" text="실패">
      <formula>NOT(ISERROR(SEARCH(("실패"),(A341))))</formula>
    </cfRule>
  </conditionalFormatting>
  <conditionalFormatting sqref="A341">
    <cfRule type="containsText" dxfId="3" priority="874" operator="containsText" text="관리">
      <formula>NOT(ISERROR(SEARCH(("관리"),(A341))))</formula>
    </cfRule>
  </conditionalFormatting>
  <conditionalFormatting sqref="A341">
    <cfRule type="containsText" dxfId="4" priority="875" operator="containsText" text="등록">
      <formula>NOT(ISERROR(SEARCH(("등록"),(A341))))</formula>
    </cfRule>
  </conditionalFormatting>
  <conditionalFormatting sqref="J341">
    <cfRule type="containsText" dxfId="0" priority="876" operator="containsText" text="거부">
      <formula>NOT(ISERROR(SEARCH(("거부"),(J341))))</formula>
    </cfRule>
  </conditionalFormatting>
  <conditionalFormatting sqref="J341">
    <cfRule type="containsText" dxfId="1" priority="877" operator="containsText" text="리턴">
      <formula>NOT(ISERROR(SEARCH(("리턴"),(J341))))</formula>
    </cfRule>
  </conditionalFormatting>
  <conditionalFormatting sqref="J341">
    <cfRule type="containsText" dxfId="2" priority="878" operator="containsText" text="실패">
      <formula>NOT(ISERROR(SEARCH(("실패"),(J341))))</formula>
    </cfRule>
  </conditionalFormatting>
  <conditionalFormatting sqref="J341">
    <cfRule type="containsText" dxfId="3" priority="879" operator="containsText" text="관리">
      <formula>NOT(ISERROR(SEARCH(("관리"),(J341))))</formula>
    </cfRule>
  </conditionalFormatting>
  <conditionalFormatting sqref="J341">
    <cfRule type="containsText" dxfId="4" priority="880" operator="containsText" text="등록">
      <formula>NOT(ISERROR(SEARCH(("등록"),(J341))))</formula>
    </cfRule>
  </conditionalFormatting>
  <conditionalFormatting sqref="A343">
    <cfRule type="containsText" dxfId="0" priority="881" operator="containsText" text="거부">
      <formula>NOT(ISERROR(SEARCH(("거부"),(A343))))</formula>
    </cfRule>
  </conditionalFormatting>
  <conditionalFormatting sqref="A343">
    <cfRule type="containsText" dxfId="1" priority="882" operator="containsText" text="리턴">
      <formula>NOT(ISERROR(SEARCH(("리턴"),(A343))))</formula>
    </cfRule>
  </conditionalFormatting>
  <conditionalFormatting sqref="A343">
    <cfRule type="containsText" dxfId="2" priority="883" operator="containsText" text="실패">
      <formula>NOT(ISERROR(SEARCH(("실패"),(A343))))</formula>
    </cfRule>
  </conditionalFormatting>
  <conditionalFormatting sqref="A343">
    <cfRule type="containsText" dxfId="3" priority="884" operator="containsText" text="관리">
      <formula>NOT(ISERROR(SEARCH(("관리"),(A343))))</formula>
    </cfRule>
  </conditionalFormatting>
  <conditionalFormatting sqref="A343">
    <cfRule type="containsText" dxfId="4" priority="885" operator="containsText" text="등록">
      <formula>NOT(ISERROR(SEARCH(("등록"),(A343))))</formula>
    </cfRule>
  </conditionalFormatting>
  <conditionalFormatting sqref="J343">
    <cfRule type="containsText" dxfId="0" priority="886" operator="containsText" text="거부">
      <formula>NOT(ISERROR(SEARCH(("거부"),(J343))))</formula>
    </cfRule>
  </conditionalFormatting>
  <conditionalFormatting sqref="J343">
    <cfRule type="containsText" dxfId="1" priority="887" operator="containsText" text="리턴">
      <formula>NOT(ISERROR(SEARCH(("리턴"),(J343))))</formula>
    </cfRule>
  </conditionalFormatting>
  <conditionalFormatting sqref="J343">
    <cfRule type="containsText" dxfId="2" priority="888" operator="containsText" text="실패">
      <formula>NOT(ISERROR(SEARCH(("실패"),(J343))))</formula>
    </cfRule>
  </conditionalFormatting>
  <conditionalFormatting sqref="J343">
    <cfRule type="containsText" dxfId="3" priority="889" operator="containsText" text="관리">
      <formula>NOT(ISERROR(SEARCH(("관리"),(J343))))</formula>
    </cfRule>
  </conditionalFormatting>
  <conditionalFormatting sqref="J343">
    <cfRule type="containsText" dxfId="4" priority="890" operator="containsText" text="등록">
      <formula>NOT(ISERROR(SEARCH(("등록"),(J343))))</formula>
    </cfRule>
  </conditionalFormatting>
  <conditionalFormatting sqref="J342">
    <cfRule type="containsText" dxfId="0" priority="891" operator="containsText" text="거부">
      <formula>NOT(ISERROR(SEARCH(("거부"),(J342))))</formula>
    </cfRule>
  </conditionalFormatting>
  <conditionalFormatting sqref="J342">
    <cfRule type="containsText" dxfId="1" priority="892" operator="containsText" text="리턴">
      <formula>NOT(ISERROR(SEARCH(("리턴"),(J342))))</formula>
    </cfRule>
  </conditionalFormatting>
  <conditionalFormatting sqref="J342">
    <cfRule type="containsText" dxfId="2" priority="893" operator="containsText" text="실패">
      <formula>NOT(ISERROR(SEARCH(("실패"),(J342))))</formula>
    </cfRule>
  </conditionalFormatting>
  <conditionalFormatting sqref="J342">
    <cfRule type="containsText" dxfId="3" priority="894" operator="containsText" text="관리">
      <formula>NOT(ISERROR(SEARCH(("관리"),(J342))))</formula>
    </cfRule>
  </conditionalFormatting>
  <conditionalFormatting sqref="J342">
    <cfRule type="containsText" dxfId="4" priority="895" operator="containsText" text="등록">
      <formula>NOT(ISERROR(SEARCH(("등록"),(J342))))</formula>
    </cfRule>
  </conditionalFormatting>
  <conditionalFormatting sqref="A342">
    <cfRule type="containsText" dxfId="0" priority="896" operator="containsText" text="거부">
      <formula>NOT(ISERROR(SEARCH(("거부"),(A342))))</formula>
    </cfRule>
  </conditionalFormatting>
  <conditionalFormatting sqref="A342">
    <cfRule type="containsText" dxfId="1" priority="897" operator="containsText" text="리턴">
      <formula>NOT(ISERROR(SEARCH(("리턴"),(A342))))</formula>
    </cfRule>
  </conditionalFormatting>
  <conditionalFormatting sqref="A342">
    <cfRule type="containsText" dxfId="2" priority="898" operator="containsText" text="실패">
      <formula>NOT(ISERROR(SEARCH(("실패"),(A342))))</formula>
    </cfRule>
  </conditionalFormatting>
  <conditionalFormatting sqref="A342">
    <cfRule type="containsText" dxfId="3" priority="899" operator="containsText" text="관리">
      <formula>NOT(ISERROR(SEARCH(("관리"),(A342))))</formula>
    </cfRule>
  </conditionalFormatting>
  <conditionalFormatting sqref="A342">
    <cfRule type="containsText" dxfId="4" priority="900" operator="containsText" text="등록">
      <formula>NOT(ISERROR(SEARCH(("등록"),(A342))))</formula>
    </cfRule>
  </conditionalFormatting>
  <conditionalFormatting sqref="J344">
    <cfRule type="containsText" dxfId="0" priority="901" operator="containsText" text="거부">
      <formula>NOT(ISERROR(SEARCH(("거부"),(J344))))</formula>
    </cfRule>
  </conditionalFormatting>
  <conditionalFormatting sqref="J344">
    <cfRule type="containsText" dxfId="1" priority="902" operator="containsText" text="리턴">
      <formula>NOT(ISERROR(SEARCH(("리턴"),(J344))))</formula>
    </cfRule>
  </conditionalFormatting>
  <conditionalFormatting sqref="J344">
    <cfRule type="containsText" dxfId="2" priority="903" operator="containsText" text="실패">
      <formula>NOT(ISERROR(SEARCH(("실패"),(J344))))</formula>
    </cfRule>
  </conditionalFormatting>
  <conditionalFormatting sqref="J344">
    <cfRule type="containsText" dxfId="3" priority="904" operator="containsText" text="관리">
      <formula>NOT(ISERROR(SEARCH(("관리"),(J344))))</formula>
    </cfRule>
  </conditionalFormatting>
  <conditionalFormatting sqref="J344">
    <cfRule type="containsText" dxfId="4" priority="905" operator="containsText" text="등록">
      <formula>NOT(ISERROR(SEARCH(("등록"),(J344))))</formula>
    </cfRule>
  </conditionalFormatting>
  <conditionalFormatting sqref="A344">
    <cfRule type="containsText" dxfId="0" priority="906" operator="containsText" text="거부">
      <formula>NOT(ISERROR(SEARCH(("거부"),(A344))))</formula>
    </cfRule>
  </conditionalFormatting>
  <conditionalFormatting sqref="A344">
    <cfRule type="containsText" dxfId="1" priority="907" operator="containsText" text="리턴">
      <formula>NOT(ISERROR(SEARCH(("리턴"),(A344))))</formula>
    </cfRule>
  </conditionalFormatting>
  <conditionalFormatting sqref="A344">
    <cfRule type="containsText" dxfId="2" priority="908" operator="containsText" text="실패">
      <formula>NOT(ISERROR(SEARCH(("실패"),(A344))))</formula>
    </cfRule>
  </conditionalFormatting>
  <conditionalFormatting sqref="A344">
    <cfRule type="containsText" dxfId="3" priority="909" operator="containsText" text="관리">
      <formula>NOT(ISERROR(SEARCH(("관리"),(A344))))</formula>
    </cfRule>
  </conditionalFormatting>
  <conditionalFormatting sqref="A344">
    <cfRule type="containsText" dxfId="4" priority="910" operator="containsText" text="등록">
      <formula>NOT(ISERROR(SEARCH(("등록"),(A344))))</formula>
    </cfRule>
  </conditionalFormatting>
  <conditionalFormatting sqref="J345">
    <cfRule type="containsText" dxfId="0" priority="911" operator="containsText" text="거부">
      <formula>NOT(ISERROR(SEARCH(("거부"),(J345))))</formula>
    </cfRule>
  </conditionalFormatting>
  <conditionalFormatting sqref="J345">
    <cfRule type="containsText" dxfId="1" priority="912" operator="containsText" text="리턴">
      <formula>NOT(ISERROR(SEARCH(("리턴"),(J345))))</formula>
    </cfRule>
  </conditionalFormatting>
  <conditionalFormatting sqref="J345">
    <cfRule type="containsText" dxfId="2" priority="913" operator="containsText" text="실패">
      <formula>NOT(ISERROR(SEARCH(("실패"),(J345))))</formula>
    </cfRule>
  </conditionalFormatting>
  <conditionalFormatting sqref="J345">
    <cfRule type="containsText" dxfId="3" priority="914" operator="containsText" text="관리">
      <formula>NOT(ISERROR(SEARCH(("관리"),(J345))))</formula>
    </cfRule>
  </conditionalFormatting>
  <conditionalFormatting sqref="J345">
    <cfRule type="containsText" dxfId="4" priority="915" operator="containsText" text="등록">
      <formula>NOT(ISERROR(SEARCH(("등록"),(J345))))</formula>
    </cfRule>
  </conditionalFormatting>
  <conditionalFormatting sqref="D345:E345">
    <cfRule type="containsText" dxfId="0" priority="916" operator="containsText" text="거부">
      <formula>NOT(ISERROR(SEARCH(("거부"),(D345))))</formula>
    </cfRule>
  </conditionalFormatting>
  <conditionalFormatting sqref="D345:E345">
    <cfRule type="containsText" dxfId="1" priority="917" operator="containsText" text="리턴">
      <formula>NOT(ISERROR(SEARCH(("리턴"),(D345))))</formula>
    </cfRule>
  </conditionalFormatting>
  <conditionalFormatting sqref="D345:E345">
    <cfRule type="containsText" dxfId="2" priority="918" operator="containsText" text="실패">
      <formula>NOT(ISERROR(SEARCH(("실패"),(D345))))</formula>
    </cfRule>
  </conditionalFormatting>
  <conditionalFormatting sqref="D345:E345">
    <cfRule type="containsText" dxfId="3" priority="919" operator="containsText" text="관리">
      <formula>NOT(ISERROR(SEARCH(("관리"),(D345))))</formula>
    </cfRule>
  </conditionalFormatting>
  <conditionalFormatting sqref="D345:E345">
    <cfRule type="containsText" dxfId="4" priority="920" operator="containsText" text="등록">
      <formula>NOT(ISERROR(SEARCH(("등록"),(D345))))</formula>
    </cfRule>
  </conditionalFormatting>
  <conditionalFormatting sqref="A345">
    <cfRule type="containsText" dxfId="0" priority="921" operator="containsText" text="거부">
      <formula>NOT(ISERROR(SEARCH(("거부"),(A345))))</formula>
    </cfRule>
  </conditionalFormatting>
  <conditionalFormatting sqref="A345">
    <cfRule type="containsText" dxfId="1" priority="922" operator="containsText" text="리턴">
      <formula>NOT(ISERROR(SEARCH(("리턴"),(A345))))</formula>
    </cfRule>
  </conditionalFormatting>
  <conditionalFormatting sqref="A345">
    <cfRule type="containsText" dxfId="2" priority="923" operator="containsText" text="실패">
      <formula>NOT(ISERROR(SEARCH(("실패"),(A345))))</formula>
    </cfRule>
  </conditionalFormatting>
  <conditionalFormatting sqref="A345">
    <cfRule type="containsText" dxfId="3" priority="924" operator="containsText" text="관리">
      <formula>NOT(ISERROR(SEARCH(("관리"),(A345))))</formula>
    </cfRule>
  </conditionalFormatting>
  <conditionalFormatting sqref="A345">
    <cfRule type="containsText" dxfId="4" priority="925" operator="containsText" text="등록">
      <formula>NOT(ISERROR(SEARCH(("등록"),(A345))))</formula>
    </cfRule>
  </conditionalFormatting>
  <conditionalFormatting sqref="D346:E346">
    <cfRule type="containsText" dxfId="0" priority="926" operator="containsText" text="거부">
      <formula>NOT(ISERROR(SEARCH(("거부"),(D346))))</formula>
    </cfRule>
  </conditionalFormatting>
  <conditionalFormatting sqref="D346:E346">
    <cfRule type="containsText" dxfId="1" priority="927" operator="containsText" text="리턴">
      <formula>NOT(ISERROR(SEARCH(("리턴"),(D346))))</formula>
    </cfRule>
  </conditionalFormatting>
  <conditionalFormatting sqref="D346:E346">
    <cfRule type="containsText" dxfId="2" priority="928" operator="containsText" text="실패">
      <formula>NOT(ISERROR(SEARCH(("실패"),(D346))))</formula>
    </cfRule>
  </conditionalFormatting>
  <conditionalFormatting sqref="D346:E346">
    <cfRule type="containsText" dxfId="3" priority="929" operator="containsText" text="관리">
      <formula>NOT(ISERROR(SEARCH(("관리"),(D346))))</formula>
    </cfRule>
  </conditionalFormatting>
  <conditionalFormatting sqref="D346:E346">
    <cfRule type="containsText" dxfId="4" priority="930" operator="containsText" text="등록">
      <formula>NOT(ISERROR(SEARCH(("등록"),(D346))))</formula>
    </cfRule>
  </conditionalFormatting>
  <conditionalFormatting sqref="A346">
    <cfRule type="containsText" dxfId="0" priority="931" operator="containsText" text="거부">
      <formula>NOT(ISERROR(SEARCH(("거부"),(A346))))</formula>
    </cfRule>
  </conditionalFormatting>
  <conditionalFormatting sqref="A346">
    <cfRule type="containsText" dxfId="1" priority="932" operator="containsText" text="리턴">
      <formula>NOT(ISERROR(SEARCH(("리턴"),(A346))))</formula>
    </cfRule>
  </conditionalFormatting>
  <conditionalFormatting sqref="A346">
    <cfRule type="containsText" dxfId="2" priority="933" operator="containsText" text="실패">
      <formula>NOT(ISERROR(SEARCH(("실패"),(A346))))</formula>
    </cfRule>
  </conditionalFormatting>
  <conditionalFormatting sqref="A346">
    <cfRule type="containsText" dxfId="3" priority="934" operator="containsText" text="관리">
      <formula>NOT(ISERROR(SEARCH(("관리"),(A346))))</formula>
    </cfRule>
  </conditionalFormatting>
  <conditionalFormatting sqref="A346">
    <cfRule type="containsText" dxfId="4" priority="935" operator="containsText" text="등록">
      <formula>NOT(ISERROR(SEARCH(("등록"),(A346))))</formula>
    </cfRule>
  </conditionalFormatting>
  <conditionalFormatting sqref="J346">
    <cfRule type="containsText" dxfId="0" priority="936" operator="containsText" text="거부">
      <formula>NOT(ISERROR(SEARCH(("거부"),(J346))))</formula>
    </cfRule>
  </conditionalFormatting>
  <conditionalFormatting sqref="J346">
    <cfRule type="containsText" dxfId="1" priority="937" operator="containsText" text="리턴">
      <formula>NOT(ISERROR(SEARCH(("리턴"),(J346))))</formula>
    </cfRule>
  </conditionalFormatting>
  <conditionalFormatting sqref="J346">
    <cfRule type="containsText" dxfId="2" priority="938" operator="containsText" text="실패">
      <formula>NOT(ISERROR(SEARCH(("실패"),(J346))))</formula>
    </cfRule>
  </conditionalFormatting>
  <conditionalFormatting sqref="J346">
    <cfRule type="containsText" dxfId="3" priority="939" operator="containsText" text="관리">
      <formula>NOT(ISERROR(SEARCH(("관리"),(J346))))</formula>
    </cfRule>
  </conditionalFormatting>
  <conditionalFormatting sqref="J346">
    <cfRule type="containsText" dxfId="4" priority="940" operator="containsText" text="등록">
      <formula>NOT(ISERROR(SEARCH(("등록"),(J346))))</formula>
    </cfRule>
  </conditionalFormatting>
  <conditionalFormatting sqref="D347:E347">
    <cfRule type="containsText" dxfId="0" priority="941" operator="containsText" text="거부">
      <formula>NOT(ISERROR(SEARCH(("거부"),(D347))))</formula>
    </cfRule>
  </conditionalFormatting>
  <conditionalFormatting sqref="D347:E347">
    <cfRule type="containsText" dxfId="1" priority="942" operator="containsText" text="리턴">
      <formula>NOT(ISERROR(SEARCH(("리턴"),(D347))))</formula>
    </cfRule>
  </conditionalFormatting>
  <conditionalFormatting sqref="D347:E347">
    <cfRule type="containsText" dxfId="2" priority="943" operator="containsText" text="실패">
      <formula>NOT(ISERROR(SEARCH(("실패"),(D347))))</formula>
    </cfRule>
  </conditionalFormatting>
  <conditionalFormatting sqref="D347:E347">
    <cfRule type="containsText" dxfId="3" priority="944" operator="containsText" text="관리">
      <formula>NOT(ISERROR(SEARCH(("관리"),(D347))))</formula>
    </cfRule>
  </conditionalFormatting>
  <conditionalFormatting sqref="D347:E347">
    <cfRule type="containsText" dxfId="4" priority="945" operator="containsText" text="등록">
      <formula>NOT(ISERROR(SEARCH(("등록"),(D347))))</formula>
    </cfRule>
  </conditionalFormatting>
  <conditionalFormatting sqref="A347">
    <cfRule type="containsText" dxfId="0" priority="946" operator="containsText" text="거부">
      <formula>NOT(ISERROR(SEARCH(("거부"),(A347))))</formula>
    </cfRule>
  </conditionalFormatting>
  <conditionalFormatting sqref="A347">
    <cfRule type="containsText" dxfId="1" priority="947" operator="containsText" text="리턴">
      <formula>NOT(ISERROR(SEARCH(("리턴"),(A347))))</formula>
    </cfRule>
  </conditionalFormatting>
  <conditionalFormatting sqref="A347">
    <cfRule type="containsText" dxfId="2" priority="948" operator="containsText" text="실패">
      <formula>NOT(ISERROR(SEARCH(("실패"),(A347))))</formula>
    </cfRule>
  </conditionalFormatting>
  <conditionalFormatting sqref="A347">
    <cfRule type="containsText" dxfId="3" priority="949" operator="containsText" text="관리">
      <formula>NOT(ISERROR(SEARCH(("관리"),(A347))))</formula>
    </cfRule>
  </conditionalFormatting>
  <conditionalFormatting sqref="A347">
    <cfRule type="containsText" dxfId="4" priority="950" operator="containsText" text="등록">
      <formula>NOT(ISERROR(SEARCH(("등록"),(A347))))</formula>
    </cfRule>
  </conditionalFormatting>
  <conditionalFormatting sqref="J347">
    <cfRule type="containsText" dxfId="0" priority="951" operator="containsText" text="거부">
      <formula>NOT(ISERROR(SEARCH(("거부"),(J347))))</formula>
    </cfRule>
  </conditionalFormatting>
  <conditionalFormatting sqref="J347">
    <cfRule type="containsText" dxfId="1" priority="952" operator="containsText" text="리턴">
      <formula>NOT(ISERROR(SEARCH(("리턴"),(J347))))</formula>
    </cfRule>
  </conditionalFormatting>
  <conditionalFormatting sqref="J347">
    <cfRule type="containsText" dxfId="2" priority="953" operator="containsText" text="실패">
      <formula>NOT(ISERROR(SEARCH(("실패"),(J347))))</formula>
    </cfRule>
  </conditionalFormatting>
  <conditionalFormatting sqref="J347">
    <cfRule type="containsText" dxfId="3" priority="954" operator="containsText" text="관리">
      <formula>NOT(ISERROR(SEARCH(("관리"),(J347))))</formula>
    </cfRule>
  </conditionalFormatting>
  <conditionalFormatting sqref="J347">
    <cfRule type="containsText" dxfId="4" priority="955" operator="containsText" text="등록">
      <formula>NOT(ISERROR(SEARCH(("등록"),(J347))))</formula>
    </cfRule>
  </conditionalFormatting>
  <conditionalFormatting sqref="J348">
    <cfRule type="containsText" dxfId="0" priority="956" operator="containsText" text="거부">
      <formula>NOT(ISERROR(SEARCH(("거부"),(J348))))</formula>
    </cfRule>
  </conditionalFormatting>
  <conditionalFormatting sqref="J348">
    <cfRule type="containsText" dxfId="1" priority="957" operator="containsText" text="리턴">
      <formula>NOT(ISERROR(SEARCH(("리턴"),(J348))))</formula>
    </cfRule>
  </conditionalFormatting>
  <conditionalFormatting sqref="J348">
    <cfRule type="containsText" dxfId="2" priority="958" operator="containsText" text="실패">
      <formula>NOT(ISERROR(SEARCH(("실패"),(J348))))</formula>
    </cfRule>
  </conditionalFormatting>
  <conditionalFormatting sqref="J348">
    <cfRule type="containsText" dxfId="3" priority="959" operator="containsText" text="관리">
      <formula>NOT(ISERROR(SEARCH(("관리"),(J348))))</formula>
    </cfRule>
  </conditionalFormatting>
  <conditionalFormatting sqref="J348">
    <cfRule type="containsText" dxfId="4" priority="960" operator="containsText" text="등록">
      <formula>NOT(ISERROR(SEARCH(("등록"),(J348))))</formula>
    </cfRule>
  </conditionalFormatting>
  <conditionalFormatting sqref="D348:E348">
    <cfRule type="containsText" dxfId="0" priority="961" operator="containsText" text="거부">
      <formula>NOT(ISERROR(SEARCH(("거부"),(D348))))</formula>
    </cfRule>
  </conditionalFormatting>
  <conditionalFormatting sqref="D348:E348">
    <cfRule type="containsText" dxfId="1" priority="962" operator="containsText" text="리턴">
      <formula>NOT(ISERROR(SEARCH(("리턴"),(D348))))</formula>
    </cfRule>
  </conditionalFormatting>
  <conditionalFormatting sqref="D348:E348">
    <cfRule type="containsText" dxfId="2" priority="963" operator="containsText" text="실패">
      <formula>NOT(ISERROR(SEARCH(("실패"),(D348))))</formula>
    </cfRule>
  </conditionalFormatting>
  <conditionalFormatting sqref="D348:E348">
    <cfRule type="containsText" dxfId="3" priority="964" operator="containsText" text="관리">
      <formula>NOT(ISERROR(SEARCH(("관리"),(D348))))</formula>
    </cfRule>
  </conditionalFormatting>
  <conditionalFormatting sqref="D348:E348">
    <cfRule type="containsText" dxfId="4" priority="965" operator="containsText" text="등록">
      <formula>NOT(ISERROR(SEARCH(("등록"),(D348))))</formula>
    </cfRule>
  </conditionalFormatting>
  <conditionalFormatting sqref="A348">
    <cfRule type="containsText" dxfId="0" priority="966" operator="containsText" text="거부">
      <formula>NOT(ISERROR(SEARCH(("거부"),(A348))))</formula>
    </cfRule>
  </conditionalFormatting>
  <conditionalFormatting sqref="A348">
    <cfRule type="containsText" dxfId="1" priority="967" operator="containsText" text="리턴">
      <formula>NOT(ISERROR(SEARCH(("리턴"),(A348))))</formula>
    </cfRule>
  </conditionalFormatting>
  <conditionalFormatting sqref="A348">
    <cfRule type="containsText" dxfId="2" priority="968" operator="containsText" text="실패">
      <formula>NOT(ISERROR(SEARCH(("실패"),(A348))))</formula>
    </cfRule>
  </conditionalFormatting>
  <conditionalFormatting sqref="A348">
    <cfRule type="containsText" dxfId="3" priority="969" operator="containsText" text="관리">
      <formula>NOT(ISERROR(SEARCH(("관리"),(A348))))</formula>
    </cfRule>
  </conditionalFormatting>
  <conditionalFormatting sqref="A348">
    <cfRule type="containsText" dxfId="4" priority="970" operator="containsText" text="등록">
      <formula>NOT(ISERROR(SEARCH(("등록"),(A348))))</formula>
    </cfRule>
  </conditionalFormatting>
  <conditionalFormatting sqref="A349">
    <cfRule type="containsText" dxfId="0" priority="971" operator="containsText" text="거부">
      <formula>NOT(ISERROR(SEARCH(("거부"),(A349))))</formula>
    </cfRule>
  </conditionalFormatting>
  <conditionalFormatting sqref="A349">
    <cfRule type="containsText" dxfId="1" priority="972" operator="containsText" text="리턴">
      <formula>NOT(ISERROR(SEARCH(("리턴"),(A349))))</formula>
    </cfRule>
  </conditionalFormatting>
  <conditionalFormatting sqref="A349">
    <cfRule type="containsText" dxfId="2" priority="973" operator="containsText" text="실패">
      <formula>NOT(ISERROR(SEARCH(("실패"),(A349))))</formula>
    </cfRule>
  </conditionalFormatting>
  <conditionalFormatting sqref="A349">
    <cfRule type="containsText" dxfId="3" priority="974" operator="containsText" text="관리">
      <formula>NOT(ISERROR(SEARCH(("관리"),(A349))))</formula>
    </cfRule>
  </conditionalFormatting>
  <conditionalFormatting sqref="A349">
    <cfRule type="containsText" dxfId="4" priority="975" operator="containsText" text="등록">
      <formula>NOT(ISERROR(SEARCH(("등록"),(A349))))</formula>
    </cfRule>
  </conditionalFormatting>
  <conditionalFormatting sqref="J349">
    <cfRule type="containsText" dxfId="0" priority="976" operator="containsText" text="거부">
      <formula>NOT(ISERROR(SEARCH(("거부"),(J349))))</formula>
    </cfRule>
  </conditionalFormatting>
  <conditionalFormatting sqref="J349">
    <cfRule type="containsText" dxfId="1" priority="977" operator="containsText" text="리턴">
      <formula>NOT(ISERROR(SEARCH(("리턴"),(J349))))</formula>
    </cfRule>
  </conditionalFormatting>
  <conditionalFormatting sqref="J349">
    <cfRule type="containsText" dxfId="2" priority="978" operator="containsText" text="실패">
      <formula>NOT(ISERROR(SEARCH(("실패"),(J349))))</formula>
    </cfRule>
  </conditionalFormatting>
  <conditionalFormatting sqref="J349">
    <cfRule type="containsText" dxfId="3" priority="979" operator="containsText" text="관리">
      <formula>NOT(ISERROR(SEARCH(("관리"),(J349))))</formula>
    </cfRule>
  </conditionalFormatting>
  <conditionalFormatting sqref="J349">
    <cfRule type="containsText" dxfId="4" priority="980" operator="containsText" text="등록">
      <formula>NOT(ISERROR(SEARCH(("등록"),(J349))))</formula>
    </cfRule>
  </conditionalFormatting>
  <conditionalFormatting sqref="A350">
    <cfRule type="containsText" dxfId="0" priority="981" operator="containsText" text="거부">
      <formula>NOT(ISERROR(SEARCH(("거부"),(A350))))</formula>
    </cfRule>
  </conditionalFormatting>
  <conditionalFormatting sqref="A350">
    <cfRule type="containsText" dxfId="1" priority="982" operator="containsText" text="리턴">
      <formula>NOT(ISERROR(SEARCH(("리턴"),(A350))))</formula>
    </cfRule>
  </conditionalFormatting>
  <conditionalFormatting sqref="A350">
    <cfRule type="containsText" dxfId="2" priority="983" operator="containsText" text="실패">
      <formula>NOT(ISERROR(SEARCH(("실패"),(A350))))</formula>
    </cfRule>
  </conditionalFormatting>
  <conditionalFormatting sqref="A350">
    <cfRule type="containsText" dxfId="3" priority="984" operator="containsText" text="관리">
      <formula>NOT(ISERROR(SEARCH(("관리"),(A350))))</formula>
    </cfRule>
  </conditionalFormatting>
  <conditionalFormatting sqref="A350">
    <cfRule type="containsText" dxfId="4" priority="985" operator="containsText" text="등록">
      <formula>NOT(ISERROR(SEARCH(("등록"),(A350))))</formula>
    </cfRule>
  </conditionalFormatting>
  <conditionalFormatting sqref="D350:E350">
    <cfRule type="containsText" dxfId="0" priority="986" operator="containsText" text="거부">
      <formula>NOT(ISERROR(SEARCH(("거부"),(D350))))</formula>
    </cfRule>
  </conditionalFormatting>
  <conditionalFormatting sqref="D350:E350">
    <cfRule type="containsText" dxfId="1" priority="987" operator="containsText" text="리턴">
      <formula>NOT(ISERROR(SEARCH(("리턴"),(D350))))</formula>
    </cfRule>
  </conditionalFormatting>
  <conditionalFormatting sqref="D350:E350">
    <cfRule type="containsText" dxfId="2" priority="988" operator="containsText" text="실패">
      <formula>NOT(ISERROR(SEARCH(("실패"),(D350))))</formula>
    </cfRule>
  </conditionalFormatting>
  <conditionalFormatting sqref="D350:E350">
    <cfRule type="containsText" dxfId="3" priority="989" operator="containsText" text="관리">
      <formula>NOT(ISERROR(SEARCH(("관리"),(D350))))</formula>
    </cfRule>
  </conditionalFormatting>
  <conditionalFormatting sqref="D350:E350">
    <cfRule type="containsText" dxfId="4" priority="990" operator="containsText" text="등록">
      <formula>NOT(ISERROR(SEARCH(("등록"),(D350))))</formula>
    </cfRule>
  </conditionalFormatting>
  <conditionalFormatting sqref="A351">
    <cfRule type="containsText" dxfId="0" priority="991" operator="containsText" text="거부">
      <formula>NOT(ISERROR(SEARCH(("거부"),(A351))))</formula>
    </cfRule>
  </conditionalFormatting>
  <conditionalFormatting sqref="A351">
    <cfRule type="containsText" dxfId="1" priority="992" operator="containsText" text="리턴">
      <formula>NOT(ISERROR(SEARCH(("리턴"),(A351))))</formula>
    </cfRule>
  </conditionalFormatting>
  <conditionalFormatting sqref="A351">
    <cfRule type="containsText" dxfId="2" priority="993" operator="containsText" text="실패">
      <formula>NOT(ISERROR(SEARCH(("실패"),(A351))))</formula>
    </cfRule>
  </conditionalFormatting>
  <conditionalFormatting sqref="A351">
    <cfRule type="containsText" dxfId="3" priority="994" operator="containsText" text="관리">
      <formula>NOT(ISERROR(SEARCH(("관리"),(A351))))</formula>
    </cfRule>
  </conditionalFormatting>
  <conditionalFormatting sqref="A351">
    <cfRule type="containsText" dxfId="4" priority="995" operator="containsText" text="등록">
      <formula>NOT(ISERROR(SEARCH(("등록"),(A351))))</formula>
    </cfRule>
  </conditionalFormatting>
  <conditionalFormatting sqref="J351">
    <cfRule type="containsText" dxfId="0" priority="996" operator="containsText" text="거부">
      <formula>NOT(ISERROR(SEARCH(("거부"),(J351))))</formula>
    </cfRule>
  </conditionalFormatting>
  <conditionalFormatting sqref="J351">
    <cfRule type="containsText" dxfId="1" priority="997" operator="containsText" text="리턴">
      <formula>NOT(ISERROR(SEARCH(("리턴"),(J351))))</formula>
    </cfRule>
  </conditionalFormatting>
  <conditionalFormatting sqref="J351">
    <cfRule type="containsText" dxfId="2" priority="998" operator="containsText" text="실패">
      <formula>NOT(ISERROR(SEARCH(("실패"),(J351))))</formula>
    </cfRule>
  </conditionalFormatting>
  <conditionalFormatting sqref="J351">
    <cfRule type="containsText" dxfId="3" priority="999" operator="containsText" text="관리">
      <formula>NOT(ISERROR(SEARCH(("관리"),(J351))))</formula>
    </cfRule>
  </conditionalFormatting>
  <conditionalFormatting sqref="J351">
    <cfRule type="containsText" dxfId="4" priority="1000" operator="containsText" text="등록">
      <formula>NOT(ISERROR(SEARCH(("등록"),(J351))))</formula>
    </cfRule>
  </conditionalFormatting>
  <conditionalFormatting sqref="E352">
    <cfRule type="containsText" dxfId="0" priority="1001" operator="containsText" text="거부">
      <formula>NOT(ISERROR(SEARCH(("거부"),(E352))))</formula>
    </cfRule>
  </conditionalFormatting>
  <conditionalFormatting sqref="E352">
    <cfRule type="containsText" dxfId="1" priority="1002" operator="containsText" text="리턴">
      <formula>NOT(ISERROR(SEARCH(("리턴"),(E352))))</formula>
    </cfRule>
  </conditionalFormatting>
  <conditionalFormatting sqref="E352">
    <cfRule type="containsText" dxfId="2" priority="1003" operator="containsText" text="실패">
      <formula>NOT(ISERROR(SEARCH(("실패"),(E352))))</formula>
    </cfRule>
  </conditionalFormatting>
  <conditionalFormatting sqref="E352">
    <cfRule type="containsText" dxfId="3" priority="1004" operator="containsText" text="관리">
      <formula>NOT(ISERROR(SEARCH(("관리"),(E352))))</formula>
    </cfRule>
  </conditionalFormatting>
  <conditionalFormatting sqref="E352">
    <cfRule type="containsText" dxfId="4" priority="1005" operator="containsText" text="등록">
      <formula>NOT(ISERROR(SEARCH(("등록"),(E352))))</formula>
    </cfRule>
  </conditionalFormatting>
  <conditionalFormatting sqref="J352">
    <cfRule type="containsText" dxfId="0" priority="1006" operator="containsText" text="거부">
      <formula>NOT(ISERROR(SEARCH(("거부"),(J352))))</formula>
    </cfRule>
  </conditionalFormatting>
  <conditionalFormatting sqref="J352">
    <cfRule type="containsText" dxfId="1" priority="1007" operator="containsText" text="리턴">
      <formula>NOT(ISERROR(SEARCH(("리턴"),(J352))))</formula>
    </cfRule>
  </conditionalFormatting>
  <conditionalFormatting sqref="J352">
    <cfRule type="containsText" dxfId="2" priority="1008" operator="containsText" text="실패">
      <formula>NOT(ISERROR(SEARCH(("실패"),(J352))))</formula>
    </cfRule>
  </conditionalFormatting>
  <conditionalFormatting sqref="J352">
    <cfRule type="containsText" dxfId="3" priority="1009" operator="containsText" text="관리">
      <formula>NOT(ISERROR(SEARCH(("관리"),(J352))))</formula>
    </cfRule>
  </conditionalFormatting>
  <conditionalFormatting sqref="J352">
    <cfRule type="containsText" dxfId="4" priority="1010" operator="containsText" text="등록">
      <formula>NOT(ISERROR(SEARCH(("등록"),(J352))))</formula>
    </cfRule>
  </conditionalFormatting>
  <conditionalFormatting sqref="A352">
    <cfRule type="containsText" dxfId="0" priority="1011" operator="containsText" text="거부">
      <formula>NOT(ISERROR(SEARCH(("거부"),(A352))))</formula>
    </cfRule>
  </conditionalFormatting>
  <conditionalFormatting sqref="A352">
    <cfRule type="containsText" dxfId="1" priority="1012" operator="containsText" text="리턴">
      <formula>NOT(ISERROR(SEARCH(("리턴"),(A352))))</formula>
    </cfRule>
  </conditionalFormatting>
  <conditionalFormatting sqref="A352">
    <cfRule type="containsText" dxfId="2" priority="1013" operator="containsText" text="실패">
      <formula>NOT(ISERROR(SEARCH(("실패"),(A352))))</formula>
    </cfRule>
  </conditionalFormatting>
  <conditionalFormatting sqref="A352">
    <cfRule type="containsText" dxfId="3" priority="1014" operator="containsText" text="관리">
      <formula>NOT(ISERROR(SEARCH(("관리"),(A352))))</formula>
    </cfRule>
  </conditionalFormatting>
  <conditionalFormatting sqref="A352">
    <cfRule type="containsText" dxfId="4" priority="1015" operator="containsText" text="등록">
      <formula>NOT(ISERROR(SEARCH(("등록"),(A352))))</formula>
    </cfRule>
  </conditionalFormatting>
  <conditionalFormatting sqref="H352">
    <cfRule type="containsText" dxfId="0" priority="1016" operator="containsText" text="거부">
      <formula>NOT(ISERROR(SEARCH(("거부"),(H352))))</formula>
    </cfRule>
  </conditionalFormatting>
  <conditionalFormatting sqref="H352">
    <cfRule type="containsText" dxfId="1" priority="1017" operator="containsText" text="리턴">
      <formula>NOT(ISERROR(SEARCH(("리턴"),(H352))))</formula>
    </cfRule>
  </conditionalFormatting>
  <conditionalFormatting sqref="H352">
    <cfRule type="containsText" dxfId="2" priority="1018" operator="containsText" text="실패">
      <formula>NOT(ISERROR(SEARCH(("실패"),(H352))))</formula>
    </cfRule>
  </conditionalFormatting>
  <conditionalFormatting sqref="H352">
    <cfRule type="containsText" dxfId="3" priority="1019" operator="containsText" text="관리">
      <formula>NOT(ISERROR(SEARCH(("관리"),(H352))))</formula>
    </cfRule>
  </conditionalFormatting>
  <conditionalFormatting sqref="H352">
    <cfRule type="containsText" dxfId="4" priority="1020" operator="containsText" text="등록">
      <formula>NOT(ISERROR(SEARCH(("등록"),(H352))))</formula>
    </cfRule>
  </conditionalFormatting>
  <conditionalFormatting sqref="D352">
    <cfRule type="containsText" dxfId="0" priority="1021" operator="containsText" text="거부">
      <formula>NOT(ISERROR(SEARCH(("거부"),(D352))))</formula>
    </cfRule>
  </conditionalFormatting>
  <conditionalFormatting sqref="D352">
    <cfRule type="containsText" dxfId="1" priority="1022" operator="containsText" text="리턴">
      <formula>NOT(ISERROR(SEARCH(("리턴"),(D352))))</formula>
    </cfRule>
  </conditionalFormatting>
  <conditionalFormatting sqref="D352">
    <cfRule type="containsText" dxfId="2" priority="1023" operator="containsText" text="실패">
      <formula>NOT(ISERROR(SEARCH(("실패"),(D352))))</formula>
    </cfRule>
  </conditionalFormatting>
  <conditionalFormatting sqref="D352">
    <cfRule type="containsText" dxfId="3" priority="1024" operator="containsText" text="관리">
      <formula>NOT(ISERROR(SEARCH(("관리"),(D352))))</formula>
    </cfRule>
  </conditionalFormatting>
  <conditionalFormatting sqref="D352">
    <cfRule type="containsText" dxfId="4" priority="1025" operator="containsText" text="등록">
      <formula>NOT(ISERROR(SEARCH(("등록"),(D352))))</formula>
    </cfRule>
  </conditionalFormatting>
  <conditionalFormatting sqref="J353">
    <cfRule type="containsText" dxfId="0" priority="1026" operator="containsText" text="거부">
      <formula>NOT(ISERROR(SEARCH(("거부"),(J353))))</formula>
    </cfRule>
  </conditionalFormatting>
  <conditionalFormatting sqref="J353">
    <cfRule type="containsText" dxfId="1" priority="1027" operator="containsText" text="리턴">
      <formula>NOT(ISERROR(SEARCH(("리턴"),(J353))))</formula>
    </cfRule>
  </conditionalFormatting>
  <conditionalFormatting sqref="J353">
    <cfRule type="containsText" dxfId="2" priority="1028" operator="containsText" text="실패">
      <formula>NOT(ISERROR(SEARCH(("실패"),(J353))))</formula>
    </cfRule>
  </conditionalFormatting>
  <conditionalFormatting sqref="J353">
    <cfRule type="containsText" dxfId="3" priority="1029" operator="containsText" text="관리">
      <formula>NOT(ISERROR(SEARCH(("관리"),(J353))))</formula>
    </cfRule>
  </conditionalFormatting>
  <conditionalFormatting sqref="J353">
    <cfRule type="containsText" dxfId="4" priority="1030" operator="containsText" text="등록">
      <formula>NOT(ISERROR(SEARCH(("등록"),(J353))))</formula>
    </cfRule>
  </conditionalFormatting>
  <conditionalFormatting sqref="A353">
    <cfRule type="containsText" dxfId="0" priority="1031" operator="containsText" text="거부">
      <formula>NOT(ISERROR(SEARCH(("거부"),(A353))))</formula>
    </cfRule>
  </conditionalFormatting>
  <conditionalFormatting sqref="A353">
    <cfRule type="containsText" dxfId="1" priority="1032" operator="containsText" text="리턴">
      <formula>NOT(ISERROR(SEARCH(("리턴"),(A353))))</formula>
    </cfRule>
  </conditionalFormatting>
  <conditionalFormatting sqref="A353">
    <cfRule type="containsText" dxfId="2" priority="1033" operator="containsText" text="실패">
      <formula>NOT(ISERROR(SEARCH(("실패"),(A353))))</formula>
    </cfRule>
  </conditionalFormatting>
  <conditionalFormatting sqref="A353">
    <cfRule type="containsText" dxfId="3" priority="1034" operator="containsText" text="관리">
      <formula>NOT(ISERROR(SEARCH(("관리"),(A353))))</formula>
    </cfRule>
  </conditionalFormatting>
  <conditionalFormatting sqref="A353">
    <cfRule type="containsText" dxfId="4" priority="1035" operator="containsText" text="등록">
      <formula>NOT(ISERROR(SEARCH(("등록"),(A353))))</formula>
    </cfRule>
  </conditionalFormatting>
  <conditionalFormatting sqref="D353:E353">
    <cfRule type="containsText" dxfId="0" priority="1036" operator="containsText" text="거부">
      <formula>NOT(ISERROR(SEARCH(("거부"),(D353))))</formula>
    </cfRule>
  </conditionalFormatting>
  <conditionalFormatting sqref="D353:E353">
    <cfRule type="containsText" dxfId="1" priority="1037" operator="containsText" text="리턴">
      <formula>NOT(ISERROR(SEARCH(("리턴"),(D353))))</formula>
    </cfRule>
  </conditionalFormatting>
  <conditionalFormatting sqref="D353:E353">
    <cfRule type="containsText" dxfId="2" priority="1038" operator="containsText" text="실패">
      <formula>NOT(ISERROR(SEARCH(("실패"),(D353))))</formula>
    </cfRule>
  </conditionalFormatting>
  <conditionalFormatting sqref="D353:E353">
    <cfRule type="containsText" dxfId="3" priority="1039" operator="containsText" text="관리">
      <formula>NOT(ISERROR(SEARCH(("관리"),(D353))))</formula>
    </cfRule>
  </conditionalFormatting>
  <conditionalFormatting sqref="D353:E353">
    <cfRule type="containsText" dxfId="4" priority="1040" operator="containsText" text="등록">
      <formula>NOT(ISERROR(SEARCH(("등록"),(D353))))</formula>
    </cfRule>
  </conditionalFormatting>
  <conditionalFormatting sqref="G354">
    <cfRule type="containsText" dxfId="0" priority="1041" operator="containsText" text="거부">
      <formula>NOT(ISERROR(SEARCH(("거부"),(G354))))</formula>
    </cfRule>
  </conditionalFormatting>
  <conditionalFormatting sqref="G354">
    <cfRule type="containsText" dxfId="1" priority="1042" operator="containsText" text="리턴">
      <formula>NOT(ISERROR(SEARCH(("리턴"),(G354))))</formula>
    </cfRule>
  </conditionalFormatting>
  <conditionalFormatting sqref="G354">
    <cfRule type="containsText" dxfId="2" priority="1043" operator="containsText" text="실패">
      <formula>NOT(ISERROR(SEARCH(("실패"),(G354))))</formula>
    </cfRule>
  </conditionalFormatting>
  <conditionalFormatting sqref="G354">
    <cfRule type="containsText" dxfId="3" priority="1044" operator="containsText" text="관리">
      <formula>NOT(ISERROR(SEARCH(("관리"),(G354))))</formula>
    </cfRule>
  </conditionalFormatting>
  <conditionalFormatting sqref="G354">
    <cfRule type="containsText" dxfId="4" priority="1045" operator="containsText" text="등록">
      <formula>NOT(ISERROR(SEARCH(("등록"),(G354))))</formula>
    </cfRule>
  </conditionalFormatting>
  <conditionalFormatting sqref="J354">
    <cfRule type="containsText" dxfId="0" priority="1046" operator="containsText" text="거부">
      <formula>NOT(ISERROR(SEARCH(("거부"),(J354))))</formula>
    </cfRule>
  </conditionalFormatting>
  <conditionalFormatting sqref="J354">
    <cfRule type="containsText" dxfId="1" priority="1047" operator="containsText" text="리턴">
      <formula>NOT(ISERROR(SEARCH(("리턴"),(J354))))</formula>
    </cfRule>
  </conditionalFormatting>
  <conditionalFormatting sqref="J354">
    <cfRule type="containsText" dxfId="2" priority="1048" operator="containsText" text="실패">
      <formula>NOT(ISERROR(SEARCH(("실패"),(J354))))</formula>
    </cfRule>
  </conditionalFormatting>
  <conditionalFormatting sqref="J354">
    <cfRule type="containsText" dxfId="3" priority="1049" operator="containsText" text="관리">
      <formula>NOT(ISERROR(SEARCH(("관리"),(J354))))</formula>
    </cfRule>
  </conditionalFormatting>
  <conditionalFormatting sqref="J354">
    <cfRule type="containsText" dxfId="4" priority="1050" operator="containsText" text="등록">
      <formula>NOT(ISERROR(SEARCH(("등록"),(J354))))</formula>
    </cfRule>
  </conditionalFormatting>
  <conditionalFormatting sqref="A354">
    <cfRule type="containsText" dxfId="0" priority="1051" operator="containsText" text="거부">
      <formula>NOT(ISERROR(SEARCH(("거부"),(A354))))</formula>
    </cfRule>
  </conditionalFormatting>
  <conditionalFormatting sqref="A354">
    <cfRule type="containsText" dxfId="1" priority="1052" operator="containsText" text="리턴">
      <formula>NOT(ISERROR(SEARCH(("리턴"),(A354))))</formula>
    </cfRule>
  </conditionalFormatting>
  <conditionalFormatting sqref="A354">
    <cfRule type="containsText" dxfId="2" priority="1053" operator="containsText" text="실패">
      <formula>NOT(ISERROR(SEARCH(("실패"),(A354))))</formula>
    </cfRule>
  </conditionalFormatting>
  <conditionalFormatting sqref="A354">
    <cfRule type="containsText" dxfId="3" priority="1054" operator="containsText" text="관리">
      <formula>NOT(ISERROR(SEARCH(("관리"),(A354))))</formula>
    </cfRule>
  </conditionalFormatting>
  <conditionalFormatting sqref="A354">
    <cfRule type="containsText" dxfId="4" priority="1055" operator="containsText" text="등록">
      <formula>NOT(ISERROR(SEARCH(("등록"),(A354))))</formula>
    </cfRule>
  </conditionalFormatting>
  <conditionalFormatting sqref="D354:E354">
    <cfRule type="containsText" dxfId="0" priority="1056" operator="containsText" text="거부">
      <formula>NOT(ISERROR(SEARCH(("거부"),(D354))))</formula>
    </cfRule>
  </conditionalFormatting>
  <conditionalFormatting sqref="D354:E354">
    <cfRule type="containsText" dxfId="1" priority="1057" operator="containsText" text="리턴">
      <formula>NOT(ISERROR(SEARCH(("리턴"),(D354))))</formula>
    </cfRule>
  </conditionalFormatting>
  <conditionalFormatting sqref="D354:E354">
    <cfRule type="containsText" dxfId="2" priority="1058" operator="containsText" text="실패">
      <formula>NOT(ISERROR(SEARCH(("실패"),(D354))))</formula>
    </cfRule>
  </conditionalFormatting>
  <conditionalFormatting sqref="D354:E354">
    <cfRule type="containsText" dxfId="3" priority="1059" operator="containsText" text="관리">
      <formula>NOT(ISERROR(SEARCH(("관리"),(D354))))</formula>
    </cfRule>
  </conditionalFormatting>
  <conditionalFormatting sqref="D354:E354">
    <cfRule type="containsText" dxfId="4" priority="1060" operator="containsText" text="등록">
      <formula>NOT(ISERROR(SEARCH(("등록"),(D354))))</formula>
    </cfRule>
  </conditionalFormatting>
  <conditionalFormatting sqref="G360:H360 J357:J360">
    <cfRule type="containsText" dxfId="0" priority="1061" operator="containsText" text="거부">
      <formula>NOT(ISERROR(SEARCH(("거부"),(G360))))</formula>
    </cfRule>
  </conditionalFormatting>
  <conditionalFormatting sqref="G360:H360 J357:J360">
    <cfRule type="containsText" dxfId="1" priority="1062" operator="containsText" text="리턴">
      <formula>NOT(ISERROR(SEARCH(("리턴"),(G360))))</formula>
    </cfRule>
  </conditionalFormatting>
  <conditionalFormatting sqref="G360:H360 J357:J360">
    <cfRule type="containsText" dxfId="2" priority="1063" operator="containsText" text="실패">
      <formula>NOT(ISERROR(SEARCH(("실패"),(G360))))</formula>
    </cfRule>
  </conditionalFormatting>
  <conditionalFormatting sqref="G360:H360 J357:J360">
    <cfRule type="containsText" dxfId="3" priority="1064" operator="containsText" text="관리">
      <formula>NOT(ISERROR(SEARCH(("관리"),(G360))))</formula>
    </cfRule>
  </conditionalFormatting>
  <conditionalFormatting sqref="G360:H360 J357:J360">
    <cfRule type="containsText" dxfId="4" priority="1065" operator="containsText" text="등록">
      <formula>NOT(ISERROR(SEARCH(("등록"),(G360))))</formula>
    </cfRule>
  </conditionalFormatting>
  <conditionalFormatting sqref="D355">
    <cfRule type="containsText" dxfId="0" priority="1066" operator="containsText" text="거부">
      <formula>NOT(ISERROR(SEARCH(("거부"),(D355))))</formula>
    </cfRule>
  </conditionalFormatting>
  <conditionalFormatting sqref="D355">
    <cfRule type="containsText" dxfId="1" priority="1067" operator="containsText" text="리턴">
      <formula>NOT(ISERROR(SEARCH(("리턴"),(D355))))</formula>
    </cfRule>
  </conditionalFormatting>
  <conditionalFormatting sqref="D355">
    <cfRule type="containsText" dxfId="2" priority="1068" operator="containsText" text="실패">
      <formula>NOT(ISERROR(SEARCH(("실패"),(D355))))</formula>
    </cfRule>
  </conditionalFormatting>
  <conditionalFormatting sqref="D355">
    <cfRule type="containsText" dxfId="3" priority="1069" operator="containsText" text="관리">
      <formula>NOT(ISERROR(SEARCH(("관리"),(D355))))</formula>
    </cfRule>
  </conditionalFormatting>
  <conditionalFormatting sqref="D355">
    <cfRule type="containsText" dxfId="4" priority="1070" operator="containsText" text="등록">
      <formula>NOT(ISERROR(SEARCH(("등록"),(D355))))</formula>
    </cfRule>
  </conditionalFormatting>
  <conditionalFormatting sqref="E355">
    <cfRule type="containsText" dxfId="0" priority="1071" operator="containsText" text="거부">
      <formula>NOT(ISERROR(SEARCH(("거부"),(E355))))</formula>
    </cfRule>
  </conditionalFormatting>
  <conditionalFormatting sqref="E355">
    <cfRule type="containsText" dxfId="1" priority="1072" operator="containsText" text="리턴">
      <formula>NOT(ISERROR(SEARCH(("리턴"),(E355))))</formula>
    </cfRule>
  </conditionalFormatting>
  <conditionalFormatting sqref="E355">
    <cfRule type="containsText" dxfId="2" priority="1073" operator="containsText" text="실패">
      <formula>NOT(ISERROR(SEARCH(("실패"),(E355))))</formula>
    </cfRule>
  </conditionalFormatting>
  <conditionalFormatting sqref="E355">
    <cfRule type="containsText" dxfId="3" priority="1074" operator="containsText" text="관리">
      <formula>NOT(ISERROR(SEARCH(("관리"),(E355))))</formula>
    </cfRule>
  </conditionalFormatting>
  <conditionalFormatting sqref="E355">
    <cfRule type="containsText" dxfId="4" priority="1075" operator="containsText" text="등록">
      <formula>NOT(ISERROR(SEARCH(("등록"),(E355))))</formula>
    </cfRule>
  </conditionalFormatting>
  <conditionalFormatting sqref="G355">
    <cfRule type="containsText" dxfId="0" priority="1076" operator="containsText" text="거부">
      <formula>NOT(ISERROR(SEARCH(("거부"),(G355))))</formula>
    </cfRule>
  </conditionalFormatting>
  <conditionalFormatting sqref="G355">
    <cfRule type="containsText" dxfId="1" priority="1077" operator="containsText" text="리턴">
      <formula>NOT(ISERROR(SEARCH(("리턴"),(G355))))</formula>
    </cfRule>
  </conditionalFormatting>
  <conditionalFormatting sqref="G355">
    <cfRule type="containsText" dxfId="2" priority="1078" operator="containsText" text="실패">
      <formula>NOT(ISERROR(SEARCH(("실패"),(G355))))</formula>
    </cfRule>
  </conditionalFormatting>
  <conditionalFormatting sqref="G355">
    <cfRule type="containsText" dxfId="3" priority="1079" operator="containsText" text="관리">
      <formula>NOT(ISERROR(SEARCH(("관리"),(G355))))</formula>
    </cfRule>
  </conditionalFormatting>
  <conditionalFormatting sqref="G355">
    <cfRule type="containsText" dxfId="4" priority="1080" operator="containsText" text="등록">
      <formula>NOT(ISERROR(SEARCH(("등록"),(G355))))</formula>
    </cfRule>
  </conditionalFormatting>
  <conditionalFormatting sqref="J355">
    <cfRule type="containsText" dxfId="0" priority="1081" operator="containsText" text="거부">
      <formula>NOT(ISERROR(SEARCH(("거부"),(J355))))</formula>
    </cfRule>
  </conditionalFormatting>
  <conditionalFormatting sqref="J355">
    <cfRule type="containsText" dxfId="1" priority="1082" operator="containsText" text="리턴">
      <formula>NOT(ISERROR(SEARCH(("리턴"),(J355))))</formula>
    </cfRule>
  </conditionalFormatting>
  <conditionalFormatting sqref="J355">
    <cfRule type="containsText" dxfId="2" priority="1083" operator="containsText" text="실패">
      <formula>NOT(ISERROR(SEARCH(("실패"),(J355))))</formula>
    </cfRule>
  </conditionalFormatting>
  <conditionalFormatting sqref="J355">
    <cfRule type="containsText" dxfId="3" priority="1084" operator="containsText" text="관리">
      <formula>NOT(ISERROR(SEARCH(("관리"),(J355))))</formula>
    </cfRule>
  </conditionalFormatting>
  <conditionalFormatting sqref="J355">
    <cfRule type="containsText" dxfId="4" priority="1085" operator="containsText" text="등록">
      <formula>NOT(ISERROR(SEARCH(("등록"),(J355))))</formula>
    </cfRule>
  </conditionalFormatting>
  <conditionalFormatting sqref="G356">
    <cfRule type="containsText" dxfId="0" priority="1086" operator="containsText" text="거부">
      <formula>NOT(ISERROR(SEARCH(("거부"),(G356))))</formula>
    </cfRule>
  </conditionalFormatting>
  <conditionalFormatting sqref="G356">
    <cfRule type="containsText" dxfId="1" priority="1087" operator="containsText" text="리턴">
      <formula>NOT(ISERROR(SEARCH(("리턴"),(G356))))</formula>
    </cfRule>
  </conditionalFormatting>
  <conditionalFormatting sqref="G356">
    <cfRule type="containsText" dxfId="2" priority="1088" operator="containsText" text="실패">
      <formula>NOT(ISERROR(SEARCH(("실패"),(G356))))</formula>
    </cfRule>
  </conditionalFormatting>
  <conditionalFormatting sqref="G356">
    <cfRule type="containsText" dxfId="3" priority="1089" operator="containsText" text="관리">
      <formula>NOT(ISERROR(SEARCH(("관리"),(G356))))</formula>
    </cfRule>
  </conditionalFormatting>
  <conditionalFormatting sqref="G356">
    <cfRule type="containsText" dxfId="4" priority="1090" operator="containsText" text="등록">
      <formula>NOT(ISERROR(SEARCH(("등록"),(G356))))</formula>
    </cfRule>
  </conditionalFormatting>
  <conditionalFormatting sqref="J356">
    <cfRule type="containsText" dxfId="0" priority="1091" operator="containsText" text="거부">
      <formula>NOT(ISERROR(SEARCH(("거부"),(J356))))</formula>
    </cfRule>
  </conditionalFormatting>
  <conditionalFormatting sqref="J356">
    <cfRule type="containsText" dxfId="1" priority="1092" operator="containsText" text="리턴">
      <formula>NOT(ISERROR(SEARCH(("리턴"),(J356))))</formula>
    </cfRule>
  </conditionalFormatting>
  <conditionalFormatting sqref="J356">
    <cfRule type="containsText" dxfId="2" priority="1093" operator="containsText" text="실패">
      <formula>NOT(ISERROR(SEARCH(("실패"),(J356))))</formula>
    </cfRule>
  </conditionalFormatting>
  <conditionalFormatting sqref="J356">
    <cfRule type="containsText" dxfId="3" priority="1094" operator="containsText" text="관리">
      <formula>NOT(ISERROR(SEARCH(("관리"),(J356))))</formula>
    </cfRule>
  </conditionalFormatting>
  <conditionalFormatting sqref="J356">
    <cfRule type="containsText" dxfId="4" priority="1095" operator="containsText" text="등록">
      <formula>NOT(ISERROR(SEARCH(("등록"),(J356))))</formula>
    </cfRule>
  </conditionalFormatting>
  <conditionalFormatting sqref="A355">
    <cfRule type="containsText" dxfId="0" priority="1096" operator="containsText" text="거부">
      <formula>NOT(ISERROR(SEARCH(("거부"),(A355))))</formula>
    </cfRule>
  </conditionalFormatting>
  <conditionalFormatting sqref="A355">
    <cfRule type="containsText" dxfId="1" priority="1097" operator="containsText" text="리턴">
      <formula>NOT(ISERROR(SEARCH(("리턴"),(A355))))</formula>
    </cfRule>
  </conditionalFormatting>
  <conditionalFormatting sqref="A355">
    <cfRule type="containsText" dxfId="2" priority="1098" operator="containsText" text="실패">
      <formula>NOT(ISERROR(SEARCH(("실패"),(A355))))</formula>
    </cfRule>
  </conditionalFormatting>
  <conditionalFormatting sqref="A355">
    <cfRule type="containsText" dxfId="3" priority="1099" operator="containsText" text="관리">
      <formula>NOT(ISERROR(SEARCH(("관리"),(A355))))</formula>
    </cfRule>
  </conditionalFormatting>
  <conditionalFormatting sqref="A355">
    <cfRule type="containsText" dxfId="4" priority="1100" operator="containsText" text="등록">
      <formula>NOT(ISERROR(SEARCH(("등록"),(A355))))</formula>
    </cfRule>
  </conditionalFormatting>
  <conditionalFormatting sqref="A356">
    <cfRule type="containsText" dxfId="0" priority="1101" operator="containsText" text="거부">
      <formula>NOT(ISERROR(SEARCH(("거부"),(A356))))</formula>
    </cfRule>
  </conditionalFormatting>
  <conditionalFormatting sqref="A356">
    <cfRule type="containsText" dxfId="1" priority="1102" operator="containsText" text="리턴">
      <formula>NOT(ISERROR(SEARCH(("리턴"),(A356))))</formula>
    </cfRule>
  </conditionalFormatting>
  <conditionalFormatting sqref="A356">
    <cfRule type="containsText" dxfId="2" priority="1103" operator="containsText" text="실패">
      <formula>NOT(ISERROR(SEARCH(("실패"),(A356))))</formula>
    </cfRule>
  </conditionalFormatting>
  <conditionalFormatting sqref="A356">
    <cfRule type="containsText" dxfId="3" priority="1104" operator="containsText" text="관리">
      <formula>NOT(ISERROR(SEARCH(("관리"),(A356))))</formula>
    </cfRule>
  </conditionalFormatting>
  <conditionalFormatting sqref="A356">
    <cfRule type="containsText" dxfId="4" priority="1105" operator="containsText" text="등록">
      <formula>NOT(ISERROR(SEARCH(("등록"),(A356))))</formula>
    </cfRule>
  </conditionalFormatting>
  <conditionalFormatting sqref="A357">
    <cfRule type="containsText" dxfId="0" priority="1106" operator="containsText" text="거부">
      <formula>NOT(ISERROR(SEARCH(("거부"),(A357))))</formula>
    </cfRule>
  </conditionalFormatting>
  <conditionalFormatting sqref="A357">
    <cfRule type="containsText" dxfId="1" priority="1107" operator="containsText" text="리턴">
      <formula>NOT(ISERROR(SEARCH(("리턴"),(A357))))</formula>
    </cfRule>
  </conditionalFormatting>
  <conditionalFormatting sqref="A357">
    <cfRule type="containsText" dxfId="2" priority="1108" operator="containsText" text="실패">
      <formula>NOT(ISERROR(SEARCH(("실패"),(A357))))</formula>
    </cfRule>
  </conditionalFormatting>
  <conditionalFormatting sqref="A357">
    <cfRule type="containsText" dxfId="3" priority="1109" operator="containsText" text="관리">
      <formula>NOT(ISERROR(SEARCH(("관리"),(A357))))</formula>
    </cfRule>
  </conditionalFormatting>
  <conditionalFormatting sqref="A357">
    <cfRule type="containsText" dxfId="4" priority="1110" operator="containsText" text="등록">
      <formula>NOT(ISERROR(SEARCH(("등록"),(A357))))</formula>
    </cfRule>
  </conditionalFormatting>
  <conditionalFormatting sqref="E359">
    <cfRule type="containsText" dxfId="0" priority="1111" operator="containsText" text="거부">
      <formula>NOT(ISERROR(SEARCH(("거부"),(E359))))</formula>
    </cfRule>
  </conditionalFormatting>
  <conditionalFormatting sqref="E359">
    <cfRule type="containsText" dxfId="1" priority="1112" operator="containsText" text="리턴">
      <formula>NOT(ISERROR(SEARCH(("리턴"),(E359))))</formula>
    </cfRule>
  </conditionalFormatting>
  <conditionalFormatting sqref="E359">
    <cfRule type="containsText" dxfId="2" priority="1113" operator="containsText" text="실패">
      <formula>NOT(ISERROR(SEARCH(("실패"),(E359))))</formula>
    </cfRule>
  </conditionalFormatting>
  <conditionalFormatting sqref="E359">
    <cfRule type="containsText" dxfId="3" priority="1114" operator="containsText" text="관리">
      <formula>NOT(ISERROR(SEARCH(("관리"),(E359))))</formula>
    </cfRule>
  </conditionalFormatting>
  <conditionalFormatting sqref="E359">
    <cfRule type="containsText" dxfId="4" priority="1115" operator="containsText" text="등록">
      <formula>NOT(ISERROR(SEARCH(("등록"),(E359))))</formula>
    </cfRule>
  </conditionalFormatting>
  <conditionalFormatting sqref="A359">
    <cfRule type="containsText" dxfId="0" priority="1116" operator="containsText" text="거부">
      <formula>NOT(ISERROR(SEARCH(("거부"),(A359))))</formula>
    </cfRule>
  </conditionalFormatting>
  <conditionalFormatting sqref="A359">
    <cfRule type="containsText" dxfId="1" priority="1117" operator="containsText" text="리턴">
      <formula>NOT(ISERROR(SEARCH(("리턴"),(A359))))</formula>
    </cfRule>
  </conditionalFormatting>
  <conditionalFormatting sqref="A359">
    <cfRule type="containsText" dxfId="2" priority="1118" operator="containsText" text="실패">
      <formula>NOT(ISERROR(SEARCH(("실패"),(A359))))</formula>
    </cfRule>
  </conditionalFormatting>
  <conditionalFormatting sqref="A359">
    <cfRule type="containsText" dxfId="3" priority="1119" operator="containsText" text="관리">
      <formula>NOT(ISERROR(SEARCH(("관리"),(A359))))</formula>
    </cfRule>
  </conditionalFormatting>
  <conditionalFormatting sqref="A359">
    <cfRule type="containsText" dxfId="4" priority="1120" operator="containsText" text="등록">
      <formula>NOT(ISERROR(SEARCH(("등록"),(A359))))</formula>
    </cfRule>
  </conditionalFormatting>
  <conditionalFormatting sqref="D359">
    <cfRule type="containsText" dxfId="0" priority="1121" operator="containsText" text="거부">
      <formula>NOT(ISERROR(SEARCH(("거부"),(D359))))</formula>
    </cfRule>
  </conditionalFormatting>
  <conditionalFormatting sqref="D359">
    <cfRule type="containsText" dxfId="1" priority="1122" operator="containsText" text="리턴">
      <formula>NOT(ISERROR(SEARCH(("리턴"),(D359))))</formula>
    </cfRule>
  </conditionalFormatting>
  <conditionalFormatting sqref="D359">
    <cfRule type="containsText" dxfId="2" priority="1123" operator="containsText" text="실패">
      <formula>NOT(ISERROR(SEARCH(("실패"),(D359))))</formula>
    </cfRule>
  </conditionalFormatting>
  <conditionalFormatting sqref="D359">
    <cfRule type="containsText" dxfId="3" priority="1124" operator="containsText" text="관리">
      <formula>NOT(ISERROR(SEARCH(("관리"),(D359))))</formula>
    </cfRule>
  </conditionalFormatting>
  <conditionalFormatting sqref="D359">
    <cfRule type="containsText" dxfId="4" priority="1125" operator="containsText" text="등록">
      <formula>NOT(ISERROR(SEARCH(("등록"),(D359))))</formula>
    </cfRule>
  </conditionalFormatting>
  <conditionalFormatting sqref="G359">
    <cfRule type="containsText" dxfId="0" priority="1126" operator="containsText" text="거부">
      <formula>NOT(ISERROR(SEARCH(("거부"),(G359))))</formula>
    </cfRule>
  </conditionalFormatting>
  <conditionalFormatting sqref="G359">
    <cfRule type="containsText" dxfId="1" priority="1127" operator="containsText" text="리턴">
      <formula>NOT(ISERROR(SEARCH(("리턴"),(G359))))</formula>
    </cfRule>
  </conditionalFormatting>
  <conditionalFormatting sqref="G359">
    <cfRule type="containsText" dxfId="2" priority="1128" operator="containsText" text="실패">
      <formula>NOT(ISERROR(SEARCH(("실패"),(G359))))</formula>
    </cfRule>
  </conditionalFormatting>
  <conditionalFormatting sqref="G359">
    <cfRule type="containsText" dxfId="3" priority="1129" operator="containsText" text="관리">
      <formula>NOT(ISERROR(SEARCH(("관리"),(G359))))</formula>
    </cfRule>
  </conditionalFormatting>
  <conditionalFormatting sqref="G359">
    <cfRule type="containsText" dxfId="4" priority="1130" operator="containsText" text="등록">
      <formula>NOT(ISERROR(SEARCH(("등록"),(G359))))</formula>
    </cfRule>
  </conditionalFormatting>
  <conditionalFormatting sqref="H359">
    <cfRule type="containsText" dxfId="0" priority="1131" operator="containsText" text="거부">
      <formula>NOT(ISERROR(SEARCH(("거부"),(H359))))</formula>
    </cfRule>
  </conditionalFormatting>
  <conditionalFormatting sqref="H359">
    <cfRule type="containsText" dxfId="1" priority="1132" operator="containsText" text="리턴">
      <formula>NOT(ISERROR(SEARCH(("리턴"),(H359))))</formula>
    </cfRule>
  </conditionalFormatting>
  <conditionalFormatting sqref="H359">
    <cfRule type="containsText" dxfId="2" priority="1133" operator="containsText" text="실패">
      <formula>NOT(ISERROR(SEARCH(("실패"),(H359))))</formula>
    </cfRule>
  </conditionalFormatting>
  <conditionalFormatting sqref="H359">
    <cfRule type="containsText" dxfId="3" priority="1134" operator="containsText" text="관리">
      <formula>NOT(ISERROR(SEARCH(("관리"),(H359))))</formula>
    </cfRule>
  </conditionalFormatting>
  <conditionalFormatting sqref="H359">
    <cfRule type="containsText" dxfId="4" priority="1135" operator="containsText" text="등록">
      <formula>NOT(ISERROR(SEARCH(("등록"),(H359))))</formula>
    </cfRule>
  </conditionalFormatting>
  <conditionalFormatting sqref="D360">
    <cfRule type="containsText" dxfId="0" priority="1136" operator="containsText" text="거부">
      <formula>NOT(ISERROR(SEARCH(("거부"),(D360))))</formula>
    </cfRule>
  </conditionalFormatting>
  <conditionalFormatting sqref="D360">
    <cfRule type="containsText" dxfId="1" priority="1137" operator="containsText" text="리턴">
      <formula>NOT(ISERROR(SEARCH(("리턴"),(D360))))</formula>
    </cfRule>
  </conditionalFormatting>
  <conditionalFormatting sqref="D360">
    <cfRule type="containsText" dxfId="2" priority="1138" operator="containsText" text="실패">
      <formula>NOT(ISERROR(SEARCH(("실패"),(D360))))</formula>
    </cfRule>
  </conditionalFormatting>
  <conditionalFormatting sqref="D360">
    <cfRule type="containsText" dxfId="3" priority="1139" operator="containsText" text="관리">
      <formula>NOT(ISERROR(SEARCH(("관리"),(D360))))</formula>
    </cfRule>
  </conditionalFormatting>
  <conditionalFormatting sqref="D360">
    <cfRule type="containsText" dxfId="4" priority="1140" operator="containsText" text="등록">
      <formula>NOT(ISERROR(SEARCH(("등록"),(D360))))</formula>
    </cfRule>
  </conditionalFormatting>
  <conditionalFormatting sqref="A360">
    <cfRule type="containsText" dxfId="0" priority="1141" operator="containsText" text="거부">
      <formula>NOT(ISERROR(SEARCH(("거부"),(A360))))</formula>
    </cfRule>
  </conditionalFormatting>
  <conditionalFormatting sqref="A360">
    <cfRule type="containsText" dxfId="1" priority="1142" operator="containsText" text="리턴">
      <formula>NOT(ISERROR(SEARCH(("리턴"),(A360))))</formula>
    </cfRule>
  </conditionalFormatting>
  <conditionalFormatting sqref="A360">
    <cfRule type="containsText" dxfId="2" priority="1143" operator="containsText" text="실패">
      <formula>NOT(ISERROR(SEARCH(("실패"),(A360))))</formula>
    </cfRule>
  </conditionalFormatting>
  <conditionalFormatting sqref="A360">
    <cfRule type="containsText" dxfId="3" priority="1144" operator="containsText" text="관리">
      <formula>NOT(ISERROR(SEARCH(("관리"),(A360))))</formula>
    </cfRule>
  </conditionalFormatting>
  <conditionalFormatting sqref="A360">
    <cfRule type="containsText" dxfId="4" priority="1145" operator="containsText" text="등록">
      <formula>NOT(ISERROR(SEARCH(("등록"),(A360))))</formula>
    </cfRule>
  </conditionalFormatting>
  <conditionalFormatting sqref="A361">
    <cfRule type="containsText" dxfId="0" priority="1146" operator="containsText" text="거부">
      <formula>NOT(ISERROR(SEARCH(("거부"),(A361))))</formula>
    </cfRule>
  </conditionalFormatting>
  <conditionalFormatting sqref="A361">
    <cfRule type="containsText" dxfId="1" priority="1147" operator="containsText" text="리턴">
      <formula>NOT(ISERROR(SEARCH(("리턴"),(A361))))</formula>
    </cfRule>
  </conditionalFormatting>
  <conditionalFormatting sqref="A361">
    <cfRule type="containsText" dxfId="2" priority="1148" operator="containsText" text="실패">
      <formula>NOT(ISERROR(SEARCH(("실패"),(A361))))</formula>
    </cfRule>
  </conditionalFormatting>
  <conditionalFormatting sqref="A361">
    <cfRule type="containsText" dxfId="3" priority="1149" operator="containsText" text="관리">
      <formula>NOT(ISERROR(SEARCH(("관리"),(A361))))</formula>
    </cfRule>
  </conditionalFormatting>
  <conditionalFormatting sqref="A361">
    <cfRule type="containsText" dxfId="4" priority="1150" operator="containsText" text="등록">
      <formula>NOT(ISERROR(SEARCH(("등록"),(A361))))</formula>
    </cfRule>
  </conditionalFormatting>
  <conditionalFormatting sqref="A362">
    <cfRule type="containsText" dxfId="0" priority="1151" operator="containsText" text="거부">
      <formula>NOT(ISERROR(SEARCH(("거부"),(A362))))</formula>
    </cfRule>
  </conditionalFormatting>
  <conditionalFormatting sqref="A362">
    <cfRule type="containsText" dxfId="1" priority="1152" operator="containsText" text="리턴">
      <formula>NOT(ISERROR(SEARCH(("리턴"),(A362))))</formula>
    </cfRule>
  </conditionalFormatting>
  <conditionalFormatting sqref="A362">
    <cfRule type="containsText" dxfId="2" priority="1153" operator="containsText" text="실패">
      <formula>NOT(ISERROR(SEARCH(("실패"),(A362))))</formula>
    </cfRule>
  </conditionalFormatting>
  <conditionalFormatting sqref="A362">
    <cfRule type="containsText" dxfId="3" priority="1154" operator="containsText" text="관리">
      <formula>NOT(ISERROR(SEARCH(("관리"),(A362))))</formula>
    </cfRule>
  </conditionalFormatting>
  <conditionalFormatting sqref="A362">
    <cfRule type="containsText" dxfId="4" priority="1155" operator="containsText" text="등록">
      <formula>NOT(ISERROR(SEARCH(("등록"),(A362))))</formula>
    </cfRule>
  </conditionalFormatting>
  <conditionalFormatting sqref="A363">
    <cfRule type="containsText" dxfId="0" priority="1156" operator="containsText" text="거부">
      <formula>NOT(ISERROR(SEARCH(("거부"),(A363))))</formula>
    </cfRule>
  </conditionalFormatting>
  <conditionalFormatting sqref="A363">
    <cfRule type="containsText" dxfId="1" priority="1157" operator="containsText" text="리턴">
      <formula>NOT(ISERROR(SEARCH(("리턴"),(A363))))</formula>
    </cfRule>
  </conditionalFormatting>
  <conditionalFormatting sqref="A363">
    <cfRule type="containsText" dxfId="2" priority="1158" operator="containsText" text="실패">
      <formula>NOT(ISERROR(SEARCH(("실패"),(A363))))</formula>
    </cfRule>
  </conditionalFormatting>
  <conditionalFormatting sqref="A363">
    <cfRule type="containsText" dxfId="3" priority="1159" operator="containsText" text="관리">
      <formula>NOT(ISERROR(SEARCH(("관리"),(A363))))</formula>
    </cfRule>
  </conditionalFormatting>
  <conditionalFormatting sqref="A363">
    <cfRule type="containsText" dxfId="4" priority="1160" operator="containsText" text="등록">
      <formula>NOT(ISERROR(SEARCH(("등록"),(A363))))</formula>
    </cfRule>
  </conditionalFormatting>
  <conditionalFormatting sqref="A366">
    <cfRule type="containsText" dxfId="0" priority="1161" operator="containsText" text="거부">
      <formula>NOT(ISERROR(SEARCH(("거부"),(A366))))</formula>
    </cfRule>
  </conditionalFormatting>
  <conditionalFormatting sqref="A366">
    <cfRule type="containsText" dxfId="1" priority="1162" operator="containsText" text="리턴">
      <formula>NOT(ISERROR(SEARCH(("리턴"),(A366))))</formula>
    </cfRule>
  </conditionalFormatting>
  <conditionalFormatting sqref="A366">
    <cfRule type="containsText" dxfId="2" priority="1163" operator="containsText" text="실패">
      <formula>NOT(ISERROR(SEARCH(("실패"),(A366))))</formula>
    </cfRule>
  </conditionalFormatting>
  <conditionalFormatting sqref="A366">
    <cfRule type="containsText" dxfId="3" priority="1164" operator="containsText" text="관리">
      <formula>NOT(ISERROR(SEARCH(("관리"),(A366))))</formula>
    </cfRule>
  </conditionalFormatting>
  <conditionalFormatting sqref="A366">
    <cfRule type="containsText" dxfId="4" priority="1165" operator="containsText" text="등록">
      <formula>NOT(ISERROR(SEARCH(("등록"),(A366))))</formula>
    </cfRule>
  </conditionalFormatting>
  <conditionalFormatting sqref="A364">
    <cfRule type="containsText" dxfId="0" priority="1166" operator="containsText" text="거부">
      <formula>NOT(ISERROR(SEARCH(("거부"),(A364))))</formula>
    </cfRule>
  </conditionalFormatting>
  <conditionalFormatting sqref="A364">
    <cfRule type="containsText" dxfId="1" priority="1167" operator="containsText" text="리턴">
      <formula>NOT(ISERROR(SEARCH(("리턴"),(A364))))</formula>
    </cfRule>
  </conditionalFormatting>
  <conditionalFormatting sqref="A364">
    <cfRule type="containsText" dxfId="2" priority="1168" operator="containsText" text="실패">
      <formula>NOT(ISERROR(SEARCH(("실패"),(A364))))</formula>
    </cfRule>
  </conditionalFormatting>
  <conditionalFormatting sqref="A364">
    <cfRule type="containsText" dxfId="3" priority="1169" operator="containsText" text="관리">
      <formula>NOT(ISERROR(SEARCH(("관리"),(A364))))</formula>
    </cfRule>
  </conditionalFormatting>
  <conditionalFormatting sqref="A364">
    <cfRule type="containsText" dxfId="4" priority="1170" operator="containsText" text="등록">
      <formula>NOT(ISERROR(SEARCH(("등록"),(A364))))</formula>
    </cfRule>
  </conditionalFormatting>
  <conditionalFormatting sqref="D364">
    <cfRule type="containsText" dxfId="0" priority="1171" operator="containsText" text="거부">
      <formula>NOT(ISERROR(SEARCH(("거부"),(D364))))</formula>
    </cfRule>
  </conditionalFormatting>
  <conditionalFormatting sqref="D364">
    <cfRule type="containsText" dxfId="1" priority="1172" operator="containsText" text="리턴">
      <formula>NOT(ISERROR(SEARCH(("리턴"),(D364))))</formula>
    </cfRule>
  </conditionalFormatting>
  <conditionalFormatting sqref="D364">
    <cfRule type="containsText" dxfId="2" priority="1173" operator="containsText" text="실패">
      <formula>NOT(ISERROR(SEARCH(("실패"),(D364))))</formula>
    </cfRule>
  </conditionalFormatting>
  <conditionalFormatting sqref="D364">
    <cfRule type="containsText" dxfId="3" priority="1174" operator="containsText" text="관리">
      <formula>NOT(ISERROR(SEARCH(("관리"),(D364))))</formula>
    </cfRule>
  </conditionalFormatting>
  <conditionalFormatting sqref="D364">
    <cfRule type="containsText" dxfId="4" priority="1175" operator="containsText" text="등록">
      <formula>NOT(ISERROR(SEARCH(("등록"),(D364))))</formula>
    </cfRule>
  </conditionalFormatting>
  <conditionalFormatting sqref="A365">
    <cfRule type="containsText" dxfId="0" priority="1176" operator="containsText" text="거부">
      <formula>NOT(ISERROR(SEARCH(("거부"),(A365))))</formula>
    </cfRule>
  </conditionalFormatting>
  <conditionalFormatting sqref="A365">
    <cfRule type="containsText" dxfId="1" priority="1177" operator="containsText" text="리턴">
      <formula>NOT(ISERROR(SEARCH(("리턴"),(A365))))</formula>
    </cfRule>
  </conditionalFormatting>
  <conditionalFormatting sqref="A365">
    <cfRule type="containsText" dxfId="2" priority="1178" operator="containsText" text="실패">
      <formula>NOT(ISERROR(SEARCH(("실패"),(A365))))</formula>
    </cfRule>
  </conditionalFormatting>
  <conditionalFormatting sqref="A365">
    <cfRule type="containsText" dxfId="3" priority="1179" operator="containsText" text="관리">
      <formula>NOT(ISERROR(SEARCH(("관리"),(A365))))</formula>
    </cfRule>
  </conditionalFormatting>
  <conditionalFormatting sqref="A365">
    <cfRule type="containsText" dxfId="4" priority="1180" operator="containsText" text="등록">
      <formula>NOT(ISERROR(SEARCH(("등록"),(A365))))</formula>
    </cfRule>
  </conditionalFormatting>
  <conditionalFormatting sqref="D365">
    <cfRule type="containsText" dxfId="0" priority="1181" operator="containsText" text="거부">
      <formula>NOT(ISERROR(SEARCH(("거부"),(D365))))</formula>
    </cfRule>
  </conditionalFormatting>
  <conditionalFormatting sqref="D365">
    <cfRule type="containsText" dxfId="1" priority="1182" operator="containsText" text="리턴">
      <formula>NOT(ISERROR(SEARCH(("리턴"),(D365))))</formula>
    </cfRule>
  </conditionalFormatting>
  <conditionalFormatting sqref="D365">
    <cfRule type="containsText" dxfId="2" priority="1183" operator="containsText" text="실패">
      <formula>NOT(ISERROR(SEARCH(("실패"),(D365))))</formula>
    </cfRule>
  </conditionalFormatting>
  <conditionalFormatting sqref="D365">
    <cfRule type="containsText" dxfId="3" priority="1184" operator="containsText" text="관리">
      <formula>NOT(ISERROR(SEARCH(("관리"),(D365))))</formula>
    </cfRule>
  </conditionalFormatting>
  <conditionalFormatting sqref="D365">
    <cfRule type="containsText" dxfId="4" priority="1185" operator="containsText" text="등록">
      <formula>NOT(ISERROR(SEARCH(("등록"),(D365))))</formula>
    </cfRule>
  </conditionalFormatting>
  <conditionalFormatting sqref="A367">
    <cfRule type="containsText" dxfId="0" priority="1186" operator="containsText" text="거부">
      <formula>NOT(ISERROR(SEARCH(("거부"),(A367))))</formula>
    </cfRule>
  </conditionalFormatting>
  <conditionalFormatting sqref="A367">
    <cfRule type="containsText" dxfId="1" priority="1187" operator="containsText" text="리턴">
      <formula>NOT(ISERROR(SEARCH(("리턴"),(A367))))</formula>
    </cfRule>
  </conditionalFormatting>
  <conditionalFormatting sqref="A367">
    <cfRule type="containsText" dxfId="2" priority="1188" operator="containsText" text="실패">
      <formula>NOT(ISERROR(SEARCH(("실패"),(A367))))</formula>
    </cfRule>
  </conditionalFormatting>
  <conditionalFormatting sqref="A367">
    <cfRule type="containsText" dxfId="3" priority="1189" operator="containsText" text="관리">
      <formula>NOT(ISERROR(SEARCH(("관리"),(A367))))</formula>
    </cfRule>
  </conditionalFormatting>
  <conditionalFormatting sqref="A367">
    <cfRule type="containsText" dxfId="4" priority="1190" operator="containsText" text="등록">
      <formula>NOT(ISERROR(SEARCH(("등록"),(A367))))</formula>
    </cfRule>
  </conditionalFormatting>
  <conditionalFormatting sqref="A368">
    <cfRule type="containsText" dxfId="0" priority="1191" operator="containsText" text="거부">
      <formula>NOT(ISERROR(SEARCH(("거부"),(A368))))</formula>
    </cfRule>
  </conditionalFormatting>
  <conditionalFormatting sqref="A368">
    <cfRule type="containsText" dxfId="1" priority="1192" operator="containsText" text="리턴">
      <formula>NOT(ISERROR(SEARCH(("리턴"),(A368))))</formula>
    </cfRule>
  </conditionalFormatting>
  <conditionalFormatting sqref="A368">
    <cfRule type="containsText" dxfId="2" priority="1193" operator="containsText" text="실패">
      <formula>NOT(ISERROR(SEARCH(("실패"),(A368))))</formula>
    </cfRule>
  </conditionalFormatting>
  <conditionalFormatting sqref="A368">
    <cfRule type="containsText" dxfId="3" priority="1194" operator="containsText" text="관리">
      <formula>NOT(ISERROR(SEARCH(("관리"),(A368))))</formula>
    </cfRule>
  </conditionalFormatting>
  <conditionalFormatting sqref="A368">
    <cfRule type="containsText" dxfId="4" priority="1195" operator="containsText" text="등록">
      <formula>NOT(ISERROR(SEARCH(("등록"),(A368))))</formula>
    </cfRule>
  </conditionalFormatting>
  <conditionalFormatting sqref="A369">
    <cfRule type="containsText" dxfId="0" priority="1196" operator="containsText" text="거부">
      <formula>NOT(ISERROR(SEARCH(("거부"),(A369))))</formula>
    </cfRule>
  </conditionalFormatting>
  <conditionalFormatting sqref="A369">
    <cfRule type="containsText" dxfId="1" priority="1197" operator="containsText" text="리턴">
      <formula>NOT(ISERROR(SEARCH(("리턴"),(A369))))</formula>
    </cfRule>
  </conditionalFormatting>
  <conditionalFormatting sqref="A369">
    <cfRule type="containsText" dxfId="2" priority="1198" operator="containsText" text="실패">
      <formula>NOT(ISERROR(SEARCH(("실패"),(A369))))</formula>
    </cfRule>
  </conditionalFormatting>
  <conditionalFormatting sqref="A369">
    <cfRule type="containsText" dxfId="3" priority="1199" operator="containsText" text="관리">
      <formula>NOT(ISERROR(SEARCH(("관리"),(A369))))</formula>
    </cfRule>
  </conditionalFormatting>
  <conditionalFormatting sqref="A369">
    <cfRule type="containsText" dxfId="4" priority="1200" operator="containsText" text="등록">
      <formula>NOT(ISERROR(SEARCH(("등록"),(A369))))</formula>
    </cfRule>
  </conditionalFormatting>
  <conditionalFormatting sqref="A370">
    <cfRule type="containsText" dxfId="0" priority="1201" operator="containsText" text="거부">
      <formula>NOT(ISERROR(SEARCH(("거부"),(A370))))</formula>
    </cfRule>
  </conditionalFormatting>
  <conditionalFormatting sqref="A370">
    <cfRule type="containsText" dxfId="1" priority="1202" operator="containsText" text="리턴">
      <formula>NOT(ISERROR(SEARCH(("리턴"),(A370))))</formula>
    </cfRule>
  </conditionalFormatting>
  <conditionalFormatting sqref="A370">
    <cfRule type="containsText" dxfId="2" priority="1203" operator="containsText" text="실패">
      <formula>NOT(ISERROR(SEARCH(("실패"),(A370))))</formula>
    </cfRule>
  </conditionalFormatting>
  <conditionalFormatting sqref="A370">
    <cfRule type="containsText" dxfId="3" priority="1204" operator="containsText" text="관리">
      <formula>NOT(ISERROR(SEARCH(("관리"),(A370))))</formula>
    </cfRule>
  </conditionalFormatting>
  <conditionalFormatting sqref="A370">
    <cfRule type="containsText" dxfId="4" priority="1205" operator="containsText" text="등록">
      <formula>NOT(ISERROR(SEARCH(("등록"),(A370))))</formula>
    </cfRule>
  </conditionalFormatting>
  <conditionalFormatting sqref="A371">
    <cfRule type="containsText" dxfId="0" priority="1206" operator="containsText" text="거부">
      <formula>NOT(ISERROR(SEARCH(("거부"),(A371))))</formula>
    </cfRule>
  </conditionalFormatting>
  <conditionalFormatting sqref="A371">
    <cfRule type="containsText" dxfId="1" priority="1207" operator="containsText" text="리턴">
      <formula>NOT(ISERROR(SEARCH(("리턴"),(A371))))</formula>
    </cfRule>
  </conditionalFormatting>
  <conditionalFormatting sqref="A371">
    <cfRule type="containsText" dxfId="2" priority="1208" operator="containsText" text="실패">
      <formula>NOT(ISERROR(SEARCH(("실패"),(A371))))</formula>
    </cfRule>
  </conditionalFormatting>
  <conditionalFormatting sqref="A371">
    <cfRule type="containsText" dxfId="3" priority="1209" operator="containsText" text="관리">
      <formula>NOT(ISERROR(SEARCH(("관리"),(A371))))</formula>
    </cfRule>
  </conditionalFormatting>
  <conditionalFormatting sqref="A371">
    <cfRule type="containsText" dxfId="4" priority="1210" operator="containsText" text="등록">
      <formula>NOT(ISERROR(SEARCH(("등록"),(A371))))</formula>
    </cfRule>
  </conditionalFormatting>
  <conditionalFormatting sqref="A372">
    <cfRule type="containsText" dxfId="0" priority="1211" operator="containsText" text="거부">
      <formula>NOT(ISERROR(SEARCH(("거부"),(A372))))</formula>
    </cfRule>
  </conditionalFormatting>
  <conditionalFormatting sqref="A372">
    <cfRule type="containsText" dxfId="1" priority="1212" operator="containsText" text="리턴">
      <formula>NOT(ISERROR(SEARCH(("리턴"),(A372))))</formula>
    </cfRule>
  </conditionalFormatting>
  <conditionalFormatting sqref="A372">
    <cfRule type="containsText" dxfId="2" priority="1213" operator="containsText" text="실패">
      <formula>NOT(ISERROR(SEARCH(("실패"),(A372))))</formula>
    </cfRule>
  </conditionalFormatting>
  <conditionalFormatting sqref="A372">
    <cfRule type="containsText" dxfId="3" priority="1214" operator="containsText" text="관리">
      <formula>NOT(ISERROR(SEARCH(("관리"),(A372))))</formula>
    </cfRule>
  </conditionalFormatting>
  <conditionalFormatting sqref="A372">
    <cfRule type="containsText" dxfId="4" priority="1215" operator="containsText" text="등록">
      <formula>NOT(ISERROR(SEARCH(("등록"),(A372))))</formula>
    </cfRule>
  </conditionalFormatting>
  <conditionalFormatting sqref="A373">
    <cfRule type="containsText" dxfId="0" priority="1216" operator="containsText" text="거부">
      <formula>NOT(ISERROR(SEARCH(("거부"),(A373))))</formula>
    </cfRule>
  </conditionalFormatting>
  <conditionalFormatting sqref="A373">
    <cfRule type="containsText" dxfId="1" priority="1217" operator="containsText" text="리턴">
      <formula>NOT(ISERROR(SEARCH(("리턴"),(A373))))</formula>
    </cfRule>
  </conditionalFormatting>
  <conditionalFormatting sqref="A373">
    <cfRule type="containsText" dxfId="2" priority="1218" operator="containsText" text="실패">
      <formula>NOT(ISERROR(SEARCH(("실패"),(A373))))</formula>
    </cfRule>
  </conditionalFormatting>
  <conditionalFormatting sqref="A373">
    <cfRule type="containsText" dxfId="3" priority="1219" operator="containsText" text="관리">
      <formula>NOT(ISERROR(SEARCH(("관리"),(A373))))</formula>
    </cfRule>
  </conditionalFormatting>
  <conditionalFormatting sqref="A373">
    <cfRule type="containsText" dxfId="4" priority="1220" operator="containsText" text="등록">
      <formula>NOT(ISERROR(SEARCH(("등록"),(A373))))</formula>
    </cfRule>
  </conditionalFormatting>
  <conditionalFormatting sqref="A374">
    <cfRule type="containsText" dxfId="0" priority="1221" operator="containsText" text="거부">
      <formula>NOT(ISERROR(SEARCH(("거부"),(A374))))</formula>
    </cfRule>
  </conditionalFormatting>
  <conditionalFormatting sqref="A374">
    <cfRule type="containsText" dxfId="1" priority="1222" operator="containsText" text="리턴">
      <formula>NOT(ISERROR(SEARCH(("리턴"),(A374))))</formula>
    </cfRule>
  </conditionalFormatting>
  <conditionalFormatting sqref="A374">
    <cfRule type="containsText" dxfId="2" priority="1223" operator="containsText" text="실패">
      <formula>NOT(ISERROR(SEARCH(("실패"),(A374))))</formula>
    </cfRule>
  </conditionalFormatting>
  <conditionalFormatting sqref="A374">
    <cfRule type="containsText" dxfId="3" priority="1224" operator="containsText" text="관리">
      <formula>NOT(ISERROR(SEARCH(("관리"),(A374))))</formula>
    </cfRule>
  </conditionalFormatting>
  <conditionalFormatting sqref="A374">
    <cfRule type="containsText" dxfId="4" priority="1225" operator="containsText" text="등록">
      <formula>NOT(ISERROR(SEARCH(("등록"),(A374))))</formula>
    </cfRule>
  </conditionalFormatting>
  <conditionalFormatting sqref="A375">
    <cfRule type="containsText" dxfId="0" priority="1226" operator="containsText" text="거부">
      <formula>NOT(ISERROR(SEARCH(("거부"),(A375))))</formula>
    </cfRule>
  </conditionalFormatting>
  <conditionalFormatting sqref="A375">
    <cfRule type="containsText" dxfId="1" priority="1227" operator="containsText" text="리턴">
      <formula>NOT(ISERROR(SEARCH(("리턴"),(A375))))</formula>
    </cfRule>
  </conditionalFormatting>
  <conditionalFormatting sqref="A375">
    <cfRule type="containsText" dxfId="2" priority="1228" operator="containsText" text="실패">
      <formula>NOT(ISERROR(SEARCH(("실패"),(A375))))</formula>
    </cfRule>
  </conditionalFormatting>
  <conditionalFormatting sqref="A375">
    <cfRule type="containsText" dxfId="3" priority="1229" operator="containsText" text="관리">
      <formula>NOT(ISERROR(SEARCH(("관리"),(A375))))</formula>
    </cfRule>
  </conditionalFormatting>
  <conditionalFormatting sqref="A375">
    <cfRule type="containsText" dxfId="4" priority="1230" operator="containsText" text="등록">
      <formula>NOT(ISERROR(SEARCH(("등록"),(A375))))</formula>
    </cfRule>
  </conditionalFormatting>
  <conditionalFormatting sqref="A376">
    <cfRule type="containsText" dxfId="0" priority="1231" operator="containsText" text="거부">
      <formula>NOT(ISERROR(SEARCH(("거부"),(A376))))</formula>
    </cfRule>
  </conditionalFormatting>
  <conditionalFormatting sqref="A376">
    <cfRule type="containsText" dxfId="1" priority="1232" operator="containsText" text="리턴">
      <formula>NOT(ISERROR(SEARCH(("리턴"),(A376))))</formula>
    </cfRule>
  </conditionalFormatting>
  <conditionalFormatting sqref="A376">
    <cfRule type="containsText" dxfId="2" priority="1233" operator="containsText" text="실패">
      <formula>NOT(ISERROR(SEARCH(("실패"),(A376))))</formula>
    </cfRule>
  </conditionalFormatting>
  <conditionalFormatting sqref="A376">
    <cfRule type="containsText" dxfId="3" priority="1234" operator="containsText" text="관리">
      <formula>NOT(ISERROR(SEARCH(("관리"),(A376))))</formula>
    </cfRule>
  </conditionalFormatting>
  <conditionalFormatting sqref="A376">
    <cfRule type="containsText" dxfId="4" priority="1235" operator="containsText" text="등록">
      <formula>NOT(ISERROR(SEARCH(("등록"),(A376))))</formula>
    </cfRule>
  </conditionalFormatting>
  <conditionalFormatting sqref="A377">
    <cfRule type="containsText" dxfId="0" priority="1236" operator="containsText" text="거부">
      <formula>NOT(ISERROR(SEARCH(("거부"),(A377))))</formula>
    </cfRule>
  </conditionalFormatting>
  <conditionalFormatting sqref="A377">
    <cfRule type="containsText" dxfId="1" priority="1237" operator="containsText" text="리턴">
      <formula>NOT(ISERROR(SEARCH(("리턴"),(A377))))</formula>
    </cfRule>
  </conditionalFormatting>
  <conditionalFormatting sqref="A377">
    <cfRule type="containsText" dxfId="2" priority="1238" operator="containsText" text="실패">
      <formula>NOT(ISERROR(SEARCH(("실패"),(A377))))</formula>
    </cfRule>
  </conditionalFormatting>
  <conditionalFormatting sqref="A377">
    <cfRule type="containsText" dxfId="3" priority="1239" operator="containsText" text="관리">
      <formula>NOT(ISERROR(SEARCH(("관리"),(A377))))</formula>
    </cfRule>
  </conditionalFormatting>
  <conditionalFormatting sqref="A377">
    <cfRule type="containsText" dxfId="4" priority="1240" operator="containsText" text="등록">
      <formula>NOT(ISERROR(SEARCH(("등록"),(A377))))</formula>
    </cfRule>
  </conditionalFormatting>
  <conditionalFormatting sqref="A378">
    <cfRule type="containsText" dxfId="0" priority="1241" operator="containsText" text="거부">
      <formula>NOT(ISERROR(SEARCH(("거부"),(A378))))</formula>
    </cfRule>
  </conditionalFormatting>
  <conditionalFormatting sqref="A378">
    <cfRule type="containsText" dxfId="1" priority="1242" operator="containsText" text="리턴">
      <formula>NOT(ISERROR(SEARCH(("리턴"),(A378))))</formula>
    </cfRule>
  </conditionalFormatting>
  <conditionalFormatting sqref="A378">
    <cfRule type="containsText" dxfId="2" priority="1243" operator="containsText" text="실패">
      <formula>NOT(ISERROR(SEARCH(("실패"),(A378))))</formula>
    </cfRule>
  </conditionalFormatting>
  <conditionalFormatting sqref="A378">
    <cfRule type="containsText" dxfId="3" priority="1244" operator="containsText" text="관리">
      <formula>NOT(ISERROR(SEARCH(("관리"),(A378))))</formula>
    </cfRule>
  </conditionalFormatting>
  <conditionalFormatting sqref="A378">
    <cfRule type="containsText" dxfId="4" priority="1245" operator="containsText" text="등록">
      <formula>NOT(ISERROR(SEARCH(("등록"),(A378))))</formula>
    </cfRule>
  </conditionalFormatting>
  <conditionalFormatting sqref="A379">
    <cfRule type="containsText" dxfId="0" priority="1246" operator="containsText" text="거부">
      <formula>NOT(ISERROR(SEARCH(("거부"),(A379))))</formula>
    </cfRule>
  </conditionalFormatting>
  <conditionalFormatting sqref="A379">
    <cfRule type="containsText" dxfId="1" priority="1247" operator="containsText" text="리턴">
      <formula>NOT(ISERROR(SEARCH(("리턴"),(A379))))</formula>
    </cfRule>
  </conditionalFormatting>
  <conditionalFormatting sqref="A379">
    <cfRule type="containsText" dxfId="2" priority="1248" operator="containsText" text="실패">
      <formula>NOT(ISERROR(SEARCH(("실패"),(A379))))</formula>
    </cfRule>
  </conditionalFormatting>
  <conditionalFormatting sqref="A379">
    <cfRule type="containsText" dxfId="3" priority="1249" operator="containsText" text="관리">
      <formula>NOT(ISERROR(SEARCH(("관리"),(A379))))</formula>
    </cfRule>
  </conditionalFormatting>
  <conditionalFormatting sqref="A379">
    <cfRule type="containsText" dxfId="4" priority="1250" operator="containsText" text="등록">
      <formula>NOT(ISERROR(SEARCH(("등록"),(A379))))</formula>
    </cfRule>
  </conditionalFormatting>
  <conditionalFormatting sqref="A380">
    <cfRule type="containsText" dxfId="0" priority="1251" operator="containsText" text="거부">
      <formula>NOT(ISERROR(SEARCH(("거부"),(A380))))</formula>
    </cfRule>
  </conditionalFormatting>
  <conditionalFormatting sqref="A380">
    <cfRule type="containsText" dxfId="1" priority="1252" operator="containsText" text="리턴">
      <formula>NOT(ISERROR(SEARCH(("리턴"),(A380))))</formula>
    </cfRule>
  </conditionalFormatting>
  <conditionalFormatting sqref="A380">
    <cfRule type="containsText" dxfId="2" priority="1253" operator="containsText" text="실패">
      <formula>NOT(ISERROR(SEARCH(("실패"),(A380))))</formula>
    </cfRule>
  </conditionalFormatting>
  <conditionalFormatting sqref="A380">
    <cfRule type="containsText" dxfId="3" priority="1254" operator="containsText" text="관리">
      <formula>NOT(ISERROR(SEARCH(("관리"),(A380))))</formula>
    </cfRule>
  </conditionalFormatting>
  <conditionalFormatting sqref="A380">
    <cfRule type="containsText" dxfId="4" priority="1255" operator="containsText" text="등록">
      <formula>NOT(ISERROR(SEARCH(("등록"),(A380))))</formula>
    </cfRule>
  </conditionalFormatting>
  <conditionalFormatting sqref="A381">
    <cfRule type="containsText" dxfId="0" priority="1256" operator="containsText" text="거부">
      <formula>NOT(ISERROR(SEARCH(("거부"),(A381))))</formula>
    </cfRule>
  </conditionalFormatting>
  <conditionalFormatting sqref="A381">
    <cfRule type="containsText" dxfId="1" priority="1257" operator="containsText" text="리턴">
      <formula>NOT(ISERROR(SEARCH(("리턴"),(A381))))</formula>
    </cfRule>
  </conditionalFormatting>
  <conditionalFormatting sqref="A381">
    <cfRule type="containsText" dxfId="2" priority="1258" operator="containsText" text="실패">
      <formula>NOT(ISERROR(SEARCH(("실패"),(A381))))</formula>
    </cfRule>
  </conditionalFormatting>
  <conditionalFormatting sqref="A381">
    <cfRule type="containsText" dxfId="3" priority="1259" operator="containsText" text="관리">
      <formula>NOT(ISERROR(SEARCH(("관리"),(A381))))</formula>
    </cfRule>
  </conditionalFormatting>
  <conditionalFormatting sqref="A381">
    <cfRule type="containsText" dxfId="4" priority="1260" operator="containsText" text="등록">
      <formula>NOT(ISERROR(SEARCH(("등록"),(A381))))</formula>
    </cfRule>
  </conditionalFormatting>
  <conditionalFormatting sqref="A381">
    <cfRule type="containsText" dxfId="0" priority="1261" operator="containsText" text="거부">
      <formula>NOT(ISERROR(SEARCH(("거부"),(A381))))</formula>
    </cfRule>
  </conditionalFormatting>
  <conditionalFormatting sqref="A381">
    <cfRule type="containsText" dxfId="1" priority="1262" operator="containsText" text="리턴">
      <formula>NOT(ISERROR(SEARCH(("리턴"),(A381))))</formula>
    </cfRule>
  </conditionalFormatting>
  <conditionalFormatting sqref="A381">
    <cfRule type="containsText" dxfId="2" priority="1263" operator="containsText" text="실패">
      <formula>NOT(ISERROR(SEARCH(("실패"),(A381))))</formula>
    </cfRule>
  </conditionalFormatting>
  <conditionalFormatting sqref="A381">
    <cfRule type="containsText" dxfId="3" priority="1264" operator="containsText" text="관리">
      <formula>NOT(ISERROR(SEARCH(("관리"),(A381))))</formula>
    </cfRule>
  </conditionalFormatting>
  <conditionalFormatting sqref="A381">
    <cfRule type="containsText" dxfId="4" priority="1265" operator="containsText" text="등록">
      <formula>NOT(ISERROR(SEARCH(("등록"),(A381))))</formula>
    </cfRule>
  </conditionalFormatting>
  <conditionalFormatting sqref="A382">
    <cfRule type="containsText" dxfId="0" priority="1266" operator="containsText" text="거부">
      <formula>NOT(ISERROR(SEARCH(("거부"),(A382))))</formula>
    </cfRule>
  </conditionalFormatting>
  <conditionalFormatting sqref="A382">
    <cfRule type="containsText" dxfId="1" priority="1267" operator="containsText" text="리턴">
      <formula>NOT(ISERROR(SEARCH(("리턴"),(A382))))</formula>
    </cfRule>
  </conditionalFormatting>
  <conditionalFormatting sqref="A382">
    <cfRule type="containsText" dxfId="2" priority="1268" operator="containsText" text="실패">
      <formula>NOT(ISERROR(SEARCH(("실패"),(A382))))</formula>
    </cfRule>
  </conditionalFormatting>
  <conditionalFormatting sqref="A382">
    <cfRule type="containsText" dxfId="3" priority="1269" operator="containsText" text="관리">
      <formula>NOT(ISERROR(SEARCH(("관리"),(A382))))</formula>
    </cfRule>
  </conditionalFormatting>
  <conditionalFormatting sqref="A382">
    <cfRule type="containsText" dxfId="4" priority="1270" operator="containsText" text="등록">
      <formula>NOT(ISERROR(SEARCH(("등록"),(A382))))</formula>
    </cfRule>
  </conditionalFormatting>
  <conditionalFormatting sqref="A382">
    <cfRule type="containsText" dxfId="0" priority="1271" operator="containsText" text="거부">
      <formula>NOT(ISERROR(SEARCH(("거부"),(A382))))</formula>
    </cfRule>
  </conditionalFormatting>
  <conditionalFormatting sqref="A382">
    <cfRule type="containsText" dxfId="1" priority="1272" operator="containsText" text="리턴">
      <formula>NOT(ISERROR(SEARCH(("리턴"),(A382))))</formula>
    </cfRule>
  </conditionalFormatting>
  <conditionalFormatting sqref="A382">
    <cfRule type="containsText" dxfId="2" priority="1273" operator="containsText" text="실패">
      <formula>NOT(ISERROR(SEARCH(("실패"),(A382))))</formula>
    </cfRule>
  </conditionalFormatting>
  <conditionalFormatting sqref="A382">
    <cfRule type="containsText" dxfId="3" priority="1274" operator="containsText" text="관리">
      <formula>NOT(ISERROR(SEARCH(("관리"),(A382))))</formula>
    </cfRule>
  </conditionalFormatting>
  <conditionalFormatting sqref="A382">
    <cfRule type="containsText" dxfId="4" priority="1275" operator="containsText" text="등록">
      <formula>NOT(ISERROR(SEARCH(("등록"),(A382))))</formula>
    </cfRule>
  </conditionalFormatting>
  <conditionalFormatting sqref="A383">
    <cfRule type="containsText" dxfId="0" priority="1276" operator="containsText" text="거부">
      <formula>NOT(ISERROR(SEARCH(("거부"),(A383))))</formula>
    </cfRule>
  </conditionalFormatting>
  <conditionalFormatting sqref="A383">
    <cfRule type="containsText" dxfId="1" priority="1277" operator="containsText" text="리턴">
      <formula>NOT(ISERROR(SEARCH(("리턴"),(A383))))</formula>
    </cfRule>
  </conditionalFormatting>
  <conditionalFormatting sqref="A383">
    <cfRule type="containsText" dxfId="2" priority="1278" operator="containsText" text="실패">
      <formula>NOT(ISERROR(SEARCH(("실패"),(A383))))</formula>
    </cfRule>
  </conditionalFormatting>
  <conditionalFormatting sqref="A383">
    <cfRule type="containsText" dxfId="3" priority="1279" operator="containsText" text="관리">
      <formula>NOT(ISERROR(SEARCH(("관리"),(A383))))</formula>
    </cfRule>
  </conditionalFormatting>
  <conditionalFormatting sqref="A383">
    <cfRule type="containsText" dxfId="4" priority="1280" operator="containsText" text="등록">
      <formula>NOT(ISERROR(SEARCH(("등록"),(A383))))</formula>
    </cfRule>
  </conditionalFormatting>
  <conditionalFormatting sqref="A383">
    <cfRule type="containsText" dxfId="0" priority="1281" operator="containsText" text="거부">
      <formula>NOT(ISERROR(SEARCH(("거부"),(A383))))</formula>
    </cfRule>
  </conditionalFormatting>
  <conditionalFormatting sqref="A383">
    <cfRule type="containsText" dxfId="1" priority="1282" operator="containsText" text="리턴">
      <formula>NOT(ISERROR(SEARCH(("리턴"),(A383))))</formula>
    </cfRule>
  </conditionalFormatting>
  <conditionalFormatting sqref="A383">
    <cfRule type="containsText" dxfId="2" priority="1283" operator="containsText" text="실패">
      <formula>NOT(ISERROR(SEARCH(("실패"),(A383))))</formula>
    </cfRule>
  </conditionalFormatting>
  <conditionalFormatting sqref="A383">
    <cfRule type="containsText" dxfId="3" priority="1284" operator="containsText" text="관리">
      <formula>NOT(ISERROR(SEARCH(("관리"),(A383))))</formula>
    </cfRule>
  </conditionalFormatting>
  <conditionalFormatting sqref="A383">
    <cfRule type="containsText" dxfId="4" priority="1285" operator="containsText" text="등록">
      <formula>NOT(ISERROR(SEARCH(("등록"),(A383))))</formula>
    </cfRule>
  </conditionalFormatting>
  <conditionalFormatting sqref="A384">
    <cfRule type="containsText" dxfId="0" priority="1286" operator="containsText" text="거부">
      <formula>NOT(ISERROR(SEARCH(("거부"),(A384))))</formula>
    </cfRule>
  </conditionalFormatting>
  <conditionalFormatting sqref="A384">
    <cfRule type="containsText" dxfId="1" priority="1287" operator="containsText" text="리턴">
      <formula>NOT(ISERROR(SEARCH(("리턴"),(A384))))</formula>
    </cfRule>
  </conditionalFormatting>
  <conditionalFormatting sqref="A384">
    <cfRule type="containsText" dxfId="2" priority="1288" operator="containsText" text="실패">
      <formula>NOT(ISERROR(SEARCH(("실패"),(A384))))</formula>
    </cfRule>
  </conditionalFormatting>
  <conditionalFormatting sqref="A384">
    <cfRule type="containsText" dxfId="3" priority="1289" operator="containsText" text="관리">
      <formula>NOT(ISERROR(SEARCH(("관리"),(A384))))</formula>
    </cfRule>
  </conditionalFormatting>
  <conditionalFormatting sqref="A384">
    <cfRule type="containsText" dxfId="4" priority="1290" operator="containsText" text="등록">
      <formula>NOT(ISERROR(SEARCH(("등록"),(A384))))</formula>
    </cfRule>
  </conditionalFormatting>
  <conditionalFormatting sqref="A384">
    <cfRule type="containsText" dxfId="0" priority="1291" operator="containsText" text="거부">
      <formula>NOT(ISERROR(SEARCH(("거부"),(A384))))</formula>
    </cfRule>
  </conditionalFormatting>
  <conditionalFormatting sqref="A384">
    <cfRule type="containsText" dxfId="1" priority="1292" operator="containsText" text="리턴">
      <formula>NOT(ISERROR(SEARCH(("리턴"),(A384))))</formula>
    </cfRule>
  </conditionalFormatting>
  <conditionalFormatting sqref="A384">
    <cfRule type="containsText" dxfId="2" priority="1293" operator="containsText" text="실패">
      <formula>NOT(ISERROR(SEARCH(("실패"),(A384))))</formula>
    </cfRule>
  </conditionalFormatting>
  <conditionalFormatting sqref="A384">
    <cfRule type="containsText" dxfId="3" priority="1294" operator="containsText" text="관리">
      <formula>NOT(ISERROR(SEARCH(("관리"),(A384))))</formula>
    </cfRule>
  </conditionalFormatting>
  <conditionalFormatting sqref="A384">
    <cfRule type="containsText" dxfId="4" priority="1295" operator="containsText" text="등록">
      <formula>NOT(ISERROR(SEARCH(("등록"),(A384))))</formula>
    </cfRule>
  </conditionalFormatting>
  <conditionalFormatting sqref="A385">
    <cfRule type="containsText" dxfId="0" priority="1296" operator="containsText" text="거부">
      <formula>NOT(ISERROR(SEARCH(("거부"),(A385))))</formula>
    </cfRule>
  </conditionalFormatting>
  <conditionalFormatting sqref="A385">
    <cfRule type="containsText" dxfId="1" priority="1297" operator="containsText" text="리턴">
      <formula>NOT(ISERROR(SEARCH(("리턴"),(A385))))</formula>
    </cfRule>
  </conditionalFormatting>
  <conditionalFormatting sqref="A385">
    <cfRule type="containsText" dxfId="2" priority="1298" operator="containsText" text="실패">
      <formula>NOT(ISERROR(SEARCH(("실패"),(A385))))</formula>
    </cfRule>
  </conditionalFormatting>
  <conditionalFormatting sqref="A385">
    <cfRule type="containsText" dxfId="3" priority="1299" operator="containsText" text="관리">
      <formula>NOT(ISERROR(SEARCH(("관리"),(A385))))</formula>
    </cfRule>
  </conditionalFormatting>
  <conditionalFormatting sqref="A385">
    <cfRule type="containsText" dxfId="4" priority="1300" operator="containsText" text="등록">
      <formula>NOT(ISERROR(SEARCH(("등록"),(A385))))</formula>
    </cfRule>
  </conditionalFormatting>
  <conditionalFormatting sqref="A385">
    <cfRule type="containsText" dxfId="0" priority="1301" operator="containsText" text="거부">
      <formula>NOT(ISERROR(SEARCH(("거부"),(A385))))</formula>
    </cfRule>
  </conditionalFormatting>
  <conditionalFormatting sqref="A385">
    <cfRule type="containsText" dxfId="1" priority="1302" operator="containsText" text="리턴">
      <formula>NOT(ISERROR(SEARCH(("리턴"),(A385))))</formula>
    </cfRule>
  </conditionalFormatting>
  <conditionalFormatting sqref="A385">
    <cfRule type="containsText" dxfId="2" priority="1303" operator="containsText" text="실패">
      <formula>NOT(ISERROR(SEARCH(("실패"),(A385))))</formula>
    </cfRule>
  </conditionalFormatting>
  <conditionalFormatting sqref="A385">
    <cfRule type="containsText" dxfId="3" priority="1304" operator="containsText" text="관리">
      <formula>NOT(ISERROR(SEARCH(("관리"),(A385))))</formula>
    </cfRule>
  </conditionalFormatting>
  <conditionalFormatting sqref="A385">
    <cfRule type="containsText" dxfId="4" priority="1305" operator="containsText" text="등록">
      <formula>NOT(ISERROR(SEARCH(("등록"),(A385))))</formula>
    </cfRule>
  </conditionalFormatting>
  <conditionalFormatting sqref="A386">
    <cfRule type="containsText" dxfId="0" priority="1306" operator="containsText" text="거부">
      <formula>NOT(ISERROR(SEARCH(("거부"),(A386))))</formula>
    </cfRule>
  </conditionalFormatting>
  <conditionalFormatting sqref="A386">
    <cfRule type="containsText" dxfId="1" priority="1307" operator="containsText" text="리턴">
      <formula>NOT(ISERROR(SEARCH(("리턴"),(A386))))</formula>
    </cfRule>
  </conditionalFormatting>
  <conditionalFormatting sqref="A386">
    <cfRule type="containsText" dxfId="2" priority="1308" operator="containsText" text="실패">
      <formula>NOT(ISERROR(SEARCH(("실패"),(A386))))</formula>
    </cfRule>
  </conditionalFormatting>
  <conditionalFormatting sqref="A386">
    <cfRule type="containsText" dxfId="3" priority="1309" operator="containsText" text="관리">
      <formula>NOT(ISERROR(SEARCH(("관리"),(A386))))</formula>
    </cfRule>
  </conditionalFormatting>
  <conditionalFormatting sqref="A386">
    <cfRule type="containsText" dxfId="4" priority="1310" operator="containsText" text="등록">
      <formula>NOT(ISERROR(SEARCH(("등록"),(A386))))</formula>
    </cfRule>
  </conditionalFormatting>
  <conditionalFormatting sqref="A386">
    <cfRule type="containsText" dxfId="0" priority="1311" operator="containsText" text="거부">
      <formula>NOT(ISERROR(SEARCH(("거부"),(A386))))</formula>
    </cfRule>
  </conditionalFormatting>
  <conditionalFormatting sqref="A386">
    <cfRule type="containsText" dxfId="1" priority="1312" operator="containsText" text="리턴">
      <formula>NOT(ISERROR(SEARCH(("리턴"),(A386))))</formula>
    </cfRule>
  </conditionalFormatting>
  <conditionalFormatting sqref="A386">
    <cfRule type="containsText" dxfId="2" priority="1313" operator="containsText" text="실패">
      <formula>NOT(ISERROR(SEARCH(("실패"),(A386))))</formula>
    </cfRule>
  </conditionalFormatting>
  <conditionalFormatting sqref="A386">
    <cfRule type="containsText" dxfId="3" priority="1314" operator="containsText" text="관리">
      <formula>NOT(ISERROR(SEARCH(("관리"),(A386))))</formula>
    </cfRule>
  </conditionalFormatting>
  <conditionalFormatting sqref="A386">
    <cfRule type="containsText" dxfId="4" priority="1315" operator="containsText" text="등록">
      <formula>NOT(ISERROR(SEARCH(("등록"),(A386))))</formula>
    </cfRule>
  </conditionalFormatting>
  <conditionalFormatting sqref="A387">
    <cfRule type="containsText" dxfId="0" priority="1316" operator="containsText" text="거부">
      <formula>NOT(ISERROR(SEARCH(("거부"),(A387))))</formula>
    </cfRule>
  </conditionalFormatting>
  <conditionalFormatting sqref="A387">
    <cfRule type="containsText" dxfId="1" priority="1317" operator="containsText" text="리턴">
      <formula>NOT(ISERROR(SEARCH(("리턴"),(A387))))</formula>
    </cfRule>
  </conditionalFormatting>
  <conditionalFormatting sqref="A387">
    <cfRule type="containsText" dxfId="2" priority="1318" operator="containsText" text="실패">
      <formula>NOT(ISERROR(SEARCH(("실패"),(A387))))</formula>
    </cfRule>
  </conditionalFormatting>
  <conditionalFormatting sqref="A387">
    <cfRule type="containsText" dxfId="3" priority="1319" operator="containsText" text="관리">
      <formula>NOT(ISERROR(SEARCH(("관리"),(A387))))</formula>
    </cfRule>
  </conditionalFormatting>
  <conditionalFormatting sqref="A387">
    <cfRule type="containsText" dxfId="4" priority="1320" operator="containsText" text="등록">
      <formula>NOT(ISERROR(SEARCH(("등록"),(A387))))</formula>
    </cfRule>
  </conditionalFormatting>
  <conditionalFormatting sqref="A387">
    <cfRule type="containsText" dxfId="0" priority="1321" operator="containsText" text="거부">
      <formula>NOT(ISERROR(SEARCH(("거부"),(A387))))</formula>
    </cfRule>
  </conditionalFormatting>
  <conditionalFormatting sqref="A387">
    <cfRule type="containsText" dxfId="1" priority="1322" operator="containsText" text="리턴">
      <formula>NOT(ISERROR(SEARCH(("리턴"),(A387))))</formula>
    </cfRule>
  </conditionalFormatting>
  <conditionalFormatting sqref="A387">
    <cfRule type="containsText" dxfId="2" priority="1323" operator="containsText" text="실패">
      <formula>NOT(ISERROR(SEARCH(("실패"),(A387))))</formula>
    </cfRule>
  </conditionalFormatting>
  <conditionalFormatting sqref="A387">
    <cfRule type="containsText" dxfId="3" priority="1324" operator="containsText" text="관리">
      <formula>NOT(ISERROR(SEARCH(("관리"),(A387))))</formula>
    </cfRule>
  </conditionalFormatting>
  <conditionalFormatting sqref="A387">
    <cfRule type="containsText" dxfId="4" priority="1325" operator="containsText" text="등록">
      <formula>NOT(ISERROR(SEARCH(("등록"),(A387))))</formula>
    </cfRule>
  </conditionalFormatting>
  <conditionalFormatting sqref="A388">
    <cfRule type="containsText" dxfId="0" priority="1326" operator="containsText" text="거부">
      <formula>NOT(ISERROR(SEARCH(("거부"),(A388))))</formula>
    </cfRule>
  </conditionalFormatting>
  <conditionalFormatting sqref="A388">
    <cfRule type="containsText" dxfId="1" priority="1327" operator="containsText" text="리턴">
      <formula>NOT(ISERROR(SEARCH(("리턴"),(A388))))</formula>
    </cfRule>
  </conditionalFormatting>
  <conditionalFormatting sqref="A388">
    <cfRule type="containsText" dxfId="2" priority="1328" operator="containsText" text="실패">
      <formula>NOT(ISERROR(SEARCH(("실패"),(A388))))</formula>
    </cfRule>
  </conditionalFormatting>
  <conditionalFormatting sqref="A388">
    <cfRule type="containsText" dxfId="3" priority="1329" operator="containsText" text="관리">
      <formula>NOT(ISERROR(SEARCH(("관리"),(A388))))</formula>
    </cfRule>
  </conditionalFormatting>
  <conditionalFormatting sqref="A388">
    <cfRule type="containsText" dxfId="4" priority="1330" operator="containsText" text="등록">
      <formula>NOT(ISERROR(SEARCH(("등록"),(A388))))</formula>
    </cfRule>
  </conditionalFormatting>
  <conditionalFormatting sqref="A390">
    <cfRule type="containsText" dxfId="0" priority="1331" operator="containsText" text="거부">
      <formula>NOT(ISERROR(SEARCH(("거부"),(A390))))</formula>
    </cfRule>
  </conditionalFormatting>
  <conditionalFormatting sqref="A390">
    <cfRule type="containsText" dxfId="1" priority="1332" operator="containsText" text="리턴">
      <formula>NOT(ISERROR(SEARCH(("리턴"),(A390))))</formula>
    </cfRule>
  </conditionalFormatting>
  <conditionalFormatting sqref="A390">
    <cfRule type="containsText" dxfId="2" priority="1333" operator="containsText" text="실패">
      <formula>NOT(ISERROR(SEARCH(("실패"),(A390))))</formula>
    </cfRule>
  </conditionalFormatting>
  <conditionalFormatting sqref="A390">
    <cfRule type="containsText" dxfId="3" priority="1334" operator="containsText" text="관리">
      <formula>NOT(ISERROR(SEARCH(("관리"),(A390))))</formula>
    </cfRule>
  </conditionalFormatting>
  <conditionalFormatting sqref="A390">
    <cfRule type="containsText" dxfId="4" priority="1335" operator="containsText" text="등록">
      <formula>NOT(ISERROR(SEARCH(("등록"),(A390))))</formula>
    </cfRule>
  </conditionalFormatting>
  <conditionalFormatting sqref="A389">
    <cfRule type="containsText" dxfId="0" priority="1336" operator="containsText" text="거부">
      <formula>NOT(ISERROR(SEARCH(("거부"),(A389))))</formula>
    </cfRule>
  </conditionalFormatting>
  <conditionalFormatting sqref="A389">
    <cfRule type="containsText" dxfId="1" priority="1337" operator="containsText" text="리턴">
      <formula>NOT(ISERROR(SEARCH(("리턴"),(A389))))</formula>
    </cfRule>
  </conditionalFormatting>
  <conditionalFormatting sqref="A389">
    <cfRule type="containsText" dxfId="2" priority="1338" operator="containsText" text="실패">
      <formula>NOT(ISERROR(SEARCH(("실패"),(A389))))</formula>
    </cfRule>
  </conditionalFormatting>
  <conditionalFormatting sqref="A389">
    <cfRule type="containsText" dxfId="3" priority="1339" operator="containsText" text="관리">
      <formula>NOT(ISERROR(SEARCH(("관리"),(A389))))</formula>
    </cfRule>
  </conditionalFormatting>
  <conditionalFormatting sqref="A389">
    <cfRule type="containsText" dxfId="4" priority="1340" operator="containsText" text="등록">
      <formula>NOT(ISERROR(SEARCH(("등록"),(A389))))</formula>
    </cfRule>
  </conditionalFormatting>
  <conditionalFormatting sqref="A391">
    <cfRule type="containsText" dxfId="0" priority="1341" operator="containsText" text="거부">
      <formula>NOT(ISERROR(SEARCH(("거부"),(A391))))</formula>
    </cfRule>
  </conditionalFormatting>
  <conditionalFormatting sqref="A391">
    <cfRule type="containsText" dxfId="1" priority="1342" operator="containsText" text="리턴">
      <formula>NOT(ISERROR(SEARCH(("리턴"),(A391))))</formula>
    </cfRule>
  </conditionalFormatting>
  <conditionalFormatting sqref="A391">
    <cfRule type="containsText" dxfId="2" priority="1343" operator="containsText" text="실패">
      <formula>NOT(ISERROR(SEARCH(("실패"),(A391))))</formula>
    </cfRule>
  </conditionalFormatting>
  <conditionalFormatting sqref="A391">
    <cfRule type="containsText" dxfId="3" priority="1344" operator="containsText" text="관리">
      <formula>NOT(ISERROR(SEARCH(("관리"),(A391))))</formula>
    </cfRule>
  </conditionalFormatting>
  <conditionalFormatting sqref="A391">
    <cfRule type="containsText" dxfId="4" priority="1345" operator="containsText" text="등록">
      <formula>NOT(ISERROR(SEARCH(("등록"),(A391))))</formula>
    </cfRule>
  </conditionalFormatting>
  <conditionalFormatting sqref="A392">
    <cfRule type="containsText" dxfId="0" priority="1346" operator="containsText" text="거부">
      <formula>NOT(ISERROR(SEARCH(("거부"),(A392))))</formula>
    </cfRule>
  </conditionalFormatting>
  <conditionalFormatting sqref="A392">
    <cfRule type="containsText" dxfId="1" priority="1347" operator="containsText" text="리턴">
      <formula>NOT(ISERROR(SEARCH(("리턴"),(A392))))</formula>
    </cfRule>
  </conditionalFormatting>
  <conditionalFormatting sqref="A392">
    <cfRule type="containsText" dxfId="2" priority="1348" operator="containsText" text="실패">
      <formula>NOT(ISERROR(SEARCH(("실패"),(A392))))</formula>
    </cfRule>
  </conditionalFormatting>
  <conditionalFormatting sqref="A392">
    <cfRule type="containsText" dxfId="3" priority="1349" operator="containsText" text="관리">
      <formula>NOT(ISERROR(SEARCH(("관리"),(A392))))</formula>
    </cfRule>
  </conditionalFormatting>
  <conditionalFormatting sqref="A392">
    <cfRule type="containsText" dxfId="4" priority="1350" operator="containsText" text="등록">
      <formula>NOT(ISERROR(SEARCH(("등록"),(A392))))</formula>
    </cfRule>
  </conditionalFormatting>
  <conditionalFormatting sqref="A393">
    <cfRule type="containsText" dxfId="0" priority="1351" operator="containsText" text="거부">
      <formula>NOT(ISERROR(SEARCH(("거부"),(A393))))</formula>
    </cfRule>
  </conditionalFormatting>
  <conditionalFormatting sqref="A393">
    <cfRule type="containsText" dxfId="1" priority="1352" operator="containsText" text="리턴">
      <formula>NOT(ISERROR(SEARCH(("리턴"),(A393))))</formula>
    </cfRule>
  </conditionalFormatting>
  <conditionalFormatting sqref="A393">
    <cfRule type="containsText" dxfId="2" priority="1353" operator="containsText" text="실패">
      <formula>NOT(ISERROR(SEARCH(("실패"),(A393))))</formula>
    </cfRule>
  </conditionalFormatting>
  <conditionalFormatting sqref="A393">
    <cfRule type="containsText" dxfId="3" priority="1354" operator="containsText" text="관리">
      <formula>NOT(ISERROR(SEARCH(("관리"),(A393))))</formula>
    </cfRule>
  </conditionalFormatting>
  <conditionalFormatting sqref="A393">
    <cfRule type="containsText" dxfId="4" priority="1355" operator="containsText" text="등록">
      <formula>NOT(ISERROR(SEARCH(("등록"),(A393))))</formula>
    </cfRule>
  </conditionalFormatting>
  <conditionalFormatting sqref="F104:F105 H104:H105">
    <cfRule type="containsText" dxfId="0" priority="1356" operator="containsText" text="거부">
      <formula>NOT(ISERROR(SEARCH(("거부"),(F104))))</formula>
    </cfRule>
  </conditionalFormatting>
  <conditionalFormatting sqref="F104:F105 H104:H105">
    <cfRule type="containsText" dxfId="1" priority="1357" operator="containsText" text="리턴">
      <formula>NOT(ISERROR(SEARCH(("리턴"),(F104))))</formula>
    </cfRule>
  </conditionalFormatting>
  <conditionalFormatting sqref="F104:F105 H104:H105">
    <cfRule type="containsText" dxfId="2" priority="1358" operator="containsText" text="실패">
      <formula>NOT(ISERROR(SEARCH(("실패"),(F104))))</formula>
    </cfRule>
  </conditionalFormatting>
  <conditionalFormatting sqref="F104:F105 H104:H105">
    <cfRule type="containsText" dxfId="3" priority="1359" operator="containsText" text="관리">
      <formula>NOT(ISERROR(SEARCH(("관리"),(F104))))</formula>
    </cfRule>
  </conditionalFormatting>
  <conditionalFormatting sqref="F104:F105 H104:H105">
    <cfRule type="containsText" dxfId="4" priority="1360" operator="containsText" text="등록">
      <formula>NOT(ISERROR(SEARCH(("등록"),(F104))))</formula>
    </cfRule>
  </conditionalFormatting>
  <conditionalFormatting sqref="E102">
    <cfRule type="containsText" dxfId="0" priority="1361" operator="containsText" text="거부">
      <formula>NOT(ISERROR(SEARCH(("거부"),(E102))))</formula>
    </cfRule>
  </conditionalFormatting>
  <conditionalFormatting sqref="E102">
    <cfRule type="containsText" dxfId="1" priority="1362" operator="containsText" text="리턴">
      <formula>NOT(ISERROR(SEARCH(("리턴"),(E102))))</formula>
    </cfRule>
  </conditionalFormatting>
  <conditionalFormatting sqref="E102">
    <cfRule type="containsText" dxfId="2" priority="1363" operator="containsText" text="실패">
      <formula>NOT(ISERROR(SEARCH(("실패"),(E102))))</formula>
    </cfRule>
  </conditionalFormatting>
  <conditionalFormatting sqref="E102">
    <cfRule type="containsText" dxfId="3" priority="1364" operator="containsText" text="관리">
      <formula>NOT(ISERROR(SEARCH(("관리"),(E102))))</formula>
    </cfRule>
  </conditionalFormatting>
  <conditionalFormatting sqref="E102">
    <cfRule type="containsText" dxfId="4" priority="1365" operator="containsText" text="등록">
      <formula>NOT(ISERROR(SEARCH(("등록"),(E102))))</formula>
    </cfRule>
  </conditionalFormatting>
  <conditionalFormatting sqref="G106">
    <cfRule type="containsText" dxfId="0" priority="1366" operator="containsText" text="거부">
      <formula>NOT(ISERROR(SEARCH(("거부"),(G106))))</formula>
    </cfRule>
  </conditionalFormatting>
  <conditionalFormatting sqref="G106">
    <cfRule type="containsText" dxfId="1" priority="1367" operator="containsText" text="리턴">
      <formula>NOT(ISERROR(SEARCH(("리턴"),(G106))))</formula>
    </cfRule>
  </conditionalFormatting>
  <conditionalFormatting sqref="G106">
    <cfRule type="containsText" dxfId="2" priority="1368" operator="containsText" text="실패">
      <formula>NOT(ISERROR(SEARCH(("실패"),(G106))))</formula>
    </cfRule>
  </conditionalFormatting>
  <conditionalFormatting sqref="G106">
    <cfRule type="containsText" dxfId="3" priority="1369" operator="containsText" text="관리">
      <formula>NOT(ISERROR(SEARCH(("관리"),(G106))))</formula>
    </cfRule>
  </conditionalFormatting>
  <conditionalFormatting sqref="G106">
    <cfRule type="containsText" dxfId="4" priority="1370" operator="containsText" text="등록">
      <formula>NOT(ISERROR(SEARCH(("등록"),(G106))))</formula>
    </cfRule>
  </conditionalFormatting>
  <conditionalFormatting sqref="H107">
    <cfRule type="containsText" dxfId="0" priority="1371" operator="containsText" text="거부">
      <formula>NOT(ISERROR(SEARCH(("거부"),(H107))))</formula>
    </cfRule>
  </conditionalFormatting>
  <conditionalFormatting sqref="H107">
    <cfRule type="containsText" dxfId="1" priority="1372" operator="containsText" text="리턴">
      <formula>NOT(ISERROR(SEARCH(("리턴"),(H107))))</formula>
    </cfRule>
  </conditionalFormatting>
  <conditionalFormatting sqref="H107">
    <cfRule type="containsText" dxfId="2" priority="1373" operator="containsText" text="실패">
      <formula>NOT(ISERROR(SEARCH(("실패"),(H107))))</formula>
    </cfRule>
  </conditionalFormatting>
  <conditionalFormatting sqref="H107">
    <cfRule type="containsText" dxfId="3" priority="1374" operator="containsText" text="관리">
      <formula>NOT(ISERROR(SEARCH(("관리"),(H107))))</formula>
    </cfRule>
  </conditionalFormatting>
  <conditionalFormatting sqref="H107">
    <cfRule type="containsText" dxfId="4" priority="1375" operator="containsText" text="등록">
      <formula>NOT(ISERROR(SEARCH(("등록"),(H107))))</formula>
    </cfRule>
  </conditionalFormatting>
  <conditionalFormatting sqref="G108">
    <cfRule type="containsText" dxfId="0" priority="1376" operator="containsText" text="거부">
      <formula>NOT(ISERROR(SEARCH(("거부"),(G108))))</formula>
    </cfRule>
  </conditionalFormatting>
  <conditionalFormatting sqref="G108">
    <cfRule type="containsText" dxfId="1" priority="1377" operator="containsText" text="리턴">
      <formula>NOT(ISERROR(SEARCH(("리턴"),(G108))))</formula>
    </cfRule>
  </conditionalFormatting>
  <conditionalFormatting sqref="G108">
    <cfRule type="containsText" dxfId="2" priority="1378" operator="containsText" text="실패">
      <formula>NOT(ISERROR(SEARCH(("실패"),(G108))))</formula>
    </cfRule>
  </conditionalFormatting>
  <conditionalFormatting sqref="G108">
    <cfRule type="containsText" dxfId="3" priority="1379" operator="containsText" text="관리">
      <formula>NOT(ISERROR(SEARCH(("관리"),(G108))))</formula>
    </cfRule>
  </conditionalFormatting>
  <conditionalFormatting sqref="G108">
    <cfRule type="containsText" dxfId="4" priority="1380" operator="containsText" text="등록">
      <formula>NOT(ISERROR(SEARCH(("등록"),(G108))))</formula>
    </cfRule>
  </conditionalFormatting>
  <conditionalFormatting sqref="H108">
    <cfRule type="containsText" dxfId="0" priority="1381" operator="containsText" text="거부">
      <formula>NOT(ISERROR(SEARCH(("거부"),(H108))))</formula>
    </cfRule>
  </conditionalFormatting>
  <conditionalFormatting sqref="H108">
    <cfRule type="containsText" dxfId="1" priority="1382" operator="containsText" text="리턴">
      <formula>NOT(ISERROR(SEARCH(("리턴"),(H108))))</formula>
    </cfRule>
  </conditionalFormatting>
  <conditionalFormatting sqref="H108">
    <cfRule type="containsText" dxfId="2" priority="1383" operator="containsText" text="실패">
      <formula>NOT(ISERROR(SEARCH(("실패"),(H108))))</formula>
    </cfRule>
  </conditionalFormatting>
  <conditionalFormatting sqref="H108">
    <cfRule type="containsText" dxfId="3" priority="1384" operator="containsText" text="관리">
      <formula>NOT(ISERROR(SEARCH(("관리"),(H108))))</formula>
    </cfRule>
  </conditionalFormatting>
  <conditionalFormatting sqref="H108">
    <cfRule type="containsText" dxfId="4" priority="1385" operator="containsText" text="등록">
      <formula>NOT(ISERROR(SEARCH(("등록"),(H108))))</formula>
    </cfRule>
  </conditionalFormatting>
  <conditionalFormatting sqref="A108">
    <cfRule type="containsText" dxfId="0" priority="1386" operator="containsText" text="거부">
      <formula>NOT(ISERROR(SEARCH(("거부"),(A108))))</formula>
    </cfRule>
  </conditionalFormatting>
  <conditionalFormatting sqref="A108">
    <cfRule type="containsText" dxfId="1" priority="1387" operator="containsText" text="리턴">
      <formula>NOT(ISERROR(SEARCH(("리턴"),(A108))))</formula>
    </cfRule>
  </conditionalFormatting>
  <conditionalFormatting sqref="A108">
    <cfRule type="containsText" dxfId="2" priority="1388" operator="containsText" text="실패">
      <formula>NOT(ISERROR(SEARCH(("실패"),(A108))))</formula>
    </cfRule>
  </conditionalFormatting>
  <conditionalFormatting sqref="A108">
    <cfRule type="containsText" dxfId="3" priority="1389" operator="containsText" text="관리">
      <formula>NOT(ISERROR(SEARCH(("관리"),(A108))))</formula>
    </cfRule>
  </conditionalFormatting>
  <conditionalFormatting sqref="A108">
    <cfRule type="containsText" dxfId="4" priority="1390" operator="containsText" text="등록">
      <formula>NOT(ISERROR(SEARCH(("등록"),(A108))))</formula>
    </cfRule>
  </conditionalFormatting>
  <conditionalFormatting sqref="G109">
    <cfRule type="containsText" dxfId="0" priority="1391" operator="containsText" text="거부">
      <formula>NOT(ISERROR(SEARCH(("거부"),(G109))))</formula>
    </cfRule>
  </conditionalFormatting>
  <conditionalFormatting sqref="G109">
    <cfRule type="containsText" dxfId="1" priority="1392" operator="containsText" text="리턴">
      <formula>NOT(ISERROR(SEARCH(("리턴"),(G109))))</formula>
    </cfRule>
  </conditionalFormatting>
  <conditionalFormatting sqref="G109">
    <cfRule type="containsText" dxfId="2" priority="1393" operator="containsText" text="실패">
      <formula>NOT(ISERROR(SEARCH(("실패"),(G109))))</formula>
    </cfRule>
  </conditionalFormatting>
  <conditionalFormatting sqref="G109">
    <cfRule type="containsText" dxfId="3" priority="1394" operator="containsText" text="관리">
      <formula>NOT(ISERROR(SEARCH(("관리"),(G109))))</formula>
    </cfRule>
  </conditionalFormatting>
  <conditionalFormatting sqref="G109">
    <cfRule type="containsText" dxfId="4" priority="1395" operator="containsText" text="등록">
      <formula>NOT(ISERROR(SEARCH(("등록"),(G109))))</formula>
    </cfRule>
  </conditionalFormatting>
  <conditionalFormatting sqref="J109">
    <cfRule type="containsText" dxfId="0" priority="1396" operator="containsText" text="거부">
      <formula>NOT(ISERROR(SEARCH(("거부"),(J109))))</formula>
    </cfRule>
  </conditionalFormatting>
  <conditionalFormatting sqref="J109">
    <cfRule type="containsText" dxfId="1" priority="1397" operator="containsText" text="리턴">
      <formula>NOT(ISERROR(SEARCH(("리턴"),(J109))))</formula>
    </cfRule>
  </conditionalFormatting>
  <conditionalFormatting sqref="J109">
    <cfRule type="containsText" dxfId="2" priority="1398" operator="containsText" text="실패">
      <formula>NOT(ISERROR(SEARCH(("실패"),(J109))))</formula>
    </cfRule>
  </conditionalFormatting>
  <conditionalFormatting sqref="J109">
    <cfRule type="containsText" dxfId="3" priority="1399" operator="containsText" text="관리">
      <formula>NOT(ISERROR(SEARCH(("관리"),(J109))))</formula>
    </cfRule>
  </conditionalFormatting>
  <conditionalFormatting sqref="J109">
    <cfRule type="containsText" dxfId="4" priority="1400" operator="containsText" text="등록">
      <formula>NOT(ISERROR(SEARCH(("등록"),(J109))))</formula>
    </cfRule>
  </conditionalFormatting>
  <conditionalFormatting sqref="A109:A110">
    <cfRule type="containsText" dxfId="0" priority="1401" operator="containsText" text="거부">
      <formula>NOT(ISERROR(SEARCH(("거부"),(A109))))</formula>
    </cfRule>
  </conditionalFormatting>
  <conditionalFormatting sqref="A109:A110">
    <cfRule type="containsText" dxfId="1" priority="1402" operator="containsText" text="리턴">
      <formula>NOT(ISERROR(SEARCH(("리턴"),(A109))))</formula>
    </cfRule>
  </conditionalFormatting>
  <conditionalFormatting sqref="A109:A110">
    <cfRule type="containsText" dxfId="2" priority="1403" operator="containsText" text="실패">
      <formula>NOT(ISERROR(SEARCH(("실패"),(A109))))</formula>
    </cfRule>
  </conditionalFormatting>
  <conditionalFormatting sqref="A109:A110">
    <cfRule type="containsText" dxfId="3" priority="1404" operator="containsText" text="관리">
      <formula>NOT(ISERROR(SEARCH(("관리"),(A109))))</formula>
    </cfRule>
  </conditionalFormatting>
  <conditionalFormatting sqref="A109:A110">
    <cfRule type="containsText" dxfId="4" priority="1405" operator="containsText" text="등록">
      <formula>NOT(ISERROR(SEARCH(("등록"),(A109))))</formula>
    </cfRule>
  </conditionalFormatting>
  <conditionalFormatting sqref="H109">
    <cfRule type="containsText" dxfId="0" priority="1406" operator="containsText" text="거부">
      <formula>NOT(ISERROR(SEARCH(("거부"),(H109))))</formula>
    </cfRule>
  </conditionalFormatting>
  <conditionalFormatting sqref="H109">
    <cfRule type="containsText" dxfId="1" priority="1407" operator="containsText" text="리턴">
      <formula>NOT(ISERROR(SEARCH(("리턴"),(H109))))</formula>
    </cfRule>
  </conditionalFormatting>
  <conditionalFormatting sqref="H109">
    <cfRule type="containsText" dxfId="2" priority="1408" operator="containsText" text="실패">
      <formula>NOT(ISERROR(SEARCH(("실패"),(H109))))</formula>
    </cfRule>
  </conditionalFormatting>
  <conditionalFormatting sqref="H109">
    <cfRule type="containsText" dxfId="3" priority="1409" operator="containsText" text="관리">
      <formula>NOT(ISERROR(SEARCH(("관리"),(H109))))</formula>
    </cfRule>
  </conditionalFormatting>
  <conditionalFormatting sqref="H109">
    <cfRule type="containsText" dxfId="4" priority="1410" operator="containsText" text="등록">
      <formula>NOT(ISERROR(SEARCH(("등록"),(H109))))</formula>
    </cfRule>
  </conditionalFormatting>
  <conditionalFormatting sqref="E114">
    <cfRule type="containsText" dxfId="0" priority="1411" operator="containsText" text="거부">
      <formula>NOT(ISERROR(SEARCH(("거부"),(E114))))</formula>
    </cfRule>
  </conditionalFormatting>
  <conditionalFormatting sqref="E114">
    <cfRule type="containsText" dxfId="1" priority="1412" operator="containsText" text="리턴">
      <formula>NOT(ISERROR(SEARCH(("리턴"),(E114))))</formula>
    </cfRule>
  </conditionalFormatting>
  <conditionalFormatting sqref="E114">
    <cfRule type="containsText" dxfId="2" priority="1413" operator="containsText" text="실패">
      <formula>NOT(ISERROR(SEARCH(("실패"),(E114))))</formula>
    </cfRule>
  </conditionalFormatting>
  <conditionalFormatting sqref="E114">
    <cfRule type="containsText" dxfId="3" priority="1414" operator="containsText" text="관리">
      <formula>NOT(ISERROR(SEARCH(("관리"),(E114))))</formula>
    </cfRule>
  </conditionalFormatting>
  <conditionalFormatting sqref="E114">
    <cfRule type="containsText" dxfId="4" priority="1415" operator="containsText" text="등록">
      <formula>NOT(ISERROR(SEARCH(("등록"),(E114))))</formula>
    </cfRule>
  </conditionalFormatting>
  <conditionalFormatting sqref="G114">
    <cfRule type="containsText" dxfId="0" priority="1416" operator="containsText" text="거부">
      <formula>NOT(ISERROR(SEARCH(("거부"),(G114))))</formula>
    </cfRule>
  </conditionalFormatting>
  <conditionalFormatting sqref="G114">
    <cfRule type="containsText" dxfId="1" priority="1417" operator="containsText" text="리턴">
      <formula>NOT(ISERROR(SEARCH(("리턴"),(G114))))</formula>
    </cfRule>
  </conditionalFormatting>
  <conditionalFormatting sqref="G114">
    <cfRule type="containsText" dxfId="2" priority="1418" operator="containsText" text="실패">
      <formula>NOT(ISERROR(SEARCH(("실패"),(G114))))</formula>
    </cfRule>
  </conditionalFormatting>
  <conditionalFormatting sqref="G114">
    <cfRule type="containsText" dxfId="3" priority="1419" operator="containsText" text="관리">
      <formula>NOT(ISERROR(SEARCH(("관리"),(G114))))</formula>
    </cfRule>
  </conditionalFormatting>
  <conditionalFormatting sqref="G114">
    <cfRule type="containsText" dxfId="4" priority="1420" operator="containsText" text="등록">
      <formula>NOT(ISERROR(SEARCH(("등록"),(G114))))</formula>
    </cfRule>
  </conditionalFormatting>
  <conditionalFormatting sqref="A117">
    <cfRule type="containsText" dxfId="0" priority="1421" operator="containsText" text="거부">
      <formula>NOT(ISERROR(SEARCH(("거부"),(A117))))</formula>
    </cfRule>
  </conditionalFormatting>
  <conditionalFormatting sqref="A117">
    <cfRule type="containsText" dxfId="1" priority="1422" operator="containsText" text="리턴">
      <formula>NOT(ISERROR(SEARCH(("리턴"),(A117))))</formula>
    </cfRule>
  </conditionalFormatting>
  <conditionalFormatting sqref="A117">
    <cfRule type="containsText" dxfId="2" priority="1423" operator="containsText" text="실패">
      <formula>NOT(ISERROR(SEARCH(("실패"),(A117))))</formula>
    </cfRule>
  </conditionalFormatting>
  <conditionalFormatting sqref="A117">
    <cfRule type="containsText" dxfId="3" priority="1424" operator="containsText" text="관리">
      <formula>NOT(ISERROR(SEARCH(("관리"),(A117))))</formula>
    </cfRule>
  </conditionalFormatting>
  <conditionalFormatting sqref="A117">
    <cfRule type="containsText" dxfId="4" priority="1425" operator="containsText" text="등록">
      <formula>NOT(ISERROR(SEARCH(("등록"),(A117))))</formula>
    </cfRule>
  </conditionalFormatting>
  <conditionalFormatting sqref="G119">
    <cfRule type="containsText" dxfId="0" priority="1426" operator="containsText" text="거부">
      <formula>NOT(ISERROR(SEARCH(("거부"),(G119))))</formula>
    </cfRule>
  </conditionalFormatting>
  <conditionalFormatting sqref="G119">
    <cfRule type="containsText" dxfId="1" priority="1427" operator="containsText" text="리턴">
      <formula>NOT(ISERROR(SEARCH(("리턴"),(G119))))</formula>
    </cfRule>
  </conditionalFormatting>
  <conditionalFormatting sqref="G119">
    <cfRule type="containsText" dxfId="2" priority="1428" operator="containsText" text="실패">
      <formula>NOT(ISERROR(SEARCH(("실패"),(G119))))</formula>
    </cfRule>
  </conditionalFormatting>
  <conditionalFormatting sqref="G119">
    <cfRule type="containsText" dxfId="3" priority="1429" operator="containsText" text="관리">
      <formula>NOT(ISERROR(SEARCH(("관리"),(G119))))</formula>
    </cfRule>
  </conditionalFormatting>
  <conditionalFormatting sqref="G119">
    <cfRule type="containsText" dxfId="4" priority="1430" operator="containsText" text="등록">
      <formula>NOT(ISERROR(SEARCH(("등록"),(G119))))</formula>
    </cfRule>
  </conditionalFormatting>
  <conditionalFormatting sqref="H119">
    <cfRule type="containsText" dxfId="0" priority="1431" operator="containsText" text="거부">
      <formula>NOT(ISERROR(SEARCH(("거부"),(H119))))</formula>
    </cfRule>
  </conditionalFormatting>
  <conditionalFormatting sqref="H119">
    <cfRule type="containsText" dxfId="1" priority="1432" operator="containsText" text="리턴">
      <formula>NOT(ISERROR(SEARCH(("리턴"),(H119))))</formula>
    </cfRule>
  </conditionalFormatting>
  <conditionalFormatting sqref="H119">
    <cfRule type="containsText" dxfId="2" priority="1433" operator="containsText" text="실패">
      <formula>NOT(ISERROR(SEARCH(("실패"),(H119))))</formula>
    </cfRule>
  </conditionalFormatting>
  <conditionalFormatting sqref="H119">
    <cfRule type="containsText" dxfId="3" priority="1434" operator="containsText" text="관리">
      <formula>NOT(ISERROR(SEARCH(("관리"),(H119))))</formula>
    </cfRule>
  </conditionalFormatting>
  <conditionalFormatting sqref="H119">
    <cfRule type="containsText" dxfId="4" priority="1435" operator="containsText" text="등록">
      <formula>NOT(ISERROR(SEARCH(("등록"),(H119))))</formula>
    </cfRule>
  </conditionalFormatting>
  <conditionalFormatting sqref="A120">
    <cfRule type="containsText" dxfId="0" priority="1436" operator="containsText" text="거부">
      <formula>NOT(ISERROR(SEARCH(("거부"),(A120))))</formula>
    </cfRule>
  </conditionalFormatting>
  <conditionalFormatting sqref="A120">
    <cfRule type="containsText" dxfId="1" priority="1437" operator="containsText" text="리턴">
      <formula>NOT(ISERROR(SEARCH(("리턴"),(A120))))</formula>
    </cfRule>
  </conditionalFormatting>
  <conditionalFormatting sqref="A120">
    <cfRule type="containsText" dxfId="2" priority="1438" operator="containsText" text="실패">
      <formula>NOT(ISERROR(SEARCH(("실패"),(A120))))</formula>
    </cfRule>
  </conditionalFormatting>
  <conditionalFormatting sqref="A120">
    <cfRule type="containsText" dxfId="3" priority="1439" operator="containsText" text="관리">
      <formula>NOT(ISERROR(SEARCH(("관리"),(A120))))</formula>
    </cfRule>
  </conditionalFormatting>
  <conditionalFormatting sqref="A120">
    <cfRule type="containsText" dxfId="4" priority="1440" operator="containsText" text="등록">
      <formula>NOT(ISERROR(SEARCH(("등록"),(A120))))</formula>
    </cfRule>
  </conditionalFormatting>
  <conditionalFormatting sqref="A121:A122">
    <cfRule type="containsText" dxfId="0" priority="1441" operator="containsText" text="거부">
      <formula>NOT(ISERROR(SEARCH(("거부"),(A121))))</formula>
    </cfRule>
  </conditionalFormatting>
  <conditionalFormatting sqref="A121:A122">
    <cfRule type="containsText" dxfId="1" priority="1442" operator="containsText" text="리턴">
      <formula>NOT(ISERROR(SEARCH(("리턴"),(A121))))</formula>
    </cfRule>
  </conditionalFormatting>
  <conditionalFormatting sqref="A121:A122">
    <cfRule type="containsText" dxfId="2" priority="1443" operator="containsText" text="실패">
      <formula>NOT(ISERROR(SEARCH(("실패"),(A121))))</formula>
    </cfRule>
  </conditionalFormatting>
  <conditionalFormatting sqref="A121:A122">
    <cfRule type="containsText" dxfId="3" priority="1444" operator="containsText" text="관리">
      <formula>NOT(ISERROR(SEARCH(("관리"),(A121))))</formula>
    </cfRule>
  </conditionalFormatting>
  <conditionalFormatting sqref="A121:A122">
    <cfRule type="containsText" dxfId="4" priority="1445" operator="containsText" text="등록">
      <formula>NOT(ISERROR(SEARCH(("등록"),(A121))))</formula>
    </cfRule>
  </conditionalFormatting>
  <conditionalFormatting sqref="G121:G122">
    <cfRule type="containsText" dxfId="0" priority="1446" operator="containsText" text="거부">
      <formula>NOT(ISERROR(SEARCH(("거부"),(G121))))</formula>
    </cfRule>
  </conditionalFormatting>
  <conditionalFormatting sqref="G121:G122">
    <cfRule type="containsText" dxfId="1" priority="1447" operator="containsText" text="리턴">
      <formula>NOT(ISERROR(SEARCH(("리턴"),(G121))))</formula>
    </cfRule>
  </conditionalFormatting>
  <conditionalFormatting sqref="G121:G122">
    <cfRule type="containsText" dxfId="2" priority="1448" operator="containsText" text="실패">
      <formula>NOT(ISERROR(SEARCH(("실패"),(G121))))</formula>
    </cfRule>
  </conditionalFormatting>
  <conditionalFormatting sqref="G121:G122">
    <cfRule type="containsText" dxfId="3" priority="1449" operator="containsText" text="관리">
      <formula>NOT(ISERROR(SEARCH(("관리"),(G121))))</formula>
    </cfRule>
  </conditionalFormatting>
  <conditionalFormatting sqref="G121:G122">
    <cfRule type="containsText" dxfId="4" priority="1450" operator="containsText" text="등록">
      <formula>NOT(ISERROR(SEARCH(("등록"),(G121))))</formula>
    </cfRule>
  </conditionalFormatting>
  <conditionalFormatting sqref="H121:H122">
    <cfRule type="containsText" dxfId="0" priority="1451" operator="containsText" text="거부">
      <formula>NOT(ISERROR(SEARCH(("거부"),(H121))))</formula>
    </cfRule>
  </conditionalFormatting>
  <conditionalFormatting sqref="H121:H122">
    <cfRule type="containsText" dxfId="1" priority="1452" operator="containsText" text="리턴">
      <formula>NOT(ISERROR(SEARCH(("리턴"),(H121))))</formula>
    </cfRule>
  </conditionalFormatting>
  <conditionalFormatting sqref="H121:H122">
    <cfRule type="containsText" dxfId="2" priority="1453" operator="containsText" text="실패">
      <formula>NOT(ISERROR(SEARCH(("실패"),(H121))))</formula>
    </cfRule>
  </conditionalFormatting>
  <conditionalFormatting sqref="H121:H122">
    <cfRule type="containsText" dxfId="3" priority="1454" operator="containsText" text="관리">
      <formula>NOT(ISERROR(SEARCH(("관리"),(H121))))</formula>
    </cfRule>
  </conditionalFormatting>
  <conditionalFormatting sqref="H121:H122">
    <cfRule type="containsText" dxfId="4" priority="1455" operator="containsText" text="등록">
      <formula>NOT(ISERROR(SEARCH(("등록"),(H121))))</formula>
    </cfRule>
  </conditionalFormatting>
  <conditionalFormatting sqref="D121:E122">
    <cfRule type="containsText" dxfId="0" priority="1456" operator="containsText" text="거부">
      <formula>NOT(ISERROR(SEARCH(("거부"),(D121))))</formula>
    </cfRule>
  </conditionalFormatting>
  <conditionalFormatting sqref="D121:E122">
    <cfRule type="containsText" dxfId="1" priority="1457" operator="containsText" text="리턴">
      <formula>NOT(ISERROR(SEARCH(("리턴"),(D121))))</formula>
    </cfRule>
  </conditionalFormatting>
  <conditionalFormatting sqref="D121:E122">
    <cfRule type="containsText" dxfId="2" priority="1458" operator="containsText" text="실패">
      <formula>NOT(ISERROR(SEARCH(("실패"),(D121))))</formula>
    </cfRule>
  </conditionalFormatting>
  <conditionalFormatting sqref="D121:E122">
    <cfRule type="containsText" dxfId="3" priority="1459" operator="containsText" text="관리">
      <formula>NOT(ISERROR(SEARCH(("관리"),(D121))))</formula>
    </cfRule>
  </conditionalFormatting>
  <conditionalFormatting sqref="D121:E122">
    <cfRule type="containsText" dxfId="4" priority="1460" operator="containsText" text="등록">
      <formula>NOT(ISERROR(SEARCH(("등록"),(D121))))</formula>
    </cfRule>
  </conditionalFormatting>
  <conditionalFormatting sqref="A123">
    <cfRule type="containsText" dxfId="0" priority="1461" operator="containsText" text="거부">
      <formula>NOT(ISERROR(SEARCH(("거부"),(A123))))</formula>
    </cfRule>
  </conditionalFormatting>
  <conditionalFormatting sqref="A123">
    <cfRule type="containsText" dxfId="1" priority="1462" operator="containsText" text="리턴">
      <formula>NOT(ISERROR(SEARCH(("리턴"),(A123))))</formula>
    </cfRule>
  </conditionalFormatting>
  <conditionalFormatting sqref="A123">
    <cfRule type="containsText" dxfId="2" priority="1463" operator="containsText" text="실패">
      <formula>NOT(ISERROR(SEARCH(("실패"),(A123))))</formula>
    </cfRule>
  </conditionalFormatting>
  <conditionalFormatting sqref="A123">
    <cfRule type="containsText" dxfId="3" priority="1464" operator="containsText" text="관리">
      <formula>NOT(ISERROR(SEARCH(("관리"),(A123))))</formula>
    </cfRule>
  </conditionalFormatting>
  <conditionalFormatting sqref="A123">
    <cfRule type="containsText" dxfId="4" priority="1465" operator="containsText" text="등록">
      <formula>NOT(ISERROR(SEARCH(("등록"),(A123))))</formula>
    </cfRule>
  </conditionalFormatting>
  <conditionalFormatting sqref="G123">
    <cfRule type="containsText" dxfId="0" priority="1466" operator="containsText" text="거부">
      <formula>NOT(ISERROR(SEARCH(("거부"),(G123))))</formula>
    </cfRule>
  </conditionalFormatting>
  <conditionalFormatting sqref="G123">
    <cfRule type="containsText" dxfId="1" priority="1467" operator="containsText" text="리턴">
      <formula>NOT(ISERROR(SEARCH(("리턴"),(G123))))</formula>
    </cfRule>
  </conditionalFormatting>
  <conditionalFormatting sqref="G123">
    <cfRule type="containsText" dxfId="2" priority="1468" operator="containsText" text="실패">
      <formula>NOT(ISERROR(SEARCH(("실패"),(G123))))</formula>
    </cfRule>
  </conditionalFormatting>
  <conditionalFormatting sqref="G123">
    <cfRule type="containsText" dxfId="3" priority="1469" operator="containsText" text="관리">
      <formula>NOT(ISERROR(SEARCH(("관리"),(G123))))</formula>
    </cfRule>
  </conditionalFormatting>
  <conditionalFormatting sqref="G123">
    <cfRule type="containsText" dxfId="4" priority="1470" operator="containsText" text="등록">
      <formula>NOT(ISERROR(SEARCH(("등록"),(G123))))</formula>
    </cfRule>
  </conditionalFormatting>
  <conditionalFormatting sqref="E123">
    <cfRule type="containsText" dxfId="0" priority="1471" operator="containsText" text="거부">
      <formula>NOT(ISERROR(SEARCH(("거부"),(E123))))</formula>
    </cfRule>
  </conditionalFormatting>
  <conditionalFormatting sqref="E123">
    <cfRule type="containsText" dxfId="1" priority="1472" operator="containsText" text="리턴">
      <formula>NOT(ISERROR(SEARCH(("리턴"),(E123))))</formula>
    </cfRule>
  </conditionalFormatting>
  <conditionalFormatting sqref="E123">
    <cfRule type="containsText" dxfId="2" priority="1473" operator="containsText" text="실패">
      <formula>NOT(ISERROR(SEARCH(("실패"),(E123))))</formula>
    </cfRule>
  </conditionalFormatting>
  <conditionalFormatting sqref="E123">
    <cfRule type="containsText" dxfId="3" priority="1474" operator="containsText" text="관리">
      <formula>NOT(ISERROR(SEARCH(("관리"),(E123))))</formula>
    </cfRule>
  </conditionalFormatting>
  <conditionalFormatting sqref="E123">
    <cfRule type="containsText" dxfId="4" priority="1475" operator="containsText" text="등록">
      <formula>NOT(ISERROR(SEARCH(("등록"),(E123))))</formula>
    </cfRule>
  </conditionalFormatting>
  <conditionalFormatting sqref="H123">
    <cfRule type="containsText" dxfId="0" priority="1476" operator="containsText" text="거부">
      <formula>NOT(ISERROR(SEARCH(("거부"),(H123))))</formula>
    </cfRule>
  </conditionalFormatting>
  <conditionalFormatting sqref="H123">
    <cfRule type="containsText" dxfId="1" priority="1477" operator="containsText" text="리턴">
      <formula>NOT(ISERROR(SEARCH(("리턴"),(H123))))</formula>
    </cfRule>
  </conditionalFormatting>
  <conditionalFormatting sqref="H123">
    <cfRule type="containsText" dxfId="2" priority="1478" operator="containsText" text="실패">
      <formula>NOT(ISERROR(SEARCH(("실패"),(H123))))</formula>
    </cfRule>
  </conditionalFormatting>
  <conditionalFormatting sqref="H123">
    <cfRule type="containsText" dxfId="3" priority="1479" operator="containsText" text="관리">
      <formula>NOT(ISERROR(SEARCH(("관리"),(H123))))</formula>
    </cfRule>
  </conditionalFormatting>
  <conditionalFormatting sqref="H123">
    <cfRule type="containsText" dxfId="4" priority="1480" operator="containsText" text="등록">
      <formula>NOT(ISERROR(SEARCH(("등록"),(H123))))</formula>
    </cfRule>
  </conditionalFormatting>
  <conditionalFormatting sqref="J124">
    <cfRule type="containsText" dxfId="0" priority="1481" operator="containsText" text="거부">
      <formula>NOT(ISERROR(SEARCH(("거부"),(J124))))</formula>
    </cfRule>
  </conditionalFormatting>
  <conditionalFormatting sqref="J124">
    <cfRule type="containsText" dxfId="1" priority="1482" operator="containsText" text="리턴">
      <formula>NOT(ISERROR(SEARCH(("리턴"),(J124))))</formula>
    </cfRule>
  </conditionalFormatting>
  <conditionalFormatting sqref="J124">
    <cfRule type="containsText" dxfId="2" priority="1483" operator="containsText" text="실패">
      <formula>NOT(ISERROR(SEARCH(("실패"),(J124))))</formula>
    </cfRule>
  </conditionalFormatting>
  <conditionalFormatting sqref="J124">
    <cfRule type="containsText" dxfId="3" priority="1484" operator="containsText" text="관리">
      <formula>NOT(ISERROR(SEARCH(("관리"),(J124))))</formula>
    </cfRule>
  </conditionalFormatting>
  <conditionalFormatting sqref="J124">
    <cfRule type="containsText" dxfId="4" priority="1485" operator="containsText" text="등록">
      <formula>NOT(ISERROR(SEARCH(("등록"),(J124))))</formula>
    </cfRule>
  </conditionalFormatting>
  <conditionalFormatting sqref="A124">
    <cfRule type="containsText" dxfId="0" priority="1486" operator="containsText" text="거부">
      <formula>NOT(ISERROR(SEARCH(("거부"),(A124))))</formula>
    </cfRule>
  </conditionalFormatting>
  <conditionalFormatting sqref="A124">
    <cfRule type="containsText" dxfId="1" priority="1487" operator="containsText" text="리턴">
      <formula>NOT(ISERROR(SEARCH(("리턴"),(A124))))</formula>
    </cfRule>
  </conditionalFormatting>
  <conditionalFormatting sqref="A124">
    <cfRule type="containsText" dxfId="2" priority="1488" operator="containsText" text="실패">
      <formula>NOT(ISERROR(SEARCH(("실패"),(A124))))</formula>
    </cfRule>
  </conditionalFormatting>
  <conditionalFormatting sqref="A124">
    <cfRule type="containsText" dxfId="3" priority="1489" operator="containsText" text="관리">
      <formula>NOT(ISERROR(SEARCH(("관리"),(A124))))</formula>
    </cfRule>
  </conditionalFormatting>
  <conditionalFormatting sqref="A124">
    <cfRule type="containsText" dxfId="4" priority="1490" operator="containsText" text="등록">
      <formula>NOT(ISERROR(SEARCH(("등록"),(A124))))</formula>
    </cfRule>
  </conditionalFormatting>
  <conditionalFormatting sqref="A130:A131">
    <cfRule type="containsText" dxfId="0" priority="1491" operator="containsText" text="거부">
      <formula>NOT(ISERROR(SEARCH(("거부"),(A130))))</formula>
    </cfRule>
  </conditionalFormatting>
  <conditionalFormatting sqref="A130:A131">
    <cfRule type="containsText" dxfId="1" priority="1492" operator="containsText" text="리턴">
      <formula>NOT(ISERROR(SEARCH(("리턴"),(A130))))</formula>
    </cfRule>
  </conditionalFormatting>
  <conditionalFormatting sqref="A130:A131">
    <cfRule type="containsText" dxfId="2" priority="1493" operator="containsText" text="실패">
      <formula>NOT(ISERROR(SEARCH(("실패"),(A130))))</formula>
    </cfRule>
  </conditionalFormatting>
  <conditionalFormatting sqref="A130:A131">
    <cfRule type="containsText" dxfId="3" priority="1494" operator="containsText" text="관리">
      <formula>NOT(ISERROR(SEARCH(("관리"),(A130))))</formula>
    </cfRule>
  </conditionalFormatting>
  <conditionalFormatting sqref="A130:A131">
    <cfRule type="containsText" dxfId="4" priority="1495" operator="containsText" text="등록">
      <formula>NOT(ISERROR(SEARCH(("등록"),(A130))))</formula>
    </cfRule>
  </conditionalFormatting>
  <conditionalFormatting sqref="A129">
    <cfRule type="containsText" dxfId="0" priority="1496" operator="containsText" text="거부">
      <formula>NOT(ISERROR(SEARCH(("거부"),(A129))))</formula>
    </cfRule>
  </conditionalFormatting>
  <conditionalFormatting sqref="A129">
    <cfRule type="containsText" dxfId="1" priority="1497" operator="containsText" text="리턴">
      <formula>NOT(ISERROR(SEARCH(("리턴"),(A129))))</formula>
    </cfRule>
  </conditionalFormatting>
  <conditionalFormatting sqref="A129">
    <cfRule type="containsText" dxfId="2" priority="1498" operator="containsText" text="실패">
      <formula>NOT(ISERROR(SEARCH(("실패"),(A129))))</formula>
    </cfRule>
  </conditionalFormatting>
  <conditionalFormatting sqref="A129">
    <cfRule type="containsText" dxfId="3" priority="1499" operator="containsText" text="관리">
      <formula>NOT(ISERROR(SEARCH(("관리"),(A129))))</formula>
    </cfRule>
  </conditionalFormatting>
  <conditionalFormatting sqref="A129">
    <cfRule type="containsText" dxfId="4" priority="1500" operator="containsText" text="등록">
      <formula>NOT(ISERROR(SEARCH(("등록"),(A129))))</formula>
    </cfRule>
  </conditionalFormatting>
  <conditionalFormatting sqref="A133">
    <cfRule type="containsText" dxfId="0" priority="1501" operator="containsText" text="거부">
      <formula>NOT(ISERROR(SEARCH(("거부"),(A133))))</formula>
    </cfRule>
  </conditionalFormatting>
  <conditionalFormatting sqref="A133">
    <cfRule type="containsText" dxfId="1" priority="1502" operator="containsText" text="리턴">
      <formula>NOT(ISERROR(SEARCH(("리턴"),(A133))))</formula>
    </cfRule>
  </conditionalFormatting>
  <conditionalFormatting sqref="A133">
    <cfRule type="containsText" dxfId="2" priority="1503" operator="containsText" text="실패">
      <formula>NOT(ISERROR(SEARCH(("실패"),(A133))))</formula>
    </cfRule>
  </conditionalFormatting>
  <conditionalFormatting sqref="A133">
    <cfRule type="containsText" dxfId="3" priority="1504" operator="containsText" text="관리">
      <formula>NOT(ISERROR(SEARCH(("관리"),(A133))))</formula>
    </cfRule>
  </conditionalFormatting>
  <conditionalFormatting sqref="A133">
    <cfRule type="containsText" dxfId="4" priority="1505" operator="containsText" text="등록">
      <formula>NOT(ISERROR(SEARCH(("등록"),(A133))))</formula>
    </cfRule>
  </conditionalFormatting>
  <conditionalFormatting sqref="D134">
    <cfRule type="containsText" dxfId="0" priority="1506" operator="containsText" text="거부">
      <formula>NOT(ISERROR(SEARCH(("거부"),(D134))))</formula>
    </cfRule>
  </conditionalFormatting>
  <conditionalFormatting sqref="D134">
    <cfRule type="containsText" dxfId="1" priority="1507" operator="containsText" text="리턴">
      <formula>NOT(ISERROR(SEARCH(("리턴"),(D134))))</formula>
    </cfRule>
  </conditionalFormatting>
  <conditionalFormatting sqref="D134">
    <cfRule type="containsText" dxfId="2" priority="1508" operator="containsText" text="실패">
      <formula>NOT(ISERROR(SEARCH(("실패"),(D134))))</formula>
    </cfRule>
  </conditionalFormatting>
  <conditionalFormatting sqref="D134">
    <cfRule type="containsText" dxfId="3" priority="1509" operator="containsText" text="관리">
      <formula>NOT(ISERROR(SEARCH(("관리"),(D134))))</formula>
    </cfRule>
  </conditionalFormatting>
  <conditionalFormatting sqref="D134">
    <cfRule type="containsText" dxfId="4" priority="1510" operator="containsText" text="등록">
      <formula>NOT(ISERROR(SEARCH(("등록"),(D134))))</formula>
    </cfRule>
  </conditionalFormatting>
  <conditionalFormatting sqref="A139">
    <cfRule type="containsText" dxfId="0" priority="1511" operator="containsText" text="거부">
      <formula>NOT(ISERROR(SEARCH(("거부"),(A139))))</formula>
    </cfRule>
  </conditionalFormatting>
  <conditionalFormatting sqref="A139">
    <cfRule type="containsText" dxfId="1" priority="1512" operator="containsText" text="리턴">
      <formula>NOT(ISERROR(SEARCH(("리턴"),(A139))))</formula>
    </cfRule>
  </conditionalFormatting>
  <conditionalFormatting sqref="A139">
    <cfRule type="containsText" dxfId="2" priority="1513" operator="containsText" text="실패">
      <formula>NOT(ISERROR(SEARCH(("실패"),(A139))))</formula>
    </cfRule>
  </conditionalFormatting>
  <conditionalFormatting sqref="A139">
    <cfRule type="containsText" dxfId="3" priority="1514" operator="containsText" text="관리">
      <formula>NOT(ISERROR(SEARCH(("관리"),(A139))))</formula>
    </cfRule>
  </conditionalFormatting>
  <conditionalFormatting sqref="A139">
    <cfRule type="containsText" dxfId="4" priority="1515" operator="containsText" text="등록">
      <formula>NOT(ISERROR(SEARCH(("등록"),(A139))))</formula>
    </cfRule>
  </conditionalFormatting>
  <conditionalFormatting sqref="A150">
    <cfRule type="containsText" dxfId="0" priority="1516" operator="containsText" text="거부">
      <formula>NOT(ISERROR(SEARCH(("거부"),(A150))))</formula>
    </cfRule>
  </conditionalFormatting>
  <conditionalFormatting sqref="A150">
    <cfRule type="containsText" dxfId="1" priority="1517" operator="containsText" text="리턴">
      <formula>NOT(ISERROR(SEARCH(("리턴"),(A150))))</formula>
    </cfRule>
  </conditionalFormatting>
  <conditionalFormatting sqref="A150">
    <cfRule type="containsText" dxfId="2" priority="1518" operator="containsText" text="실패">
      <formula>NOT(ISERROR(SEARCH(("실패"),(A150))))</formula>
    </cfRule>
  </conditionalFormatting>
  <conditionalFormatting sqref="A150">
    <cfRule type="containsText" dxfId="3" priority="1519" operator="containsText" text="관리">
      <formula>NOT(ISERROR(SEARCH(("관리"),(A150))))</formula>
    </cfRule>
  </conditionalFormatting>
  <conditionalFormatting sqref="A150">
    <cfRule type="containsText" dxfId="4" priority="1520" operator="containsText" text="등록">
      <formula>NOT(ISERROR(SEARCH(("등록"),(A150))))</formula>
    </cfRule>
  </conditionalFormatting>
  <conditionalFormatting sqref="A152:A153">
    <cfRule type="containsText" dxfId="0" priority="1521" operator="containsText" text="거부">
      <formula>NOT(ISERROR(SEARCH(("거부"),(A152))))</formula>
    </cfRule>
  </conditionalFormatting>
  <conditionalFormatting sqref="A152:A153">
    <cfRule type="containsText" dxfId="1" priority="1522" operator="containsText" text="리턴">
      <formula>NOT(ISERROR(SEARCH(("리턴"),(A152))))</formula>
    </cfRule>
  </conditionalFormatting>
  <conditionalFormatting sqref="A152:A153">
    <cfRule type="containsText" dxfId="2" priority="1523" operator="containsText" text="실패">
      <formula>NOT(ISERROR(SEARCH(("실패"),(A152))))</formula>
    </cfRule>
  </conditionalFormatting>
  <conditionalFormatting sqref="A152:A153">
    <cfRule type="containsText" dxfId="3" priority="1524" operator="containsText" text="관리">
      <formula>NOT(ISERROR(SEARCH(("관리"),(A152))))</formula>
    </cfRule>
  </conditionalFormatting>
  <conditionalFormatting sqref="A152:A153">
    <cfRule type="containsText" dxfId="4" priority="1525" operator="containsText" text="등록">
      <formula>NOT(ISERROR(SEARCH(("등록"),(A152))))</formula>
    </cfRule>
  </conditionalFormatting>
  <conditionalFormatting sqref="A159">
    <cfRule type="containsText" dxfId="0" priority="1526" operator="containsText" text="거부">
      <formula>NOT(ISERROR(SEARCH(("거부"),(A159))))</formula>
    </cfRule>
  </conditionalFormatting>
  <conditionalFormatting sqref="A159">
    <cfRule type="containsText" dxfId="1" priority="1527" operator="containsText" text="리턴">
      <formula>NOT(ISERROR(SEARCH(("리턴"),(A159))))</formula>
    </cfRule>
  </conditionalFormatting>
  <conditionalFormatting sqref="A159">
    <cfRule type="containsText" dxfId="2" priority="1528" operator="containsText" text="실패">
      <formula>NOT(ISERROR(SEARCH(("실패"),(A159))))</formula>
    </cfRule>
  </conditionalFormatting>
  <conditionalFormatting sqref="A159">
    <cfRule type="containsText" dxfId="3" priority="1529" operator="containsText" text="관리">
      <formula>NOT(ISERROR(SEARCH(("관리"),(A159))))</formula>
    </cfRule>
  </conditionalFormatting>
  <conditionalFormatting sqref="A159">
    <cfRule type="containsText" dxfId="4" priority="1530" operator="containsText" text="등록">
      <formula>NOT(ISERROR(SEARCH(("등록"),(A159))))</formula>
    </cfRule>
  </conditionalFormatting>
  <conditionalFormatting sqref="A161">
    <cfRule type="containsText" dxfId="0" priority="1531" operator="containsText" text="거부">
      <formula>NOT(ISERROR(SEARCH(("거부"),(A161))))</formula>
    </cfRule>
  </conditionalFormatting>
  <conditionalFormatting sqref="A161">
    <cfRule type="containsText" dxfId="1" priority="1532" operator="containsText" text="리턴">
      <formula>NOT(ISERROR(SEARCH(("리턴"),(A161))))</formula>
    </cfRule>
  </conditionalFormatting>
  <conditionalFormatting sqref="A161">
    <cfRule type="containsText" dxfId="2" priority="1533" operator="containsText" text="실패">
      <formula>NOT(ISERROR(SEARCH(("실패"),(A161))))</formula>
    </cfRule>
  </conditionalFormatting>
  <conditionalFormatting sqref="A161">
    <cfRule type="containsText" dxfId="3" priority="1534" operator="containsText" text="관리">
      <formula>NOT(ISERROR(SEARCH(("관리"),(A161))))</formula>
    </cfRule>
  </conditionalFormatting>
  <conditionalFormatting sqref="A161">
    <cfRule type="containsText" dxfId="4" priority="1535" operator="containsText" text="등록">
      <formula>NOT(ISERROR(SEARCH(("등록"),(A161))))</formula>
    </cfRule>
  </conditionalFormatting>
  <conditionalFormatting sqref="A395">
    <cfRule type="containsText" dxfId="0" priority="1536" operator="containsText" text="거부">
      <formula>NOT(ISERROR(SEARCH(("거부"),(A395))))</formula>
    </cfRule>
  </conditionalFormatting>
  <conditionalFormatting sqref="A395">
    <cfRule type="containsText" dxfId="1" priority="1537" operator="containsText" text="리턴">
      <formula>NOT(ISERROR(SEARCH(("리턴"),(A395))))</formula>
    </cfRule>
  </conditionalFormatting>
  <conditionalFormatting sqref="A395">
    <cfRule type="containsText" dxfId="2" priority="1538" operator="containsText" text="실패">
      <formula>NOT(ISERROR(SEARCH(("실패"),(A395))))</formula>
    </cfRule>
  </conditionalFormatting>
  <conditionalFormatting sqref="A395">
    <cfRule type="containsText" dxfId="3" priority="1539" operator="containsText" text="관리">
      <formula>NOT(ISERROR(SEARCH(("관리"),(A395))))</formula>
    </cfRule>
  </conditionalFormatting>
  <conditionalFormatting sqref="A395">
    <cfRule type="containsText" dxfId="4" priority="1540" operator="containsText" text="등록">
      <formula>NOT(ISERROR(SEARCH(("등록"),(A395))))</formula>
    </cfRule>
  </conditionalFormatting>
  <conditionalFormatting sqref="A168">
    <cfRule type="containsText" dxfId="0" priority="1541" operator="containsText" text="거부">
      <formula>NOT(ISERROR(SEARCH(("거부"),(A168))))</formula>
    </cfRule>
  </conditionalFormatting>
  <conditionalFormatting sqref="A168">
    <cfRule type="containsText" dxfId="1" priority="1542" operator="containsText" text="리턴">
      <formula>NOT(ISERROR(SEARCH(("리턴"),(A168))))</formula>
    </cfRule>
  </conditionalFormatting>
  <conditionalFormatting sqref="A168">
    <cfRule type="containsText" dxfId="2" priority="1543" operator="containsText" text="실패">
      <formula>NOT(ISERROR(SEARCH(("실패"),(A168))))</formula>
    </cfRule>
  </conditionalFormatting>
  <conditionalFormatting sqref="A168">
    <cfRule type="containsText" dxfId="3" priority="1544" operator="containsText" text="관리">
      <formula>NOT(ISERROR(SEARCH(("관리"),(A168))))</formula>
    </cfRule>
  </conditionalFormatting>
  <conditionalFormatting sqref="A168">
    <cfRule type="containsText" dxfId="4" priority="1545" operator="containsText" text="등록">
      <formula>NOT(ISERROR(SEARCH(("등록"),(A168))))</formula>
    </cfRule>
  </conditionalFormatting>
  <conditionalFormatting sqref="A170">
    <cfRule type="containsText" dxfId="0" priority="1546" operator="containsText" text="거부">
      <formula>NOT(ISERROR(SEARCH(("거부"),(A170))))</formula>
    </cfRule>
  </conditionalFormatting>
  <conditionalFormatting sqref="A170">
    <cfRule type="containsText" dxfId="1" priority="1547" operator="containsText" text="리턴">
      <formula>NOT(ISERROR(SEARCH(("리턴"),(A170))))</formula>
    </cfRule>
  </conditionalFormatting>
  <conditionalFormatting sqref="A170">
    <cfRule type="containsText" dxfId="2" priority="1548" operator="containsText" text="실패">
      <formula>NOT(ISERROR(SEARCH(("실패"),(A170))))</formula>
    </cfRule>
  </conditionalFormatting>
  <conditionalFormatting sqref="A170">
    <cfRule type="containsText" dxfId="3" priority="1549" operator="containsText" text="관리">
      <formula>NOT(ISERROR(SEARCH(("관리"),(A170))))</formula>
    </cfRule>
  </conditionalFormatting>
  <conditionalFormatting sqref="A170">
    <cfRule type="containsText" dxfId="4" priority="1550" operator="containsText" text="등록">
      <formula>NOT(ISERROR(SEARCH(("등록"),(A170))))</formula>
    </cfRule>
  </conditionalFormatting>
  <conditionalFormatting sqref="A174">
    <cfRule type="containsText" dxfId="0" priority="1551" operator="containsText" text="거부">
      <formula>NOT(ISERROR(SEARCH(("거부"),(A174))))</formula>
    </cfRule>
  </conditionalFormatting>
  <conditionalFormatting sqref="A174">
    <cfRule type="containsText" dxfId="1" priority="1552" operator="containsText" text="리턴">
      <formula>NOT(ISERROR(SEARCH(("리턴"),(A174))))</formula>
    </cfRule>
  </conditionalFormatting>
  <conditionalFormatting sqref="A174">
    <cfRule type="containsText" dxfId="2" priority="1553" operator="containsText" text="실패">
      <formula>NOT(ISERROR(SEARCH(("실패"),(A174))))</formula>
    </cfRule>
  </conditionalFormatting>
  <conditionalFormatting sqref="A174">
    <cfRule type="containsText" dxfId="3" priority="1554" operator="containsText" text="관리">
      <formula>NOT(ISERROR(SEARCH(("관리"),(A174))))</formula>
    </cfRule>
  </conditionalFormatting>
  <conditionalFormatting sqref="A174">
    <cfRule type="containsText" dxfId="4" priority="1555" operator="containsText" text="등록">
      <formula>NOT(ISERROR(SEARCH(("등록"),(A174))))</formula>
    </cfRule>
  </conditionalFormatting>
  <conditionalFormatting sqref="A179">
    <cfRule type="containsText" dxfId="0" priority="1556" operator="containsText" text="거부">
      <formula>NOT(ISERROR(SEARCH(("거부"),(A179))))</formula>
    </cfRule>
  </conditionalFormatting>
  <conditionalFormatting sqref="A179">
    <cfRule type="containsText" dxfId="1" priority="1557" operator="containsText" text="리턴">
      <formula>NOT(ISERROR(SEARCH(("리턴"),(A179))))</formula>
    </cfRule>
  </conditionalFormatting>
  <conditionalFormatting sqref="A179">
    <cfRule type="containsText" dxfId="2" priority="1558" operator="containsText" text="실패">
      <formula>NOT(ISERROR(SEARCH(("실패"),(A179))))</formula>
    </cfRule>
  </conditionalFormatting>
  <conditionalFormatting sqref="A179">
    <cfRule type="containsText" dxfId="3" priority="1559" operator="containsText" text="관리">
      <formula>NOT(ISERROR(SEARCH(("관리"),(A179))))</formula>
    </cfRule>
  </conditionalFormatting>
  <conditionalFormatting sqref="A179">
    <cfRule type="containsText" dxfId="4" priority="1560" operator="containsText" text="등록">
      <formula>NOT(ISERROR(SEARCH(("등록"),(A179))))</formula>
    </cfRule>
  </conditionalFormatting>
  <conditionalFormatting sqref="A183">
    <cfRule type="containsText" dxfId="0" priority="1561" operator="containsText" text="거부">
      <formula>NOT(ISERROR(SEARCH(("거부"),(A183))))</formula>
    </cfRule>
  </conditionalFormatting>
  <conditionalFormatting sqref="A183">
    <cfRule type="containsText" dxfId="1" priority="1562" operator="containsText" text="리턴">
      <formula>NOT(ISERROR(SEARCH(("리턴"),(A183))))</formula>
    </cfRule>
  </conditionalFormatting>
  <conditionalFormatting sqref="A183">
    <cfRule type="containsText" dxfId="2" priority="1563" operator="containsText" text="실패">
      <formula>NOT(ISERROR(SEARCH(("실패"),(A183))))</formula>
    </cfRule>
  </conditionalFormatting>
  <conditionalFormatting sqref="A183">
    <cfRule type="containsText" dxfId="3" priority="1564" operator="containsText" text="관리">
      <formula>NOT(ISERROR(SEARCH(("관리"),(A183))))</formula>
    </cfRule>
  </conditionalFormatting>
  <conditionalFormatting sqref="A183">
    <cfRule type="containsText" dxfId="4" priority="1565" operator="containsText" text="등록">
      <formula>NOT(ISERROR(SEARCH(("등록"),(A183))))</formula>
    </cfRule>
  </conditionalFormatting>
  <conditionalFormatting sqref="A184">
    <cfRule type="containsText" dxfId="0" priority="1566" operator="containsText" text="거부">
      <formula>NOT(ISERROR(SEARCH(("거부"),(A184))))</formula>
    </cfRule>
  </conditionalFormatting>
  <conditionalFormatting sqref="A184">
    <cfRule type="containsText" dxfId="1" priority="1567" operator="containsText" text="리턴">
      <formula>NOT(ISERROR(SEARCH(("리턴"),(A184))))</formula>
    </cfRule>
  </conditionalFormatting>
  <conditionalFormatting sqref="A184">
    <cfRule type="containsText" dxfId="2" priority="1568" operator="containsText" text="실패">
      <formula>NOT(ISERROR(SEARCH(("실패"),(A184))))</formula>
    </cfRule>
  </conditionalFormatting>
  <conditionalFormatting sqref="A184">
    <cfRule type="containsText" dxfId="3" priority="1569" operator="containsText" text="관리">
      <formula>NOT(ISERROR(SEARCH(("관리"),(A184))))</formula>
    </cfRule>
  </conditionalFormatting>
  <conditionalFormatting sqref="A184">
    <cfRule type="containsText" dxfId="4" priority="1570" operator="containsText" text="등록">
      <formula>NOT(ISERROR(SEARCH(("등록"),(A184))))</formula>
    </cfRule>
  </conditionalFormatting>
  <conditionalFormatting sqref="A185">
    <cfRule type="containsText" dxfId="0" priority="1571" operator="containsText" text="거부">
      <formula>NOT(ISERROR(SEARCH(("거부"),(A185))))</formula>
    </cfRule>
  </conditionalFormatting>
  <conditionalFormatting sqref="A185">
    <cfRule type="containsText" dxfId="1" priority="1572" operator="containsText" text="리턴">
      <formula>NOT(ISERROR(SEARCH(("리턴"),(A185))))</formula>
    </cfRule>
  </conditionalFormatting>
  <conditionalFormatting sqref="A185">
    <cfRule type="containsText" dxfId="2" priority="1573" operator="containsText" text="실패">
      <formula>NOT(ISERROR(SEARCH(("실패"),(A185))))</formula>
    </cfRule>
  </conditionalFormatting>
  <conditionalFormatting sqref="A185">
    <cfRule type="containsText" dxfId="3" priority="1574" operator="containsText" text="관리">
      <formula>NOT(ISERROR(SEARCH(("관리"),(A185))))</formula>
    </cfRule>
  </conditionalFormatting>
  <conditionalFormatting sqref="A185">
    <cfRule type="containsText" dxfId="4" priority="1575" operator="containsText" text="등록">
      <formula>NOT(ISERROR(SEARCH(("등록"),(A185))))</formula>
    </cfRule>
  </conditionalFormatting>
  <conditionalFormatting sqref="A186">
    <cfRule type="containsText" dxfId="0" priority="1576" operator="containsText" text="거부">
      <formula>NOT(ISERROR(SEARCH(("거부"),(A186))))</formula>
    </cfRule>
  </conditionalFormatting>
  <conditionalFormatting sqref="A186">
    <cfRule type="containsText" dxfId="1" priority="1577" operator="containsText" text="리턴">
      <formula>NOT(ISERROR(SEARCH(("리턴"),(A186))))</formula>
    </cfRule>
  </conditionalFormatting>
  <conditionalFormatting sqref="A186">
    <cfRule type="containsText" dxfId="2" priority="1578" operator="containsText" text="실패">
      <formula>NOT(ISERROR(SEARCH(("실패"),(A186))))</formula>
    </cfRule>
  </conditionalFormatting>
  <conditionalFormatting sqref="A186">
    <cfRule type="containsText" dxfId="3" priority="1579" operator="containsText" text="관리">
      <formula>NOT(ISERROR(SEARCH(("관리"),(A186))))</formula>
    </cfRule>
  </conditionalFormatting>
  <conditionalFormatting sqref="A186">
    <cfRule type="containsText" dxfId="4" priority="1580" operator="containsText" text="등록">
      <formula>NOT(ISERROR(SEARCH(("등록"),(A186))))</formula>
    </cfRule>
  </conditionalFormatting>
  <conditionalFormatting sqref="A191:A192">
    <cfRule type="containsText" dxfId="0" priority="1581" operator="containsText" text="거부">
      <formula>NOT(ISERROR(SEARCH(("거부"),(A191))))</formula>
    </cfRule>
  </conditionalFormatting>
  <conditionalFormatting sqref="A191:A192">
    <cfRule type="containsText" dxfId="1" priority="1582" operator="containsText" text="리턴">
      <formula>NOT(ISERROR(SEARCH(("리턴"),(A191))))</formula>
    </cfRule>
  </conditionalFormatting>
  <conditionalFormatting sqref="A191:A192">
    <cfRule type="containsText" dxfId="2" priority="1583" operator="containsText" text="실패">
      <formula>NOT(ISERROR(SEARCH(("실패"),(A191))))</formula>
    </cfRule>
  </conditionalFormatting>
  <conditionalFormatting sqref="A191:A192">
    <cfRule type="containsText" dxfId="3" priority="1584" operator="containsText" text="관리">
      <formula>NOT(ISERROR(SEARCH(("관리"),(A191))))</formula>
    </cfRule>
  </conditionalFormatting>
  <conditionalFormatting sqref="A191:A192">
    <cfRule type="containsText" dxfId="4" priority="1585" operator="containsText" text="등록">
      <formula>NOT(ISERROR(SEARCH(("등록"),(A191))))</formula>
    </cfRule>
  </conditionalFormatting>
  <conditionalFormatting sqref="A193">
    <cfRule type="containsText" dxfId="0" priority="1586" operator="containsText" text="거부">
      <formula>NOT(ISERROR(SEARCH(("거부"),(A193))))</formula>
    </cfRule>
  </conditionalFormatting>
  <conditionalFormatting sqref="A193">
    <cfRule type="containsText" dxfId="1" priority="1587" operator="containsText" text="리턴">
      <formula>NOT(ISERROR(SEARCH(("리턴"),(A193))))</formula>
    </cfRule>
  </conditionalFormatting>
  <conditionalFormatting sqref="A193">
    <cfRule type="containsText" dxfId="2" priority="1588" operator="containsText" text="실패">
      <formula>NOT(ISERROR(SEARCH(("실패"),(A193))))</formula>
    </cfRule>
  </conditionalFormatting>
  <conditionalFormatting sqref="A193">
    <cfRule type="containsText" dxfId="3" priority="1589" operator="containsText" text="관리">
      <formula>NOT(ISERROR(SEARCH(("관리"),(A193))))</formula>
    </cfRule>
  </conditionalFormatting>
  <conditionalFormatting sqref="A193">
    <cfRule type="containsText" dxfId="4" priority="1590" operator="containsText" text="등록">
      <formula>NOT(ISERROR(SEARCH(("등록"),(A193))))</formula>
    </cfRule>
  </conditionalFormatting>
  <conditionalFormatting sqref="A195">
    <cfRule type="containsText" dxfId="0" priority="1591" operator="containsText" text="거부">
      <formula>NOT(ISERROR(SEARCH(("거부"),(A195))))</formula>
    </cfRule>
  </conditionalFormatting>
  <conditionalFormatting sqref="A195">
    <cfRule type="containsText" dxfId="1" priority="1592" operator="containsText" text="리턴">
      <formula>NOT(ISERROR(SEARCH(("리턴"),(A195))))</formula>
    </cfRule>
  </conditionalFormatting>
  <conditionalFormatting sqref="A195">
    <cfRule type="containsText" dxfId="2" priority="1593" operator="containsText" text="실패">
      <formula>NOT(ISERROR(SEARCH(("실패"),(A195))))</formula>
    </cfRule>
  </conditionalFormatting>
  <conditionalFormatting sqref="A195">
    <cfRule type="containsText" dxfId="3" priority="1594" operator="containsText" text="관리">
      <formula>NOT(ISERROR(SEARCH(("관리"),(A195))))</formula>
    </cfRule>
  </conditionalFormatting>
  <conditionalFormatting sqref="A195">
    <cfRule type="containsText" dxfId="4" priority="1595" operator="containsText" text="등록">
      <formula>NOT(ISERROR(SEARCH(("등록"),(A195))))</formula>
    </cfRule>
  </conditionalFormatting>
  <conditionalFormatting sqref="A197">
    <cfRule type="containsText" dxfId="0" priority="1596" operator="containsText" text="거부">
      <formula>NOT(ISERROR(SEARCH(("거부"),(A197))))</formula>
    </cfRule>
  </conditionalFormatting>
  <conditionalFormatting sqref="A197">
    <cfRule type="containsText" dxfId="1" priority="1597" operator="containsText" text="리턴">
      <formula>NOT(ISERROR(SEARCH(("리턴"),(A197))))</formula>
    </cfRule>
  </conditionalFormatting>
  <conditionalFormatting sqref="A197">
    <cfRule type="containsText" dxfId="2" priority="1598" operator="containsText" text="실패">
      <formula>NOT(ISERROR(SEARCH(("실패"),(A197))))</formula>
    </cfRule>
  </conditionalFormatting>
  <conditionalFormatting sqref="A197">
    <cfRule type="containsText" dxfId="3" priority="1599" operator="containsText" text="관리">
      <formula>NOT(ISERROR(SEARCH(("관리"),(A197))))</formula>
    </cfRule>
  </conditionalFormatting>
  <conditionalFormatting sqref="A197">
    <cfRule type="containsText" dxfId="4" priority="1600" operator="containsText" text="등록">
      <formula>NOT(ISERROR(SEARCH(("등록"),(A197))))</formula>
    </cfRule>
  </conditionalFormatting>
  <conditionalFormatting sqref="A197">
    <cfRule type="containsText" dxfId="0" priority="1601" operator="containsText" text="거부">
      <formula>NOT(ISERROR(SEARCH(("거부"),(A197))))</formula>
    </cfRule>
  </conditionalFormatting>
  <conditionalFormatting sqref="A197">
    <cfRule type="containsText" dxfId="1" priority="1602" operator="containsText" text="리턴">
      <formula>NOT(ISERROR(SEARCH(("리턴"),(A197))))</formula>
    </cfRule>
  </conditionalFormatting>
  <conditionalFormatting sqref="A197">
    <cfRule type="containsText" dxfId="2" priority="1603" operator="containsText" text="실패">
      <formula>NOT(ISERROR(SEARCH(("실패"),(A197))))</formula>
    </cfRule>
  </conditionalFormatting>
  <conditionalFormatting sqref="A197">
    <cfRule type="containsText" dxfId="3" priority="1604" operator="containsText" text="관리">
      <formula>NOT(ISERROR(SEARCH(("관리"),(A197))))</formula>
    </cfRule>
  </conditionalFormatting>
  <conditionalFormatting sqref="A197">
    <cfRule type="containsText" dxfId="4" priority="1605" operator="containsText" text="등록">
      <formula>NOT(ISERROR(SEARCH(("등록"),(A197))))</formula>
    </cfRule>
  </conditionalFormatting>
  <conditionalFormatting sqref="A199">
    <cfRule type="containsText" dxfId="0" priority="1606" operator="containsText" text="거부">
      <formula>NOT(ISERROR(SEARCH(("거부"),(A199))))</formula>
    </cfRule>
  </conditionalFormatting>
  <conditionalFormatting sqref="A199">
    <cfRule type="containsText" dxfId="1" priority="1607" operator="containsText" text="리턴">
      <formula>NOT(ISERROR(SEARCH(("리턴"),(A199))))</formula>
    </cfRule>
  </conditionalFormatting>
  <conditionalFormatting sqref="A199">
    <cfRule type="containsText" dxfId="2" priority="1608" operator="containsText" text="실패">
      <formula>NOT(ISERROR(SEARCH(("실패"),(A199))))</formula>
    </cfRule>
  </conditionalFormatting>
  <conditionalFormatting sqref="A199">
    <cfRule type="containsText" dxfId="3" priority="1609" operator="containsText" text="관리">
      <formula>NOT(ISERROR(SEARCH(("관리"),(A199))))</formula>
    </cfRule>
  </conditionalFormatting>
  <conditionalFormatting sqref="A199">
    <cfRule type="containsText" dxfId="4" priority="1610" operator="containsText" text="등록">
      <formula>NOT(ISERROR(SEARCH(("등록"),(A199))))</formula>
    </cfRule>
  </conditionalFormatting>
  <conditionalFormatting sqref="A200">
    <cfRule type="containsText" dxfId="0" priority="1611" operator="containsText" text="거부">
      <formula>NOT(ISERROR(SEARCH(("거부"),(A200))))</formula>
    </cfRule>
  </conditionalFormatting>
  <conditionalFormatting sqref="A200">
    <cfRule type="containsText" dxfId="1" priority="1612" operator="containsText" text="리턴">
      <formula>NOT(ISERROR(SEARCH(("리턴"),(A200))))</formula>
    </cfRule>
  </conditionalFormatting>
  <conditionalFormatting sqref="A200">
    <cfRule type="containsText" dxfId="2" priority="1613" operator="containsText" text="실패">
      <formula>NOT(ISERROR(SEARCH(("실패"),(A200))))</formula>
    </cfRule>
  </conditionalFormatting>
  <conditionalFormatting sqref="A200">
    <cfRule type="containsText" dxfId="3" priority="1614" operator="containsText" text="관리">
      <formula>NOT(ISERROR(SEARCH(("관리"),(A200))))</formula>
    </cfRule>
  </conditionalFormatting>
  <conditionalFormatting sqref="A200">
    <cfRule type="containsText" dxfId="4" priority="1615" operator="containsText" text="등록">
      <formula>NOT(ISERROR(SEARCH(("등록"),(A200))))</formula>
    </cfRule>
  </conditionalFormatting>
  <conditionalFormatting sqref="A190">
    <cfRule type="containsText" dxfId="0" priority="1616" operator="containsText" text="거부">
      <formula>NOT(ISERROR(SEARCH(("거부"),(A190))))</formula>
    </cfRule>
  </conditionalFormatting>
  <conditionalFormatting sqref="A190">
    <cfRule type="containsText" dxfId="1" priority="1617" operator="containsText" text="리턴">
      <formula>NOT(ISERROR(SEARCH(("리턴"),(A190))))</formula>
    </cfRule>
  </conditionalFormatting>
  <conditionalFormatting sqref="A190">
    <cfRule type="containsText" dxfId="2" priority="1618" operator="containsText" text="실패">
      <formula>NOT(ISERROR(SEARCH(("실패"),(A190))))</formula>
    </cfRule>
  </conditionalFormatting>
  <conditionalFormatting sqref="A190">
    <cfRule type="containsText" dxfId="3" priority="1619" operator="containsText" text="관리">
      <formula>NOT(ISERROR(SEARCH(("관리"),(A190))))</formula>
    </cfRule>
  </conditionalFormatting>
  <conditionalFormatting sqref="A190">
    <cfRule type="containsText" dxfId="4" priority="1620" operator="containsText" text="등록">
      <formula>NOT(ISERROR(SEARCH(("등록"),(A190))))</formula>
    </cfRule>
  </conditionalFormatting>
  <conditionalFormatting sqref="A202">
    <cfRule type="containsText" dxfId="0" priority="1621" operator="containsText" text="거부">
      <formula>NOT(ISERROR(SEARCH(("거부"),(A202))))</formula>
    </cfRule>
  </conditionalFormatting>
  <conditionalFormatting sqref="A202">
    <cfRule type="containsText" dxfId="1" priority="1622" operator="containsText" text="리턴">
      <formula>NOT(ISERROR(SEARCH(("리턴"),(A202))))</formula>
    </cfRule>
  </conditionalFormatting>
  <conditionalFormatting sqref="A202">
    <cfRule type="containsText" dxfId="2" priority="1623" operator="containsText" text="실패">
      <formula>NOT(ISERROR(SEARCH(("실패"),(A202))))</formula>
    </cfRule>
  </conditionalFormatting>
  <conditionalFormatting sqref="A202">
    <cfRule type="containsText" dxfId="3" priority="1624" operator="containsText" text="관리">
      <formula>NOT(ISERROR(SEARCH(("관리"),(A202))))</formula>
    </cfRule>
  </conditionalFormatting>
  <conditionalFormatting sqref="A202">
    <cfRule type="containsText" dxfId="4" priority="1625" operator="containsText" text="등록">
      <formula>NOT(ISERROR(SEARCH(("등록"),(A202))))</formula>
    </cfRule>
  </conditionalFormatting>
  <conditionalFormatting sqref="A203">
    <cfRule type="containsText" dxfId="0" priority="1626" operator="containsText" text="거부">
      <formula>NOT(ISERROR(SEARCH(("거부"),(A203))))</formula>
    </cfRule>
  </conditionalFormatting>
  <conditionalFormatting sqref="A203">
    <cfRule type="containsText" dxfId="1" priority="1627" operator="containsText" text="리턴">
      <formula>NOT(ISERROR(SEARCH(("리턴"),(A203))))</formula>
    </cfRule>
  </conditionalFormatting>
  <conditionalFormatting sqref="A203">
    <cfRule type="containsText" dxfId="2" priority="1628" operator="containsText" text="실패">
      <formula>NOT(ISERROR(SEARCH(("실패"),(A203))))</formula>
    </cfRule>
  </conditionalFormatting>
  <conditionalFormatting sqref="A203">
    <cfRule type="containsText" dxfId="3" priority="1629" operator="containsText" text="관리">
      <formula>NOT(ISERROR(SEARCH(("관리"),(A203))))</formula>
    </cfRule>
  </conditionalFormatting>
  <conditionalFormatting sqref="A203">
    <cfRule type="containsText" dxfId="4" priority="1630" operator="containsText" text="등록">
      <formula>NOT(ISERROR(SEARCH(("등록"),(A203))))</formula>
    </cfRule>
  </conditionalFormatting>
  <conditionalFormatting sqref="A204">
    <cfRule type="containsText" dxfId="0" priority="1631" operator="containsText" text="거부">
      <formula>NOT(ISERROR(SEARCH(("거부"),(A204))))</formula>
    </cfRule>
  </conditionalFormatting>
  <conditionalFormatting sqref="A204">
    <cfRule type="containsText" dxfId="1" priority="1632" operator="containsText" text="리턴">
      <formula>NOT(ISERROR(SEARCH(("리턴"),(A204))))</formula>
    </cfRule>
  </conditionalFormatting>
  <conditionalFormatting sqref="A204">
    <cfRule type="containsText" dxfId="2" priority="1633" operator="containsText" text="실패">
      <formula>NOT(ISERROR(SEARCH(("실패"),(A204))))</formula>
    </cfRule>
  </conditionalFormatting>
  <conditionalFormatting sqref="A204">
    <cfRule type="containsText" dxfId="3" priority="1634" operator="containsText" text="관리">
      <formula>NOT(ISERROR(SEARCH(("관리"),(A204))))</formula>
    </cfRule>
  </conditionalFormatting>
  <conditionalFormatting sqref="A204">
    <cfRule type="containsText" dxfId="4" priority="1635" operator="containsText" text="등록">
      <formula>NOT(ISERROR(SEARCH(("등록"),(A204))))</formula>
    </cfRule>
  </conditionalFormatting>
  <conditionalFormatting sqref="A205">
    <cfRule type="containsText" dxfId="0" priority="1636" operator="containsText" text="거부">
      <formula>NOT(ISERROR(SEARCH(("거부"),(A205))))</formula>
    </cfRule>
  </conditionalFormatting>
  <conditionalFormatting sqref="A205">
    <cfRule type="containsText" dxfId="1" priority="1637" operator="containsText" text="리턴">
      <formula>NOT(ISERROR(SEARCH(("리턴"),(A205))))</formula>
    </cfRule>
  </conditionalFormatting>
  <conditionalFormatting sqref="A205">
    <cfRule type="containsText" dxfId="2" priority="1638" operator="containsText" text="실패">
      <formula>NOT(ISERROR(SEARCH(("실패"),(A205))))</formula>
    </cfRule>
  </conditionalFormatting>
  <conditionalFormatting sqref="A205">
    <cfRule type="containsText" dxfId="3" priority="1639" operator="containsText" text="관리">
      <formula>NOT(ISERROR(SEARCH(("관리"),(A205))))</formula>
    </cfRule>
  </conditionalFormatting>
  <conditionalFormatting sqref="A205">
    <cfRule type="containsText" dxfId="4" priority="1640" operator="containsText" text="등록">
      <formula>NOT(ISERROR(SEARCH(("등록"),(A205))))</formula>
    </cfRule>
  </conditionalFormatting>
  <conditionalFormatting sqref="A207">
    <cfRule type="containsText" dxfId="0" priority="1641" operator="containsText" text="거부">
      <formula>NOT(ISERROR(SEARCH(("거부"),(A207))))</formula>
    </cfRule>
  </conditionalFormatting>
  <conditionalFormatting sqref="A207">
    <cfRule type="containsText" dxfId="1" priority="1642" operator="containsText" text="리턴">
      <formula>NOT(ISERROR(SEARCH(("리턴"),(A207))))</formula>
    </cfRule>
  </conditionalFormatting>
  <conditionalFormatting sqref="A207">
    <cfRule type="containsText" dxfId="2" priority="1643" operator="containsText" text="실패">
      <formula>NOT(ISERROR(SEARCH(("실패"),(A207))))</formula>
    </cfRule>
  </conditionalFormatting>
  <conditionalFormatting sqref="A207">
    <cfRule type="containsText" dxfId="3" priority="1644" operator="containsText" text="관리">
      <formula>NOT(ISERROR(SEARCH(("관리"),(A207))))</formula>
    </cfRule>
  </conditionalFormatting>
  <conditionalFormatting sqref="A207">
    <cfRule type="containsText" dxfId="4" priority="1645" operator="containsText" text="등록">
      <formula>NOT(ISERROR(SEARCH(("등록"),(A207))))</formula>
    </cfRule>
  </conditionalFormatting>
  <conditionalFormatting sqref="A201">
    <cfRule type="containsText" dxfId="0" priority="1646" operator="containsText" text="거부">
      <formula>NOT(ISERROR(SEARCH(("거부"),(A201))))</formula>
    </cfRule>
  </conditionalFormatting>
  <conditionalFormatting sqref="A201">
    <cfRule type="containsText" dxfId="1" priority="1647" operator="containsText" text="리턴">
      <formula>NOT(ISERROR(SEARCH(("리턴"),(A201))))</formula>
    </cfRule>
  </conditionalFormatting>
  <conditionalFormatting sqref="A201">
    <cfRule type="containsText" dxfId="2" priority="1648" operator="containsText" text="실패">
      <formula>NOT(ISERROR(SEARCH(("실패"),(A201))))</formula>
    </cfRule>
  </conditionalFormatting>
  <conditionalFormatting sqref="A201">
    <cfRule type="containsText" dxfId="3" priority="1649" operator="containsText" text="관리">
      <formula>NOT(ISERROR(SEARCH(("관리"),(A201))))</formula>
    </cfRule>
  </conditionalFormatting>
  <conditionalFormatting sqref="A201">
    <cfRule type="containsText" dxfId="4" priority="1650" operator="containsText" text="등록">
      <formula>NOT(ISERROR(SEARCH(("등록"),(A201))))</formula>
    </cfRule>
  </conditionalFormatting>
  <conditionalFormatting sqref="A208">
    <cfRule type="containsText" dxfId="0" priority="1651" operator="containsText" text="거부">
      <formula>NOT(ISERROR(SEARCH(("거부"),(A208))))</formula>
    </cfRule>
  </conditionalFormatting>
  <conditionalFormatting sqref="A208">
    <cfRule type="containsText" dxfId="1" priority="1652" operator="containsText" text="리턴">
      <formula>NOT(ISERROR(SEARCH(("리턴"),(A208))))</formula>
    </cfRule>
  </conditionalFormatting>
  <conditionalFormatting sqref="A208">
    <cfRule type="containsText" dxfId="2" priority="1653" operator="containsText" text="실패">
      <formula>NOT(ISERROR(SEARCH(("실패"),(A208))))</formula>
    </cfRule>
  </conditionalFormatting>
  <conditionalFormatting sqref="A208">
    <cfRule type="containsText" dxfId="3" priority="1654" operator="containsText" text="관리">
      <formula>NOT(ISERROR(SEARCH(("관리"),(A208))))</formula>
    </cfRule>
  </conditionalFormatting>
  <conditionalFormatting sqref="A208">
    <cfRule type="containsText" dxfId="4" priority="1655" operator="containsText" text="등록">
      <formula>NOT(ISERROR(SEARCH(("등록"),(A208))))</formula>
    </cfRule>
  </conditionalFormatting>
  <conditionalFormatting sqref="A211">
    <cfRule type="containsText" dxfId="0" priority="1656" operator="containsText" text="거부">
      <formula>NOT(ISERROR(SEARCH(("거부"),(A211))))</formula>
    </cfRule>
  </conditionalFormatting>
  <conditionalFormatting sqref="A211">
    <cfRule type="containsText" dxfId="1" priority="1657" operator="containsText" text="리턴">
      <formula>NOT(ISERROR(SEARCH(("리턴"),(A211))))</formula>
    </cfRule>
  </conditionalFormatting>
  <conditionalFormatting sqref="A211">
    <cfRule type="containsText" dxfId="2" priority="1658" operator="containsText" text="실패">
      <formula>NOT(ISERROR(SEARCH(("실패"),(A211))))</formula>
    </cfRule>
  </conditionalFormatting>
  <conditionalFormatting sqref="A211">
    <cfRule type="containsText" dxfId="3" priority="1659" operator="containsText" text="관리">
      <formula>NOT(ISERROR(SEARCH(("관리"),(A211))))</formula>
    </cfRule>
  </conditionalFormatting>
  <conditionalFormatting sqref="A211">
    <cfRule type="containsText" dxfId="4" priority="1660" operator="containsText" text="등록">
      <formula>NOT(ISERROR(SEARCH(("등록"),(A211))))</formula>
    </cfRule>
  </conditionalFormatting>
  <conditionalFormatting sqref="A396">
    <cfRule type="containsText" dxfId="0" priority="1661" operator="containsText" text="거부">
      <formula>NOT(ISERROR(SEARCH(("거부"),(A396))))</formula>
    </cfRule>
  </conditionalFormatting>
  <conditionalFormatting sqref="A396">
    <cfRule type="containsText" dxfId="1" priority="1662" operator="containsText" text="리턴">
      <formula>NOT(ISERROR(SEARCH(("리턴"),(A396))))</formula>
    </cfRule>
  </conditionalFormatting>
  <conditionalFormatting sqref="A396">
    <cfRule type="containsText" dxfId="2" priority="1663" operator="containsText" text="실패">
      <formula>NOT(ISERROR(SEARCH(("실패"),(A396))))</formula>
    </cfRule>
  </conditionalFormatting>
  <conditionalFormatting sqref="A396">
    <cfRule type="containsText" dxfId="3" priority="1664" operator="containsText" text="관리">
      <formula>NOT(ISERROR(SEARCH(("관리"),(A396))))</formula>
    </cfRule>
  </conditionalFormatting>
  <conditionalFormatting sqref="A396">
    <cfRule type="containsText" dxfId="4" priority="1665" operator="containsText" text="등록">
      <formula>NOT(ISERROR(SEARCH(("등록"),(A396))))</formula>
    </cfRule>
  </conditionalFormatting>
  <conditionalFormatting sqref="A212">
    <cfRule type="containsText" dxfId="0" priority="1666" operator="containsText" text="거부">
      <formula>NOT(ISERROR(SEARCH(("거부"),(A212))))</formula>
    </cfRule>
  </conditionalFormatting>
  <conditionalFormatting sqref="A212">
    <cfRule type="containsText" dxfId="1" priority="1667" operator="containsText" text="리턴">
      <formula>NOT(ISERROR(SEARCH(("리턴"),(A212))))</formula>
    </cfRule>
  </conditionalFormatting>
  <conditionalFormatting sqref="A212">
    <cfRule type="containsText" dxfId="2" priority="1668" operator="containsText" text="실패">
      <formula>NOT(ISERROR(SEARCH(("실패"),(A212))))</formula>
    </cfRule>
  </conditionalFormatting>
  <conditionalFormatting sqref="A212">
    <cfRule type="containsText" dxfId="3" priority="1669" operator="containsText" text="관리">
      <formula>NOT(ISERROR(SEARCH(("관리"),(A212))))</formula>
    </cfRule>
  </conditionalFormatting>
  <conditionalFormatting sqref="A212">
    <cfRule type="containsText" dxfId="4" priority="1670" operator="containsText" text="등록">
      <formula>NOT(ISERROR(SEARCH(("등록"),(A212))))</formula>
    </cfRule>
  </conditionalFormatting>
  <conditionalFormatting sqref="A214">
    <cfRule type="containsText" dxfId="0" priority="1671" operator="containsText" text="거부">
      <formula>NOT(ISERROR(SEARCH(("거부"),(A214))))</formula>
    </cfRule>
  </conditionalFormatting>
  <conditionalFormatting sqref="A214">
    <cfRule type="containsText" dxfId="1" priority="1672" operator="containsText" text="리턴">
      <formula>NOT(ISERROR(SEARCH(("리턴"),(A214))))</formula>
    </cfRule>
  </conditionalFormatting>
  <conditionalFormatting sqref="A214">
    <cfRule type="containsText" dxfId="2" priority="1673" operator="containsText" text="실패">
      <formula>NOT(ISERROR(SEARCH(("실패"),(A214))))</formula>
    </cfRule>
  </conditionalFormatting>
  <conditionalFormatting sqref="A214">
    <cfRule type="containsText" dxfId="3" priority="1674" operator="containsText" text="관리">
      <formula>NOT(ISERROR(SEARCH(("관리"),(A214))))</formula>
    </cfRule>
  </conditionalFormatting>
  <conditionalFormatting sqref="A214">
    <cfRule type="containsText" dxfId="4" priority="1675" operator="containsText" text="등록">
      <formula>NOT(ISERROR(SEARCH(("등록"),(A214))))</formula>
    </cfRule>
  </conditionalFormatting>
  <conditionalFormatting sqref="A218">
    <cfRule type="containsText" dxfId="0" priority="1676" operator="containsText" text="거부">
      <formula>NOT(ISERROR(SEARCH(("거부"),(A218))))</formula>
    </cfRule>
  </conditionalFormatting>
  <conditionalFormatting sqref="A218">
    <cfRule type="containsText" dxfId="1" priority="1677" operator="containsText" text="리턴">
      <formula>NOT(ISERROR(SEARCH(("리턴"),(A218))))</formula>
    </cfRule>
  </conditionalFormatting>
  <conditionalFormatting sqref="A218">
    <cfRule type="containsText" dxfId="2" priority="1678" operator="containsText" text="실패">
      <formula>NOT(ISERROR(SEARCH(("실패"),(A218))))</formula>
    </cfRule>
  </conditionalFormatting>
  <conditionalFormatting sqref="A218">
    <cfRule type="containsText" dxfId="3" priority="1679" operator="containsText" text="관리">
      <formula>NOT(ISERROR(SEARCH(("관리"),(A218))))</formula>
    </cfRule>
  </conditionalFormatting>
  <conditionalFormatting sqref="A218">
    <cfRule type="containsText" dxfId="4" priority="1680" operator="containsText" text="등록">
      <formula>NOT(ISERROR(SEARCH(("등록"),(A218))))</formula>
    </cfRule>
  </conditionalFormatting>
  <conditionalFormatting sqref="A220">
    <cfRule type="containsText" dxfId="0" priority="1681" operator="containsText" text="거부">
      <formula>NOT(ISERROR(SEARCH(("거부"),(A220))))</formula>
    </cfRule>
  </conditionalFormatting>
  <conditionalFormatting sqref="A220">
    <cfRule type="containsText" dxfId="1" priority="1682" operator="containsText" text="리턴">
      <formula>NOT(ISERROR(SEARCH(("리턴"),(A220))))</formula>
    </cfRule>
  </conditionalFormatting>
  <conditionalFormatting sqref="A220">
    <cfRule type="containsText" dxfId="2" priority="1683" operator="containsText" text="실패">
      <formula>NOT(ISERROR(SEARCH(("실패"),(A220))))</formula>
    </cfRule>
  </conditionalFormatting>
  <conditionalFormatting sqref="A220">
    <cfRule type="containsText" dxfId="3" priority="1684" operator="containsText" text="관리">
      <formula>NOT(ISERROR(SEARCH(("관리"),(A220))))</formula>
    </cfRule>
  </conditionalFormatting>
  <conditionalFormatting sqref="A220">
    <cfRule type="containsText" dxfId="4" priority="1685" operator="containsText" text="등록">
      <formula>NOT(ISERROR(SEARCH(("등록"),(A220))))</formula>
    </cfRule>
  </conditionalFormatting>
  <conditionalFormatting sqref="A221">
    <cfRule type="containsText" dxfId="0" priority="1686" operator="containsText" text="거부">
      <formula>NOT(ISERROR(SEARCH(("거부"),(A221))))</formula>
    </cfRule>
  </conditionalFormatting>
  <conditionalFormatting sqref="A221">
    <cfRule type="containsText" dxfId="1" priority="1687" operator="containsText" text="리턴">
      <formula>NOT(ISERROR(SEARCH(("리턴"),(A221))))</formula>
    </cfRule>
  </conditionalFormatting>
  <conditionalFormatting sqref="A221">
    <cfRule type="containsText" dxfId="2" priority="1688" operator="containsText" text="실패">
      <formula>NOT(ISERROR(SEARCH(("실패"),(A221))))</formula>
    </cfRule>
  </conditionalFormatting>
  <conditionalFormatting sqref="A221">
    <cfRule type="containsText" dxfId="3" priority="1689" operator="containsText" text="관리">
      <formula>NOT(ISERROR(SEARCH(("관리"),(A221))))</formula>
    </cfRule>
  </conditionalFormatting>
  <conditionalFormatting sqref="A221">
    <cfRule type="containsText" dxfId="4" priority="1690" operator="containsText" text="등록">
      <formula>NOT(ISERROR(SEARCH(("등록"),(A221))))</formula>
    </cfRule>
  </conditionalFormatting>
  <conditionalFormatting sqref="A222">
    <cfRule type="containsText" dxfId="0" priority="1691" operator="containsText" text="거부">
      <formula>NOT(ISERROR(SEARCH(("거부"),(A222))))</formula>
    </cfRule>
  </conditionalFormatting>
  <conditionalFormatting sqref="A222">
    <cfRule type="containsText" dxfId="1" priority="1692" operator="containsText" text="리턴">
      <formula>NOT(ISERROR(SEARCH(("리턴"),(A222))))</formula>
    </cfRule>
  </conditionalFormatting>
  <conditionalFormatting sqref="A222">
    <cfRule type="containsText" dxfId="2" priority="1693" operator="containsText" text="실패">
      <formula>NOT(ISERROR(SEARCH(("실패"),(A222))))</formula>
    </cfRule>
  </conditionalFormatting>
  <conditionalFormatting sqref="A222">
    <cfRule type="containsText" dxfId="3" priority="1694" operator="containsText" text="관리">
      <formula>NOT(ISERROR(SEARCH(("관리"),(A222))))</formula>
    </cfRule>
  </conditionalFormatting>
  <conditionalFormatting sqref="A222">
    <cfRule type="containsText" dxfId="4" priority="1695" operator="containsText" text="등록">
      <formula>NOT(ISERROR(SEARCH(("등록"),(A222))))</formula>
    </cfRule>
  </conditionalFormatting>
  <conditionalFormatting sqref="A225">
    <cfRule type="containsText" dxfId="0" priority="1696" operator="containsText" text="거부">
      <formula>NOT(ISERROR(SEARCH(("거부"),(A225))))</formula>
    </cfRule>
  </conditionalFormatting>
  <conditionalFormatting sqref="A225">
    <cfRule type="containsText" dxfId="1" priority="1697" operator="containsText" text="리턴">
      <formula>NOT(ISERROR(SEARCH(("리턴"),(A225))))</formula>
    </cfRule>
  </conditionalFormatting>
  <conditionalFormatting sqref="A225">
    <cfRule type="containsText" dxfId="2" priority="1698" operator="containsText" text="실패">
      <formula>NOT(ISERROR(SEARCH(("실패"),(A225))))</formula>
    </cfRule>
  </conditionalFormatting>
  <conditionalFormatting sqref="A225">
    <cfRule type="containsText" dxfId="3" priority="1699" operator="containsText" text="관리">
      <formula>NOT(ISERROR(SEARCH(("관리"),(A225))))</formula>
    </cfRule>
  </conditionalFormatting>
  <conditionalFormatting sqref="A225">
    <cfRule type="containsText" dxfId="4" priority="1700" operator="containsText" text="등록">
      <formula>NOT(ISERROR(SEARCH(("등록"),(A225))))</formula>
    </cfRule>
  </conditionalFormatting>
  <conditionalFormatting sqref="A226">
    <cfRule type="containsText" dxfId="0" priority="1701" operator="containsText" text="거부">
      <formula>NOT(ISERROR(SEARCH(("거부"),(A226))))</formula>
    </cfRule>
  </conditionalFormatting>
  <conditionalFormatting sqref="A226">
    <cfRule type="containsText" dxfId="1" priority="1702" operator="containsText" text="리턴">
      <formula>NOT(ISERROR(SEARCH(("리턴"),(A226))))</formula>
    </cfRule>
  </conditionalFormatting>
  <conditionalFormatting sqref="A226">
    <cfRule type="containsText" dxfId="2" priority="1703" operator="containsText" text="실패">
      <formula>NOT(ISERROR(SEARCH(("실패"),(A226))))</formula>
    </cfRule>
  </conditionalFormatting>
  <conditionalFormatting sqref="A226">
    <cfRule type="containsText" dxfId="3" priority="1704" operator="containsText" text="관리">
      <formula>NOT(ISERROR(SEARCH(("관리"),(A226))))</formula>
    </cfRule>
  </conditionalFormatting>
  <conditionalFormatting sqref="A226">
    <cfRule type="containsText" dxfId="4" priority="1705" operator="containsText" text="등록">
      <formula>NOT(ISERROR(SEARCH(("등록"),(A226))))</formula>
    </cfRule>
  </conditionalFormatting>
  <conditionalFormatting sqref="A227">
    <cfRule type="containsText" dxfId="0" priority="1706" operator="containsText" text="거부">
      <formula>NOT(ISERROR(SEARCH(("거부"),(A227))))</formula>
    </cfRule>
  </conditionalFormatting>
  <conditionalFormatting sqref="A227">
    <cfRule type="containsText" dxfId="1" priority="1707" operator="containsText" text="리턴">
      <formula>NOT(ISERROR(SEARCH(("리턴"),(A227))))</formula>
    </cfRule>
  </conditionalFormatting>
  <conditionalFormatting sqref="A227">
    <cfRule type="containsText" dxfId="2" priority="1708" operator="containsText" text="실패">
      <formula>NOT(ISERROR(SEARCH(("실패"),(A227))))</formula>
    </cfRule>
  </conditionalFormatting>
  <conditionalFormatting sqref="A227">
    <cfRule type="containsText" dxfId="3" priority="1709" operator="containsText" text="관리">
      <formula>NOT(ISERROR(SEARCH(("관리"),(A227))))</formula>
    </cfRule>
  </conditionalFormatting>
  <conditionalFormatting sqref="A227">
    <cfRule type="containsText" dxfId="4" priority="1710" operator="containsText" text="등록">
      <formula>NOT(ISERROR(SEARCH(("등록"),(A227))))</formula>
    </cfRule>
  </conditionalFormatting>
  <conditionalFormatting sqref="A228">
    <cfRule type="containsText" dxfId="0" priority="1711" operator="containsText" text="거부">
      <formula>NOT(ISERROR(SEARCH(("거부"),(A228))))</formula>
    </cfRule>
  </conditionalFormatting>
  <conditionalFormatting sqref="A228">
    <cfRule type="containsText" dxfId="1" priority="1712" operator="containsText" text="리턴">
      <formula>NOT(ISERROR(SEARCH(("리턴"),(A228))))</formula>
    </cfRule>
  </conditionalFormatting>
  <conditionalFormatting sqref="A228">
    <cfRule type="containsText" dxfId="2" priority="1713" operator="containsText" text="실패">
      <formula>NOT(ISERROR(SEARCH(("실패"),(A228))))</formula>
    </cfRule>
  </conditionalFormatting>
  <conditionalFormatting sqref="A228">
    <cfRule type="containsText" dxfId="3" priority="1714" operator="containsText" text="관리">
      <formula>NOT(ISERROR(SEARCH(("관리"),(A228))))</formula>
    </cfRule>
  </conditionalFormatting>
  <conditionalFormatting sqref="A228">
    <cfRule type="containsText" dxfId="4" priority="1715" operator="containsText" text="등록">
      <formula>NOT(ISERROR(SEARCH(("등록"),(A228))))</formula>
    </cfRule>
  </conditionalFormatting>
  <conditionalFormatting sqref="J102">
    <cfRule type="containsText" dxfId="0" priority="1716" operator="containsText" text="거부">
      <formula>NOT(ISERROR(SEARCH(("거부"),(J102))))</formula>
    </cfRule>
  </conditionalFormatting>
  <conditionalFormatting sqref="J102">
    <cfRule type="containsText" dxfId="1" priority="1717" operator="containsText" text="리턴">
      <formula>NOT(ISERROR(SEARCH(("리턴"),(J102))))</formula>
    </cfRule>
  </conditionalFormatting>
  <conditionalFormatting sqref="J102">
    <cfRule type="containsText" dxfId="2" priority="1718" operator="containsText" text="실패">
      <formula>NOT(ISERROR(SEARCH(("실패"),(J102))))</formula>
    </cfRule>
  </conditionalFormatting>
  <conditionalFormatting sqref="J102">
    <cfRule type="containsText" dxfId="3" priority="1719" operator="containsText" text="관리">
      <formula>NOT(ISERROR(SEARCH(("관리"),(J102))))</formula>
    </cfRule>
  </conditionalFormatting>
  <conditionalFormatting sqref="J102">
    <cfRule type="containsText" dxfId="4" priority="1720" operator="containsText" text="등록">
      <formula>NOT(ISERROR(SEARCH(("등록"),(J102))))</formula>
    </cfRule>
  </conditionalFormatting>
  <conditionalFormatting sqref="A102 A111:A114">
    <cfRule type="containsText" dxfId="0" priority="1721" operator="containsText" text="거부">
      <formula>NOT(ISERROR(SEARCH(("거부"),(A102))))</formula>
    </cfRule>
  </conditionalFormatting>
  <conditionalFormatting sqref="A102 A111:A114">
    <cfRule type="containsText" dxfId="1" priority="1722" operator="containsText" text="리턴">
      <formula>NOT(ISERROR(SEARCH(("리턴"),(A102))))</formula>
    </cfRule>
  </conditionalFormatting>
  <conditionalFormatting sqref="A102 A111:A114">
    <cfRule type="containsText" dxfId="2" priority="1723" operator="containsText" text="실패">
      <formula>NOT(ISERROR(SEARCH(("실패"),(A102))))</formula>
    </cfRule>
  </conditionalFormatting>
  <conditionalFormatting sqref="A102 A111:A114">
    <cfRule type="containsText" dxfId="3" priority="1724" operator="containsText" text="관리">
      <formula>NOT(ISERROR(SEARCH(("관리"),(A102))))</formula>
    </cfRule>
  </conditionalFormatting>
  <conditionalFormatting sqref="A102 A111:A114">
    <cfRule type="containsText" dxfId="4" priority="1725" operator="containsText" text="등록">
      <formula>NOT(ISERROR(SEARCH(("등록"),(A102))))</formula>
    </cfRule>
  </conditionalFormatting>
  <conditionalFormatting sqref="D110:D114">
    <cfRule type="containsText" dxfId="0" priority="1726" operator="containsText" text="거부">
      <formula>NOT(ISERROR(SEARCH(("거부"),(D110))))</formula>
    </cfRule>
  </conditionalFormatting>
  <conditionalFormatting sqref="D110:D114">
    <cfRule type="containsText" dxfId="1" priority="1727" operator="containsText" text="리턴">
      <formula>NOT(ISERROR(SEARCH(("리턴"),(D110))))</formula>
    </cfRule>
  </conditionalFormatting>
  <conditionalFormatting sqref="D110:D114">
    <cfRule type="containsText" dxfId="2" priority="1728" operator="containsText" text="실패">
      <formula>NOT(ISERROR(SEARCH(("실패"),(D110))))</formula>
    </cfRule>
  </conditionalFormatting>
  <conditionalFormatting sqref="D110:D114">
    <cfRule type="containsText" dxfId="3" priority="1729" operator="containsText" text="관리">
      <formula>NOT(ISERROR(SEARCH(("관리"),(D110))))</formula>
    </cfRule>
  </conditionalFormatting>
  <conditionalFormatting sqref="D110:D114">
    <cfRule type="containsText" dxfId="4" priority="1730" operator="containsText" text="등록">
      <formula>NOT(ISERROR(SEARCH(("등록"),(D110))))</formula>
    </cfRule>
  </conditionalFormatting>
  <conditionalFormatting sqref="J103:J105">
    <cfRule type="containsText" dxfId="0" priority="1731" operator="containsText" text="거부">
      <formula>NOT(ISERROR(SEARCH(("거부"),(J103))))</formula>
    </cfRule>
  </conditionalFormatting>
  <conditionalFormatting sqref="J103:J105">
    <cfRule type="containsText" dxfId="1" priority="1732" operator="containsText" text="리턴">
      <formula>NOT(ISERROR(SEARCH(("리턴"),(J103))))</formula>
    </cfRule>
  </conditionalFormatting>
  <conditionalFormatting sqref="J103:J105">
    <cfRule type="containsText" dxfId="2" priority="1733" operator="containsText" text="실패">
      <formula>NOT(ISERROR(SEARCH(("실패"),(J103))))</formula>
    </cfRule>
  </conditionalFormatting>
  <conditionalFormatting sqref="J103:J105">
    <cfRule type="containsText" dxfId="3" priority="1734" operator="containsText" text="관리">
      <formula>NOT(ISERROR(SEARCH(("관리"),(J103))))</formula>
    </cfRule>
  </conditionalFormatting>
  <conditionalFormatting sqref="J103:J105">
    <cfRule type="containsText" dxfId="4" priority="1735" operator="containsText" text="등록">
      <formula>NOT(ISERROR(SEARCH(("등록"),(J103))))</formula>
    </cfRule>
  </conditionalFormatting>
  <conditionalFormatting sqref="A103:A105">
    <cfRule type="containsText" dxfId="0" priority="1736" operator="containsText" text="거부">
      <formula>NOT(ISERROR(SEARCH(("거부"),(A103))))</formula>
    </cfRule>
  </conditionalFormatting>
  <conditionalFormatting sqref="A103:A105">
    <cfRule type="containsText" dxfId="1" priority="1737" operator="containsText" text="리턴">
      <formula>NOT(ISERROR(SEARCH(("리턴"),(A103))))</formula>
    </cfRule>
  </conditionalFormatting>
  <conditionalFormatting sqref="A103:A105">
    <cfRule type="containsText" dxfId="2" priority="1738" operator="containsText" text="실패">
      <formula>NOT(ISERROR(SEARCH(("실패"),(A103))))</formula>
    </cfRule>
  </conditionalFormatting>
  <conditionalFormatting sqref="A103:A105">
    <cfRule type="containsText" dxfId="3" priority="1739" operator="containsText" text="관리">
      <formula>NOT(ISERROR(SEARCH(("관리"),(A103))))</formula>
    </cfRule>
  </conditionalFormatting>
  <conditionalFormatting sqref="A103:A105">
    <cfRule type="containsText" dxfId="4" priority="1740" operator="containsText" text="등록">
      <formula>NOT(ISERROR(SEARCH(("등록"),(A103))))</formula>
    </cfRule>
  </conditionalFormatting>
  <conditionalFormatting sqref="J105">
    <cfRule type="containsText" dxfId="0" priority="1741" operator="containsText" text="거부">
      <formula>NOT(ISERROR(SEARCH(("거부"),(J105))))</formula>
    </cfRule>
  </conditionalFormatting>
  <conditionalFormatting sqref="J105">
    <cfRule type="containsText" dxfId="1" priority="1742" operator="containsText" text="리턴">
      <formula>NOT(ISERROR(SEARCH(("리턴"),(J105))))</formula>
    </cfRule>
  </conditionalFormatting>
  <conditionalFormatting sqref="J105">
    <cfRule type="containsText" dxfId="2" priority="1743" operator="containsText" text="실패">
      <formula>NOT(ISERROR(SEARCH(("실패"),(J105))))</formula>
    </cfRule>
  </conditionalFormatting>
  <conditionalFormatting sqref="J105">
    <cfRule type="containsText" dxfId="3" priority="1744" operator="containsText" text="관리">
      <formula>NOT(ISERROR(SEARCH(("관리"),(J105))))</formula>
    </cfRule>
  </conditionalFormatting>
  <conditionalFormatting sqref="J105">
    <cfRule type="containsText" dxfId="4" priority="1745" operator="containsText" text="등록">
      <formula>NOT(ISERROR(SEARCH(("등록"),(J105))))</formula>
    </cfRule>
  </conditionalFormatting>
  <conditionalFormatting sqref="G105">
    <cfRule type="containsText" dxfId="0" priority="1746" operator="containsText" text="거부">
      <formula>NOT(ISERROR(SEARCH(("거부"),(G105))))</formula>
    </cfRule>
  </conditionalFormatting>
  <conditionalFormatting sqref="G105">
    <cfRule type="containsText" dxfId="1" priority="1747" operator="containsText" text="리턴">
      <formula>NOT(ISERROR(SEARCH(("리턴"),(G105))))</formula>
    </cfRule>
  </conditionalFormatting>
  <conditionalFormatting sqref="G105">
    <cfRule type="containsText" dxfId="2" priority="1748" operator="containsText" text="실패">
      <formula>NOT(ISERROR(SEARCH(("실패"),(G105))))</formula>
    </cfRule>
  </conditionalFormatting>
  <conditionalFormatting sqref="G105">
    <cfRule type="containsText" dxfId="3" priority="1749" operator="containsText" text="관리">
      <formula>NOT(ISERROR(SEARCH(("관리"),(G105))))</formula>
    </cfRule>
  </conditionalFormatting>
  <conditionalFormatting sqref="G105">
    <cfRule type="containsText" dxfId="4" priority="1750" operator="containsText" text="등록">
      <formula>NOT(ISERROR(SEARCH(("등록"),(G105))))</formula>
    </cfRule>
  </conditionalFormatting>
  <conditionalFormatting sqref="H105">
    <cfRule type="containsText" dxfId="0" priority="1751" operator="containsText" text="거부">
      <formula>NOT(ISERROR(SEARCH(("거부"),(H105))))</formula>
    </cfRule>
  </conditionalFormatting>
  <conditionalFormatting sqref="H105">
    <cfRule type="containsText" dxfId="1" priority="1752" operator="containsText" text="리턴">
      <formula>NOT(ISERROR(SEARCH(("리턴"),(H105))))</formula>
    </cfRule>
  </conditionalFormatting>
  <conditionalFormatting sqref="H105">
    <cfRule type="containsText" dxfId="2" priority="1753" operator="containsText" text="실패">
      <formula>NOT(ISERROR(SEARCH(("실패"),(H105))))</formula>
    </cfRule>
  </conditionalFormatting>
  <conditionalFormatting sqref="H105">
    <cfRule type="containsText" dxfId="3" priority="1754" operator="containsText" text="관리">
      <formula>NOT(ISERROR(SEARCH(("관리"),(H105))))</formula>
    </cfRule>
  </conditionalFormatting>
  <conditionalFormatting sqref="H105">
    <cfRule type="containsText" dxfId="4" priority="1755" operator="containsText" text="등록">
      <formula>NOT(ISERROR(SEARCH(("등록"),(H105))))</formula>
    </cfRule>
  </conditionalFormatting>
  <conditionalFormatting sqref="E105">
    <cfRule type="containsText" dxfId="0" priority="1756" operator="containsText" text="거부">
      <formula>NOT(ISERROR(SEARCH(("거부"),(E105))))</formula>
    </cfRule>
  </conditionalFormatting>
  <conditionalFormatting sqref="E105">
    <cfRule type="containsText" dxfId="1" priority="1757" operator="containsText" text="리턴">
      <formula>NOT(ISERROR(SEARCH(("리턴"),(E105))))</formula>
    </cfRule>
  </conditionalFormatting>
  <conditionalFormatting sqref="E105">
    <cfRule type="containsText" dxfId="2" priority="1758" operator="containsText" text="실패">
      <formula>NOT(ISERROR(SEARCH(("실패"),(E105))))</formula>
    </cfRule>
  </conditionalFormatting>
  <conditionalFormatting sqref="E105">
    <cfRule type="containsText" dxfId="3" priority="1759" operator="containsText" text="관리">
      <formula>NOT(ISERROR(SEARCH(("관리"),(E105))))</formula>
    </cfRule>
  </conditionalFormatting>
  <conditionalFormatting sqref="E105">
    <cfRule type="containsText" dxfId="4" priority="1760" operator="containsText" text="등록">
      <formula>NOT(ISERROR(SEARCH(("등록"),(E105))))</formula>
    </cfRule>
  </conditionalFormatting>
  <conditionalFormatting sqref="A105">
    <cfRule type="containsText" dxfId="0" priority="1761" operator="containsText" text="거부">
      <formula>NOT(ISERROR(SEARCH(("거부"),(A105))))</formula>
    </cfRule>
  </conditionalFormatting>
  <conditionalFormatting sqref="A105">
    <cfRule type="containsText" dxfId="1" priority="1762" operator="containsText" text="리턴">
      <formula>NOT(ISERROR(SEARCH(("리턴"),(A105))))</formula>
    </cfRule>
  </conditionalFormatting>
  <conditionalFormatting sqref="A105">
    <cfRule type="containsText" dxfId="2" priority="1763" operator="containsText" text="실패">
      <formula>NOT(ISERROR(SEARCH(("실패"),(A105))))</formula>
    </cfRule>
  </conditionalFormatting>
  <conditionalFormatting sqref="A105">
    <cfRule type="containsText" dxfId="3" priority="1764" operator="containsText" text="관리">
      <formula>NOT(ISERROR(SEARCH(("관리"),(A105))))</formula>
    </cfRule>
  </conditionalFormatting>
  <conditionalFormatting sqref="A105">
    <cfRule type="containsText" dxfId="4" priority="1765" operator="containsText" text="등록">
      <formula>NOT(ISERROR(SEARCH(("등록"),(A105))))</formula>
    </cfRule>
  </conditionalFormatting>
  <conditionalFormatting sqref="H106">
    <cfRule type="containsText" dxfId="0" priority="1766" operator="containsText" text="거부">
      <formula>NOT(ISERROR(SEARCH(("거부"),(H106))))</formula>
    </cfRule>
  </conditionalFormatting>
  <conditionalFormatting sqref="H106">
    <cfRule type="containsText" dxfId="1" priority="1767" operator="containsText" text="리턴">
      <formula>NOT(ISERROR(SEARCH(("리턴"),(H106))))</formula>
    </cfRule>
  </conditionalFormatting>
  <conditionalFormatting sqref="H106">
    <cfRule type="containsText" dxfId="2" priority="1768" operator="containsText" text="실패">
      <formula>NOT(ISERROR(SEARCH(("실패"),(H106))))</formula>
    </cfRule>
  </conditionalFormatting>
  <conditionalFormatting sqref="H106">
    <cfRule type="containsText" dxfId="3" priority="1769" operator="containsText" text="관리">
      <formula>NOT(ISERROR(SEARCH(("관리"),(H106))))</formula>
    </cfRule>
  </conditionalFormatting>
  <conditionalFormatting sqref="H106">
    <cfRule type="containsText" dxfId="4" priority="1770" operator="containsText" text="등록">
      <formula>NOT(ISERROR(SEARCH(("등록"),(H106))))</formula>
    </cfRule>
  </conditionalFormatting>
  <conditionalFormatting sqref="J106">
    <cfRule type="containsText" dxfId="0" priority="1771" operator="containsText" text="거부">
      <formula>NOT(ISERROR(SEARCH(("거부"),(J106))))</formula>
    </cfRule>
  </conditionalFormatting>
  <conditionalFormatting sqref="J106">
    <cfRule type="containsText" dxfId="1" priority="1772" operator="containsText" text="리턴">
      <formula>NOT(ISERROR(SEARCH(("리턴"),(J106))))</formula>
    </cfRule>
  </conditionalFormatting>
  <conditionalFormatting sqref="J106">
    <cfRule type="containsText" dxfId="2" priority="1773" operator="containsText" text="실패">
      <formula>NOT(ISERROR(SEARCH(("실패"),(J106))))</formula>
    </cfRule>
  </conditionalFormatting>
  <conditionalFormatting sqref="J106">
    <cfRule type="containsText" dxfId="3" priority="1774" operator="containsText" text="관리">
      <formula>NOT(ISERROR(SEARCH(("관리"),(J106))))</formula>
    </cfRule>
  </conditionalFormatting>
  <conditionalFormatting sqref="J106">
    <cfRule type="containsText" dxfId="4" priority="1775" operator="containsText" text="등록">
      <formula>NOT(ISERROR(SEARCH(("등록"),(J106))))</formula>
    </cfRule>
  </conditionalFormatting>
  <conditionalFormatting sqref="A106">
    <cfRule type="containsText" dxfId="0" priority="1776" operator="containsText" text="거부">
      <formula>NOT(ISERROR(SEARCH(("거부"),(A106))))</formula>
    </cfRule>
  </conditionalFormatting>
  <conditionalFormatting sqref="A106">
    <cfRule type="containsText" dxfId="1" priority="1777" operator="containsText" text="리턴">
      <formula>NOT(ISERROR(SEARCH(("리턴"),(A106))))</formula>
    </cfRule>
  </conditionalFormatting>
  <conditionalFormatting sqref="A106">
    <cfRule type="containsText" dxfId="2" priority="1778" operator="containsText" text="실패">
      <formula>NOT(ISERROR(SEARCH(("실패"),(A106))))</formula>
    </cfRule>
  </conditionalFormatting>
  <conditionalFormatting sqref="A106">
    <cfRule type="containsText" dxfId="3" priority="1779" operator="containsText" text="관리">
      <formula>NOT(ISERROR(SEARCH(("관리"),(A106))))</formula>
    </cfRule>
  </conditionalFormatting>
  <conditionalFormatting sqref="A106">
    <cfRule type="containsText" dxfId="4" priority="1780" operator="containsText" text="등록">
      <formula>NOT(ISERROR(SEARCH(("등록"),(A106))))</formula>
    </cfRule>
  </conditionalFormatting>
  <conditionalFormatting sqref="E106">
    <cfRule type="containsText" dxfId="0" priority="1781" operator="containsText" text="거부">
      <formula>NOT(ISERROR(SEARCH(("거부"),(E106))))</formula>
    </cfRule>
  </conditionalFormatting>
  <conditionalFormatting sqref="E106">
    <cfRule type="containsText" dxfId="1" priority="1782" operator="containsText" text="리턴">
      <formula>NOT(ISERROR(SEARCH(("리턴"),(E106))))</formula>
    </cfRule>
  </conditionalFormatting>
  <conditionalFormatting sqref="E106">
    <cfRule type="containsText" dxfId="2" priority="1783" operator="containsText" text="실패">
      <formula>NOT(ISERROR(SEARCH(("실패"),(E106))))</formula>
    </cfRule>
  </conditionalFormatting>
  <conditionalFormatting sqref="E106">
    <cfRule type="containsText" dxfId="3" priority="1784" operator="containsText" text="관리">
      <formula>NOT(ISERROR(SEARCH(("관리"),(E106))))</formula>
    </cfRule>
  </conditionalFormatting>
  <conditionalFormatting sqref="E106">
    <cfRule type="containsText" dxfId="4" priority="1785" operator="containsText" text="등록">
      <formula>NOT(ISERROR(SEARCH(("등록"),(E106))))</formula>
    </cfRule>
  </conditionalFormatting>
  <conditionalFormatting sqref="D106">
    <cfRule type="containsText" dxfId="0" priority="1786" operator="containsText" text="거부">
      <formula>NOT(ISERROR(SEARCH(("거부"),(D106))))</formula>
    </cfRule>
  </conditionalFormatting>
  <conditionalFormatting sqref="D106">
    <cfRule type="containsText" dxfId="1" priority="1787" operator="containsText" text="리턴">
      <formula>NOT(ISERROR(SEARCH(("리턴"),(D106))))</formula>
    </cfRule>
  </conditionalFormatting>
  <conditionalFormatting sqref="D106">
    <cfRule type="containsText" dxfId="2" priority="1788" operator="containsText" text="실패">
      <formula>NOT(ISERROR(SEARCH(("실패"),(D106))))</formula>
    </cfRule>
  </conditionalFormatting>
  <conditionalFormatting sqref="D106">
    <cfRule type="containsText" dxfId="3" priority="1789" operator="containsText" text="관리">
      <formula>NOT(ISERROR(SEARCH(("관리"),(D106))))</formula>
    </cfRule>
  </conditionalFormatting>
  <conditionalFormatting sqref="D106">
    <cfRule type="containsText" dxfId="4" priority="1790" operator="containsText" text="등록">
      <formula>NOT(ISERROR(SEARCH(("등록"),(D106))))</formula>
    </cfRule>
  </conditionalFormatting>
  <conditionalFormatting sqref="D105">
    <cfRule type="containsText" dxfId="0" priority="1791" operator="containsText" text="거부">
      <formula>NOT(ISERROR(SEARCH(("거부"),(D105))))</formula>
    </cfRule>
  </conditionalFormatting>
  <conditionalFormatting sqref="D105">
    <cfRule type="containsText" dxfId="1" priority="1792" operator="containsText" text="리턴">
      <formula>NOT(ISERROR(SEARCH(("리턴"),(D105))))</formula>
    </cfRule>
  </conditionalFormatting>
  <conditionalFormatting sqref="D105">
    <cfRule type="containsText" dxfId="2" priority="1793" operator="containsText" text="실패">
      <formula>NOT(ISERROR(SEARCH(("실패"),(D105))))</formula>
    </cfRule>
  </conditionalFormatting>
  <conditionalFormatting sqref="D105">
    <cfRule type="containsText" dxfId="3" priority="1794" operator="containsText" text="관리">
      <formula>NOT(ISERROR(SEARCH(("관리"),(D105))))</formula>
    </cfRule>
  </conditionalFormatting>
  <conditionalFormatting sqref="D105">
    <cfRule type="containsText" dxfId="4" priority="1795" operator="containsText" text="등록">
      <formula>NOT(ISERROR(SEARCH(("등록"),(D105))))</formula>
    </cfRule>
  </conditionalFormatting>
  <conditionalFormatting sqref="G107">
    <cfRule type="containsText" dxfId="0" priority="1796" operator="containsText" text="거부">
      <formula>NOT(ISERROR(SEARCH(("거부"),(G107))))</formula>
    </cfRule>
  </conditionalFormatting>
  <conditionalFormatting sqref="G107">
    <cfRule type="containsText" dxfId="1" priority="1797" operator="containsText" text="리턴">
      <formula>NOT(ISERROR(SEARCH(("리턴"),(G107))))</formula>
    </cfRule>
  </conditionalFormatting>
  <conditionalFormatting sqref="G107">
    <cfRule type="containsText" dxfId="2" priority="1798" operator="containsText" text="실패">
      <formula>NOT(ISERROR(SEARCH(("실패"),(G107))))</formula>
    </cfRule>
  </conditionalFormatting>
  <conditionalFormatting sqref="G107">
    <cfRule type="containsText" dxfId="3" priority="1799" operator="containsText" text="관리">
      <formula>NOT(ISERROR(SEARCH(("관리"),(G107))))</formula>
    </cfRule>
  </conditionalFormatting>
  <conditionalFormatting sqref="G107">
    <cfRule type="containsText" dxfId="4" priority="1800" operator="containsText" text="등록">
      <formula>NOT(ISERROR(SEARCH(("등록"),(G107))))</formula>
    </cfRule>
  </conditionalFormatting>
  <conditionalFormatting sqref="J108">
    <cfRule type="containsText" dxfId="0" priority="1801" operator="containsText" text="거부">
      <formula>NOT(ISERROR(SEARCH(("거부"),(J108))))</formula>
    </cfRule>
  </conditionalFormatting>
  <conditionalFormatting sqref="J108">
    <cfRule type="containsText" dxfId="1" priority="1802" operator="containsText" text="리턴">
      <formula>NOT(ISERROR(SEARCH(("리턴"),(J108))))</formula>
    </cfRule>
  </conditionalFormatting>
  <conditionalFormatting sqref="J108">
    <cfRule type="containsText" dxfId="2" priority="1803" operator="containsText" text="실패">
      <formula>NOT(ISERROR(SEARCH(("실패"),(J108))))</formula>
    </cfRule>
  </conditionalFormatting>
  <conditionalFormatting sqref="J108">
    <cfRule type="containsText" dxfId="3" priority="1804" operator="containsText" text="관리">
      <formula>NOT(ISERROR(SEARCH(("관리"),(J108))))</formula>
    </cfRule>
  </conditionalFormatting>
  <conditionalFormatting sqref="J108">
    <cfRule type="containsText" dxfId="4" priority="1805" operator="containsText" text="등록">
      <formula>NOT(ISERROR(SEARCH(("등록"),(J108))))</formula>
    </cfRule>
  </conditionalFormatting>
  <conditionalFormatting sqref="E111">
    <cfRule type="containsText" dxfId="0" priority="1806" operator="containsText" text="거부">
      <formula>NOT(ISERROR(SEARCH(("거부"),(E111))))</formula>
    </cfRule>
  </conditionalFormatting>
  <conditionalFormatting sqref="E111">
    <cfRule type="containsText" dxfId="1" priority="1807" operator="containsText" text="리턴">
      <formula>NOT(ISERROR(SEARCH(("리턴"),(E111))))</formula>
    </cfRule>
  </conditionalFormatting>
  <conditionalFormatting sqref="E111">
    <cfRule type="containsText" dxfId="2" priority="1808" operator="containsText" text="실패">
      <formula>NOT(ISERROR(SEARCH(("실패"),(E111))))</formula>
    </cfRule>
  </conditionalFormatting>
  <conditionalFormatting sqref="E111">
    <cfRule type="containsText" dxfId="3" priority="1809" operator="containsText" text="관리">
      <formula>NOT(ISERROR(SEARCH(("관리"),(E111))))</formula>
    </cfRule>
  </conditionalFormatting>
  <conditionalFormatting sqref="E111">
    <cfRule type="containsText" dxfId="4" priority="1810" operator="containsText" text="등록">
      <formula>NOT(ISERROR(SEARCH(("등록"),(E111))))</formula>
    </cfRule>
  </conditionalFormatting>
  <conditionalFormatting sqref="H111">
    <cfRule type="containsText" dxfId="0" priority="1811" operator="containsText" text="거부">
      <formula>NOT(ISERROR(SEARCH(("거부"),(H111))))</formula>
    </cfRule>
  </conditionalFormatting>
  <conditionalFormatting sqref="H111">
    <cfRule type="containsText" dxfId="1" priority="1812" operator="containsText" text="리턴">
      <formula>NOT(ISERROR(SEARCH(("리턴"),(H111))))</formula>
    </cfRule>
  </conditionalFormatting>
  <conditionalFormatting sqref="H111">
    <cfRule type="containsText" dxfId="2" priority="1813" operator="containsText" text="실패">
      <formula>NOT(ISERROR(SEARCH(("실패"),(H111))))</formula>
    </cfRule>
  </conditionalFormatting>
  <conditionalFormatting sqref="H111">
    <cfRule type="containsText" dxfId="3" priority="1814" operator="containsText" text="관리">
      <formula>NOT(ISERROR(SEARCH(("관리"),(H111))))</formula>
    </cfRule>
  </conditionalFormatting>
  <conditionalFormatting sqref="H111">
    <cfRule type="containsText" dxfId="4" priority="1815" operator="containsText" text="등록">
      <formula>NOT(ISERROR(SEARCH(("등록"),(H111))))</formula>
    </cfRule>
  </conditionalFormatting>
  <conditionalFormatting sqref="G113">
    <cfRule type="containsText" dxfId="0" priority="1816" operator="containsText" text="거부">
      <formula>NOT(ISERROR(SEARCH(("거부"),(G113))))</formula>
    </cfRule>
  </conditionalFormatting>
  <conditionalFormatting sqref="G113">
    <cfRule type="containsText" dxfId="1" priority="1817" operator="containsText" text="리턴">
      <formula>NOT(ISERROR(SEARCH(("리턴"),(G113))))</formula>
    </cfRule>
  </conditionalFormatting>
  <conditionalFormatting sqref="G113">
    <cfRule type="containsText" dxfId="2" priority="1818" operator="containsText" text="실패">
      <formula>NOT(ISERROR(SEARCH(("실패"),(G113))))</formula>
    </cfRule>
  </conditionalFormatting>
  <conditionalFormatting sqref="G113">
    <cfRule type="containsText" dxfId="3" priority="1819" operator="containsText" text="관리">
      <formula>NOT(ISERROR(SEARCH(("관리"),(G113))))</formula>
    </cfRule>
  </conditionalFormatting>
  <conditionalFormatting sqref="G113">
    <cfRule type="containsText" dxfId="4" priority="1820" operator="containsText" text="등록">
      <formula>NOT(ISERROR(SEARCH(("등록"),(G113))))</formula>
    </cfRule>
  </conditionalFormatting>
  <conditionalFormatting sqref="A118">
    <cfRule type="containsText" dxfId="0" priority="1821" operator="containsText" text="거부">
      <formula>NOT(ISERROR(SEARCH(("거부"),(A118))))</formula>
    </cfRule>
  </conditionalFormatting>
  <conditionalFormatting sqref="A118">
    <cfRule type="containsText" dxfId="1" priority="1822" operator="containsText" text="리턴">
      <formula>NOT(ISERROR(SEARCH(("리턴"),(A118))))</formula>
    </cfRule>
  </conditionalFormatting>
  <conditionalFormatting sqref="A118">
    <cfRule type="containsText" dxfId="2" priority="1823" operator="containsText" text="실패">
      <formula>NOT(ISERROR(SEARCH(("실패"),(A118))))</formula>
    </cfRule>
  </conditionalFormatting>
  <conditionalFormatting sqref="A118">
    <cfRule type="containsText" dxfId="3" priority="1824" operator="containsText" text="관리">
      <formula>NOT(ISERROR(SEARCH(("관리"),(A118))))</formula>
    </cfRule>
  </conditionalFormatting>
  <conditionalFormatting sqref="A118">
    <cfRule type="containsText" dxfId="4" priority="1825" operator="containsText" text="등록">
      <formula>NOT(ISERROR(SEARCH(("등록"),(A118))))</formula>
    </cfRule>
  </conditionalFormatting>
  <conditionalFormatting sqref="J118">
    <cfRule type="containsText" dxfId="0" priority="1826" operator="containsText" text="거부">
      <formula>NOT(ISERROR(SEARCH(("거부"),(J118))))</formula>
    </cfRule>
  </conditionalFormatting>
  <conditionalFormatting sqref="J118">
    <cfRule type="containsText" dxfId="1" priority="1827" operator="containsText" text="리턴">
      <formula>NOT(ISERROR(SEARCH(("리턴"),(J118))))</formula>
    </cfRule>
  </conditionalFormatting>
  <conditionalFormatting sqref="J118">
    <cfRule type="containsText" dxfId="2" priority="1828" operator="containsText" text="실패">
      <formula>NOT(ISERROR(SEARCH(("실패"),(J118))))</formula>
    </cfRule>
  </conditionalFormatting>
  <conditionalFormatting sqref="J118">
    <cfRule type="containsText" dxfId="3" priority="1829" operator="containsText" text="관리">
      <formula>NOT(ISERROR(SEARCH(("관리"),(J118))))</formula>
    </cfRule>
  </conditionalFormatting>
  <conditionalFormatting sqref="J118">
    <cfRule type="containsText" dxfId="4" priority="1830" operator="containsText" text="등록">
      <formula>NOT(ISERROR(SEARCH(("등록"),(J118))))</formula>
    </cfRule>
  </conditionalFormatting>
  <conditionalFormatting sqref="A119">
    <cfRule type="containsText" dxfId="0" priority="1831" operator="containsText" text="거부">
      <formula>NOT(ISERROR(SEARCH(("거부"),(A119))))</formula>
    </cfRule>
  </conditionalFormatting>
  <conditionalFormatting sqref="A119">
    <cfRule type="containsText" dxfId="1" priority="1832" operator="containsText" text="리턴">
      <formula>NOT(ISERROR(SEARCH(("리턴"),(A119))))</formula>
    </cfRule>
  </conditionalFormatting>
  <conditionalFormatting sqref="A119">
    <cfRule type="containsText" dxfId="2" priority="1833" operator="containsText" text="실패">
      <formula>NOT(ISERROR(SEARCH(("실패"),(A119))))</formula>
    </cfRule>
  </conditionalFormatting>
  <conditionalFormatting sqref="A119">
    <cfRule type="containsText" dxfId="3" priority="1834" operator="containsText" text="관리">
      <formula>NOT(ISERROR(SEARCH(("관리"),(A119))))</formula>
    </cfRule>
  </conditionalFormatting>
  <conditionalFormatting sqref="A119">
    <cfRule type="containsText" dxfId="4" priority="1835" operator="containsText" text="등록">
      <formula>NOT(ISERROR(SEARCH(("등록"),(A119))))</formula>
    </cfRule>
  </conditionalFormatting>
  <conditionalFormatting sqref="A397">
    <cfRule type="containsText" dxfId="0" priority="1836" operator="containsText" text="거부">
      <formula>NOT(ISERROR(SEARCH(("거부"),(A397))))</formula>
    </cfRule>
  </conditionalFormatting>
  <conditionalFormatting sqref="A397">
    <cfRule type="containsText" dxfId="1" priority="1837" operator="containsText" text="리턴">
      <formula>NOT(ISERROR(SEARCH(("리턴"),(A397))))</formula>
    </cfRule>
  </conditionalFormatting>
  <conditionalFormatting sqref="A397">
    <cfRule type="containsText" dxfId="2" priority="1838" operator="containsText" text="실패">
      <formula>NOT(ISERROR(SEARCH(("실패"),(A397))))</formula>
    </cfRule>
  </conditionalFormatting>
  <conditionalFormatting sqref="A397">
    <cfRule type="containsText" dxfId="3" priority="1839" operator="containsText" text="관리">
      <formula>NOT(ISERROR(SEARCH(("관리"),(A397))))</formula>
    </cfRule>
  </conditionalFormatting>
  <conditionalFormatting sqref="A397">
    <cfRule type="containsText" dxfId="4" priority="1840" operator="containsText" text="등록">
      <formula>NOT(ISERROR(SEARCH(("등록"),(A397))))</formula>
    </cfRule>
  </conditionalFormatting>
  <conditionalFormatting sqref="D119:E119">
    <cfRule type="containsText" dxfId="0" priority="1841" operator="containsText" text="거부">
      <formula>NOT(ISERROR(SEARCH(("거부"),(D119))))</formula>
    </cfRule>
  </conditionalFormatting>
  <conditionalFormatting sqref="D119:E119">
    <cfRule type="containsText" dxfId="1" priority="1842" operator="containsText" text="리턴">
      <formula>NOT(ISERROR(SEARCH(("리턴"),(D119))))</formula>
    </cfRule>
  </conditionalFormatting>
  <conditionalFormatting sqref="D119:E119">
    <cfRule type="containsText" dxfId="2" priority="1843" operator="containsText" text="실패">
      <formula>NOT(ISERROR(SEARCH(("실패"),(D119))))</formula>
    </cfRule>
  </conditionalFormatting>
  <conditionalFormatting sqref="D119:E119">
    <cfRule type="containsText" dxfId="3" priority="1844" operator="containsText" text="관리">
      <formula>NOT(ISERROR(SEARCH(("관리"),(D119))))</formula>
    </cfRule>
  </conditionalFormatting>
  <conditionalFormatting sqref="D119:E119">
    <cfRule type="containsText" dxfId="4" priority="1845" operator="containsText" text="등록">
      <formula>NOT(ISERROR(SEARCH(("등록"),(D119))))</formula>
    </cfRule>
  </conditionalFormatting>
  <conditionalFormatting sqref="D123">
    <cfRule type="containsText" dxfId="0" priority="1846" operator="containsText" text="거부">
      <formula>NOT(ISERROR(SEARCH(("거부"),(D123))))</formula>
    </cfRule>
  </conditionalFormatting>
  <conditionalFormatting sqref="D123">
    <cfRule type="containsText" dxfId="1" priority="1847" operator="containsText" text="리턴">
      <formula>NOT(ISERROR(SEARCH(("리턴"),(D123))))</formula>
    </cfRule>
  </conditionalFormatting>
  <conditionalFormatting sqref="D123">
    <cfRule type="containsText" dxfId="2" priority="1848" operator="containsText" text="실패">
      <formula>NOT(ISERROR(SEARCH(("실패"),(D123))))</formula>
    </cfRule>
  </conditionalFormatting>
  <conditionalFormatting sqref="D123">
    <cfRule type="containsText" dxfId="3" priority="1849" operator="containsText" text="관리">
      <formula>NOT(ISERROR(SEARCH(("관리"),(D123))))</formula>
    </cfRule>
  </conditionalFormatting>
  <conditionalFormatting sqref="D123">
    <cfRule type="containsText" dxfId="4" priority="1850" operator="containsText" text="등록">
      <formula>NOT(ISERROR(SEARCH(("등록"),(D123))))</formula>
    </cfRule>
  </conditionalFormatting>
  <conditionalFormatting sqref="D124:E124">
    <cfRule type="containsText" dxfId="0" priority="1851" operator="containsText" text="거부">
      <formula>NOT(ISERROR(SEARCH(("거부"),(D124))))</formula>
    </cfRule>
  </conditionalFormatting>
  <conditionalFormatting sqref="D124:E124">
    <cfRule type="containsText" dxfId="1" priority="1852" operator="containsText" text="리턴">
      <formula>NOT(ISERROR(SEARCH(("리턴"),(D124))))</formula>
    </cfRule>
  </conditionalFormatting>
  <conditionalFormatting sqref="D124:E124">
    <cfRule type="containsText" dxfId="2" priority="1853" operator="containsText" text="실패">
      <formula>NOT(ISERROR(SEARCH(("실패"),(D124))))</formula>
    </cfRule>
  </conditionalFormatting>
  <conditionalFormatting sqref="D124:E124">
    <cfRule type="containsText" dxfId="3" priority="1854" operator="containsText" text="관리">
      <formula>NOT(ISERROR(SEARCH(("관리"),(D124))))</formula>
    </cfRule>
  </conditionalFormatting>
  <conditionalFormatting sqref="D124:E124">
    <cfRule type="containsText" dxfId="4" priority="1855" operator="containsText" text="등록">
      <formula>NOT(ISERROR(SEARCH(("등록"),(D124))))</formula>
    </cfRule>
  </conditionalFormatting>
  <conditionalFormatting sqref="E125">
    <cfRule type="containsText" dxfId="0" priority="1856" operator="containsText" text="거부">
      <formula>NOT(ISERROR(SEARCH(("거부"),(E125))))</formula>
    </cfRule>
  </conditionalFormatting>
  <conditionalFormatting sqref="E125">
    <cfRule type="containsText" dxfId="1" priority="1857" operator="containsText" text="리턴">
      <formula>NOT(ISERROR(SEARCH(("리턴"),(E125))))</formula>
    </cfRule>
  </conditionalFormatting>
  <conditionalFormatting sqref="E125">
    <cfRule type="containsText" dxfId="2" priority="1858" operator="containsText" text="실패">
      <formula>NOT(ISERROR(SEARCH(("실패"),(E125))))</formula>
    </cfRule>
  </conditionalFormatting>
  <conditionalFormatting sqref="E125">
    <cfRule type="containsText" dxfId="3" priority="1859" operator="containsText" text="관리">
      <formula>NOT(ISERROR(SEARCH(("관리"),(E125))))</formula>
    </cfRule>
  </conditionalFormatting>
  <conditionalFormatting sqref="E125">
    <cfRule type="containsText" dxfId="4" priority="1860" operator="containsText" text="등록">
      <formula>NOT(ISERROR(SEARCH(("등록"),(E125))))</formula>
    </cfRule>
  </conditionalFormatting>
  <conditionalFormatting sqref="D125">
    <cfRule type="containsText" dxfId="0" priority="1861" operator="containsText" text="거부">
      <formula>NOT(ISERROR(SEARCH(("거부"),(D125))))</formula>
    </cfRule>
  </conditionalFormatting>
  <conditionalFormatting sqref="D125">
    <cfRule type="containsText" dxfId="1" priority="1862" operator="containsText" text="리턴">
      <formula>NOT(ISERROR(SEARCH(("리턴"),(D125))))</formula>
    </cfRule>
  </conditionalFormatting>
  <conditionalFormatting sqref="D125">
    <cfRule type="containsText" dxfId="2" priority="1863" operator="containsText" text="실패">
      <formula>NOT(ISERROR(SEARCH(("실패"),(D125))))</formula>
    </cfRule>
  </conditionalFormatting>
  <conditionalFormatting sqref="D125">
    <cfRule type="containsText" dxfId="3" priority="1864" operator="containsText" text="관리">
      <formula>NOT(ISERROR(SEARCH(("관리"),(D125))))</formula>
    </cfRule>
  </conditionalFormatting>
  <conditionalFormatting sqref="D125">
    <cfRule type="containsText" dxfId="4" priority="1865" operator="containsText" text="등록">
      <formula>NOT(ISERROR(SEARCH(("등록"),(D125))))</formula>
    </cfRule>
  </conditionalFormatting>
  <conditionalFormatting sqref="A127">
    <cfRule type="containsText" dxfId="0" priority="1866" operator="containsText" text="거부">
      <formula>NOT(ISERROR(SEARCH(("거부"),(A127))))</formula>
    </cfRule>
  </conditionalFormatting>
  <conditionalFormatting sqref="A127">
    <cfRule type="containsText" dxfId="1" priority="1867" operator="containsText" text="리턴">
      <formula>NOT(ISERROR(SEARCH(("리턴"),(A127))))</formula>
    </cfRule>
  </conditionalFormatting>
  <conditionalFormatting sqref="A127">
    <cfRule type="containsText" dxfId="2" priority="1868" operator="containsText" text="실패">
      <formula>NOT(ISERROR(SEARCH(("실패"),(A127))))</formula>
    </cfRule>
  </conditionalFormatting>
  <conditionalFormatting sqref="A127">
    <cfRule type="containsText" dxfId="3" priority="1869" operator="containsText" text="관리">
      <formula>NOT(ISERROR(SEARCH(("관리"),(A127))))</formula>
    </cfRule>
  </conditionalFormatting>
  <conditionalFormatting sqref="A127">
    <cfRule type="containsText" dxfId="4" priority="1870" operator="containsText" text="등록">
      <formula>NOT(ISERROR(SEARCH(("등록"),(A127))))</formula>
    </cfRule>
  </conditionalFormatting>
  <conditionalFormatting sqref="G127">
    <cfRule type="containsText" dxfId="0" priority="1871" operator="containsText" text="거부">
      <formula>NOT(ISERROR(SEARCH(("거부"),(G127))))</formula>
    </cfRule>
  </conditionalFormatting>
  <conditionalFormatting sqref="G127">
    <cfRule type="containsText" dxfId="1" priority="1872" operator="containsText" text="리턴">
      <formula>NOT(ISERROR(SEARCH(("리턴"),(G127))))</formula>
    </cfRule>
  </conditionalFormatting>
  <conditionalFormatting sqref="G127">
    <cfRule type="containsText" dxfId="2" priority="1873" operator="containsText" text="실패">
      <formula>NOT(ISERROR(SEARCH(("실패"),(G127))))</formula>
    </cfRule>
  </conditionalFormatting>
  <conditionalFormatting sqref="G127">
    <cfRule type="containsText" dxfId="3" priority="1874" operator="containsText" text="관리">
      <formula>NOT(ISERROR(SEARCH(("관리"),(G127))))</formula>
    </cfRule>
  </conditionalFormatting>
  <conditionalFormatting sqref="G127">
    <cfRule type="containsText" dxfId="4" priority="1875" operator="containsText" text="등록">
      <formula>NOT(ISERROR(SEARCH(("등록"),(G127))))</formula>
    </cfRule>
  </conditionalFormatting>
  <conditionalFormatting sqref="H127">
    <cfRule type="containsText" dxfId="0" priority="1876" operator="containsText" text="거부">
      <formula>NOT(ISERROR(SEARCH(("거부"),(H127))))</formula>
    </cfRule>
  </conditionalFormatting>
  <conditionalFormatting sqref="H127">
    <cfRule type="containsText" dxfId="1" priority="1877" operator="containsText" text="리턴">
      <formula>NOT(ISERROR(SEARCH(("리턴"),(H127))))</formula>
    </cfRule>
  </conditionalFormatting>
  <conditionalFormatting sqref="H127">
    <cfRule type="containsText" dxfId="2" priority="1878" operator="containsText" text="실패">
      <formula>NOT(ISERROR(SEARCH(("실패"),(H127))))</formula>
    </cfRule>
  </conditionalFormatting>
  <conditionalFormatting sqref="H127">
    <cfRule type="containsText" dxfId="3" priority="1879" operator="containsText" text="관리">
      <formula>NOT(ISERROR(SEARCH(("관리"),(H127))))</formula>
    </cfRule>
  </conditionalFormatting>
  <conditionalFormatting sqref="H127">
    <cfRule type="containsText" dxfId="4" priority="1880" operator="containsText" text="등록">
      <formula>NOT(ISERROR(SEARCH(("등록"),(H127))))</formula>
    </cfRule>
  </conditionalFormatting>
  <conditionalFormatting sqref="E128">
    <cfRule type="containsText" dxfId="0" priority="1881" operator="containsText" text="거부">
      <formula>NOT(ISERROR(SEARCH(("거부"),(E128))))</formula>
    </cfRule>
  </conditionalFormatting>
  <conditionalFormatting sqref="E128">
    <cfRule type="containsText" dxfId="1" priority="1882" operator="containsText" text="리턴">
      <formula>NOT(ISERROR(SEARCH(("리턴"),(E128))))</formula>
    </cfRule>
  </conditionalFormatting>
  <conditionalFormatting sqref="E128">
    <cfRule type="containsText" dxfId="2" priority="1883" operator="containsText" text="실패">
      <formula>NOT(ISERROR(SEARCH(("실패"),(E128))))</formula>
    </cfRule>
  </conditionalFormatting>
  <conditionalFormatting sqref="E128">
    <cfRule type="containsText" dxfId="3" priority="1884" operator="containsText" text="관리">
      <formula>NOT(ISERROR(SEARCH(("관리"),(E128))))</formula>
    </cfRule>
  </conditionalFormatting>
  <conditionalFormatting sqref="E128">
    <cfRule type="containsText" dxfId="4" priority="1885" operator="containsText" text="등록">
      <formula>NOT(ISERROR(SEARCH(("등록"),(E128))))</formula>
    </cfRule>
  </conditionalFormatting>
  <conditionalFormatting sqref="D128">
    <cfRule type="containsText" dxfId="0" priority="1886" operator="containsText" text="거부">
      <formula>NOT(ISERROR(SEARCH(("거부"),(D128))))</formula>
    </cfRule>
  </conditionalFormatting>
  <conditionalFormatting sqref="D128">
    <cfRule type="containsText" dxfId="1" priority="1887" operator="containsText" text="리턴">
      <formula>NOT(ISERROR(SEARCH(("리턴"),(D128))))</formula>
    </cfRule>
  </conditionalFormatting>
  <conditionalFormatting sqref="D128">
    <cfRule type="containsText" dxfId="2" priority="1888" operator="containsText" text="실패">
      <formula>NOT(ISERROR(SEARCH(("실패"),(D128))))</formula>
    </cfRule>
  </conditionalFormatting>
  <conditionalFormatting sqref="D128">
    <cfRule type="containsText" dxfId="3" priority="1889" operator="containsText" text="관리">
      <formula>NOT(ISERROR(SEARCH(("관리"),(D128))))</formula>
    </cfRule>
  </conditionalFormatting>
  <conditionalFormatting sqref="D128">
    <cfRule type="containsText" dxfId="4" priority="1890" operator="containsText" text="등록">
      <formula>NOT(ISERROR(SEARCH(("등록"),(D128))))</formula>
    </cfRule>
  </conditionalFormatting>
  <conditionalFormatting sqref="D129">
    <cfRule type="containsText" dxfId="0" priority="1891" operator="containsText" text="거부">
      <formula>NOT(ISERROR(SEARCH(("거부"),(D129))))</formula>
    </cfRule>
  </conditionalFormatting>
  <conditionalFormatting sqref="D129">
    <cfRule type="containsText" dxfId="1" priority="1892" operator="containsText" text="리턴">
      <formula>NOT(ISERROR(SEARCH(("리턴"),(D129))))</formula>
    </cfRule>
  </conditionalFormatting>
  <conditionalFormatting sqref="D129">
    <cfRule type="containsText" dxfId="2" priority="1893" operator="containsText" text="실패">
      <formula>NOT(ISERROR(SEARCH(("실패"),(D129))))</formula>
    </cfRule>
  </conditionalFormatting>
  <conditionalFormatting sqref="D129">
    <cfRule type="containsText" dxfId="3" priority="1894" operator="containsText" text="관리">
      <formula>NOT(ISERROR(SEARCH(("관리"),(D129))))</formula>
    </cfRule>
  </conditionalFormatting>
  <conditionalFormatting sqref="D129">
    <cfRule type="containsText" dxfId="4" priority="1895" operator="containsText" text="등록">
      <formula>NOT(ISERROR(SEARCH(("등록"),(D129))))</formula>
    </cfRule>
  </conditionalFormatting>
  <conditionalFormatting sqref="D130">
    <cfRule type="containsText" dxfId="0" priority="1896" operator="containsText" text="거부">
      <formula>NOT(ISERROR(SEARCH(("거부"),(D130))))</formula>
    </cfRule>
  </conditionalFormatting>
  <conditionalFormatting sqref="D130">
    <cfRule type="containsText" dxfId="1" priority="1897" operator="containsText" text="리턴">
      <formula>NOT(ISERROR(SEARCH(("리턴"),(D130))))</formula>
    </cfRule>
  </conditionalFormatting>
  <conditionalFormatting sqref="D130">
    <cfRule type="containsText" dxfId="2" priority="1898" operator="containsText" text="실패">
      <formula>NOT(ISERROR(SEARCH(("실패"),(D130))))</formula>
    </cfRule>
  </conditionalFormatting>
  <conditionalFormatting sqref="D130">
    <cfRule type="containsText" dxfId="3" priority="1899" operator="containsText" text="관리">
      <formula>NOT(ISERROR(SEARCH(("관리"),(D130))))</formula>
    </cfRule>
  </conditionalFormatting>
  <conditionalFormatting sqref="D130">
    <cfRule type="containsText" dxfId="4" priority="1900" operator="containsText" text="등록">
      <formula>NOT(ISERROR(SEARCH(("등록"),(D130))))</formula>
    </cfRule>
  </conditionalFormatting>
  <conditionalFormatting sqref="D131">
    <cfRule type="containsText" dxfId="0" priority="1901" operator="containsText" text="거부">
      <formula>NOT(ISERROR(SEARCH(("거부"),(D131))))</formula>
    </cfRule>
  </conditionalFormatting>
  <conditionalFormatting sqref="D131">
    <cfRule type="containsText" dxfId="1" priority="1902" operator="containsText" text="리턴">
      <formula>NOT(ISERROR(SEARCH(("리턴"),(D131))))</formula>
    </cfRule>
  </conditionalFormatting>
  <conditionalFormatting sqref="D131">
    <cfRule type="containsText" dxfId="2" priority="1903" operator="containsText" text="실패">
      <formula>NOT(ISERROR(SEARCH(("실패"),(D131))))</formula>
    </cfRule>
  </conditionalFormatting>
  <conditionalFormatting sqref="D131">
    <cfRule type="containsText" dxfId="3" priority="1904" operator="containsText" text="관리">
      <formula>NOT(ISERROR(SEARCH(("관리"),(D131))))</formula>
    </cfRule>
  </conditionalFormatting>
  <conditionalFormatting sqref="D131">
    <cfRule type="containsText" dxfId="4" priority="1905" operator="containsText" text="등록">
      <formula>NOT(ISERROR(SEARCH(("등록"),(D131))))</formula>
    </cfRule>
  </conditionalFormatting>
  <conditionalFormatting sqref="A132">
    <cfRule type="containsText" dxfId="0" priority="1906" operator="containsText" text="거부">
      <formula>NOT(ISERROR(SEARCH(("거부"),(A132))))</formula>
    </cfRule>
  </conditionalFormatting>
  <conditionalFormatting sqref="A132">
    <cfRule type="containsText" dxfId="1" priority="1907" operator="containsText" text="리턴">
      <formula>NOT(ISERROR(SEARCH(("리턴"),(A132))))</formula>
    </cfRule>
  </conditionalFormatting>
  <conditionalFormatting sqref="A132">
    <cfRule type="containsText" dxfId="2" priority="1908" operator="containsText" text="실패">
      <formula>NOT(ISERROR(SEARCH(("실패"),(A132))))</formula>
    </cfRule>
  </conditionalFormatting>
  <conditionalFormatting sqref="A132">
    <cfRule type="containsText" dxfId="3" priority="1909" operator="containsText" text="관리">
      <formula>NOT(ISERROR(SEARCH(("관리"),(A132))))</formula>
    </cfRule>
  </conditionalFormatting>
  <conditionalFormatting sqref="A132">
    <cfRule type="containsText" dxfId="4" priority="1910" operator="containsText" text="등록">
      <formula>NOT(ISERROR(SEARCH(("등록"),(A132))))</formula>
    </cfRule>
  </conditionalFormatting>
  <conditionalFormatting sqref="D132">
    <cfRule type="containsText" dxfId="0" priority="1911" operator="containsText" text="거부">
      <formula>NOT(ISERROR(SEARCH(("거부"),(D132))))</formula>
    </cfRule>
  </conditionalFormatting>
  <conditionalFormatting sqref="D132">
    <cfRule type="containsText" dxfId="1" priority="1912" operator="containsText" text="리턴">
      <formula>NOT(ISERROR(SEARCH(("리턴"),(D132))))</formula>
    </cfRule>
  </conditionalFormatting>
  <conditionalFormatting sqref="D132">
    <cfRule type="containsText" dxfId="2" priority="1913" operator="containsText" text="실패">
      <formula>NOT(ISERROR(SEARCH(("실패"),(D132))))</formula>
    </cfRule>
  </conditionalFormatting>
  <conditionalFormatting sqref="D132">
    <cfRule type="containsText" dxfId="3" priority="1914" operator="containsText" text="관리">
      <formula>NOT(ISERROR(SEARCH(("관리"),(D132))))</formula>
    </cfRule>
  </conditionalFormatting>
  <conditionalFormatting sqref="D132">
    <cfRule type="containsText" dxfId="4" priority="1915" operator="containsText" text="등록">
      <formula>NOT(ISERROR(SEARCH(("등록"),(D132))))</formula>
    </cfRule>
  </conditionalFormatting>
  <conditionalFormatting sqref="G132">
    <cfRule type="containsText" dxfId="0" priority="1916" operator="containsText" text="거부">
      <formula>NOT(ISERROR(SEARCH(("거부"),(G132))))</formula>
    </cfRule>
  </conditionalFormatting>
  <conditionalFormatting sqref="G132">
    <cfRule type="containsText" dxfId="1" priority="1917" operator="containsText" text="리턴">
      <formula>NOT(ISERROR(SEARCH(("리턴"),(G132))))</formula>
    </cfRule>
  </conditionalFormatting>
  <conditionalFormatting sqref="G132">
    <cfRule type="containsText" dxfId="2" priority="1918" operator="containsText" text="실패">
      <formula>NOT(ISERROR(SEARCH(("실패"),(G132))))</formula>
    </cfRule>
  </conditionalFormatting>
  <conditionalFormatting sqref="G132">
    <cfRule type="containsText" dxfId="3" priority="1919" operator="containsText" text="관리">
      <formula>NOT(ISERROR(SEARCH(("관리"),(G132))))</formula>
    </cfRule>
  </conditionalFormatting>
  <conditionalFormatting sqref="G132">
    <cfRule type="containsText" dxfId="4" priority="1920" operator="containsText" text="등록">
      <formula>NOT(ISERROR(SEARCH(("등록"),(G132))))</formula>
    </cfRule>
  </conditionalFormatting>
  <conditionalFormatting sqref="H132">
    <cfRule type="containsText" dxfId="0" priority="1921" operator="containsText" text="거부">
      <formula>NOT(ISERROR(SEARCH(("거부"),(H132))))</formula>
    </cfRule>
  </conditionalFormatting>
  <conditionalFormatting sqref="H132">
    <cfRule type="containsText" dxfId="1" priority="1922" operator="containsText" text="리턴">
      <formula>NOT(ISERROR(SEARCH(("리턴"),(H132))))</formula>
    </cfRule>
  </conditionalFormatting>
  <conditionalFormatting sqref="H132">
    <cfRule type="containsText" dxfId="2" priority="1923" operator="containsText" text="실패">
      <formula>NOT(ISERROR(SEARCH(("실패"),(H132))))</formula>
    </cfRule>
  </conditionalFormatting>
  <conditionalFormatting sqref="H132">
    <cfRule type="containsText" dxfId="3" priority="1924" operator="containsText" text="관리">
      <formula>NOT(ISERROR(SEARCH(("관리"),(H132))))</formula>
    </cfRule>
  </conditionalFormatting>
  <conditionalFormatting sqref="H132">
    <cfRule type="containsText" dxfId="4" priority="1925" operator="containsText" text="등록">
      <formula>NOT(ISERROR(SEARCH(("등록"),(H132))))</formula>
    </cfRule>
  </conditionalFormatting>
  <conditionalFormatting sqref="E133">
    <cfRule type="containsText" dxfId="0" priority="1926" operator="containsText" text="거부">
      <formula>NOT(ISERROR(SEARCH(("거부"),(E133))))</formula>
    </cfRule>
  </conditionalFormatting>
  <conditionalFormatting sqref="E133">
    <cfRule type="containsText" dxfId="1" priority="1927" operator="containsText" text="리턴">
      <formula>NOT(ISERROR(SEARCH(("리턴"),(E133))))</formula>
    </cfRule>
  </conditionalFormatting>
  <conditionalFormatting sqref="E133">
    <cfRule type="containsText" dxfId="2" priority="1928" operator="containsText" text="실패">
      <formula>NOT(ISERROR(SEARCH(("실패"),(E133))))</formula>
    </cfRule>
  </conditionalFormatting>
  <conditionalFormatting sqref="E133">
    <cfRule type="containsText" dxfId="3" priority="1929" operator="containsText" text="관리">
      <formula>NOT(ISERROR(SEARCH(("관리"),(E133))))</formula>
    </cfRule>
  </conditionalFormatting>
  <conditionalFormatting sqref="E133">
    <cfRule type="containsText" dxfId="4" priority="1930" operator="containsText" text="등록">
      <formula>NOT(ISERROR(SEARCH(("등록"),(E133))))</formula>
    </cfRule>
  </conditionalFormatting>
  <conditionalFormatting sqref="D133">
    <cfRule type="containsText" dxfId="0" priority="1931" operator="containsText" text="거부">
      <formula>NOT(ISERROR(SEARCH(("거부"),(D133))))</formula>
    </cfRule>
  </conditionalFormatting>
  <conditionalFormatting sqref="D133">
    <cfRule type="containsText" dxfId="1" priority="1932" operator="containsText" text="리턴">
      <formula>NOT(ISERROR(SEARCH(("리턴"),(D133))))</formula>
    </cfRule>
  </conditionalFormatting>
  <conditionalFormatting sqref="D133">
    <cfRule type="containsText" dxfId="2" priority="1933" operator="containsText" text="실패">
      <formula>NOT(ISERROR(SEARCH(("실패"),(D133))))</formula>
    </cfRule>
  </conditionalFormatting>
  <conditionalFormatting sqref="D133">
    <cfRule type="containsText" dxfId="3" priority="1934" operator="containsText" text="관리">
      <formula>NOT(ISERROR(SEARCH(("관리"),(D133))))</formula>
    </cfRule>
  </conditionalFormatting>
  <conditionalFormatting sqref="D133">
    <cfRule type="containsText" dxfId="4" priority="1935" operator="containsText" text="등록">
      <formula>NOT(ISERROR(SEARCH(("등록"),(D133))))</formula>
    </cfRule>
  </conditionalFormatting>
  <conditionalFormatting sqref="A134">
    <cfRule type="containsText" dxfId="0" priority="1936" operator="containsText" text="거부">
      <formula>NOT(ISERROR(SEARCH(("거부"),(A134))))</formula>
    </cfRule>
  </conditionalFormatting>
  <conditionalFormatting sqref="A134">
    <cfRule type="containsText" dxfId="1" priority="1937" operator="containsText" text="리턴">
      <formula>NOT(ISERROR(SEARCH(("리턴"),(A134))))</formula>
    </cfRule>
  </conditionalFormatting>
  <conditionalFormatting sqref="A134">
    <cfRule type="containsText" dxfId="2" priority="1938" operator="containsText" text="실패">
      <formula>NOT(ISERROR(SEARCH(("실패"),(A134))))</formula>
    </cfRule>
  </conditionalFormatting>
  <conditionalFormatting sqref="A134">
    <cfRule type="containsText" dxfId="3" priority="1939" operator="containsText" text="관리">
      <formula>NOT(ISERROR(SEARCH(("관리"),(A134))))</formula>
    </cfRule>
  </conditionalFormatting>
  <conditionalFormatting sqref="A134">
    <cfRule type="containsText" dxfId="4" priority="1940" operator="containsText" text="등록">
      <formula>NOT(ISERROR(SEARCH(("등록"),(A134))))</formula>
    </cfRule>
  </conditionalFormatting>
  <conditionalFormatting sqref="A135">
    <cfRule type="containsText" dxfId="0" priority="1941" operator="containsText" text="거부">
      <formula>NOT(ISERROR(SEARCH(("거부"),(A135))))</formula>
    </cfRule>
  </conditionalFormatting>
  <conditionalFormatting sqref="A135">
    <cfRule type="containsText" dxfId="1" priority="1942" operator="containsText" text="리턴">
      <formula>NOT(ISERROR(SEARCH(("리턴"),(A135))))</formula>
    </cfRule>
  </conditionalFormatting>
  <conditionalFormatting sqref="A135">
    <cfRule type="containsText" dxfId="2" priority="1943" operator="containsText" text="실패">
      <formula>NOT(ISERROR(SEARCH(("실패"),(A135))))</formula>
    </cfRule>
  </conditionalFormatting>
  <conditionalFormatting sqref="A135">
    <cfRule type="containsText" dxfId="3" priority="1944" operator="containsText" text="관리">
      <formula>NOT(ISERROR(SEARCH(("관리"),(A135))))</formula>
    </cfRule>
  </conditionalFormatting>
  <conditionalFormatting sqref="A135">
    <cfRule type="containsText" dxfId="4" priority="1945" operator="containsText" text="등록">
      <formula>NOT(ISERROR(SEARCH(("등록"),(A135))))</formula>
    </cfRule>
  </conditionalFormatting>
  <conditionalFormatting sqref="A136">
    <cfRule type="containsText" dxfId="0" priority="1946" operator="containsText" text="거부">
      <formula>NOT(ISERROR(SEARCH(("거부"),(A136))))</formula>
    </cfRule>
  </conditionalFormatting>
  <conditionalFormatting sqref="A136">
    <cfRule type="containsText" dxfId="1" priority="1947" operator="containsText" text="리턴">
      <formula>NOT(ISERROR(SEARCH(("리턴"),(A136))))</formula>
    </cfRule>
  </conditionalFormatting>
  <conditionalFormatting sqref="A136">
    <cfRule type="containsText" dxfId="2" priority="1948" operator="containsText" text="실패">
      <formula>NOT(ISERROR(SEARCH(("실패"),(A136))))</formula>
    </cfRule>
  </conditionalFormatting>
  <conditionalFormatting sqref="A136">
    <cfRule type="containsText" dxfId="3" priority="1949" operator="containsText" text="관리">
      <formula>NOT(ISERROR(SEARCH(("관리"),(A136))))</formula>
    </cfRule>
  </conditionalFormatting>
  <conditionalFormatting sqref="A136">
    <cfRule type="containsText" dxfId="4" priority="1950" operator="containsText" text="등록">
      <formula>NOT(ISERROR(SEARCH(("등록"),(A136))))</formula>
    </cfRule>
  </conditionalFormatting>
  <conditionalFormatting sqref="A137">
    <cfRule type="containsText" dxfId="0" priority="1951" operator="containsText" text="거부">
      <formula>NOT(ISERROR(SEARCH(("거부"),(A137))))</formula>
    </cfRule>
  </conditionalFormatting>
  <conditionalFormatting sqref="A137">
    <cfRule type="containsText" dxfId="1" priority="1952" operator="containsText" text="리턴">
      <formula>NOT(ISERROR(SEARCH(("리턴"),(A137))))</formula>
    </cfRule>
  </conditionalFormatting>
  <conditionalFormatting sqref="A137">
    <cfRule type="containsText" dxfId="2" priority="1953" operator="containsText" text="실패">
      <formula>NOT(ISERROR(SEARCH(("실패"),(A137))))</formula>
    </cfRule>
  </conditionalFormatting>
  <conditionalFormatting sqref="A137">
    <cfRule type="containsText" dxfId="3" priority="1954" operator="containsText" text="관리">
      <formula>NOT(ISERROR(SEARCH(("관리"),(A137))))</formula>
    </cfRule>
  </conditionalFormatting>
  <conditionalFormatting sqref="A137">
    <cfRule type="containsText" dxfId="4" priority="1955" operator="containsText" text="등록">
      <formula>NOT(ISERROR(SEARCH(("등록"),(A137))))</formula>
    </cfRule>
  </conditionalFormatting>
  <conditionalFormatting sqref="A140">
    <cfRule type="containsText" dxfId="0" priority="1956" operator="containsText" text="거부">
      <formula>NOT(ISERROR(SEARCH(("거부"),(A140))))</formula>
    </cfRule>
  </conditionalFormatting>
  <conditionalFormatting sqref="A140">
    <cfRule type="containsText" dxfId="1" priority="1957" operator="containsText" text="리턴">
      <formula>NOT(ISERROR(SEARCH(("리턴"),(A140))))</formula>
    </cfRule>
  </conditionalFormatting>
  <conditionalFormatting sqref="A140">
    <cfRule type="containsText" dxfId="2" priority="1958" operator="containsText" text="실패">
      <formula>NOT(ISERROR(SEARCH(("실패"),(A140))))</formula>
    </cfRule>
  </conditionalFormatting>
  <conditionalFormatting sqref="A140">
    <cfRule type="containsText" dxfId="3" priority="1959" operator="containsText" text="관리">
      <formula>NOT(ISERROR(SEARCH(("관리"),(A140))))</formula>
    </cfRule>
  </conditionalFormatting>
  <conditionalFormatting sqref="A140">
    <cfRule type="containsText" dxfId="4" priority="1960" operator="containsText" text="등록">
      <formula>NOT(ISERROR(SEARCH(("등록"),(A140))))</formula>
    </cfRule>
  </conditionalFormatting>
  <conditionalFormatting sqref="A142">
    <cfRule type="containsText" dxfId="0" priority="1961" operator="containsText" text="거부">
      <formula>NOT(ISERROR(SEARCH(("거부"),(A142))))</formula>
    </cfRule>
  </conditionalFormatting>
  <conditionalFormatting sqref="A142">
    <cfRule type="containsText" dxfId="1" priority="1962" operator="containsText" text="리턴">
      <formula>NOT(ISERROR(SEARCH(("리턴"),(A142))))</formula>
    </cfRule>
  </conditionalFormatting>
  <conditionalFormatting sqref="A142">
    <cfRule type="containsText" dxfId="2" priority="1963" operator="containsText" text="실패">
      <formula>NOT(ISERROR(SEARCH(("실패"),(A142))))</formula>
    </cfRule>
  </conditionalFormatting>
  <conditionalFormatting sqref="A142">
    <cfRule type="containsText" dxfId="3" priority="1964" operator="containsText" text="관리">
      <formula>NOT(ISERROR(SEARCH(("관리"),(A142))))</formula>
    </cfRule>
  </conditionalFormatting>
  <conditionalFormatting sqref="A142">
    <cfRule type="containsText" dxfId="4" priority="1965" operator="containsText" text="등록">
      <formula>NOT(ISERROR(SEARCH(("등록"),(A142))))</formula>
    </cfRule>
  </conditionalFormatting>
  <conditionalFormatting sqref="A145:A146">
    <cfRule type="containsText" dxfId="0" priority="1966" operator="containsText" text="거부">
      <formula>NOT(ISERROR(SEARCH(("거부"),(A145))))</formula>
    </cfRule>
  </conditionalFormatting>
  <conditionalFormatting sqref="A145:A146">
    <cfRule type="containsText" dxfId="1" priority="1967" operator="containsText" text="리턴">
      <formula>NOT(ISERROR(SEARCH(("리턴"),(A145))))</formula>
    </cfRule>
  </conditionalFormatting>
  <conditionalFormatting sqref="A145:A146">
    <cfRule type="containsText" dxfId="2" priority="1968" operator="containsText" text="실패">
      <formula>NOT(ISERROR(SEARCH(("실패"),(A145))))</formula>
    </cfRule>
  </conditionalFormatting>
  <conditionalFormatting sqref="A145:A146">
    <cfRule type="containsText" dxfId="3" priority="1969" operator="containsText" text="관리">
      <formula>NOT(ISERROR(SEARCH(("관리"),(A145))))</formula>
    </cfRule>
  </conditionalFormatting>
  <conditionalFormatting sqref="A145:A146">
    <cfRule type="containsText" dxfId="4" priority="1970" operator="containsText" text="등록">
      <formula>NOT(ISERROR(SEARCH(("등록"),(A145))))</formula>
    </cfRule>
  </conditionalFormatting>
  <conditionalFormatting sqref="D145">
    <cfRule type="containsText" dxfId="0" priority="1971" operator="containsText" text="거부">
      <formula>NOT(ISERROR(SEARCH(("거부"),(D145))))</formula>
    </cfRule>
  </conditionalFormatting>
  <conditionalFormatting sqref="D145">
    <cfRule type="containsText" dxfId="1" priority="1972" operator="containsText" text="리턴">
      <formula>NOT(ISERROR(SEARCH(("리턴"),(D145))))</formula>
    </cfRule>
  </conditionalFormatting>
  <conditionalFormatting sqref="D145">
    <cfRule type="containsText" dxfId="2" priority="1973" operator="containsText" text="실패">
      <formula>NOT(ISERROR(SEARCH(("실패"),(D145))))</formula>
    </cfRule>
  </conditionalFormatting>
  <conditionalFormatting sqref="D145">
    <cfRule type="containsText" dxfId="3" priority="1974" operator="containsText" text="관리">
      <formula>NOT(ISERROR(SEARCH(("관리"),(D145))))</formula>
    </cfRule>
  </conditionalFormatting>
  <conditionalFormatting sqref="D145">
    <cfRule type="containsText" dxfId="4" priority="1975" operator="containsText" text="등록">
      <formula>NOT(ISERROR(SEARCH(("등록"),(D145))))</formula>
    </cfRule>
  </conditionalFormatting>
  <conditionalFormatting sqref="D146">
    <cfRule type="containsText" dxfId="0" priority="1976" operator="containsText" text="거부">
      <formula>NOT(ISERROR(SEARCH(("거부"),(D146))))</formula>
    </cfRule>
  </conditionalFormatting>
  <conditionalFormatting sqref="D146">
    <cfRule type="containsText" dxfId="1" priority="1977" operator="containsText" text="리턴">
      <formula>NOT(ISERROR(SEARCH(("리턴"),(D146))))</formula>
    </cfRule>
  </conditionalFormatting>
  <conditionalFormatting sqref="D146">
    <cfRule type="containsText" dxfId="2" priority="1978" operator="containsText" text="실패">
      <formula>NOT(ISERROR(SEARCH(("실패"),(D146))))</formula>
    </cfRule>
  </conditionalFormatting>
  <conditionalFormatting sqref="D146">
    <cfRule type="containsText" dxfId="3" priority="1979" operator="containsText" text="관리">
      <formula>NOT(ISERROR(SEARCH(("관리"),(D146))))</formula>
    </cfRule>
  </conditionalFormatting>
  <conditionalFormatting sqref="D146">
    <cfRule type="containsText" dxfId="4" priority="1980" operator="containsText" text="등록">
      <formula>NOT(ISERROR(SEARCH(("등록"),(D146))))</formula>
    </cfRule>
  </conditionalFormatting>
  <conditionalFormatting sqref="D147">
    <cfRule type="containsText" dxfId="0" priority="1981" operator="containsText" text="거부">
      <formula>NOT(ISERROR(SEARCH(("거부"),(D147))))</formula>
    </cfRule>
  </conditionalFormatting>
  <conditionalFormatting sqref="D147">
    <cfRule type="containsText" dxfId="1" priority="1982" operator="containsText" text="리턴">
      <formula>NOT(ISERROR(SEARCH(("리턴"),(D147))))</formula>
    </cfRule>
  </conditionalFormatting>
  <conditionalFormatting sqref="D147">
    <cfRule type="containsText" dxfId="2" priority="1983" operator="containsText" text="실패">
      <formula>NOT(ISERROR(SEARCH(("실패"),(D147))))</formula>
    </cfRule>
  </conditionalFormatting>
  <conditionalFormatting sqref="D147">
    <cfRule type="containsText" dxfId="3" priority="1984" operator="containsText" text="관리">
      <formula>NOT(ISERROR(SEARCH(("관리"),(D147))))</formula>
    </cfRule>
  </conditionalFormatting>
  <conditionalFormatting sqref="D147">
    <cfRule type="containsText" dxfId="4" priority="1985" operator="containsText" text="등록">
      <formula>NOT(ISERROR(SEARCH(("등록"),(D147))))</formula>
    </cfRule>
  </conditionalFormatting>
  <conditionalFormatting sqref="A149">
    <cfRule type="containsText" dxfId="0" priority="1986" operator="containsText" text="거부">
      <formula>NOT(ISERROR(SEARCH(("거부"),(A149))))</formula>
    </cfRule>
  </conditionalFormatting>
  <conditionalFormatting sqref="A149">
    <cfRule type="containsText" dxfId="1" priority="1987" operator="containsText" text="리턴">
      <formula>NOT(ISERROR(SEARCH(("리턴"),(A149))))</formula>
    </cfRule>
  </conditionalFormatting>
  <conditionalFormatting sqref="A149">
    <cfRule type="containsText" dxfId="2" priority="1988" operator="containsText" text="실패">
      <formula>NOT(ISERROR(SEARCH(("실패"),(A149))))</formula>
    </cfRule>
  </conditionalFormatting>
  <conditionalFormatting sqref="A149">
    <cfRule type="containsText" dxfId="3" priority="1989" operator="containsText" text="관리">
      <formula>NOT(ISERROR(SEARCH(("관리"),(A149))))</formula>
    </cfRule>
  </conditionalFormatting>
  <conditionalFormatting sqref="A149">
    <cfRule type="containsText" dxfId="4" priority="1990" operator="containsText" text="등록">
      <formula>NOT(ISERROR(SEARCH(("등록"),(A149))))</formula>
    </cfRule>
  </conditionalFormatting>
  <conditionalFormatting sqref="D149">
    <cfRule type="containsText" dxfId="0" priority="1991" operator="containsText" text="거부">
      <formula>NOT(ISERROR(SEARCH(("거부"),(D149))))</formula>
    </cfRule>
  </conditionalFormatting>
  <conditionalFormatting sqref="D149">
    <cfRule type="containsText" dxfId="1" priority="1992" operator="containsText" text="리턴">
      <formula>NOT(ISERROR(SEARCH(("리턴"),(D149))))</formula>
    </cfRule>
  </conditionalFormatting>
  <conditionalFormatting sqref="D149">
    <cfRule type="containsText" dxfId="2" priority="1993" operator="containsText" text="실패">
      <formula>NOT(ISERROR(SEARCH(("실패"),(D149))))</formula>
    </cfRule>
  </conditionalFormatting>
  <conditionalFormatting sqref="D149">
    <cfRule type="containsText" dxfId="3" priority="1994" operator="containsText" text="관리">
      <formula>NOT(ISERROR(SEARCH(("관리"),(D149))))</formula>
    </cfRule>
  </conditionalFormatting>
  <conditionalFormatting sqref="D149">
    <cfRule type="containsText" dxfId="4" priority="1995" operator="containsText" text="등록">
      <formula>NOT(ISERROR(SEARCH(("등록"),(D149))))</formula>
    </cfRule>
  </conditionalFormatting>
  <conditionalFormatting sqref="A151">
    <cfRule type="containsText" dxfId="0" priority="1996" operator="containsText" text="거부">
      <formula>NOT(ISERROR(SEARCH(("거부"),(A151))))</formula>
    </cfRule>
  </conditionalFormatting>
  <conditionalFormatting sqref="A151">
    <cfRule type="containsText" dxfId="1" priority="1997" operator="containsText" text="리턴">
      <formula>NOT(ISERROR(SEARCH(("리턴"),(A151))))</formula>
    </cfRule>
  </conditionalFormatting>
  <conditionalFormatting sqref="A151">
    <cfRule type="containsText" dxfId="2" priority="1998" operator="containsText" text="실패">
      <formula>NOT(ISERROR(SEARCH(("실패"),(A151))))</formula>
    </cfRule>
  </conditionalFormatting>
  <conditionalFormatting sqref="A151">
    <cfRule type="containsText" dxfId="3" priority="1999" operator="containsText" text="관리">
      <formula>NOT(ISERROR(SEARCH(("관리"),(A151))))</formula>
    </cfRule>
  </conditionalFormatting>
  <conditionalFormatting sqref="A151">
    <cfRule type="containsText" dxfId="4" priority="2000" operator="containsText" text="등록">
      <formula>NOT(ISERROR(SEARCH(("등록"),(A151))))</formula>
    </cfRule>
  </conditionalFormatting>
  <conditionalFormatting sqref="D152">
    <cfRule type="containsText" dxfId="0" priority="2001" operator="containsText" text="거부">
      <formula>NOT(ISERROR(SEARCH(("거부"),(D152))))</formula>
    </cfRule>
  </conditionalFormatting>
  <conditionalFormatting sqref="D152">
    <cfRule type="containsText" dxfId="1" priority="2002" operator="containsText" text="리턴">
      <formula>NOT(ISERROR(SEARCH(("리턴"),(D152))))</formula>
    </cfRule>
  </conditionalFormatting>
  <conditionalFormatting sqref="D152">
    <cfRule type="containsText" dxfId="2" priority="2003" operator="containsText" text="실패">
      <formula>NOT(ISERROR(SEARCH(("실패"),(D152))))</formula>
    </cfRule>
  </conditionalFormatting>
  <conditionalFormatting sqref="D152">
    <cfRule type="containsText" dxfId="3" priority="2004" operator="containsText" text="관리">
      <formula>NOT(ISERROR(SEARCH(("관리"),(D152))))</formula>
    </cfRule>
  </conditionalFormatting>
  <conditionalFormatting sqref="D152">
    <cfRule type="containsText" dxfId="4" priority="2005" operator="containsText" text="등록">
      <formula>NOT(ISERROR(SEARCH(("등록"),(D152))))</formula>
    </cfRule>
  </conditionalFormatting>
  <conditionalFormatting sqref="A154">
    <cfRule type="containsText" dxfId="0" priority="2006" operator="containsText" text="거부">
      <formula>NOT(ISERROR(SEARCH(("거부"),(A154))))</formula>
    </cfRule>
  </conditionalFormatting>
  <conditionalFormatting sqref="A154">
    <cfRule type="containsText" dxfId="1" priority="2007" operator="containsText" text="리턴">
      <formula>NOT(ISERROR(SEARCH(("리턴"),(A154))))</formula>
    </cfRule>
  </conditionalFormatting>
  <conditionalFormatting sqref="A154">
    <cfRule type="containsText" dxfId="2" priority="2008" operator="containsText" text="실패">
      <formula>NOT(ISERROR(SEARCH(("실패"),(A154))))</formula>
    </cfRule>
  </conditionalFormatting>
  <conditionalFormatting sqref="A154">
    <cfRule type="containsText" dxfId="3" priority="2009" operator="containsText" text="관리">
      <formula>NOT(ISERROR(SEARCH(("관리"),(A154))))</formula>
    </cfRule>
  </conditionalFormatting>
  <conditionalFormatting sqref="A154">
    <cfRule type="containsText" dxfId="4" priority="2010" operator="containsText" text="등록">
      <formula>NOT(ISERROR(SEARCH(("등록"),(A154))))</formula>
    </cfRule>
  </conditionalFormatting>
  <conditionalFormatting sqref="A155">
    <cfRule type="containsText" dxfId="0" priority="2011" operator="containsText" text="거부">
      <formula>NOT(ISERROR(SEARCH(("거부"),(A155))))</formula>
    </cfRule>
  </conditionalFormatting>
  <conditionalFormatting sqref="A155">
    <cfRule type="containsText" dxfId="1" priority="2012" operator="containsText" text="리턴">
      <formula>NOT(ISERROR(SEARCH(("리턴"),(A155))))</formula>
    </cfRule>
  </conditionalFormatting>
  <conditionalFormatting sqref="A155">
    <cfRule type="containsText" dxfId="2" priority="2013" operator="containsText" text="실패">
      <formula>NOT(ISERROR(SEARCH(("실패"),(A155))))</formula>
    </cfRule>
  </conditionalFormatting>
  <conditionalFormatting sqref="A155">
    <cfRule type="containsText" dxfId="3" priority="2014" operator="containsText" text="관리">
      <formula>NOT(ISERROR(SEARCH(("관리"),(A155))))</formula>
    </cfRule>
  </conditionalFormatting>
  <conditionalFormatting sqref="A155">
    <cfRule type="containsText" dxfId="4" priority="2015" operator="containsText" text="등록">
      <formula>NOT(ISERROR(SEARCH(("등록"),(A155))))</formula>
    </cfRule>
  </conditionalFormatting>
  <conditionalFormatting sqref="A156">
    <cfRule type="containsText" dxfId="0" priority="2016" operator="containsText" text="거부">
      <formula>NOT(ISERROR(SEARCH(("거부"),(A156))))</formula>
    </cfRule>
  </conditionalFormatting>
  <conditionalFormatting sqref="A156">
    <cfRule type="containsText" dxfId="1" priority="2017" operator="containsText" text="리턴">
      <formula>NOT(ISERROR(SEARCH(("리턴"),(A156))))</formula>
    </cfRule>
  </conditionalFormatting>
  <conditionalFormatting sqref="A156">
    <cfRule type="containsText" dxfId="2" priority="2018" operator="containsText" text="실패">
      <formula>NOT(ISERROR(SEARCH(("실패"),(A156))))</formula>
    </cfRule>
  </conditionalFormatting>
  <conditionalFormatting sqref="A156">
    <cfRule type="containsText" dxfId="3" priority="2019" operator="containsText" text="관리">
      <formula>NOT(ISERROR(SEARCH(("관리"),(A156))))</formula>
    </cfRule>
  </conditionalFormatting>
  <conditionalFormatting sqref="A156">
    <cfRule type="containsText" dxfId="4" priority="2020" operator="containsText" text="등록">
      <formula>NOT(ISERROR(SEARCH(("등록"),(A156))))</formula>
    </cfRule>
  </conditionalFormatting>
  <conditionalFormatting sqref="A157">
    <cfRule type="containsText" dxfId="0" priority="2021" operator="containsText" text="거부">
      <formula>NOT(ISERROR(SEARCH(("거부"),(A157))))</formula>
    </cfRule>
  </conditionalFormatting>
  <conditionalFormatting sqref="A157">
    <cfRule type="containsText" dxfId="1" priority="2022" operator="containsText" text="리턴">
      <formula>NOT(ISERROR(SEARCH(("리턴"),(A157))))</formula>
    </cfRule>
  </conditionalFormatting>
  <conditionalFormatting sqref="A157">
    <cfRule type="containsText" dxfId="2" priority="2023" operator="containsText" text="실패">
      <formula>NOT(ISERROR(SEARCH(("실패"),(A157))))</formula>
    </cfRule>
  </conditionalFormatting>
  <conditionalFormatting sqref="A157">
    <cfRule type="containsText" dxfId="3" priority="2024" operator="containsText" text="관리">
      <formula>NOT(ISERROR(SEARCH(("관리"),(A157))))</formula>
    </cfRule>
  </conditionalFormatting>
  <conditionalFormatting sqref="A157">
    <cfRule type="containsText" dxfId="4" priority="2025" operator="containsText" text="등록">
      <formula>NOT(ISERROR(SEARCH(("등록"),(A157))))</formula>
    </cfRule>
  </conditionalFormatting>
  <conditionalFormatting sqref="A162">
    <cfRule type="containsText" dxfId="0" priority="2026" operator="containsText" text="거부">
      <formula>NOT(ISERROR(SEARCH(("거부"),(A162))))</formula>
    </cfRule>
  </conditionalFormatting>
  <conditionalFormatting sqref="A162">
    <cfRule type="containsText" dxfId="1" priority="2027" operator="containsText" text="리턴">
      <formula>NOT(ISERROR(SEARCH(("리턴"),(A162))))</formula>
    </cfRule>
  </conditionalFormatting>
  <conditionalFormatting sqref="A162">
    <cfRule type="containsText" dxfId="2" priority="2028" operator="containsText" text="실패">
      <formula>NOT(ISERROR(SEARCH(("실패"),(A162))))</formula>
    </cfRule>
  </conditionalFormatting>
  <conditionalFormatting sqref="A162">
    <cfRule type="containsText" dxfId="3" priority="2029" operator="containsText" text="관리">
      <formula>NOT(ISERROR(SEARCH(("관리"),(A162))))</formula>
    </cfRule>
  </conditionalFormatting>
  <conditionalFormatting sqref="A162">
    <cfRule type="containsText" dxfId="4" priority="2030" operator="containsText" text="등록">
      <formula>NOT(ISERROR(SEARCH(("등록"),(A162))))</formula>
    </cfRule>
  </conditionalFormatting>
  <conditionalFormatting sqref="A167">
    <cfRule type="containsText" dxfId="0" priority="2031" operator="containsText" text="거부">
      <formula>NOT(ISERROR(SEARCH(("거부"),(A167))))</formula>
    </cfRule>
  </conditionalFormatting>
  <conditionalFormatting sqref="A167">
    <cfRule type="containsText" dxfId="1" priority="2032" operator="containsText" text="리턴">
      <formula>NOT(ISERROR(SEARCH(("리턴"),(A167))))</formula>
    </cfRule>
  </conditionalFormatting>
  <conditionalFormatting sqref="A167">
    <cfRule type="containsText" dxfId="2" priority="2033" operator="containsText" text="실패">
      <formula>NOT(ISERROR(SEARCH(("실패"),(A167))))</formula>
    </cfRule>
  </conditionalFormatting>
  <conditionalFormatting sqref="A167">
    <cfRule type="containsText" dxfId="3" priority="2034" operator="containsText" text="관리">
      <formula>NOT(ISERROR(SEARCH(("관리"),(A167))))</formula>
    </cfRule>
  </conditionalFormatting>
  <conditionalFormatting sqref="A167">
    <cfRule type="containsText" dxfId="4" priority="2035" operator="containsText" text="등록">
      <formula>NOT(ISERROR(SEARCH(("등록"),(A167))))</formula>
    </cfRule>
  </conditionalFormatting>
  <conditionalFormatting sqref="A125">
    <cfRule type="containsText" dxfId="0" priority="2036" operator="containsText" text="거부">
      <formula>NOT(ISERROR(SEARCH(("거부"),(A125))))</formula>
    </cfRule>
  </conditionalFormatting>
  <conditionalFormatting sqref="A125">
    <cfRule type="containsText" dxfId="1" priority="2037" operator="containsText" text="리턴">
      <formula>NOT(ISERROR(SEARCH(("리턴"),(A125))))</formula>
    </cfRule>
  </conditionalFormatting>
  <conditionalFormatting sqref="A125">
    <cfRule type="containsText" dxfId="2" priority="2038" operator="containsText" text="실패">
      <formula>NOT(ISERROR(SEARCH(("실패"),(A125))))</formula>
    </cfRule>
  </conditionalFormatting>
  <conditionalFormatting sqref="A125">
    <cfRule type="containsText" dxfId="3" priority="2039" operator="containsText" text="관리">
      <formula>NOT(ISERROR(SEARCH(("관리"),(A125))))</formula>
    </cfRule>
  </conditionalFormatting>
  <conditionalFormatting sqref="A125">
    <cfRule type="containsText" dxfId="4" priority="2040" operator="containsText" text="등록">
      <formula>NOT(ISERROR(SEARCH(("등록"),(A125))))</formula>
    </cfRule>
  </conditionalFormatting>
  <conditionalFormatting sqref="A169">
    <cfRule type="containsText" dxfId="0" priority="2041" operator="containsText" text="거부">
      <formula>NOT(ISERROR(SEARCH(("거부"),(A169))))</formula>
    </cfRule>
  </conditionalFormatting>
  <conditionalFormatting sqref="A169">
    <cfRule type="containsText" dxfId="1" priority="2042" operator="containsText" text="리턴">
      <formula>NOT(ISERROR(SEARCH(("리턴"),(A169))))</formula>
    </cfRule>
  </conditionalFormatting>
  <conditionalFormatting sqref="A169">
    <cfRule type="containsText" dxfId="2" priority="2043" operator="containsText" text="실패">
      <formula>NOT(ISERROR(SEARCH(("실패"),(A169))))</formula>
    </cfRule>
  </conditionalFormatting>
  <conditionalFormatting sqref="A169">
    <cfRule type="containsText" dxfId="3" priority="2044" operator="containsText" text="관리">
      <formula>NOT(ISERROR(SEARCH(("관리"),(A169))))</formula>
    </cfRule>
  </conditionalFormatting>
  <conditionalFormatting sqref="A169">
    <cfRule type="containsText" dxfId="4" priority="2045" operator="containsText" text="등록">
      <formula>NOT(ISERROR(SEARCH(("등록"),(A169))))</formula>
    </cfRule>
  </conditionalFormatting>
  <conditionalFormatting sqref="A172">
    <cfRule type="containsText" dxfId="0" priority="2046" operator="containsText" text="거부">
      <formula>NOT(ISERROR(SEARCH(("거부"),(A172))))</formula>
    </cfRule>
  </conditionalFormatting>
  <conditionalFormatting sqref="A172">
    <cfRule type="containsText" dxfId="1" priority="2047" operator="containsText" text="리턴">
      <formula>NOT(ISERROR(SEARCH(("리턴"),(A172))))</formula>
    </cfRule>
  </conditionalFormatting>
  <conditionalFormatting sqref="A172">
    <cfRule type="containsText" dxfId="2" priority="2048" operator="containsText" text="실패">
      <formula>NOT(ISERROR(SEARCH(("실패"),(A172))))</formula>
    </cfRule>
  </conditionalFormatting>
  <conditionalFormatting sqref="A172">
    <cfRule type="containsText" dxfId="3" priority="2049" operator="containsText" text="관리">
      <formula>NOT(ISERROR(SEARCH(("관리"),(A172))))</formula>
    </cfRule>
  </conditionalFormatting>
  <conditionalFormatting sqref="A172">
    <cfRule type="containsText" dxfId="4" priority="2050" operator="containsText" text="등록">
      <formula>NOT(ISERROR(SEARCH(("등록"),(A172))))</formula>
    </cfRule>
  </conditionalFormatting>
  <conditionalFormatting sqref="A173">
    <cfRule type="containsText" dxfId="0" priority="2051" operator="containsText" text="거부">
      <formula>NOT(ISERROR(SEARCH(("거부"),(A173))))</formula>
    </cfRule>
  </conditionalFormatting>
  <conditionalFormatting sqref="A173">
    <cfRule type="containsText" dxfId="1" priority="2052" operator="containsText" text="리턴">
      <formula>NOT(ISERROR(SEARCH(("리턴"),(A173))))</formula>
    </cfRule>
  </conditionalFormatting>
  <conditionalFormatting sqref="A173">
    <cfRule type="containsText" dxfId="2" priority="2053" operator="containsText" text="실패">
      <formula>NOT(ISERROR(SEARCH(("실패"),(A173))))</formula>
    </cfRule>
  </conditionalFormatting>
  <conditionalFormatting sqref="A173">
    <cfRule type="containsText" dxfId="3" priority="2054" operator="containsText" text="관리">
      <formula>NOT(ISERROR(SEARCH(("관리"),(A173))))</formula>
    </cfRule>
  </conditionalFormatting>
  <conditionalFormatting sqref="A173">
    <cfRule type="containsText" dxfId="4" priority="2055" operator="containsText" text="등록">
      <formula>NOT(ISERROR(SEARCH(("등록"),(A173))))</formula>
    </cfRule>
  </conditionalFormatting>
  <conditionalFormatting sqref="A175">
    <cfRule type="containsText" dxfId="0" priority="2056" operator="containsText" text="거부">
      <formula>NOT(ISERROR(SEARCH(("거부"),(A175))))</formula>
    </cfRule>
  </conditionalFormatting>
  <conditionalFormatting sqref="A175">
    <cfRule type="containsText" dxfId="1" priority="2057" operator="containsText" text="리턴">
      <formula>NOT(ISERROR(SEARCH(("리턴"),(A175))))</formula>
    </cfRule>
  </conditionalFormatting>
  <conditionalFormatting sqref="A175">
    <cfRule type="containsText" dxfId="2" priority="2058" operator="containsText" text="실패">
      <formula>NOT(ISERROR(SEARCH(("실패"),(A175))))</formula>
    </cfRule>
  </conditionalFormatting>
  <conditionalFormatting sqref="A175">
    <cfRule type="containsText" dxfId="3" priority="2059" operator="containsText" text="관리">
      <formula>NOT(ISERROR(SEARCH(("관리"),(A175))))</formula>
    </cfRule>
  </conditionalFormatting>
  <conditionalFormatting sqref="A175">
    <cfRule type="containsText" dxfId="4" priority="2060" operator="containsText" text="등록">
      <formula>NOT(ISERROR(SEARCH(("등록"),(A175))))</formula>
    </cfRule>
  </conditionalFormatting>
  <conditionalFormatting sqref="A176">
    <cfRule type="containsText" dxfId="0" priority="2061" operator="containsText" text="거부">
      <formula>NOT(ISERROR(SEARCH(("거부"),(A176))))</formula>
    </cfRule>
  </conditionalFormatting>
  <conditionalFormatting sqref="A176">
    <cfRule type="containsText" dxfId="1" priority="2062" operator="containsText" text="리턴">
      <formula>NOT(ISERROR(SEARCH(("리턴"),(A176))))</formula>
    </cfRule>
  </conditionalFormatting>
  <conditionalFormatting sqref="A176">
    <cfRule type="containsText" dxfId="2" priority="2063" operator="containsText" text="실패">
      <formula>NOT(ISERROR(SEARCH(("실패"),(A176))))</formula>
    </cfRule>
  </conditionalFormatting>
  <conditionalFormatting sqref="A176">
    <cfRule type="containsText" dxfId="3" priority="2064" operator="containsText" text="관리">
      <formula>NOT(ISERROR(SEARCH(("관리"),(A176))))</formula>
    </cfRule>
  </conditionalFormatting>
  <conditionalFormatting sqref="A176">
    <cfRule type="containsText" dxfId="4" priority="2065" operator="containsText" text="등록">
      <formula>NOT(ISERROR(SEARCH(("등록"),(A176))))</formula>
    </cfRule>
  </conditionalFormatting>
  <conditionalFormatting sqref="A177">
    <cfRule type="containsText" dxfId="0" priority="2066" operator="containsText" text="거부">
      <formula>NOT(ISERROR(SEARCH(("거부"),(A177))))</formula>
    </cfRule>
  </conditionalFormatting>
  <conditionalFormatting sqref="A177">
    <cfRule type="containsText" dxfId="1" priority="2067" operator="containsText" text="리턴">
      <formula>NOT(ISERROR(SEARCH(("리턴"),(A177))))</formula>
    </cfRule>
  </conditionalFormatting>
  <conditionalFormatting sqref="A177">
    <cfRule type="containsText" dxfId="2" priority="2068" operator="containsText" text="실패">
      <formula>NOT(ISERROR(SEARCH(("실패"),(A177))))</formula>
    </cfRule>
  </conditionalFormatting>
  <conditionalFormatting sqref="A177">
    <cfRule type="containsText" dxfId="3" priority="2069" operator="containsText" text="관리">
      <formula>NOT(ISERROR(SEARCH(("관리"),(A177))))</formula>
    </cfRule>
  </conditionalFormatting>
  <conditionalFormatting sqref="A177">
    <cfRule type="containsText" dxfId="4" priority="2070" operator="containsText" text="등록">
      <formula>NOT(ISERROR(SEARCH(("등록"),(A177))))</formula>
    </cfRule>
  </conditionalFormatting>
  <conditionalFormatting sqref="A171">
    <cfRule type="containsText" dxfId="0" priority="2071" operator="containsText" text="거부">
      <formula>NOT(ISERROR(SEARCH(("거부"),(A171))))</formula>
    </cfRule>
  </conditionalFormatting>
  <conditionalFormatting sqref="A171">
    <cfRule type="containsText" dxfId="1" priority="2072" operator="containsText" text="리턴">
      <formula>NOT(ISERROR(SEARCH(("리턴"),(A171))))</formula>
    </cfRule>
  </conditionalFormatting>
  <conditionalFormatting sqref="A171">
    <cfRule type="containsText" dxfId="2" priority="2073" operator="containsText" text="실패">
      <formula>NOT(ISERROR(SEARCH(("실패"),(A171))))</formula>
    </cfRule>
  </conditionalFormatting>
  <conditionalFormatting sqref="A171">
    <cfRule type="containsText" dxfId="3" priority="2074" operator="containsText" text="관리">
      <formula>NOT(ISERROR(SEARCH(("관리"),(A171))))</formula>
    </cfRule>
  </conditionalFormatting>
  <conditionalFormatting sqref="A171">
    <cfRule type="containsText" dxfId="4" priority="2075" operator="containsText" text="등록">
      <formula>NOT(ISERROR(SEARCH(("등록"),(A171))))</formula>
    </cfRule>
  </conditionalFormatting>
  <conditionalFormatting sqref="A178">
    <cfRule type="containsText" dxfId="0" priority="2076" operator="containsText" text="거부">
      <formula>NOT(ISERROR(SEARCH(("거부"),(A178))))</formula>
    </cfRule>
  </conditionalFormatting>
  <conditionalFormatting sqref="A178">
    <cfRule type="containsText" dxfId="1" priority="2077" operator="containsText" text="리턴">
      <formula>NOT(ISERROR(SEARCH(("리턴"),(A178))))</formula>
    </cfRule>
  </conditionalFormatting>
  <conditionalFormatting sqref="A178">
    <cfRule type="containsText" dxfId="2" priority="2078" operator="containsText" text="실패">
      <formula>NOT(ISERROR(SEARCH(("실패"),(A178))))</formula>
    </cfRule>
  </conditionalFormatting>
  <conditionalFormatting sqref="A178">
    <cfRule type="containsText" dxfId="3" priority="2079" operator="containsText" text="관리">
      <formula>NOT(ISERROR(SEARCH(("관리"),(A178))))</formula>
    </cfRule>
  </conditionalFormatting>
  <conditionalFormatting sqref="A178">
    <cfRule type="containsText" dxfId="4" priority="2080" operator="containsText" text="등록">
      <formula>NOT(ISERROR(SEARCH(("등록"),(A178))))</formula>
    </cfRule>
  </conditionalFormatting>
  <conditionalFormatting sqref="A180">
    <cfRule type="containsText" dxfId="0" priority="2081" operator="containsText" text="거부">
      <formula>NOT(ISERROR(SEARCH(("거부"),(A180))))</formula>
    </cfRule>
  </conditionalFormatting>
  <conditionalFormatting sqref="A180">
    <cfRule type="containsText" dxfId="1" priority="2082" operator="containsText" text="리턴">
      <formula>NOT(ISERROR(SEARCH(("리턴"),(A180))))</formula>
    </cfRule>
  </conditionalFormatting>
  <conditionalFormatting sqref="A180">
    <cfRule type="containsText" dxfId="2" priority="2083" operator="containsText" text="실패">
      <formula>NOT(ISERROR(SEARCH(("실패"),(A180))))</formula>
    </cfRule>
  </conditionalFormatting>
  <conditionalFormatting sqref="A180">
    <cfRule type="containsText" dxfId="3" priority="2084" operator="containsText" text="관리">
      <formula>NOT(ISERROR(SEARCH(("관리"),(A180))))</formula>
    </cfRule>
  </conditionalFormatting>
  <conditionalFormatting sqref="A180">
    <cfRule type="containsText" dxfId="4" priority="2085" operator="containsText" text="등록">
      <formula>NOT(ISERROR(SEARCH(("등록"),(A180))))</formula>
    </cfRule>
  </conditionalFormatting>
  <conditionalFormatting sqref="A181">
    <cfRule type="containsText" dxfId="0" priority="2086" operator="containsText" text="거부">
      <formula>NOT(ISERROR(SEARCH(("거부"),(A181))))</formula>
    </cfRule>
  </conditionalFormatting>
  <conditionalFormatting sqref="A181">
    <cfRule type="containsText" dxfId="1" priority="2087" operator="containsText" text="리턴">
      <formula>NOT(ISERROR(SEARCH(("리턴"),(A181))))</formula>
    </cfRule>
  </conditionalFormatting>
  <conditionalFormatting sqref="A181">
    <cfRule type="containsText" dxfId="2" priority="2088" operator="containsText" text="실패">
      <formula>NOT(ISERROR(SEARCH(("실패"),(A181))))</formula>
    </cfRule>
  </conditionalFormatting>
  <conditionalFormatting sqref="A181">
    <cfRule type="containsText" dxfId="3" priority="2089" operator="containsText" text="관리">
      <formula>NOT(ISERROR(SEARCH(("관리"),(A181))))</formula>
    </cfRule>
  </conditionalFormatting>
  <conditionalFormatting sqref="A181">
    <cfRule type="containsText" dxfId="4" priority="2090" operator="containsText" text="등록">
      <formula>NOT(ISERROR(SEARCH(("등록"),(A181))))</formula>
    </cfRule>
  </conditionalFormatting>
  <conditionalFormatting sqref="A182">
    <cfRule type="containsText" dxfId="0" priority="2091" operator="containsText" text="거부">
      <formula>NOT(ISERROR(SEARCH(("거부"),(A182))))</formula>
    </cfRule>
  </conditionalFormatting>
  <conditionalFormatting sqref="A182">
    <cfRule type="containsText" dxfId="1" priority="2092" operator="containsText" text="리턴">
      <formula>NOT(ISERROR(SEARCH(("리턴"),(A182))))</formula>
    </cfRule>
  </conditionalFormatting>
  <conditionalFormatting sqref="A182">
    <cfRule type="containsText" dxfId="2" priority="2093" operator="containsText" text="실패">
      <formula>NOT(ISERROR(SEARCH(("실패"),(A182))))</formula>
    </cfRule>
  </conditionalFormatting>
  <conditionalFormatting sqref="A182">
    <cfRule type="containsText" dxfId="3" priority="2094" operator="containsText" text="관리">
      <formula>NOT(ISERROR(SEARCH(("관리"),(A182))))</formula>
    </cfRule>
  </conditionalFormatting>
  <conditionalFormatting sqref="A182">
    <cfRule type="containsText" dxfId="4" priority="2095" operator="containsText" text="등록">
      <formula>NOT(ISERROR(SEARCH(("등록"),(A182))))</formula>
    </cfRule>
  </conditionalFormatting>
  <conditionalFormatting sqref="G91">
    <cfRule type="containsText" dxfId="0" priority="2096" operator="containsText" text="거부">
      <formula>NOT(ISERROR(SEARCH(("거부"),(G91))))</formula>
    </cfRule>
  </conditionalFormatting>
  <conditionalFormatting sqref="G91">
    <cfRule type="containsText" dxfId="1" priority="2097" operator="containsText" text="리턴">
      <formula>NOT(ISERROR(SEARCH(("리턴"),(G91))))</formula>
    </cfRule>
  </conditionalFormatting>
  <conditionalFormatting sqref="G91">
    <cfRule type="containsText" dxfId="2" priority="2098" operator="containsText" text="실패">
      <formula>NOT(ISERROR(SEARCH(("실패"),(G91))))</formula>
    </cfRule>
  </conditionalFormatting>
  <conditionalFormatting sqref="G91">
    <cfRule type="containsText" dxfId="3" priority="2099" operator="containsText" text="관리">
      <formula>NOT(ISERROR(SEARCH(("관리"),(G91))))</formula>
    </cfRule>
  </conditionalFormatting>
  <conditionalFormatting sqref="G91">
    <cfRule type="containsText" dxfId="4" priority="2100" operator="containsText" text="등록">
      <formula>NOT(ISERROR(SEARCH(("등록"),(G91))))</formula>
    </cfRule>
  </conditionalFormatting>
  <conditionalFormatting sqref="H94">
    <cfRule type="containsText" dxfId="0" priority="2101" operator="containsText" text="거부">
      <formula>NOT(ISERROR(SEARCH(("거부"),(H94))))</formula>
    </cfRule>
  </conditionalFormatting>
  <conditionalFormatting sqref="H94">
    <cfRule type="containsText" dxfId="1" priority="2102" operator="containsText" text="리턴">
      <formula>NOT(ISERROR(SEARCH(("리턴"),(H94))))</formula>
    </cfRule>
  </conditionalFormatting>
  <conditionalFormatting sqref="H94">
    <cfRule type="containsText" dxfId="2" priority="2103" operator="containsText" text="실패">
      <formula>NOT(ISERROR(SEARCH(("실패"),(H94))))</formula>
    </cfRule>
  </conditionalFormatting>
  <conditionalFormatting sqref="H94">
    <cfRule type="containsText" dxfId="3" priority="2104" operator="containsText" text="관리">
      <formula>NOT(ISERROR(SEARCH(("관리"),(H94))))</formula>
    </cfRule>
  </conditionalFormatting>
  <conditionalFormatting sqref="H94">
    <cfRule type="containsText" dxfId="4" priority="2105" operator="containsText" text="등록">
      <formula>NOT(ISERROR(SEARCH(("등록"),(H94))))</formula>
    </cfRule>
  </conditionalFormatting>
  <conditionalFormatting sqref="G94">
    <cfRule type="containsText" dxfId="0" priority="2106" operator="containsText" text="거부">
      <formula>NOT(ISERROR(SEARCH(("거부"),(G94))))</formula>
    </cfRule>
  </conditionalFormatting>
  <conditionalFormatting sqref="G94">
    <cfRule type="containsText" dxfId="1" priority="2107" operator="containsText" text="리턴">
      <formula>NOT(ISERROR(SEARCH(("리턴"),(G94))))</formula>
    </cfRule>
  </conditionalFormatting>
  <conditionalFormatting sqref="G94">
    <cfRule type="containsText" dxfId="2" priority="2108" operator="containsText" text="실패">
      <formula>NOT(ISERROR(SEARCH(("실패"),(G94))))</formula>
    </cfRule>
  </conditionalFormatting>
  <conditionalFormatting sqref="G94">
    <cfRule type="containsText" dxfId="3" priority="2109" operator="containsText" text="관리">
      <formula>NOT(ISERROR(SEARCH(("관리"),(G94))))</formula>
    </cfRule>
  </conditionalFormatting>
  <conditionalFormatting sqref="G94">
    <cfRule type="containsText" dxfId="4" priority="2110" operator="containsText" text="등록">
      <formula>NOT(ISERROR(SEARCH(("등록"),(G94))))</formula>
    </cfRule>
  </conditionalFormatting>
  <conditionalFormatting sqref="J101">
    <cfRule type="containsText" dxfId="0" priority="2111" operator="containsText" text="거부">
      <formula>NOT(ISERROR(SEARCH(("거부"),(J101))))</formula>
    </cfRule>
  </conditionalFormatting>
  <conditionalFormatting sqref="J101">
    <cfRule type="containsText" dxfId="1" priority="2112" operator="containsText" text="리턴">
      <formula>NOT(ISERROR(SEARCH(("리턴"),(J101))))</formula>
    </cfRule>
  </conditionalFormatting>
  <conditionalFormatting sqref="J101">
    <cfRule type="containsText" dxfId="2" priority="2113" operator="containsText" text="실패">
      <formula>NOT(ISERROR(SEARCH(("실패"),(J101))))</formula>
    </cfRule>
  </conditionalFormatting>
  <conditionalFormatting sqref="J101">
    <cfRule type="containsText" dxfId="3" priority="2114" operator="containsText" text="관리">
      <formula>NOT(ISERROR(SEARCH(("관리"),(J101))))</formula>
    </cfRule>
  </conditionalFormatting>
  <conditionalFormatting sqref="J101">
    <cfRule type="containsText" dxfId="4" priority="2115" operator="containsText" text="등록">
      <formula>NOT(ISERROR(SEARCH(("등록"),(J101))))</formula>
    </cfRule>
  </conditionalFormatting>
  <conditionalFormatting sqref="G101">
    <cfRule type="containsText" dxfId="0" priority="2116" operator="containsText" text="거부">
      <formula>NOT(ISERROR(SEARCH(("거부"),(G101))))</formula>
    </cfRule>
  </conditionalFormatting>
  <conditionalFormatting sqref="G101">
    <cfRule type="containsText" dxfId="1" priority="2117" operator="containsText" text="리턴">
      <formula>NOT(ISERROR(SEARCH(("리턴"),(G101))))</formula>
    </cfRule>
  </conditionalFormatting>
  <conditionalFormatting sqref="G101">
    <cfRule type="containsText" dxfId="2" priority="2118" operator="containsText" text="실패">
      <formula>NOT(ISERROR(SEARCH(("실패"),(G101))))</formula>
    </cfRule>
  </conditionalFormatting>
  <conditionalFormatting sqref="G101">
    <cfRule type="containsText" dxfId="3" priority="2119" operator="containsText" text="관리">
      <formula>NOT(ISERROR(SEARCH(("관리"),(G101))))</formula>
    </cfRule>
  </conditionalFormatting>
  <conditionalFormatting sqref="G101">
    <cfRule type="containsText" dxfId="4" priority="2120" operator="containsText" text="등록">
      <formula>NOT(ISERROR(SEARCH(("등록"),(G101))))</formula>
    </cfRule>
  </conditionalFormatting>
  <conditionalFormatting sqref="A101">
    <cfRule type="containsText" dxfId="0" priority="2121" operator="containsText" text="거부">
      <formula>NOT(ISERROR(SEARCH(("거부"),(A101))))</formula>
    </cfRule>
  </conditionalFormatting>
  <conditionalFormatting sqref="A101">
    <cfRule type="containsText" dxfId="1" priority="2122" operator="containsText" text="리턴">
      <formula>NOT(ISERROR(SEARCH(("리턴"),(A101))))</formula>
    </cfRule>
  </conditionalFormatting>
  <conditionalFormatting sqref="A101">
    <cfRule type="containsText" dxfId="2" priority="2123" operator="containsText" text="실패">
      <formula>NOT(ISERROR(SEARCH(("실패"),(A101))))</formula>
    </cfRule>
  </conditionalFormatting>
  <conditionalFormatting sqref="A101">
    <cfRule type="containsText" dxfId="3" priority="2124" operator="containsText" text="관리">
      <formula>NOT(ISERROR(SEARCH(("관리"),(A101))))</formula>
    </cfRule>
  </conditionalFormatting>
  <conditionalFormatting sqref="A101">
    <cfRule type="containsText" dxfId="4" priority="2125" operator="containsText" text="등록">
      <formula>NOT(ISERROR(SEARCH(("등록"),(A101))))</formula>
    </cfRule>
  </conditionalFormatting>
  <conditionalFormatting sqref="E103">
    <cfRule type="containsText" dxfId="0" priority="2126" operator="containsText" text="거부">
      <formula>NOT(ISERROR(SEARCH(("거부"),(E103))))</formula>
    </cfRule>
  </conditionalFormatting>
  <conditionalFormatting sqref="E103">
    <cfRule type="containsText" dxfId="1" priority="2127" operator="containsText" text="리턴">
      <formula>NOT(ISERROR(SEARCH(("리턴"),(E103))))</formula>
    </cfRule>
  </conditionalFormatting>
  <conditionalFormatting sqref="E103">
    <cfRule type="containsText" dxfId="2" priority="2128" operator="containsText" text="실패">
      <formula>NOT(ISERROR(SEARCH(("실패"),(E103))))</formula>
    </cfRule>
  </conditionalFormatting>
  <conditionalFormatting sqref="E103">
    <cfRule type="containsText" dxfId="3" priority="2129" operator="containsText" text="관리">
      <formula>NOT(ISERROR(SEARCH(("관리"),(E103))))</formula>
    </cfRule>
  </conditionalFormatting>
  <conditionalFormatting sqref="E103">
    <cfRule type="containsText" dxfId="4" priority="2130" operator="containsText" text="등록">
      <formula>NOT(ISERROR(SEARCH(("등록"),(E103))))</formula>
    </cfRule>
  </conditionalFormatting>
  <conditionalFormatting sqref="E113">
    <cfRule type="containsText" dxfId="0" priority="2131" operator="containsText" text="거부">
      <formula>NOT(ISERROR(SEARCH(("거부"),(E113))))</formula>
    </cfRule>
  </conditionalFormatting>
  <conditionalFormatting sqref="E113">
    <cfRule type="containsText" dxfId="1" priority="2132" operator="containsText" text="리턴">
      <formula>NOT(ISERROR(SEARCH(("리턴"),(E113))))</formula>
    </cfRule>
  </conditionalFormatting>
  <conditionalFormatting sqref="E113">
    <cfRule type="containsText" dxfId="2" priority="2133" operator="containsText" text="실패">
      <formula>NOT(ISERROR(SEARCH(("실패"),(E113))))</formula>
    </cfRule>
  </conditionalFormatting>
  <conditionalFormatting sqref="E113">
    <cfRule type="containsText" dxfId="3" priority="2134" operator="containsText" text="관리">
      <formula>NOT(ISERROR(SEARCH(("관리"),(E113))))</formula>
    </cfRule>
  </conditionalFormatting>
  <conditionalFormatting sqref="E113">
    <cfRule type="containsText" dxfId="4" priority="2135" operator="containsText" text="등록">
      <formula>NOT(ISERROR(SEARCH(("등록"),(E113))))</formula>
    </cfRule>
  </conditionalFormatting>
  <conditionalFormatting sqref="F93">
    <cfRule type="containsText" dxfId="0" priority="2136" operator="containsText" text="거부">
      <formula>NOT(ISERROR(SEARCH(("거부"),(F93))))</formula>
    </cfRule>
  </conditionalFormatting>
  <conditionalFormatting sqref="F93">
    <cfRule type="containsText" dxfId="1" priority="2137" operator="containsText" text="리턴">
      <formula>NOT(ISERROR(SEARCH(("리턴"),(F93))))</formula>
    </cfRule>
  </conditionalFormatting>
  <conditionalFormatting sqref="F93">
    <cfRule type="containsText" dxfId="2" priority="2138" operator="containsText" text="실패">
      <formula>NOT(ISERROR(SEARCH(("실패"),(F93))))</formula>
    </cfRule>
  </conditionalFormatting>
  <conditionalFormatting sqref="F93">
    <cfRule type="containsText" dxfId="3" priority="2139" operator="containsText" text="관리">
      <formula>NOT(ISERROR(SEARCH(("관리"),(F93))))</formula>
    </cfRule>
  </conditionalFormatting>
  <conditionalFormatting sqref="F93">
    <cfRule type="containsText" dxfId="4" priority="2140" operator="containsText" text="등록">
      <formula>NOT(ISERROR(SEARCH(("등록"),(F93))))</formula>
    </cfRule>
  </conditionalFormatting>
  <conditionalFormatting sqref="G93">
    <cfRule type="containsText" dxfId="0" priority="2141" operator="containsText" text="거부">
      <formula>NOT(ISERROR(SEARCH(("거부"),(G93))))</formula>
    </cfRule>
  </conditionalFormatting>
  <conditionalFormatting sqref="G93">
    <cfRule type="containsText" dxfId="1" priority="2142" operator="containsText" text="리턴">
      <formula>NOT(ISERROR(SEARCH(("리턴"),(G93))))</formula>
    </cfRule>
  </conditionalFormatting>
  <conditionalFormatting sqref="G93">
    <cfRule type="containsText" dxfId="2" priority="2143" operator="containsText" text="실패">
      <formula>NOT(ISERROR(SEARCH(("실패"),(G93))))</formula>
    </cfRule>
  </conditionalFormatting>
  <conditionalFormatting sqref="G93">
    <cfRule type="containsText" dxfId="3" priority="2144" operator="containsText" text="관리">
      <formula>NOT(ISERROR(SEARCH(("관리"),(G93))))</formula>
    </cfRule>
  </conditionalFormatting>
  <conditionalFormatting sqref="G93">
    <cfRule type="containsText" dxfId="4" priority="2145" operator="containsText" text="등록">
      <formula>NOT(ISERROR(SEARCH(("등록"),(G93))))</formula>
    </cfRule>
  </conditionalFormatting>
  <conditionalFormatting sqref="E101">
    <cfRule type="containsText" dxfId="0" priority="2146" operator="containsText" text="거부">
      <formula>NOT(ISERROR(SEARCH(("거부"),(E101))))</formula>
    </cfRule>
  </conditionalFormatting>
  <conditionalFormatting sqref="E101">
    <cfRule type="containsText" dxfId="1" priority="2147" operator="containsText" text="리턴">
      <formula>NOT(ISERROR(SEARCH(("리턴"),(E101))))</formula>
    </cfRule>
  </conditionalFormatting>
  <conditionalFormatting sqref="E101">
    <cfRule type="containsText" dxfId="2" priority="2148" operator="containsText" text="실패">
      <formula>NOT(ISERROR(SEARCH(("실패"),(E101))))</formula>
    </cfRule>
  </conditionalFormatting>
  <conditionalFormatting sqref="E101">
    <cfRule type="containsText" dxfId="3" priority="2149" operator="containsText" text="관리">
      <formula>NOT(ISERROR(SEARCH(("관리"),(E101))))</formula>
    </cfRule>
  </conditionalFormatting>
  <conditionalFormatting sqref="E101">
    <cfRule type="containsText" dxfId="4" priority="2150" operator="containsText" text="등록">
      <formula>NOT(ISERROR(SEARCH(("등록"),(E101))))</formula>
    </cfRule>
  </conditionalFormatting>
  <conditionalFormatting sqref="A89 G35:G36">
    <cfRule type="containsText" dxfId="0" priority="2151" operator="containsText" text="거부">
      <formula>NOT(ISERROR(SEARCH(("거부"),(A89))))</formula>
    </cfRule>
  </conditionalFormatting>
  <conditionalFormatting sqref="A89 G35:G36">
    <cfRule type="containsText" dxfId="1" priority="2152" operator="containsText" text="리턴">
      <formula>NOT(ISERROR(SEARCH(("리턴"),(A89))))</formula>
    </cfRule>
  </conditionalFormatting>
  <conditionalFormatting sqref="A89 G35:G36">
    <cfRule type="containsText" dxfId="2" priority="2153" operator="containsText" text="실패">
      <formula>NOT(ISERROR(SEARCH(("실패"),(A89))))</formula>
    </cfRule>
  </conditionalFormatting>
  <conditionalFormatting sqref="A89 G35:G36">
    <cfRule type="containsText" dxfId="3" priority="2154" operator="containsText" text="관리">
      <formula>NOT(ISERROR(SEARCH(("관리"),(A89))))</formula>
    </cfRule>
  </conditionalFormatting>
  <conditionalFormatting sqref="A89 G35:G36">
    <cfRule type="containsText" dxfId="4" priority="2155" operator="containsText" text="등록">
      <formula>NOT(ISERROR(SEARCH(("등록"),(A89))))</formula>
    </cfRule>
  </conditionalFormatting>
  <conditionalFormatting sqref="J75">
    <cfRule type="containsText" dxfId="0" priority="2156" operator="containsText" text="거부">
      <formula>NOT(ISERROR(SEARCH(("거부"),(J75))))</formula>
    </cfRule>
  </conditionalFormatting>
  <conditionalFormatting sqref="J75">
    <cfRule type="containsText" dxfId="1" priority="2157" operator="containsText" text="리턴">
      <formula>NOT(ISERROR(SEARCH(("리턴"),(J75))))</formula>
    </cfRule>
  </conditionalFormatting>
  <conditionalFormatting sqref="J75">
    <cfRule type="containsText" dxfId="2" priority="2158" operator="containsText" text="실패">
      <formula>NOT(ISERROR(SEARCH(("실패"),(J75))))</formula>
    </cfRule>
  </conditionalFormatting>
  <conditionalFormatting sqref="J75">
    <cfRule type="containsText" dxfId="3" priority="2159" operator="containsText" text="관리">
      <formula>NOT(ISERROR(SEARCH(("관리"),(J75))))</formula>
    </cfRule>
  </conditionalFormatting>
  <conditionalFormatting sqref="J75">
    <cfRule type="containsText" dxfId="4" priority="2160" operator="containsText" text="등록">
      <formula>NOT(ISERROR(SEARCH(("등록"),(J75))))</formula>
    </cfRule>
  </conditionalFormatting>
  <conditionalFormatting sqref="A75">
    <cfRule type="containsText" dxfId="0" priority="2161" operator="containsText" text="거부">
      <formula>NOT(ISERROR(SEARCH(("거부"),(A75))))</formula>
    </cfRule>
  </conditionalFormatting>
  <conditionalFormatting sqref="A75">
    <cfRule type="containsText" dxfId="1" priority="2162" operator="containsText" text="리턴">
      <formula>NOT(ISERROR(SEARCH(("리턴"),(A75))))</formula>
    </cfRule>
  </conditionalFormatting>
  <conditionalFormatting sqref="A75">
    <cfRule type="containsText" dxfId="2" priority="2163" operator="containsText" text="실패">
      <formula>NOT(ISERROR(SEARCH(("실패"),(A75))))</formula>
    </cfRule>
  </conditionalFormatting>
  <conditionalFormatting sqref="A75">
    <cfRule type="containsText" dxfId="3" priority="2164" operator="containsText" text="관리">
      <formula>NOT(ISERROR(SEARCH(("관리"),(A75))))</formula>
    </cfRule>
  </conditionalFormatting>
  <conditionalFormatting sqref="A75">
    <cfRule type="containsText" dxfId="4" priority="2165" operator="containsText" text="등록">
      <formula>NOT(ISERROR(SEARCH(("등록"),(A75))))</formula>
    </cfRule>
  </conditionalFormatting>
  <conditionalFormatting sqref="G14 G17 G35:G36">
    <cfRule type="containsText" dxfId="0" priority="2166" operator="containsText" text="거부">
      <formula>NOT(ISERROR(SEARCH(("거부"),(G14))))</formula>
    </cfRule>
  </conditionalFormatting>
  <conditionalFormatting sqref="G14 G17 G35:G36">
    <cfRule type="containsText" dxfId="1" priority="2167" operator="containsText" text="리턴">
      <formula>NOT(ISERROR(SEARCH(("리턴"),(G14))))</formula>
    </cfRule>
  </conditionalFormatting>
  <conditionalFormatting sqref="G14 G17 G35:G36">
    <cfRule type="containsText" dxfId="2" priority="2168" operator="containsText" text="실패">
      <formula>NOT(ISERROR(SEARCH(("실패"),(G14))))</formula>
    </cfRule>
  </conditionalFormatting>
  <conditionalFormatting sqref="G14 G17 G35:G36">
    <cfRule type="containsText" dxfId="3" priority="2169" operator="containsText" text="관리">
      <formula>NOT(ISERROR(SEARCH(("관리"),(G14))))</formula>
    </cfRule>
  </conditionalFormatting>
  <conditionalFormatting sqref="G14 G17 G35:G36">
    <cfRule type="containsText" dxfId="4" priority="2170" operator="containsText" text="등록">
      <formula>NOT(ISERROR(SEARCH(("등록"),(G14))))</formula>
    </cfRule>
  </conditionalFormatting>
  <conditionalFormatting sqref="J16:J17 J22:J24">
    <cfRule type="containsText" dxfId="0" priority="2171" operator="containsText" text="거부">
      <formula>NOT(ISERROR(SEARCH(("거부"),(J16))))</formula>
    </cfRule>
  </conditionalFormatting>
  <conditionalFormatting sqref="J16:J17 J22:J24">
    <cfRule type="containsText" dxfId="1" priority="2172" operator="containsText" text="리턴">
      <formula>NOT(ISERROR(SEARCH(("리턴"),(J16))))</formula>
    </cfRule>
  </conditionalFormatting>
  <conditionalFormatting sqref="J16:J17 J22:J24">
    <cfRule type="containsText" dxfId="2" priority="2173" operator="containsText" text="실패">
      <formula>NOT(ISERROR(SEARCH(("실패"),(J16))))</formula>
    </cfRule>
  </conditionalFormatting>
  <conditionalFormatting sqref="J16:J17 J22:J24">
    <cfRule type="containsText" dxfId="3" priority="2174" operator="containsText" text="관리">
      <formula>NOT(ISERROR(SEARCH(("관리"),(J16))))</formula>
    </cfRule>
  </conditionalFormatting>
  <conditionalFormatting sqref="J16:J17 J22:J24">
    <cfRule type="containsText" dxfId="4" priority="2175" operator="containsText" text="등록">
      <formula>NOT(ISERROR(SEARCH(("등록"),(J16))))</formula>
    </cfRule>
  </conditionalFormatting>
  <conditionalFormatting sqref="J16:J17 J22:J24">
    <cfRule type="containsText" dxfId="0" priority="2176" operator="containsText" text="거부">
      <formula>NOT(ISERROR(SEARCH(("거부"),(J16))))</formula>
    </cfRule>
  </conditionalFormatting>
  <conditionalFormatting sqref="J16:J17 J22:J24">
    <cfRule type="containsText" dxfId="1" priority="2177" operator="containsText" text="리턴">
      <formula>NOT(ISERROR(SEARCH(("리턴"),(J16))))</formula>
    </cfRule>
  </conditionalFormatting>
  <conditionalFormatting sqref="J16:J17 J22:J24">
    <cfRule type="containsText" dxfId="2" priority="2178" operator="containsText" text="실패">
      <formula>NOT(ISERROR(SEARCH(("실패"),(J16))))</formula>
    </cfRule>
  </conditionalFormatting>
  <conditionalFormatting sqref="J16:J17 J22:J24">
    <cfRule type="containsText" dxfId="3" priority="2179" operator="containsText" text="관리">
      <formula>NOT(ISERROR(SEARCH(("관리"),(J16))))</formula>
    </cfRule>
  </conditionalFormatting>
  <conditionalFormatting sqref="J16:J17 J22:J24">
    <cfRule type="containsText" dxfId="4" priority="2180" operator="containsText" text="등록">
      <formula>NOT(ISERROR(SEARCH(("등록"),(J16))))</formula>
    </cfRule>
  </conditionalFormatting>
  <conditionalFormatting sqref="F76 H76">
    <cfRule type="containsText" dxfId="0" priority="2181" operator="containsText" text="거부">
      <formula>NOT(ISERROR(SEARCH(("거부"),(F76))))</formula>
    </cfRule>
  </conditionalFormatting>
  <conditionalFormatting sqref="F76 H76">
    <cfRule type="containsText" dxfId="1" priority="2182" operator="containsText" text="리턴">
      <formula>NOT(ISERROR(SEARCH(("리턴"),(F76))))</formula>
    </cfRule>
  </conditionalFormatting>
  <conditionalFormatting sqref="F76 H76">
    <cfRule type="containsText" dxfId="2" priority="2183" operator="containsText" text="실패">
      <formula>NOT(ISERROR(SEARCH(("실패"),(F76))))</formula>
    </cfRule>
  </conditionalFormatting>
  <conditionalFormatting sqref="F76 H76">
    <cfRule type="containsText" dxfId="3" priority="2184" operator="containsText" text="관리">
      <formula>NOT(ISERROR(SEARCH(("관리"),(F76))))</formula>
    </cfRule>
  </conditionalFormatting>
  <conditionalFormatting sqref="F76 H76">
    <cfRule type="containsText" dxfId="4" priority="2185" operator="containsText" text="등록">
      <formula>NOT(ISERROR(SEARCH(("등록"),(F76))))</formula>
    </cfRule>
  </conditionalFormatting>
  <conditionalFormatting sqref="A86">
    <cfRule type="containsText" dxfId="0" priority="2186" operator="containsText" text="거부">
      <formula>NOT(ISERROR(SEARCH(("거부"),(A86))))</formula>
    </cfRule>
  </conditionalFormatting>
  <conditionalFormatting sqref="A86">
    <cfRule type="containsText" dxfId="1" priority="2187" operator="containsText" text="리턴">
      <formula>NOT(ISERROR(SEARCH(("리턴"),(A86))))</formula>
    </cfRule>
  </conditionalFormatting>
  <conditionalFormatting sqref="A86">
    <cfRule type="containsText" dxfId="2" priority="2188" operator="containsText" text="실패">
      <formula>NOT(ISERROR(SEARCH(("실패"),(A86))))</formula>
    </cfRule>
  </conditionalFormatting>
  <conditionalFormatting sqref="A86">
    <cfRule type="containsText" dxfId="3" priority="2189" operator="containsText" text="관리">
      <formula>NOT(ISERROR(SEARCH(("관리"),(A86))))</formula>
    </cfRule>
  </conditionalFormatting>
  <conditionalFormatting sqref="A86">
    <cfRule type="containsText" dxfId="4" priority="2190" operator="containsText" text="등록">
      <formula>NOT(ISERROR(SEARCH(("등록"),(A86))))</formula>
    </cfRule>
  </conditionalFormatting>
  <conditionalFormatting sqref="G36">
    <cfRule type="containsText" dxfId="0" priority="2191" operator="containsText" text="거부">
      <formula>NOT(ISERROR(SEARCH(("거부"),(G36))))</formula>
    </cfRule>
  </conditionalFormatting>
  <conditionalFormatting sqref="G36">
    <cfRule type="containsText" dxfId="1" priority="2192" operator="containsText" text="리턴">
      <formula>NOT(ISERROR(SEARCH(("리턴"),(G36))))</formula>
    </cfRule>
  </conditionalFormatting>
  <conditionalFormatting sqref="G36">
    <cfRule type="containsText" dxfId="2" priority="2193" operator="containsText" text="실패">
      <formula>NOT(ISERROR(SEARCH(("실패"),(G36))))</formula>
    </cfRule>
  </conditionalFormatting>
  <conditionalFormatting sqref="G36">
    <cfRule type="containsText" dxfId="3" priority="2194" operator="containsText" text="관리">
      <formula>NOT(ISERROR(SEARCH(("관리"),(G36))))</formula>
    </cfRule>
  </conditionalFormatting>
  <conditionalFormatting sqref="G36">
    <cfRule type="containsText" dxfId="4" priority="2195" operator="containsText" text="등록">
      <formula>NOT(ISERROR(SEARCH(("등록"),(G36))))</formula>
    </cfRule>
  </conditionalFormatting>
  <conditionalFormatting sqref="A79">
    <cfRule type="containsText" dxfId="0" priority="2196" operator="containsText" text="거부">
      <formula>NOT(ISERROR(SEARCH(("거부"),(A79))))</formula>
    </cfRule>
  </conditionalFormatting>
  <conditionalFormatting sqref="A79">
    <cfRule type="containsText" dxfId="1" priority="2197" operator="containsText" text="리턴">
      <formula>NOT(ISERROR(SEARCH(("리턴"),(A79))))</formula>
    </cfRule>
  </conditionalFormatting>
  <conditionalFormatting sqref="A79">
    <cfRule type="containsText" dxfId="2" priority="2198" operator="containsText" text="실패">
      <formula>NOT(ISERROR(SEARCH(("실패"),(A79))))</formula>
    </cfRule>
  </conditionalFormatting>
  <conditionalFormatting sqref="A79">
    <cfRule type="containsText" dxfId="3" priority="2199" operator="containsText" text="관리">
      <formula>NOT(ISERROR(SEARCH(("관리"),(A79))))</formula>
    </cfRule>
  </conditionalFormatting>
  <conditionalFormatting sqref="A79">
    <cfRule type="containsText" dxfId="4" priority="2200" operator="containsText" text="등록">
      <formula>NOT(ISERROR(SEARCH(("등록"),(A79))))</formula>
    </cfRule>
  </conditionalFormatting>
  <conditionalFormatting sqref="H77">
    <cfRule type="containsText" dxfId="0" priority="2201" operator="containsText" text="거부">
      <formula>NOT(ISERROR(SEARCH(("거부"),(H77))))</formula>
    </cfRule>
  </conditionalFormatting>
  <conditionalFormatting sqref="H77">
    <cfRule type="containsText" dxfId="1" priority="2202" operator="containsText" text="리턴">
      <formula>NOT(ISERROR(SEARCH(("리턴"),(H77))))</formula>
    </cfRule>
  </conditionalFormatting>
  <conditionalFormatting sqref="H77">
    <cfRule type="containsText" dxfId="2" priority="2203" operator="containsText" text="실패">
      <formula>NOT(ISERROR(SEARCH(("실패"),(H77))))</formula>
    </cfRule>
  </conditionalFormatting>
  <conditionalFormatting sqref="H77">
    <cfRule type="containsText" dxfId="3" priority="2204" operator="containsText" text="관리">
      <formula>NOT(ISERROR(SEARCH(("관리"),(H77))))</formula>
    </cfRule>
  </conditionalFormatting>
  <conditionalFormatting sqref="H77">
    <cfRule type="containsText" dxfId="4" priority="2205" operator="containsText" text="등록">
      <formula>NOT(ISERROR(SEARCH(("등록"),(H77))))</formula>
    </cfRule>
  </conditionalFormatting>
  <conditionalFormatting sqref="A82">
    <cfRule type="containsText" dxfId="0" priority="2206" operator="containsText" text="거부">
      <formula>NOT(ISERROR(SEARCH(("거부"),(A82))))</formula>
    </cfRule>
  </conditionalFormatting>
  <conditionalFormatting sqref="A82">
    <cfRule type="containsText" dxfId="1" priority="2207" operator="containsText" text="리턴">
      <formula>NOT(ISERROR(SEARCH(("리턴"),(A82))))</formula>
    </cfRule>
  </conditionalFormatting>
  <conditionalFormatting sqref="A82">
    <cfRule type="containsText" dxfId="2" priority="2208" operator="containsText" text="실패">
      <formula>NOT(ISERROR(SEARCH(("실패"),(A82))))</formula>
    </cfRule>
  </conditionalFormatting>
  <conditionalFormatting sqref="A82">
    <cfRule type="containsText" dxfId="3" priority="2209" operator="containsText" text="관리">
      <formula>NOT(ISERROR(SEARCH(("관리"),(A82))))</formula>
    </cfRule>
  </conditionalFormatting>
  <conditionalFormatting sqref="A82">
    <cfRule type="containsText" dxfId="4" priority="2210" operator="containsText" text="등록">
      <formula>NOT(ISERROR(SEARCH(("등록"),(A82))))</formula>
    </cfRule>
  </conditionalFormatting>
  <conditionalFormatting sqref="J82">
    <cfRule type="containsText" dxfId="0" priority="2211" operator="containsText" text="거부">
      <formula>NOT(ISERROR(SEARCH(("거부"),(J82))))</formula>
    </cfRule>
  </conditionalFormatting>
  <conditionalFormatting sqref="J82">
    <cfRule type="containsText" dxfId="1" priority="2212" operator="containsText" text="리턴">
      <formula>NOT(ISERROR(SEARCH(("리턴"),(J82))))</formula>
    </cfRule>
  </conditionalFormatting>
  <conditionalFormatting sqref="J82">
    <cfRule type="containsText" dxfId="2" priority="2213" operator="containsText" text="실패">
      <formula>NOT(ISERROR(SEARCH(("실패"),(J82))))</formula>
    </cfRule>
  </conditionalFormatting>
  <conditionalFormatting sqref="J82">
    <cfRule type="containsText" dxfId="3" priority="2214" operator="containsText" text="관리">
      <formula>NOT(ISERROR(SEARCH(("관리"),(J82))))</formula>
    </cfRule>
  </conditionalFormatting>
  <conditionalFormatting sqref="J82">
    <cfRule type="containsText" dxfId="4" priority="2215" operator="containsText" text="등록">
      <formula>NOT(ISERROR(SEARCH(("등록"),(J82))))</formula>
    </cfRule>
  </conditionalFormatting>
  <conditionalFormatting sqref="I89">
    <cfRule type="containsText" dxfId="0" priority="2216" operator="containsText" text="거부">
      <formula>NOT(ISERROR(SEARCH(("거부"),(I89))))</formula>
    </cfRule>
  </conditionalFormatting>
  <conditionalFormatting sqref="I89">
    <cfRule type="containsText" dxfId="1" priority="2217" operator="containsText" text="리턴">
      <formula>NOT(ISERROR(SEARCH(("리턴"),(I89))))</formula>
    </cfRule>
  </conditionalFormatting>
  <conditionalFormatting sqref="I89">
    <cfRule type="containsText" dxfId="2" priority="2218" operator="containsText" text="실패">
      <formula>NOT(ISERROR(SEARCH(("실패"),(I89))))</formula>
    </cfRule>
  </conditionalFormatting>
  <conditionalFormatting sqref="I89">
    <cfRule type="containsText" dxfId="3" priority="2219" operator="containsText" text="관리">
      <formula>NOT(ISERROR(SEARCH(("관리"),(I89))))</formula>
    </cfRule>
  </conditionalFormatting>
  <conditionalFormatting sqref="I89">
    <cfRule type="containsText" dxfId="4" priority="2220" operator="containsText" text="등록">
      <formula>NOT(ISERROR(SEARCH(("등록"),(I89))))</formula>
    </cfRule>
  </conditionalFormatting>
  <conditionalFormatting sqref="E29">
    <cfRule type="containsText" dxfId="0" priority="2221" operator="containsText" text="거부">
      <formula>NOT(ISERROR(SEARCH(("거부"),(E29))))</formula>
    </cfRule>
  </conditionalFormatting>
  <conditionalFormatting sqref="E29">
    <cfRule type="containsText" dxfId="1" priority="2222" operator="containsText" text="리턴">
      <formula>NOT(ISERROR(SEARCH(("리턴"),(E29))))</formula>
    </cfRule>
  </conditionalFormatting>
  <conditionalFormatting sqref="E29">
    <cfRule type="containsText" dxfId="2" priority="2223" operator="containsText" text="실패">
      <formula>NOT(ISERROR(SEARCH(("실패"),(E29))))</formula>
    </cfRule>
  </conditionalFormatting>
  <conditionalFormatting sqref="E29">
    <cfRule type="containsText" dxfId="3" priority="2224" operator="containsText" text="관리">
      <formula>NOT(ISERROR(SEARCH(("관리"),(E29))))</formula>
    </cfRule>
  </conditionalFormatting>
  <conditionalFormatting sqref="E29">
    <cfRule type="containsText" dxfId="4" priority="2225" operator="containsText" text="등록">
      <formula>NOT(ISERROR(SEARCH(("등록"),(E29))))</formula>
    </cfRule>
  </conditionalFormatting>
  <conditionalFormatting sqref="A46:A48">
    <cfRule type="containsText" dxfId="0" priority="2226" operator="containsText" text="거부">
      <formula>NOT(ISERROR(SEARCH(("거부"),(A46))))</formula>
    </cfRule>
  </conditionalFormatting>
  <conditionalFormatting sqref="A46:A48">
    <cfRule type="containsText" dxfId="1" priority="2227" operator="containsText" text="리턴">
      <formula>NOT(ISERROR(SEARCH(("리턴"),(A46))))</formula>
    </cfRule>
  </conditionalFormatting>
  <conditionalFormatting sqref="A46:A48">
    <cfRule type="containsText" dxfId="2" priority="2228" operator="containsText" text="실패">
      <formula>NOT(ISERROR(SEARCH(("실패"),(A46))))</formula>
    </cfRule>
  </conditionalFormatting>
  <conditionalFormatting sqref="A46:A48">
    <cfRule type="containsText" dxfId="3" priority="2229" operator="containsText" text="관리">
      <formula>NOT(ISERROR(SEARCH(("관리"),(A46))))</formula>
    </cfRule>
  </conditionalFormatting>
  <conditionalFormatting sqref="A46:A48">
    <cfRule type="containsText" dxfId="4" priority="2230" operator="containsText" text="등록">
      <formula>NOT(ISERROR(SEARCH(("등록"),(A46))))</formula>
    </cfRule>
  </conditionalFormatting>
  <conditionalFormatting sqref="A46:A48">
    <cfRule type="containsText" dxfId="0" priority="2231" operator="containsText" text="거부">
      <formula>NOT(ISERROR(SEARCH(("거부"),(A46))))</formula>
    </cfRule>
  </conditionalFormatting>
  <conditionalFormatting sqref="A46:A48">
    <cfRule type="containsText" dxfId="1" priority="2232" operator="containsText" text="리턴">
      <formula>NOT(ISERROR(SEARCH(("리턴"),(A46))))</formula>
    </cfRule>
  </conditionalFormatting>
  <conditionalFormatting sqref="A46:A48">
    <cfRule type="containsText" dxfId="2" priority="2233" operator="containsText" text="실패">
      <formula>NOT(ISERROR(SEARCH(("실패"),(A46))))</formula>
    </cfRule>
  </conditionalFormatting>
  <conditionalFormatting sqref="A46:A48">
    <cfRule type="containsText" dxfId="3" priority="2234" operator="containsText" text="관리">
      <formula>NOT(ISERROR(SEARCH(("관리"),(A46))))</formula>
    </cfRule>
  </conditionalFormatting>
  <conditionalFormatting sqref="A46:A48">
    <cfRule type="containsText" dxfId="4" priority="2235" operator="containsText" text="등록">
      <formula>NOT(ISERROR(SEARCH(("등록"),(A46))))</formula>
    </cfRule>
  </conditionalFormatting>
  <conditionalFormatting sqref="A46:A48">
    <cfRule type="containsText" dxfId="0" priority="2236" operator="containsText" text="거부">
      <formula>NOT(ISERROR(SEARCH(("거부"),(A46))))</formula>
    </cfRule>
  </conditionalFormatting>
  <conditionalFormatting sqref="A46:A48">
    <cfRule type="containsText" dxfId="1" priority="2237" operator="containsText" text="리턴">
      <formula>NOT(ISERROR(SEARCH(("리턴"),(A46))))</formula>
    </cfRule>
  </conditionalFormatting>
  <conditionalFormatting sqref="A46:A48">
    <cfRule type="containsText" dxfId="2" priority="2238" operator="containsText" text="실패">
      <formula>NOT(ISERROR(SEARCH(("실패"),(A46))))</formula>
    </cfRule>
  </conditionalFormatting>
  <conditionalFormatting sqref="A46:A48">
    <cfRule type="containsText" dxfId="3" priority="2239" operator="containsText" text="관리">
      <formula>NOT(ISERROR(SEARCH(("관리"),(A46))))</formula>
    </cfRule>
  </conditionalFormatting>
  <conditionalFormatting sqref="A46:A48">
    <cfRule type="containsText" dxfId="4" priority="2240" operator="containsText" text="등록">
      <formula>NOT(ISERROR(SEARCH(("등록"),(A46))))</formula>
    </cfRule>
  </conditionalFormatting>
  <conditionalFormatting sqref="A46:A48">
    <cfRule type="containsText" dxfId="0" priority="2241" operator="containsText" text="거부">
      <formula>NOT(ISERROR(SEARCH(("거부"),(A46))))</formula>
    </cfRule>
  </conditionalFormatting>
  <conditionalFormatting sqref="A46:A48">
    <cfRule type="containsText" dxfId="1" priority="2242" operator="containsText" text="리턴">
      <formula>NOT(ISERROR(SEARCH(("리턴"),(A46))))</formula>
    </cfRule>
  </conditionalFormatting>
  <conditionalFormatting sqref="A46:A48">
    <cfRule type="containsText" dxfId="2" priority="2243" operator="containsText" text="실패">
      <formula>NOT(ISERROR(SEARCH(("실패"),(A46))))</formula>
    </cfRule>
  </conditionalFormatting>
  <conditionalFormatting sqref="A46:A48">
    <cfRule type="containsText" dxfId="3" priority="2244" operator="containsText" text="관리">
      <formula>NOT(ISERROR(SEARCH(("관리"),(A46))))</formula>
    </cfRule>
  </conditionalFormatting>
  <conditionalFormatting sqref="A46:A48">
    <cfRule type="containsText" dxfId="4" priority="2245" operator="containsText" text="등록">
      <formula>NOT(ISERROR(SEARCH(("등록"),(A46))))</formula>
    </cfRule>
  </conditionalFormatting>
  <conditionalFormatting sqref="A46:A48">
    <cfRule type="containsText" dxfId="0" priority="2246" operator="containsText" text="거부">
      <formula>NOT(ISERROR(SEARCH(("거부"),(A46))))</formula>
    </cfRule>
  </conditionalFormatting>
  <conditionalFormatting sqref="A46:A48">
    <cfRule type="containsText" dxfId="1" priority="2247" operator="containsText" text="리턴">
      <formula>NOT(ISERROR(SEARCH(("리턴"),(A46))))</formula>
    </cfRule>
  </conditionalFormatting>
  <conditionalFormatting sqref="A46:A48">
    <cfRule type="containsText" dxfId="2" priority="2248" operator="containsText" text="실패">
      <formula>NOT(ISERROR(SEARCH(("실패"),(A46))))</formula>
    </cfRule>
  </conditionalFormatting>
  <conditionalFormatting sqref="A46:A48">
    <cfRule type="containsText" dxfId="3" priority="2249" operator="containsText" text="관리">
      <formula>NOT(ISERROR(SEARCH(("관리"),(A46))))</formula>
    </cfRule>
  </conditionalFormatting>
  <conditionalFormatting sqref="A46:A48">
    <cfRule type="containsText" dxfId="4" priority="2250" operator="containsText" text="등록">
      <formula>NOT(ISERROR(SEARCH(("등록"),(A46))))</formula>
    </cfRule>
  </conditionalFormatting>
  <conditionalFormatting sqref="A46:A48">
    <cfRule type="containsText" dxfId="0" priority="2251" operator="containsText" text="거부">
      <formula>NOT(ISERROR(SEARCH(("거부"),(A46))))</formula>
    </cfRule>
  </conditionalFormatting>
  <conditionalFormatting sqref="A46:A48">
    <cfRule type="containsText" dxfId="1" priority="2252" operator="containsText" text="리턴">
      <formula>NOT(ISERROR(SEARCH(("리턴"),(A46))))</formula>
    </cfRule>
  </conditionalFormatting>
  <conditionalFormatting sqref="A46:A48">
    <cfRule type="containsText" dxfId="2" priority="2253" operator="containsText" text="실패">
      <formula>NOT(ISERROR(SEARCH(("실패"),(A46))))</formula>
    </cfRule>
  </conditionalFormatting>
  <conditionalFormatting sqref="A46:A48">
    <cfRule type="containsText" dxfId="3" priority="2254" operator="containsText" text="관리">
      <formula>NOT(ISERROR(SEARCH(("관리"),(A46))))</formula>
    </cfRule>
  </conditionalFormatting>
  <conditionalFormatting sqref="A46:A48">
    <cfRule type="containsText" dxfId="4" priority="2255" operator="containsText" text="등록">
      <formula>NOT(ISERROR(SEARCH(("등록"),(A46))))</formula>
    </cfRule>
  </conditionalFormatting>
  <conditionalFormatting sqref="A46:A48">
    <cfRule type="containsText" dxfId="0" priority="2256" operator="containsText" text="거부">
      <formula>NOT(ISERROR(SEARCH(("거부"),(A46))))</formula>
    </cfRule>
  </conditionalFormatting>
  <conditionalFormatting sqref="A46:A48">
    <cfRule type="containsText" dxfId="1" priority="2257" operator="containsText" text="리턴">
      <formula>NOT(ISERROR(SEARCH(("리턴"),(A46))))</formula>
    </cfRule>
  </conditionalFormatting>
  <conditionalFormatting sqref="A46:A48">
    <cfRule type="containsText" dxfId="2" priority="2258" operator="containsText" text="실패">
      <formula>NOT(ISERROR(SEARCH(("실패"),(A46))))</formula>
    </cfRule>
  </conditionalFormatting>
  <conditionalFormatting sqref="A46:A48">
    <cfRule type="containsText" dxfId="3" priority="2259" operator="containsText" text="관리">
      <formula>NOT(ISERROR(SEARCH(("관리"),(A46))))</formula>
    </cfRule>
  </conditionalFormatting>
  <conditionalFormatting sqref="A46:A48">
    <cfRule type="containsText" dxfId="4" priority="2260" operator="containsText" text="등록">
      <formula>NOT(ISERROR(SEARCH(("등록"),(A46))))</formula>
    </cfRule>
  </conditionalFormatting>
  <conditionalFormatting sqref="A46:A48">
    <cfRule type="containsText" dxfId="0" priority="2261" operator="containsText" text="거부">
      <formula>NOT(ISERROR(SEARCH(("거부"),(A46))))</formula>
    </cfRule>
  </conditionalFormatting>
  <conditionalFormatting sqref="A46:A48">
    <cfRule type="containsText" dxfId="1" priority="2262" operator="containsText" text="리턴">
      <formula>NOT(ISERROR(SEARCH(("리턴"),(A46))))</formula>
    </cfRule>
  </conditionalFormatting>
  <conditionalFormatting sqref="A46:A48">
    <cfRule type="containsText" dxfId="2" priority="2263" operator="containsText" text="실패">
      <formula>NOT(ISERROR(SEARCH(("실패"),(A46))))</formula>
    </cfRule>
  </conditionalFormatting>
  <conditionalFormatting sqref="A46:A48">
    <cfRule type="containsText" dxfId="3" priority="2264" operator="containsText" text="관리">
      <formula>NOT(ISERROR(SEARCH(("관리"),(A46))))</formula>
    </cfRule>
  </conditionalFormatting>
  <conditionalFormatting sqref="A46:A48">
    <cfRule type="containsText" dxfId="4" priority="2265" operator="containsText" text="등록">
      <formula>NOT(ISERROR(SEARCH(("등록"),(A46))))</formula>
    </cfRule>
  </conditionalFormatting>
  <conditionalFormatting sqref="J79">
    <cfRule type="containsText" dxfId="0" priority="2266" operator="containsText" text="거부">
      <formula>NOT(ISERROR(SEARCH(("거부"),(J79))))</formula>
    </cfRule>
  </conditionalFormatting>
  <conditionalFormatting sqref="J79">
    <cfRule type="containsText" dxfId="1" priority="2267" operator="containsText" text="리턴">
      <formula>NOT(ISERROR(SEARCH(("리턴"),(J79))))</formula>
    </cfRule>
  </conditionalFormatting>
  <conditionalFormatting sqref="J79">
    <cfRule type="containsText" dxfId="2" priority="2268" operator="containsText" text="실패">
      <formula>NOT(ISERROR(SEARCH(("실패"),(J79))))</formula>
    </cfRule>
  </conditionalFormatting>
  <conditionalFormatting sqref="J79">
    <cfRule type="containsText" dxfId="3" priority="2269" operator="containsText" text="관리">
      <formula>NOT(ISERROR(SEARCH(("관리"),(J79))))</formula>
    </cfRule>
  </conditionalFormatting>
  <conditionalFormatting sqref="J79">
    <cfRule type="containsText" dxfId="4" priority="2270" operator="containsText" text="등록">
      <formula>NOT(ISERROR(SEARCH(("등록"),(J79))))</formula>
    </cfRule>
  </conditionalFormatting>
  <conditionalFormatting sqref="H13">
    <cfRule type="containsText" dxfId="0" priority="2271" operator="containsText" text="거부">
      <formula>NOT(ISERROR(SEARCH(("거부"),(H13))))</formula>
    </cfRule>
  </conditionalFormatting>
  <conditionalFormatting sqref="H13">
    <cfRule type="containsText" dxfId="1" priority="2272" operator="containsText" text="리턴">
      <formula>NOT(ISERROR(SEARCH(("리턴"),(H13))))</formula>
    </cfRule>
  </conditionalFormatting>
  <conditionalFormatting sqref="H13">
    <cfRule type="containsText" dxfId="2" priority="2273" operator="containsText" text="실패">
      <formula>NOT(ISERROR(SEARCH(("실패"),(H13))))</formula>
    </cfRule>
  </conditionalFormatting>
  <conditionalFormatting sqref="H13">
    <cfRule type="containsText" dxfId="3" priority="2274" operator="containsText" text="관리">
      <formula>NOT(ISERROR(SEARCH(("관리"),(H13))))</formula>
    </cfRule>
  </conditionalFormatting>
  <conditionalFormatting sqref="H13">
    <cfRule type="containsText" dxfId="4" priority="2275" operator="containsText" text="등록">
      <formula>NOT(ISERROR(SEARCH(("등록"),(H13))))</formula>
    </cfRule>
  </conditionalFormatting>
  <conditionalFormatting sqref="F13">
    <cfRule type="containsText" dxfId="0" priority="2276" operator="containsText" text="거부">
      <formula>NOT(ISERROR(SEARCH(("거부"),(F13))))</formula>
    </cfRule>
  </conditionalFormatting>
  <conditionalFormatting sqref="F13">
    <cfRule type="containsText" dxfId="1" priority="2277" operator="containsText" text="리턴">
      <formula>NOT(ISERROR(SEARCH(("리턴"),(F13))))</formula>
    </cfRule>
  </conditionalFormatting>
  <conditionalFormatting sqref="F13">
    <cfRule type="containsText" dxfId="2" priority="2278" operator="containsText" text="실패">
      <formula>NOT(ISERROR(SEARCH(("실패"),(F13))))</formula>
    </cfRule>
  </conditionalFormatting>
  <conditionalFormatting sqref="F13">
    <cfRule type="containsText" dxfId="3" priority="2279" operator="containsText" text="관리">
      <formula>NOT(ISERROR(SEARCH(("관리"),(F13))))</formula>
    </cfRule>
  </conditionalFormatting>
  <conditionalFormatting sqref="F13">
    <cfRule type="containsText" dxfId="4" priority="2280" operator="containsText" text="등록">
      <formula>NOT(ISERROR(SEARCH(("등록"),(F13))))</formula>
    </cfRule>
  </conditionalFormatting>
  <conditionalFormatting sqref="A78">
    <cfRule type="containsText" dxfId="0" priority="2281" operator="containsText" text="거부">
      <formula>NOT(ISERROR(SEARCH(("거부"),(A78))))</formula>
    </cfRule>
  </conditionalFormatting>
  <conditionalFormatting sqref="A78">
    <cfRule type="containsText" dxfId="1" priority="2282" operator="containsText" text="리턴">
      <formula>NOT(ISERROR(SEARCH(("리턴"),(A78))))</formula>
    </cfRule>
  </conditionalFormatting>
  <conditionalFormatting sqref="A78">
    <cfRule type="containsText" dxfId="2" priority="2283" operator="containsText" text="실패">
      <formula>NOT(ISERROR(SEARCH(("실패"),(A78))))</formula>
    </cfRule>
  </conditionalFormatting>
  <conditionalFormatting sqref="A78">
    <cfRule type="containsText" dxfId="3" priority="2284" operator="containsText" text="관리">
      <formula>NOT(ISERROR(SEARCH(("관리"),(A78))))</formula>
    </cfRule>
  </conditionalFormatting>
  <conditionalFormatting sqref="A78">
    <cfRule type="containsText" dxfId="4" priority="2285" operator="containsText" text="등록">
      <formula>NOT(ISERROR(SEARCH(("등록"),(A78))))</formula>
    </cfRule>
  </conditionalFormatting>
  <conditionalFormatting sqref="F78 H78">
    <cfRule type="containsText" dxfId="0" priority="2286" operator="containsText" text="거부">
      <formula>NOT(ISERROR(SEARCH(("거부"),(F78))))</formula>
    </cfRule>
  </conditionalFormatting>
  <conditionalFormatting sqref="F78 H78">
    <cfRule type="containsText" dxfId="1" priority="2287" operator="containsText" text="리턴">
      <formula>NOT(ISERROR(SEARCH(("리턴"),(F78))))</formula>
    </cfRule>
  </conditionalFormatting>
  <conditionalFormatting sqref="F78 H78">
    <cfRule type="containsText" dxfId="2" priority="2288" operator="containsText" text="실패">
      <formula>NOT(ISERROR(SEARCH(("실패"),(F78))))</formula>
    </cfRule>
  </conditionalFormatting>
  <conditionalFormatting sqref="F78 H78">
    <cfRule type="containsText" dxfId="3" priority="2289" operator="containsText" text="관리">
      <formula>NOT(ISERROR(SEARCH(("관리"),(F78))))</formula>
    </cfRule>
  </conditionalFormatting>
  <conditionalFormatting sqref="F78 H78">
    <cfRule type="containsText" dxfId="4" priority="2290" operator="containsText" text="등록">
      <formula>NOT(ISERROR(SEARCH(("등록"),(F78))))</formula>
    </cfRule>
  </conditionalFormatting>
  <conditionalFormatting sqref="G78">
    <cfRule type="containsText" dxfId="0" priority="2291" operator="containsText" text="거부">
      <formula>NOT(ISERROR(SEARCH(("거부"),(G78))))</formula>
    </cfRule>
  </conditionalFormatting>
  <conditionalFormatting sqref="G78">
    <cfRule type="containsText" dxfId="1" priority="2292" operator="containsText" text="리턴">
      <formula>NOT(ISERROR(SEARCH(("리턴"),(G78))))</formula>
    </cfRule>
  </conditionalFormatting>
  <conditionalFormatting sqref="G78">
    <cfRule type="containsText" dxfId="2" priority="2293" operator="containsText" text="실패">
      <formula>NOT(ISERROR(SEARCH(("실패"),(G78))))</formula>
    </cfRule>
  </conditionalFormatting>
  <conditionalFormatting sqref="G78">
    <cfRule type="containsText" dxfId="3" priority="2294" operator="containsText" text="관리">
      <formula>NOT(ISERROR(SEARCH(("관리"),(G78))))</formula>
    </cfRule>
  </conditionalFormatting>
  <conditionalFormatting sqref="G78">
    <cfRule type="containsText" dxfId="4" priority="2295" operator="containsText" text="등록">
      <formula>NOT(ISERROR(SEARCH(("등록"),(G78))))</formula>
    </cfRule>
  </conditionalFormatting>
  <conditionalFormatting sqref="A85">
    <cfRule type="containsText" dxfId="0" priority="2296" operator="containsText" text="거부">
      <formula>NOT(ISERROR(SEARCH(("거부"),(A85))))</formula>
    </cfRule>
  </conditionalFormatting>
  <conditionalFormatting sqref="A85">
    <cfRule type="containsText" dxfId="1" priority="2297" operator="containsText" text="리턴">
      <formula>NOT(ISERROR(SEARCH(("리턴"),(A85))))</formula>
    </cfRule>
  </conditionalFormatting>
  <conditionalFormatting sqref="A85">
    <cfRule type="containsText" dxfId="2" priority="2298" operator="containsText" text="실패">
      <formula>NOT(ISERROR(SEARCH(("실패"),(A85))))</formula>
    </cfRule>
  </conditionalFormatting>
  <conditionalFormatting sqref="A85">
    <cfRule type="containsText" dxfId="3" priority="2299" operator="containsText" text="관리">
      <formula>NOT(ISERROR(SEARCH(("관리"),(A85))))</formula>
    </cfRule>
  </conditionalFormatting>
  <conditionalFormatting sqref="A85">
    <cfRule type="containsText" dxfId="4" priority="2300" operator="containsText" text="등록">
      <formula>NOT(ISERROR(SEARCH(("등록"),(A85))))</formula>
    </cfRule>
  </conditionalFormatting>
  <conditionalFormatting sqref="D39">
    <cfRule type="containsText" dxfId="0" priority="2301" operator="containsText" text="거부">
      <formula>NOT(ISERROR(SEARCH(("거부"),(D39))))</formula>
    </cfRule>
  </conditionalFormatting>
  <conditionalFormatting sqref="D39">
    <cfRule type="containsText" dxfId="1" priority="2302" operator="containsText" text="리턴">
      <formula>NOT(ISERROR(SEARCH(("리턴"),(D39))))</formula>
    </cfRule>
  </conditionalFormatting>
  <conditionalFormatting sqref="D39">
    <cfRule type="containsText" dxfId="2" priority="2303" operator="containsText" text="실패">
      <formula>NOT(ISERROR(SEARCH(("실패"),(D39))))</formula>
    </cfRule>
  </conditionalFormatting>
  <conditionalFormatting sqref="D39">
    <cfRule type="containsText" dxfId="3" priority="2304" operator="containsText" text="관리">
      <formula>NOT(ISERROR(SEARCH(("관리"),(D39))))</formula>
    </cfRule>
  </conditionalFormatting>
  <conditionalFormatting sqref="D39">
    <cfRule type="containsText" dxfId="4" priority="2305" operator="containsText" text="등록">
      <formula>NOT(ISERROR(SEARCH(("등록"),(D39))))</formula>
    </cfRule>
  </conditionalFormatting>
  <conditionalFormatting sqref="D39">
    <cfRule type="containsText" dxfId="0" priority="2306" operator="containsText" text="거부">
      <formula>NOT(ISERROR(SEARCH(("거부"),(D39))))</formula>
    </cfRule>
  </conditionalFormatting>
  <conditionalFormatting sqref="D39">
    <cfRule type="containsText" dxfId="1" priority="2307" operator="containsText" text="리턴">
      <formula>NOT(ISERROR(SEARCH(("리턴"),(D39))))</formula>
    </cfRule>
  </conditionalFormatting>
  <conditionalFormatting sqref="D39">
    <cfRule type="containsText" dxfId="2" priority="2308" operator="containsText" text="실패">
      <formula>NOT(ISERROR(SEARCH(("실패"),(D39))))</formula>
    </cfRule>
  </conditionalFormatting>
  <conditionalFormatting sqref="D39">
    <cfRule type="containsText" dxfId="3" priority="2309" operator="containsText" text="관리">
      <formula>NOT(ISERROR(SEARCH(("관리"),(D39))))</formula>
    </cfRule>
  </conditionalFormatting>
  <conditionalFormatting sqref="D39">
    <cfRule type="containsText" dxfId="4" priority="2310" operator="containsText" text="등록">
      <formula>NOT(ISERROR(SEARCH(("등록"),(D39))))</formula>
    </cfRule>
  </conditionalFormatting>
  <conditionalFormatting sqref="D39">
    <cfRule type="containsText" dxfId="0" priority="2311" operator="containsText" text="거부">
      <formula>NOT(ISERROR(SEARCH(("거부"),(D39))))</formula>
    </cfRule>
  </conditionalFormatting>
  <conditionalFormatting sqref="D39">
    <cfRule type="containsText" dxfId="1" priority="2312" operator="containsText" text="리턴">
      <formula>NOT(ISERROR(SEARCH(("리턴"),(D39))))</formula>
    </cfRule>
  </conditionalFormatting>
  <conditionalFormatting sqref="D39">
    <cfRule type="containsText" dxfId="2" priority="2313" operator="containsText" text="실패">
      <formula>NOT(ISERROR(SEARCH(("실패"),(D39))))</formula>
    </cfRule>
  </conditionalFormatting>
  <conditionalFormatting sqref="D39">
    <cfRule type="containsText" dxfId="3" priority="2314" operator="containsText" text="관리">
      <formula>NOT(ISERROR(SEARCH(("관리"),(D39))))</formula>
    </cfRule>
  </conditionalFormatting>
  <conditionalFormatting sqref="D39">
    <cfRule type="containsText" dxfId="4" priority="2315" operator="containsText" text="등록">
      <formula>NOT(ISERROR(SEARCH(("등록"),(D39))))</formula>
    </cfRule>
  </conditionalFormatting>
  <conditionalFormatting sqref="D39">
    <cfRule type="containsText" dxfId="0" priority="2316" operator="containsText" text="거부">
      <formula>NOT(ISERROR(SEARCH(("거부"),(D39))))</formula>
    </cfRule>
  </conditionalFormatting>
  <conditionalFormatting sqref="D39">
    <cfRule type="containsText" dxfId="1" priority="2317" operator="containsText" text="리턴">
      <formula>NOT(ISERROR(SEARCH(("리턴"),(D39))))</formula>
    </cfRule>
  </conditionalFormatting>
  <conditionalFormatting sqref="D39">
    <cfRule type="containsText" dxfId="2" priority="2318" operator="containsText" text="실패">
      <formula>NOT(ISERROR(SEARCH(("실패"),(D39))))</formula>
    </cfRule>
  </conditionalFormatting>
  <conditionalFormatting sqref="D39">
    <cfRule type="containsText" dxfId="3" priority="2319" operator="containsText" text="관리">
      <formula>NOT(ISERROR(SEARCH(("관리"),(D39))))</formula>
    </cfRule>
  </conditionalFormatting>
  <conditionalFormatting sqref="D39">
    <cfRule type="containsText" dxfId="4" priority="2320" operator="containsText" text="등록">
      <formula>NOT(ISERROR(SEARCH(("등록"),(D39))))</formula>
    </cfRule>
  </conditionalFormatting>
  <conditionalFormatting sqref="D39">
    <cfRule type="containsText" dxfId="0" priority="2321" operator="containsText" text="거부">
      <formula>NOT(ISERROR(SEARCH(("거부"),(D39))))</formula>
    </cfRule>
  </conditionalFormatting>
  <conditionalFormatting sqref="D39">
    <cfRule type="containsText" dxfId="1" priority="2322" operator="containsText" text="리턴">
      <formula>NOT(ISERROR(SEARCH(("리턴"),(D39))))</formula>
    </cfRule>
  </conditionalFormatting>
  <conditionalFormatting sqref="D39">
    <cfRule type="containsText" dxfId="2" priority="2323" operator="containsText" text="실패">
      <formula>NOT(ISERROR(SEARCH(("실패"),(D39))))</formula>
    </cfRule>
  </conditionalFormatting>
  <conditionalFormatting sqref="D39">
    <cfRule type="containsText" dxfId="3" priority="2324" operator="containsText" text="관리">
      <formula>NOT(ISERROR(SEARCH(("관리"),(D39))))</formula>
    </cfRule>
  </conditionalFormatting>
  <conditionalFormatting sqref="D39">
    <cfRule type="containsText" dxfId="4" priority="2325" operator="containsText" text="등록">
      <formula>NOT(ISERROR(SEARCH(("등록"),(D39))))</formula>
    </cfRule>
  </conditionalFormatting>
  <conditionalFormatting sqref="D39">
    <cfRule type="containsText" dxfId="0" priority="2326" operator="containsText" text="거부">
      <formula>NOT(ISERROR(SEARCH(("거부"),(D39))))</formula>
    </cfRule>
  </conditionalFormatting>
  <conditionalFormatting sqref="D39">
    <cfRule type="containsText" dxfId="1" priority="2327" operator="containsText" text="리턴">
      <formula>NOT(ISERROR(SEARCH(("리턴"),(D39))))</formula>
    </cfRule>
  </conditionalFormatting>
  <conditionalFormatting sqref="D39">
    <cfRule type="containsText" dxfId="2" priority="2328" operator="containsText" text="실패">
      <formula>NOT(ISERROR(SEARCH(("실패"),(D39))))</formula>
    </cfRule>
  </conditionalFormatting>
  <conditionalFormatting sqref="D39">
    <cfRule type="containsText" dxfId="3" priority="2329" operator="containsText" text="관리">
      <formula>NOT(ISERROR(SEARCH(("관리"),(D39))))</formula>
    </cfRule>
  </conditionalFormatting>
  <conditionalFormatting sqref="D39">
    <cfRule type="containsText" dxfId="4" priority="2330" operator="containsText" text="등록">
      <formula>NOT(ISERROR(SEARCH(("등록"),(D39))))</formula>
    </cfRule>
  </conditionalFormatting>
  <conditionalFormatting sqref="D39">
    <cfRule type="containsText" dxfId="0" priority="2331" operator="containsText" text="거부">
      <formula>NOT(ISERROR(SEARCH(("거부"),(D39))))</formula>
    </cfRule>
  </conditionalFormatting>
  <conditionalFormatting sqref="D39">
    <cfRule type="containsText" dxfId="1" priority="2332" operator="containsText" text="리턴">
      <formula>NOT(ISERROR(SEARCH(("리턴"),(D39))))</formula>
    </cfRule>
  </conditionalFormatting>
  <conditionalFormatting sqref="D39">
    <cfRule type="containsText" dxfId="2" priority="2333" operator="containsText" text="실패">
      <formula>NOT(ISERROR(SEARCH(("실패"),(D39))))</formula>
    </cfRule>
  </conditionalFormatting>
  <conditionalFormatting sqref="D39">
    <cfRule type="containsText" dxfId="3" priority="2334" operator="containsText" text="관리">
      <formula>NOT(ISERROR(SEARCH(("관리"),(D39))))</formula>
    </cfRule>
  </conditionalFormatting>
  <conditionalFormatting sqref="D39">
    <cfRule type="containsText" dxfId="4" priority="2335" operator="containsText" text="등록">
      <formula>NOT(ISERROR(SEARCH(("등록"),(D39))))</formula>
    </cfRule>
  </conditionalFormatting>
  <conditionalFormatting sqref="D39">
    <cfRule type="containsText" dxfId="0" priority="2336" operator="containsText" text="거부">
      <formula>NOT(ISERROR(SEARCH(("거부"),(D39))))</formula>
    </cfRule>
  </conditionalFormatting>
  <conditionalFormatting sqref="D39">
    <cfRule type="containsText" dxfId="1" priority="2337" operator="containsText" text="리턴">
      <formula>NOT(ISERROR(SEARCH(("리턴"),(D39))))</formula>
    </cfRule>
  </conditionalFormatting>
  <conditionalFormatting sqref="D39">
    <cfRule type="containsText" dxfId="2" priority="2338" operator="containsText" text="실패">
      <formula>NOT(ISERROR(SEARCH(("실패"),(D39))))</formula>
    </cfRule>
  </conditionalFormatting>
  <conditionalFormatting sqref="D39">
    <cfRule type="containsText" dxfId="3" priority="2339" operator="containsText" text="관리">
      <formula>NOT(ISERROR(SEARCH(("관리"),(D39))))</formula>
    </cfRule>
  </conditionalFormatting>
  <conditionalFormatting sqref="D39">
    <cfRule type="containsText" dxfId="4" priority="2340" operator="containsText" text="등록">
      <formula>NOT(ISERROR(SEARCH(("등록"),(D39))))</formula>
    </cfRule>
  </conditionalFormatting>
  <conditionalFormatting sqref="D39">
    <cfRule type="containsText" dxfId="0" priority="2341" operator="containsText" text="거부">
      <formula>NOT(ISERROR(SEARCH(("거부"),(D39))))</formula>
    </cfRule>
  </conditionalFormatting>
  <conditionalFormatting sqref="D39">
    <cfRule type="containsText" dxfId="1" priority="2342" operator="containsText" text="리턴">
      <formula>NOT(ISERROR(SEARCH(("리턴"),(D39))))</formula>
    </cfRule>
  </conditionalFormatting>
  <conditionalFormatting sqref="D39">
    <cfRule type="containsText" dxfId="2" priority="2343" operator="containsText" text="실패">
      <formula>NOT(ISERROR(SEARCH(("실패"),(D39))))</formula>
    </cfRule>
  </conditionalFormatting>
  <conditionalFormatting sqref="D39">
    <cfRule type="containsText" dxfId="3" priority="2344" operator="containsText" text="관리">
      <formula>NOT(ISERROR(SEARCH(("관리"),(D39))))</formula>
    </cfRule>
  </conditionalFormatting>
  <conditionalFormatting sqref="D39">
    <cfRule type="containsText" dxfId="4" priority="2345" operator="containsText" text="등록">
      <formula>NOT(ISERROR(SEARCH(("등록"),(D39))))</formula>
    </cfRule>
  </conditionalFormatting>
  <conditionalFormatting sqref="D39">
    <cfRule type="containsText" dxfId="0" priority="2346" operator="containsText" text="거부">
      <formula>NOT(ISERROR(SEARCH(("거부"),(D39))))</formula>
    </cfRule>
  </conditionalFormatting>
  <conditionalFormatting sqref="D39">
    <cfRule type="containsText" dxfId="1" priority="2347" operator="containsText" text="리턴">
      <formula>NOT(ISERROR(SEARCH(("리턴"),(D39))))</formula>
    </cfRule>
  </conditionalFormatting>
  <conditionalFormatting sqref="D39">
    <cfRule type="containsText" dxfId="2" priority="2348" operator="containsText" text="실패">
      <formula>NOT(ISERROR(SEARCH(("실패"),(D39))))</formula>
    </cfRule>
  </conditionalFormatting>
  <conditionalFormatting sqref="D39">
    <cfRule type="containsText" dxfId="3" priority="2349" operator="containsText" text="관리">
      <formula>NOT(ISERROR(SEARCH(("관리"),(D39))))</formula>
    </cfRule>
  </conditionalFormatting>
  <conditionalFormatting sqref="D39">
    <cfRule type="containsText" dxfId="4" priority="2350" operator="containsText" text="등록">
      <formula>NOT(ISERROR(SEARCH(("등록"),(D39))))</formula>
    </cfRule>
  </conditionalFormatting>
  <conditionalFormatting sqref="D39">
    <cfRule type="containsText" dxfId="0" priority="2351" operator="containsText" text="거부">
      <formula>NOT(ISERROR(SEARCH(("거부"),(D39))))</formula>
    </cfRule>
  </conditionalFormatting>
  <conditionalFormatting sqref="D39">
    <cfRule type="containsText" dxfId="1" priority="2352" operator="containsText" text="리턴">
      <formula>NOT(ISERROR(SEARCH(("리턴"),(D39))))</formula>
    </cfRule>
  </conditionalFormatting>
  <conditionalFormatting sqref="D39">
    <cfRule type="containsText" dxfId="2" priority="2353" operator="containsText" text="실패">
      <formula>NOT(ISERROR(SEARCH(("실패"),(D39))))</formula>
    </cfRule>
  </conditionalFormatting>
  <conditionalFormatting sqref="D39">
    <cfRule type="containsText" dxfId="3" priority="2354" operator="containsText" text="관리">
      <formula>NOT(ISERROR(SEARCH(("관리"),(D39))))</formula>
    </cfRule>
  </conditionalFormatting>
  <conditionalFormatting sqref="D39">
    <cfRule type="containsText" dxfId="4" priority="2355" operator="containsText" text="등록">
      <formula>NOT(ISERROR(SEARCH(("등록"),(D39))))</formula>
    </cfRule>
  </conditionalFormatting>
  <conditionalFormatting sqref="D39">
    <cfRule type="containsText" dxfId="0" priority="2356" operator="containsText" text="거부">
      <formula>NOT(ISERROR(SEARCH(("거부"),(D39))))</formula>
    </cfRule>
  </conditionalFormatting>
  <conditionalFormatting sqref="D39">
    <cfRule type="containsText" dxfId="1" priority="2357" operator="containsText" text="리턴">
      <formula>NOT(ISERROR(SEARCH(("리턴"),(D39))))</formula>
    </cfRule>
  </conditionalFormatting>
  <conditionalFormatting sqref="D39">
    <cfRule type="containsText" dxfId="2" priority="2358" operator="containsText" text="실패">
      <formula>NOT(ISERROR(SEARCH(("실패"),(D39))))</formula>
    </cfRule>
  </conditionalFormatting>
  <conditionalFormatting sqref="D39">
    <cfRule type="containsText" dxfId="3" priority="2359" operator="containsText" text="관리">
      <formula>NOT(ISERROR(SEARCH(("관리"),(D39))))</formula>
    </cfRule>
  </conditionalFormatting>
  <conditionalFormatting sqref="D39">
    <cfRule type="containsText" dxfId="4" priority="2360" operator="containsText" text="등록">
      <formula>NOT(ISERROR(SEARCH(("등록"),(D39))))</formula>
    </cfRule>
  </conditionalFormatting>
  <conditionalFormatting sqref="A84">
    <cfRule type="containsText" dxfId="0" priority="2361" operator="containsText" text="거부">
      <formula>NOT(ISERROR(SEARCH(("거부"),(A84))))</formula>
    </cfRule>
  </conditionalFormatting>
  <conditionalFormatting sqref="A84">
    <cfRule type="containsText" dxfId="1" priority="2362" operator="containsText" text="리턴">
      <formula>NOT(ISERROR(SEARCH(("리턴"),(A84))))</formula>
    </cfRule>
  </conditionalFormatting>
  <conditionalFormatting sqref="A84">
    <cfRule type="containsText" dxfId="2" priority="2363" operator="containsText" text="실패">
      <formula>NOT(ISERROR(SEARCH(("실패"),(A84))))</formula>
    </cfRule>
  </conditionalFormatting>
  <conditionalFormatting sqref="A84">
    <cfRule type="containsText" dxfId="3" priority="2364" operator="containsText" text="관리">
      <formula>NOT(ISERROR(SEARCH(("관리"),(A84))))</formula>
    </cfRule>
  </conditionalFormatting>
  <conditionalFormatting sqref="A84">
    <cfRule type="containsText" dxfId="4" priority="2365" operator="containsText" text="등록">
      <formula>NOT(ISERROR(SEARCH(("등록"),(A84))))</formula>
    </cfRule>
  </conditionalFormatting>
  <conditionalFormatting sqref="J16:J22">
    <cfRule type="containsText" dxfId="0" priority="2366" operator="containsText" text="거부">
      <formula>NOT(ISERROR(SEARCH(("거부"),(J16))))</formula>
    </cfRule>
  </conditionalFormatting>
  <conditionalFormatting sqref="J16:J22">
    <cfRule type="containsText" dxfId="1" priority="2367" operator="containsText" text="리턴">
      <formula>NOT(ISERROR(SEARCH(("리턴"),(J16))))</formula>
    </cfRule>
  </conditionalFormatting>
  <conditionalFormatting sqref="J16:J22">
    <cfRule type="containsText" dxfId="2" priority="2368" operator="containsText" text="실패">
      <formula>NOT(ISERROR(SEARCH(("실패"),(J16))))</formula>
    </cfRule>
  </conditionalFormatting>
  <conditionalFormatting sqref="J16:J22">
    <cfRule type="containsText" dxfId="3" priority="2369" operator="containsText" text="관리">
      <formula>NOT(ISERROR(SEARCH(("관리"),(J16))))</formula>
    </cfRule>
  </conditionalFormatting>
  <conditionalFormatting sqref="J16:J22">
    <cfRule type="containsText" dxfId="4" priority="2370" operator="containsText" text="등록">
      <formula>NOT(ISERROR(SEARCH(("등록"),(J16))))</formula>
    </cfRule>
  </conditionalFormatting>
  <conditionalFormatting sqref="J16:J22">
    <cfRule type="containsText" dxfId="0" priority="2371" operator="containsText" text="거부">
      <formula>NOT(ISERROR(SEARCH(("거부"),(J16))))</formula>
    </cfRule>
  </conditionalFormatting>
  <conditionalFormatting sqref="J16:J22">
    <cfRule type="containsText" dxfId="1" priority="2372" operator="containsText" text="리턴">
      <formula>NOT(ISERROR(SEARCH(("리턴"),(J16))))</formula>
    </cfRule>
  </conditionalFormatting>
  <conditionalFormatting sqref="J16:J22">
    <cfRule type="containsText" dxfId="2" priority="2373" operator="containsText" text="실패">
      <formula>NOT(ISERROR(SEARCH(("실패"),(J16))))</formula>
    </cfRule>
  </conditionalFormatting>
  <conditionalFormatting sqref="J16:J22">
    <cfRule type="containsText" dxfId="3" priority="2374" operator="containsText" text="관리">
      <formula>NOT(ISERROR(SEARCH(("관리"),(J16))))</formula>
    </cfRule>
  </conditionalFormatting>
  <conditionalFormatting sqref="J16:J22">
    <cfRule type="containsText" dxfId="4" priority="2375" operator="containsText" text="등록">
      <formula>NOT(ISERROR(SEARCH(("등록"),(J16))))</formula>
    </cfRule>
  </conditionalFormatting>
  <conditionalFormatting sqref="G27:G31">
    <cfRule type="containsText" dxfId="0" priority="2376" operator="containsText" text="거부">
      <formula>NOT(ISERROR(SEARCH(("거부"),(G27))))</formula>
    </cfRule>
  </conditionalFormatting>
  <conditionalFormatting sqref="G27:G31">
    <cfRule type="containsText" dxfId="1" priority="2377" operator="containsText" text="리턴">
      <formula>NOT(ISERROR(SEARCH(("리턴"),(G27))))</formula>
    </cfRule>
  </conditionalFormatting>
  <conditionalFormatting sqref="G27:G31">
    <cfRule type="containsText" dxfId="2" priority="2378" operator="containsText" text="실패">
      <formula>NOT(ISERROR(SEARCH(("실패"),(G27))))</formula>
    </cfRule>
  </conditionalFormatting>
  <conditionalFormatting sqref="G27:G31">
    <cfRule type="containsText" dxfId="3" priority="2379" operator="containsText" text="관리">
      <formula>NOT(ISERROR(SEARCH(("관리"),(G27))))</formula>
    </cfRule>
  </conditionalFormatting>
  <conditionalFormatting sqref="G27:G31">
    <cfRule type="containsText" dxfId="4" priority="2380" operator="containsText" text="등록">
      <formula>NOT(ISERROR(SEARCH(("등록"),(G27))))</formula>
    </cfRule>
  </conditionalFormatting>
  <conditionalFormatting sqref="H59">
    <cfRule type="containsText" dxfId="0" priority="2381" operator="containsText" text="거부">
      <formula>NOT(ISERROR(SEARCH(("거부"),(H59))))</formula>
    </cfRule>
  </conditionalFormatting>
  <conditionalFormatting sqref="H59">
    <cfRule type="containsText" dxfId="1" priority="2382" operator="containsText" text="리턴">
      <formula>NOT(ISERROR(SEARCH(("리턴"),(H59))))</formula>
    </cfRule>
  </conditionalFormatting>
  <conditionalFormatting sqref="H59">
    <cfRule type="containsText" dxfId="2" priority="2383" operator="containsText" text="실패">
      <formula>NOT(ISERROR(SEARCH(("실패"),(H59))))</formula>
    </cfRule>
  </conditionalFormatting>
  <conditionalFormatting sqref="H59">
    <cfRule type="containsText" dxfId="3" priority="2384" operator="containsText" text="관리">
      <formula>NOT(ISERROR(SEARCH(("관리"),(H59))))</formula>
    </cfRule>
  </conditionalFormatting>
  <conditionalFormatting sqref="H59">
    <cfRule type="containsText" dxfId="4" priority="2385" operator="containsText" text="등록">
      <formula>NOT(ISERROR(SEARCH(("등록"),(H59))))</formula>
    </cfRule>
  </conditionalFormatting>
  <conditionalFormatting sqref="H65">
    <cfRule type="containsText" dxfId="0" priority="2386" operator="containsText" text="거부">
      <formula>NOT(ISERROR(SEARCH(("거부"),(H65))))</formula>
    </cfRule>
  </conditionalFormatting>
  <conditionalFormatting sqref="H65">
    <cfRule type="containsText" dxfId="1" priority="2387" operator="containsText" text="리턴">
      <formula>NOT(ISERROR(SEARCH(("리턴"),(H65))))</formula>
    </cfRule>
  </conditionalFormatting>
  <conditionalFormatting sqref="H65">
    <cfRule type="containsText" dxfId="2" priority="2388" operator="containsText" text="실패">
      <formula>NOT(ISERROR(SEARCH(("실패"),(H65))))</formula>
    </cfRule>
  </conditionalFormatting>
  <conditionalFormatting sqref="H65">
    <cfRule type="containsText" dxfId="3" priority="2389" operator="containsText" text="관리">
      <formula>NOT(ISERROR(SEARCH(("관리"),(H65))))</formula>
    </cfRule>
  </conditionalFormatting>
  <conditionalFormatting sqref="H65">
    <cfRule type="containsText" dxfId="4" priority="2390" operator="containsText" text="등록">
      <formula>NOT(ISERROR(SEARCH(("등록"),(H65))))</formula>
    </cfRule>
  </conditionalFormatting>
  <conditionalFormatting sqref="H66">
    <cfRule type="containsText" dxfId="0" priority="2391" operator="containsText" text="거부">
      <formula>NOT(ISERROR(SEARCH(("거부"),(H66))))</formula>
    </cfRule>
  </conditionalFormatting>
  <conditionalFormatting sqref="H66">
    <cfRule type="containsText" dxfId="1" priority="2392" operator="containsText" text="리턴">
      <formula>NOT(ISERROR(SEARCH(("리턴"),(H66))))</formula>
    </cfRule>
  </conditionalFormatting>
  <conditionalFormatting sqref="H66">
    <cfRule type="containsText" dxfId="2" priority="2393" operator="containsText" text="실패">
      <formula>NOT(ISERROR(SEARCH(("실패"),(H66))))</formula>
    </cfRule>
  </conditionalFormatting>
  <conditionalFormatting sqref="H66">
    <cfRule type="containsText" dxfId="3" priority="2394" operator="containsText" text="관리">
      <formula>NOT(ISERROR(SEARCH(("관리"),(H66))))</formula>
    </cfRule>
  </conditionalFormatting>
  <conditionalFormatting sqref="H66">
    <cfRule type="containsText" dxfId="4" priority="2395" operator="containsText" text="등록">
      <formula>NOT(ISERROR(SEARCH(("등록"),(H66))))</formula>
    </cfRule>
  </conditionalFormatting>
  <conditionalFormatting sqref="J78">
    <cfRule type="containsText" dxfId="0" priority="2396" operator="containsText" text="거부">
      <formula>NOT(ISERROR(SEARCH(("거부"),(J78))))</formula>
    </cfRule>
  </conditionalFormatting>
  <conditionalFormatting sqref="J78">
    <cfRule type="containsText" dxfId="1" priority="2397" operator="containsText" text="리턴">
      <formula>NOT(ISERROR(SEARCH(("리턴"),(J78))))</formula>
    </cfRule>
  </conditionalFormatting>
  <conditionalFormatting sqref="J78">
    <cfRule type="containsText" dxfId="2" priority="2398" operator="containsText" text="실패">
      <formula>NOT(ISERROR(SEARCH(("실패"),(J78))))</formula>
    </cfRule>
  </conditionalFormatting>
  <conditionalFormatting sqref="J78">
    <cfRule type="containsText" dxfId="3" priority="2399" operator="containsText" text="관리">
      <formula>NOT(ISERROR(SEARCH(("관리"),(J78))))</formula>
    </cfRule>
  </conditionalFormatting>
  <conditionalFormatting sqref="J78">
    <cfRule type="containsText" dxfId="4" priority="2400" operator="containsText" text="등록">
      <formula>NOT(ISERROR(SEARCH(("등록"),(J78))))</formula>
    </cfRule>
  </conditionalFormatting>
  <conditionalFormatting sqref="D20">
    <cfRule type="containsText" dxfId="0" priority="2401" operator="containsText" text="거부">
      <formula>NOT(ISERROR(SEARCH(("거부"),(D20))))</formula>
    </cfRule>
  </conditionalFormatting>
  <conditionalFormatting sqref="D20">
    <cfRule type="containsText" dxfId="1" priority="2402" operator="containsText" text="리턴">
      <formula>NOT(ISERROR(SEARCH(("리턴"),(D20))))</formula>
    </cfRule>
  </conditionalFormatting>
  <conditionalFormatting sqref="D20">
    <cfRule type="containsText" dxfId="2" priority="2403" operator="containsText" text="실패">
      <formula>NOT(ISERROR(SEARCH(("실패"),(D20))))</formula>
    </cfRule>
  </conditionalFormatting>
  <conditionalFormatting sqref="D20">
    <cfRule type="containsText" dxfId="3" priority="2404" operator="containsText" text="관리">
      <formula>NOT(ISERROR(SEARCH(("관리"),(D20))))</formula>
    </cfRule>
  </conditionalFormatting>
  <conditionalFormatting sqref="D20">
    <cfRule type="containsText" dxfId="4" priority="2405" operator="containsText" text="등록">
      <formula>NOT(ISERROR(SEARCH(("등록"),(D20))))</formula>
    </cfRule>
  </conditionalFormatting>
  <conditionalFormatting sqref="G17">
    <cfRule type="containsText" dxfId="0" priority="2406" operator="containsText" text="거부">
      <formula>NOT(ISERROR(SEARCH(("거부"),(G17))))</formula>
    </cfRule>
  </conditionalFormatting>
  <conditionalFormatting sqref="G17">
    <cfRule type="containsText" dxfId="1" priority="2407" operator="containsText" text="리턴">
      <formula>NOT(ISERROR(SEARCH(("리턴"),(G17))))</formula>
    </cfRule>
  </conditionalFormatting>
  <conditionalFormatting sqref="G17">
    <cfRule type="containsText" dxfId="2" priority="2408" operator="containsText" text="실패">
      <formula>NOT(ISERROR(SEARCH(("실패"),(G17))))</formula>
    </cfRule>
  </conditionalFormatting>
  <conditionalFormatting sqref="G17">
    <cfRule type="containsText" dxfId="3" priority="2409" operator="containsText" text="관리">
      <formula>NOT(ISERROR(SEARCH(("관리"),(G17))))</formula>
    </cfRule>
  </conditionalFormatting>
  <conditionalFormatting sqref="G17">
    <cfRule type="containsText" dxfId="4" priority="2410" operator="containsText" text="등록">
      <formula>NOT(ISERROR(SEARCH(("등록"),(G17))))</formula>
    </cfRule>
  </conditionalFormatting>
  <conditionalFormatting sqref="J17">
    <cfRule type="containsText" dxfId="0" priority="2411" operator="containsText" text="거부">
      <formula>NOT(ISERROR(SEARCH(("거부"),(J17))))</formula>
    </cfRule>
  </conditionalFormatting>
  <conditionalFormatting sqref="J17">
    <cfRule type="containsText" dxfId="1" priority="2412" operator="containsText" text="리턴">
      <formula>NOT(ISERROR(SEARCH(("리턴"),(J17))))</formula>
    </cfRule>
  </conditionalFormatting>
  <conditionalFormatting sqref="J17">
    <cfRule type="containsText" dxfId="2" priority="2413" operator="containsText" text="실패">
      <formula>NOT(ISERROR(SEARCH(("실패"),(J17))))</formula>
    </cfRule>
  </conditionalFormatting>
  <conditionalFormatting sqref="J17">
    <cfRule type="containsText" dxfId="3" priority="2414" operator="containsText" text="관리">
      <formula>NOT(ISERROR(SEARCH(("관리"),(J17))))</formula>
    </cfRule>
  </conditionalFormatting>
  <conditionalFormatting sqref="J17">
    <cfRule type="containsText" dxfId="4" priority="2415" operator="containsText" text="등록">
      <formula>NOT(ISERROR(SEARCH(("등록"),(J17))))</formula>
    </cfRule>
  </conditionalFormatting>
  <conditionalFormatting sqref="J17">
    <cfRule type="containsText" dxfId="0" priority="2416" operator="containsText" text="거부">
      <formula>NOT(ISERROR(SEARCH(("거부"),(J17))))</formula>
    </cfRule>
  </conditionalFormatting>
  <conditionalFormatting sqref="J17">
    <cfRule type="containsText" dxfId="1" priority="2417" operator="containsText" text="리턴">
      <formula>NOT(ISERROR(SEARCH(("리턴"),(J17))))</formula>
    </cfRule>
  </conditionalFormatting>
  <conditionalFormatting sqref="J17">
    <cfRule type="containsText" dxfId="2" priority="2418" operator="containsText" text="실패">
      <formula>NOT(ISERROR(SEARCH(("실패"),(J17))))</formula>
    </cfRule>
  </conditionalFormatting>
  <conditionalFormatting sqref="J17">
    <cfRule type="containsText" dxfId="3" priority="2419" operator="containsText" text="관리">
      <formula>NOT(ISERROR(SEARCH(("관리"),(J17))))</formula>
    </cfRule>
  </conditionalFormatting>
  <conditionalFormatting sqref="J17">
    <cfRule type="containsText" dxfId="4" priority="2420" operator="containsText" text="등록">
      <formula>NOT(ISERROR(SEARCH(("등록"),(J17))))</formula>
    </cfRule>
  </conditionalFormatting>
  <conditionalFormatting sqref="D20">
    <cfRule type="containsText" dxfId="0" priority="2421" operator="containsText" text="거부">
      <formula>NOT(ISERROR(SEARCH(("거부"),(D20))))</formula>
    </cfRule>
  </conditionalFormatting>
  <conditionalFormatting sqref="D20">
    <cfRule type="containsText" dxfId="1" priority="2422" operator="containsText" text="리턴">
      <formula>NOT(ISERROR(SEARCH(("리턴"),(D20))))</formula>
    </cfRule>
  </conditionalFormatting>
  <conditionalFormatting sqref="D20">
    <cfRule type="containsText" dxfId="2" priority="2423" operator="containsText" text="실패">
      <formula>NOT(ISERROR(SEARCH(("실패"),(D20))))</formula>
    </cfRule>
  </conditionalFormatting>
  <conditionalFormatting sqref="D20">
    <cfRule type="containsText" dxfId="3" priority="2424" operator="containsText" text="관리">
      <formula>NOT(ISERROR(SEARCH(("관리"),(D20))))</formula>
    </cfRule>
  </conditionalFormatting>
  <conditionalFormatting sqref="D20">
    <cfRule type="containsText" dxfId="4" priority="2425" operator="containsText" text="등록">
      <formula>NOT(ISERROR(SEARCH(("등록"),(D20))))</formula>
    </cfRule>
  </conditionalFormatting>
  <conditionalFormatting sqref="J16:J22">
    <cfRule type="containsText" dxfId="0" priority="2426" operator="containsText" text="거부">
      <formula>NOT(ISERROR(SEARCH(("거부"),(J16))))</formula>
    </cfRule>
  </conditionalFormatting>
  <conditionalFormatting sqref="J16:J22">
    <cfRule type="containsText" dxfId="1" priority="2427" operator="containsText" text="리턴">
      <formula>NOT(ISERROR(SEARCH(("리턴"),(J16))))</formula>
    </cfRule>
  </conditionalFormatting>
  <conditionalFormatting sqref="J16:J22">
    <cfRule type="containsText" dxfId="2" priority="2428" operator="containsText" text="실패">
      <formula>NOT(ISERROR(SEARCH(("실패"),(J16))))</formula>
    </cfRule>
  </conditionalFormatting>
  <conditionalFormatting sqref="J16:J22">
    <cfRule type="containsText" dxfId="3" priority="2429" operator="containsText" text="관리">
      <formula>NOT(ISERROR(SEARCH(("관리"),(J16))))</formula>
    </cfRule>
  </conditionalFormatting>
  <conditionalFormatting sqref="J16:J22">
    <cfRule type="containsText" dxfId="4" priority="2430" operator="containsText" text="등록">
      <formula>NOT(ISERROR(SEARCH(("등록"),(J16))))</formula>
    </cfRule>
  </conditionalFormatting>
  <conditionalFormatting sqref="J16:J22">
    <cfRule type="containsText" dxfId="0" priority="2431" operator="containsText" text="거부">
      <formula>NOT(ISERROR(SEARCH(("거부"),(J16))))</formula>
    </cfRule>
  </conditionalFormatting>
  <conditionalFormatting sqref="J16:J22">
    <cfRule type="containsText" dxfId="1" priority="2432" operator="containsText" text="리턴">
      <formula>NOT(ISERROR(SEARCH(("리턴"),(J16))))</formula>
    </cfRule>
  </conditionalFormatting>
  <conditionalFormatting sqref="J16:J22">
    <cfRule type="containsText" dxfId="2" priority="2433" operator="containsText" text="실패">
      <formula>NOT(ISERROR(SEARCH(("실패"),(J16))))</formula>
    </cfRule>
  </conditionalFormatting>
  <conditionalFormatting sqref="J16:J22">
    <cfRule type="containsText" dxfId="3" priority="2434" operator="containsText" text="관리">
      <formula>NOT(ISERROR(SEARCH(("관리"),(J16))))</formula>
    </cfRule>
  </conditionalFormatting>
  <conditionalFormatting sqref="J16:J22">
    <cfRule type="containsText" dxfId="4" priority="2435" operator="containsText" text="등록">
      <formula>NOT(ISERROR(SEARCH(("등록"),(J16))))</formula>
    </cfRule>
  </conditionalFormatting>
  <conditionalFormatting sqref="E22">
    <cfRule type="containsText" dxfId="0" priority="2436" operator="containsText" text="거부">
      <formula>NOT(ISERROR(SEARCH(("거부"),(E22))))</formula>
    </cfRule>
  </conditionalFormatting>
  <conditionalFormatting sqref="E22">
    <cfRule type="containsText" dxfId="1" priority="2437" operator="containsText" text="리턴">
      <formula>NOT(ISERROR(SEARCH(("리턴"),(E22))))</formula>
    </cfRule>
  </conditionalFormatting>
  <conditionalFormatting sqref="E22">
    <cfRule type="containsText" dxfId="2" priority="2438" operator="containsText" text="실패">
      <formula>NOT(ISERROR(SEARCH(("실패"),(E22))))</formula>
    </cfRule>
  </conditionalFormatting>
  <conditionalFormatting sqref="E22">
    <cfRule type="containsText" dxfId="3" priority="2439" operator="containsText" text="관리">
      <formula>NOT(ISERROR(SEARCH(("관리"),(E22))))</formula>
    </cfRule>
  </conditionalFormatting>
  <conditionalFormatting sqref="E22">
    <cfRule type="containsText" dxfId="4" priority="2440" operator="containsText" text="등록">
      <formula>NOT(ISERROR(SEARCH(("등록"),(E22))))</formula>
    </cfRule>
  </conditionalFormatting>
  <conditionalFormatting sqref="D22">
    <cfRule type="containsText" dxfId="0" priority="2441" operator="containsText" text="거부">
      <formula>NOT(ISERROR(SEARCH(("거부"),(D22))))</formula>
    </cfRule>
  </conditionalFormatting>
  <conditionalFormatting sqref="D22">
    <cfRule type="containsText" dxfId="1" priority="2442" operator="containsText" text="리턴">
      <formula>NOT(ISERROR(SEARCH(("리턴"),(D22))))</formula>
    </cfRule>
  </conditionalFormatting>
  <conditionalFormatting sqref="D22">
    <cfRule type="containsText" dxfId="2" priority="2443" operator="containsText" text="실패">
      <formula>NOT(ISERROR(SEARCH(("실패"),(D22))))</formula>
    </cfRule>
  </conditionalFormatting>
  <conditionalFormatting sqref="D22">
    <cfRule type="containsText" dxfId="3" priority="2444" operator="containsText" text="관리">
      <formula>NOT(ISERROR(SEARCH(("관리"),(D22))))</formula>
    </cfRule>
  </conditionalFormatting>
  <conditionalFormatting sqref="D22">
    <cfRule type="containsText" dxfId="4" priority="2445" operator="containsText" text="등록">
      <formula>NOT(ISERROR(SEARCH(("등록"),(D22))))</formula>
    </cfRule>
  </conditionalFormatting>
  <conditionalFormatting sqref="E22">
    <cfRule type="containsText" dxfId="0" priority="2446" operator="containsText" text="거부">
      <formula>NOT(ISERROR(SEARCH(("거부"),(E22))))</formula>
    </cfRule>
  </conditionalFormatting>
  <conditionalFormatting sqref="E22">
    <cfRule type="containsText" dxfId="1" priority="2447" operator="containsText" text="리턴">
      <formula>NOT(ISERROR(SEARCH(("리턴"),(E22))))</formula>
    </cfRule>
  </conditionalFormatting>
  <conditionalFormatting sqref="E22">
    <cfRule type="containsText" dxfId="2" priority="2448" operator="containsText" text="실패">
      <formula>NOT(ISERROR(SEARCH(("실패"),(E22))))</formula>
    </cfRule>
  </conditionalFormatting>
  <conditionalFormatting sqref="E22">
    <cfRule type="containsText" dxfId="3" priority="2449" operator="containsText" text="관리">
      <formula>NOT(ISERROR(SEARCH(("관리"),(E22))))</formula>
    </cfRule>
  </conditionalFormatting>
  <conditionalFormatting sqref="E22">
    <cfRule type="containsText" dxfId="4" priority="2450" operator="containsText" text="등록">
      <formula>NOT(ISERROR(SEARCH(("등록"),(E22))))</formula>
    </cfRule>
  </conditionalFormatting>
  <conditionalFormatting sqref="D22">
    <cfRule type="containsText" dxfId="0" priority="2451" operator="containsText" text="거부">
      <formula>NOT(ISERROR(SEARCH(("거부"),(D22))))</formula>
    </cfRule>
  </conditionalFormatting>
  <conditionalFormatting sqref="D22">
    <cfRule type="containsText" dxfId="1" priority="2452" operator="containsText" text="리턴">
      <formula>NOT(ISERROR(SEARCH(("리턴"),(D22))))</formula>
    </cfRule>
  </conditionalFormatting>
  <conditionalFormatting sqref="D22">
    <cfRule type="containsText" dxfId="2" priority="2453" operator="containsText" text="실패">
      <formula>NOT(ISERROR(SEARCH(("실패"),(D22))))</formula>
    </cfRule>
  </conditionalFormatting>
  <conditionalFormatting sqref="D22">
    <cfRule type="containsText" dxfId="3" priority="2454" operator="containsText" text="관리">
      <formula>NOT(ISERROR(SEARCH(("관리"),(D22))))</formula>
    </cfRule>
  </conditionalFormatting>
  <conditionalFormatting sqref="D22">
    <cfRule type="containsText" dxfId="4" priority="2455" operator="containsText" text="등록">
      <formula>NOT(ISERROR(SEARCH(("등록"),(D22))))</formula>
    </cfRule>
  </conditionalFormatting>
  <conditionalFormatting sqref="G32">
    <cfRule type="containsText" dxfId="0" priority="2456" operator="containsText" text="거부">
      <formula>NOT(ISERROR(SEARCH(("거부"),(G32))))</formula>
    </cfRule>
  </conditionalFormatting>
  <conditionalFormatting sqref="G32">
    <cfRule type="containsText" dxfId="1" priority="2457" operator="containsText" text="리턴">
      <formula>NOT(ISERROR(SEARCH(("리턴"),(G32))))</formula>
    </cfRule>
  </conditionalFormatting>
  <conditionalFormatting sqref="G32">
    <cfRule type="containsText" dxfId="2" priority="2458" operator="containsText" text="실패">
      <formula>NOT(ISERROR(SEARCH(("실패"),(G32))))</formula>
    </cfRule>
  </conditionalFormatting>
  <conditionalFormatting sqref="G32">
    <cfRule type="containsText" dxfId="3" priority="2459" operator="containsText" text="관리">
      <formula>NOT(ISERROR(SEARCH(("관리"),(G32))))</formula>
    </cfRule>
  </conditionalFormatting>
  <conditionalFormatting sqref="G32">
    <cfRule type="containsText" dxfId="4" priority="2460" operator="containsText" text="등록">
      <formula>NOT(ISERROR(SEARCH(("등록"),(G32))))</formula>
    </cfRule>
  </conditionalFormatting>
  <conditionalFormatting sqref="G32">
    <cfRule type="containsText" dxfId="0" priority="2461" operator="containsText" text="거부">
      <formula>NOT(ISERROR(SEARCH(("거부"),(G32))))</formula>
    </cfRule>
  </conditionalFormatting>
  <conditionalFormatting sqref="G32">
    <cfRule type="containsText" dxfId="1" priority="2462" operator="containsText" text="리턴">
      <formula>NOT(ISERROR(SEARCH(("리턴"),(G32))))</formula>
    </cfRule>
  </conditionalFormatting>
  <conditionalFormatting sqref="G32">
    <cfRule type="containsText" dxfId="2" priority="2463" operator="containsText" text="실패">
      <formula>NOT(ISERROR(SEARCH(("실패"),(G32))))</formula>
    </cfRule>
  </conditionalFormatting>
  <conditionalFormatting sqref="G32">
    <cfRule type="containsText" dxfId="3" priority="2464" operator="containsText" text="관리">
      <formula>NOT(ISERROR(SEARCH(("관리"),(G32))))</formula>
    </cfRule>
  </conditionalFormatting>
  <conditionalFormatting sqref="G32">
    <cfRule type="containsText" dxfId="4" priority="2465" operator="containsText" text="등록">
      <formula>NOT(ISERROR(SEARCH(("등록"),(G32))))</formula>
    </cfRule>
  </conditionalFormatting>
  <conditionalFormatting sqref="F61">
    <cfRule type="containsText" dxfId="0" priority="2466" operator="containsText" text="거부">
      <formula>NOT(ISERROR(SEARCH(("거부"),(F61))))</formula>
    </cfRule>
  </conditionalFormatting>
  <conditionalFormatting sqref="F61">
    <cfRule type="containsText" dxfId="1" priority="2467" operator="containsText" text="리턴">
      <formula>NOT(ISERROR(SEARCH(("리턴"),(F61))))</formula>
    </cfRule>
  </conditionalFormatting>
  <conditionalFormatting sqref="F61">
    <cfRule type="containsText" dxfId="2" priority="2468" operator="containsText" text="실패">
      <formula>NOT(ISERROR(SEARCH(("실패"),(F61))))</formula>
    </cfRule>
  </conditionalFormatting>
  <conditionalFormatting sqref="F61">
    <cfRule type="containsText" dxfId="3" priority="2469" operator="containsText" text="관리">
      <formula>NOT(ISERROR(SEARCH(("관리"),(F61))))</formula>
    </cfRule>
  </conditionalFormatting>
  <conditionalFormatting sqref="F61">
    <cfRule type="containsText" dxfId="4" priority="2470" operator="containsText" text="등록">
      <formula>NOT(ISERROR(SEARCH(("등록"),(F61))))</formula>
    </cfRule>
  </conditionalFormatting>
  <conditionalFormatting sqref="H61">
    <cfRule type="containsText" dxfId="0" priority="2471" operator="containsText" text="거부">
      <formula>NOT(ISERROR(SEARCH(("거부"),(H61))))</formula>
    </cfRule>
  </conditionalFormatting>
  <conditionalFormatting sqref="H61">
    <cfRule type="containsText" dxfId="1" priority="2472" operator="containsText" text="리턴">
      <formula>NOT(ISERROR(SEARCH(("리턴"),(H61))))</formula>
    </cfRule>
  </conditionalFormatting>
  <conditionalFormatting sqref="H61">
    <cfRule type="containsText" dxfId="2" priority="2473" operator="containsText" text="실패">
      <formula>NOT(ISERROR(SEARCH(("실패"),(H61))))</formula>
    </cfRule>
  </conditionalFormatting>
  <conditionalFormatting sqref="H61">
    <cfRule type="containsText" dxfId="3" priority="2474" operator="containsText" text="관리">
      <formula>NOT(ISERROR(SEARCH(("관리"),(H61))))</formula>
    </cfRule>
  </conditionalFormatting>
  <conditionalFormatting sqref="H61">
    <cfRule type="containsText" dxfId="4" priority="2475" operator="containsText" text="등록">
      <formula>NOT(ISERROR(SEARCH(("등록"),(H61))))</formula>
    </cfRule>
  </conditionalFormatting>
  <conditionalFormatting sqref="J80:J81">
    <cfRule type="containsText" dxfId="0" priority="2476" operator="containsText" text="거부">
      <formula>NOT(ISERROR(SEARCH(("거부"),(J80))))</formula>
    </cfRule>
  </conditionalFormatting>
  <conditionalFormatting sqref="J80:J81">
    <cfRule type="containsText" dxfId="1" priority="2477" operator="containsText" text="리턴">
      <formula>NOT(ISERROR(SEARCH(("리턴"),(J80))))</formula>
    </cfRule>
  </conditionalFormatting>
  <conditionalFormatting sqref="J80:J81">
    <cfRule type="containsText" dxfId="2" priority="2478" operator="containsText" text="실패">
      <formula>NOT(ISERROR(SEARCH(("실패"),(J80))))</formula>
    </cfRule>
  </conditionalFormatting>
  <conditionalFormatting sqref="J80:J81">
    <cfRule type="containsText" dxfId="3" priority="2479" operator="containsText" text="관리">
      <formula>NOT(ISERROR(SEARCH(("관리"),(J80))))</formula>
    </cfRule>
  </conditionalFormatting>
  <conditionalFormatting sqref="J80:J81">
    <cfRule type="containsText" dxfId="4" priority="2480" operator="containsText" text="등록">
      <formula>NOT(ISERROR(SEARCH(("등록"),(J80))))</formula>
    </cfRule>
  </conditionalFormatting>
  <conditionalFormatting sqref="A81 D80:H81">
    <cfRule type="containsText" dxfId="0" priority="2481" operator="containsText" text="거부">
      <formula>NOT(ISERROR(SEARCH(("거부"),(A81))))</formula>
    </cfRule>
  </conditionalFormatting>
  <conditionalFormatting sqref="A81 D80:H81">
    <cfRule type="containsText" dxfId="1" priority="2482" operator="containsText" text="리턴">
      <formula>NOT(ISERROR(SEARCH(("리턴"),(A81))))</formula>
    </cfRule>
  </conditionalFormatting>
  <conditionalFormatting sqref="A81 D80:H81">
    <cfRule type="containsText" dxfId="2" priority="2483" operator="containsText" text="실패">
      <formula>NOT(ISERROR(SEARCH(("실패"),(A81))))</formula>
    </cfRule>
  </conditionalFormatting>
  <conditionalFormatting sqref="A81 D80:H81">
    <cfRule type="containsText" dxfId="3" priority="2484" operator="containsText" text="관리">
      <formula>NOT(ISERROR(SEARCH(("관리"),(A81))))</formula>
    </cfRule>
  </conditionalFormatting>
  <conditionalFormatting sqref="A81 D80:H81">
    <cfRule type="containsText" dxfId="4" priority="2485" operator="containsText" text="등록">
      <formula>NOT(ISERROR(SEARCH(("등록"),(A81))))</formula>
    </cfRule>
  </conditionalFormatting>
  <conditionalFormatting sqref="A80">
    <cfRule type="containsText" dxfId="0" priority="2486" operator="containsText" text="거부">
      <formula>NOT(ISERROR(SEARCH(("거부"),(A80))))</formula>
    </cfRule>
  </conditionalFormatting>
  <conditionalFormatting sqref="A80">
    <cfRule type="containsText" dxfId="1" priority="2487" operator="containsText" text="리턴">
      <formula>NOT(ISERROR(SEARCH(("리턴"),(A80))))</formula>
    </cfRule>
  </conditionalFormatting>
  <conditionalFormatting sqref="A80">
    <cfRule type="containsText" dxfId="2" priority="2488" operator="containsText" text="실패">
      <formula>NOT(ISERROR(SEARCH(("실패"),(A80))))</formula>
    </cfRule>
  </conditionalFormatting>
  <conditionalFormatting sqref="A80">
    <cfRule type="containsText" dxfId="3" priority="2489" operator="containsText" text="관리">
      <formula>NOT(ISERROR(SEARCH(("관리"),(A80))))</formula>
    </cfRule>
  </conditionalFormatting>
  <conditionalFormatting sqref="A80">
    <cfRule type="containsText" dxfId="4" priority="2490" operator="containsText" text="등록">
      <formula>NOT(ISERROR(SEARCH(("등록"),(A80))))</formula>
    </cfRule>
  </conditionalFormatting>
  <conditionalFormatting sqref="F99 H99">
    <cfRule type="containsText" dxfId="0" priority="2491" operator="containsText" text="거부">
      <formula>NOT(ISERROR(SEARCH(("거부"),(F99))))</formula>
    </cfRule>
  </conditionalFormatting>
  <conditionalFormatting sqref="F99 H99">
    <cfRule type="containsText" dxfId="1" priority="2492" operator="containsText" text="리턴">
      <formula>NOT(ISERROR(SEARCH(("리턴"),(F99))))</formula>
    </cfRule>
  </conditionalFormatting>
  <conditionalFormatting sqref="F99 H99">
    <cfRule type="containsText" dxfId="2" priority="2493" operator="containsText" text="실패">
      <formula>NOT(ISERROR(SEARCH(("실패"),(F99))))</formula>
    </cfRule>
  </conditionalFormatting>
  <conditionalFormatting sqref="F99 H99">
    <cfRule type="containsText" dxfId="3" priority="2494" operator="containsText" text="관리">
      <formula>NOT(ISERROR(SEARCH(("관리"),(F99))))</formula>
    </cfRule>
  </conditionalFormatting>
  <conditionalFormatting sqref="F99 H99">
    <cfRule type="containsText" dxfId="4" priority="2495" operator="containsText" text="등록">
      <formula>NOT(ISERROR(SEARCH(("등록"),(F99))))</formula>
    </cfRule>
  </conditionalFormatting>
  <conditionalFormatting sqref="F100 H100">
    <cfRule type="containsText" dxfId="0" priority="2496" operator="containsText" text="거부">
      <formula>NOT(ISERROR(SEARCH(("거부"),(F100))))</formula>
    </cfRule>
  </conditionalFormatting>
  <conditionalFormatting sqref="F100 H100">
    <cfRule type="containsText" dxfId="1" priority="2497" operator="containsText" text="리턴">
      <formula>NOT(ISERROR(SEARCH(("리턴"),(F100))))</formula>
    </cfRule>
  </conditionalFormatting>
  <conditionalFormatting sqref="F100 H100">
    <cfRule type="containsText" dxfId="2" priority="2498" operator="containsText" text="실패">
      <formula>NOT(ISERROR(SEARCH(("실패"),(F100))))</formula>
    </cfRule>
  </conditionalFormatting>
  <conditionalFormatting sqref="F100 H100">
    <cfRule type="containsText" dxfId="3" priority="2499" operator="containsText" text="관리">
      <formula>NOT(ISERROR(SEARCH(("관리"),(F100))))</formula>
    </cfRule>
  </conditionalFormatting>
  <conditionalFormatting sqref="F100 H100">
    <cfRule type="containsText" dxfId="4" priority="2500" operator="containsText" text="등록">
      <formula>NOT(ISERROR(SEARCH(("등록"),(F100))))</formula>
    </cfRule>
  </conditionalFormatting>
  <conditionalFormatting sqref="G100">
    <cfRule type="containsText" dxfId="0" priority="2501" operator="containsText" text="거부">
      <formula>NOT(ISERROR(SEARCH(("거부"),(G100))))</formula>
    </cfRule>
  </conditionalFormatting>
  <conditionalFormatting sqref="G100">
    <cfRule type="containsText" dxfId="1" priority="2502" operator="containsText" text="리턴">
      <formula>NOT(ISERROR(SEARCH(("리턴"),(G100))))</formula>
    </cfRule>
  </conditionalFormatting>
  <conditionalFormatting sqref="G100">
    <cfRule type="containsText" dxfId="2" priority="2503" operator="containsText" text="실패">
      <formula>NOT(ISERROR(SEARCH(("실패"),(G100))))</formula>
    </cfRule>
  </conditionalFormatting>
  <conditionalFormatting sqref="G100">
    <cfRule type="containsText" dxfId="3" priority="2504" operator="containsText" text="관리">
      <formula>NOT(ISERROR(SEARCH(("관리"),(G100))))</formula>
    </cfRule>
  </conditionalFormatting>
  <conditionalFormatting sqref="G100">
    <cfRule type="containsText" dxfId="4" priority="2505" operator="containsText" text="등록">
      <formula>NOT(ISERROR(SEARCH(("등록"),(G100))))</formula>
    </cfRule>
  </conditionalFormatting>
  <conditionalFormatting sqref="I105">
    <cfRule type="containsText" dxfId="0" priority="2506" operator="containsText" text="거부">
      <formula>NOT(ISERROR(SEARCH(("거부"),(I105))))</formula>
    </cfRule>
  </conditionalFormatting>
  <conditionalFormatting sqref="I105">
    <cfRule type="containsText" dxfId="1" priority="2507" operator="containsText" text="리턴">
      <formula>NOT(ISERROR(SEARCH(("리턴"),(I105))))</formula>
    </cfRule>
  </conditionalFormatting>
  <conditionalFormatting sqref="I105">
    <cfRule type="containsText" dxfId="2" priority="2508" operator="containsText" text="실패">
      <formula>NOT(ISERROR(SEARCH(("실패"),(I105))))</formula>
    </cfRule>
  </conditionalFormatting>
  <conditionalFormatting sqref="I105">
    <cfRule type="containsText" dxfId="3" priority="2509" operator="containsText" text="관리">
      <formula>NOT(ISERROR(SEARCH(("관리"),(I105))))</formula>
    </cfRule>
  </conditionalFormatting>
  <conditionalFormatting sqref="I105">
    <cfRule type="containsText" dxfId="4" priority="2510" operator="containsText" text="등록">
      <formula>NOT(ISERROR(SEARCH(("등록"),(I105))))</formula>
    </cfRule>
  </conditionalFormatting>
  <conditionalFormatting sqref="A107">
    <cfRule type="containsText" dxfId="0" priority="2511" operator="containsText" text="거부">
      <formula>NOT(ISERROR(SEARCH(("거부"),(A107))))</formula>
    </cfRule>
  </conditionalFormatting>
  <conditionalFormatting sqref="A107">
    <cfRule type="containsText" dxfId="1" priority="2512" operator="containsText" text="리턴">
      <formula>NOT(ISERROR(SEARCH(("리턴"),(A107))))</formula>
    </cfRule>
  </conditionalFormatting>
  <conditionalFormatting sqref="A107">
    <cfRule type="containsText" dxfId="2" priority="2513" operator="containsText" text="실패">
      <formula>NOT(ISERROR(SEARCH(("실패"),(A107))))</formula>
    </cfRule>
  </conditionalFormatting>
  <conditionalFormatting sqref="A107">
    <cfRule type="containsText" dxfId="3" priority="2514" operator="containsText" text="관리">
      <formula>NOT(ISERROR(SEARCH(("관리"),(A107))))</formula>
    </cfRule>
  </conditionalFormatting>
  <conditionalFormatting sqref="A107">
    <cfRule type="containsText" dxfId="4" priority="2515" operator="containsText" text="등록">
      <formula>NOT(ISERROR(SEARCH(("등록"),(A107))))</formula>
    </cfRule>
  </conditionalFormatting>
  <conditionalFormatting sqref="E107">
    <cfRule type="containsText" dxfId="0" priority="2516" operator="containsText" text="거부">
      <formula>NOT(ISERROR(SEARCH(("거부"),(E107))))</formula>
    </cfRule>
  </conditionalFormatting>
  <conditionalFormatting sqref="E107">
    <cfRule type="containsText" dxfId="1" priority="2517" operator="containsText" text="리턴">
      <formula>NOT(ISERROR(SEARCH(("리턴"),(E107))))</formula>
    </cfRule>
  </conditionalFormatting>
  <conditionalFormatting sqref="E107">
    <cfRule type="containsText" dxfId="2" priority="2518" operator="containsText" text="실패">
      <formula>NOT(ISERROR(SEARCH(("실패"),(E107))))</formula>
    </cfRule>
  </conditionalFormatting>
  <conditionalFormatting sqref="E107">
    <cfRule type="containsText" dxfId="3" priority="2519" operator="containsText" text="관리">
      <formula>NOT(ISERROR(SEARCH(("관리"),(E107))))</formula>
    </cfRule>
  </conditionalFormatting>
  <conditionalFormatting sqref="E107">
    <cfRule type="containsText" dxfId="4" priority="2520" operator="containsText" text="등록">
      <formula>NOT(ISERROR(SEARCH(("등록"),(E107))))</formula>
    </cfRule>
  </conditionalFormatting>
  <conditionalFormatting sqref="D107">
    <cfRule type="containsText" dxfId="0" priority="2521" operator="containsText" text="거부">
      <formula>NOT(ISERROR(SEARCH(("거부"),(D107))))</formula>
    </cfRule>
  </conditionalFormatting>
  <conditionalFormatting sqref="D107">
    <cfRule type="containsText" dxfId="1" priority="2522" operator="containsText" text="리턴">
      <formula>NOT(ISERROR(SEARCH(("리턴"),(D107))))</formula>
    </cfRule>
  </conditionalFormatting>
  <conditionalFormatting sqref="D107">
    <cfRule type="containsText" dxfId="2" priority="2523" operator="containsText" text="실패">
      <formula>NOT(ISERROR(SEARCH(("실패"),(D107))))</formula>
    </cfRule>
  </conditionalFormatting>
  <conditionalFormatting sqref="D107">
    <cfRule type="containsText" dxfId="3" priority="2524" operator="containsText" text="관리">
      <formula>NOT(ISERROR(SEARCH(("관리"),(D107))))</formula>
    </cfRule>
  </conditionalFormatting>
  <conditionalFormatting sqref="D107">
    <cfRule type="containsText" dxfId="4" priority="2525" operator="containsText" text="등록">
      <formula>NOT(ISERROR(SEARCH(("등록"),(D107))))</formula>
    </cfRule>
  </conditionalFormatting>
  <conditionalFormatting sqref="J107">
    <cfRule type="containsText" dxfId="0" priority="2526" operator="containsText" text="거부">
      <formula>NOT(ISERROR(SEARCH(("거부"),(J107))))</formula>
    </cfRule>
  </conditionalFormatting>
  <conditionalFormatting sqref="J107">
    <cfRule type="containsText" dxfId="1" priority="2527" operator="containsText" text="리턴">
      <formula>NOT(ISERROR(SEARCH(("리턴"),(J107))))</formula>
    </cfRule>
  </conditionalFormatting>
  <conditionalFormatting sqref="J107">
    <cfRule type="containsText" dxfId="2" priority="2528" operator="containsText" text="실패">
      <formula>NOT(ISERROR(SEARCH(("실패"),(J107))))</formula>
    </cfRule>
  </conditionalFormatting>
  <conditionalFormatting sqref="J107">
    <cfRule type="containsText" dxfId="3" priority="2529" operator="containsText" text="관리">
      <formula>NOT(ISERROR(SEARCH(("관리"),(J107))))</formula>
    </cfRule>
  </conditionalFormatting>
  <conditionalFormatting sqref="J107">
    <cfRule type="containsText" dxfId="4" priority="2530" operator="containsText" text="등록">
      <formula>NOT(ISERROR(SEARCH(("등록"),(J107))))</formula>
    </cfRule>
  </conditionalFormatting>
  <conditionalFormatting sqref="F15">
    <cfRule type="containsText" dxfId="0" priority="2531" operator="containsText" text="거부">
      <formula>NOT(ISERROR(SEARCH(("거부"),(F15))))</formula>
    </cfRule>
  </conditionalFormatting>
  <conditionalFormatting sqref="F15">
    <cfRule type="containsText" dxfId="1" priority="2532" operator="containsText" text="리턴">
      <formula>NOT(ISERROR(SEARCH(("리턴"),(F15))))</formula>
    </cfRule>
  </conditionalFormatting>
  <conditionalFormatting sqref="F15">
    <cfRule type="containsText" dxfId="2" priority="2533" operator="containsText" text="실패">
      <formula>NOT(ISERROR(SEARCH(("실패"),(F15))))</formula>
    </cfRule>
  </conditionalFormatting>
  <conditionalFormatting sqref="F15">
    <cfRule type="containsText" dxfId="3" priority="2534" operator="containsText" text="관리">
      <formula>NOT(ISERROR(SEARCH(("관리"),(F15))))</formula>
    </cfRule>
  </conditionalFormatting>
  <conditionalFormatting sqref="F15">
    <cfRule type="containsText" dxfId="4" priority="2535" operator="containsText" text="등록">
      <formula>NOT(ISERROR(SEARCH(("등록"),(F15))))</formula>
    </cfRule>
  </conditionalFormatting>
  <conditionalFormatting sqref="F21">
    <cfRule type="containsText" dxfId="0" priority="2536" operator="containsText" text="거부">
      <formula>NOT(ISERROR(SEARCH(("거부"),(F21))))</formula>
    </cfRule>
  </conditionalFormatting>
  <conditionalFormatting sqref="F21">
    <cfRule type="containsText" dxfId="1" priority="2537" operator="containsText" text="리턴">
      <formula>NOT(ISERROR(SEARCH(("리턴"),(F21))))</formula>
    </cfRule>
  </conditionalFormatting>
  <conditionalFormatting sqref="F21">
    <cfRule type="containsText" dxfId="2" priority="2538" operator="containsText" text="실패">
      <formula>NOT(ISERROR(SEARCH(("실패"),(F21))))</formula>
    </cfRule>
  </conditionalFormatting>
  <conditionalFormatting sqref="F21">
    <cfRule type="containsText" dxfId="3" priority="2539" operator="containsText" text="관리">
      <formula>NOT(ISERROR(SEARCH(("관리"),(F21))))</formula>
    </cfRule>
  </conditionalFormatting>
  <conditionalFormatting sqref="F21">
    <cfRule type="containsText" dxfId="4" priority="2540" operator="containsText" text="등록">
      <formula>NOT(ISERROR(SEARCH(("등록"),(F21))))</formula>
    </cfRule>
  </conditionalFormatting>
  <conditionalFormatting sqref="A22">
    <cfRule type="containsText" dxfId="0" priority="2541" operator="containsText" text="거부">
      <formula>NOT(ISERROR(SEARCH(("거부"),(A22))))</formula>
    </cfRule>
  </conditionalFormatting>
  <conditionalFormatting sqref="A22">
    <cfRule type="containsText" dxfId="1" priority="2542" operator="containsText" text="리턴">
      <formula>NOT(ISERROR(SEARCH(("리턴"),(A22))))</formula>
    </cfRule>
  </conditionalFormatting>
  <conditionalFormatting sqref="A22">
    <cfRule type="containsText" dxfId="2" priority="2543" operator="containsText" text="실패">
      <formula>NOT(ISERROR(SEARCH(("실패"),(A22))))</formula>
    </cfRule>
  </conditionalFormatting>
  <conditionalFormatting sqref="A22">
    <cfRule type="containsText" dxfId="3" priority="2544" operator="containsText" text="관리">
      <formula>NOT(ISERROR(SEARCH(("관리"),(A22))))</formula>
    </cfRule>
  </conditionalFormatting>
  <conditionalFormatting sqref="A22">
    <cfRule type="containsText" dxfId="4" priority="2545" operator="containsText" text="등록">
      <formula>NOT(ISERROR(SEARCH(("등록"),(A22))))</formula>
    </cfRule>
  </conditionalFormatting>
  <conditionalFormatting sqref="A22">
    <cfRule type="containsText" dxfId="0" priority="2546" operator="containsText" text="거부">
      <formula>NOT(ISERROR(SEARCH(("거부"),(A22))))</formula>
    </cfRule>
  </conditionalFormatting>
  <conditionalFormatting sqref="A22">
    <cfRule type="containsText" dxfId="1" priority="2547" operator="containsText" text="리턴">
      <formula>NOT(ISERROR(SEARCH(("리턴"),(A22))))</formula>
    </cfRule>
  </conditionalFormatting>
  <conditionalFormatting sqref="A22">
    <cfRule type="containsText" dxfId="2" priority="2548" operator="containsText" text="실패">
      <formula>NOT(ISERROR(SEARCH(("실패"),(A22))))</formula>
    </cfRule>
  </conditionalFormatting>
  <conditionalFormatting sqref="A22">
    <cfRule type="containsText" dxfId="3" priority="2549" operator="containsText" text="관리">
      <formula>NOT(ISERROR(SEARCH(("관리"),(A22))))</formula>
    </cfRule>
  </conditionalFormatting>
  <conditionalFormatting sqref="A22">
    <cfRule type="containsText" dxfId="4" priority="2550" operator="containsText" text="등록">
      <formula>NOT(ISERROR(SEARCH(("등록"),(A22))))</formula>
    </cfRule>
  </conditionalFormatting>
  <conditionalFormatting sqref="A22">
    <cfRule type="containsText" dxfId="0" priority="2551" operator="containsText" text="거부">
      <formula>NOT(ISERROR(SEARCH(("거부"),(A22))))</formula>
    </cfRule>
  </conditionalFormatting>
  <conditionalFormatting sqref="A22">
    <cfRule type="containsText" dxfId="1" priority="2552" operator="containsText" text="리턴">
      <formula>NOT(ISERROR(SEARCH(("리턴"),(A22))))</formula>
    </cfRule>
  </conditionalFormatting>
  <conditionalFormatting sqref="A22">
    <cfRule type="containsText" dxfId="2" priority="2553" operator="containsText" text="실패">
      <formula>NOT(ISERROR(SEARCH(("실패"),(A22))))</formula>
    </cfRule>
  </conditionalFormatting>
  <conditionalFormatting sqref="A22">
    <cfRule type="containsText" dxfId="3" priority="2554" operator="containsText" text="관리">
      <formula>NOT(ISERROR(SEARCH(("관리"),(A22))))</formula>
    </cfRule>
  </conditionalFormatting>
  <conditionalFormatting sqref="A22">
    <cfRule type="containsText" dxfId="4" priority="2555" operator="containsText" text="등록">
      <formula>NOT(ISERROR(SEARCH(("등록"),(A22))))</formula>
    </cfRule>
  </conditionalFormatting>
  <conditionalFormatting sqref="A22">
    <cfRule type="containsText" dxfId="0" priority="2556" operator="containsText" text="거부">
      <formula>NOT(ISERROR(SEARCH(("거부"),(A22))))</formula>
    </cfRule>
  </conditionalFormatting>
  <conditionalFormatting sqref="A22">
    <cfRule type="containsText" dxfId="1" priority="2557" operator="containsText" text="리턴">
      <formula>NOT(ISERROR(SEARCH(("리턴"),(A22))))</formula>
    </cfRule>
  </conditionalFormatting>
  <conditionalFormatting sqref="A22">
    <cfRule type="containsText" dxfId="2" priority="2558" operator="containsText" text="실패">
      <formula>NOT(ISERROR(SEARCH(("실패"),(A22))))</formula>
    </cfRule>
  </conditionalFormatting>
  <conditionalFormatting sqref="A22">
    <cfRule type="containsText" dxfId="3" priority="2559" operator="containsText" text="관리">
      <formula>NOT(ISERROR(SEARCH(("관리"),(A22))))</formula>
    </cfRule>
  </conditionalFormatting>
  <conditionalFormatting sqref="A22">
    <cfRule type="containsText" dxfId="4" priority="2560" operator="containsText" text="등록">
      <formula>NOT(ISERROR(SEARCH(("등록"),(A22))))</formula>
    </cfRule>
  </conditionalFormatting>
  <conditionalFormatting sqref="A22">
    <cfRule type="containsText" dxfId="0" priority="2561" operator="containsText" text="거부">
      <formula>NOT(ISERROR(SEARCH(("거부"),(A22))))</formula>
    </cfRule>
  </conditionalFormatting>
  <conditionalFormatting sqref="A22">
    <cfRule type="containsText" dxfId="1" priority="2562" operator="containsText" text="리턴">
      <formula>NOT(ISERROR(SEARCH(("리턴"),(A22))))</formula>
    </cfRule>
  </conditionalFormatting>
  <conditionalFormatting sqref="A22">
    <cfRule type="containsText" dxfId="2" priority="2563" operator="containsText" text="실패">
      <formula>NOT(ISERROR(SEARCH(("실패"),(A22))))</formula>
    </cfRule>
  </conditionalFormatting>
  <conditionalFormatting sqref="A22">
    <cfRule type="containsText" dxfId="3" priority="2564" operator="containsText" text="관리">
      <formula>NOT(ISERROR(SEARCH(("관리"),(A22))))</formula>
    </cfRule>
  </conditionalFormatting>
  <conditionalFormatting sqref="A22">
    <cfRule type="containsText" dxfId="4" priority="2565" operator="containsText" text="등록">
      <formula>NOT(ISERROR(SEARCH(("등록"),(A22))))</formula>
    </cfRule>
  </conditionalFormatting>
  <conditionalFormatting sqref="D46">
    <cfRule type="containsText" dxfId="0" priority="2566" operator="containsText" text="거부">
      <formula>NOT(ISERROR(SEARCH(("거부"),(D46))))</formula>
    </cfRule>
  </conditionalFormatting>
  <conditionalFormatting sqref="D46">
    <cfRule type="containsText" dxfId="1" priority="2567" operator="containsText" text="리턴">
      <formula>NOT(ISERROR(SEARCH(("리턴"),(D46))))</formula>
    </cfRule>
  </conditionalFormatting>
  <conditionalFormatting sqref="D46">
    <cfRule type="containsText" dxfId="2" priority="2568" operator="containsText" text="실패">
      <formula>NOT(ISERROR(SEARCH(("실패"),(D46))))</formula>
    </cfRule>
  </conditionalFormatting>
  <conditionalFormatting sqref="D46">
    <cfRule type="containsText" dxfId="3" priority="2569" operator="containsText" text="관리">
      <formula>NOT(ISERROR(SEARCH(("관리"),(D46))))</formula>
    </cfRule>
  </conditionalFormatting>
  <conditionalFormatting sqref="D46">
    <cfRule type="containsText" dxfId="4" priority="2570" operator="containsText" text="등록">
      <formula>NOT(ISERROR(SEARCH(("등록"),(D46))))</formula>
    </cfRule>
  </conditionalFormatting>
  <conditionalFormatting sqref="J46">
    <cfRule type="containsText" dxfId="0" priority="2571" operator="containsText" text="거부">
      <formula>NOT(ISERROR(SEARCH(("거부"),(J46))))</formula>
    </cfRule>
  </conditionalFormatting>
  <conditionalFormatting sqref="J46">
    <cfRule type="containsText" dxfId="1" priority="2572" operator="containsText" text="리턴">
      <formula>NOT(ISERROR(SEARCH(("리턴"),(J46))))</formula>
    </cfRule>
  </conditionalFormatting>
  <conditionalFormatting sqref="J46">
    <cfRule type="containsText" dxfId="2" priority="2573" operator="containsText" text="실패">
      <formula>NOT(ISERROR(SEARCH(("실패"),(J46))))</formula>
    </cfRule>
  </conditionalFormatting>
  <conditionalFormatting sqref="J46">
    <cfRule type="containsText" dxfId="3" priority="2574" operator="containsText" text="관리">
      <formula>NOT(ISERROR(SEARCH(("관리"),(J46))))</formula>
    </cfRule>
  </conditionalFormatting>
  <conditionalFormatting sqref="J46">
    <cfRule type="containsText" dxfId="4" priority="2575" operator="containsText" text="등록">
      <formula>NOT(ISERROR(SEARCH(("등록"),(J46))))</formula>
    </cfRule>
  </conditionalFormatting>
  <conditionalFormatting sqref="J46">
    <cfRule type="containsText" dxfId="0" priority="2576" operator="containsText" text="거부">
      <formula>NOT(ISERROR(SEARCH(("거부"),(J46))))</formula>
    </cfRule>
  </conditionalFormatting>
  <conditionalFormatting sqref="J46">
    <cfRule type="containsText" dxfId="1" priority="2577" operator="containsText" text="리턴">
      <formula>NOT(ISERROR(SEARCH(("리턴"),(J46))))</formula>
    </cfRule>
  </conditionalFormatting>
  <conditionalFormatting sqref="J46">
    <cfRule type="containsText" dxfId="2" priority="2578" operator="containsText" text="실패">
      <formula>NOT(ISERROR(SEARCH(("실패"),(J46))))</formula>
    </cfRule>
  </conditionalFormatting>
  <conditionalFormatting sqref="J46">
    <cfRule type="containsText" dxfId="3" priority="2579" operator="containsText" text="관리">
      <formula>NOT(ISERROR(SEARCH(("관리"),(J46))))</formula>
    </cfRule>
  </conditionalFormatting>
  <conditionalFormatting sqref="J46">
    <cfRule type="containsText" dxfId="4" priority="2580" operator="containsText" text="등록">
      <formula>NOT(ISERROR(SEARCH(("등록"),(J46))))</formula>
    </cfRule>
  </conditionalFormatting>
  <conditionalFormatting sqref="D46">
    <cfRule type="containsText" dxfId="0" priority="2581" operator="containsText" text="거부">
      <formula>NOT(ISERROR(SEARCH(("거부"),(D46))))</formula>
    </cfRule>
  </conditionalFormatting>
  <conditionalFormatting sqref="D46">
    <cfRule type="containsText" dxfId="1" priority="2582" operator="containsText" text="리턴">
      <formula>NOT(ISERROR(SEARCH(("리턴"),(D46))))</formula>
    </cfRule>
  </conditionalFormatting>
  <conditionalFormatting sqref="D46">
    <cfRule type="containsText" dxfId="2" priority="2583" operator="containsText" text="실패">
      <formula>NOT(ISERROR(SEARCH(("실패"),(D46))))</formula>
    </cfRule>
  </conditionalFormatting>
  <conditionalFormatting sqref="D46">
    <cfRule type="containsText" dxfId="3" priority="2584" operator="containsText" text="관리">
      <formula>NOT(ISERROR(SEARCH(("관리"),(D46))))</formula>
    </cfRule>
  </conditionalFormatting>
  <conditionalFormatting sqref="D46">
    <cfRule type="containsText" dxfId="4" priority="2585" operator="containsText" text="등록">
      <formula>NOT(ISERROR(SEARCH(("등록"),(D46))))</formula>
    </cfRule>
  </conditionalFormatting>
  <conditionalFormatting sqref="I45">
    <cfRule type="containsText" dxfId="0" priority="2586" operator="containsText" text="거부">
      <formula>NOT(ISERROR(SEARCH(("거부"),(I45))))</formula>
    </cfRule>
  </conditionalFormatting>
  <conditionalFormatting sqref="I45">
    <cfRule type="containsText" dxfId="1" priority="2587" operator="containsText" text="리턴">
      <formula>NOT(ISERROR(SEARCH(("리턴"),(I45))))</formula>
    </cfRule>
  </conditionalFormatting>
  <conditionalFormatting sqref="I45">
    <cfRule type="containsText" dxfId="2" priority="2588" operator="containsText" text="실패">
      <formula>NOT(ISERROR(SEARCH(("실패"),(I45))))</formula>
    </cfRule>
  </conditionalFormatting>
  <conditionalFormatting sqref="I45">
    <cfRule type="containsText" dxfId="3" priority="2589" operator="containsText" text="관리">
      <formula>NOT(ISERROR(SEARCH(("관리"),(I45))))</formula>
    </cfRule>
  </conditionalFormatting>
  <conditionalFormatting sqref="I45">
    <cfRule type="containsText" dxfId="4" priority="2590" operator="containsText" text="등록">
      <formula>NOT(ISERROR(SEARCH(("등록"),(I45))))</formula>
    </cfRule>
  </conditionalFormatting>
  <conditionalFormatting sqref="I45">
    <cfRule type="containsText" dxfId="0" priority="2591" operator="containsText" text="거부">
      <formula>NOT(ISERROR(SEARCH(("거부"),(I45))))</formula>
    </cfRule>
  </conditionalFormatting>
  <conditionalFormatting sqref="I45">
    <cfRule type="containsText" dxfId="1" priority="2592" operator="containsText" text="리턴">
      <formula>NOT(ISERROR(SEARCH(("리턴"),(I45))))</formula>
    </cfRule>
  </conditionalFormatting>
  <conditionalFormatting sqref="I45">
    <cfRule type="containsText" dxfId="2" priority="2593" operator="containsText" text="실패">
      <formula>NOT(ISERROR(SEARCH(("실패"),(I45))))</formula>
    </cfRule>
  </conditionalFormatting>
  <conditionalFormatting sqref="I45">
    <cfRule type="containsText" dxfId="3" priority="2594" operator="containsText" text="관리">
      <formula>NOT(ISERROR(SEARCH(("관리"),(I45))))</formula>
    </cfRule>
  </conditionalFormatting>
  <conditionalFormatting sqref="I45">
    <cfRule type="containsText" dxfId="4" priority="2595" operator="containsText" text="등록">
      <formula>NOT(ISERROR(SEARCH(("등록"),(I45))))</formula>
    </cfRule>
  </conditionalFormatting>
  <conditionalFormatting sqref="A70">
    <cfRule type="containsText" dxfId="0" priority="2596" operator="containsText" text="거부">
      <formula>NOT(ISERROR(SEARCH(("거부"),(A70))))</formula>
    </cfRule>
  </conditionalFormatting>
  <conditionalFormatting sqref="A70">
    <cfRule type="containsText" dxfId="1" priority="2597" operator="containsText" text="리턴">
      <formula>NOT(ISERROR(SEARCH(("리턴"),(A70))))</formula>
    </cfRule>
  </conditionalFormatting>
  <conditionalFormatting sqref="A70">
    <cfRule type="containsText" dxfId="2" priority="2598" operator="containsText" text="실패">
      <formula>NOT(ISERROR(SEARCH(("실패"),(A70))))</formula>
    </cfRule>
  </conditionalFormatting>
  <conditionalFormatting sqref="A70">
    <cfRule type="containsText" dxfId="3" priority="2599" operator="containsText" text="관리">
      <formula>NOT(ISERROR(SEARCH(("관리"),(A70))))</formula>
    </cfRule>
  </conditionalFormatting>
  <conditionalFormatting sqref="A70">
    <cfRule type="containsText" dxfId="4" priority="2600" operator="containsText" text="등록">
      <formula>NOT(ISERROR(SEARCH(("등록"),(A70))))</formula>
    </cfRule>
  </conditionalFormatting>
  <conditionalFormatting sqref="A104:A105">
    <cfRule type="containsText" dxfId="0" priority="2601" operator="containsText" text="거부">
      <formula>NOT(ISERROR(SEARCH(("거부"),(A104))))</formula>
    </cfRule>
  </conditionalFormatting>
  <conditionalFormatting sqref="A104:A105">
    <cfRule type="containsText" dxfId="1" priority="2602" operator="containsText" text="리턴">
      <formula>NOT(ISERROR(SEARCH(("리턴"),(A104))))</formula>
    </cfRule>
  </conditionalFormatting>
  <conditionalFormatting sqref="A104:A105">
    <cfRule type="containsText" dxfId="2" priority="2603" operator="containsText" text="실패">
      <formula>NOT(ISERROR(SEARCH(("실패"),(A104))))</formula>
    </cfRule>
  </conditionalFormatting>
  <conditionalFormatting sqref="A104:A105">
    <cfRule type="containsText" dxfId="3" priority="2604" operator="containsText" text="관리">
      <formula>NOT(ISERROR(SEARCH(("관리"),(A104))))</formula>
    </cfRule>
  </conditionalFormatting>
  <conditionalFormatting sqref="A104:A105">
    <cfRule type="containsText" dxfId="4" priority="2605" operator="containsText" text="등록">
      <formula>NOT(ISERROR(SEARCH(("등록"),(A104))))</formula>
    </cfRule>
  </conditionalFormatting>
  <conditionalFormatting sqref="G104:G105">
    <cfRule type="containsText" dxfId="0" priority="2606" operator="containsText" text="거부">
      <formula>NOT(ISERROR(SEARCH(("거부"),(G104))))</formula>
    </cfRule>
  </conditionalFormatting>
  <conditionalFormatting sqref="G104:G105">
    <cfRule type="containsText" dxfId="1" priority="2607" operator="containsText" text="리턴">
      <formula>NOT(ISERROR(SEARCH(("리턴"),(G104))))</formula>
    </cfRule>
  </conditionalFormatting>
  <conditionalFormatting sqref="G104:G105">
    <cfRule type="containsText" dxfId="2" priority="2608" operator="containsText" text="실패">
      <formula>NOT(ISERROR(SEARCH(("실패"),(G104))))</formula>
    </cfRule>
  </conditionalFormatting>
  <conditionalFormatting sqref="G104:G105">
    <cfRule type="containsText" dxfId="3" priority="2609" operator="containsText" text="관리">
      <formula>NOT(ISERROR(SEARCH(("관리"),(G104))))</formula>
    </cfRule>
  </conditionalFormatting>
  <conditionalFormatting sqref="G104:G105">
    <cfRule type="containsText" dxfId="4" priority="2610" operator="containsText" text="등록">
      <formula>NOT(ISERROR(SEARCH(("등록"),(G104))))</formula>
    </cfRule>
  </conditionalFormatting>
  <conditionalFormatting sqref="J104:J105">
    <cfRule type="containsText" dxfId="0" priority="2611" operator="containsText" text="거부">
      <formula>NOT(ISERROR(SEARCH(("거부"),(J104))))</formula>
    </cfRule>
  </conditionalFormatting>
  <conditionalFormatting sqref="J104:J105">
    <cfRule type="containsText" dxfId="1" priority="2612" operator="containsText" text="리턴">
      <formula>NOT(ISERROR(SEARCH(("리턴"),(J104))))</formula>
    </cfRule>
  </conditionalFormatting>
  <conditionalFormatting sqref="J104:J105">
    <cfRule type="containsText" dxfId="2" priority="2613" operator="containsText" text="실패">
      <formula>NOT(ISERROR(SEARCH(("실패"),(J104))))</formula>
    </cfRule>
  </conditionalFormatting>
  <conditionalFormatting sqref="J104:J105">
    <cfRule type="containsText" dxfId="3" priority="2614" operator="containsText" text="관리">
      <formula>NOT(ISERROR(SEARCH(("관리"),(J104))))</formula>
    </cfRule>
  </conditionalFormatting>
  <conditionalFormatting sqref="J104:J105">
    <cfRule type="containsText" dxfId="4" priority="2615" operator="containsText" text="등록">
      <formula>NOT(ISERROR(SEARCH(("등록"),(J104))))</formula>
    </cfRule>
  </conditionalFormatting>
  <conditionalFormatting sqref="H6">
    <cfRule type="containsText" dxfId="0" priority="2616" operator="containsText" text="거부">
      <formula>NOT(ISERROR(SEARCH(("거부"),(H6))))</formula>
    </cfRule>
  </conditionalFormatting>
  <conditionalFormatting sqref="H6">
    <cfRule type="containsText" dxfId="1" priority="2617" operator="containsText" text="리턴">
      <formula>NOT(ISERROR(SEARCH(("리턴"),(H6))))</formula>
    </cfRule>
  </conditionalFormatting>
  <conditionalFormatting sqref="H6">
    <cfRule type="containsText" dxfId="2" priority="2618" operator="containsText" text="실패">
      <formula>NOT(ISERROR(SEARCH(("실패"),(H6))))</formula>
    </cfRule>
  </conditionalFormatting>
  <conditionalFormatting sqref="H6">
    <cfRule type="containsText" dxfId="3" priority="2619" operator="containsText" text="관리">
      <formula>NOT(ISERROR(SEARCH(("관리"),(H6))))</formula>
    </cfRule>
  </conditionalFormatting>
  <conditionalFormatting sqref="H6">
    <cfRule type="containsText" dxfId="4" priority="2620" operator="containsText" text="등록">
      <formula>NOT(ISERROR(SEARCH(("등록"),(H6))))</formula>
    </cfRule>
  </conditionalFormatting>
  <conditionalFormatting sqref="G6">
    <cfRule type="containsText" dxfId="0" priority="2621" operator="containsText" text="거부">
      <formula>NOT(ISERROR(SEARCH(("거부"),(G6))))</formula>
    </cfRule>
  </conditionalFormatting>
  <conditionalFormatting sqref="G6">
    <cfRule type="containsText" dxfId="1" priority="2622" operator="containsText" text="리턴">
      <formula>NOT(ISERROR(SEARCH(("리턴"),(G6))))</formula>
    </cfRule>
  </conditionalFormatting>
  <conditionalFormatting sqref="G6">
    <cfRule type="containsText" dxfId="2" priority="2623" operator="containsText" text="실패">
      <formula>NOT(ISERROR(SEARCH(("실패"),(G6))))</formula>
    </cfRule>
  </conditionalFormatting>
  <conditionalFormatting sqref="G6">
    <cfRule type="containsText" dxfId="3" priority="2624" operator="containsText" text="관리">
      <formula>NOT(ISERROR(SEARCH(("관리"),(G6))))</formula>
    </cfRule>
  </conditionalFormatting>
  <conditionalFormatting sqref="G6">
    <cfRule type="containsText" dxfId="4" priority="2625" operator="containsText" text="등록">
      <formula>NOT(ISERROR(SEARCH(("등록"),(G6))))</formula>
    </cfRule>
  </conditionalFormatting>
  <conditionalFormatting sqref="H6">
    <cfRule type="containsText" dxfId="0" priority="2626" operator="containsText" text="거부">
      <formula>NOT(ISERROR(SEARCH(("거부"),(H6))))</formula>
    </cfRule>
  </conditionalFormatting>
  <conditionalFormatting sqref="H6">
    <cfRule type="containsText" dxfId="1" priority="2627" operator="containsText" text="리턴">
      <formula>NOT(ISERROR(SEARCH(("리턴"),(H6))))</formula>
    </cfRule>
  </conditionalFormatting>
  <conditionalFormatting sqref="H6">
    <cfRule type="containsText" dxfId="2" priority="2628" operator="containsText" text="실패">
      <formula>NOT(ISERROR(SEARCH(("실패"),(H6))))</formula>
    </cfRule>
  </conditionalFormatting>
  <conditionalFormatting sqref="H6">
    <cfRule type="containsText" dxfId="3" priority="2629" operator="containsText" text="관리">
      <formula>NOT(ISERROR(SEARCH(("관리"),(H6))))</formula>
    </cfRule>
  </conditionalFormatting>
  <conditionalFormatting sqref="H6">
    <cfRule type="containsText" dxfId="4" priority="2630" operator="containsText" text="등록">
      <formula>NOT(ISERROR(SEARCH(("등록"),(H6))))</formula>
    </cfRule>
  </conditionalFormatting>
  <conditionalFormatting sqref="G6">
    <cfRule type="containsText" dxfId="0" priority="2631" operator="containsText" text="거부">
      <formula>NOT(ISERROR(SEARCH(("거부"),(G6))))</formula>
    </cfRule>
  </conditionalFormatting>
  <conditionalFormatting sqref="G6">
    <cfRule type="containsText" dxfId="1" priority="2632" operator="containsText" text="리턴">
      <formula>NOT(ISERROR(SEARCH(("리턴"),(G6))))</formula>
    </cfRule>
  </conditionalFormatting>
  <conditionalFormatting sqref="G6">
    <cfRule type="containsText" dxfId="2" priority="2633" operator="containsText" text="실패">
      <formula>NOT(ISERROR(SEARCH(("실패"),(G6))))</formula>
    </cfRule>
  </conditionalFormatting>
  <conditionalFormatting sqref="G6">
    <cfRule type="containsText" dxfId="3" priority="2634" operator="containsText" text="관리">
      <formula>NOT(ISERROR(SEARCH(("관리"),(G6))))</formula>
    </cfRule>
  </conditionalFormatting>
  <conditionalFormatting sqref="G6">
    <cfRule type="containsText" dxfId="4" priority="2635" operator="containsText" text="등록">
      <formula>NOT(ISERROR(SEARCH(("등록"),(G6))))</formula>
    </cfRule>
  </conditionalFormatting>
  <conditionalFormatting sqref="I13">
    <cfRule type="containsText" dxfId="0" priority="2636" operator="containsText" text="거부">
      <formula>NOT(ISERROR(SEARCH(("거부"),(I13))))</formula>
    </cfRule>
  </conditionalFormatting>
  <conditionalFormatting sqref="I13">
    <cfRule type="containsText" dxfId="1" priority="2637" operator="containsText" text="리턴">
      <formula>NOT(ISERROR(SEARCH(("리턴"),(I13))))</formula>
    </cfRule>
  </conditionalFormatting>
  <conditionalFormatting sqref="I13">
    <cfRule type="containsText" dxfId="2" priority="2638" operator="containsText" text="실패">
      <formula>NOT(ISERROR(SEARCH(("실패"),(I13))))</formula>
    </cfRule>
  </conditionalFormatting>
  <conditionalFormatting sqref="I13">
    <cfRule type="containsText" dxfId="3" priority="2639" operator="containsText" text="관리">
      <formula>NOT(ISERROR(SEARCH(("관리"),(I13))))</formula>
    </cfRule>
  </conditionalFormatting>
  <conditionalFormatting sqref="I13">
    <cfRule type="containsText" dxfId="4" priority="2640" operator="containsText" text="등록">
      <formula>NOT(ISERROR(SEARCH(("등록"),(I13))))</formula>
    </cfRule>
  </conditionalFormatting>
  <conditionalFormatting sqref="I13">
    <cfRule type="containsText" dxfId="0" priority="2641" operator="containsText" text="거부">
      <formula>NOT(ISERROR(SEARCH(("거부"),(I13))))</formula>
    </cfRule>
  </conditionalFormatting>
  <conditionalFormatting sqref="I13">
    <cfRule type="containsText" dxfId="1" priority="2642" operator="containsText" text="리턴">
      <formula>NOT(ISERROR(SEARCH(("리턴"),(I13))))</formula>
    </cfRule>
  </conditionalFormatting>
  <conditionalFormatting sqref="I13">
    <cfRule type="containsText" dxfId="2" priority="2643" operator="containsText" text="실패">
      <formula>NOT(ISERROR(SEARCH(("실패"),(I13))))</formula>
    </cfRule>
  </conditionalFormatting>
  <conditionalFormatting sqref="I13">
    <cfRule type="containsText" dxfId="3" priority="2644" operator="containsText" text="관리">
      <formula>NOT(ISERROR(SEARCH(("관리"),(I13))))</formula>
    </cfRule>
  </conditionalFormatting>
  <conditionalFormatting sqref="I13">
    <cfRule type="containsText" dxfId="4" priority="2645" operator="containsText" text="등록">
      <formula>NOT(ISERROR(SEARCH(("등록"),(I13))))</formula>
    </cfRule>
  </conditionalFormatting>
  <conditionalFormatting sqref="H14:H15">
    <cfRule type="containsText" dxfId="0" priority="2646" operator="containsText" text="거부">
      <formula>NOT(ISERROR(SEARCH(("거부"),(H14))))</formula>
    </cfRule>
  </conditionalFormatting>
  <conditionalFormatting sqref="H14:H15">
    <cfRule type="containsText" dxfId="1" priority="2647" operator="containsText" text="리턴">
      <formula>NOT(ISERROR(SEARCH(("리턴"),(H14))))</formula>
    </cfRule>
  </conditionalFormatting>
  <conditionalFormatting sqref="H14:H15">
    <cfRule type="containsText" dxfId="2" priority="2648" operator="containsText" text="실패">
      <formula>NOT(ISERROR(SEARCH(("실패"),(H14))))</formula>
    </cfRule>
  </conditionalFormatting>
  <conditionalFormatting sqref="H14:H15">
    <cfRule type="containsText" dxfId="3" priority="2649" operator="containsText" text="관리">
      <formula>NOT(ISERROR(SEARCH(("관리"),(H14))))</formula>
    </cfRule>
  </conditionalFormatting>
  <conditionalFormatting sqref="H14:H15">
    <cfRule type="containsText" dxfId="4" priority="2650" operator="containsText" text="등록">
      <formula>NOT(ISERROR(SEARCH(("등록"),(H14))))</formula>
    </cfRule>
  </conditionalFormatting>
  <conditionalFormatting sqref="F14">
    <cfRule type="containsText" dxfId="0" priority="2651" operator="containsText" text="거부">
      <formula>NOT(ISERROR(SEARCH(("거부"),(F14))))</formula>
    </cfRule>
  </conditionalFormatting>
  <conditionalFormatting sqref="F14">
    <cfRule type="containsText" dxfId="1" priority="2652" operator="containsText" text="리턴">
      <formula>NOT(ISERROR(SEARCH(("리턴"),(F14))))</formula>
    </cfRule>
  </conditionalFormatting>
  <conditionalFormatting sqref="F14">
    <cfRule type="containsText" dxfId="2" priority="2653" operator="containsText" text="실패">
      <formula>NOT(ISERROR(SEARCH(("실패"),(F14))))</formula>
    </cfRule>
  </conditionalFormatting>
  <conditionalFormatting sqref="F14">
    <cfRule type="containsText" dxfId="3" priority="2654" operator="containsText" text="관리">
      <formula>NOT(ISERROR(SEARCH(("관리"),(F14))))</formula>
    </cfRule>
  </conditionalFormatting>
  <conditionalFormatting sqref="F14">
    <cfRule type="containsText" dxfId="4" priority="2655" operator="containsText" text="등록">
      <formula>NOT(ISERROR(SEARCH(("등록"),(F14))))</formula>
    </cfRule>
  </conditionalFormatting>
  <conditionalFormatting sqref="H4">
    <cfRule type="containsText" dxfId="0" priority="2656" operator="containsText" text="거부">
      <formula>NOT(ISERROR(SEARCH(("거부"),(H4))))</formula>
    </cfRule>
  </conditionalFormatting>
  <conditionalFormatting sqref="H4">
    <cfRule type="containsText" dxfId="1" priority="2657" operator="containsText" text="리턴">
      <formula>NOT(ISERROR(SEARCH(("리턴"),(H4))))</formula>
    </cfRule>
  </conditionalFormatting>
  <conditionalFormatting sqref="H4">
    <cfRule type="containsText" dxfId="2" priority="2658" operator="containsText" text="실패">
      <formula>NOT(ISERROR(SEARCH(("실패"),(H4))))</formula>
    </cfRule>
  </conditionalFormatting>
  <conditionalFormatting sqref="H4">
    <cfRule type="containsText" dxfId="3" priority="2659" operator="containsText" text="관리">
      <formula>NOT(ISERROR(SEARCH(("관리"),(H4))))</formula>
    </cfRule>
  </conditionalFormatting>
  <conditionalFormatting sqref="H4">
    <cfRule type="containsText" dxfId="4" priority="2660" operator="containsText" text="등록">
      <formula>NOT(ISERROR(SEARCH(("등록"),(H4))))</formula>
    </cfRule>
  </conditionalFormatting>
  <conditionalFormatting sqref="G4">
    <cfRule type="containsText" dxfId="0" priority="2661" operator="containsText" text="거부">
      <formula>NOT(ISERROR(SEARCH(("거부"),(G4))))</formula>
    </cfRule>
  </conditionalFormatting>
  <conditionalFormatting sqref="G4">
    <cfRule type="containsText" dxfId="1" priority="2662" operator="containsText" text="리턴">
      <formula>NOT(ISERROR(SEARCH(("리턴"),(G4))))</formula>
    </cfRule>
  </conditionalFormatting>
  <conditionalFormatting sqref="G4">
    <cfRule type="containsText" dxfId="2" priority="2663" operator="containsText" text="실패">
      <formula>NOT(ISERROR(SEARCH(("실패"),(G4))))</formula>
    </cfRule>
  </conditionalFormatting>
  <conditionalFormatting sqref="G4">
    <cfRule type="containsText" dxfId="3" priority="2664" operator="containsText" text="관리">
      <formula>NOT(ISERROR(SEARCH(("관리"),(G4))))</formula>
    </cfRule>
  </conditionalFormatting>
  <conditionalFormatting sqref="G4">
    <cfRule type="containsText" dxfId="4" priority="2665" operator="containsText" text="등록">
      <formula>NOT(ISERROR(SEARCH(("등록"),(G4))))</formula>
    </cfRule>
  </conditionalFormatting>
  <conditionalFormatting sqref="G17">
    <cfRule type="containsText" dxfId="0" priority="2666" operator="containsText" text="거부">
      <formula>NOT(ISERROR(SEARCH(("거부"),(G17))))</formula>
    </cfRule>
  </conditionalFormatting>
  <conditionalFormatting sqref="G17">
    <cfRule type="containsText" dxfId="1" priority="2667" operator="containsText" text="리턴">
      <formula>NOT(ISERROR(SEARCH(("리턴"),(G17))))</formula>
    </cfRule>
  </conditionalFormatting>
  <conditionalFormatting sqref="G17">
    <cfRule type="containsText" dxfId="2" priority="2668" operator="containsText" text="실패">
      <formula>NOT(ISERROR(SEARCH(("실패"),(G17))))</formula>
    </cfRule>
  </conditionalFormatting>
  <conditionalFormatting sqref="G17">
    <cfRule type="containsText" dxfId="3" priority="2669" operator="containsText" text="관리">
      <formula>NOT(ISERROR(SEARCH(("관리"),(G17))))</formula>
    </cfRule>
  </conditionalFormatting>
  <conditionalFormatting sqref="G17">
    <cfRule type="containsText" dxfId="4" priority="2670" operator="containsText" text="등록">
      <formula>NOT(ISERROR(SEARCH(("등록"),(G17))))</formula>
    </cfRule>
  </conditionalFormatting>
  <conditionalFormatting sqref="G18">
    <cfRule type="containsText" dxfId="0" priority="2671" operator="containsText" text="거부">
      <formula>NOT(ISERROR(SEARCH(("거부"),(G18))))</formula>
    </cfRule>
  </conditionalFormatting>
  <conditionalFormatting sqref="G18">
    <cfRule type="containsText" dxfId="1" priority="2672" operator="containsText" text="리턴">
      <formula>NOT(ISERROR(SEARCH(("리턴"),(G18))))</formula>
    </cfRule>
  </conditionalFormatting>
  <conditionalFormatting sqref="G18">
    <cfRule type="containsText" dxfId="2" priority="2673" operator="containsText" text="실패">
      <formula>NOT(ISERROR(SEARCH(("실패"),(G18))))</formula>
    </cfRule>
  </conditionalFormatting>
  <conditionalFormatting sqref="G18">
    <cfRule type="containsText" dxfId="3" priority="2674" operator="containsText" text="관리">
      <formula>NOT(ISERROR(SEARCH(("관리"),(G18))))</formula>
    </cfRule>
  </conditionalFormatting>
  <conditionalFormatting sqref="G18">
    <cfRule type="containsText" dxfId="4" priority="2675" operator="containsText" text="등록">
      <formula>NOT(ISERROR(SEARCH(("등록"),(G18))))</formula>
    </cfRule>
  </conditionalFormatting>
  <conditionalFormatting sqref="G18">
    <cfRule type="containsText" dxfId="0" priority="2676" operator="containsText" text="거부">
      <formula>NOT(ISERROR(SEARCH(("거부"),(G18))))</formula>
    </cfRule>
  </conditionalFormatting>
  <conditionalFormatting sqref="G18">
    <cfRule type="containsText" dxfId="1" priority="2677" operator="containsText" text="리턴">
      <formula>NOT(ISERROR(SEARCH(("리턴"),(G18))))</formula>
    </cfRule>
  </conditionalFormatting>
  <conditionalFormatting sqref="G18">
    <cfRule type="containsText" dxfId="2" priority="2678" operator="containsText" text="실패">
      <formula>NOT(ISERROR(SEARCH(("실패"),(G18))))</formula>
    </cfRule>
  </conditionalFormatting>
  <conditionalFormatting sqref="G18">
    <cfRule type="containsText" dxfId="3" priority="2679" operator="containsText" text="관리">
      <formula>NOT(ISERROR(SEARCH(("관리"),(G18))))</formula>
    </cfRule>
  </conditionalFormatting>
  <conditionalFormatting sqref="G18">
    <cfRule type="containsText" dxfId="4" priority="2680" operator="containsText" text="등록">
      <formula>NOT(ISERROR(SEARCH(("등록"),(G18))))</formula>
    </cfRule>
  </conditionalFormatting>
  <conditionalFormatting sqref="G17">
    <cfRule type="containsText" dxfId="0" priority="2681" operator="containsText" text="거부">
      <formula>NOT(ISERROR(SEARCH(("거부"),(G17))))</formula>
    </cfRule>
  </conditionalFormatting>
  <conditionalFormatting sqref="G17">
    <cfRule type="containsText" dxfId="1" priority="2682" operator="containsText" text="리턴">
      <formula>NOT(ISERROR(SEARCH(("리턴"),(G17))))</formula>
    </cfRule>
  </conditionalFormatting>
  <conditionalFormatting sqref="G17">
    <cfRule type="containsText" dxfId="2" priority="2683" operator="containsText" text="실패">
      <formula>NOT(ISERROR(SEARCH(("실패"),(G17))))</formula>
    </cfRule>
  </conditionalFormatting>
  <conditionalFormatting sqref="G17">
    <cfRule type="containsText" dxfId="3" priority="2684" operator="containsText" text="관리">
      <formula>NOT(ISERROR(SEARCH(("관리"),(G17))))</formula>
    </cfRule>
  </conditionalFormatting>
  <conditionalFormatting sqref="G17">
    <cfRule type="containsText" dxfId="4" priority="2685" operator="containsText" text="등록">
      <formula>NOT(ISERROR(SEARCH(("등록"),(G17))))</formula>
    </cfRule>
  </conditionalFormatting>
  <conditionalFormatting sqref="J17">
    <cfRule type="containsText" dxfId="0" priority="2686" operator="containsText" text="거부">
      <formula>NOT(ISERROR(SEARCH(("거부"),(J17))))</formula>
    </cfRule>
  </conditionalFormatting>
  <conditionalFormatting sqref="J17">
    <cfRule type="containsText" dxfId="1" priority="2687" operator="containsText" text="리턴">
      <formula>NOT(ISERROR(SEARCH(("리턴"),(J17))))</formula>
    </cfRule>
  </conditionalFormatting>
  <conditionalFormatting sqref="J17">
    <cfRule type="containsText" dxfId="2" priority="2688" operator="containsText" text="실패">
      <formula>NOT(ISERROR(SEARCH(("실패"),(J17))))</formula>
    </cfRule>
  </conditionalFormatting>
  <conditionalFormatting sqref="J17">
    <cfRule type="containsText" dxfId="3" priority="2689" operator="containsText" text="관리">
      <formula>NOT(ISERROR(SEARCH(("관리"),(J17))))</formula>
    </cfRule>
  </conditionalFormatting>
  <conditionalFormatting sqref="J17">
    <cfRule type="containsText" dxfId="4" priority="2690" operator="containsText" text="등록">
      <formula>NOT(ISERROR(SEARCH(("등록"),(J17))))</formula>
    </cfRule>
  </conditionalFormatting>
  <conditionalFormatting sqref="J23">
    <cfRule type="containsText" dxfId="0" priority="2691" operator="containsText" text="거부">
      <formula>NOT(ISERROR(SEARCH(("거부"),(J23))))</formula>
    </cfRule>
  </conditionalFormatting>
  <conditionalFormatting sqref="J23">
    <cfRule type="containsText" dxfId="1" priority="2692" operator="containsText" text="리턴">
      <formula>NOT(ISERROR(SEARCH(("리턴"),(J23))))</formula>
    </cfRule>
  </conditionalFormatting>
  <conditionalFormatting sqref="J23">
    <cfRule type="containsText" dxfId="2" priority="2693" operator="containsText" text="실패">
      <formula>NOT(ISERROR(SEARCH(("실패"),(J23))))</formula>
    </cfRule>
  </conditionalFormatting>
  <conditionalFormatting sqref="J23">
    <cfRule type="containsText" dxfId="3" priority="2694" operator="containsText" text="관리">
      <formula>NOT(ISERROR(SEARCH(("관리"),(J23))))</formula>
    </cfRule>
  </conditionalFormatting>
  <conditionalFormatting sqref="J23">
    <cfRule type="containsText" dxfId="4" priority="2695" operator="containsText" text="등록">
      <formula>NOT(ISERROR(SEARCH(("등록"),(J23))))</formula>
    </cfRule>
  </conditionalFormatting>
  <conditionalFormatting sqref="A46:A48">
    <cfRule type="containsText" dxfId="0" priority="2696" operator="containsText" text="거부">
      <formula>NOT(ISERROR(SEARCH(("거부"),(A46))))</formula>
    </cfRule>
  </conditionalFormatting>
  <conditionalFormatting sqref="A46:A48">
    <cfRule type="containsText" dxfId="1" priority="2697" operator="containsText" text="리턴">
      <formula>NOT(ISERROR(SEARCH(("리턴"),(A46))))</formula>
    </cfRule>
  </conditionalFormatting>
  <conditionalFormatting sqref="A46:A48">
    <cfRule type="containsText" dxfId="2" priority="2698" operator="containsText" text="실패">
      <formula>NOT(ISERROR(SEARCH(("실패"),(A46))))</formula>
    </cfRule>
  </conditionalFormatting>
  <conditionalFormatting sqref="A46:A48">
    <cfRule type="containsText" dxfId="3" priority="2699" operator="containsText" text="관리">
      <formula>NOT(ISERROR(SEARCH(("관리"),(A46))))</formula>
    </cfRule>
  </conditionalFormatting>
  <conditionalFormatting sqref="A46:A48">
    <cfRule type="containsText" dxfId="4" priority="2700" operator="containsText" text="등록">
      <formula>NOT(ISERROR(SEARCH(("등록"),(A46))))</formula>
    </cfRule>
  </conditionalFormatting>
  <conditionalFormatting sqref="J46">
    <cfRule type="containsText" dxfId="0" priority="2701" operator="containsText" text="거부">
      <formula>NOT(ISERROR(SEARCH(("거부"),(J46))))</formula>
    </cfRule>
  </conditionalFormatting>
  <conditionalFormatting sqref="J46">
    <cfRule type="containsText" dxfId="1" priority="2702" operator="containsText" text="리턴">
      <formula>NOT(ISERROR(SEARCH(("리턴"),(J46))))</formula>
    </cfRule>
  </conditionalFormatting>
  <conditionalFormatting sqref="J46">
    <cfRule type="containsText" dxfId="2" priority="2703" operator="containsText" text="실패">
      <formula>NOT(ISERROR(SEARCH(("실패"),(J46))))</formula>
    </cfRule>
  </conditionalFormatting>
  <conditionalFormatting sqref="J46">
    <cfRule type="containsText" dxfId="3" priority="2704" operator="containsText" text="관리">
      <formula>NOT(ISERROR(SEARCH(("관리"),(J46))))</formula>
    </cfRule>
  </conditionalFormatting>
  <conditionalFormatting sqref="J46">
    <cfRule type="containsText" dxfId="4" priority="2705" operator="containsText" text="등록">
      <formula>NOT(ISERROR(SEARCH(("등록"),(J46))))</formula>
    </cfRule>
  </conditionalFormatting>
  <conditionalFormatting sqref="A46:A48">
    <cfRule type="containsText" dxfId="0" priority="2706" operator="containsText" text="거부">
      <formula>NOT(ISERROR(SEARCH(("거부"),(A46))))</formula>
    </cfRule>
  </conditionalFormatting>
  <conditionalFormatting sqref="A46:A48">
    <cfRule type="containsText" dxfId="1" priority="2707" operator="containsText" text="리턴">
      <formula>NOT(ISERROR(SEARCH(("리턴"),(A46))))</formula>
    </cfRule>
  </conditionalFormatting>
  <conditionalFormatting sqref="A46:A48">
    <cfRule type="containsText" dxfId="2" priority="2708" operator="containsText" text="실패">
      <formula>NOT(ISERROR(SEARCH(("실패"),(A46))))</formula>
    </cfRule>
  </conditionalFormatting>
  <conditionalFormatting sqref="A46:A48">
    <cfRule type="containsText" dxfId="3" priority="2709" operator="containsText" text="관리">
      <formula>NOT(ISERROR(SEARCH(("관리"),(A46))))</formula>
    </cfRule>
  </conditionalFormatting>
  <conditionalFormatting sqref="A46:A48">
    <cfRule type="containsText" dxfId="4" priority="2710" operator="containsText" text="등록">
      <formula>NOT(ISERROR(SEARCH(("등록"),(A46))))</formula>
    </cfRule>
  </conditionalFormatting>
  <conditionalFormatting sqref="G46">
    <cfRule type="containsText" dxfId="0" priority="2711" operator="containsText" text="거부">
      <formula>NOT(ISERROR(SEARCH(("거부"),(G46))))</formula>
    </cfRule>
  </conditionalFormatting>
  <conditionalFormatting sqref="G46">
    <cfRule type="containsText" dxfId="1" priority="2712" operator="containsText" text="리턴">
      <formula>NOT(ISERROR(SEARCH(("리턴"),(G46))))</formula>
    </cfRule>
  </conditionalFormatting>
  <conditionalFormatting sqref="G46">
    <cfRule type="containsText" dxfId="2" priority="2713" operator="containsText" text="실패">
      <formula>NOT(ISERROR(SEARCH(("실패"),(G46))))</formula>
    </cfRule>
  </conditionalFormatting>
  <conditionalFormatting sqref="G46">
    <cfRule type="containsText" dxfId="3" priority="2714" operator="containsText" text="관리">
      <formula>NOT(ISERROR(SEARCH(("관리"),(G46))))</formula>
    </cfRule>
  </conditionalFormatting>
  <conditionalFormatting sqref="G46">
    <cfRule type="containsText" dxfId="4" priority="2715" operator="containsText" text="등록">
      <formula>NOT(ISERROR(SEARCH(("등록"),(G46))))</formula>
    </cfRule>
  </conditionalFormatting>
  <conditionalFormatting sqref="D46">
    <cfRule type="containsText" dxfId="0" priority="2716" operator="containsText" text="거부">
      <formula>NOT(ISERROR(SEARCH(("거부"),(D46))))</formula>
    </cfRule>
  </conditionalFormatting>
  <conditionalFormatting sqref="D46">
    <cfRule type="containsText" dxfId="1" priority="2717" operator="containsText" text="리턴">
      <formula>NOT(ISERROR(SEARCH(("리턴"),(D46))))</formula>
    </cfRule>
  </conditionalFormatting>
  <conditionalFormatting sqref="D46">
    <cfRule type="containsText" dxfId="2" priority="2718" operator="containsText" text="실패">
      <formula>NOT(ISERROR(SEARCH(("실패"),(D46))))</formula>
    </cfRule>
  </conditionalFormatting>
  <conditionalFormatting sqref="D46">
    <cfRule type="containsText" dxfId="3" priority="2719" operator="containsText" text="관리">
      <formula>NOT(ISERROR(SEARCH(("관리"),(D46))))</formula>
    </cfRule>
  </conditionalFormatting>
  <conditionalFormatting sqref="D46">
    <cfRule type="containsText" dxfId="4" priority="2720" operator="containsText" text="등록">
      <formula>NOT(ISERROR(SEARCH(("등록"),(D46))))</formula>
    </cfRule>
  </conditionalFormatting>
  <conditionalFormatting sqref="D46">
    <cfRule type="containsText" dxfId="0" priority="2721" operator="containsText" text="거부">
      <formula>NOT(ISERROR(SEARCH(("거부"),(D46))))</formula>
    </cfRule>
  </conditionalFormatting>
  <conditionalFormatting sqref="D46">
    <cfRule type="containsText" dxfId="1" priority="2722" operator="containsText" text="리턴">
      <formula>NOT(ISERROR(SEARCH(("리턴"),(D46))))</formula>
    </cfRule>
  </conditionalFormatting>
  <conditionalFormatting sqref="D46">
    <cfRule type="containsText" dxfId="2" priority="2723" operator="containsText" text="실패">
      <formula>NOT(ISERROR(SEARCH(("실패"),(D46))))</formula>
    </cfRule>
  </conditionalFormatting>
  <conditionalFormatting sqref="D46">
    <cfRule type="containsText" dxfId="3" priority="2724" operator="containsText" text="관리">
      <formula>NOT(ISERROR(SEARCH(("관리"),(D46))))</formula>
    </cfRule>
  </conditionalFormatting>
  <conditionalFormatting sqref="D46">
    <cfRule type="containsText" dxfId="4" priority="2725" operator="containsText" text="등록">
      <formula>NOT(ISERROR(SEARCH(("등록"),(D46))))</formula>
    </cfRule>
  </conditionalFormatting>
  <conditionalFormatting sqref="D46">
    <cfRule type="containsText" dxfId="0" priority="2726" operator="containsText" text="거부">
      <formula>NOT(ISERROR(SEARCH(("거부"),(D46))))</formula>
    </cfRule>
  </conditionalFormatting>
  <conditionalFormatting sqref="D46">
    <cfRule type="containsText" dxfId="1" priority="2727" operator="containsText" text="리턴">
      <formula>NOT(ISERROR(SEARCH(("리턴"),(D46))))</formula>
    </cfRule>
  </conditionalFormatting>
  <conditionalFormatting sqref="D46">
    <cfRule type="containsText" dxfId="2" priority="2728" operator="containsText" text="실패">
      <formula>NOT(ISERROR(SEARCH(("실패"),(D46))))</formula>
    </cfRule>
  </conditionalFormatting>
  <conditionalFormatting sqref="D46">
    <cfRule type="containsText" dxfId="3" priority="2729" operator="containsText" text="관리">
      <formula>NOT(ISERROR(SEARCH(("관리"),(D46))))</formula>
    </cfRule>
  </conditionalFormatting>
  <conditionalFormatting sqref="D46">
    <cfRule type="containsText" dxfId="4" priority="2730" operator="containsText" text="등록">
      <formula>NOT(ISERROR(SEARCH(("등록"),(D46))))</formula>
    </cfRule>
  </conditionalFormatting>
  <conditionalFormatting sqref="I67">
    <cfRule type="containsText" dxfId="0" priority="2731" operator="containsText" text="거부">
      <formula>NOT(ISERROR(SEARCH(("거부"),(I67))))</formula>
    </cfRule>
  </conditionalFormatting>
  <conditionalFormatting sqref="I67">
    <cfRule type="containsText" dxfId="1" priority="2732" operator="containsText" text="리턴">
      <formula>NOT(ISERROR(SEARCH(("리턴"),(I67))))</formula>
    </cfRule>
  </conditionalFormatting>
  <conditionalFormatting sqref="I67">
    <cfRule type="containsText" dxfId="2" priority="2733" operator="containsText" text="실패">
      <formula>NOT(ISERROR(SEARCH(("실패"),(I67))))</formula>
    </cfRule>
  </conditionalFormatting>
  <conditionalFormatting sqref="I67">
    <cfRule type="containsText" dxfId="3" priority="2734" operator="containsText" text="관리">
      <formula>NOT(ISERROR(SEARCH(("관리"),(I67))))</formula>
    </cfRule>
  </conditionalFormatting>
  <conditionalFormatting sqref="I67">
    <cfRule type="containsText" dxfId="4" priority="2735" operator="containsText" text="등록">
      <formula>NOT(ISERROR(SEARCH(("등록"),(I67))))</formula>
    </cfRule>
  </conditionalFormatting>
  <conditionalFormatting sqref="H67">
    <cfRule type="containsText" dxfId="0" priority="2736" operator="containsText" text="거부">
      <formula>NOT(ISERROR(SEARCH(("거부"),(H67))))</formula>
    </cfRule>
  </conditionalFormatting>
  <conditionalFormatting sqref="H67">
    <cfRule type="containsText" dxfId="1" priority="2737" operator="containsText" text="리턴">
      <formula>NOT(ISERROR(SEARCH(("리턴"),(H67))))</formula>
    </cfRule>
  </conditionalFormatting>
  <conditionalFormatting sqref="H67">
    <cfRule type="containsText" dxfId="2" priority="2738" operator="containsText" text="실패">
      <formula>NOT(ISERROR(SEARCH(("실패"),(H67))))</formula>
    </cfRule>
  </conditionalFormatting>
  <conditionalFormatting sqref="H67">
    <cfRule type="containsText" dxfId="3" priority="2739" operator="containsText" text="관리">
      <formula>NOT(ISERROR(SEARCH(("관리"),(H67))))</formula>
    </cfRule>
  </conditionalFormatting>
  <conditionalFormatting sqref="H67">
    <cfRule type="containsText" dxfId="4" priority="2740" operator="containsText" text="등록">
      <formula>NOT(ISERROR(SEARCH(("등록"),(H67))))</formula>
    </cfRule>
  </conditionalFormatting>
  <conditionalFormatting sqref="D82:E82">
    <cfRule type="containsText" dxfId="0" priority="2741" operator="containsText" text="거부">
      <formula>NOT(ISERROR(SEARCH(("거부"),(D82))))</formula>
    </cfRule>
  </conditionalFormatting>
  <conditionalFormatting sqref="D82:E82">
    <cfRule type="containsText" dxfId="1" priority="2742" operator="containsText" text="리턴">
      <formula>NOT(ISERROR(SEARCH(("리턴"),(D82))))</formula>
    </cfRule>
  </conditionalFormatting>
  <conditionalFormatting sqref="D82:E82">
    <cfRule type="containsText" dxfId="2" priority="2743" operator="containsText" text="실패">
      <formula>NOT(ISERROR(SEARCH(("실패"),(D82))))</formula>
    </cfRule>
  </conditionalFormatting>
  <conditionalFormatting sqref="D82:E82">
    <cfRule type="containsText" dxfId="3" priority="2744" operator="containsText" text="관리">
      <formula>NOT(ISERROR(SEARCH(("관리"),(D82))))</formula>
    </cfRule>
  </conditionalFormatting>
  <conditionalFormatting sqref="D82:E82">
    <cfRule type="containsText" dxfId="4" priority="2745" operator="containsText" text="등록">
      <formula>NOT(ISERROR(SEARCH(("등록"),(D82))))</formula>
    </cfRule>
  </conditionalFormatting>
  <conditionalFormatting sqref="A83">
    <cfRule type="containsText" dxfId="0" priority="2746" operator="containsText" text="거부">
      <formula>NOT(ISERROR(SEARCH(("거부"),(A83))))</formula>
    </cfRule>
  </conditionalFormatting>
  <conditionalFormatting sqref="A83">
    <cfRule type="containsText" dxfId="1" priority="2747" operator="containsText" text="리턴">
      <formula>NOT(ISERROR(SEARCH(("리턴"),(A83))))</formula>
    </cfRule>
  </conditionalFormatting>
  <conditionalFormatting sqref="A83">
    <cfRule type="containsText" dxfId="2" priority="2748" operator="containsText" text="실패">
      <formula>NOT(ISERROR(SEARCH(("실패"),(A83))))</formula>
    </cfRule>
  </conditionalFormatting>
  <conditionalFormatting sqref="A83">
    <cfRule type="containsText" dxfId="3" priority="2749" operator="containsText" text="관리">
      <formula>NOT(ISERROR(SEARCH(("관리"),(A83))))</formula>
    </cfRule>
  </conditionalFormatting>
  <conditionalFormatting sqref="A83">
    <cfRule type="containsText" dxfId="4" priority="2750" operator="containsText" text="등록">
      <formula>NOT(ISERROR(SEARCH(("등록"),(A83))))</formula>
    </cfRule>
  </conditionalFormatting>
  <conditionalFormatting sqref="D83:E85">
    <cfRule type="containsText" dxfId="0" priority="2751" operator="containsText" text="거부">
      <formula>NOT(ISERROR(SEARCH(("거부"),(D83))))</formula>
    </cfRule>
  </conditionalFormatting>
  <conditionalFormatting sqref="D83:E85">
    <cfRule type="containsText" dxfId="1" priority="2752" operator="containsText" text="리턴">
      <formula>NOT(ISERROR(SEARCH(("리턴"),(D83))))</formula>
    </cfRule>
  </conditionalFormatting>
  <conditionalFormatting sqref="D83:E85">
    <cfRule type="containsText" dxfId="2" priority="2753" operator="containsText" text="실패">
      <formula>NOT(ISERROR(SEARCH(("실패"),(D83))))</formula>
    </cfRule>
  </conditionalFormatting>
  <conditionalFormatting sqref="D83:E85">
    <cfRule type="containsText" dxfId="3" priority="2754" operator="containsText" text="관리">
      <formula>NOT(ISERROR(SEARCH(("관리"),(D83))))</formula>
    </cfRule>
  </conditionalFormatting>
  <conditionalFormatting sqref="D83:E85">
    <cfRule type="containsText" dxfId="4" priority="2755" operator="containsText" text="등록">
      <formula>NOT(ISERROR(SEARCH(("등록"),(D83))))</formula>
    </cfRule>
  </conditionalFormatting>
  <conditionalFormatting sqref="J83:J85">
    <cfRule type="containsText" dxfId="0" priority="2756" operator="containsText" text="거부">
      <formula>NOT(ISERROR(SEARCH(("거부"),(J83))))</formula>
    </cfRule>
  </conditionalFormatting>
  <conditionalFormatting sqref="J83:J85">
    <cfRule type="containsText" dxfId="1" priority="2757" operator="containsText" text="리턴">
      <formula>NOT(ISERROR(SEARCH(("리턴"),(J83))))</formula>
    </cfRule>
  </conditionalFormatting>
  <conditionalFormatting sqref="J83:J85">
    <cfRule type="containsText" dxfId="2" priority="2758" operator="containsText" text="실패">
      <formula>NOT(ISERROR(SEARCH(("실패"),(J83))))</formula>
    </cfRule>
  </conditionalFormatting>
  <conditionalFormatting sqref="J83:J85">
    <cfRule type="containsText" dxfId="3" priority="2759" operator="containsText" text="관리">
      <formula>NOT(ISERROR(SEARCH(("관리"),(J83))))</formula>
    </cfRule>
  </conditionalFormatting>
  <conditionalFormatting sqref="J83:J85">
    <cfRule type="containsText" dxfId="4" priority="2760" operator="containsText" text="등록">
      <formula>NOT(ISERROR(SEARCH(("등록"),(J83))))</formula>
    </cfRule>
  </conditionalFormatting>
  <conditionalFormatting sqref="A4">
    <cfRule type="containsText" dxfId="0" priority="2761" operator="containsText" text="거부">
      <formula>NOT(ISERROR(SEARCH(("거부"),(A4))))</formula>
    </cfRule>
  </conditionalFormatting>
  <conditionalFormatting sqref="A4">
    <cfRule type="containsText" dxfId="1" priority="2762" operator="containsText" text="리턴">
      <formula>NOT(ISERROR(SEARCH(("리턴"),(A4))))</formula>
    </cfRule>
  </conditionalFormatting>
  <conditionalFormatting sqref="A4">
    <cfRule type="containsText" dxfId="2" priority="2763" operator="containsText" text="실패">
      <formula>NOT(ISERROR(SEARCH(("실패"),(A4))))</formula>
    </cfRule>
  </conditionalFormatting>
  <conditionalFormatting sqref="A4">
    <cfRule type="containsText" dxfId="3" priority="2764" operator="containsText" text="관리">
      <formula>NOT(ISERROR(SEARCH(("관리"),(A4))))</formula>
    </cfRule>
  </conditionalFormatting>
  <conditionalFormatting sqref="A4">
    <cfRule type="containsText" dxfId="4" priority="2765" operator="containsText" text="등록">
      <formula>NOT(ISERROR(SEARCH(("등록"),(A4))))</formula>
    </cfRule>
  </conditionalFormatting>
  <conditionalFormatting sqref="A4">
    <cfRule type="containsText" dxfId="0" priority="2766" operator="containsText" text="거부">
      <formula>NOT(ISERROR(SEARCH(("거부"),(A4))))</formula>
    </cfRule>
  </conditionalFormatting>
  <conditionalFormatting sqref="A4">
    <cfRule type="containsText" dxfId="1" priority="2767" operator="containsText" text="리턴">
      <formula>NOT(ISERROR(SEARCH(("리턴"),(A4))))</formula>
    </cfRule>
  </conditionalFormatting>
  <conditionalFormatting sqref="A4">
    <cfRule type="containsText" dxfId="2" priority="2768" operator="containsText" text="실패">
      <formula>NOT(ISERROR(SEARCH(("실패"),(A4))))</formula>
    </cfRule>
  </conditionalFormatting>
  <conditionalFormatting sqref="A4">
    <cfRule type="containsText" dxfId="3" priority="2769" operator="containsText" text="관리">
      <formula>NOT(ISERROR(SEARCH(("관리"),(A4))))</formula>
    </cfRule>
  </conditionalFormatting>
  <conditionalFormatting sqref="A4">
    <cfRule type="containsText" dxfId="4" priority="2770" operator="containsText" text="등록">
      <formula>NOT(ISERROR(SEARCH(("등록"),(A4))))</formula>
    </cfRule>
  </conditionalFormatting>
  <conditionalFormatting sqref="A4">
    <cfRule type="containsText" dxfId="0" priority="2771" operator="containsText" text="거부">
      <formula>NOT(ISERROR(SEARCH(("거부"),(A4))))</formula>
    </cfRule>
  </conditionalFormatting>
  <conditionalFormatting sqref="A4">
    <cfRule type="containsText" dxfId="1" priority="2772" operator="containsText" text="리턴">
      <formula>NOT(ISERROR(SEARCH(("리턴"),(A4))))</formula>
    </cfRule>
  </conditionalFormatting>
  <conditionalFormatting sqref="A4">
    <cfRule type="containsText" dxfId="2" priority="2773" operator="containsText" text="실패">
      <formula>NOT(ISERROR(SEARCH(("실패"),(A4))))</formula>
    </cfRule>
  </conditionalFormatting>
  <conditionalFormatting sqref="A4">
    <cfRule type="containsText" dxfId="3" priority="2774" operator="containsText" text="관리">
      <formula>NOT(ISERROR(SEARCH(("관리"),(A4))))</formula>
    </cfRule>
  </conditionalFormatting>
  <conditionalFormatting sqref="A4">
    <cfRule type="containsText" dxfId="4" priority="2775" operator="containsText" text="등록">
      <formula>NOT(ISERROR(SEARCH(("등록"),(A4))))</formula>
    </cfRule>
  </conditionalFormatting>
  <conditionalFormatting sqref="A4">
    <cfRule type="containsText" dxfId="0" priority="2776" operator="containsText" text="거부">
      <formula>NOT(ISERROR(SEARCH(("거부"),(A4))))</formula>
    </cfRule>
  </conditionalFormatting>
  <conditionalFormatting sqref="A4">
    <cfRule type="containsText" dxfId="1" priority="2777" operator="containsText" text="리턴">
      <formula>NOT(ISERROR(SEARCH(("리턴"),(A4))))</formula>
    </cfRule>
  </conditionalFormatting>
  <conditionalFormatting sqref="A4">
    <cfRule type="containsText" dxfId="2" priority="2778" operator="containsText" text="실패">
      <formula>NOT(ISERROR(SEARCH(("실패"),(A4))))</formula>
    </cfRule>
  </conditionalFormatting>
  <conditionalFormatting sqref="A4">
    <cfRule type="containsText" dxfId="3" priority="2779" operator="containsText" text="관리">
      <formula>NOT(ISERROR(SEARCH(("관리"),(A4))))</formula>
    </cfRule>
  </conditionalFormatting>
  <conditionalFormatting sqref="A4">
    <cfRule type="containsText" dxfId="4" priority="2780" operator="containsText" text="등록">
      <formula>NOT(ISERROR(SEARCH(("등록"),(A4))))</formula>
    </cfRule>
  </conditionalFormatting>
  <conditionalFormatting sqref="J24">
    <cfRule type="containsText" dxfId="0" priority="2781" operator="containsText" text="거부">
      <formula>NOT(ISERROR(SEARCH(("거부"),(J24))))</formula>
    </cfRule>
  </conditionalFormatting>
  <conditionalFormatting sqref="J24">
    <cfRule type="containsText" dxfId="1" priority="2782" operator="containsText" text="리턴">
      <formula>NOT(ISERROR(SEARCH(("리턴"),(J24))))</formula>
    </cfRule>
  </conditionalFormatting>
  <conditionalFormatting sqref="J24">
    <cfRule type="containsText" dxfId="2" priority="2783" operator="containsText" text="실패">
      <formula>NOT(ISERROR(SEARCH(("실패"),(J24))))</formula>
    </cfRule>
  </conditionalFormatting>
  <conditionalFormatting sqref="J24">
    <cfRule type="containsText" dxfId="3" priority="2784" operator="containsText" text="관리">
      <formula>NOT(ISERROR(SEARCH(("관리"),(J24))))</formula>
    </cfRule>
  </conditionalFormatting>
  <conditionalFormatting sqref="J24">
    <cfRule type="containsText" dxfId="4" priority="2785" operator="containsText" text="등록">
      <formula>NOT(ISERROR(SEARCH(("등록"),(J24))))</formula>
    </cfRule>
  </conditionalFormatting>
  <conditionalFormatting sqref="J24">
    <cfRule type="containsText" dxfId="0" priority="2786" operator="containsText" text="거부">
      <formula>NOT(ISERROR(SEARCH(("거부"),(J24))))</formula>
    </cfRule>
  </conditionalFormatting>
  <conditionalFormatting sqref="J24">
    <cfRule type="containsText" dxfId="1" priority="2787" operator="containsText" text="리턴">
      <formula>NOT(ISERROR(SEARCH(("리턴"),(J24))))</formula>
    </cfRule>
  </conditionalFormatting>
  <conditionalFormatting sqref="J24">
    <cfRule type="containsText" dxfId="2" priority="2788" operator="containsText" text="실패">
      <formula>NOT(ISERROR(SEARCH(("실패"),(J24))))</formula>
    </cfRule>
  </conditionalFormatting>
  <conditionalFormatting sqref="J24">
    <cfRule type="containsText" dxfId="3" priority="2789" operator="containsText" text="관리">
      <formula>NOT(ISERROR(SEARCH(("관리"),(J24))))</formula>
    </cfRule>
  </conditionalFormatting>
  <conditionalFormatting sqref="J24">
    <cfRule type="containsText" dxfId="4" priority="2790" operator="containsText" text="등록">
      <formula>NOT(ISERROR(SEARCH(("등록"),(J24))))</formula>
    </cfRule>
  </conditionalFormatting>
  <conditionalFormatting sqref="J24">
    <cfRule type="containsText" dxfId="0" priority="2791" operator="containsText" text="거부">
      <formula>NOT(ISERROR(SEARCH(("거부"),(J24))))</formula>
    </cfRule>
  </conditionalFormatting>
  <conditionalFormatting sqref="J24">
    <cfRule type="containsText" dxfId="1" priority="2792" operator="containsText" text="리턴">
      <formula>NOT(ISERROR(SEARCH(("리턴"),(J24))))</formula>
    </cfRule>
  </conditionalFormatting>
  <conditionalFormatting sqref="J24">
    <cfRule type="containsText" dxfId="2" priority="2793" operator="containsText" text="실패">
      <formula>NOT(ISERROR(SEARCH(("실패"),(J24))))</formula>
    </cfRule>
  </conditionalFormatting>
  <conditionalFormatting sqref="J24">
    <cfRule type="containsText" dxfId="3" priority="2794" operator="containsText" text="관리">
      <formula>NOT(ISERROR(SEARCH(("관리"),(J24))))</formula>
    </cfRule>
  </conditionalFormatting>
  <conditionalFormatting sqref="J24">
    <cfRule type="containsText" dxfId="4" priority="2795" operator="containsText" text="등록">
      <formula>NOT(ISERROR(SEARCH(("등록"),(J24))))</formula>
    </cfRule>
  </conditionalFormatting>
  <conditionalFormatting sqref="G31">
    <cfRule type="containsText" dxfId="0" priority="2796" operator="containsText" text="거부">
      <formula>NOT(ISERROR(SEARCH(("거부"),(G31))))</formula>
    </cfRule>
  </conditionalFormatting>
  <conditionalFormatting sqref="G31">
    <cfRule type="containsText" dxfId="1" priority="2797" operator="containsText" text="리턴">
      <formula>NOT(ISERROR(SEARCH(("리턴"),(G31))))</formula>
    </cfRule>
  </conditionalFormatting>
  <conditionalFormatting sqref="G31">
    <cfRule type="containsText" dxfId="2" priority="2798" operator="containsText" text="실패">
      <formula>NOT(ISERROR(SEARCH(("실패"),(G31))))</formula>
    </cfRule>
  </conditionalFormatting>
  <conditionalFormatting sqref="G31">
    <cfRule type="containsText" dxfId="3" priority="2799" operator="containsText" text="관리">
      <formula>NOT(ISERROR(SEARCH(("관리"),(G31))))</formula>
    </cfRule>
  </conditionalFormatting>
  <conditionalFormatting sqref="G31">
    <cfRule type="containsText" dxfId="4" priority="2800" operator="containsText" text="등록">
      <formula>NOT(ISERROR(SEARCH(("등록"),(G31))))</formula>
    </cfRule>
  </conditionalFormatting>
  <conditionalFormatting sqref="G32">
    <cfRule type="containsText" dxfId="0" priority="2801" operator="containsText" text="거부">
      <formula>NOT(ISERROR(SEARCH(("거부"),(G32))))</formula>
    </cfRule>
  </conditionalFormatting>
  <conditionalFormatting sqref="G32">
    <cfRule type="containsText" dxfId="1" priority="2802" operator="containsText" text="리턴">
      <formula>NOT(ISERROR(SEARCH(("리턴"),(G32))))</formula>
    </cfRule>
  </conditionalFormatting>
  <conditionalFormatting sqref="G32">
    <cfRule type="containsText" dxfId="2" priority="2803" operator="containsText" text="실패">
      <formula>NOT(ISERROR(SEARCH(("실패"),(G32))))</formula>
    </cfRule>
  </conditionalFormatting>
  <conditionalFormatting sqref="G32">
    <cfRule type="containsText" dxfId="3" priority="2804" operator="containsText" text="관리">
      <formula>NOT(ISERROR(SEARCH(("관리"),(G32))))</formula>
    </cfRule>
  </conditionalFormatting>
  <conditionalFormatting sqref="G32">
    <cfRule type="containsText" dxfId="4" priority="2805" operator="containsText" text="등록">
      <formula>NOT(ISERROR(SEARCH(("등록"),(G32))))</formula>
    </cfRule>
  </conditionalFormatting>
  <conditionalFormatting sqref="G31">
    <cfRule type="containsText" dxfId="0" priority="2806" operator="containsText" text="거부">
      <formula>NOT(ISERROR(SEARCH(("거부"),(G31))))</formula>
    </cfRule>
  </conditionalFormatting>
  <conditionalFormatting sqref="G31">
    <cfRule type="containsText" dxfId="1" priority="2807" operator="containsText" text="리턴">
      <formula>NOT(ISERROR(SEARCH(("리턴"),(G31))))</formula>
    </cfRule>
  </conditionalFormatting>
  <conditionalFormatting sqref="G31">
    <cfRule type="containsText" dxfId="2" priority="2808" operator="containsText" text="실패">
      <formula>NOT(ISERROR(SEARCH(("실패"),(G31))))</formula>
    </cfRule>
  </conditionalFormatting>
  <conditionalFormatting sqref="G31">
    <cfRule type="containsText" dxfId="3" priority="2809" operator="containsText" text="관리">
      <formula>NOT(ISERROR(SEARCH(("관리"),(G31))))</formula>
    </cfRule>
  </conditionalFormatting>
  <conditionalFormatting sqref="G31">
    <cfRule type="containsText" dxfId="4" priority="2810" operator="containsText" text="등록">
      <formula>NOT(ISERROR(SEARCH(("등록"),(G31))))</formula>
    </cfRule>
  </conditionalFormatting>
  <conditionalFormatting sqref="G32">
    <cfRule type="containsText" dxfId="0" priority="2811" operator="containsText" text="거부">
      <formula>NOT(ISERROR(SEARCH(("거부"),(G32))))</formula>
    </cfRule>
  </conditionalFormatting>
  <conditionalFormatting sqref="G32">
    <cfRule type="containsText" dxfId="1" priority="2812" operator="containsText" text="리턴">
      <formula>NOT(ISERROR(SEARCH(("리턴"),(G32))))</formula>
    </cfRule>
  </conditionalFormatting>
  <conditionalFormatting sqref="G32">
    <cfRule type="containsText" dxfId="2" priority="2813" operator="containsText" text="실패">
      <formula>NOT(ISERROR(SEARCH(("실패"),(G32))))</formula>
    </cfRule>
  </conditionalFormatting>
  <conditionalFormatting sqref="G32">
    <cfRule type="containsText" dxfId="3" priority="2814" operator="containsText" text="관리">
      <formula>NOT(ISERROR(SEARCH(("관리"),(G32))))</formula>
    </cfRule>
  </conditionalFormatting>
  <conditionalFormatting sqref="G32">
    <cfRule type="containsText" dxfId="4" priority="2815" operator="containsText" text="등록">
      <formula>NOT(ISERROR(SEARCH(("등록"),(G32))))</formula>
    </cfRule>
  </conditionalFormatting>
  <conditionalFormatting sqref="J48">
    <cfRule type="containsText" dxfId="0" priority="2816" operator="containsText" text="거부">
      <formula>NOT(ISERROR(SEARCH(("거부"),(J48))))</formula>
    </cfRule>
  </conditionalFormatting>
  <conditionalFormatting sqref="J48">
    <cfRule type="containsText" dxfId="1" priority="2817" operator="containsText" text="리턴">
      <formula>NOT(ISERROR(SEARCH(("리턴"),(J48))))</formula>
    </cfRule>
  </conditionalFormatting>
  <conditionalFormatting sqref="J48">
    <cfRule type="containsText" dxfId="2" priority="2818" operator="containsText" text="실패">
      <formula>NOT(ISERROR(SEARCH(("실패"),(J48))))</formula>
    </cfRule>
  </conditionalFormatting>
  <conditionalFormatting sqref="J48">
    <cfRule type="containsText" dxfId="3" priority="2819" operator="containsText" text="관리">
      <formula>NOT(ISERROR(SEARCH(("관리"),(J48))))</formula>
    </cfRule>
  </conditionalFormatting>
  <conditionalFormatting sqref="J48">
    <cfRule type="containsText" dxfId="4" priority="2820" operator="containsText" text="등록">
      <formula>NOT(ISERROR(SEARCH(("등록"),(J48))))</formula>
    </cfRule>
  </conditionalFormatting>
  <conditionalFormatting sqref="J48">
    <cfRule type="containsText" dxfId="0" priority="2821" operator="containsText" text="거부">
      <formula>NOT(ISERROR(SEARCH(("거부"),(J48))))</formula>
    </cfRule>
  </conditionalFormatting>
  <conditionalFormatting sqref="J48">
    <cfRule type="containsText" dxfId="1" priority="2822" operator="containsText" text="리턴">
      <formula>NOT(ISERROR(SEARCH(("리턴"),(J48))))</formula>
    </cfRule>
  </conditionalFormatting>
  <conditionalFormatting sqref="J48">
    <cfRule type="containsText" dxfId="2" priority="2823" operator="containsText" text="실패">
      <formula>NOT(ISERROR(SEARCH(("실패"),(J48))))</formula>
    </cfRule>
  </conditionalFormatting>
  <conditionalFormatting sqref="J48">
    <cfRule type="containsText" dxfId="3" priority="2824" operator="containsText" text="관리">
      <formula>NOT(ISERROR(SEARCH(("관리"),(J48))))</formula>
    </cfRule>
  </conditionalFormatting>
  <conditionalFormatting sqref="J48">
    <cfRule type="containsText" dxfId="4" priority="2825" operator="containsText" text="등록">
      <formula>NOT(ISERROR(SEARCH(("등록"),(J48))))</formula>
    </cfRule>
  </conditionalFormatting>
  <conditionalFormatting sqref="J48">
    <cfRule type="containsText" dxfId="0" priority="2826" operator="containsText" text="거부">
      <formula>NOT(ISERROR(SEARCH(("거부"),(J48))))</formula>
    </cfRule>
  </conditionalFormatting>
  <conditionalFormatting sqref="J48">
    <cfRule type="containsText" dxfId="1" priority="2827" operator="containsText" text="리턴">
      <formula>NOT(ISERROR(SEARCH(("리턴"),(J48))))</formula>
    </cfRule>
  </conditionalFormatting>
  <conditionalFormatting sqref="J48">
    <cfRule type="containsText" dxfId="2" priority="2828" operator="containsText" text="실패">
      <formula>NOT(ISERROR(SEARCH(("실패"),(J48))))</formula>
    </cfRule>
  </conditionalFormatting>
  <conditionalFormatting sqref="J48">
    <cfRule type="containsText" dxfId="3" priority="2829" operator="containsText" text="관리">
      <formula>NOT(ISERROR(SEARCH(("관리"),(J48))))</formula>
    </cfRule>
  </conditionalFormatting>
  <conditionalFormatting sqref="J48">
    <cfRule type="containsText" dxfId="4" priority="2830" operator="containsText" text="등록">
      <formula>NOT(ISERROR(SEARCH(("등록"),(J48))))</formula>
    </cfRule>
  </conditionalFormatting>
  <conditionalFormatting sqref="D48">
    <cfRule type="containsText" dxfId="0" priority="2831" operator="containsText" text="거부">
      <formula>NOT(ISERROR(SEARCH(("거부"),(D48))))</formula>
    </cfRule>
  </conditionalFormatting>
  <conditionalFormatting sqref="D48">
    <cfRule type="containsText" dxfId="1" priority="2832" operator="containsText" text="리턴">
      <formula>NOT(ISERROR(SEARCH(("리턴"),(D48))))</formula>
    </cfRule>
  </conditionalFormatting>
  <conditionalFormatting sqref="D48">
    <cfRule type="containsText" dxfId="2" priority="2833" operator="containsText" text="실패">
      <formula>NOT(ISERROR(SEARCH(("실패"),(D48))))</formula>
    </cfRule>
  </conditionalFormatting>
  <conditionalFormatting sqref="D48">
    <cfRule type="containsText" dxfId="3" priority="2834" operator="containsText" text="관리">
      <formula>NOT(ISERROR(SEARCH(("관리"),(D48))))</formula>
    </cfRule>
  </conditionalFormatting>
  <conditionalFormatting sqref="D48">
    <cfRule type="containsText" dxfId="4" priority="2835" operator="containsText" text="등록">
      <formula>NOT(ISERROR(SEARCH(("등록"),(D48))))</formula>
    </cfRule>
  </conditionalFormatting>
  <conditionalFormatting sqref="J48">
    <cfRule type="containsText" dxfId="0" priority="2836" operator="containsText" text="거부">
      <formula>NOT(ISERROR(SEARCH(("거부"),(J48))))</formula>
    </cfRule>
  </conditionalFormatting>
  <conditionalFormatting sqref="J48">
    <cfRule type="containsText" dxfId="1" priority="2837" operator="containsText" text="리턴">
      <formula>NOT(ISERROR(SEARCH(("리턴"),(J48))))</formula>
    </cfRule>
  </conditionalFormatting>
  <conditionalFormatting sqref="J48">
    <cfRule type="containsText" dxfId="2" priority="2838" operator="containsText" text="실패">
      <formula>NOT(ISERROR(SEARCH(("실패"),(J48))))</formula>
    </cfRule>
  </conditionalFormatting>
  <conditionalFormatting sqref="J48">
    <cfRule type="containsText" dxfId="3" priority="2839" operator="containsText" text="관리">
      <formula>NOT(ISERROR(SEARCH(("관리"),(J48))))</formula>
    </cfRule>
  </conditionalFormatting>
  <conditionalFormatting sqref="J48">
    <cfRule type="containsText" dxfId="4" priority="2840" operator="containsText" text="등록">
      <formula>NOT(ISERROR(SEARCH(("등록"),(J48))))</formula>
    </cfRule>
  </conditionalFormatting>
  <conditionalFormatting sqref="D48">
    <cfRule type="containsText" dxfId="0" priority="2841" operator="containsText" text="거부">
      <formula>NOT(ISERROR(SEARCH(("거부"),(D48))))</formula>
    </cfRule>
  </conditionalFormatting>
  <conditionalFormatting sqref="D48">
    <cfRule type="containsText" dxfId="1" priority="2842" operator="containsText" text="리턴">
      <formula>NOT(ISERROR(SEARCH(("리턴"),(D48))))</formula>
    </cfRule>
  </conditionalFormatting>
  <conditionalFormatting sqref="D48">
    <cfRule type="containsText" dxfId="2" priority="2843" operator="containsText" text="실패">
      <formula>NOT(ISERROR(SEARCH(("실패"),(D48))))</formula>
    </cfRule>
  </conditionalFormatting>
  <conditionalFormatting sqref="D48">
    <cfRule type="containsText" dxfId="3" priority="2844" operator="containsText" text="관리">
      <formula>NOT(ISERROR(SEARCH(("관리"),(D48))))</formula>
    </cfRule>
  </conditionalFormatting>
  <conditionalFormatting sqref="D48">
    <cfRule type="containsText" dxfId="4" priority="2845" operator="containsText" text="등록">
      <formula>NOT(ISERROR(SEARCH(("등록"),(D48))))</formula>
    </cfRule>
  </conditionalFormatting>
  <conditionalFormatting sqref="J48">
    <cfRule type="containsText" dxfId="0" priority="2846" operator="containsText" text="거부">
      <formula>NOT(ISERROR(SEARCH(("거부"),(J48))))</formula>
    </cfRule>
  </conditionalFormatting>
  <conditionalFormatting sqref="J48">
    <cfRule type="containsText" dxfId="1" priority="2847" operator="containsText" text="리턴">
      <formula>NOT(ISERROR(SEARCH(("리턴"),(J48))))</formula>
    </cfRule>
  </conditionalFormatting>
  <conditionalFormatting sqref="J48">
    <cfRule type="containsText" dxfId="2" priority="2848" operator="containsText" text="실패">
      <formula>NOT(ISERROR(SEARCH(("실패"),(J48))))</formula>
    </cfRule>
  </conditionalFormatting>
  <conditionalFormatting sqref="J48">
    <cfRule type="containsText" dxfId="3" priority="2849" operator="containsText" text="관리">
      <formula>NOT(ISERROR(SEARCH(("관리"),(J48))))</formula>
    </cfRule>
  </conditionalFormatting>
  <conditionalFormatting sqref="J48">
    <cfRule type="containsText" dxfId="4" priority="2850" operator="containsText" text="등록">
      <formula>NOT(ISERROR(SEARCH(("등록"),(J48))))</formula>
    </cfRule>
  </conditionalFormatting>
  <conditionalFormatting sqref="J48">
    <cfRule type="containsText" dxfId="0" priority="2851" operator="containsText" text="거부">
      <formula>NOT(ISERROR(SEARCH(("거부"),(J48))))</formula>
    </cfRule>
  </conditionalFormatting>
  <conditionalFormatting sqref="J48">
    <cfRule type="containsText" dxfId="1" priority="2852" operator="containsText" text="리턴">
      <formula>NOT(ISERROR(SEARCH(("리턴"),(J48))))</formula>
    </cfRule>
  </conditionalFormatting>
  <conditionalFormatting sqref="J48">
    <cfRule type="containsText" dxfId="2" priority="2853" operator="containsText" text="실패">
      <formula>NOT(ISERROR(SEARCH(("실패"),(J48))))</formula>
    </cfRule>
  </conditionalFormatting>
  <conditionalFormatting sqref="J48">
    <cfRule type="containsText" dxfId="3" priority="2854" operator="containsText" text="관리">
      <formula>NOT(ISERROR(SEARCH(("관리"),(J48))))</formula>
    </cfRule>
  </conditionalFormatting>
  <conditionalFormatting sqref="J48">
    <cfRule type="containsText" dxfId="4" priority="2855" operator="containsText" text="등록">
      <formula>NOT(ISERROR(SEARCH(("등록"),(J48))))</formula>
    </cfRule>
  </conditionalFormatting>
  <conditionalFormatting sqref="D48">
    <cfRule type="containsText" dxfId="0" priority="2856" operator="containsText" text="거부">
      <formula>NOT(ISERROR(SEARCH(("거부"),(D48))))</formula>
    </cfRule>
  </conditionalFormatting>
  <conditionalFormatting sqref="D48">
    <cfRule type="containsText" dxfId="1" priority="2857" operator="containsText" text="리턴">
      <formula>NOT(ISERROR(SEARCH(("리턴"),(D48))))</formula>
    </cfRule>
  </conditionalFormatting>
  <conditionalFormatting sqref="D48">
    <cfRule type="containsText" dxfId="2" priority="2858" operator="containsText" text="실패">
      <formula>NOT(ISERROR(SEARCH(("실패"),(D48))))</formula>
    </cfRule>
  </conditionalFormatting>
  <conditionalFormatting sqref="D48">
    <cfRule type="containsText" dxfId="3" priority="2859" operator="containsText" text="관리">
      <formula>NOT(ISERROR(SEARCH(("관리"),(D48))))</formula>
    </cfRule>
  </conditionalFormatting>
  <conditionalFormatting sqref="D48">
    <cfRule type="containsText" dxfId="4" priority="2860" operator="containsText" text="등록">
      <formula>NOT(ISERROR(SEARCH(("등록"),(D48))))</formula>
    </cfRule>
  </conditionalFormatting>
  <conditionalFormatting sqref="J48">
    <cfRule type="containsText" dxfId="0" priority="2861" operator="containsText" text="거부">
      <formula>NOT(ISERROR(SEARCH(("거부"),(J48))))</formula>
    </cfRule>
  </conditionalFormatting>
  <conditionalFormatting sqref="J48">
    <cfRule type="containsText" dxfId="1" priority="2862" operator="containsText" text="리턴">
      <formula>NOT(ISERROR(SEARCH(("리턴"),(J48))))</formula>
    </cfRule>
  </conditionalFormatting>
  <conditionalFormatting sqref="J48">
    <cfRule type="containsText" dxfId="2" priority="2863" operator="containsText" text="실패">
      <formula>NOT(ISERROR(SEARCH(("실패"),(J48))))</formula>
    </cfRule>
  </conditionalFormatting>
  <conditionalFormatting sqref="J48">
    <cfRule type="containsText" dxfId="3" priority="2864" operator="containsText" text="관리">
      <formula>NOT(ISERROR(SEARCH(("관리"),(J48))))</formula>
    </cfRule>
  </conditionalFormatting>
  <conditionalFormatting sqref="J48">
    <cfRule type="containsText" dxfId="4" priority="2865" operator="containsText" text="등록">
      <formula>NOT(ISERROR(SEARCH(("등록"),(J48))))</formula>
    </cfRule>
  </conditionalFormatting>
  <conditionalFormatting sqref="J48">
    <cfRule type="containsText" dxfId="0" priority="2866" operator="containsText" text="거부">
      <formula>NOT(ISERROR(SEARCH(("거부"),(J48))))</formula>
    </cfRule>
  </conditionalFormatting>
  <conditionalFormatting sqref="J48">
    <cfRule type="containsText" dxfId="1" priority="2867" operator="containsText" text="리턴">
      <formula>NOT(ISERROR(SEARCH(("리턴"),(J48))))</formula>
    </cfRule>
  </conditionalFormatting>
  <conditionalFormatting sqref="J48">
    <cfRule type="containsText" dxfId="2" priority="2868" operator="containsText" text="실패">
      <formula>NOT(ISERROR(SEARCH(("실패"),(J48))))</formula>
    </cfRule>
  </conditionalFormatting>
  <conditionalFormatting sqref="J48">
    <cfRule type="containsText" dxfId="3" priority="2869" operator="containsText" text="관리">
      <formula>NOT(ISERROR(SEARCH(("관리"),(J48))))</formula>
    </cfRule>
  </conditionalFormatting>
  <conditionalFormatting sqref="J48">
    <cfRule type="containsText" dxfId="4" priority="2870" operator="containsText" text="등록">
      <formula>NOT(ISERROR(SEARCH(("등록"),(J48))))</formula>
    </cfRule>
  </conditionalFormatting>
  <conditionalFormatting sqref="J48">
    <cfRule type="containsText" dxfId="0" priority="2871" operator="containsText" text="거부">
      <formula>NOT(ISERROR(SEARCH(("거부"),(J48))))</formula>
    </cfRule>
  </conditionalFormatting>
  <conditionalFormatting sqref="J48">
    <cfRule type="containsText" dxfId="1" priority="2872" operator="containsText" text="리턴">
      <formula>NOT(ISERROR(SEARCH(("리턴"),(J48))))</formula>
    </cfRule>
  </conditionalFormatting>
  <conditionalFormatting sqref="J48">
    <cfRule type="containsText" dxfId="2" priority="2873" operator="containsText" text="실패">
      <formula>NOT(ISERROR(SEARCH(("실패"),(J48))))</formula>
    </cfRule>
  </conditionalFormatting>
  <conditionalFormatting sqref="J48">
    <cfRule type="containsText" dxfId="3" priority="2874" operator="containsText" text="관리">
      <formula>NOT(ISERROR(SEARCH(("관리"),(J48))))</formula>
    </cfRule>
  </conditionalFormatting>
  <conditionalFormatting sqref="J48">
    <cfRule type="containsText" dxfId="4" priority="2875" operator="containsText" text="등록">
      <formula>NOT(ISERROR(SEARCH(("등록"),(J48))))</formula>
    </cfRule>
  </conditionalFormatting>
  <conditionalFormatting sqref="J48">
    <cfRule type="containsText" dxfId="0" priority="2876" operator="containsText" text="거부">
      <formula>NOT(ISERROR(SEARCH(("거부"),(J48))))</formula>
    </cfRule>
  </conditionalFormatting>
  <conditionalFormatting sqref="J48">
    <cfRule type="containsText" dxfId="1" priority="2877" operator="containsText" text="리턴">
      <formula>NOT(ISERROR(SEARCH(("리턴"),(J48))))</formula>
    </cfRule>
  </conditionalFormatting>
  <conditionalFormatting sqref="J48">
    <cfRule type="containsText" dxfId="2" priority="2878" operator="containsText" text="실패">
      <formula>NOT(ISERROR(SEARCH(("실패"),(J48))))</formula>
    </cfRule>
  </conditionalFormatting>
  <conditionalFormatting sqref="J48">
    <cfRule type="containsText" dxfId="3" priority="2879" operator="containsText" text="관리">
      <formula>NOT(ISERROR(SEARCH(("관리"),(J48))))</formula>
    </cfRule>
  </conditionalFormatting>
  <conditionalFormatting sqref="J48">
    <cfRule type="containsText" dxfId="4" priority="2880" operator="containsText" text="등록">
      <formula>NOT(ISERROR(SEARCH(("등록"),(J48))))</formula>
    </cfRule>
  </conditionalFormatting>
  <conditionalFormatting sqref="J48">
    <cfRule type="containsText" dxfId="0" priority="2881" operator="containsText" text="거부">
      <formula>NOT(ISERROR(SEARCH(("거부"),(J48))))</formula>
    </cfRule>
  </conditionalFormatting>
  <conditionalFormatting sqref="J48">
    <cfRule type="containsText" dxfId="1" priority="2882" operator="containsText" text="리턴">
      <formula>NOT(ISERROR(SEARCH(("리턴"),(J48))))</formula>
    </cfRule>
  </conditionalFormatting>
  <conditionalFormatting sqref="J48">
    <cfRule type="containsText" dxfId="2" priority="2883" operator="containsText" text="실패">
      <formula>NOT(ISERROR(SEARCH(("실패"),(J48))))</formula>
    </cfRule>
  </conditionalFormatting>
  <conditionalFormatting sqref="J48">
    <cfRule type="containsText" dxfId="3" priority="2884" operator="containsText" text="관리">
      <formula>NOT(ISERROR(SEARCH(("관리"),(J48))))</formula>
    </cfRule>
  </conditionalFormatting>
  <conditionalFormatting sqref="J48">
    <cfRule type="containsText" dxfId="4" priority="2885" operator="containsText" text="등록">
      <formula>NOT(ISERROR(SEARCH(("등록"),(J48))))</formula>
    </cfRule>
  </conditionalFormatting>
  <conditionalFormatting sqref="J48">
    <cfRule type="containsText" dxfId="0" priority="2886" operator="containsText" text="거부">
      <formula>NOT(ISERROR(SEARCH(("거부"),(J48))))</formula>
    </cfRule>
  </conditionalFormatting>
  <conditionalFormatting sqref="J48">
    <cfRule type="containsText" dxfId="1" priority="2887" operator="containsText" text="리턴">
      <formula>NOT(ISERROR(SEARCH(("리턴"),(J48))))</formula>
    </cfRule>
  </conditionalFormatting>
  <conditionalFormatting sqref="J48">
    <cfRule type="containsText" dxfId="2" priority="2888" operator="containsText" text="실패">
      <formula>NOT(ISERROR(SEARCH(("실패"),(J48))))</formula>
    </cfRule>
  </conditionalFormatting>
  <conditionalFormatting sqref="J48">
    <cfRule type="containsText" dxfId="3" priority="2889" operator="containsText" text="관리">
      <formula>NOT(ISERROR(SEARCH(("관리"),(J48))))</formula>
    </cfRule>
  </conditionalFormatting>
  <conditionalFormatting sqref="J48">
    <cfRule type="containsText" dxfId="4" priority="2890" operator="containsText" text="등록">
      <formula>NOT(ISERROR(SEARCH(("등록"),(J48))))</formula>
    </cfRule>
  </conditionalFormatting>
  <conditionalFormatting sqref="J48">
    <cfRule type="containsText" dxfId="0" priority="2891" operator="containsText" text="거부">
      <formula>NOT(ISERROR(SEARCH(("거부"),(J48))))</formula>
    </cfRule>
  </conditionalFormatting>
  <conditionalFormatting sqref="J48">
    <cfRule type="containsText" dxfId="1" priority="2892" operator="containsText" text="리턴">
      <formula>NOT(ISERROR(SEARCH(("리턴"),(J48))))</formula>
    </cfRule>
  </conditionalFormatting>
  <conditionalFormatting sqref="J48">
    <cfRule type="containsText" dxfId="2" priority="2893" operator="containsText" text="실패">
      <formula>NOT(ISERROR(SEARCH(("실패"),(J48))))</formula>
    </cfRule>
  </conditionalFormatting>
  <conditionalFormatting sqref="J48">
    <cfRule type="containsText" dxfId="3" priority="2894" operator="containsText" text="관리">
      <formula>NOT(ISERROR(SEARCH(("관리"),(J48))))</formula>
    </cfRule>
  </conditionalFormatting>
  <conditionalFormatting sqref="J48">
    <cfRule type="containsText" dxfId="4" priority="2895" operator="containsText" text="등록">
      <formula>NOT(ISERROR(SEARCH(("등록"),(J48))))</formula>
    </cfRule>
  </conditionalFormatting>
  <conditionalFormatting sqref="J48">
    <cfRule type="containsText" dxfId="0" priority="2896" operator="containsText" text="거부">
      <formula>NOT(ISERROR(SEARCH(("거부"),(J48))))</formula>
    </cfRule>
  </conditionalFormatting>
  <conditionalFormatting sqref="J48">
    <cfRule type="containsText" dxfId="1" priority="2897" operator="containsText" text="리턴">
      <formula>NOT(ISERROR(SEARCH(("리턴"),(J48))))</formula>
    </cfRule>
  </conditionalFormatting>
  <conditionalFormatting sqref="J48">
    <cfRule type="containsText" dxfId="2" priority="2898" operator="containsText" text="실패">
      <formula>NOT(ISERROR(SEARCH(("실패"),(J48))))</formula>
    </cfRule>
  </conditionalFormatting>
  <conditionalFormatting sqref="J48">
    <cfRule type="containsText" dxfId="3" priority="2899" operator="containsText" text="관리">
      <formula>NOT(ISERROR(SEARCH(("관리"),(J48))))</formula>
    </cfRule>
  </conditionalFormatting>
  <conditionalFormatting sqref="J48">
    <cfRule type="containsText" dxfId="4" priority="2900" operator="containsText" text="등록">
      <formula>NOT(ISERROR(SEARCH(("등록"),(J48))))</formula>
    </cfRule>
  </conditionalFormatting>
  <conditionalFormatting sqref="J48">
    <cfRule type="containsText" dxfId="0" priority="2901" operator="containsText" text="거부">
      <formula>NOT(ISERROR(SEARCH(("거부"),(J48))))</formula>
    </cfRule>
  </conditionalFormatting>
  <conditionalFormatting sqref="J48">
    <cfRule type="containsText" dxfId="1" priority="2902" operator="containsText" text="리턴">
      <formula>NOT(ISERROR(SEARCH(("리턴"),(J48))))</formula>
    </cfRule>
  </conditionalFormatting>
  <conditionalFormatting sqref="J48">
    <cfRule type="containsText" dxfId="2" priority="2903" operator="containsText" text="실패">
      <formula>NOT(ISERROR(SEARCH(("실패"),(J48))))</formula>
    </cfRule>
  </conditionalFormatting>
  <conditionalFormatting sqref="J48">
    <cfRule type="containsText" dxfId="3" priority="2904" operator="containsText" text="관리">
      <formula>NOT(ISERROR(SEARCH(("관리"),(J48))))</formula>
    </cfRule>
  </conditionalFormatting>
  <conditionalFormatting sqref="J48">
    <cfRule type="containsText" dxfId="4" priority="2905" operator="containsText" text="등록">
      <formula>NOT(ISERROR(SEARCH(("등록"),(J48))))</formula>
    </cfRule>
  </conditionalFormatting>
  <conditionalFormatting sqref="D48">
    <cfRule type="containsText" dxfId="0" priority="2906" operator="containsText" text="거부">
      <formula>NOT(ISERROR(SEARCH(("거부"),(D48))))</formula>
    </cfRule>
  </conditionalFormatting>
  <conditionalFormatting sqref="D48">
    <cfRule type="containsText" dxfId="1" priority="2907" operator="containsText" text="리턴">
      <formula>NOT(ISERROR(SEARCH(("리턴"),(D48))))</formula>
    </cfRule>
  </conditionalFormatting>
  <conditionalFormatting sqref="D48">
    <cfRule type="containsText" dxfId="2" priority="2908" operator="containsText" text="실패">
      <formula>NOT(ISERROR(SEARCH(("실패"),(D48))))</formula>
    </cfRule>
  </conditionalFormatting>
  <conditionalFormatting sqref="D48">
    <cfRule type="containsText" dxfId="3" priority="2909" operator="containsText" text="관리">
      <formula>NOT(ISERROR(SEARCH(("관리"),(D48))))</formula>
    </cfRule>
  </conditionalFormatting>
  <conditionalFormatting sqref="D48">
    <cfRule type="containsText" dxfId="4" priority="2910" operator="containsText" text="등록">
      <formula>NOT(ISERROR(SEARCH(("등록"),(D48))))</formula>
    </cfRule>
  </conditionalFormatting>
  <conditionalFormatting sqref="D48">
    <cfRule type="containsText" dxfId="0" priority="2911" operator="containsText" text="거부">
      <formula>NOT(ISERROR(SEARCH(("거부"),(D48))))</formula>
    </cfRule>
  </conditionalFormatting>
  <conditionalFormatting sqref="D48">
    <cfRule type="containsText" dxfId="1" priority="2912" operator="containsText" text="리턴">
      <formula>NOT(ISERROR(SEARCH(("리턴"),(D48))))</formula>
    </cfRule>
  </conditionalFormatting>
  <conditionalFormatting sqref="D48">
    <cfRule type="containsText" dxfId="2" priority="2913" operator="containsText" text="실패">
      <formula>NOT(ISERROR(SEARCH(("실패"),(D48))))</formula>
    </cfRule>
  </conditionalFormatting>
  <conditionalFormatting sqref="D48">
    <cfRule type="containsText" dxfId="3" priority="2914" operator="containsText" text="관리">
      <formula>NOT(ISERROR(SEARCH(("관리"),(D48))))</formula>
    </cfRule>
  </conditionalFormatting>
  <conditionalFormatting sqref="D48">
    <cfRule type="containsText" dxfId="4" priority="2915" operator="containsText" text="등록">
      <formula>NOT(ISERROR(SEARCH(("등록"),(D48))))</formula>
    </cfRule>
  </conditionalFormatting>
  <conditionalFormatting sqref="D69">
    <cfRule type="containsText" dxfId="0" priority="2916" operator="containsText" text="거부">
      <formula>NOT(ISERROR(SEARCH(("거부"),(D69))))</formula>
    </cfRule>
  </conditionalFormatting>
  <conditionalFormatting sqref="D69">
    <cfRule type="containsText" dxfId="1" priority="2917" operator="containsText" text="리턴">
      <formula>NOT(ISERROR(SEARCH(("리턴"),(D69))))</formula>
    </cfRule>
  </conditionalFormatting>
  <conditionalFormatting sqref="D69">
    <cfRule type="containsText" dxfId="2" priority="2918" operator="containsText" text="실패">
      <formula>NOT(ISERROR(SEARCH(("실패"),(D69))))</formula>
    </cfRule>
  </conditionalFormatting>
  <conditionalFormatting sqref="D69">
    <cfRule type="containsText" dxfId="3" priority="2919" operator="containsText" text="관리">
      <formula>NOT(ISERROR(SEARCH(("관리"),(D69))))</formula>
    </cfRule>
  </conditionalFormatting>
  <conditionalFormatting sqref="D69">
    <cfRule type="containsText" dxfId="4" priority="2920" operator="containsText" text="등록">
      <formula>NOT(ISERROR(SEARCH(("등록"),(D69))))</formula>
    </cfRule>
  </conditionalFormatting>
  <conditionalFormatting sqref="G69">
    <cfRule type="containsText" dxfId="0" priority="2921" operator="containsText" text="거부">
      <formula>NOT(ISERROR(SEARCH(("거부"),(G69))))</formula>
    </cfRule>
  </conditionalFormatting>
  <conditionalFormatting sqref="G69">
    <cfRule type="containsText" dxfId="1" priority="2922" operator="containsText" text="리턴">
      <formula>NOT(ISERROR(SEARCH(("리턴"),(G69))))</formula>
    </cfRule>
  </conditionalFormatting>
  <conditionalFormatting sqref="G69">
    <cfRule type="containsText" dxfId="2" priority="2923" operator="containsText" text="실패">
      <formula>NOT(ISERROR(SEARCH(("실패"),(G69))))</formula>
    </cfRule>
  </conditionalFormatting>
  <conditionalFormatting sqref="G69">
    <cfRule type="containsText" dxfId="3" priority="2924" operator="containsText" text="관리">
      <formula>NOT(ISERROR(SEARCH(("관리"),(G69))))</formula>
    </cfRule>
  </conditionalFormatting>
  <conditionalFormatting sqref="G69">
    <cfRule type="containsText" dxfId="4" priority="2925" operator="containsText" text="등록">
      <formula>NOT(ISERROR(SEARCH(("등록"),(G69))))</formula>
    </cfRule>
  </conditionalFormatting>
  <conditionalFormatting sqref="J69">
    <cfRule type="containsText" dxfId="0" priority="2926" operator="containsText" text="거부">
      <formula>NOT(ISERROR(SEARCH(("거부"),(J69))))</formula>
    </cfRule>
  </conditionalFormatting>
  <conditionalFormatting sqref="J69">
    <cfRule type="containsText" dxfId="1" priority="2927" operator="containsText" text="리턴">
      <formula>NOT(ISERROR(SEARCH(("리턴"),(J69))))</formula>
    </cfRule>
  </conditionalFormatting>
  <conditionalFormatting sqref="J69">
    <cfRule type="containsText" dxfId="2" priority="2928" operator="containsText" text="실패">
      <formula>NOT(ISERROR(SEARCH(("실패"),(J69))))</formula>
    </cfRule>
  </conditionalFormatting>
  <conditionalFormatting sqref="J69">
    <cfRule type="containsText" dxfId="3" priority="2929" operator="containsText" text="관리">
      <formula>NOT(ISERROR(SEARCH(("관리"),(J69))))</formula>
    </cfRule>
  </conditionalFormatting>
  <conditionalFormatting sqref="J69">
    <cfRule type="containsText" dxfId="4" priority="2930" operator="containsText" text="등록">
      <formula>NOT(ISERROR(SEARCH(("등록"),(J69))))</formula>
    </cfRule>
  </conditionalFormatting>
  <conditionalFormatting sqref="D43">
    <cfRule type="containsText" dxfId="0" priority="2931" operator="containsText" text="거부">
      <formula>NOT(ISERROR(SEARCH(("거부"),(D43))))</formula>
    </cfRule>
  </conditionalFormatting>
  <conditionalFormatting sqref="D43">
    <cfRule type="containsText" dxfId="1" priority="2932" operator="containsText" text="리턴">
      <formula>NOT(ISERROR(SEARCH(("리턴"),(D43))))</formula>
    </cfRule>
  </conditionalFormatting>
  <conditionalFormatting sqref="D43">
    <cfRule type="containsText" dxfId="2" priority="2933" operator="containsText" text="실패">
      <formula>NOT(ISERROR(SEARCH(("실패"),(D43))))</formula>
    </cfRule>
  </conditionalFormatting>
  <conditionalFormatting sqref="D43">
    <cfRule type="containsText" dxfId="3" priority="2934" operator="containsText" text="관리">
      <formula>NOT(ISERROR(SEARCH(("관리"),(D43))))</formula>
    </cfRule>
  </conditionalFormatting>
  <conditionalFormatting sqref="D43">
    <cfRule type="containsText" dxfId="4" priority="2935" operator="containsText" text="등록">
      <formula>NOT(ISERROR(SEARCH(("등록"),(D43))))</formula>
    </cfRule>
  </conditionalFormatting>
  <conditionalFormatting sqref="E43">
    <cfRule type="containsText" dxfId="0" priority="2936" operator="containsText" text="거부">
      <formula>NOT(ISERROR(SEARCH(("거부"),(E43))))</formula>
    </cfRule>
  </conditionalFormatting>
  <conditionalFormatting sqref="E43">
    <cfRule type="containsText" dxfId="1" priority="2937" operator="containsText" text="리턴">
      <formula>NOT(ISERROR(SEARCH(("리턴"),(E43))))</formula>
    </cfRule>
  </conditionalFormatting>
  <conditionalFormatting sqref="E43">
    <cfRule type="containsText" dxfId="2" priority="2938" operator="containsText" text="실패">
      <formula>NOT(ISERROR(SEARCH(("실패"),(E43))))</formula>
    </cfRule>
  </conditionalFormatting>
  <conditionalFormatting sqref="E43">
    <cfRule type="containsText" dxfId="3" priority="2939" operator="containsText" text="관리">
      <formula>NOT(ISERROR(SEARCH(("관리"),(E43))))</formula>
    </cfRule>
  </conditionalFormatting>
  <conditionalFormatting sqref="E43">
    <cfRule type="containsText" dxfId="4" priority="2940" operator="containsText" text="등록">
      <formula>NOT(ISERROR(SEARCH(("등록"),(E43))))</formula>
    </cfRule>
  </conditionalFormatting>
  <conditionalFormatting sqref="E43">
    <cfRule type="containsText" dxfId="0" priority="2941" operator="containsText" text="거부">
      <formula>NOT(ISERROR(SEARCH(("거부"),(E43))))</formula>
    </cfRule>
  </conditionalFormatting>
  <conditionalFormatting sqref="E43">
    <cfRule type="containsText" dxfId="1" priority="2942" operator="containsText" text="리턴">
      <formula>NOT(ISERROR(SEARCH(("리턴"),(E43))))</formula>
    </cfRule>
  </conditionalFormatting>
  <conditionalFormatting sqref="E43">
    <cfRule type="containsText" dxfId="2" priority="2943" operator="containsText" text="실패">
      <formula>NOT(ISERROR(SEARCH(("실패"),(E43))))</formula>
    </cfRule>
  </conditionalFormatting>
  <conditionalFormatting sqref="E43">
    <cfRule type="containsText" dxfId="3" priority="2944" operator="containsText" text="관리">
      <formula>NOT(ISERROR(SEARCH(("관리"),(E43))))</formula>
    </cfRule>
  </conditionalFormatting>
  <conditionalFormatting sqref="E43">
    <cfRule type="containsText" dxfId="4" priority="2945" operator="containsText" text="등록">
      <formula>NOT(ISERROR(SEARCH(("등록"),(E43))))</formula>
    </cfRule>
  </conditionalFormatting>
  <conditionalFormatting sqref="G67">
    <cfRule type="containsText" dxfId="0" priority="2946" operator="containsText" text="거부">
      <formula>NOT(ISERROR(SEARCH(("거부"),(G67))))</formula>
    </cfRule>
  </conditionalFormatting>
  <conditionalFormatting sqref="G67">
    <cfRule type="containsText" dxfId="1" priority="2947" operator="containsText" text="리턴">
      <formula>NOT(ISERROR(SEARCH(("리턴"),(G67))))</formula>
    </cfRule>
  </conditionalFormatting>
  <conditionalFormatting sqref="G67">
    <cfRule type="containsText" dxfId="2" priority="2948" operator="containsText" text="실패">
      <formula>NOT(ISERROR(SEARCH(("실패"),(G67))))</formula>
    </cfRule>
  </conditionalFormatting>
  <conditionalFormatting sqref="G67">
    <cfRule type="containsText" dxfId="3" priority="2949" operator="containsText" text="관리">
      <formula>NOT(ISERROR(SEARCH(("관리"),(G67))))</formula>
    </cfRule>
  </conditionalFormatting>
  <conditionalFormatting sqref="G67">
    <cfRule type="containsText" dxfId="4" priority="2950" operator="containsText" text="등록">
      <formula>NOT(ISERROR(SEARCH(("등록"),(G67))))</formula>
    </cfRule>
  </conditionalFormatting>
  <conditionalFormatting sqref="J68">
    <cfRule type="containsText" dxfId="0" priority="2951" operator="containsText" text="거부">
      <formula>NOT(ISERROR(SEARCH(("거부"),(J68))))</formula>
    </cfRule>
  </conditionalFormatting>
  <conditionalFormatting sqref="J68">
    <cfRule type="containsText" dxfId="1" priority="2952" operator="containsText" text="리턴">
      <formula>NOT(ISERROR(SEARCH(("리턴"),(J68))))</formula>
    </cfRule>
  </conditionalFormatting>
  <conditionalFormatting sqref="J68">
    <cfRule type="containsText" dxfId="2" priority="2953" operator="containsText" text="실패">
      <formula>NOT(ISERROR(SEARCH(("실패"),(J68))))</formula>
    </cfRule>
  </conditionalFormatting>
  <conditionalFormatting sqref="J68">
    <cfRule type="containsText" dxfId="3" priority="2954" operator="containsText" text="관리">
      <formula>NOT(ISERROR(SEARCH(("관리"),(J68))))</formula>
    </cfRule>
  </conditionalFormatting>
  <conditionalFormatting sqref="J68">
    <cfRule type="containsText" dxfId="4" priority="2955" operator="containsText" text="등록">
      <formula>NOT(ISERROR(SEARCH(("등록"),(J68))))</formula>
    </cfRule>
  </conditionalFormatting>
  <conditionalFormatting sqref="D19">
    <cfRule type="containsText" dxfId="0" priority="2956" operator="containsText" text="거부">
      <formula>NOT(ISERROR(SEARCH(("거부"),(D19))))</formula>
    </cfRule>
  </conditionalFormatting>
  <conditionalFormatting sqref="D19">
    <cfRule type="containsText" dxfId="1" priority="2957" operator="containsText" text="리턴">
      <formula>NOT(ISERROR(SEARCH(("리턴"),(D19))))</formula>
    </cfRule>
  </conditionalFormatting>
  <conditionalFormatting sqref="D19">
    <cfRule type="containsText" dxfId="2" priority="2958" operator="containsText" text="실패">
      <formula>NOT(ISERROR(SEARCH(("실패"),(D19))))</formula>
    </cfRule>
  </conditionalFormatting>
  <conditionalFormatting sqref="D19">
    <cfRule type="containsText" dxfId="3" priority="2959" operator="containsText" text="관리">
      <formula>NOT(ISERROR(SEARCH(("관리"),(D19))))</formula>
    </cfRule>
  </conditionalFormatting>
  <conditionalFormatting sqref="D19">
    <cfRule type="containsText" dxfId="4" priority="2960" operator="containsText" text="등록">
      <formula>NOT(ISERROR(SEARCH(("등록"),(D19))))</formula>
    </cfRule>
  </conditionalFormatting>
  <conditionalFormatting sqref="F19">
    <cfRule type="containsText" dxfId="0" priority="2961" operator="containsText" text="거부">
      <formula>NOT(ISERROR(SEARCH(("거부"),(F19))))</formula>
    </cfRule>
  </conditionalFormatting>
  <conditionalFormatting sqref="F19">
    <cfRule type="containsText" dxfId="1" priority="2962" operator="containsText" text="리턴">
      <formula>NOT(ISERROR(SEARCH(("리턴"),(F19))))</formula>
    </cfRule>
  </conditionalFormatting>
  <conditionalFormatting sqref="F19">
    <cfRule type="containsText" dxfId="2" priority="2963" operator="containsText" text="실패">
      <formula>NOT(ISERROR(SEARCH(("실패"),(F19))))</formula>
    </cfRule>
  </conditionalFormatting>
  <conditionalFormatting sqref="F19">
    <cfRule type="containsText" dxfId="3" priority="2964" operator="containsText" text="관리">
      <formula>NOT(ISERROR(SEARCH(("관리"),(F19))))</formula>
    </cfRule>
  </conditionalFormatting>
  <conditionalFormatting sqref="F19">
    <cfRule type="containsText" dxfId="4" priority="2965" operator="containsText" text="등록">
      <formula>NOT(ISERROR(SEARCH(("등록"),(F19))))</formula>
    </cfRule>
  </conditionalFormatting>
  <conditionalFormatting sqref="F19">
    <cfRule type="containsText" dxfId="0" priority="2966" operator="containsText" text="거부">
      <formula>NOT(ISERROR(SEARCH(("거부"),(F19))))</formula>
    </cfRule>
  </conditionalFormatting>
  <conditionalFormatting sqref="F19">
    <cfRule type="containsText" dxfId="1" priority="2967" operator="containsText" text="리턴">
      <formula>NOT(ISERROR(SEARCH(("리턴"),(F19))))</formula>
    </cfRule>
  </conditionalFormatting>
  <conditionalFormatting sqref="F19">
    <cfRule type="containsText" dxfId="2" priority="2968" operator="containsText" text="실패">
      <formula>NOT(ISERROR(SEARCH(("실패"),(F19))))</formula>
    </cfRule>
  </conditionalFormatting>
  <conditionalFormatting sqref="F19">
    <cfRule type="containsText" dxfId="3" priority="2969" operator="containsText" text="관리">
      <formula>NOT(ISERROR(SEARCH(("관리"),(F19))))</formula>
    </cfRule>
  </conditionalFormatting>
  <conditionalFormatting sqref="F19">
    <cfRule type="containsText" dxfId="4" priority="2970" operator="containsText" text="등록">
      <formula>NOT(ISERROR(SEARCH(("등록"),(F19))))</formula>
    </cfRule>
  </conditionalFormatting>
  <conditionalFormatting sqref="D19">
    <cfRule type="containsText" dxfId="0" priority="2971" operator="containsText" text="거부">
      <formula>NOT(ISERROR(SEARCH(("거부"),(D19))))</formula>
    </cfRule>
  </conditionalFormatting>
  <conditionalFormatting sqref="D19">
    <cfRule type="containsText" dxfId="1" priority="2972" operator="containsText" text="리턴">
      <formula>NOT(ISERROR(SEARCH(("리턴"),(D19))))</formula>
    </cfRule>
  </conditionalFormatting>
  <conditionalFormatting sqref="D19">
    <cfRule type="containsText" dxfId="2" priority="2973" operator="containsText" text="실패">
      <formula>NOT(ISERROR(SEARCH(("실패"),(D19))))</formula>
    </cfRule>
  </conditionalFormatting>
  <conditionalFormatting sqref="D19">
    <cfRule type="containsText" dxfId="3" priority="2974" operator="containsText" text="관리">
      <formula>NOT(ISERROR(SEARCH(("관리"),(D19))))</formula>
    </cfRule>
  </conditionalFormatting>
  <conditionalFormatting sqref="D19">
    <cfRule type="containsText" dxfId="4" priority="2975" operator="containsText" text="등록">
      <formula>NOT(ISERROR(SEARCH(("등록"),(D19))))</formula>
    </cfRule>
  </conditionalFormatting>
  <conditionalFormatting sqref="G19">
    <cfRule type="containsText" dxfId="0" priority="2976" operator="containsText" text="거부">
      <formula>NOT(ISERROR(SEARCH(("거부"),(G19))))</formula>
    </cfRule>
  </conditionalFormatting>
  <conditionalFormatting sqref="G19">
    <cfRule type="containsText" dxfId="1" priority="2977" operator="containsText" text="리턴">
      <formula>NOT(ISERROR(SEARCH(("리턴"),(G19))))</formula>
    </cfRule>
  </conditionalFormatting>
  <conditionalFormatting sqref="G19">
    <cfRule type="containsText" dxfId="2" priority="2978" operator="containsText" text="실패">
      <formula>NOT(ISERROR(SEARCH(("실패"),(G19))))</formula>
    </cfRule>
  </conditionalFormatting>
  <conditionalFormatting sqref="G19">
    <cfRule type="containsText" dxfId="3" priority="2979" operator="containsText" text="관리">
      <formula>NOT(ISERROR(SEARCH(("관리"),(G19))))</formula>
    </cfRule>
  </conditionalFormatting>
  <conditionalFormatting sqref="G19">
    <cfRule type="containsText" dxfId="4" priority="2980" operator="containsText" text="등록">
      <formula>NOT(ISERROR(SEARCH(("등록"),(G19))))</formula>
    </cfRule>
  </conditionalFormatting>
  <conditionalFormatting sqref="G19">
    <cfRule type="containsText" dxfId="0" priority="2981" operator="containsText" text="거부">
      <formula>NOT(ISERROR(SEARCH(("거부"),(G19))))</formula>
    </cfRule>
  </conditionalFormatting>
  <conditionalFormatting sqref="G19">
    <cfRule type="containsText" dxfId="1" priority="2982" operator="containsText" text="리턴">
      <formula>NOT(ISERROR(SEARCH(("리턴"),(G19))))</formula>
    </cfRule>
  </conditionalFormatting>
  <conditionalFormatting sqref="G19">
    <cfRule type="containsText" dxfId="2" priority="2983" operator="containsText" text="실패">
      <formula>NOT(ISERROR(SEARCH(("실패"),(G19))))</formula>
    </cfRule>
  </conditionalFormatting>
  <conditionalFormatting sqref="G19">
    <cfRule type="containsText" dxfId="3" priority="2984" operator="containsText" text="관리">
      <formula>NOT(ISERROR(SEARCH(("관리"),(G19))))</formula>
    </cfRule>
  </conditionalFormatting>
  <conditionalFormatting sqref="G19">
    <cfRule type="containsText" dxfId="4" priority="2985" operator="containsText" text="등록">
      <formula>NOT(ISERROR(SEARCH(("등록"),(G19))))</formula>
    </cfRule>
  </conditionalFormatting>
  <conditionalFormatting sqref="H12">
    <cfRule type="containsText" dxfId="0" priority="2986" operator="containsText" text="거부">
      <formula>NOT(ISERROR(SEARCH(("거부"),(H12))))</formula>
    </cfRule>
  </conditionalFormatting>
  <conditionalFormatting sqref="H12">
    <cfRule type="containsText" dxfId="1" priority="2987" operator="containsText" text="리턴">
      <formula>NOT(ISERROR(SEARCH(("리턴"),(H12))))</formula>
    </cfRule>
  </conditionalFormatting>
  <conditionalFormatting sqref="H12">
    <cfRule type="containsText" dxfId="2" priority="2988" operator="containsText" text="실패">
      <formula>NOT(ISERROR(SEARCH(("실패"),(H12))))</formula>
    </cfRule>
  </conditionalFormatting>
  <conditionalFormatting sqref="H12">
    <cfRule type="containsText" dxfId="3" priority="2989" operator="containsText" text="관리">
      <formula>NOT(ISERROR(SEARCH(("관리"),(H12))))</formula>
    </cfRule>
  </conditionalFormatting>
  <conditionalFormatting sqref="H12">
    <cfRule type="containsText" dxfId="4" priority="2990" operator="containsText" text="등록">
      <formula>NOT(ISERROR(SEARCH(("등록"),(H12))))</formula>
    </cfRule>
  </conditionalFormatting>
  <conditionalFormatting sqref="D19">
    <cfRule type="containsText" dxfId="0" priority="2991" operator="containsText" text="거부">
      <formula>NOT(ISERROR(SEARCH(("거부"),(D19))))</formula>
    </cfRule>
  </conditionalFormatting>
  <conditionalFormatting sqref="D19">
    <cfRule type="containsText" dxfId="1" priority="2992" operator="containsText" text="리턴">
      <formula>NOT(ISERROR(SEARCH(("리턴"),(D19))))</formula>
    </cfRule>
  </conditionalFormatting>
  <conditionalFormatting sqref="D19">
    <cfRule type="containsText" dxfId="2" priority="2993" operator="containsText" text="실패">
      <formula>NOT(ISERROR(SEARCH(("실패"),(D19))))</formula>
    </cfRule>
  </conditionalFormatting>
  <conditionalFormatting sqref="D19">
    <cfRule type="containsText" dxfId="3" priority="2994" operator="containsText" text="관리">
      <formula>NOT(ISERROR(SEARCH(("관리"),(D19))))</formula>
    </cfRule>
  </conditionalFormatting>
  <conditionalFormatting sqref="D19">
    <cfRule type="containsText" dxfId="4" priority="2995" operator="containsText" text="등록">
      <formula>NOT(ISERROR(SEARCH(("등록"),(D19))))</formula>
    </cfRule>
  </conditionalFormatting>
  <conditionalFormatting sqref="D19">
    <cfRule type="containsText" dxfId="0" priority="2996" operator="containsText" text="거부">
      <formula>NOT(ISERROR(SEARCH(("거부"),(D19))))</formula>
    </cfRule>
  </conditionalFormatting>
  <conditionalFormatting sqref="D19">
    <cfRule type="containsText" dxfId="1" priority="2997" operator="containsText" text="리턴">
      <formula>NOT(ISERROR(SEARCH(("리턴"),(D19))))</formula>
    </cfRule>
  </conditionalFormatting>
  <conditionalFormatting sqref="D19">
    <cfRule type="containsText" dxfId="2" priority="2998" operator="containsText" text="실패">
      <formula>NOT(ISERROR(SEARCH(("실패"),(D19))))</formula>
    </cfRule>
  </conditionalFormatting>
  <conditionalFormatting sqref="D19">
    <cfRule type="containsText" dxfId="3" priority="2999" operator="containsText" text="관리">
      <formula>NOT(ISERROR(SEARCH(("관리"),(D19))))</formula>
    </cfRule>
  </conditionalFormatting>
  <conditionalFormatting sqref="D19">
    <cfRule type="containsText" dxfId="4" priority="3000" operator="containsText" text="등록">
      <formula>NOT(ISERROR(SEARCH(("등록"),(D19))))</formula>
    </cfRule>
  </conditionalFormatting>
  <conditionalFormatting sqref="F14 H14:H15">
    <cfRule type="containsText" dxfId="0" priority="3001" operator="containsText" text="거부">
      <formula>NOT(ISERROR(SEARCH(("거부"),(F14))))</formula>
    </cfRule>
  </conditionalFormatting>
  <conditionalFormatting sqref="F14 H14:H15">
    <cfRule type="containsText" dxfId="1" priority="3002" operator="containsText" text="리턴">
      <formula>NOT(ISERROR(SEARCH(("리턴"),(F14))))</formula>
    </cfRule>
  </conditionalFormatting>
  <conditionalFormatting sqref="F14 H14:H15">
    <cfRule type="containsText" dxfId="2" priority="3003" operator="containsText" text="실패">
      <formula>NOT(ISERROR(SEARCH(("실패"),(F14))))</formula>
    </cfRule>
  </conditionalFormatting>
  <conditionalFormatting sqref="F14 H14:H15">
    <cfRule type="containsText" dxfId="3" priority="3004" operator="containsText" text="관리">
      <formula>NOT(ISERROR(SEARCH(("관리"),(F14))))</formula>
    </cfRule>
  </conditionalFormatting>
  <conditionalFormatting sqref="F14 H14:H15">
    <cfRule type="containsText" dxfId="4" priority="3005" operator="containsText" text="등록">
      <formula>NOT(ISERROR(SEARCH(("등록"),(F14))))</formula>
    </cfRule>
  </conditionalFormatting>
  <conditionalFormatting sqref="G14">
    <cfRule type="containsText" dxfId="0" priority="3006" operator="containsText" text="거부">
      <formula>NOT(ISERROR(SEARCH(("거부"),(G14))))</formula>
    </cfRule>
  </conditionalFormatting>
  <conditionalFormatting sqref="G14">
    <cfRule type="containsText" dxfId="1" priority="3007" operator="containsText" text="리턴">
      <formula>NOT(ISERROR(SEARCH(("리턴"),(G14))))</formula>
    </cfRule>
  </conditionalFormatting>
  <conditionalFormatting sqref="G14">
    <cfRule type="containsText" dxfId="2" priority="3008" operator="containsText" text="실패">
      <formula>NOT(ISERROR(SEARCH(("실패"),(G14))))</formula>
    </cfRule>
  </conditionalFormatting>
  <conditionalFormatting sqref="G14">
    <cfRule type="containsText" dxfId="3" priority="3009" operator="containsText" text="관리">
      <formula>NOT(ISERROR(SEARCH(("관리"),(G14))))</formula>
    </cfRule>
  </conditionalFormatting>
  <conditionalFormatting sqref="G14">
    <cfRule type="containsText" dxfId="4" priority="3010" operator="containsText" text="등록">
      <formula>NOT(ISERROR(SEARCH(("등록"),(G14))))</formula>
    </cfRule>
  </conditionalFormatting>
  <conditionalFormatting sqref="G14">
    <cfRule type="containsText" dxfId="0" priority="3011" operator="containsText" text="거부">
      <formula>NOT(ISERROR(SEARCH(("거부"),(G14))))</formula>
    </cfRule>
  </conditionalFormatting>
  <conditionalFormatting sqref="G14">
    <cfRule type="containsText" dxfId="1" priority="3012" operator="containsText" text="리턴">
      <formula>NOT(ISERROR(SEARCH(("리턴"),(G14))))</formula>
    </cfRule>
  </conditionalFormatting>
  <conditionalFormatting sqref="G14">
    <cfRule type="containsText" dxfId="2" priority="3013" operator="containsText" text="실패">
      <formula>NOT(ISERROR(SEARCH(("실패"),(G14))))</formula>
    </cfRule>
  </conditionalFormatting>
  <conditionalFormatting sqref="G14">
    <cfRule type="containsText" dxfId="3" priority="3014" operator="containsText" text="관리">
      <formula>NOT(ISERROR(SEARCH(("관리"),(G14))))</formula>
    </cfRule>
  </conditionalFormatting>
  <conditionalFormatting sqref="G14">
    <cfRule type="containsText" dxfId="4" priority="3015" operator="containsText" text="등록">
      <formula>NOT(ISERROR(SEARCH(("등록"),(G14))))</formula>
    </cfRule>
  </conditionalFormatting>
  <conditionalFormatting sqref="H13">
    <cfRule type="containsText" dxfId="0" priority="3016" operator="containsText" text="거부">
      <formula>NOT(ISERROR(SEARCH(("거부"),(H13))))</formula>
    </cfRule>
  </conditionalFormatting>
  <conditionalFormatting sqref="H13">
    <cfRule type="containsText" dxfId="1" priority="3017" operator="containsText" text="리턴">
      <formula>NOT(ISERROR(SEARCH(("리턴"),(H13))))</formula>
    </cfRule>
  </conditionalFormatting>
  <conditionalFormatting sqref="H13">
    <cfRule type="containsText" dxfId="2" priority="3018" operator="containsText" text="실패">
      <formula>NOT(ISERROR(SEARCH(("실패"),(H13))))</formula>
    </cfRule>
  </conditionalFormatting>
  <conditionalFormatting sqref="H13">
    <cfRule type="containsText" dxfId="3" priority="3019" operator="containsText" text="관리">
      <formula>NOT(ISERROR(SEARCH(("관리"),(H13))))</formula>
    </cfRule>
  </conditionalFormatting>
  <conditionalFormatting sqref="H13">
    <cfRule type="containsText" dxfId="4" priority="3020" operator="containsText" text="등록">
      <formula>NOT(ISERROR(SEARCH(("등록"),(H13))))</formula>
    </cfRule>
  </conditionalFormatting>
  <conditionalFormatting sqref="F13">
    <cfRule type="containsText" dxfId="0" priority="3021" operator="containsText" text="거부">
      <formula>NOT(ISERROR(SEARCH(("거부"),(F13))))</formula>
    </cfRule>
  </conditionalFormatting>
  <conditionalFormatting sqref="F13">
    <cfRule type="containsText" dxfId="1" priority="3022" operator="containsText" text="리턴">
      <formula>NOT(ISERROR(SEARCH(("리턴"),(F13))))</formula>
    </cfRule>
  </conditionalFormatting>
  <conditionalFormatting sqref="F13">
    <cfRule type="containsText" dxfId="2" priority="3023" operator="containsText" text="실패">
      <formula>NOT(ISERROR(SEARCH(("실패"),(F13))))</formula>
    </cfRule>
  </conditionalFormatting>
  <conditionalFormatting sqref="F13">
    <cfRule type="containsText" dxfId="3" priority="3024" operator="containsText" text="관리">
      <formula>NOT(ISERROR(SEARCH(("관리"),(F13))))</formula>
    </cfRule>
  </conditionalFormatting>
  <conditionalFormatting sqref="F13">
    <cfRule type="containsText" dxfId="4" priority="3025" operator="containsText" text="등록">
      <formula>NOT(ISERROR(SEARCH(("등록"),(F13))))</formula>
    </cfRule>
  </conditionalFormatting>
  <conditionalFormatting sqref="G17">
    <cfRule type="containsText" dxfId="0" priority="3026" operator="containsText" text="거부">
      <formula>NOT(ISERROR(SEARCH(("거부"),(G17))))</formula>
    </cfRule>
  </conditionalFormatting>
  <conditionalFormatting sqref="G17">
    <cfRule type="containsText" dxfId="1" priority="3027" operator="containsText" text="리턴">
      <formula>NOT(ISERROR(SEARCH(("리턴"),(G17))))</formula>
    </cfRule>
  </conditionalFormatting>
  <conditionalFormatting sqref="G17">
    <cfRule type="containsText" dxfId="2" priority="3028" operator="containsText" text="실패">
      <formula>NOT(ISERROR(SEARCH(("실패"),(G17))))</formula>
    </cfRule>
  </conditionalFormatting>
  <conditionalFormatting sqref="G17">
    <cfRule type="containsText" dxfId="3" priority="3029" operator="containsText" text="관리">
      <formula>NOT(ISERROR(SEARCH(("관리"),(G17))))</formula>
    </cfRule>
  </conditionalFormatting>
  <conditionalFormatting sqref="G17">
    <cfRule type="containsText" dxfId="4" priority="3030" operator="containsText" text="등록">
      <formula>NOT(ISERROR(SEARCH(("등록"),(G17))))</formula>
    </cfRule>
  </conditionalFormatting>
  <conditionalFormatting sqref="G17">
    <cfRule type="containsText" dxfId="0" priority="3031" operator="containsText" text="거부">
      <formula>NOT(ISERROR(SEARCH(("거부"),(G17))))</formula>
    </cfRule>
  </conditionalFormatting>
  <conditionalFormatting sqref="G17">
    <cfRule type="containsText" dxfId="1" priority="3032" operator="containsText" text="리턴">
      <formula>NOT(ISERROR(SEARCH(("리턴"),(G17))))</formula>
    </cfRule>
  </conditionalFormatting>
  <conditionalFormatting sqref="G17">
    <cfRule type="containsText" dxfId="2" priority="3033" operator="containsText" text="실패">
      <formula>NOT(ISERROR(SEARCH(("실패"),(G17))))</formula>
    </cfRule>
  </conditionalFormatting>
  <conditionalFormatting sqref="G17">
    <cfRule type="containsText" dxfId="3" priority="3034" operator="containsText" text="관리">
      <formula>NOT(ISERROR(SEARCH(("관리"),(G17))))</formula>
    </cfRule>
  </conditionalFormatting>
  <conditionalFormatting sqref="G17">
    <cfRule type="containsText" dxfId="4" priority="3035" operator="containsText" text="등록">
      <formula>NOT(ISERROR(SEARCH(("등록"),(G17))))</formula>
    </cfRule>
  </conditionalFormatting>
  <conditionalFormatting sqref="G18">
    <cfRule type="containsText" dxfId="0" priority="3036" operator="containsText" text="거부">
      <formula>NOT(ISERROR(SEARCH(("거부"),(G18))))</formula>
    </cfRule>
  </conditionalFormatting>
  <conditionalFormatting sqref="G18">
    <cfRule type="containsText" dxfId="1" priority="3037" operator="containsText" text="리턴">
      <formula>NOT(ISERROR(SEARCH(("리턴"),(G18))))</formula>
    </cfRule>
  </conditionalFormatting>
  <conditionalFormatting sqref="G18">
    <cfRule type="containsText" dxfId="2" priority="3038" operator="containsText" text="실패">
      <formula>NOT(ISERROR(SEARCH(("실패"),(G18))))</formula>
    </cfRule>
  </conditionalFormatting>
  <conditionalFormatting sqref="G18">
    <cfRule type="containsText" dxfId="3" priority="3039" operator="containsText" text="관리">
      <formula>NOT(ISERROR(SEARCH(("관리"),(G18))))</formula>
    </cfRule>
  </conditionalFormatting>
  <conditionalFormatting sqref="G18">
    <cfRule type="containsText" dxfId="4" priority="3040" operator="containsText" text="등록">
      <formula>NOT(ISERROR(SEARCH(("등록"),(G18))))</formula>
    </cfRule>
  </conditionalFormatting>
  <conditionalFormatting sqref="G18">
    <cfRule type="containsText" dxfId="0" priority="3041" operator="containsText" text="거부">
      <formula>NOT(ISERROR(SEARCH(("거부"),(G18))))</formula>
    </cfRule>
  </conditionalFormatting>
  <conditionalFormatting sqref="G18">
    <cfRule type="containsText" dxfId="1" priority="3042" operator="containsText" text="리턴">
      <formula>NOT(ISERROR(SEARCH(("리턴"),(G18))))</formula>
    </cfRule>
  </conditionalFormatting>
  <conditionalFormatting sqref="G18">
    <cfRule type="containsText" dxfId="2" priority="3043" operator="containsText" text="실패">
      <formula>NOT(ISERROR(SEARCH(("실패"),(G18))))</formula>
    </cfRule>
  </conditionalFormatting>
  <conditionalFormatting sqref="G18">
    <cfRule type="containsText" dxfId="3" priority="3044" operator="containsText" text="관리">
      <formula>NOT(ISERROR(SEARCH(("관리"),(G18))))</formula>
    </cfRule>
  </conditionalFormatting>
  <conditionalFormatting sqref="G18">
    <cfRule type="containsText" dxfId="4" priority="3045" operator="containsText" text="등록">
      <formula>NOT(ISERROR(SEARCH(("등록"),(G18))))</formula>
    </cfRule>
  </conditionalFormatting>
  <conditionalFormatting sqref="G32">
    <cfRule type="containsText" dxfId="0" priority="3046" operator="containsText" text="거부">
      <formula>NOT(ISERROR(SEARCH(("거부"),(G32))))</formula>
    </cfRule>
  </conditionalFormatting>
  <conditionalFormatting sqref="G32">
    <cfRule type="containsText" dxfId="1" priority="3047" operator="containsText" text="리턴">
      <formula>NOT(ISERROR(SEARCH(("리턴"),(G32))))</formula>
    </cfRule>
  </conditionalFormatting>
  <conditionalFormatting sqref="G32">
    <cfRule type="containsText" dxfId="2" priority="3048" operator="containsText" text="실패">
      <formula>NOT(ISERROR(SEARCH(("실패"),(G32))))</formula>
    </cfRule>
  </conditionalFormatting>
  <conditionalFormatting sqref="G32">
    <cfRule type="containsText" dxfId="3" priority="3049" operator="containsText" text="관리">
      <formula>NOT(ISERROR(SEARCH(("관리"),(G32))))</formula>
    </cfRule>
  </conditionalFormatting>
  <conditionalFormatting sqref="G32">
    <cfRule type="containsText" dxfId="4" priority="3050" operator="containsText" text="등록">
      <formula>NOT(ISERROR(SEARCH(("등록"),(G32))))</formula>
    </cfRule>
  </conditionalFormatting>
  <conditionalFormatting sqref="G32">
    <cfRule type="containsText" dxfId="0" priority="3051" operator="containsText" text="거부">
      <formula>NOT(ISERROR(SEARCH(("거부"),(G32))))</formula>
    </cfRule>
  </conditionalFormatting>
  <conditionalFormatting sqref="G32">
    <cfRule type="containsText" dxfId="1" priority="3052" operator="containsText" text="리턴">
      <formula>NOT(ISERROR(SEARCH(("리턴"),(G32))))</formula>
    </cfRule>
  </conditionalFormatting>
  <conditionalFormatting sqref="G32">
    <cfRule type="containsText" dxfId="2" priority="3053" operator="containsText" text="실패">
      <formula>NOT(ISERROR(SEARCH(("실패"),(G32))))</formula>
    </cfRule>
  </conditionalFormatting>
  <conditionalFormatting sqref="G32">
    <cfRule type="containsText" dxfId="3" priority="3054" operator="containsText" text="관리">
      <formula>NOT(ISERROR(SEARCH(("관리"),(G32))))</formula>
    </cfRule>
  </conditionalFormatting>
  <conditionalFormatting sqref="G32">
    <cfRule type="containsText" dxfId="4" priority="3055" operator="containsText" text="등록">
      <formula>NOT(ISERROR(SEARCH(("등록"),(G32))))</formula>
    </cfRule>
  </conditionalFormatting>
  <conditionalFormatting sqref="G32">
    <cfRule type="containsText" dxfId="0" priority="3056" operator="containsText" text="거부">
      <formula>NOT(ISERROR(SEARCH(("거부"),(G32))))</formula>
    </cfRule>
  </conditionalFormatting>
  <conditionalFormatting sqref="G32">
    <cfRule type="containsText" dxfId="1" priority="3057" operator="containsText" text="리턴">
      <formula>NOT(ISERROR(SEARCH(("리턴"),(G32))))</formula>
    </cfRule>
  </conditionalFormatting>
  <conditionalFormatting sqref="G32">
    <cfRule type="containsText" dxfId="2" priority="3058" operator="containsText" text="실패">
      <formula>NOT(ISERROR(SEARCH(("실패"),(G32))))</formula>
    </cfRule>
  </conditionalFormatting>
  <conditionalFormatting sqref="G32">
    <cfRule type="containsText" dxfId="3" priority="3059" operator="containsText" text="관리">
      <formula>NOT(ISERROR(SEARCH(("관리"),(G32))))</formula>
    </cfRule>
  </conditionalFormatting>
  <conditionalFormatting sqref="G32">
    <cfRule type="containsText" dxfId="4" priority="3060" operator="containsText" text="등록">
      <formula>NOT(ISERROR(SEARCH(("등록"),(G32))))</formula>
    </cfRule>
  </conditionalFormatting>
  <conditionalFormatting sqref="G35">
    <cfRule type="containsText" dxfId="0" priority="3061" operator="containsText" text="거부">
      <formula>NOT(ISERROR(SEARCH(("거부"),(G35))))</formula>
    </cfRule>
  </conditionalFormatting>
  <conditionalFormatting sqref="G35">
    <cfRule type="containsText" dxfId="1" priority="3062" operator="containsText" text="리턴">
      <formula>NOT(ISERROR(SEARCH(("리턴"),(G35))))</formula>
    </cfRule>
  </conditionalFormatting>
  <conditionalFormatting sqref="G35">
    <cfRule type="containsText" dxfId="2" priority="3063" operator="containsText" text="실패">
      <formula>NOT(ISERROR(SEARCH(("실패"),(G35))))</formula>
    </cfRule>
  </conditionalFormatting>
  <conditionalFormatting sqref="G35">
    <cfRule type="containsText" dxfId="3" priority="3064" operator="containsText" text="관리">
      <formula>NOT(ISERROR(SEARCH(("관리"),(G35))))</formula>
    </cfRule>
  </conditionalFormatting>
  <conditionalFormatting sqref="G35">
    <cfRule type="containsText" dxfId="4" priority="3065" operator="containsText" text="등록">
      <formula>NOT(ISERROR(SEARCH(("등록"),(G35))))</formula>
    </cfRule>
  </conditionalFormatting>
  <conditionalFormatting sqref="G31">
    <cfRule type="containsText" dxfId="0" priority="3066" operator="containsText" text="거부">
      <formula>NOT(ISERROR(SEARCH(("거부"),(G31))))</formula>
    </cfRule>
  </conditionalFormatting>
  <conditionalFormatting sqref="G31">
    <cfRule type="containsText" dxfId="1" priority="3067" operator="containsText" text="리턴">
      <formula>NOT(ISERROR(SEARCH(("리턴"),(G31))))</formula>
    </cfRule>
  </conditionalFormatting>
  <conditionalFormatting sqref="G31">
    <cfRule type="containsText" dxfId="2" priority="3068" operator="containsText" text="실패">
      <formula>NOT(ISERROR(SEARCH(("실패"),(G31))))</formula>
    </cfRule>
  </conditionalFormatting>
  <conditionalFormatting sqref="G31">
    <cfRule type="containsText" dxfId="3" priority="3069" operator="containsText" text="관리">
      <formula>NOT(ISERROR(SEARCH(("관리"),(G31))))</formula>
    </cfRule>
  </conditionalFormatting>
  <conditionalFormatting sqref="G31">
    <cfRule type="containsText" dxfId="4" priority="3070" operator="containsText" text="등록">
      <formula>NOT(ISERROR(SEARCH(("등록"),(G31))))</formula>
    </cfRule>
  </conditionalFormatting>
  <conditionalFormatting sqref="G32">
    <cfRule type="containsText" dxfId="0" priority="3071" operator="containsText" text="거부">
      <formula>NOT(ISERROR(SEARCH(("거부"),(G32))))</formula>
    </cfRule>
  </conditionalFormatting>
  <conditionalFormatting sqref="G32">
    <cfRule type="containsText" dxfId="1" priority="3072" operator="containsText" text="리턴">
      <formula>NOT(ISERROR(SEARCH(("리턴"),(G32))))</formula>
    </cfRule>
  </conditionalFormatting>
  <conditionalFormatting sqref="G32">
    <cfRule type="containsText" dxfId="2" priority="3073" operator="containsText" text="실패">
      <formula>NOT(ISERROR(SEARCH(("실패"),(G32))))</formula>
    </cfRule>
  </conditionalFormatting>
  <conditionalFormatting sqref="G32">
    <cfRule type="containsText" dxfId="3" priority="3074" operator="containsText" text="관리">
      <formula>NOT(ISERROR(SEARCH(("관리"),(G32))))</formula>
    </cfRule>
  </conditionalFormatting>
  <conditionalFormatting sqref="G32">
    <cfRule type="containsText" dxfId="4" priority="3075" operator="containsText" text="등록">
      <formula>NOT(ISERROR(SEARCH(("등록"),(G32))))</formula>
    </cfRule>
  </conditionalFormatting>
  <conditionalFormatting sqref="G31">
    <cfRule type="containsText" dxfId="0" priority="3076" operator="containsText" text="거부">
      <formula>NOT(ISERROR(SEARCH(("거부"),(G31))))</formula>
    </cfRule>
  </conditionalFormatting>
  <conditionalFormatting sqref="G31">
    <cfRule type="containsText" dxfId="1" priority="3077" operator="containsText" text="리턴">
      <formula>NOT(ISERROR(SEARCH(("리턴"),(G31))))</formula>
    </cfRule>
  </conditionalFormatting>
  <conditionalFormatting sqref="G31">
    <cfRule type="containsText" dxfId="2" priority="3078" operator="containsText" text="실패">
      <formula>NOT(ISERROR(SEARCH(("실패"),(G31))))</formula>
    </cfRule>
  </conditionalFormatting>
  <conditionalFormatting sqref="G31">
    <cfRule type="containsText" dxfId="3" priority="3079" operator="containsText" text="관리">
      <formula>NOT(ISERROR(SEARCH(("관리"),(G31))))</formula>
    </cfRule>
  </conditionalFormatting>
  <conditionalFormatting sqref="G31">
    <cfRule type="containsText" dxfId="4" priority="3080" operator="containsText" text="등록">
      <formula>NOT(ISERROR(SEARCH(("등록"),(G31))))</formula>
    </cfRule>
  </conditionalFormatting>
  <conditionalFormatting sqref="G32">
    <cfRule type="containsText" dxfId="0" priority="3081" operator="containsText" text="거부">
      <formula>NOT(ISERROR(SEARCH(("거부"),(G32))))</formula>
    </cfRule>
  </conditionalFormatting>
  <conditionalFormatting sqref="G32">
    <cfRule type="containsText" dxfId="1" priority="3082" operator="containsText" text="리턴">
      <formula>NOT(ISERROR(SEARCH(("리턴"),(G32))))</formula>
    </cfRule>
  </conditionalFormatting>
  <conditionalFormatting sqref="G32">
    <cfRule type="containsText" dxfId="2" priority="3083" operator="containsText" text="실패">
      <formula>NOT(ISERROR(SEARCH(("실패"),(G32))))</formula>
    </cfRule>
  </conditionalFormatting>
  <conditionalFormatting sqref="G32">
    <cfRule type="containsText" dxfId="3" priority="3084" operator="containsText" text="관리">
      <formula>NOT(ISERROR(SEARCH(("관리"),(G32))))</formula>
    </cfRule>
  </conditionalFormatting>
  <conditionalFormatting sqref="G32">
    <cfRule type="containsText" dxfId="4" priority="3085" operator="containsText" text="등록">
      <formula>NOT(ISERROR(SEARCH(("등록"),(G32))))</formula>
    </cfRule>
  </conditionalFormatting>
  <conditionalFormatting sqref="E29">
    <cfRule type="containsText" dxfId="0" priority="3086" operator="containsText" text="거부">
      <formula>NOT(ISERROR(SEARCH(("거부"),(E29))))</formula>
    </cfRule>
  </conditionalFormatting>
  <conditionalFormatting sqref="E29">
    <cfRule type="containsText" dxfId="1" priority="3087" operator="containsText" text="리턴">
      <formula>NOT(ISERROR(SEARCH(("리턴"),(E29))))</formula>
    </cfRule>
  </conditionalFormatting>
  <conditionalFormatting sqref="E29">
    <cfRule type="containsText" dxfId="2" priority="3088" operator="containsText" text="실패">
      <formula>NOT(ISERROR(SEARCH(("실패"),(E29))))</formula>
    </cfRule>
  </conditionalFormatting>
  <conditionalFormatting sqref="E29">
    <cfRule type="containsText" dxfId="3" priority="3089" operator="containsText" text="관리">
      <formula>NOT(ISERROR(SEARCH(("관리"),(E29))))</formula>
    </cfRule>
  </conditionalFormatting>
  <conditionalFormatting sqref="E29">
    <cfRule type="containsText" dxfId="4" priority="3090" operator="containsText" text="등록">
      <formula>NOT(ISERROR(SEARCH(("등록"),(E29))))</formula>
    </cfRule>
  </conditionalFormatting>
  <conditionalFormatting sqref="G30">
    <cfRule type="containsText" dxfId="0" priority="3091" operator="containsText" text="거부">
      <formula>NOT(ISERROR(SEARCH(("거부"),(G30))))</formula>
    </cfRule>
  </conditionalFormatting>
  <conditionalFormatting sqref="G30">
    <cfRule type="containsText" dxfId="1" priority="3092" operator="containsText" text="리턴">
      <formula>NOT(ISERROR(SEARCH(("리턴"),(G30))))</formula>
    </cfRule>
  </conditionalFormatting>
  <conditionalFormatting sqref="G30">
    <cfRule type="containsText" dxfId="2" priority="3093" operator="containsText" text="실패">
      <formula>NOT(ISERROR(SEARCH(("실패"),(G30))))</formula>
    </cfRule>
  </conditionalFormatting>
  <conditionalFormatting sqref="G30">
    <cfRule type="containsText" dxfId="3" priority="3094" operator="containsText" text="관리">
      <formula>NOT(ISERROR(SEARCH(("관리"),(G30))))</formula>
    </cfRule>
  </conditionalFormatting>
  <conditionalFormatting sqref="G30">
    <cfRule type="containsText" dxfId="4" priority="3095" operator="containsText" text="등록">
      <formula>NOT(ISERROR(SEARCH(("등록"),(G30))))</formula>
    </cfRule>
  </conditionalFormatting>
  <conditionalFormatting sqref="G31">
    <cfRule type="containsText" dxfId="0" priority="3096" operator="containsText" text="거부">
      <formula>NOT(ISERROR(SEARCH(("거부"),(G31))))</formula>
    </cfRule>
  </conditionalFormatting>
  <conditionalFormatting sqref="G31">
    <cfRule type="containsText" dxfId="1" priority="3097" operator="containsText" text="리턴">
      <formula>NOT(ISERROR(SEARCH(("리턴"),(G31))))</formula>
    </cfRule>
  </conditionalFormatting>
  <conditionalFormatting sqref="G31">
    <cfRule type="containsText" dxfId="2" priority="3098" operator="containsText" text="실패">
      <formula>NOT(ISERROR(SEARCH(("실패"),(G31))))</formula>
    </cfRule>
  </conditionalFormatting>
  <conditionalFormatting sqref="G31">
    <cfRule type="containsText" dxfId="3" priority="3099" operator="containsText" text="관리">
      <formula>NOT(ISERROR(SEARCH(("관리"),(G31))))</formula>
    </cfRule>
  </conditionalFormatting>
  <conditionalFormatting sqref="G31">
    <cfRule type="containsText" dxfId="4" priority="3100" operator="containsText" text="등록">
      <formula>NOT(ISERROR(SEARCH(("등록"),(G31))))</formula>
    </cfRule>
  </conditionalFormatting>
  <conditionalFormatting sqref="G30">
    <cfRule type="containsText" dxfId="0" priority="3101" operator="containsText" text="거부">
      <formula>NOT(ISERROR(SEARCH(("거부"),(G30))))</formula>
    </cfRule>
  </conditionalFormatting>
  <conditionalFormatting sqref="G30">
    <cfRule type="containsText" dxfId="1" priority="3102" operator="containsText" text="리턴">
      <formula>NOT(ISERROR(SEARCH(("리턴"),(G30))))</formula>
    </cfRule>
  </conditionalFormatting>
  <conditionalFormatting sqref="G30">
    <cfRule type="containsText" dxfId="2" priority="3103" operator="containsText" text="실패">
      <formula>NOT(ISERROR(SEARCH(("실패"),(G30))))</formula>
    </cfRule>
  </conditionalFormatting>
  <conditionalFormatting sqref="G30">
    <cfRule type="containsText" dxfId="3" priority="3104" operator="containsText" text="관리">
      <formula>NOT(ISERROR(SEARCH(("관리"),(G30))))</formula>
    </cfRule>
  </conditionalFormatting>
  <conditionalFormatting sqref="G30">
    <cfRule type="containsText" dxfId="4" priority="3105" operator="containsText" text="등록">
      <formula>NOT(ISERROR(SEARCH(("등록"),(G30))))</formula>
    </cfRule>
  </conditionalFormatting>
  <conditionalFormatting sqref="G31">
    <cfRule type="containsText" dxfId="0" priority="3106" operator="containsText" text="거부">
      <formula>NOT(ISERROR(SEARCH(("거부"),(G31))))</formula>
    </cfRule>
  </conditionalFormatting>
  <conditionalFormatting sqref="G31">
    <cfRule type="containsText" dxfId="1" priority="3107" operator="containsText" text="리턴">
      <formula>NOT(ISERROR(SEARCH(("리턴"),(G31))))</formula>
    </cfRule>
  </conditionalFormatting>
  <conditionalFormatting sqref="G31">
    <cfRule type="containsText" dxfId="2" priority="3108" operator="containsText" text="실패">
      <formula>NOT(ISERROR(SEARCH(("실패"),(G31))))</formula>
    </cfRule>
  </conditionalFormatting>
  <conditionalFormatting sqref="G31">
    <cfRule type="containsText" dxfId="3" priority="3109" operator="containsText" text="관리">
      <formula>NOT(ISERROR(SEARCH(("관리"),(G31))))</formula>
    </cfRule>
  </conditionalFormatting>
  <conditionalFormatting sqref="G31">
    <cfRule type="containsText" dxfId="4" priority="3110" operator="containsText" text="등록">
      <formula>NOT(ISERROR(SEARCH(("등록"),(G31))))</formula>
    </cfRule>
  </conditionalFormatting>
  <conditionalFormatting sqref="G31">
    <cfRule type="containsText" dxfId="0" priority="3111" operator="containsText" text="거부">
      <formula>NOT(ISERROR(SEARCH(("거부"),(G31))))</formula>
    </cfRule>
  </conditionalFormatting>
  <conditionalFormatting sqref="G31">
    <cfRule type="containsText" dxfId="1" priority="3112" operator="containsText" text="리턴">
      <formula>NOT(ISERROR(SEARCH(("리턴"),(G31))))</formula>
    </cfRule>
  </conditionalFormatting>
  <conditionalFormatting sqref="G31">
    <cfRule type="containsText" dxfId="2" priority="3113" operator="containsText" text="실패">
      <formula>NOT(ISERROR(SEARCH(("실패"),(G31))))</formula>
    </cfRule>
  </conditionalFormatting>
  <conditionalFormatting sqref="G31">
    <cfRule type="containsText" dxfId="3" priority="3114" operator="containsText" text="관리">
      <formula>NOT(ISERROR(SEARCH(("관리"),(G31))))</formula>
    </cfRule>
  </conditionalFormatting>
  <conditionalFormatting sqref="G31">
    <cfRule type="containsText" dxfId="4" priority="3115" operator="containsText" text="등록">
      <formula>NOT(ISERROR(SEARCH(("등록"),(G31))))</formula>
    </cfRule>
  </conditionalFormatting>
  <conditionalFormatting sqref="G32">
    <cfRule type="containsText" dxfId="0" priority="3116" operator="containsText" text="거부">
      <formula>NOT(ISERROR(SEARCH(("거부"),(G32))))</formula>
    </cfRule>
  </conditionalFormatting>
  <conditionalFormatting sqref="G32">
    <cfRule type="containsText" dxfId="1" priority="3117" operator="containsText" text="리턴">
      <formula>NOT(ISERROR(SEARCH(("리턴"),(G32))))</formula>
    </cfRule>
  </conditionalFormatting>
  <conditionalFormatting sqref="G32">
    <cfRule type="containsText" dxfId="2" priority="3118" operator="containsText" text="실패">
      <formula>NOT(ISERROR(SEARCH(("실패"),(G32))))</formula>
    </cfRule>
  </conditionalFormatting>
  <conditionalFormatting sqref="G32">
    <cfRule type="containsText" dxfId="3" priority="3119" operator="containsText" text="관리">
      <formula>NOT(ISERROR(SEARCH(("관리"),(G32))))</formula>
    </cfRule>
  </conditionalFormatting>
  <conditionalFormatting sqref="G32">
    <cfRule type="containsText" dxfId="4" priority="3120" operator="containsText" text="등록">
      <formula>NOT(ISERROR(SEARCH(("등록"),(G32))))</formula>
    </cfRule>
  </conditionalFormatting>
  <conditionalFormatting sqref="G32">
    <cfRule type="containsText" dxfId="0" priority="3121" operator="containsText" text="거부">
      <formula>NOT(ISERROR(SEARCH(("거부"),(G32))))</formula>
    </cfRule>
  </conditionalFormatting>
  <conditionalFormatting sqref="G32">
    <cfRule type="containsText" dxfId="1" priority="3122" operator="containsText" text="리턴">
      <formula>NOT(ISERROR(SEARCH(("리턴"),(G32))))</formula>
    </cfRule>
  </conditionalFormatting>
  <conditionalFormatting sqref="G32">
    <cfRule type="containsText" dxfId="2" priority="3123" operator="containsText" text="실패">
      <formula>NOT(ISERROR(SEARCH(("실패"),(G32))))</formula>
    </cfRule>
  </conditionalFormatting>
  <conditionalFormatting sqref="G32">
    <cfRule type="containsText" dxfId="3" priority="3124" operator="containsText" text="관리">
      <formula>NOT(ISERROR(SEARCH(("관리"),(G32))))</formula>
    </cfRule>
  </conditionalFormatting>
  <conditionalFormatting sqref="G32">
    <cfRule type="containsText" dxfId="4" priority="3125" operator="containsText" text="등록">
      <formula>NOT(ISERROR(SEARCH(("등록"),(G32))))</formula>
    </cfRule>
  </conditionalFormatting>
  <conditionalFormatting sqref="G31">
    <cfRule type="containsText" dxfId="0" priority="3126" operator="containsText" text="거부">
      <formula>NOT(ISERROR(SEARCH(("거부"),(G31))))</formula>
    </cfRule>
  </conditionalFormatting>
  <conditionalFormatting sqref="G31">
    <cfRule type="containsText" dxfId="1" priority="3127" operator="containsText" text="리턴">
      <formula>NOT(ISERROR(SEARCH(("리턴"),(G31))))</formula>
    </cfRule>
  </conditionalFormatting>
  <conditionalFormatting sqref="G31">
    <cfRule type="containsText" dxfId="2" priority="3128" operator="containsText" text="실패">
      <formula>NOT(ISERROR(SEARCH(("실패"),(G31))))</formula>
    </cfRule>
  </conditionalFormatting>
  <conditionalFormatting sqref="G31">
    <cfRule type="containsText" dxfId="3" priority="3129" operator="containsText" text="관리">
      <formula>NOT(ISERROR(SEARCH(("관리"),(G31))))</formula>
    </cfRule>
  </conditionalFormatting>
  <conditionalFormatting sqref="G31">
    <cfRule type="containsText" dxfId="4" priority="3130" operator="containsText" text="등록">
      <formula>NOT(ISERROR(SEARCH(("등록"),(G31))))</formula>
    </cfRule>
  </conditionalFormatting>
  <conditionalFormatting sqref="G32">
    <cfRule type="containsText" dxfId="0" priority="3131" operator="containsText" text="거부">
      <formula>NOT(ISERROR(SEARCH(("거부"),(G32))))</formula>
    </cfRule>
  </conditionalFormatting>
  <conditionalFormatting sqref="G32">
    <cfRule type="containsText" dxfId="1" priority="3132" operator="containsText" text="리턴">
      <formula>NOT(ISERROR(SEARCH(("리턴"),(G32))))</formula>
    </cfRule>
  </conditionalFormatting>
  <conditionalFormatting sqref="G32">
    <cfRule type="containsText" dxfId="2" priority="3133" operator="containsText" text="실패">
      <formula>NOT(ISERROR(SEARCH(("실패"),(G32))))</formula>
    </cfRule>
  </conditionalFormatting>
  <conditionalFormatting sqref="G32">
    <cfRule type="containsText" dxfId="3" priority="3134" operator="containsText" text="관리">
      <formula>NOT(ISERROR(SEARCH(("관리"),(G32))))</formula>
    </cfRule>
  </conditionalFormatting>
  <conditionalFormatting sqref="G32">
    <cfRule type="containsText" dxfId="4" priority="3135" operator="containsText" text="등록">
      <formula>NOT(ISERROR(SEARCH(("등록"),(G32))))</formula>
    </cfRule>
  </conditionalFormatting>
  <conditionalFormatting sqref="G31">
    <cfRule type="containsText" dxfId="0" priority="3136" operator="containsText" text="거부">
      <formula>NOT(ISERROR(SEARCH(("거부"),(G31))))</formula>
    </cfRule>
  </conditionalFormatting>
  <conditionalFormatting sqref="G31">
    <cfRule type="containsText" dxfId="1" priority="3137" operator="containsText" text="리턴">
      <formula>NOT(ISERROR(SEARCH(("리턴"),(G31))))</formula>
    </cfRule>
  </conditionalFormatting>
  <conditionalFormatting sqref="G31">
    <cfRule type="containsText" dxfId="2" priority="3138" operator="containsText" text="실패">
      <formula>NOT(ISERROR(SEARCH(("실패"),(G31))))</formula>
    </cfRule>
  </conditionalFormatting>
  <conditionalFormatting sqref="G31">
    <cfRule type="containsText" dxfId="3" priority="3139" operator="containsText" text="관리">
      <formula>NOT(ISERROR(SEARCH(("관리"),(G31))))</formula>
    </cfRule>
  </conditionalFormatting>
  <conditionalFormatting sqref="G31">
    <cfRule type="containsText" dxfId="4" priority="3140" operator="containsText" text="등록">
      <formula>NOT(ISERROR(SEARCH(("등록"),(G31))))</formula>
    </cfRule>
  </conditionalFormatting>
  <conditionalFormatting sqref="G32">
    <cfRule type="containsText" dxfId="0" priority="3141" operator="containsText" text="거부">
      <formula>NOT(ISERROR(SEARCH(("거부"),(G32))))</formula>
    </cfRule>
  </conditionalFormatting>
  <conditionalFormatting sqref="G32">
    <cfRule type="containsText" dxfId="1" priority="3142" operator="containsText" text="리턴">
      <formula>NOT(ISERROR(SEARCH(("리턴"),(G32))))</formula>
    </cfRule>
  </conditionalFormatting>
  <conditionalFormatting sqref="G32">
    <cfRule type="containsText" dxfId="2" priority="3143" operator="containsText" text="실패">
      <formula>NOT(ISERROR(SEARCH(("실패"),(G32))))</formula>
    </cfRule>
  </conditionalFormatting>
  <conditionalFormatting sqref="G32">
    <cfRule type="containsText" dxfId="3" priority="3144" operator="containsText" text="관리">
      <formula>NOT(ISERROR(SEARCH(("관리"),(G32))))</formula>
    </cfRule>
  </conditionalFormatting>
  <conditionalFormatting sqref="G32">
    <cfRule type="containsText" dxfId="4" priority="3145" operator="containsText" text="등록">
      <formula>NOT(ISERROR(SEARCH(("등록"),(G32))))</formula>
    </cfRule>
  </conditionalFormatting>
  <conditionalFormatting sqref="A15:A16">
    <cfRule type="containsText" dxfId="0" priority="3146" operator="containsText" text="거부">
      <formula>NOT(ISERROR(SEARCH(("거부"),(A15))))</formula>
    </cfRule>
  </conditionalFormatting>
  <conditionalFormatting sqref="A15:A16">
    <cfRule type="containsText" dxfId="1" priority="3147" operator="containsText" text="리턴">
      <formula>NOT(ISERROR(SEARCH(("리턴"),(A15))))</formula>
    </cfRule>
  </conditionalFormatting>
  <conditionalFormatting sqref="A15:A16">
    <cfRule type="containsText" dxfId="2" priority="3148" operator="containsText" text="실패">
      <formula>NOT(ISERROR(SEARCH(("실패"),(A15))))</formula>
    </cfRule>
  </conditionalFormatting>
  <conditionalFormatting sqref="A15:A16">
    <cfRule type="containsText" dxfId="3" priority="3149" operator="containsText" text="관리">
      <formula>NOT(ISERROR(SEARCH(("관리"),(A15))))</formula>
    </cfRule>
  </conditionalFormatting>
  <conditionalFormatting sqref="A15:A16">
    <cfRule type="containsText" dxfId="4" priority="3150" operator="containsText" text="등록">
      <formula>NOT(ISERROR(SEARCH(("등록"),(A15))))</formula>
    </cfRule>
  </conditionalFormatting>
  <conditionalFormatting sqref="A15:A16">
    <cfRule type="containsText" dxfId="0" priority="3151" operator="containsText" text="거부">
      <formula>NOT(ISERROR(SEARCH(("거부"),(A15))))</formula>
    </cfRule>
  </conditionalFormatting>
  <conditionalFormatting sqref="A15:A16">
    <cfRule type="containsText" dxfId="1" priority="3152" operator="containsText" text="리턴">
      <formula>NOT(ISERROR(SEARCH(("리턴"),(A15))))</formula>
    </cfRule>
  </conditionalFormatting>
  <conditionalFormatting sqref="A15:A16">
    <cfRule type="containsText" dxfId="2" priority="3153" operator="containsText" text="실패">
      <formula>NOT(ISERROR(SEARCH(("실패"),(A15))))</formula>
    </cfRule>
  </conditionalFormatting>
  <conditionalFormatting sqref="A15:A16">
    <cfRule type="containsText" dxfId="3" priority="3154" operator="containsText" text="관리">
      <formula>NOT(ISERROR(SEARCH(("관리"),(A15))))</formula>
    </cfRule>
  </conditionalFormatting>
  <conditionalFormatting sqref="A15:A16">
    <cfRule type="containsText" dxfId="4" priority="3155" operator="containsText" text="등록">
      <formula>NOT(ISERROR(SEARCH(("등록"),(A15))))</formula>
    </cfRule>
  </conditionalFormatting>
  <conditionalFormatting sqref="A15:A16">
    <cfRule type="containsText" dxfId="0" priority="3156" operator="containsText" text="거부">
      <formula>NOT(ISERROR(SEARCH(("거부"),(A15))))</formula>
    </cfRule>
  </conditionalFormatting>
  <conditionalFormatting sqref="A15:A16">
    <cfRule type="containsText" dxfId="1" priority="3157" operator="containsText" text="리턴">
      <formula>NOT(ISERROR(SEARCH(("리턴"),(A15))))</formula>
    </cfRule>
  </conditionalFormatting>
  <conditionalFormatting sqref="A15:A16">
    <cfRule type="containsText" dxfId="2" priority="3158" operator="containsText" text="실패">
      <formula>NOT(ISERROR(SEARCH(("실패"),(A15))))</formula>
    </cfRule>
  </conditionalFormatting>
  <conditionalFormatting sqref="A15:A16">
    <cfRule type="containsText" dxfId="3" priority="3159" operator="containsText" text="관리">
      <formula>NOT(ISERROR(SEARCH(("관리"),(A15))))</formula>
    </cfRule>
  </conditionalFormatting>
  <conditionalFormatting sqref="A15:A16">
    <cfRule type="containsText" dxfId="4" priority="3160" operator="containsText" text="등록">
      <formula>NOT(ISERROR(SEARCH(("등록"),(A15))))</formula>
    </cfRule>
  </conditionalFormatting>
  <conditionalFormatting sqref="A15:A16">
    <cfRule type="containsText" dxfId="0" priority="3161" operator="containsText" text="거부">
      <formula>NOT(ISERROR(SEARCH(("거부"),(A15))))</formula>
    </cfRule>
  </conditionalFormatting>
  <conditionalFormatting sqref="A15:A16">
    <cfRule type="containsText" dxfId="1" priority="3162" operator="containsText" text="리턴">
      <formula>NOT(ISERROR(SEARCH(("리턴"),(A15))))</formula>
    </cfRule>
  </conditionalFormatting>
  <conditionalFormatting sqref="A15:A16">
    <cfRule type="containsText" dxfId="2" priority="3163" operator="containsText" text="실패">
      <formula>NOT(ISERROR(SEARCH(("실패"),(A15))))</formula>
    </cfRule>
  </conditionalFormatting>
  <conditionalFormatting sqref="A15:A16">
    <cfRule type="containsText" dxfId="3" priority="3164" operator="containsText" text="관리">
      <formula>NOT(ISERROR(SEARCH(("관리"),(A15))))</formula>
    </cfRule>
  </conditionalFormatting>
  <conditionalFormatting sqref="A15:A16">
    <cfRule type="containsText" dxfId="4" priority="3165" operator="containsText" text="등록">
      <formula>NOT(ISERROR(SEARCH(("등록"),(A15))))</formula>
    </cfRule>
  </conditionalFormatting>
  <conditionalFormatting sqref="A15:A16">
    <cfRule type="containsText" dxfId="0" priority="3166" operator="containsText" text="거부">
      <formula>NOT(ISERROR(SEARCH(("거부"),(A15))))</formula>
    </cfRule>
  </conditionalFormatting>
  <conditionalFormatting sqref="A15:A16">
    <cfRule type="containsText" dxfId="1" priority="3167" operator="containsText" text="리턴">
      <formula>NOT(ISERROR(SEARCH(("리턴"),(A15))))</formula>
    </cfRule>
  </conditionalFormatting>
  <conditionalFormatting sqref="A15:A16">
    <cfRule type="containsText" dxfId="2" priority="3168" operator="containsText" text="실패">
      <formula>NOT(ISERROR(SEARCH(("실패"),(A15))))</formula>
    </cfRule>
  </conditionalFormatting>
  <conditionalFormatting sqref="A15:A16">
    <cfRule type="containsText" dxfId="3" priority="3169" operator="containsText" text="관리">
      <formula>NOT(ISERROR(SEARCH(("관리"),(A15))))</formula>
    </cfRule>
  </conditionalFormatting>
  <conditionalFormatting sqref="A15:A16">
    <cfRule type="containsText" dxfId="4" priority="3170" operator="containsText" text="등록">
      <formula>NOT(ISERROR(SEARCH(("등록"),(A15))))</formula>
    </cfRule>
  </conditionalFormatting>
  <conditionalFormatting sqref="A15:A16">
    <cfRule type="containsText" dxfId="0" priority="3171" operator="containsText" text="거부">
      <formula>NOT(ISERROR(SEARCH(("거부"),(A15))))</formula>
    </cfRule>
  </conditionalFormatting>
  <conditionalFormatting sqref="A15:A16">
    <cfRule type="containsText" dxfId="1" priority="3172" operator="containsText" text="리턴">
      <formula>NOT(ISERROR(SEARCH(("리턴"),(A15))))</formula>
    </cfRule>
  </conditionalFormatting>
  <conditionalFormatting sqref="A15:A16">
    <cfRule type="containsText" dxfId="2" priority="3173" operator="containsText" text="실패">
      <formula>NOT(ISERROR(SEARCH(("실패"),(A15))))</formula>
    </cfRule>
  </conditionalFormatting>
  <conditionalFormatting sqref="A15:A16">
    <cfRule type="containsText" dxfId="3" priority="3174" operator="containsText" text="관리">
      <formula>NOT(ISERROR(SEARCH(("관리"),(A15))))</formula>
    </cfRule>
  </conditionalFormatting>
  <conditionalFormatting sqref="A15:A16">
    <cfRule type="containsText" dxfId="4" priority="3175" operator="containsText" text="등록">
      <formula>NOT(ISERROR(SEARCH(("등록"),(A15))))</formula>
    </cfRule>
  </conditionalFormatting>
  <conditionalFormatting sqref="A15:A16">
    <cfRule type="containsText" dxfId="0" priority="3176" operator="containsText" text="거부">
      <formula>NOT(ISERROR(SEARCH(("거부"),(A15))))</formula>
    </cfRule>
  </conditionalFormatting>
  <conditionalFormatting sqref="A15:A16">
    <cfRule type="containsText" dxfId="1" priority="3177" operator="containsText" text="리턴">
      <formula>NOT(ISERROR(SEARCH(("리턴"),(A15))))</formula>
    </cfRule>
  </conditionalFormatting>
  <conditionalFormatting sqref="A15:A16">
    <cfRule type="containsText" dxfId="2" priority="3178" operator="containsText" text="실패">
      <formula>NOT(ISERROR(SEARCH(("실패"),(A15))))</formula>
    </cfRule>
  </conditionalFormatting>
  <conditionalFormatting sqref="A15:A16">
    <cfRule type="containsText" dxfId="3" priority="3179" operator="containsText" text="관리">
      <formula>NOT(ISERROR(SEARCH(("관리"),(A15))))</formula>
    </cfRule>
  </conditionalFormatting>
  <conditionalFormatting sqref="A15:A16">
    <cfRule type="containsText" dxfId="4" priority="3180" operator="containsText" text="등록">
      <formula>NOT(ISERROR(SEARCH(("등록"),(A15))))</formula>
    </cfRule>
  </conditionalFormatting>
  <conditionalFormatting sqref="A15:A16">
    <cfRule type="containsText" dxfId="0" priority="3181" operator="containsText" text="거부">
      <formula>NOT(ISERROR(SEARCH(("거부"),(A15))))</formula>
    </cfRule>
  </conditionalFormatting>
  <conditionalFormatting sqref="A15:A16">
    <cfRule type="containsText" dxfId="1" priority="3182" operator="containsText" text="리턴">
      <formula>NOT(ISERROR(SEARCH(("리턴"),(A15))))</formula>
    </cfRule>
  </conditionalFormatting>
  <conditionalFormatting sqref="A15:A16">
    <cfRule type="containsText" dxfId="2" priority="3183" operator="containsText" text="실패">
      <formula>NOT(ISERROR(SEARCH(("실패"),(A15))))</formula>
    </cfRule>
  </conditionalFormatting>
  <conditionalFormatting sqref="A15:A16">
    <cfRule type="containsText" dxfId="3" priority="3184" operator="containsText" text="관리">
      <formula>NOT(ISERROR(SEARCH(("관리"),(A15))))</formula>
    </cfRule>
  </conditionalFormatting>
  <conditionalFormatting sqref="A15:A16">
    <cfRule type="containsText" dxfId="4" priority="3185" operator="containsText" text="등록">
      <formula>NOT(ISERROR(SEARCH(("등록"),(A15))))</formula>
    </cfRule>
  </conditionalFormatting>
  <conditionalFormatting sqref="E15:E16">
    <cfRule type="containsText" dxfId="0" priority="3186" operator="containsText" text="거부">
      <formula>NOT(ISERROR(SEARCH(("거부"),(E15))))</formula>
    </cfRule>
  </conditionalFormatting>
  <conditionalFormatting sqref="E15:E16">
    <cfRule type="containsText" dxfId="1" priority="3187" operator="containsText" text="리턴">
      <formula>NOT(ISERROR(SEARCH(("리턴"),(E15))))</formula>
    </cfRule>
  </conditionalFormatting>
  <conditionalFormatting sqref="E15:E16">
    <cfRule type="containsText" dxfId="2" priority="3188" operator="containsText" text="실패">
      <formula>NOT(ISERROR(SEARCH(("실패"),(E15))))</formula>
    </cfRule>
  </conditionalFormatting>
  <conditionalFormatting sqref="E15:E16">
    <cfRule type="containsText" dxfId="3" priority="3189" operator="containsText" text="관리">
      <formula>NOT(ISERROR(SEARCH(("관리"),(E15))))</formula>
    </cfRule>
  </conditionalFormatting>
  <conditionalFormatting sqref="E15:E16">
    <cfRule type="containsText" dxfId="4" priority="3190" operator="containsText" text="등록">
      <formula>NOT(ISERROR(SEARCH(("등록"),(E15))))</formula>
    </cfRule>
  </conditionalFormatting>
  <conditionalFormatting sqref="D15:D16">
    <cfRule type="containsText" dxfId="0" priority="3191" operator="containsText" text="거부">
      <formula>NOT(ISERROR(SEARCH(("거부"),(D15))))</formula>
    </cfRule>
  </conditionalFormatting>
  <conditionalFormatting sqref="D15:D16">
    <cfRule type="containsText" dxfId="1" priority="3192" operator="containsText" text="리턴">
      <formula>NOT(ISERROR(SEARCH(("리턴"),(D15))))</formula>
    </cfRule>
  </conditionalFormatting>
  <conditionalFormatting sqref="D15:D16">
    <cfRule type="containsText" dxfId="2" priority="3193" operator="containsText" text="실패">
      <formula>NOT(ISERROR(SEARCH(("실패"),(D15))))</formula>
    </cfRule>
  </conditionalFormatting>
  <conditionalFormatting sqref="D15:D16">
    <cfRule type="containsText" dxfId="3" priority="3194" operator="containsText" text="관리">
      <formula>NOT(ISERROR(SEARCH(("관리"),(D15))))</formula>
    </cfRule>
  </conditionalFormatting>
  <conditionalFormatting sqref="D15:D16">
    <cfRule type="containsText" dxfId="4" priority="3195" operator="containsText" text="등록">
      <formula>NOT(ISERROR(SEARCH(("등록"),(D15))))</formula>
    </cfRule>
  </conditionalFormatting>
  <conditionalFormatting sqref="E15:E16">
    <cfRule type="containsText" dxfId="0" priority="3196" operator="containsText" text="거부">
      <formula>NOT(ISERROR(SEARCH(("거부"),(E15))))</formula>
    </cfRule>
  </conditionalFormatting>
  <conditionalFormatting sqref="E15:E16">
    <cfRule type="containsText" dxfId="1" priority="3197" operator="containsText" text="리턴">
      <formula>NOT(ISERROR(SEARCH(("리턴"),(E15))))</formula>
    </cfRule>
  </conditionalFormatting>
  <conditionalFormatting sqref="E15:E16">
    <cfRule type="containsText" dxfId="2" priority="3198" operator="containsText" text="실패">
      <formula>NOT(ISERROR(SEARCH(("실패"),(E15))))</formula>
    </cfRule>
  </conditionalFormatting>
  <conditionalFormatting sqref="E15:E16">
    <cfRule type="containsText" dxfId="3" priority="3199" operator="containsText" text="관리">
      <formula>NOT(ISERROR(SEARCH(("관리"),(E15))))</formula>
    </cfRule>
  </conditionalFormatting>
  <conditionalFormatting sqref="E15:E16">
    <cfRule type="containsText" dxfId="4" priority="3200" operator="containsText" text="등록">
      <formula>NOT(ISERROR(SEARCH(("등록"),(E15))))</formula>
    </cfRule>
  </conditionalFormatting>
  <conditionalFormatting sqref="D15:D16">
    <cfRule type="containsText" dxfId="0" priority="3201" operator="containsText" text="거부">
      <formula>NOT(ISERROR(SEARCH(("거부"),(D15))))</formula>
    </cfRule>
  </conditionalFormatting>
  <conditionalFormatting sqref="D15:D16">
    <cfRule type="containsText" dxfId="1" priority="3202" operator="containsText" text="리턴">
      <formula>NOT(ISERROR(SEARCH(("리턴"),(D15))))</formula>
    </cfRule>
  </conditionalFormatting>
  <conditionalFormatting sqref="D15:D16">
    <cfRule type="containsText" dxfId="2" priority="3203" operator="containsText" text="실패">
      <formula>NOT(ISERROR(SEARCH(("실패"),(D15))))</formula>
    </cfRule>
  </conditionalFormatting>
  <conditionalFormatting sqref="D15:D16">
    <cfRule type="containsText" dxfId="3" priority="3204" operator="containsText" text="관리">
      <formula>NOT(ISERROR(SEARCH(("관리"),(D15))))</formula>
    </cfRule>
  </conditionalFormatting>
  <conditionalFormatting sqref="D15:D16">
    <cfRule type="containsText" dxfId="4" priority="3205" operator="containsText" text="등록">
      <formula>NOT(ISERROR(SEARCH(("등록"),(D15))))</formula>
    </cfRule>
  </conditionalFormatting>
  <conditionalFormatting sqref="E15:E16">
    <cfRule type="containsText" dxfId="0" priority="3206" operator="containsText" text="거부">
      <formula>NOT(ISERROR(SEARCH(("거부"),(E15))))</formula>
    </cfRule>
  </conditionalFormatting>
  <conditionalFormatting sqref="E15:E16">
    <cfRule type="containsText" dxfId="1" priority="3207" operator="containsText" text="리턴">
      <formula>NOT(ISERROR(SEARCH(("리턴"),(E15))))</formula>
    </cfRule>
  </conditionalFormatting>
  <conditionalFormatting sqref="E15:E16">
    <cfRule type="containsText" dxfId="2" priority="3208" operator="containsText" text="실패">
      <formula>NOT(ISERROR(SEARCH(("실패"),(E15))))</formula>
    </cfRule>
  </conditionalFormatting>
  <conditionalFormatting sqref="E15:E16">
    <cfRule type="containsText" dxfId="3" priority="3209" operator="containsText" text="관리">
      <formula>NOT(ISERROR(SEARCH(("관리"),(E15))))</formula>
    </cfRule>
  </conditionalFormatting>
  <conditionalFormatting sqref="E15:E16">
    <cfRule type="containsText" dxfId="4" priority="3210" operator="containsText" text="등록">
      <formula>NOT(ISERROR(SEARCH(("등록"),(E15))))</formula>
    </cfRule>
  </conditionalFormatting>
  <conditionalFormatting sqref="D15:D16">
    <cfRule type="containsText" dxfId="0" priority="3211" operator="containsText" text="거부">
      <formula>NOT(ISERROR(SEARCH(("거부"),(D15))))</formula>
    </cfRule>
  </conditionalFormatting>
  <conditionalFormatting sqref="D15:D16">
    <cfRule type="containsText" dxfId="1" priority="3212" operator="containsText" text="리턴">
      <formula>NOT(ISERROR(SEARCH(("리턴"),(D15))))</formula>
    </cfRule>
  </conditionalFormatting>
  <conditionalFormatting sqref="D15:D16">
    <cfRule type="containsText" dxfId="2" priority="3213" operator="containsText" text="실패">
      <formula>NOT(ISERROR(SEARCH(("실패"),(D15))))</formula>
    </cfRule>
  </conditionalFormatting>
  <conditionalFormatting sqref="D15:D16">
    <cfRule type="containsText" dxfId="3" priority="3214" operator="containsText" text="관리">
      <formula>NOT(ISERROR(SEARCH(("관리"),(D15))))</formula>
    </cfRule>
  </conditionalFormatting>
  <conditionalFormatting sqref="D15:D16">
    <cfRule type="containsText" dxfId="4" priority="3215" operator="containsText" text="등록">
      <formula>NOT(ISERROR(SEARCH(("등록"),(D15))))</formula>
    </cfRule>
  </conditionalFormatting>
  <conditionalFormatting sqref="E15:E16">
    <cfRule type="containsText" dxfId="0" priority="3216" operator="containsText" text="거부">
      <formula>NOT(ISERROR(SEARCH(("거부"),(E15))))</formula>
    </cfRule>
  </conditionalFormatting>
  <conditionalFormatting sqref="E15:E16">
    <cfRule type="containsText" dxfId="1" priority="3217" operator="containsText" text="리턴">
      <formula>NOT(ISERROR(SEARCH(("리턴"),(E15))))</formula>
    </cfRule>
  </conditionalFormatting>
  <conditionalFormatting sqref="E15:E16">
    <cfRule type="containsText" dxfId="2" priority="3218" operator="containsText" text="실패">
      <formula>NOT(ISERROR(SEARCH(("실패"),(E15))))</formula>
    </cfRule>
  </conditionalFormatting>
  <conditionalFormatting sqref="E15:E16">
    <cfRule type="containsText" dxfId="3" priority="3219" operator="containsText" text="관리">
      <formula>NOT(ISERROR(SEARCH(("관리"),(E15))))</formula>
    </cfRule>
  </conditionalFormatting>
  <conditionalFormatting sqref="E15:E16">
    <cfRule type="containsText" dxfId="4" priority="3220" operator="containsText" text="등록">
      <formula>NOT(ISERROR(SEARCH(("등록"),(E15))))</formula>
    </cfRule>
  </conditionalFormatting>
  <conditionalFormatting sqref="D15:D16">
    <cfRule type="containsText" dxfId="0" priority="3221" operator="containsText" text="거부">
      <formula>NOT(ISERROR(SEARCH(("거부"),(D15))))</formula>
    </cfRule>
  </conditionalFormatting>
  <conditionalFormatting sqref="D15:D16">
    <cfRule type="containsText" dxfId="1" priority="3222" operator="containsText" text="리턴">
      <formula>NOT(ISERROR(SEARCH(("리턴"),(D15))))</formula>
    </cfRule>
  </conditionalFormatting>
  <conditionalFormatting sqref="D15:D16">
    <cfRule type="containsText" dxfId="2" priority="3223" operator="containsText" text="실패">
      <formula>NOT(ISERROR(SEARCH(("실패"),(D15))))</formula>
    </cfRule>
  </conditionalFormatting>
  <conditionalFormatting sqref="D15:D16">
    <cfRule type="containsText" dxfId="3" priority="3224" operator="containsText" text="관리">
      <formula>NOT(ISERROR(SEARCH(("관리"),(D15))))</formula>
    </cfRule>
  </conditionalFormatting>
  <conditionalFormatting sqref="D15:D16">
    <cfRule type="containsText" dxfId="4" priority="3225" operator="containsText" text="등록">
      <formula>NOT(ISERROR(SEARCH(("등록"),(D15))))</formula>
    </cfRule>
  </conditionalFormatting>
  <conditionalFormatting sqref="G15:G16">
    <cfRule type="containsText" dxfId="0" priority="3226" operator="containsText" text="거부">
      <formula>NOT(ISERROR(SEARCH(("거부"),(G15))))</formula>
    </cfRule>
  </conditionalFormatting>
  <conditionalFormatting sqref="G15:G16">
    <cfRule type="containsText" dxfId="1" priority="3227" operator="containsText" text="리턴">
      <formula>NOT(ISERROR(SEARCH(("리턴"),(G15))))</formula>
    </cfRule>
  </conditionalFormatting>
  <conditionalFormatting sqref="G15:G16">
    <cfRule type="containsText" dxfId="2" priority="3228" operator="containsText" text="실패">
      <formula>NOT(ISERROR(SEARCH(("실패"),(G15))))</formula>
    </cfRule>
  </conditionalFormatting>
  <conditionalFormatting sqref="G15:G16">
    <cfRule type="containsText" dxfId="3" priority="3229" operator="containsText" text="관리">
      <formula>NOT(ISERROR(SEARCH(("관리"),(G15))))</formula>
    </cfRule>
  </conditionalFormatting>
  <conditionalFormatting sqref="G15:G16">
    <cfRule type="containsText" dxfId="4" priority="3230" operator="containsText" text="등록">
      <formula>NOT(ISERROR(SEARCH(("등록"),(G15))))</formula>
    </cfRule>
  </conditionalFormatting>
  <conditionalFormatting sqref="G15:G16">
    <cfRule type="containsText" dxfId="0" priority="3231" operator="containsText" text="거부">
      <formula>NOT(ISERROR(SEARCH(("거부"),(G15))))</formula>
    </cfRule>
  </conditionalFormatting>
  <conditionalFormatting sqref="G15:G16">
    <cfRule type="containsText" dxfId="1" priority="3232" operator="containsText" text="리턴">
      <formula>NOT(ISERROR(SEARCH(("리턴"),(G15))))</formula>
    </cfRule>
  </conditionalFormatting>
  <conditionalFormatting sqref="G15:G16">
    <cfRule type="containsText" dxfId="2" priority="3233" operator="containsText" text="실패">
      <formula>NOT(ISERROR(SEARCH(("실패"),(G15))))</formula>
    </cfRule>
  </conditionalFormatting>
  <conditionalFormatting sqref="G15:G16">
    <cfRule type="containsText" dxfId="3" priority="3234" operator="containsText" text="관리">
      <formula>NOT(ISERROR(SEARCH(("관리"),(G15))))</formula>
    </cfRule>
  </conditionalFormatting>
  <conditionalFormatting sqref="G15:G16">
    <cfRule type="containsText" dxfId="4" priority="3235" operator="containsText" text="등록">
      <formula>NOT(ISERROR(SEARCH(("등록"),(G15))))</formula>
    </cfRule>
  </conditionalFormatting>
  <conditionalFormatting sqref="J16">
    <cfRule type="containsText" dxfId="0" priority="3236" operator="containsText" text="거부">
      <formula>NOT(ISERROR(SEARCH(("거부"),(J16))))</formula>
    </cfRule>
  </conditionalFormatting>
  <conditionalFormatting sqref="J16">
    <cfRule type="containsText" dxfId="1" priority="3237" operator="containsText" text="리턴">
      <formula>NOT(ISERROR(SEARCH(("리턴"),(J16))))</formula>
    </cfRule>
  </conditionalFormatting>
  <conditionalFormatting sqref="J16">
    <cfRule type="containsText" dxfId="2" priority="3238" operator="containsText" text="실패">
      <formula>NOT(ISERROR(SEARCH(("실패"),(J16))))</formula>
    </cfRule>
  </conditionalFormatting>
  <conditionalFormatting sqref="J16">
    <cfRule type="containsText" dxfId="3" priority="3239" operator="containsText" text="관리">
      <formula>NOT(ISERROR(SEARCH(("관리"),(J16))))</formula>
    </cfRule>
  </conditionalFormatting>
  <conditionalFormatting sqref="J16">
    <cfRule type="containsText" dxfId="4" priority="3240" operator="containsText" text="등록">
      <formula>NOT(ISERROR(SEARCH(("등록"),(J16))))</formula>
    </cfRule>
  </conditionalFormatting>
  <conditionalFormatting sqref="J16">
    <cfRule type="containsText" dxfId="0" priority="3241" operator="containsText" text="거부">
      <formula>NOT(ISERROR(SEARCH(("거부"),(J16))))</formula>
    </cfRule>
  </conditionalFormatting>
  <conditionalFormatting sqref="J16">
    <cfRule type="containsText" dxfId="1" priority="3242" operator="containsText" text="리턴">
      <formula>NOT(ISERROR(SEARCH(("리턴"),(J16))))</formula>
    </cfRule>
  </conditionalFormatting>
  <conditionalFormatting sqref="J16">
    <cfRule type="containsText" dxfId="2" priority="3243" operator="containsText" text="실패">
      <formula>NOT(ISERROR(SEARCH(("실패"),(J16))))</formula>
    </cfRule>
  </conditionalFormatting>
  <conditionalFormatting sqref="J16">
    <cfRule type="containsText" dxfId="3" priority="3244" operator="containsText" text="관리">
      <formula>NOT(ISERROR(SEARCH(("관리"),(J16))))</formula>
    </cfRule>
  </conditionalFormatting>
  <conditionalFormatting sqref="J16">
    <cfRule type="containsText" dxfId="4" priority="3245" operator="containsText" text="등록">
      <formula>NOT(ISERROR(SEARCH(("등록"),(J16))))</formula>
    </cfRule>
  </conditionalFormatting>
  <conditionalFormatting sqref="J16">
    <cfRule type="containsText" dxfId="0" priority="3246" operator="containsText" text="거부">
      <formula>NOT(ISERROR(SEARCH(("거부"),(J16))))</formula>
    </cfRule>
  </conditionalFormatting>
  <conditionalFormatting sqref="J16">
    <cfRule type="containsText" dxfId="1" priority="3247" operator="containsText" text="리턴">
      <formula>NOT(ISERROR(SEARCH(("리턴"),(J16))))</formula>
    </cfRule>
  </conditionalFormatting>
  <conditionalFormatting sqref="J16">
    <cfRule type="containsText" dxfId="2" priority="3248" operator="containsText" text="실패">
      <formula>NOT(ISERROR(SEARCH(("실패"),(J16))))</formula>
    </cfRule>
  </conditionalFormatting>
  <conditionalFormatting sqref="J16">
    <cfRule type="containsText" dxfId="3" priority="3249" operator="containsText" text="관리">
      <formula>NOT(ISERROR(SEARCH(("관리"),(J16))))</formula>
    </cfRule>
  </conditionalFormatting>
  <conditionalFormatting sqref="J16">
    <cfRule type="containsText" dxfId="4" priority="3250" operator="containsText" text="등록">
      <formula>NOT(ISERROR(SEARCH(("등록"),(J16))))</formula>
    </cfRule>
  </conditionalFormatting>
  <conditionalFormatting sqref="J15">
    <cfRule type="containsText" dxfId="0" priority="3251" operator="containsText" text="거부">
      <formula>NOT(ISERROR(SEARCH(("거부"),(J15))))</formula>
    </cfRule>
  </conditionalFormatting>
  <conditionalFormatting sqref="J15">
    <cfRule type="containsText" dxfId="1" priority="3252" operator="containsText" text="리턴">
      <formula>NOT(ISERROR(SEARCH(("리턴"),(J15))))</formula>
    </cfRule>
  </conditionalFormatting>
  <conditionalFormatting sqref="J15">
    <cfRule type="containsText" dxfId="2" priority="3253" operator="containsText" text="실패">
      <formula>NOT(ISERROR(SEARCH(("실패"),(J15))))</formula>
    </cfRule>
  </conditionalFormatting>
  <conditionalFormatting sqref="J15">
    <cfRule type="containsText" dxfId="3" priority="3254" operator="containsText" text="관리">
      <formula>NOT(ISERROR(SEARCH(("관리"),(J15))))</formula>
    </cfRule>
  </conditionalFormatting>
  <conditionalFormatting sqref="J15">
    <cfRule type="containsText" dxfId="4" priority="3255" operator="containsText" text="등록">
      <formula>NOT(ISERROR(SEARCH(("등록"),(J15))))</formula>
    </cfRule>
  </conditionalFormatting>
  <conditionalFormatting sqref="J15">
    <cfRule type="containsText" dxfId="0" priority="3256" operator="containsText" text="거부">
      <formula>NOT(ISERROR(SEARCH(("거부"),(J15))))</formula>
    </cfRule>
  </conditionalFormatting>
  <conditionalFormatting sqref="J15">
    <cfRule type="containsText" dxfId="1" priority="3257" operator="containsText" text="리턴">
      <formula>NOT(ISERROR(SEARCH(("리턴"),(J15))))</formula>
    </cfRule>
  </conditionalFormatting>
  <conditionalFormatting sqref="J15">
    <cfRule type="containsText" dxfId="2" priority="3258" operator="containsText" text="실패">
      <formula>NOT(ISERROR(SEARCH(("실패"),(J15))))</formula>
    </cfRule>
  </conditionalFormatting>
  <conditionalFormatting sqref="J15">
    <cfRule type="containsText" dxfId="3" priority="3259" operator="containsText" text="관리">
      <formula>NOT(ISERROR(SEARCH(("관리"),(J15))))</formula>
    </cfRule>
  </conditionalFormatting>
  <conditionalFormatting sqref="J15">
    <cfRule type="containsText" dxfId="4" priority="3260" operator="containsText" text="등록">
      <formula>NOT(ISERROR(SEARCH(("등록"),(J15))))</formula>
    </cfRule>
  </conditionalFormatting>
  <conditionalFormatting sqref="J15">
    <cfRule type="containsText" dxfId="0" priority="3261" operator="containsText" text="거부">
      <formula>NOT(ISERROR(SEARCH(("거부"),(J15))))</formula>
    </cfRule>
  </conditionalFormatting>
  <conditionalFormatting sqref="J15">
    <cfRule type="containsText" dxfId="1" priority="3262" operator="containsText" text="리턴">
      <formula>NOT(ISERROR(SEARCH(("리턴"),(J15))))</formula>
    </cfRule>
  </conditionalFormatting>
  <conditionalFormatting sqref="J15">
    <cfRule type="containsText" dxfId="2" priority="3263" operator="containsText" text="실패">
      <formula>NOT(ISERROR(SEARCH(("실패"),(J15))))</formula>
    </cfRule>
  </conditionalFormatting>
  <conditionalFormatting sqref="J15">
    <cfRule type="containsText" dxfId="3" priority="3264" operator="containsText" text="관리">
      <formula>NOT(ISERROR(SEARCH(("관리"),(J15))))</formula>
    </cfRule>
  </conditionalFormatting>
  <conditionalFormatting sqref="J15">
    <cfRule type="containsText" dxfId="4" priority="3265" operator="containsText" text="등록">
      <formula>NOT(ISERROR(SEARCH(("등록"),(J15))))</formula>
    </cfRule>
  </conditionalFormatting>
  <conditionalFormatting sqref="J5">
    <cfRule type="containsText" dxfId="0" priority="3266" operator="containsText" text="거부">
      <formula>NOT(ISERROR(SEARCH(("거부"),(J5))))</formula>
    </cfRule>
  </conditionalFormatting>
  <conditionalFormatting sqref="J5">
    <cfRule type="containsText" dxfId="1" priority="3267" operator="containsText" text="리턴">
      <formula>NOT(ISERROR(SEARCH(("리턴"),(J5))))</formula>
    </cfRule>
  </conditionalFormatting>
  <conditionalFormatting sqref="J5">
    <cfRule type="containsText" dxfId="2" priority="3268" operator="containsText" text="실패">
      <formula>NOT(ISERROR(SEARCH(("실패"),(J5))))</formula>
    </cfRule>
  </conditionalFormatting>
  <conditionalFormatting sqref="J5">
    <cfRule type="containsText" dxfId="3" priority="3269" operator="containsText" text="관리">
      <formula>NOT(ISERROR(SEARCH(("관리"),(J5))))</formula>
    </cfRule>
  </conditionalFormatting>
  <conditionalFormatting sqref="J5">
    <cfRule type="containsText" dxfId="4" priority="3270" operator="containsText" text="등록">
      <formula>NOT(ISERROR(SEARCH(("등록"),(J5))))</formula>
    </cfRule>
  </conditionalFormatting>
  <conditionalFormatting sqref="A5">
    <cfRule type="containsText" dxfId="0" priority="3271" operator="containsText" text="거부">
      <formula>NOT(ISERROR(SEARCH(("거부"),(A5))))</formula>
    </cfRule>
  </conditionalFormatting>
  <conditionalFormatting sqref="A5">
    <cfRule type="containsText" dxfId="1" priority="3272" operator="containsText" text="리턴">
      <formula>NOT(ISERROR(SEARCH(("리턴"),(A5))))</formula>
    </cfRule>
  </conditionalFormatting>
  <conditionalFormatting sqref="A5">
    <cfRule type="containsText" dxfId="2" priority="3273" operator="containsText" text="실패">
      <formula>NOT(ISERROR(SEARCH(("실패"),(A5))))</formula>
    </cfRule>
  </conditionalFormatting>
  <conditionalFormatting sqref="A5">
    <cfRule type="containsText" dxfId="3" priority="3274" operator="containsText" text="관리">
      <formula>NOT(ISERROR(SEARCH(("관리"),(A5))))</formula>
    </cfRule>
  </conditionalFormatting>
  <conditionalFormatting sqref="A5">
    <cfRule type="containsText" dxfId="4" priority="3275" operator="containsText" text="등록">
      <formula>NOT(ISERROR(SEARCH(("등록"),(A5))))</formula>
    </cfRule>
  </conditionalFormatting>
  <conditionalFormatting sqref="A5">
    <cfRule type="containsText" dxfId="0" priority="3276" operator="containsText" text="거부">
      <formula>NOT(ISERROR(SEARCH(("거부"),(A5))))</formula>
    </cfRule>
  </conditionalFormatting>
  <conditionalFormatting sqref="A5">
    <cfRule type="containsText" dxfId="1" priority="3277" operator="containsText" text="리턴">
      <formula>NOT(ISERROR(SEARCH(("리턴"),(A5))))</formula>
    </cfRule>
  </conditionalFormatting>
  <conditionalFormatting sqref="A5">
    <cfRule type="containsText" dxfId="2" priority="3278" operator="containsText" text="실패">
      <formula>NOT(ISERROR(SEARCH(("실패"),(A5))))</formula>
    </cfRule>
  </conditionalFormatting>
  <conditionalFormatting sqref="A5">
    <cfRule type="containsText" dxfId="3" priority="3279" operator="containsText" text="관리">
      <formula>NOT(ISERROR(SEARCH(("관리"),(A5))))</formula>
    </cfRule>
  </conditionalFormatting>
  <conditionalFormatting sqref="A5">
    <cfRule type="containsText" dxfId="4" priority="3280" operator="containsText" text="등록">
      <formula>NOT(ISERROR(SEARCH(("등록"),(A5))))</formula>
    </cfRule>
  </conditionalFormatting>
  <conditionalFormatting sqref="J5">
    <cfRule type="containsText" dxfId="0" priority="3281" operator="containsText" text="거부">
      <formula>NOT(ISERROR(SEARCH(("거부"),(J5))))</formula>
    </cfRule>
  </conditionalFormatting>
  <conditionalFormatting sqref="J5">
    <cfRule type="containsText" dxfId="1" priority="3282" operator="containsText" text="리턴">
      <formula>NOT(ISERROR(SEARCH(("리턴"),(J5))))</formula>
    </cfRule>
  </conditionalFormatting>
  <conditionalFormatting sqref="J5">
    <cfRule type="containsText" dxfId="2" priority="3283" operator="containsText" text="실패">
      <formula>NOT(ISERROR(SEARCH(("실패"),(J5))))</formula>
    </cfRule>
  </conditionalFormatting>
  <conditionalFormatting sqref="J5">
    <cfRule type="containsText" dxfId="3" priority="3284" operator="containsText" text="관리">
      <formula>NOT(ISERROR(SEARCH(("관리"),(J5))))</formula>
    </cfRule>
  </conditionalFormatting>
  <conditionalFormatting sqref="J5">
    <cfRule type="containsText" dxfId="4" priority="3285" operator="containsText" text="등록">
      <formula>NOT(ISERROR(SEARCH(("등록"),(J5))))</formula>
    </cfRule>
  </conditionalFormatting>
  <conditionalFormatting sqref="A5">
    <cfRule type="containsText" dxfId="0" priority="3286" operator="containsText" text="거부">
      <formula>NOT(ISERROR(SEARCH(("거부"),(A5))))</formula>
    </cfRule>
  </conditionalFormatting>
  <conditionalFormatting sqref="A5">
    <cfRule type="containsText" dxfId="1" priority="3287" operator="containsText" text="리턴">
      <formula>NOT(ISERROR(SEARCH(("리턴"),(A5))))</formula>
    </cfRule>
  </conditionalFormatting>
  <conditionalFormatting sqref="A5">
    <cfRule type="containsText" dxfId="2" priority="3288" operator="containsText" text="실패">
      <formula>NOT(ISERROR(SEARCH(("실패"),(A5))))</formula>
    </cfRule>
  </conditionalFormatting>
  <conditionalFormatting sqref="A5">
    <cfRule type="containsText" dxfId="3" priority="3289" operator="containsText" text="관리">
      <formula>NOT(ISERROR(SEARCH(("관리"),(A5))))</formula>
    </cfRule>
  </conditionalFormatting>
  <conditionalFormatting sqref="A5">
    <cfRule type="containsText" dxfId="4" priority="3290" operator="containsText" text="등록">
      <formula>NOT(ISERROR(SEARCH(("등록"),(A5))))</formula>
    </cfRule>
  </conditionalFormatting>
  <conditionalFormatting sqref="A5">
    <cfRule type="containsText" dxfId="0" priority="3291" operator="containsText" text="거부">
      <formula>NOT(ISERROR(SEARCH(("거부"),(A5))))</formula>
    </cfRule>
  </conditionalFormatting>
  <conditionalFormatting sqref="A5">
    <cfRule type="containsText" dxfId="1" priority="3292" operator="containsText" text="리턴">
      <formula>NOT(ISERROR(SEARCH(("리턴"),(A5))))</formula>
    </cfRule>
  </conditionalFormatting>
  <conditionalFormatting sqref="A5">
    <cfRule type="containsText" dxfId="2" priority="3293" operator="containsText" text="실패">
      <formula>NOT(ISERROR(SEARCH(("실패"),(A5))))</formula>
    </cfRule>
  </conditionalFormatting>
  <conditionalFormatting sqref="A5">
    <cfRule type="containsText" dxfId="3" priority="3294" operator="containsText" text="관리">
      <formula>NOT(ISERROR(SEARCH(("관리"),(A5))))</formula>
    </cfRule>
  </conditionalFormatting>
  <conditionalFormatting sqref="A5">
    <cfRule type="containsText" dxfId="4" priority="3295" operator="containsText" text="등록">
      <formula>NOT(ISERROR(SEARCH(("등록"),(A5))))</formula>
    </cfRule>
  </conditionalFormatting>
  <conditionalFormatting sqref="G5">
    <cfRule type="containsText" dxfId="0" priority="3296" operator="containsText" text="거부">
      <formula>NOT(ISERROR(SEARCH(("거부"),(G5))))</formula>
    </cfRule>
  </conditionalFormatting>
  <conditionalFormatting sqref="G5">
    <cfRule type="containsText" dxfId="1" priority="3297" operator="containsText" text="리턴">
      <formula>NOT(ISERROR(SEARCH(("리턴"),(G5))))</formula>
    </cfRule>
  </conditionalFormatting>
  <conditionalFormatting sqref="G5">
    <cfRule type="containsText" dxfId="2" priority="3298" operator="containsText" text="실패">
      <formula>NOT(ISERROR(SEARCH(("실패"),(G5))))</formula>
    </cfRule>
  </conditionalFormatting>
  <conditionalFormatting sqref="G5">
    <cfRule type="containsText" dxfId="3" priority="3299" operator="containsText" text="관리">
      <formula>NOT(ISERROR(SEARCH(("관리"),(G5))))</formula>
    </cfRule>
  </conditionalFormatting>
  <conditionalFormatting sqref="G5">
    <cfRule type="containsText" dxfId="4" priority="3300" operator="containsText" text="등록">
      <formula>NOT(ISERROR(SEARCH(("등록"),(G5))))</formula>
    </cfRule>
  </conditionalFormatting>
  <conditionalFormatting sqref="A5">
    <cfRule type="containsText" dxfId="0" priority="3301" operator="containsText" text="거부">
      <formula>NOT(ISERROR(SEARCH(("거부"),(A5))))</formula>
    </cfRule>
  </conditionalFormatting>
  <conditionalFormatting sqref="A5">
    <cfRule type="containsText" dxfId="1" priority="3302" operator="containsText" text="리턴">
      <formula>NOT(ISERROR(SEARCH(("리턴"),(A5))))</formula>
    </cfRule>
  </conditionalFormatting>
  <conditionalFormatting sqref="A5">
    <cfRule type="containsText" dxfId="2" priority="3303" operator="containsText" text="실패">
      <formula>NOT(ISERROR(SEARCH(("실패"),(A5))))</formula>
    </cfRule>
  </conditionalFormatting>
  <conditionalFormatting sqref="A5">
    <cfRule type="containsText" dxfId="3" priority="3304" operator="containsText" text="관리">
      <formula>NOT(ISERROR(SEARCH(("관리"),(A5))))</formula>
    </cfRule>
  </conditionalFormatting>
  <conditionalFormatting sqref="A5">
    <cfRule type="containsText" dxfId="4" priority="3305" operator="containsText" text="등록">
      <formula>NOT(ISERROR(SEARCH(("등록"),(A5))))</formula>
    </cfRule>
  </conditionalFormatting>
  <conditionalFormatting sqref="A5">
    <cfRule type="containsText" dxfId="0" priority="3306" operator="containsText" text="거부">
      <formula>NOT(ISERROR(SEARCH(("거부"),(A5))))</formula>
    </cfRule>
  </conditionalFormatting>
  <conditionalFormatting sqref="A5">
    <cfRule type="containsText" dxfId="1" priority="3307" operator="containsText" text="리턴">
      <formula>NOT(ISERROR(SEARCH(("리턴"),(A5))))</formula>
    </cfRule>
  </conditionalFormatting>
  <conditionalFormatting sqref="A5">
    <cfRule type="containsText" dxfId="2" priority="3308" operator="containsText" text="실패">
      <formula>NOT(ISERROR(SEARCH(("실패"),(A5))))</formula>
    </cfRule>
  </conditionalFormatting>
  <conditionalFormatting sqref="A5">
    <cfRule type="containsText" dxfId="3" priority="3309" operator="containsText" text="관리">
      <formula>NOT(ISERROR(SEARCH(("관리"),(A5))))</formula>
    </cfRule>
  </conditionalFormatting>
  <conditionalFormatting sqref="A5">
    <cfRule type="containsText" dxfId="4" priority="3310" operator="containsText" text="등록">
      <formula>NOT(ISERROR(SEARCH(("등록"),(A5))))</formula>
    </cfRule>
  </conditionalFormatting>
  <conditionalFormatting sqref="J5">
    <cfRule type="containsText" dxfId="0" priority="3311" operator="containsText" text="거부">
      <formula>NOT(ISERROR(SEARCH(("거부"),(J5))))</formula>
    </cfRule>
  </conditionalFormatting>
  <conditionalFormatting sqref="J5">
    <cfRule type="containsText" dxfId="1" priority="3312" operator="containsText" text="리턴">
      <formula>NOT(ISERROR(SEARCH(("리턴"),(J5))))</formula>
    </cfRule>
  </conditionalFormatting>
  <conditionalFormatting sqref="J5">
    <cfRule type="containsText" dxfId="2" priority="3313" operator="containsText" text="실패">
      <formula>NOT(ISERROR(SEARCH(("실패"),(J5))))</formula>
    </cfRule>
  </conditionalFormatting>
  <conditionalFormatting sqref="J5">
    <cfRule type="containsText" dxfId="3" priority="3314" operator="containsText" text="관리">
      <formula>NOT(ISERROR(SEARCH(("관리"),(J5))))</formula>
    </cfRule>
  </conditionalFormatting>
  <conditionalFormatting sqref="J5">
    <cfRule type="containsText" dxfId="4" priority="3315" operator="containsText" text="등록">
      <formula>NOT(ISERROR(SEARCH(("등록"),(J5))))</formula>
    </cfRule>
  </conditionalFormatting>
  <conditionalFormatting sqref="A5">
    <cfRule type="containsText" dxfId="0" priority="3316" operator="containsText" text="거부">
      <formula>NOT(ISERROR(SEARCH(("거부"),(A5))))</formula>
    </cfRule>
  </conditionalFormatting>
  <conditionalFormatting sqref="A5">
    <cfRule type="containsText" dxfId="1" priority="3317" operator="containsText" text="리턴">
      <formula>NOT(ISERROR(SEARCH(("리턴"),(A5))))</formula>
    </cfRule>
  </conditionalFormatting>
  <conditionalFormatting sqref="A5">
    <cfRule type="containsText" dxfId="2" priority="3318" operator="containsText" text="실패">
      <formula>NOT(ISERROR(SEARCH(("실패"),(A5))))</formula>
    </cfRule>
  </conditionalFormatting>
  <conditionalFormatting sqref="A5">
    <cfRule type="containsText" dxfId="3" priority="3319" operator="containsText" text="관리">
      <formula>NOT(ISERROR(SEARCH(("관리"),(A5))))</formula>
    </cfRule>
  </conditionalFormatting>
  <conditionalFormatting sqref="A5">
    <cfRule type="containsText" dxfId="4" priority="3320" operator="containsText" text="등록">
      <formula>NOT(ISERROR(SEARCH(("등록"),(A5))))</formula>
    </cfRule>
  </conditionalFormatting>
  <conditionalFormatting sqref="A5">
    <cfRule type="containsText" dxfId="0" priority="3321" operator="containsText" text="거부">
      <formula>NOT(ISERROR(SEARCH(("거부"),(A5))))</formula>
    </cfRule>
  </conditionalFormatting>
  <conditionalFormatting sqref="A5">
    <cfRule type="containsText" dxfId="1" priority="3322" operator="containsText" text="리턴">
      <formula>NOT(ISERROR(SEARCH(("리턴"),(A5))))</formula>
    </cfRule>
  </conditionalFormatting>
  <conditionalFormatting sqref="A5">
    <cfRule type="containsText" dxfId="2" priority="3323" operator="containsText" text="실패">
      <formula>NOT(ISERROR(SEARCH(("실패"),(A5))))</formula>
    </cfRule>
  </conditionalFormatting>
  <conditionalFormatting sqref="A5">
    <cfRule type="containsText" dxfId="3" priority="3324" operator="containsText" text="관리">
      <formula>NOT(ISERROR(SEARCH(("관리"),(A5))))</formula>
    </cfRule>
  </conditionalFormatting>
  <conditionalFormatting sqref="A5">
    <cfRule type="containsText" dxfId="4" priority="3325" operator="containsText" text="등록">
      <formula>NOT(ISERROR(SEARCH(("등록"),(A5))))</formula>
    </cfRule>
  </conditionalFormatting>
  <conditionalFormatting sqref="G5">
    <cfRule type="containsText" dxfId="0" priority="3326" operator="containsText" text="거부">
      <formula>NOT(ISERROR(SEARCH(("거부"),(G5))))</formula>
    </cfRule>
  </conditionalFormatting>
  <conditionalFormatting sqref="G5">
    <cfRule type="containsText" dxfId="1" priority="3327" operator="containsText" text="리턴">
      <formula>NOT(ISERROR(SEARCH(("리턴"),(G5))))</formula>
    </cfRule>
  </conditionalFormatting>
  <conditionalFormatting sqref="G5">
    <cfRule type="containsText" dxfId="2" priority="3328" operator="containsText" text="실패">
      <formula>NOT(ISERROR(SEARCH(("실패"),(G5))))</formula>
    </cfRule>
  </conditionalFormatting>
  <conditionalFormatting sqref="G5">
    <cfRule type="containsText" dxfId="3" priority="3329" operator="containsText" text="관리">
      <formula>NOT(ISERROR(SEARCH(("관리"),(G5))))</formula>
    </cfRule>
  </conditionalFormatting>
  <conditionalFormatting sqref="G5">
    <cfRule type="containsText" dxfId="4" priority="3330" operator="containsText" text="등록">
      <formula>NOT(ISERROR(SEARCH(("등록"),(G5))))</formula>
    </cfRule>
  </conditionalFormatting>
  <conditionalFormatting sqref="G17">
    <cfRule type="containsText" dxfId="0" priority="3331" operator="containsText" text="거부">
      <formula>NOT(ISERROR(SEARCH(("거부"),(G17))))</formula>
    </cfRule>
  </conditionalFormatting>
  <conditionalFormatting sqref="G17">
    <cfRule type="containsText" dxfId="1" priority="3332" operator="containsText" text="리턴">
      <formula>NOT(ISERROR(SEARCH(("리턴"),(G17))))</formula>
    </cfRule>
  </conditionalFormatting>
  <conditionalFormatting sqref="G17">
    <cfRule type="containsText" dxfId="2" priority="3333" operator="containsText" text="실패">
      <formula>NOT(ISERROR(SEARCH(("실패"),(G17))))</formula>
    </cfRule>
  </conditionalFormatting>
  <conditionalFormatting sqref="G17">
    <cfRule type="containsText" dxfId="3" priority="3334" operator="containsText" text="관리">
      <formula>NOT(ISERROR(SEARCH(("관리"),(G17))))</formula>
    </cfRule>
  </conditionalFormatting>
  <conditionalFormatting sqref="G17">
    <cfRule type="containsText" dxfId="4" priority="3335" operator="containsText" text="등록">
      <formula>NOT(ISERROR(SEARCH(("등록"),(G17))))</formula>
    </cfRule>
  </conditionalFormatting>
  <conditionalFormatting sqref="G17">
    <cfRule type="containsText" dxfId="0" priority="3336" operator="containsText" text="거부">
      <formula>NOT(ISERROR(SEARCH(("거부"),(G17))))</formula>
    </cfRule>
  </conditionalFormatting>
  <conditionalFormatting sqref="G17">
    <cfRule type="containsText" dxfId="1" priority="3337" operator="containsText" text="리턴">
      <formula>NOT(ISERROR(SEARCH(("리턴"),(G17))))</formula>
    </cfRule>
  </conditionalFormatting>
  <conditionalFormatting sqref="G17">
    <cfRule type="containsText" dxfId="2" priority="3338" operator="containsText" text="실패">
      <formula>NOT(ISERROR(SEARCH(("실패"),(G17))))</formula>
    </cfRule>
  </conditionalFormatting>
  <conditionalFormatting sqref="G17">
    <cfRule type="containsText" dxfId="3" priority="3339" operator="containsText" text="관리">
      <formula>NOT(ISERROR(SEARCH(("관리"),(G17))))</formula>
    </cfRule>
  </conditionalFormatting>
  <conditionalFormatting sqref="G17">
    <cfRule type="containsText" dxfId="4" priority="3340" operator="containsText" text="등록">
      <formula>NOT(ISERROR(SEARCH(("등록"),(G17))))</formula>
    </cfRule>
  </conditionalFormatting>
  <conditionalFormatting sqref="F18">
    <cfRule type="containsText" dxfId="0" priority="3341" operator="containsText" text="거부">
      <formula>NOT(ISERROR(SEARCH(("거부"),(F18))))</formula>
    </cfRule>
  </conditionalFormatting>
  <conditionalFormatting sqref="F18">
    <cfRule type="containsText" dxfId="1" priority="3342" operator="containsText" text="리턴">
      <formula>NOT(ISERROR(SEARCH(("리턴"),(F18))))</formula>
    </cfRule>
  </conditionalFormatting>
  <conditionalFormatting sqref="F18">
    <cfRule type="containsText" dxfId="2" priority="3343" operator="containsText" text="실패">
      <formula>NOT(ISERROR(SEARCH(("실패"),(F18))))</formula>
    </cfRule>
  </conditionalFormatting>
  <conditionalFormatting sqref="F18">
    <cfRule type="containsText" dxfId="3" priority="3344" operator="containsText" text="관리">
      <formula>NOT(ISERROR(SEARCH(("관리"),(F18))))</formula>
    </cfRule>
  </conditionalFormatting>
  <conditionalFormatting sqref="F18">
    <cfRule type="containsText" dxfId="4" priority="3345" operator="containsText" text="등록">
      <formula>NOT(ISERROR(SEARCH(("등록"),(F18))))</formula>
    </cfRule>
  </conditionalFormatting>
  <conditionalFormatting sqref="F18">
    <cfRule type="containsText" dxfId="0" priority="3346" operator="containsText" text="거부">
      <formula>NOT(ISERROR(SEARCH(("거부"),(F18))))</formula>
    </cfRule>
  </conditionalFormatting>
  <conditionalFormatting sqref="F18">
    <cfRule type="containsText" dxfId="1" priority="3347" operator="containsText" text="리턴">
      <formula>NOT(ISERROR(SEARCH(("리턴"),(F18))))</formula>
    </cfRule>
  </conditionalFormatting>
  <conditionalFormatting sqref="F18">
    <cfRule type="containsText" dxfId="2" priority="3348" operator="containsText" text="실패">
      <formula>NOT(ISERROR(SEARCH(("실패"),(F18))))</formula>
    </cfRule>
  </conditionalFormatting>
  <conditionalFormatting sqref="F18">
    <cfRule type="containsText" dxfId="3" priority="3349" operator="containsText" text="관리">
      <formula>NOT(ISERROR(SEARCH(("관리"),(F18))))</formula>
    </cfRule>
  </conditionalFormatting>
  <conditionalFormatting sqref="F18">
    <cfRule type="containsText" dxfId="4" priority="3350" operator="containsText" text="등록">
      <formula>NOT(ISERROR(SEARCH(("등록"),(F18))))</formula>
    </cfRule>
  </conditionalFormatting>
  <conditionalFormatting sqref="G18">
    <cfRule type="containsText" dxfId="0" priority="3351" operator="containsText" text="거부">
      <formula>NOT(ISERROR(SEARCH(("거부"),(G18))))</formula>
    </cfRule>
  </conditionalFormatting>
  <conditionalFormatting sqref="G18">
    <cfRule type="containsText" dxfId="1" priority="3352" operator="containsText" text="리턴">
      <formula>NOT(ISERROR(SEARCH(("리턴"),(G18))))</formula>
    </cfRule>
  </conditionalFormatting>
  <conditionalFormatting sqref="G18">
    <cfRule type="containsText" dxfId="2" priority="3353" operator="containsText" text="실패">
      <formula>NOT(ISERROR(SEARCH(("실패"),(G18))))</formula>
    </cfRule>
  </conditionalFormatting>
  <conditionalFormatting sqref="G18">
    <cfRule type="containsText" dxfId="3" priority="3354" operator="containsText" text="관리">
      <formula>NOT(ISERROR(SEARCH(("관리"),(G18))))</formula>
    </cfRule>
  </conditionalFormatting>
  <conditionalFormatting sqref="G18">
    <cfRule type="containsText" dxfId="4" priority="3355" operator="containsText" text="등록">
      <formula>NOT(ISERROR(SEARCH(("등록"),(G18))))</formula>
    </cfRule>
  </conditionalFormatting>
  <conditionalFormatting sqref="G18">
    <cfRule type="containsText" dxfId="0" priority="3356" operator="containsText" text="거부">
      <formula>NOT(ISERROR(SEARCH(("거부"),(G18))))</formula>
    </cfRule>
  </conditionalFormatting>
  <conditionalFormatting sqref="G18">
    <cfRule type="containsText" dxfId="1" priority="3357" operator="containsText" text="리턴">
      <formula>NOT(ISERROR(SEARCH(("리턴"),(G18))))</formula>
    </cfRule>
  </conditionalFormatting>
  <conditionalFormatting sqref="G18">
    <cfRule type="containsText" dxfId="2" priority="3358" operator="containsText" text="실패">
      <formula>NOT(ISERROR(SEARCH(("실패"),(G18))))</formula>
    </cfRule>
  </conditionalFormatting>
  <conditionalFormatting sqref="G18">
    <cfRule type="containsText" dxfId="3" priority="3359" operator="containsText" text="관리">
      <formula>NOT(ISERROR(SEARCH(("관리"),(G18))))</formula>
    </cfRule>
  </conditionalFormatting>
  <conditionalFormatting sqref="G18">
    <cfRule type="containsText" dxfId="4" priority="3360" operator="containsText" text="등록">
      <formula>NOT(ISERROR(SEARCH(("등록"),(G18))))</formula>
    </cfRule>
  </conditionalFormatting>
  <conditionalFormatting sqref="G17">
    <cfRule type="containsText" dxfId="0" priority="3361" operator="containsText" text="거부">
      <formula>NOT(ISERROR(SEARCH(("거부"),(G17))))</formula>
    </cfRule>
  </conditionalFormatting>
  <conditionalFormatting sqref="G17">
    <cfRule type="containsText" dxfId="1" priority="3362" operator="containsText" text="리턴">
      <formula>NOT(ISERROR(SEARCH(("리턴"),(G17))))</formula>
    </cfRule>
  </conditionalFormatting>
  <conditionalFormatting sqref="G17">
    <cfRule type="containsText" dxfId="2" priority="3363" operator="containsText" text="실패">
      <formula>NOT(ISERROR(SEARCH(("실패"),(G17))))</formula>
    </cfRule>
  </conditionalFormatting>
  <conditionalFormatting sqref="G17">
    <cfRule type="containsText" dxfId="3" priority="3364" operator="containsText" text="관리">
      <formula>NOT(ISERROR(SEARCH(("관리"),(G17))))</formula>
    </cfRule>
  </conditionalFormatting>
  <conditionalFormatting sqref="G17">
    <cfRule type="containsText" dxfId="4" priority="3365" operator="containsText" text="등록">
      <formula>NOT(ISERROR(SEARCH(("등록"),(G17))))</formula>
    </cfRule>
  </conditionalFormatting>
  <conditionalFormatting sqref="G17">
    <cfRule type="containsText" dxfId="0" priority="3366" operator="containsText" text="거부">
      <formula>NOT(ISERROR(SEARCH(("거부"),(G17))))</formula>
    </cfRule>
  </conditionalFormatting>
  <conditionalFormatting sqref="G17">
    <cfRule type="containsText" dxfId="1" priority="3367" operator="containsText" text="리턴">
      <formula>NOT(ISERROR(SEARCH(("리턴"),(G17))))</formula>
    </cfRule>
  </conditionalFormatting>
  <conditionalFormatting sqref="G17">
    <cfRule type="containsText" dxfId="2" priority="3368" operator="containsText" text="실패">
      <formula>NOT(ISERROR(SEARCH(("실패"),(G17))))</formula>
    </cfRule>
  </conditionalFormatting>
  <conditionalFormatting sqref="G17">
    <cfRule type="containsText" dxfId="3" priority="3369" operator="containsText" text="관리">
      <formula>NOT(ISERROR(SEARCH(("관리"),(G17))))</formula>
    </cfRule>
  </conditionalFormatting>
  <conditionalFormatting sqref="G17">
    <cfRule type="containsText" dxfId="4" priority="3370" operator="containsText" text="등록">
      <formula>NOT(ISERROR(SEARCH(("등록"),(G17))))</formula>
    </cfRule>
  </conditionalFormatting>
  <conditionalFormatting sqref="G34">
    <cfRule type="containsText" dxfId="0" priority="3371" operator="containsText" text="거부">
      <formula>NOT(ISERROR(SEARCH(("거부"),(G34))))</formula>
    </cfRule>
  </conditionalFormatting>
  <conditionalFormatting sqref="G34">
    <cfRule type="containsText" dxfId="1" priority="3372" operator="containsText" text="리턴">
      <formula>NOT(ISERROR(SEARCH(("리턴"),(G34))))</formula>
    </cfRule>
  </conditionalFormatting>
  <conditionalFormatting sqref="G34">
    <cfRule type="containsText" dxfId="2" priority="3373" operator="containsText" text="실패">
      <formula>NOT(ISERROR(SEARCH(("실패"),(G34))))</formula>
    </cfRule>
  </conditionalFormatting>
  <conditionalFormatting sqref="G34">
    <cfRule type="containsText" dxfId="3" priority="3374" operator="containsText" text="관리">
      <formula>NOT(ISERROR(SEARCH(("관리"),(G34))))</formula>
    </cfRule>
  </conditionalFormatting>
  <conditionalFormatting sqref="G34">
    <cfRule type="containsText" dxfId="4" priority="3375" operator="containsText" text="등록">
      <formula>NOT(ISERROR(SEARCH(("등록"),(G34))))</formula>
    </cfRule>
  </conditionalFormatting>
  <conditionalFormatting sqref="G34">
    <cfRule type="containsText" dxfId="0" priority="3376" operator="containsText" text="거부">
      <formula>NOT(ISERROR(SEARCH(("거부"),(G34))))</formula>
    </cfRule>
  </conditionalFormatting>
  <conditionalFormatting sqref="G34">
    <cfRule type="containsText" dxfId="1" priority="3377" operator="containsText" text="리턴">
      <formula>NOT(ISERROR(SEARCH(("리턴"),(G34))))</formula>
    </cfRule>
  </conditionalFormatting>
  <conditionalFormatting sqref="G34">
    <cfRule type="containsText" dxfId="2" priority="3378" operator="containsText" text="실패">
      <formula>NOT(ISERROR(SEARCH(("실패"),(G34))))</formula>
    </cfRule>
  </conditionalFormatting>
  <conditionalFormatting sqref="G34">
    <cfRule type="containsText" dxfId="3" priority="3379" operator="containsText" text="관리">
      <formula>NOT(ISERROR(SEARCH(("관리"),(G34))))</formula>
    </cfRule>
  </conditionalFormatting>
  <conditionalFormatting sqref="G34">
    <cfRule type="containsText" dxfId="4" priority="3380" operator="containsText" text="등록">
      <formula>NOT(ISERROR(SEARCH(("등록"),(G34))))</formula>
    </cfRule>
  </conditionalFormatting>
  <conditionalFormatting sqref="G34">
    <cfRule type="containsText" dxfId="0" priority="3381" operator="containsText" text="거부">
      <formula>NOT(ISERROR(SEARCH(("거부"),(G34))))</formula>
    </cfRule>
  </conditionalFormatting>
  <conditionalFormatting sqref="G34">
    <cfRule type="containsText" dxfId="1" priority="3382" operator="containsText" text="리턴">
      <formula>NOT(ISERROR(SEARCH(("리턴"),(G34))))</formula>
    </cfRule>
  </conditionalFormatting>
  <conditionalFormatting sqref="G34">
    <cfRule type="containsText" dxfId="2" priority="3383" operator="containsText" text="실패">
      <formula>NOT(ISERROR(SEARCH(("실패"),(G34))))</formula>
    </cfRule>
  </conditionalFormatting>
  <conditionalFormatting sqref="G34">
    <cfRule type="containsText" dxfId="3" priority="3384" operator="containsText" text="관리">
      <formula>NOT(ISERROR(SEARCH(("관리"),(G34))))</formula>
    </cfRule>
  </conditionalFormatting>
  <conditionalFormatting sqref="G34">
    <cfRule type="containsText" dxfId="4" priority="3385" operator="containsText" text="등록">
      <formula>NOT(ISERROR(SEARCH(("등록"),(G34))))</formula>
    </cfRule>
  </conditionalFormatting>
  <conditionalFormatting sqref="G34">
    <cfRule type="containsText" dxfId="0" priority="3386" operator="containsText" text="거부">
      <formula>NOT(ISERROR(SEARCH(("거부"),(G34))))</formula>
    </cfRule>
  </conditionalFormatting>
  <conditionalFormatting sqref="G34">
    <cfRule type="containsText" dxfId="1" priority="3387" operator="containsText" text="리턴">
      <formula>NOT(ISERROR(SEARCH(("리턴"),(G34))))</formula>
    </cfRule>
  </conditionalFormatting>
  <conditionalFormatting sqref="G34">
    <cfRule type="containsText" dxfId="2" priority="3388" operator="containsText" text="실패">
      <formula>NOT(ISERROR(SEARCH(("실패"),(G34))))</formula>
    </cfRule>
  </conditionalFormatting>
  <conditionalFormatting sqref="G34">
    <cfRule type="containsText" dxfId="3" priority="3389" operator="containsText" text="관리">
      <formula>NOT(ISERROR(SEARCH(("관리"),(G34))))</formula>
    </cfRule>
  </conditionalFormatting>
  <conditionalFormatting sqref="G34">
    <cfRule type="containsText" dxfId="4" priority="3390" operator="containsText" text="등록">
      <formula>NOT(ISERROR(SEARCH(("등록"),(G34))))</formula>
    </cfRule>
  </conditionalFormatting>
  <conditionalFormatting sqref="G34">
    <cfRule type="containsText" dxfId="0" priority="3391" operator="containsText" text="거부">
      <formula>NOT(ISERROR(SEARCH(("거부"),(G34))))</formula>
    </cfRule>
  </conditionalFormatting>
  <conditionalFormatting sqref="G34">
    <cfRule type="containsText" dxfId="1" priority="3392" operator="containsText" text="리턴">
      <formula>NOT(ISERROR(SEARCH(("리턴"),(G34))))</formula>
    </cfRule>
  </conditionalFormatting>
  <conditionalFormatting sqref="G34">
    <cfRule type="containsText" dxfId="2" priority="3393" operator="containsText" text="실패">
      <formula>NOT(ISERROR(SEARCH(("실패"),(G34))))</formula>
    </cfRule>
  </conditionalFormatting>
  <conditionalFormatting sqref="G34">
    <cfRule type="containsText" dxfId="3" priority="3394" operator="containsText" text="관리">
      <formula>NOT(ISERROR(SEARCH(("관리"),(G34))))</formula>
    </cfRule>
  </conditionalFormatting>
  <conditionalFormatting sqref="G34">
    <cfRule type="containsText" dxfId="4" priority="3395" operator="containsText" text="등록">
      <formula>NOT(ISERROR(SEARCH(("등록"),(G34))))</formula>
    </cfRule>
  </conditionalFormatting>
  <conditionalFormatting sqref="G34">
    <cfRule type="containsText" dxfId="0" priority="3396" operator="containsText" text="거부">
      <formula>NOT(ISERROR(SEARCH(("거부"),(G34))))</formula>
    </cfRule>
  </conditionalFormatting>
  <conditionalFormatting sqref="G34">
    <cfRule type="containsText" dxfId="1" priority="3397" operator="containsText" text="리턴">
      <formula>NOT(ISERROR(SEARCH(("리턴"),(G34))))</formula>
    </cfRule>
  </conditionalFormatting>
  <conditionalFormatting sqref="G34">
    <cfRule type="containsText" dxfId="2" priority="3398" operator="containsText" text="실패">
      <formula>NOT(ISERROR(SEARCH(("실패"),(G34))))</formula>
    </cfRule>
  </conditionalFormatting>
  <conditionalFormatting sqref="G34">
    <cfRule type="containsText" dxfId="3" priority="3399" operator="containsText" text="관리">
      <formula>NOT(ISERROR(SEARCH(("관리"),(G34))))</formula>
    </cfRule>
  </conditionalFormatting>
  <conditionalFormatting sqref="G34">
    <cfRule type="containsText" dxfId="4" priority="3400" operator="containsText" text="등록">
      <formula>NOT(ISERROR(SEARCH(("등록"),(G34))))</formula>
    </cfRule>
  </conditionalFormatting>
  <conditionalFormatting sqref="G34">
    <cfRule type="containsText" dxfId="0" priority="3401" operator="containsText" text="거부">
      <formula>NOT(ISERROR(SEARCH(("거부"),(G34))))</formula>
    </cfRule>
  </conditionalFormatting>
  <conditionalFormatting sqref="G34">
    <cfRule type="containsText" dxfId="1" priority="3402" operator="containsText" text="리턴">
      <formula>NOT(ISERROR(SEARCH(("리턴"),(G34))))</formula>
    </cfRule>
  </conditionalFormatting>
  <conditionalFormatting sqref="G34">
    <cfRule type="containsText" dxfId="2" priority="3403" operator="containsText" text="실패">
      <formula>NOT(ISERROR(SEARCH(("실패"),(G34))))</formula>
    </cfRule>
  </conditionalFormatting>
  <conditionalFormatting sqref="G34">
    <cfRule type="containsText" dxfId="3" priority="3404" operator="containsText" text="관리">
      <formula>NOT(ISERROR(SEARCH(("관리"),(G34))))</formula>
    </cfRule>
  </conditionalFormatting>
  <conditionalFormatting sqref="G34">
    <cfRule type="containsText" dxfId="4" priority="3405" operator="containsText" text="등록">
      <formula>NOT(ISERROR(SEARCH(("등록"),(G34))))</formula>
    </cfRule>
  </conditionalFormatting>
  <conditionalFormatting sqref="G34">
    <cfRule type="containsText" dxfId="0" priority="3406" operator="containsText" text="거부">
      <formula>NOT(ISERROR(SEARCH(("거부"),(G34))))</formula>
    </cfRule>
  </conditionalFormatting>
  <conditionalFormatting sqref="G34">
    <cfRule type="containsText" dxfId="1" priority="3407" operator="containsText" text="리턴">
      <formula>NOT(ISERROR(SEARCH(("리턴"),(G34))))</formula>
    </cfRule>
  </conditionalFormatting>
  <conditionalFormatting sqref="G34">
    <cfRule type="containsText" dxfId="2" priority="3408" operator="containsText" text="실패">
      <formula>NOT(ISERROR(SEARCH(("실패"),(G34))))</formula>
    </cfRule>
  </conditionalFormatting>
  <conditionalFormatting sqref="G34">
    <cfRule type="containsText" dxfId="3" priority="3409" operator="containsText" text="관리">
      <formula>NOT(ISERROR(SEARCH(("관리"),(G34))))</formula>
    </cfRule>
  </conditionalFormatting>
  <conditionalFormatting sqref="G34">
    <cfRule type="containsText" dxfId="4" priority="3410" operator="containsText" text="등록">
      <formula>NOT(ISERROR(SEARCH(("등록"),(G34))))</formula>
    </cfRule>
  </conditionalFormatting>
  <conditionalFormatting sqref="G34">
    <cfRule type="containsText" dxfId="0" priority="3411" operator="containsText" text="거부">
      <formula>NOT(ISERROR(SEARCH(("거부"),(G34))))</formula>
    </cfRule>
  </conditionalFormatting>
  <conditionalFormatting sqref="G34">
    <cfRule type="containsText" dxfId="1" priority="3412" operator="containsText" text="리턴">
      <formula>NOT(ISERROR(SEARCH(("리턴"),(G34))))</formula>
    </cfRule>
  </conditionalFormatting>
  <conditionalFormatting sqref="G34">
    <cfRule type="containsText" dxfId="2" priority="3413" operator="containsText" text="실패">
      <formula>NOT(ISERROR(SEARCH(("실패"),(G34))))</formula>
    </cfRule>
  </conditionalFormatting>
  <conditionalFormatting sqref="G34">
    <cfRule type="containsText" dxfId="3" priority="3414" operator="containsText" text="관리">
      <formula>NOT(ISERROR(SEARCH(("관리"),(G34))))</formula>
    </cfRule>
  </conditionalFormatting>
  <conditionalFormatting sqref="G34">
    <cfRule type="containsText" dxfId="4" priority="3415" operator="containsText" text="등록">
      <formula>NOT(ISERROR(SEARCH(("등록"),(G34))))</formula>
    </cfRule>
  </conditionalFormatting>
  <conditionalFormatting sqref="D39">
    <cfRule type="containsText" dxfId="0" priority="3416" operator="containsText" text="거부">
      <formula>NOT(ISERROR(SEARCH(("거부"),(D39))))</formula>
    </cfRule>
  </conditionalFormatting>
  <conditionalFormatting sqref="D39">
    <cfRule type="containsText" dxfId="1" priority="3417" operator="containsText" text="리턴">
      <formula>NOT(ISERROR(SEARCH(("리턴"),(D39))))</formula>
    </cfRule>
  </conditionalFormatting>
  <conditionalFormatting sqref="D39">
    <cfRule type="containsText" dxfId="2" priority="3418" operator="containsText" text="실패">
      <formula>NOT(ISERROR(SEARCH(("실패"),(D39))))</formula>
    </cfRule>
  </conditionalFormatting>
  <conditionalFormatting sqref="D39">
    <cfRule type="containsText" dxfId="3" priority="3419" operator="containsText" text="관리">
      <formula>NOT(ISERROR(SEARCH(("관리"),(D39))))</formula>
    </cfRule>
  </conditionalFormatting>
  <conditionalFormatting sqref="D39">
    <cfRule type="containsText" dxfId="4" priority="3420" operator="containsText" text="등록">
      <formula>NOT(ISERROR(SEARCH(("등록"),(D39))))</formula>
    </cfRule>
  </conditionalFormatting>
  <conditionalFormatting sqref="D39">
    <cfRule type="containsText" dxfId="0" priority="3421" operator="containsText" text="거부">
      <formula>NOT(ISERROR(SEARCH(("거부"),(D39))))</formula>
    </cfRule>
  </conditionalFormatting>
  <conditionalFormatting sqref="D39">
    <cfRule type="containsText" dxfId="1" priority="3422" operator="containsText" text="리턴">
      <formula>NOT(ISERROR(SEARCH(("리턴"),(D39))))</formula>
    </cfRule>
  </conditionalFormatting>
  <conditionalFormatting sqref="D39">
    <cfRule type="containsText" dxfId="2" priority="3423" operator="containsText" text="실패">
      <formula>NOT(ISERROR(SEARCH(("실패"),(D39))))</formula>
    </cfRule>
  </conditionalFormatting>
  <conditionalFormatting sqref="D39">
    <cfRule type="containsText" dxfId="3" priority="3424" operator="containsText" text="관리">
      <formula>NOT(ISERROR(SEARCH(("관리"),(D39))))</formula>
    </cfRule>
  </conditionalFormatting>
  <conditionalFormatting sqref="D39">
    <cfRule type="containsText" dxfId="4" priority="3425" operator="containsText" text="등록">
      <formula>NOT(ISERROR(SEARCH(("등록"),(D39))))</formula>
    </cfRule>
  </conditionalFormatting>
  <conditionalFormatting sqref="D39">
    <cfRule type="containsText" dxfId="0" priority="3426" operator="containsText" text="거부">
      <formula>NOT(ISERROR(SEARCH(("거부"),(D39))))</formula>
    </cfRule>
  </conditionalFormatting>
  <conditionalFormatting sqref="D39">
    <cfRule type="containsText" dxfId="1" priority="3427" operator="containsText" text="리턴">
      <formula>NOT(ISERROR(SEARCH(("리턴"),(D39))))</formula>
    </cfRule>
  </conditionalFormatting>
  <conditionalFormatting sqref="D39">
    <cfRule type="containsText" dxfId="2" priority="3428" operator="containsText" text="실패">
      <formula>NOT(ISERROR(SEARCH(("실패"),(D39))))</formula>
    </cfRule>
  </conditionalFormatting>
  <conditionalFormatting sqref="D39">
    <cfRule type="containsText" dxfId="3" priority="3429" operator="containsText" text="관리">
      <formula>NOT(ISERROR(SEARCH(("관리"),(D39))))</formula>
    </cfRule>
  </conditionalFormatting>
  <conditionalFormatting sqref="D39">
    <cfRule type="containsText" dxfId="4" priority="3430" operator="containsText" text="등록">
      <formula>NOT(ISERROR(SEARCH(("등록"),(D39))))</formula>
    </cfRule>
  </conditionalFormatting>
  <conditionalFormatting sqref="D39">
    <cfRule type="containsText" dxfId="0" priority="3431" operator="containsText" text="거부">
      <formula>NOT(ISERROR(SEARCH(("거부"),(D39))))</formula>
    </cfRule>
  </conditionalFormatting>
  <conditionalFormatting sqref="D39">
    <cfRule type="containsText" dxfId="1" priority="3432" operator="containsText" text="리턴">
      <formula>NOT(ISERROR(SEARCH(("리턴"),(D39))))</formula>
    </cfRule>
  </conditionalFormatting>
  <conditionalFormatting sqref="D39">
    <cfRule type="containsText" dxfId="2" priority="3433" operator="containsText" text="실패">
      <formula>NOT(ISERROR(SEARCH(("실패"),(D39))))</formula>
    </cfRule>
  </conditionalFormatting>
  <conditionalFormatting sqref="D39">
    <cfRule type="containsText" dxfId="3" priority="3434" operator="containsText" text="관리">
      <formula>NOT(ISERROR(SEARCH(("관리"),(D39))))</formula>
    </cfRule>
  </conditionalFormatting>
  <conditionalFormatting sqref="D39">
    <cfRule type="containsText" dxfId="4" priority="3435" operator="containsText" text="등록">
      <formula>NOT(ISERROR(SEARCH(("등록"),(D39))))</formula>
    </cfRule>
  </conditionalFormatting>
  <conditionalFormatting sqref="D39">
    <cfRule type="containsText" dxfId="0" priority="3436" operator="containsText" text="거부">
      <formula>NOT(ISERROR(SEARCH(("거부"),(D39))))</formula>
    </cfRule>
  </conditionalFormatting>
  <conditionalFormatting sqref="D39">
    <cfRule type="containsText" dxfId="1" priority="3437" operator="containsText" text="리턴">
      <formula>NOT(ISERROR(SEARCH(("리턴"),(D39))))</formula>
    </cfRule>
  </conditionalFormatting>
  <conditionalFormatting sqref="D39">
    <cfRule type="containsText" dxfId="2" priority="3438" operator="containsText" text="실패">
      <formula>NOT(ISERROR(SEARCH(("실패"),(D39))))</formula>
    </cfRule>
  </conditionalFormatting>
  <conditionalFormatting sqref="D39">
    <cfRule type="containsText" dxfId="3" priority="3439" operator="containsText" text="관리">
      <formula>NOT(ISERROR(SEARCH(("관리"),(D39))))</formula>
    </cfRule>
  </conditionalFormatting>
  <conditionalFormatting sqref="D39">
    <cfRule type="containsText" dxfId="4" priority="3440" operator="containsText" text="등록">
      <formula>NOT(ISERROR(SEARCH(("등록"),(D39))))</formula>
    </cfRule>
  </conditionalFormatting>
  <conditionalFormatting sqref="D39">
    <cfRule type="containsText" dxfId="0" priority="3441" operator="containsText" text="거부">
      <formula>NOT(ISERROR(SEARCH(("거부"),(D39))))</formula>
    </cfRule>
  </conditionalFormatting>
  <conditionalFormatting sqref="D39">
    <cfRule type="containsText" dxfId="1" priority="3442" operator="containsText" text="리턴">
      <formula>NOT(ISERROR(SEARCH(("리턴"),(D39))))</formula>
    </cfRule>
  </conditionalFormatting>
  <conditionalFormatting sqref="D39">
    <cfRule type="containsText" dxfId="2" priority="3443" operator="containsText" text="실패">
      <formula>NOT(ISERROR(SEARCH(("실패"),(D39))))</formula>
    </cfRule>
  </conditionalFormatting>
  <conditionalFormatting sqref="D39">
    <cfRule type="containsText" dxfId="3" priority="3444" operator="containsText" text="관리">
      <formula>NOT(ISERROR(SEARCH(("관리"),(D39))))</formula>
    </cfRule>
  </conditionalFormatting>
  <conditionalFormatting sqref="D39">
    <cfRule type="containsText" dxfId="4" priority="3445" operator="containsText" text="등록">
      <formula>NOT(ISERROR(SEARCH(("등록"),(D39))))</formula>
    </cfRule>
  </conditionalFormatting>
  <conditionalFormatting sqref="D39">
    <cfRule type="containsText" dxfId="0" priority="3446" operator="containsText" text="거부">
      <formula>NOT(ISERROR(SEARCH(("거부"),(D39))))</formula>
    </cfRule>
  </conditionalFormatting>
  <conditionalFormatting sqref="D39">
    <cfRule type="containsText" dxfId="1" priority="3447" operator="containsText" text="리턴">
      <formula>NOT(ISERROR(SEARCH(("리턴"),(D39))))</formula>
    </cfRule>
  </conditionalFormatting>
  <conditionalFormatting sqref="D39">
    <cfRule type="containsText" dxfId="2" priority="3448" operator="containsText" text="실패">
      <formula>NOT(ISERROR(SEARCH(("실패"),(D39))))</formula>
    </cfRule>
  </conditionalFormatting>
  <conditionalFormatting sqref="D39">
    <cfRule type="containsText" dxfId="3" priority="3449" operator="containsText" text="관리">
      <formula>NOT(ISERROR(SEARCH(("관리"),(D39))))</formula>
    </cfRule>
  </conditionalFormatting>
  <conditionalFormatting sqref="D39">
    <cfRule type="containsText" dxfId="4" priority="3450" operator="containsText" text="등록">
      <formula>NOT(ISERROR(SEARCH(("등록"),(D39))))</formula>
    </cfRule>
  </conditionalFormatting>
  <conditionalFormatting sqref="D39">
    <cfRule type="containsText" dxfId="0" priority="3451" operator="containsText" text="거부">
      <formula>NOT(ISERROR(SEARCH(("거부"),(D39))))</formula>
    </cfRule>
  </conditionalFormatting>
  <conditionalFormatting sqref="D39">
    <cfRule type="containsText" dxfId="1" priority="3452" operator="containsText" text="리턴">
      <formula>NOT(ISERROR(SEARCH(("리턴"),(D39))))</formula>
    </cfRule>
  </conditionalFormatting>
  <conditionalFormatting sqref="D39">
    <cfRule type="containsText" dxfId="2" priority="3453" operator="containsText" text="실패">
      <formula>NOT(ISERROR(SEARCH(("실패"),(D39))))</formula>
    </cfRule>
  </conditionalFormatting>
  <conditionalFormatting sqref="D39">
    <cfRule type="containsText" dxfId="3" priority="3454" operator="containsText" text="관리">
      <formula>NOT(ISERROR(SEARCH(("관리"),(D39))))</formula>
    </cfRule>
  </conditionalFormatting>
  <conditionalFormatting sqref="D39">
    <cfRule type="containsText" dxfId="4" priority="3455" operator="containsText" text="등록">
      <formula>NOT(ISERROR(SEARCH(("등록"),(D39))))</formula>
    </cfRule>
  </conditionalFormatting>
  <conditionalFormatting sqref="D39">
    <cfRule type="containsText" dxfId="0" priority="3456" operator="containsText" text="거부">
      <formula>NOT(ISERROR(SEARCH(("거부"),(D39))))</formula>
    </cfRule>
  </conditionalFormatting>
  <conditionalFormatting sqref="D39">
    <cfRule type="containsText" dxfId="1" priority="3457" operator="containsText" text="리턴">
      <formula>NOT(ISERROR(SEARCH(("리턴"),(D39))))</formula>
    </cfRule>
  </conditionalFormatting>
  <conditionalFormatting sqref="D39">
    <cfRule type="containsText" dxfId="2" priority="3458" operator="containsText" text="실패">
      <formula>NOT(ISERROR(SEARCH(("실패"),(D39))))</formula>
    </cfRule>
  </conditionalFormatting>
  <conditionalFormatting sqref="D39">
    <cfRule type="containsText" dxfId="3" priority="3459" operator="containsText" text="관리">
      <formula>NOT(ISERROR(SEARCH(("관리"),(D39))))</formula>
    </cfRule>
  </conditionalFormatting>
  <conditionalFormatting sqref="D39">
    <cfRule type="containsText" dxfId="4" priority="3460" operator="containsText" text="등록">
      <formula>NOT(ISERROR(SEARCH(("등록"),(D39))))</formula>
    </cfRule>
  </conditionalFormatting>
  <conditionalFormatting sqref="D39">
    <cfRule type="containsText" dxfId="0" priority="3461" operator="containsText" text="거부">
      <formula>NOT(ISERROR(SEARCH(("거부"),(D39))))</formula>
    </cfRule>
  </conditionalFormatting>
  <conditionalFormatting sqref="D39">
    <cfRule type="containsText" dxfId="1" priority="3462" operator="containsText" text="리턴">
      <formula>NOT(ISERROR(SEARCH(("리턴"),(D39))))</formula>
    </cfRule>
  </conditionalFormatting>
  <conditionalFormatting sqref="D39">
    <cfRule type="containsText" dxfId="2" priority="3463" operator="containsText" text="실패">
      <formula>NOT(ISERROR(SEARCH(("실패"),(D39))))</formula>
    </cfRule>
  </conditionalFormatting>
  <conditionalFormatting sqref="D39">
    <cfRule type="containsText" dxfId="3" priority="3464" operator="containsText" text="관리">
      <formula>NOT(ISERROR(SEARCH(("관리"),(D39))))</formula>
    </cfRule>
  </conditionalFormatting>
  <conditionalFormatting sqref="D39">
    <cfRule type="containsText" dxfId="4" priority="3465" operator="containsText" text="등록">
      <formula>NOT(ISERROR(SEARCH(("등록"),(D39))))</formula>
    </cfRule>
  </conditionalFormatting>
  <conditionalFormatting sqref="D39">
    <cfRule type="containsText" dxfId="0" priority="3466" operator="containsText" text="거부">
      <formula>NOT(ISERROR(SEARCH(("거부"),(D39))))</formula>
    </cfRule>
  </conditionalFormatting>
  <conditionalFormatting sqref="D39">
    <cfRule type="containsText" dxfId="1" priority="3467" operator="containsText" text="리턴">
      <formula>NOT(ISERROR(SEARCH(("리턴"),(D39))))</formula>
    </cfRule>
  </conditionalFormatting>
  <conditionalFormatting sqref="D39">
    <cfRule type="containsText" dxfId="2" priority="3468" operator="containsText" text="실패">
      <formula>NOT(ISERROR(SEARCH(("실패"),(D39))))</formula>
    </cfRule>
  </conditionalFormatting>
  <conditionalFormatting sqref="D39">
    <cfRule type="containsText" dxfId="3" priority="3469" operator="containsText" text="관리">
      <formula>NOT(ISERROR(SEARCH(("관리"),(D39))))</formula>
    </cfRule>
  </conditionalFormatting>
  <conditionalFormatting sqref="D39">
    <cfRule type="containsText" dxfId="4" priority="3470" operator="containsText" text="등록">
      <formula>NOT(ISERROR(SEARCH(("등록"),(D39))))</formula>
    </cfRule>
  </conditionalFormatting>
  <conditionalFormatting sqref="D39">
    <cfRule type="containsText" dxfId="0" priority="3471" operator="containsText" text="거부">
      <formula>NOT(ISERROR(SEARCH(("거부"),(D39))))</formula>
    </cfRule>
  </conditionalFormatting>
  <conditionalFormatting sqref="D39">
    <cfRule type="containsText" dxfId="1" priority="3472" operator="containsText" text="리턴">
      <formula>NOT(ISERROR(SEARCH(("리턴"),(D39))))</formula>
    </cfRule>
  </conditionalFormatting>
  <conditionalFormatting sqref="D39">
    <cfRule type="containsText" dxfId="2" priority="3473" operator="containsText" text="실패">
      <formula>NOT(ISERROR(SEARCH(("실패"),(D39))))</formula>
    </cfRule>
  </conditionalFormatting>
  <conditionalFormatting sqref="D39">
    <cfRule type="containsText" dxfId="3" priority="3474" operator="containsText" text="관리">
      <formula>NOT(ISERROR(SEARCH(("관리"),(D39))))</formula>
    </cfRule>
  </conditionalFormatting>
  <conditionalFormatting sqref="D39">
    <cfRule type="containsText" dxfId="4" priority="3475" operator="containsText" text="등록">
      <formula>NOT(ISERROR(SEARCH(("등록"),(D39))))</formula>
    </cfRule>
  </conditionalFormatting>
  <conditionalFormatting sqref="A56">
    <cfRule type="containsText" dxfId="0" priority="3476" operator="containsText" text="거부">
      <formula>NOT(ISERROR(SEARCH(("거부"),(A56))))</formula>
    </cfRule>
  </conditionalFormatting>
  <conditionalFormatting sqref="A56">
    <cfRule type="containsText" dxfId="1" priority="3477" operator="containsText" text="리턴">
      <formula>NOT(ISERROR(SEARCH(("리턴"),(A56))))</formula>
    </cfRule>
  </conditionalFormatting>
  <conditionalFormatting sqref="A56">
    <cfRule type="containsText" dxfId="2" priority="3478" operator="containsText" text="실패">
      <formula>NOT(ISERROR(SEARCH(("실패"),(A56))))</formula>
    </cfRule>
  </conditionalFormatting>
  <conditionalFormatting sqref="A56">
    <cfRule type="containsText" dxfId="3" priority="3479" operator="containsText" text="관리">
      <formula>NOT(ISERROR(SEARCH(("관리"),(A56))))</formula>
    </cfRule>
  </conditionalFormatting>
  <conditionalFormatting sqref="A56">
    <cfRule type="containsText" dxfId="4" priority="3480" operator="containsText" text="등록">
      <formula>NOT(ISERROR(SEARCH(("등록"),(A56))))</formula>
    </cfRule>
  </conditionalFormatting>
  <conditionalFormatting sqref="A56">
    <cfRule type="containsText" dxfId="0" priority="3481" operator="containsText" text="거부">
      <formula>NOT(ISERROR(SEARCH(("거부"),(A56))))</formula>
    </cfRule>
  </conditionalFormatting>
  <conditionalFormatting sqref="A56">
    <cfRule type="containsText" dxfId="1" priority="3482" operator="containsText" text="리턴">
      <formula>NOT(ISERROR(SEARCH(("리턴"),(A56))))</formula>
    </cfRule>
  </conditionalFormatting>
  <conditionalFormatting sqref="A56">
    <cfRule type="containsText" dxfId="2" priority="3483" operator="containsText" text="실패">
      <formula>NOT(ISERROR(SEARCH(("실패"),(A56))))</formula>
    </cfRule>
  </conditionalFormatting>
  <conditionalFormatting sqref="A56">
    <cfRule type="containsText" dxfId="3" priority="3484" operator="containsText" text="관리">
      <formula>NOT(ISERROR(SEARCH(("관리"),(A56))))</formula>
    </cfRule>
  </conditionalFormatting>
  <conditionalFormatting sqref="A56">
    <cfRule type="containsText" dxfId="4" priority="3485" operator="containsText" text="등록">
      <formula>NOT(ISERROR(SEARCH(("등록"),(A56))))</formula>
    </cfRule>
  </conditionalFormatting>
  <conditionalFormatting sqref="A56">
    <cfRule type="containsText" dxfId="0" priority="3486" operator="containsText" text="거부">
      <formula>NOT(ISERROR(SEARCH(("거부"),(A56))))</formula>
    </cfRule>
  </conditionalFormatting>
  <conditionalFormatting sqref="A56">
    <cfRule type="containsText" dxfId="1" priority="3487" operator="containsText" text="리턴">
      <formula>NOT(ISERROR(SEARCH(("리턴"),(A56))))</formula>
    </cfRule>
  </conditionalFormatting>
  <conditionalFormatting sqref="A56">
    <cfRule type="containsText" dxfId="2" priority="3488" operator="containsText" text="실패">
      <formula>NOT(ISERROR(SEARCH(("실패"),(A56))))</formula>
    </cfRule>
  </conditionalFormatting>
  <conditionalFormatting sqref="A56">
    <cfRule type="containsText" dxfId="3" priority="3489" operator="containsText" text="관리">
      <formula>NOT(ISERROR(SEARCH(("관리"),(A56))))</formula>
    </cfRule>
  </conditionalFormatting>
  <conditionalFormatting sqref="A56">
    <cfRule type="containsText" dxfId="4" priority="3490" operator="containsText" text="등록">
      <formula>NOT(ISERROR(SEARCH(("등록"),(A56))))</formula>
    </cfRule>
  </conditionalFormatting>
  <conditionalFormatting sqref="D56">
    <cfRule type="containsText" dxfId="0" priority="3491" operator="containsText" text="거부">
      <formula>NOT(ISERROR(SEARCH(("거부"),(D56))))</formula>
    </cfRule>
  </conditionalFormatting>
  <conditionalFormatting sqref="D56">
    <cfRule type="containsText" dxfId="1" priority="3492" operator="containsText" text="리턴">
      <formula>NOT(ISERROR(SEARCH(("리턴"),(D56))))</formula>
    </cfRule>
  </conditionalFormatting>
  <conditionalFormatting sqref="D56">
    <cfRule type="containsText" dxfId="2" priority="3493" operator="containsText" text="실패">
      <formula>NOT(ISERROR(SEARCH(("실패"),(D56))))</formula>
    </cfRule>
  </conditionalFormatting>
  <conditionalFormatting sqref="D56">
    <cfRule type="containsText" dxfId="3" priority="3494" operator="containsText" text="관리">
      <formula>NOT(ISERROR(SEARCH(("관리"),(D56))))</formula>
    </cfRule>
  </conditionalFormatting>
  <conditionalFormatting sqref="D56">
    <cfRule type="containsText" dxfId="4" priority="3495" operator="containsText" text="등록">
      <formula>NOT(ISERROR(SEARCH(("등록"),(D56))))</formula>
    </cfRule>
  </conditionalFormatting>
  <conditionalFormatting sqref="D56">
    <cfRule type="containsText" dxfId="0" priority="3496" operator="containsText" text="거부">
      <formula>NOT(ISERROR(SEARCH(("거부"),(D56))))</formula>
    </cfRule>
  </conditionalFormatting>
  <conditionalFormatting sqref="D56">
    <cfRule type="containsText" dxfId="1" priority="3497" operator="containsText" text="리턴">
      <formula>NOT(ISERROR(SEARCH(("리턴"),(D56))))</formula>
    </cfRule>
  </conditionalFormatting>
  <conditionalFormatting sqref="D56">
    <cfRule type="containsText" dxfId="2" priority="3498" operator="containsText" text="실패">
      <formula>NOT(ISERROR(SEARCH(("실패"),(D56))))</formula>
    </cfRule>
  </conditionalFormatting>
  <conditionalFormatting sqref="D56">
    <cfRule type="containsText" dxfId="3" priority="3499" operator="containsText" text="관리">
      <formula>NOT(ISERROR(SEARCH(("관리"),(D56))))</formula>
    </cfRule>
  </conditionalFormatting>
  <conditionalFormatting sqref="D56">
    <cfRule type="containsText" dxfId="4" priority="3500" operator="containsText" text="등록">
      <formula>NOT(ISERROR(SEARCH(("등록"),(D56))))</formula>
    </cfRule>
  </conditionalFormatting>
  <conditionalFormatting sqref="J55:J57">
    <cfRule type="containsText" dxfId="0" priority="3501" operator="containsText" text="거부">
      <formula>NOT(ISERROR(SEARCH(("거부"),(J55))))</formula>
    </cfRule>
  </conditionalFormatting>
  <conditionalFormatting sqref="J55:J57">
    <cfRule type="containsText" dxfId="1" priority="3502" operator="containsText" text="리턴">
      <formula>NOT(ISERROR(SEARCH(("리턴"),(J55))))</formula>
    </cfRule>
  </conditionalFormatting>
  <conditionalFormatting sqref="J55:J57">
    <cfRule type="containsText" dxfId="2" priority="3503" operator="containsText" text="실패">
      <formula>NOT(ISERROR(SEARCH(("실패"),(J55))))</formula>
    </cfRule>
  </conditionalFormatting>
  <conditionalFormatting sqref="J55:J57">
    <cfRule type="containsText" dxfId="3" priority="3504" operator="containsText" text="관리">
      <formula>NOT(ISERROR(SEARCH(("관리"),(J55))))</formula>
    </cfRule>
  </conditionalFormatting>
  <conditionalFormatting sqref="J55:J57">
    <cfRule type="containsText" dxfId="4" priority="3505" operator="containsText" text="등록">
      <formula>NOT(ISERROR(SEARCH(("등록"),(J55))))</formula>
    </cfRule>
  </conditionalFormatting>
  <conditionalFormatting sqref="J55:J57">
    <cfRule type="containsText" dxfId="0" priority="3506" operator="containsText" text="거부">
      <formula>NOT(ISERROR(SEARCH(("거부"),(J55))))</formula>
    </cfRule>
  </conditionalFormatting>
  <conditionalFormatting sqref="J55:J57">
    <cfRule type="containsText" dxfId="1" priority="3507" operator="containsText" text="리턴">
      <formula>NOT(ISERROR(SEARCH(("리턴"),(J55))))</formula>
    </cfRule>
  </conditionalFormatting>
  <conditionalFormatting sqref="J55:J57">
    <cfRule type="containsText" dxfId="2" priority="3508" operator="containsText" text="실패">
      <formula>NOT(ISERROR(SEARCH(("실패"),(J55))))</formula>
    </cfRule>
  </conditionalFormatting>
  <conditionalFormatting sqref="J55:J57">
    <cfRule type="containsText" dxfId="3" priority="3509" operator="containsText" text="관리">
      <formula>NOT(ISERROR(SEARCH(("관리"),(J55))))</formula>
    </cfRule>
  </conditionalFormatting>
  <conditionalFormatting sqref="J55:J57">
    <cfRule type="containsText" dxfId="4" priority="3510" operator="containsText" text="등록">
      <formula>NOT(ISERROR(SEARCH(("등록"),(J55))))</formula>
    </cfRule>
  </conditionalFormatting>
  <conditionalFormatting sqref="J59">
    <cfRule type="containsText" dxfId="0" priority="3511" operator="containsText" text="거부">
      <formula>NOT(ISERROR(SEARCH(("거부"),(J59))))</formula>
    </cfRule>
  </conditionalFormatting>
  <conditionalFormatting sqref="J59">
    <cfRule type="containsText" dxfId="1" priority="3512" operator="containsText" text="리턴">
      <formula>NOT(ISERROR(SEARCH(("리턴"),(J59))))</formula>
    </cfRule>
  </conditionalFormatting>
  <conditionalFormatting sqref="J59">
    <cfRule type="containsText" dxfId="2" priority="3513" operator="containsText" text="실패">
      <formula>NOT(ISERROR(SEARCH(("실패"),(J59))))</formula>
    </cfRule>
  </conditionalFormatting>
  <conditionalFormatting sqref="J59">
    <cfRule type="containsText" dxfId="3" priority="3514" operator="containsText" text="관리">
      <formula>NOT(ISERROR(SEARCH(("관리"),(J59))))</formula>
    </cfRule>
  </conditionalFormatting>
  <conditionalFormatting sqref="J59">
    <cfRule type="containsText" dxfId="4" priority="3515" operator="containsText" text="등록">
      <formula>NOT(ISERROR(SEARCH(("등록"),(J59))))</formula>
    </cfRule>
  </conditionalFormatting>
  <conditionalFormatting sqref="J59">
    <cfRule type="containsText" dxfId="0" priority="3516" operator="containsText" text="거부">
      <formula>NOT(ISERROR(SEARCH(("거부"),(J59))))</formula>
    </cfRule>
  </conditionalFormatting>
  <conditionalFormatting sqref="J59">
    <cfRule type="containsText" dxfId="1" priority="3517" operator="containsText" text="리턴">
      <formula>NOT(ISERROR(SEARCH(("리턴"),(J59))))</formula>
    </cfRule>
  </conditionalFormatting>
  <conditionalFormatting sqref="J59">
    <cfRule type="containsText" dxfId="2" priority="3518" operator="containsText" text="실패">
      <formula>NOT(ISERROR(SEARCH(("실패"),(J59))))</formula>
    </cfRule>
  </conditionalFormatting>
  <conditionalFormatting sqref="J59">
    <cfRule type="containsText" dxfId="3" priority="3519" operator="containsText" text="관리">
      <formula>NOT(ISERROR(SEARCH(("관리"),(J59))))</formula>
    </cfRule>
  </conditionalFormatting>
  <conditionalFormatting sqref="J59">
    <cfRule type="containsText" dxfId="4" priority="3520" operator="containsText" text="등록">
      <formula>NOT(ISERROR(SEARCH(("등록"),(J59))))</formula>
    </cfRule>
  </conditionalFormatting>
  <conditionalFormatting sqref="F60">
    <cfRule type="containsText" dxfId="0" priority="3521" operator="containsText" text="거부">
      <formula>NOT(ISERROR(SEARCH(("거부"),(F60))))</formula>
    </cfRule>
  </conditionalFormatting>
  <conditionalFormatting sqref="F60">
    <cfRule type="containsText" dxfId="1" priority="3522" operator="containsText" text="리턴">
      <formula>NOT(ISERROR(SEARCH(("리턴"),(F60))))</formula>
    </cfRule>
  </conditionalFormatting>
  <conditionalFormatting sqref="F60">
    <cfRule type="containsText" dxfId="2" priority="3523" operator="containsText" text="실패">
      <formula>NOT(ISERROR(SEARCH(("실패"),(F60))))</formula>
    </cfRule>
  </conditionalFormatting>
  <conditionalFormatting sqref="F60">
    <cfRule type="containsText" dxfId="3" priority="3524" operator="containsText" text="관리">
      <formula>NOT(ISERROR(SEARCH(("관리"),(F60))))</formula>
    </cfRule>
  </conditionalFormatting>
  <conditionalFormatting sqref="F60">
    <cfRule type="containsText" dxfId="4" priority="3525" operator="containsText" text="등록">
      <formula>NOT(ISERROR(SEARCH(("등록"),(F60))))</formula>
    </cfRule>
  </conditionalFormatting>
  <conditionalFormatting sqref="G60">
    <cfRule type="containsText" dxfId="0" priority="3526" operator="containsText" text="거부">
      <formula>NOT(ISERROR(SEARCH(("거부"),(G60))))</formula>
    </cfRule>
  </conditionalFormatting>
  <conditionalFormatting sqref="G60">
    <cfRule type="containsText" dxfId="1" priority="3527" operator="containsText" text="리턴">
      <formula>NOT(ISERROR(SEARCH(("리턴"),(G60))))</formula>
    </cfRule>
  </conditionalFormatting>
  <conditionalFormatting sqref="G60">
    <cfRule type="containsText" dxfId="2" priority="3528" operator="containsText" text="실패">
      <formula>NOT(ISERROR(SEARCH(("실패"),(G60))))</formula>
    </cfRule>
  </conditionalFormatting>
  <conditionalFormatting sqref="G60">
    <cfRule type="containsText" dxfId="3" priority="3529" operator="containsText" text="관리">
      <formula>NOT(ISERROR(SEARCH(("관리"),(G60))))</formula>
    </cfRule>
  </conditionalFormatting>
  <conditionalFormatting sqref="G60">
    <cfRule type="containsText" dxfId="4" priority="3530" operator="containsText" text="등록">
      <formula>NOT(ISERROR(SEARCH(("등록"),(G60))))</formula>
    </cfRule>
  </conditionalFormatting>
  <conditionalFormatting sqref="H60">
    <cfRule type="containsText" dxfId="0" priority="3531" operator="containsText" text="거부">
      <formula>NOT(ISERROR(SEARCH(("거부"),(H60))))</formula>
    </cfRule>
  </conditionalFormatting>
  <conditionalFormatting sqref="H60">
    <cfRule type="containsText" dxfId="1" priority="3532" operator="containsText" text="리턴">
      <formula>NOT(ISERROR(SEARCH(("리턴"),(H60))))</formula>
    </cfRule>
  </conditionalFormatting>
  <conditionalFormatting sqref="H60">
    <cfRule type="containsText" dxfId="2" priority="3533" operator="containsText" text="실패">
      <formula>NOT(ISERROR(SEARCH(("실패"),(H60))))</formula>
    </cfRule>
  </conditionalFormatting>
  <conditionalFormatting sqref="H60">
    <cfRule type="containsText" dxfId="3" priority="3534" operator="containsText" text="관리">
      <formula>NOT(ISERROR(SEARCH(("관리"),(H60))))</formula>
    </cfRule>
  </conditionalFormatting>
  <conditionalFormatting sqref="H60">
    <cfRule type="containsText" dxfId="4" priority="3535" operator="containsText" text="등록">
      <formula>NOT(ISERROR(SEARCH(("등록"),(H60))))</formula>
    </cfRule>
  </conditionalFormatting>
  <conditionalFormatting sqref="A60">
    <cfRule type="containsText" dxfId="0" priority="3536" operator="containsText" text="거부">
      <formula>NOT(ISERROR(SEARCH(("거부"),(A60))))</formula>
    </cfRule>
  </conditionalFormatting>
  <conditionalFormatting sqref="A60">
    <cfRule type="containsText" dxfId="1" priority="3537" operator="containsText" text="리턴">
      <formula>NOT(ISERROR(SEARCH(("리턴"),(A60))))</formula>
    </cfRule>
  </conditionalFormatting>
  <conditionalFormatting sqref="A60">
    <cfRule type="containsText" dxfId="2" priority="3538" operator="containsText" text="실패">
      <formula>NOT(ISERROR(SEARCH(("실패"),(A60))))</formula>
    </cfRule>
  </conditionalFormatting>
  <conditionalFormatting sqref="A60">
    <cfRule type="containsText" dxfId="3" priority="3539" operator="containsText" text="관리">
      <formula>NOT(ISERROR(SEARCH(("관리"),(A60))))</formula>
    </cfRule>
  </conditionalFormatting>
  <conditionalFormatting sqref="A60">
    <cfRule type="containsText" dxfId="4" priority="3540" operator="containsText" text="등록">
      <formula>NOT(ISERROR(SEARCH(("등록"),(A60))))</formula>
    </cfRule>
  </conditionalFormatting>
  <conditionalFormatting sqref="E60">
    <cfRule type="containsText" dxfId="0" priority="3541" operator="containsText" text="거부">
      <formula>NOT(ISERROR(SEARCH(("거부"),(E60))))</formula>
    </cfRule>
  </conditionalFormatting>
  <conditionalFormatting sqref="E60">
    <cfRule type="containsText" dxfId="1" priority="3542" operator="containsText" text="리턴">
      <formula>NOT(ISERROR(SEARCH(("리턴"),(E60))))</formula>
    </cfRule>
  </conditionalFormatting>
  <conditionalFormatting sqref="E60">
    <cfRule type="containsText" dxfId="2" priority="3543" operator="containsText" text="실패">
      <formula>NOT(ISERROR(SEARCH(("실패"),(E60))))</formula>
    </cfRule>
  </conditionalFormatting>
  <conditionalFormatting sqref="E60">
    <cfRule type="containsText" dxfId="3" priority="3544" operator="containsText" text="관리">
      <formula>NOT(ISERROR(SEARCH(("관리"),(E60))))</formula>
    </cfRule>
  </conditionalFormatting>
  <conditionalFormatting sqref="E60">
    <cfRule type="containsText" dxfId="4" priority="3545" operator="containsText" text="등록">
      <formula>NOT(ISERROR(SEARCH(("등록"),(E60))))</formula>
    </cfRule>
  </conditionalFormatting>
  <conditionalFormatting sqref="J60">
    <cfRule type="containsText" dxfId="0" priority="3546" operator="containsText" text="거부">
      <formula>NOT(ISERROR(SEARCH(("거부"),(J60))))</formula>
    </cfRule>
  </conditionalFormatting>
  <conditionalFormatting sqref="J60">
    <cfRule type="containsText" dxfId="1" priority="3547" operator="containsText" text="리턴">
      <formula>NOT(ISERROR(SEARCH(("리턴"),(J60))))</formula>
    </cfRule>
  </conditionalFormatting>
  <conditionalFormatting sqref="J60">
    <cfRule type="containsText" dxfId="2" priority="3548" operator="containsText" text="실패">
      <formula>NOT(ISERROR(SEARCH(("실패"),(J60))))</formula>
    </cfRule>
  </conditionalFormatting>
  <conditionalFormatting sqref="J60">
    <cfRule type="containsText" dxfId="3" priority="3549" operator="containsText" text="관리">
      <formula>NOT(ISERROR(SEARCH(("관리"),(J60))))</formula>
    </cfRule>
  </conditionalFormatting>
  <conditionalFormatting sqref="J60">
    <cfRule type="containsText" dxfId="4" priority="3550" operator="containsText" text="등록">
      <formula>NOT(ISERROR(SEARCH(("등록"),(J60))))</formula>
    </cfRule>
  </conditionalFormatting>
  <conditionalFormatting sqref="J60">
    <cfRule type="containsText" dxfId="0" priority="3551" operator="containsText" text="거부">
      <formula>NOT(ISERROR(SEARCH(("거부"),(J60))))</formula>
    </cfRule>
  </conditionalFormatting>
  <conditionalFormatting sqref="J60">
    <cfRule type="containsText" dxfId="1" priority="3552" operator="containsText" text="리턴">
      <formula>NOT(ISERROR(SEARCH(("리턴"),(J60))))</formula>
    </cfRule>
  </conditionalFormatting>
  <conditionalFormatting sqref="J60">
    <cfRule type="containsText" dxfId="2" priority="3553" operator="containsText" text="실패">
      <formula>NOT(ISERROR(SEARCH(("실패"),(J60))))</formula>
    </cfRule>
  </conditionalFormatting>
  <conditionalFormatting sqref="J60">
    <cfRule type="containsText" dxfId="3" priority="3554" operator="containsText" text="관리">
      <formula>NOT(ISERROR(SEARCH(("관리"),(J60))))</formula>
    </cfRule>
  </conditionalFormatting>
  <conditionalFormatting sqref="J60">
    <cfRule type="containsText" dxfId="4" priority="3555" operator="containsText" text="등록">
      <formula>NOT(ISERROR(SEARCH(("등록"),(J60))))</formula>
    </cfRule>
  </conditionalFormatting>
  <conditionalFormatting sqref="D60">
    <cfRule type="containsText" dxfId="0" priority="3556" operator="containsText" text="거부">
      <formula>NOT(ISERROR(SEARCH(("거부"),(D60))))</formula>
    </cfRule>
  </conditionalFormatting>
  <conditionalFormatting sqref="D60">
    <cfRule type="containsText" dxfId="1" priority="3557" operator="containsText" text="리턴">
      <formula>NOT(ISERROR(SEARCH(("리턴"),(D60))))</formula>
    </cfRule>
  </conditionalFormatting>
  <conditionalFormatting sqref="D60">
    <cfRule type="containsText" dxfId="2" priority="3558" operator="containsText" text="실패">
      <formula>NOT(ISERROR(SEARCH(("실패"),(D60))))</formula>
    </cfRule>
  </conditionalFormatting>
  <conditionalFormatting sqref="D60">
    <cfRule type="containsText" dxfId="3" priority="3559" operator="containsText" text="관리">
      <formula>NOT(ISERROR(SEARCH(("관리"),(D60))))</formula>
    </cfRule>
  </conditionalFormatting>
  <conditionalFormatting sqref="D60">
    <cfRule type="containsText" dxfId="4" priority="3560" operator="containsText" text="등록">
      <formula>NOT(ISERROR(SEARCH(("등록"),(D60))))</formula>
    </cfRule>
  </conditionalFormatting>
  <conditionalFormatting sqref="D60">
    <cfRule type="containsText" dxfId="0" priority="3561" operator="containsText" text="거부">
      <formula>NOT(ISERROR(SEARCH(("거부"),(D60))))</formula>
    </cfRule>
  </conditionalFormatting>
  <conditionalFormatting sqref="D60">
    <cfRule type="containsText" dxfId="1" priority="3562" operator="containsText" text="리턴">
      <formula>NOT(ISERROR(SEARCH(("리턴"),(D60))))</formula>
    </cfRule>
  </conditionalFormatting>
  <conditionalFormatting sqref="D60">
    <cfRule type="containsText" dxfId="2" priority="3563" operator="containsText" text="실패">
      <formula>NOT(ISERROR(SEARCH(("실패"),(D60))))</formula>
    </cfRule>
  </conditionalFormatting>
  <conditionalFormatting sqref="D60">
    <cfRule type="containsText" dxfId="3" priority="3564" operator="containsText" text="관리">
      <formula>NOT(ISERROR(SEARCH(("관리"),(D60))))</formula>
    </cfRule>
  </conditionalFormatting>
  <conditionalFormatting sqref="D60">
    <cfRule type="containsText" dxfId="4" priority="3565" operator="containsText" text="등록">
      <formula>NOT(ISERROR(SEARCH(("등록"),(D60))))</formula>
    </cfRule>
  </conditionalFormatting>
  <conditionalFormatting sqref="A70">
    <cfRule type="containsText" dxfId="0" priority="3566" operator="containsText" text="거부">
      <formula>NOT(ISERROR(SEARCH(("거부"),(A70))))</formula>
    </cfRule>
  </conditionalFormatting>
  <conditionalFormatting sqref="A70">
    <cfRule type="containsText" dxfId="1" priority="3567" operator="containsText" text="리턴">
      <formula>NOT(ISERROR(SEARCH(("리턴"),(A70))))</formula>
    </cfRule>
  </conditionalFormatting>
  <conditionalFormatting sqref="A70">
    <cfRule type="containsText" dxfId="2" priority="3568" operator="containsText" text="실패">
      <formula>NOT(ISERROR(SEARCH(("실패"),(A70))))</formula>
    </cfRule>
  </conditionalFormatting>
  <conditionalFormatting sqref="A70">
    <cfRule type="containsText" dxfId="3" priority="3569" operator="containsText" text="관리">
      <formula>NOT(ISERROR(SEARCH(("관리"),(A70))))</formula>
    </cfRule>
  </conditionalFormatting>
  <conditionalFormatting sqref="A70">
    <cfRule type="containsText" dxfId="4" priority="3570" operator="containsText" text="등록">
      <formula>NOT(ISERROR(SEARCH(("등록"),(A70))))</formula>
    </cfRule>
  </conditionalFormatting>
  <conditionalFormatting sqref="F9 H9">
    <cfRule type="containsText" dxfId="0" priority="3571" operator="containsText" text="거부">
      <formula>NOT(ISERROR(SEARCH(("거부"),(F9))))</formula>
    </cfRule>
  </conditionalFormatting>
  <conditionalFormatting sqref="F9 H9">
    <cfRule type="containsText" dxfId="1" priority="3572" operator="containsText" text="리턴">
      <formula>NOT(ISERROR(SEARCH(("리턴"),(F9))))</formula>
    </cfRule>
  </conditionalFormatting>
  <conditionalFormatting sqref="F9 H9">
    <cfRule type="containsText" dxfId="2" priority="3573" operator="containsText" text="실패">
      <formula>NOT(ISERROR(SEARCH(("실패"),(F9))))</formula>
    </cfRule>
  </conditionalFormatting>
  <conditionalFormatting sqref="F9 H9">
    <cfRule type="containsText" dxfId="3" priority="3574" operator="containsText" text="관리">
      <formula>NOT(ISERROR(SEARCH(("관리"),(F9))))</formula>
    </cfRule>
  </conditionalFormatting>
  <conditionalFormatting sqref="F9 H9">
    <cfRule type="containsText" dxfId="4" priority="3575" operator="containsText" text="등록">
      <formula>NOT(ISERROR(SEARCH(("등록"),(F9))))</formula>
    </cfRule>
  </conditionalFormatting>
  <conditionalFormatting sqref="E9">
    <cfRule type="containsText" dxfId="0" priority="3576" operator="containsText" text="거부">
      <formula>NOT(ISERROR(SEARCH(("거부"),(E9))))</formula>
    </cfRule>
  </conditionalFormatting>
  <conditionalFormatting sqref="E9">
    <cfRule type="containsText" dxfId="1" priority="3577" operator="containsText" text="리턴">
      <formula>NOT(ISERROR(SEARCH(("리턴"),(E9))))</formula>
    </cfRule>
  </conditionalFormatting>
  <conditionalFormatting sqref="E9">
    <cfRule type="containsText" dxfId="2" priority="3578" operator="containsText" text="실패">
      <formula>NOT(ISERROR(SEARCH(("실패"),(E9))))</formula>
    </cfRule>
  </conditionalFormatting>
  <conditionalFormatting sqref="E9">
    <cfRule type="containsText" dxfId="3" priority="3579" operator="containsText" text="관리">
      <formula>NOT(ISERROR(SEARCH(("관리"),(E9))))</formula>
    </cfRule>
  </conditionalFormatting>
  <conditionalFormatting sqref="E9">
    <cfRule type="containsText" dxfId="4" priority="3580" operator="containsText" text="등록">
      <formula>NOT(ISERROR(SEARCH(("등록"),(E9))))</formula>
    </cfRule>
  </conditionalFormatting>
  <conditionalFormatting sqref="G9">
    <cfRule type="containsText" dxfId="0" priority="3581" operator="containsText" text="거부">
      <formula>NOT(ISERROR(SEARCH(("거부"),(G9))))</formula>
    </cfRule>
  </conditionalFormatting>
  <conditionalFormatting sqref="G9">
    <cfRule type="containsText" dxfId="1" priority="3582" operator="containsText" text="리턴">
      <formula>NOT(ISERROR(SEARCH(("리턴"),(G9))))</formula>
    </cfRule>
  </conditionalFormatting>
  <conditionalFormatting sqref="G9">
    <cfRule type="containsText" dxfId="2" priority="3583" operator="containsText" text="실패">
      <formula>NOT(ISERROR(SEARCH(("실패"),(G9))))</formula>
    </cfRule>
  </conditionalFormatting>
  <conditionalFormatting sqref="G9">
    <cfRule type="containsText" dxfId="3" priority="3584" operator="containsText" text="관리">
      <formula>NOT(ISERROR(SEARCH(("관리"),(G9))))</formula>
    </cfRule>
  </conditionalFormatting>
  <conditionalFormatting sqref="G9">
    <cfRule type="containsText" dxfId="4" priority="3585" operator="containsText" text="등록">
      <formula>NOT(ISERROR(SEARCH(("등록"),(G9))))</formula>
    </cfRule>
  </conditionalFormatting>
  <conditionalFormatting sqref="J9">
    <cfRule type="containsText" dxfId="0" priority="3586" operator="containsText" text="거부">
      <formula>NOT(ISERROR(SEARCH(("거부"),(J9))))</formula>
    </cfRule>
  </conditionalFormatting>
  <conditionalFormatting sqref="J9">
    <cfRule type="containsText" dxfId="1" priority="3587" operator="containsText" text="리턴">
      <formula>NOT(ISERROR(SEARCH(("리턴"),(J9))))</formula>
    </cfRule>
  </conditionalFormatting>
  <conditionalFormatting sqref="J9">
    <cfRule type="containsText" dxfId="2" priority="3588" operator="containsText" text="실패">
      <formula>NOT(ISERROR(SEARCH(("실패"),(J9))))</formula>
    </cfRule>
  </conditionalFormatting>
  <conditionalFormatting sqref="J9">
    <cfRule type="containsText" dxfId="3" priority="3589" operator="containsText" text="관리">
      <formula>NOT(ISERROR(SEARCH(("관리"),(J9))))</formula>
    </cfRule>
  </conditionalFormatting>
  <conditionalFormatting sqref="J9">
    <cfRule type="containsText" dxfId="4" priority="3590" operator="containsText" text="등록">
      <formula>NOT(ISERROR(SEARCH(("등록"),(J9))))</formula>
    </cfRule>
  </conditionalFormatting>
  <conditionalFormatting sqref="A9">
    <cfRule type="containsText" dxfId="0" priority="3591" operator="containsText" text="거부">
      <formula>NOT(ISERROR(SEARCH(("거부"),(A9))))</formula>
    </cfRule>
  </conditionalFormatting>
  <conditionalFormatting sqref="A9">
    <cfRule type="containsText" dxfId="1" priority="3592" operator="containsText" text="리턴">
      <formula>NOT(ISERROR(SEARCH(("리턴"),(A9))))</formula>
    </cfRule>
  </conditionalFormatting>
  <conditionalFormatting sqref="A9">
    <cfRule type="containsText" dxfId="2" priority="3593" operator="containsText" text="실패">
      <formula>NOT(ISERROR(SEARCH(("실패"),(A9))))</formula>
    </cfRule>
  </conditionalFormatting>
  <conditionalFormatting sqref="A9">
    <cfRule type="containsText" dxfId="3" priority="3594" operator="containsText" text="관리">
      <formula>NOT(ISERROR(SEARCH(("관리"),(A9))))</formula>
    </cfRule>
  </conditionalFormatting>
  <conditionalFormatting sqref="A9">
    <cfRule type="containsText" dxfId="4" priority="3595" operator="containsText" text="등록">
      <formula>NOT(ISERROR(SEARCH(("등록"),(A9))))</formula>
    </cfRule>
  </conditionalFormatting>
  <conditionalFormatting sqref="A9">
    <cfRule type="containsText" dxfId="0" priority="3596" operator="containsText" text="거부">
      <formula>NOT(ISERROR(SEARCH(("거부"),(A9))))</formula>
    </cfRule>
  </conditionalFormatting>
  <conditionalFormatting sqref="A9">
    <cfRule type="containsText" dxfId="1" priority="3597" operator="containsText" text="리턴">
      <formula>NOT(ISERROR(SEARCH(("리턴"),(A9))))</formula>
    </cfRule>
  </conditionalFormatting>
  <conditionalFormatting sqref="A9">
    <cfRule type="containsText" dxfId="2" priority="3598" operator="containsText" text="실패">
      <formula>NOT(ISERROR(SEARCH(("실패"),(A9))))</formula>
    </cfRule>
  </conditionalFormatting>
  <conditionalFormatting sqref="A9">
    <cfRule type="containsText" dxfId="3" priority="3599" operator="containsText" text="관리">
      <formula>NOT(ISERROR(SEARCH(("관리"),(A9))))</formula>
    </cfRule>
  </conditionalFormatting>
  <conditionalFormatting sqref="A9">
    <cfRule type="containsText" dxfId="4" priority="3600" operator="containsText" text="등록">
      <formula>NOT(ISERROR(SEARCH(("등록"),(A9))))</formula>
    </cfRule>
  </conditionalFormatting>
  <conditionalFormatting sqref="A9">
    <cfRule type="containsText" dxfId="0" priority="3601" operator="containsText" text="거부">
      <formula>NOT(ISERROR(SEARCH(("거부"),(A9))))</formula>
    </cfRule>
  </conditionalFormatting>
  <conditionalFormatting sqref="A9">
    <cfRule type="containsText" dxfId="1" priority="3602" operator="containsText" text="리턴">
      <formula>NOT(ISERROR(SEARCH(("리턴"),(A9))))</formula>
    </cfRule>
  </conditionalFormatting>
  <conditionalFormatting sqref="A9">
    <cfRule type="containsText" dxfId="2" priority="3603" operator="containsText" text="실패">
      <formula>NOT(ISERROR(SEARCH(("실패"),(A9))))</formula>
    </cfRule>
  </conditionalFormatting>
  <conditionalFormatting sqref="A9">
    <cfRule type="containsText" dxfId="3" priority="3604" operator="containsText" text="관리">
      <formula>NOT(ISERROR(SEARCH(("관리"),(A9))))</formula>
    </cfRule>
  </conditionalFormatting>
  <conditionalFormatting sqref="A9">
    <cfRule type="containsText" dxfId="4" priority="3605" operator="containsText" text="등록">
      <formula>NOT(ISERROR(SEARCH(("등록"),(A9))))</formula>
    </cfRule>
  </conditionalFormatting>
  <conditionalFormatting sqref="A9">
    <cfRule type="containsText" dxfId="0" priority="3606" operator="containsText" text="거부">
      <formula>NOT(ISERROR(SEARCH(("거부"),(A9))))</formula>
    </cfRule>
  </conditionalFormatting>
  <conditionalFormatting sqref="A9">
    <cfRule type="containsText" dxfId="1" priority="3607" operator="containsText" text="리턴">
      <formula>NOT(ISERROR(SEARCH(("리턴"),(A9))))</formula>
    </cfRule>
  </conditionalFormatting>
  <conditionalFormatting sqref="A9">
    <cfRule type="containsText" dxfId="2" priority="3608" operator="containsText" text="실패">
      <formula>NOT(ISERROR(SEARCH(("실패"),(A9))))</formula>
    </cfRule>
  </conditionalFormatting>
  <conditionalFormatting sqref="A9">
    <cfRule type="containsText" dxfId="3" priority="3609" operator="containsText" text="관리">
      <formula>NOT(ISERROR(SEARCH(("관리"),(A9))))</formula>
    </cfRule>
  </conditionalFormatting>
  <conditionalFormatting sqref="A9">
    <cfRule type="containsText" dxfId="4" priority="3610" operator="containsText" text="등록">
      <formula>NOT(ISERROR(SEARCH(("등록"),(A9))))</formula>
    </cfRule>
  </conditionalFormatting>
  <conditionalFormatting sqref="E5">
    <cfRule type="containsText" dxfId="0" priority="3611" operator="containsText" text="거부">
      <formula>NOT(ISERROR(SEARCH(("거부"),(E5))))</formula>
    </cfRule>
  </conditionalFormatting>
  <conditionalFormatting sqref="E5">
    <cfRule type="containsText" dxfId="1" priority="3612" operator="containsText" text="리턴">
      <formula>NOT(ISERROR(SEARCH(("리턴"),(E5))))</formula>
    </cfRule>
  </conditionalFormatting>
  <conditionalFormatting sqref="E5">
    <cfRule type="containsText" dxfId="2" priority="3613" operator="containsText" text="실패">
      <formula>NOT(ISERROR(SEARCH(("실패"),(E5))))</formula>
    </cfRule>
  </conditionalFormatting>
  <conditionalFormatting sqref="E5">
    <cfRule type="containsText" dxfId="3" priority="3614" operator="containsText" text="관리">
      <formula>NOT(ISERROR(SEARCH(("관리"),(E5))))</formula>
    </cfRule>
  </conditionalFormatting>
  <conditionalFormatting sqref="E5">
    <cfRule type="containsText" dxfId="4" priority="3615" operator="containsText" text="등록">
      <formula>NOT(ISERROR(SEARCH(("등록"),(E5))))</formula>
    </cfRule>
  </conditionalFormatting>
  <conditionalFormatting sqref="H7">
    <cfRule type="containsText" dxfId="0" priority="3616" operator="containsText" text="거부">
      <formula>NOT(ISERROR(SEARCH(("거부"),(H7))))</formula>
    </cfRule>
  </conditionalFormatting>
  <conditionalFormatting sqref="H7">
    <cfRule type="containsText" dxfId="1" priority="3617" operator="containsText" text="리턴">
      <formula>NOT(ISERROR(SEARCH(("리턴"),(H7))))</formula>
    </cfRule>
  </conditionalFormatting>
  <conditionalFormatting sqref="H7">
    <cfRule type="containsText" dxfId="2" priority="3618" operator="containsText" text="실패">
      <formula>NOT(ISERROR(SEARCH(("실패"),(H7))))</formula>
    </cfRule>
  </conditionalFormatting>
  <conditionalFormatting sqref="H7">
    <cfRule type="containsText" dxfId="3" priority="3619" operator="containsText" text="관리">
      <formula>NOT(ISERROR(SEARCH(("관리"),(H7))))</formula>
    </cfRule>
  </conditionalFormatting>
  <conditionalFormatting sqref="H7">
    <cfRule type="containsText" dxfId="4" priority="3620" operator="containsText" text="등록">
      <formula>NOT(ISERROR(SEARCH(("등록"),(H7))))</formula>
    </cfRule>
  </conditionalFormatting>
  <conditionalFormatting sqref="G7">
    <cfRule type="containsText" dxfId="0" priority="3621" operator="containsText" text="거부">
      <formula>NOT(ISERROR(SEARCH(("거부"),(G7))))</formula>
    </cfRule>
  </conditionalFormatting>
  <conditionalFormatting sqref="G7">
    <cfRule type="containsText" dxfId="1" priority="3622" operator="containsText" text="리턴">
      <formula>NOT(ISERROR(SEARCH(("리턴"),(G7))))</formula>
    </cfRule>
  </conditionalFormatting>
  <conditionalFormatting sqref="G7">
    <cfRule type="containsText" dxfId="2" priority="3623" operator="containsText" text="실패">
      <formula>NOT(ISERROR(SEARCH(("실패"),(G7))))</formula>
    </cfRule>
  </conditionalFormatting>
  <conditionalFormatting sqref="G7">
    <cfRule type="containsText" dxfId="3" priority="3624" operator="containsText" text="관리">
      <formula>NOT(ISERROR(SEARCH(("관리"),(G7))))</formula>
    </cfRule>
  </conditionalFormatting>
  <conditionalFormatting sqref="G7">
    <cfRule type="containsText" dxfId="4" priority="3625" operator="containsText" text="등록">
      <formula>NOT(ISERROR(SEARCH(("등록"),(G7))))</formula>
    </cfRule>
  </conditionalFormatting>
  <conditionalFormatting sqref="G8">
    <cfRule type="containsText" dxfId="0" priority="3626" operator="containsText" text="거부">
      <formula>NOT(ISERROR(SEARCH(("거부"),(G8))))</formula>
    </cfRule>
  </conditionalFormatting>
  <conditionalFormatting sqref="G8">
    <cfRule type="containsText" dxfId="1" priority="3627" operator="containsText" text="리턴">
      <formula>NOT(ISERROR(SEARCH(("리턴"),(G8))))</formula>
    </cfRule>
  </conditionalFormatting>
  <conditionalFormatting sqref="G8">
    <cfRule type="containsText" dxfId="2" priority="3628" operator="containsText" text="실패">
      <formula>NOT(ISERROR(SEARCH(("실패"),(G8))))</formula>
    </cfRule>
  </conditionalFormatting>
  <conditionalFormatting sqref="G8">
    <cfRule type="containsText" dxfId="3" priority="3629" operator="containsText" text="관리">
      <formula>NOT(ISERROR(SEARCH(("관리"),(G8))))</formula>
    </cfRule>
  </conditionalFormatting>
  <conditionalFormatting sqref="G8">
    <cfRule type="containsText" dxfId="4" priority="3630" operator="containsText" text="등록">
      <formula>NOT(ISERROR(SEARCH(("등록"),(G8))))</formula>
    </cfRule>
  </conditionalFormatting>
  <conditionalFormatting sqref="G8">
    <cfRule type="containsText" dxfId="0" priority="3631" operator="containsText" text="거부">
      <formula>NOT(ISERROR(SEARCH(("거부"),(G8))))</formula>
    </cfRule>
  </conditionalFormatting>
  <conditionalFormatting sqref="G8">
    <cfRule type="containsText" dxfId="1" priority="3632" operator="containsText" text="리턴">
      <formula>NOT(ISERROR(SEARCH(("리턴"),(G8))))</formula>
    </cfRule>
  </conditionalFormatting>
  <conditionalFormatting sqref="G8">
    <cfRule type="containsText" dxfId="2" priority="3633" operator="containsText" text="실패">
      <formula>NOT(ISERROR(SEARCH(("실패"),(G8))))</formula>
    </cfRule>
  </conditionalFormatting>
  <conditionalFormatting sqref="G8">
    <cfRule type="containsText" dxfId="3" priority="3634" operator="containsText" text="관리">
      <formula>NOT(ISERROR(SEARCH(("관리"),(G8))))</formula>
    </cfRule>
  </conditionalFormatting>
  <conditionalFormatting sqref="G8">
    <cfRule type="containsText" dxfId="4" priority="3635" operator="containsText" text="등록">
      <formula>NOT(ISERROR(SEARCH(("등록"),(G8))))</formula>
    </cfRule>
  </conditionalFormatting>
  <conditionalFormatting sqref="A11">
    <cfRule type="containsText" dxfId="0" priority="3636" operator="containsText" text="거부">
      <formula>NOT(ISERROR(SEARCH(("거부"),(A11))))</formula>
    </cfRule>
  </conditionalFormatting>
  <conditionalFormatting sqref="A11">
    <cfRule type="containsText" dxfId="1" priority="3637" operator="containsText" text="리턴">
      <formula>NOT(ISERROR(SEARCH(("리턴"),(A11))))</formula>
    </cfRule>
  </conditionalFormatting>
  <conditionalFormatting sqref="A11">
    <cfRule type="containsText" dxfId="2" priority="3638" operator="containsText" text="실패">
      <formula>NOT(ISERROR(SEARCH(("실패"),(A11))))</formula>
    </cfRule>
  </conditionalFormatting>
  <conditionalFormatting sqref="A11">
    <cfRule type="containsText" dxfId="3" priority="3639" operator="containsText" text="관리">
      <formula>NOT(ISERROR(SEARCH(("관리"),(A11))))</formula>
    </cfRule>
  </conditionalFormatting>
  <conditionalFormatting sqref="A11">
    <cfRule type="containsText" dxfId="4" priority="3640" operator="containsText" text="등록">
      <formula>NOT(ISERROR(SEARCH(("등록"),(A11))))</formula>
    </cfRule>
  </conditionalFormatting>
  <conditionalFormatting sqref="A11">
    <cfRule type="containsText" dxfId="0" priority="3641" operator="containsText" text="거부">
      <formula>NOT(ISERROR(SEARCH(("거부"),(A11))))</formula>
    </cfRule>
  </conditionalFormatting>
  <conditionalFormatting sqref="A11">
    <cfRule type="containsText" dxfId="1" priority="3642" operator="containsText" text="리턴">
      <formula>NOT(ISERROR(SEARCH(("리턴"),(A11))))</formula>
    </cfRule>
  </conditionalFormatting>
  <conditionalFormatting sqref="A11">
    <cfRule type="containsText" dxfId="2" priority="3643" operator="containsText" text="실패">
      <formula>NOT(ISERROR(SEARCH(("실패"),(A11))))</formula>
    </cfRule>
  </conditionalFormatting>
  <conditionalFormatting sqref="A11">
    <cfRule type="containsText" dxfId="3" priority="3644" operator="containsText" text="관리">
      <formula>NOT(ISERROR(SEARCH(("관리"),(A11))))</formula>
    </cfRule>
  </conditionalFormatting>
  <conditionalFormatting sqref="A11">
    <cfRule type="containsText" dxfId="4" priority="3645" operator="containsText" text="등록">
      <formula>NOT(ISERROR(SEARCH(("등록"),(A11))))</formula>
    </cfRule>
  </conditionalFormatting>
  <conditionalFormatting sqref="A11">
    <cfRule type="containsText" dxfId="0" priority="3646" operator="containsText" text="거부">
      <formula>NOT(ISERROR(SEARCH(("거부"),(A11))))</formula>
    </cfRule>
  </conditionalFormatting>
  <conditionalFormatting sqref="A11">
    <cfRule type="containsText" dxfId="1" priority="3647" operator="containsText" text="리턴">
      <formula>NOT(ISERROR(SEARCH(("리턴"),(A11))))</formula>
    </cfRule>
  </conditionalFormatting>
  <conditionalFormatting sqref="A11">
    <cfRule type="containsText" dxfId="2" priority="3648" operator="containsText" text="실패">
      <formula>NOT(ISERROR(SEARCH(("실패"),(A11))))</formula>
    </cfRule>
  </conditionalFormatting>
  <conditionalFormatting sqref="A11">
    <cfRule type="containsText" dxfId="3" priority="3649" operator="containsText" text="관리">
      <formula>NOT(ISERROR(SEARCH(("관리"),(A11))))</formula>
    </cfRule>
  </conditionalFormatting>
  <conditionalFormatting sqref="A11">
    <cfRule type="containsText" dxfId="4" priority="3650" operator="containsText" text="등록">
      <formula>NOT(ISERROR(SEARCH(("등록"),(A11))))</formula>
    </cfRule>
  </conditionalFormatting>
  <conditionalFormatting sqref="A11">
    <cfRule type="containsText" dxfId="0" priority="3651" operator="containsText" text="거부">
      <formula>NOT(ISERROR(SEARCH(("거부"),(A11))))</formula>
    </cfRule>
  </conditionalFormatting>
  <conditionalFormatting sqref="A11">
    <cfRule type="containsText" dxfId="1" priority="3652" operator="containsText" text="리턴">
      <formula>NOT(ISERROR(SEARCH(("리턴"),(A11))))</formula>
    </cfRule>
  </conditionalFormatting>
  <conditionalFormatting sqref="A11">
    <cfRule type="containsText" dxfId="2" priority="3653" operator="containsText" text="실패">
      <formula>NOT(ISERROR(SEARCH(("실패"),(A11))))</formula>
    </cfRule>
  </conditionalFormatting>
  <conditionalFormatting sqref="A11">
    <cfRule type="containsText" dxfId="3" priority="3654" operator="containsText" text="관리">
      <formula>NOT(ISERROR(SEARCH(("관리"),(A11))))</formula>
    </cfRule>
  </conditionalFormatting>
  <conditionalFormatting sqref="A11">
    <cfRule type="containsText" dxfId="4" priority="3655" operator="containsText" text="등록">
      <formula>NOT(ISERROR(SEARCH(("등록"),(A11))))</formula>
    </cfRule>
  </conditionalFormatting>
  <conditionalFormatting sqref="G10:G11">
    <cfRule type="containsText" dxfId="0" priority="3656" operator="containsText" text="거부">
      <formula>NOT(ISERROR(SEARCH(("거부"),(G10))))</formula>
    </cfRule>
  </conditionalFormatting>
  <conditionalFormatting sqref="G10:G11">
    <cfRule type="containsText" dxfId="1" priority="3657" operator="containsText" text="리턴">
      <formula>NOT(ISERROR(SEARCH(("리턴"),(G10))))</formula>
    </cfRule>
  </conditionalFormatting>
  <conditionalFormatting sqref="G10:G11">
    <cfRule type="containsText" dxfId="2" priority="3658" operator="containsText" text="실패">
      <formula>NOT(ISERROR(SEARCH(("실패"),(G10))))</formula>
    </cfRule>
  </conditionalFormatting>
  <conditionalFormatting sqref="G10:G11">
    <cfRule type="containsText" dxfId="3" priority="3659" operator="containsText" text="관리">
      <formula>NOT(ISERROR(SEARCH(("관리"),(G10))))</formula>
    </cfRule>
  </conditionalFormatting>
  <conditionalFormatting sqref="G10:G11">
    <cfRule type="containsText" dxfId="4" priority="3660" operator="containsText" text="등록">
      <formula>NOT(ISERROR(SEARCH(("등록"),(G10))))</formula>
    </cfRule>
  </conditionalFormatting>
  <conditionalFormatting sqref="G10:G11">
    <cfRule type="containsText" dxfId="0" priority="3661" operator="containsText" text="거부">
      <formula>NOT(ISERROR(SEARCH(("거부"),(G10))))</formula>
    </cfRule>
  </conditionalFormatting>
  <conditionalFormatting sqref="G10:G11">
    <cfRule type="containsText" dxfId="1" priority="3662" operator="containsText" text="리턴">
      <formula>NOT(ISERROR(SEARCH(("리턴"),(G10))))</formula>
    </cfRule>
  </conditionalFormatting>
  <conditionalFormatting sqref="G10:G11">
    <cfRule type="containsText" dxfId="2" priority="3663" operator="containsText" text="실패">
      <formula>NOT(ISERROR(SEARCH(("실패"),(G10))))</formula>
    </cfRule>
  </conditionalFormatting>
  <conditionalFormatting sqref="G10:G11">
    <cfRule type="containsText" dxfId="3" priority="3664" operator="containsText" text="관리">
      <formula>NOT(ISERROR(SEARCH(("관리"),(G10))))</formula>
    </cfRule>
  </conditionalFormatting>
  <conditionalFormatting sqref="G10:G11">
    <cfRule type="containsText" dxfId="4" priority="3665" operator="containsText" text="등록">
      <formula>NOT(ISERROR(SEARCH(("등록"),(G10))))</formula>
    </cfRule>
  </conditionalFormatting>
  <conditionalFormatting sqref="J11">
    <cfRule type="containsText" dxfId="0" priority="3666" operator="containsText" text="거부">
      <formula>NOT(ISERROR(SEARCH(("거부"),(J11))))</formula>
    </cfRule>
  </conditionalFormatting>
  <conditionalFormatting sqref="J11">
    <cfRule type="containsText" dxfId="1" priority="3667" operator="containsText" text="리턴">
      <formula>NOT(ISERROR(SEARCH(("리턴"),(J11))))</formula>
    </cfRule>
  </conditionalFormatting>
  <conditionalFormatting sqref="J11">
    <cfRule type="containsText" dxfId="2" priority="3668" operator="containsText" text="실패">
      <formula>NOT(ISERROR(SEARCH(("실패"),(J11))))</formula>
    </cfRule>
  </conditionalFormatting>
  <conditionalFormatting sqref="J11">
    <cfRule type="containsText" dxfId="3" priority="3669" operator="containsText" text="관리">
      <formula>NOT(ISERROR(SEARCH(("관리"),(J11))))</formula>
    </cfRule>
  </conditionalFormatting>
  <conditionalFormatting sqref="J11">
    <cfRule type="containsText" dxfId="4" priority="3670" operator="containsText" text="등록">
      <formula>NOT(ISERROR(SEARCH(("등록"),(J11))))</formula>
    </cfRule>
  </conditionalFormatting>
  <conditionalFormatting sqref="J18">
    <cfRule type="containsText" dxfId="0" priority="3671" operator="containsText" text="거부">
      <formula>NOT(ISERROR(SEARCH(("거부"),(J18))))</formula>
    </cfRule>
  </conditionalFormatting>
  <conditionalFormatting sqref="J18">
    <cfRule type="containsText" dxfId="1" priority="3672" operator="containsText" text="리턴">
      <formula>NOT(ISERROR(SEARCH(("리턴"),(J18))))</formula>
    </cfRule>
  </conditionalFormatting>
  <conditionalFormatting sqref="J18">
    <cfRule type="containsText" dxfId="2" priority="3673" operator="containsText" text="실패">
      <formula>NOT(ISERROR(SEARCH(("실패"),(J18))))</formula>
    </cfRule>
  </conditionalFormatting>
  <conditionalFormatting sqref="J18">
    <cfRule type="containsText" dxfId="3" priority="3674" operator="containsText" text="관리">
      <formula>NOT(ISERROR(SEARCH(("관리"),(J18))))</formula>
    </cfRule>
  </conditionalFormatting>
  <conditionalFormatting sqref="J18">
    <cfRule type="containsText" dxfId="4" priority="3675" operator="containsText" text="등록">
      <formula>NOT(ISERROR(SEARCH(("등록"),(J18))))</formula>
    </cfRule>
  </conditionalFormatting>
  <conditionalFormatting sqref="J18">
    <cfRule type="containsText" dxfId="0" priority="3676" operator="containsText" text="거부">
      <formula>NOT(ISERROR(SEARCH(("거부"),(J18))))</formula>
    </cfRule>
  </conditionalFormatting>
  <conditionalFormatting sqref="J18">
    <cfRule type="containsText" dxfId="1" priority="3677" operator="containsText" text="리턴">
      <formula>NOT(ISERROR(SEARCH(("리턴"),(J18))))</formula>
    </cfRule>
  </conditionalFormatting>
  <conditionalFormatting sqref="J18">
    <cfRule type="containsText" dxfId="2" priority="3678" operator="containsText" text="실패">
      <formula>NOT(ISERROR(SEARCH(("실패"),(J18))))</formula>
    </cfRule>
  </conditionalFormatting>
  <conditionalFormatting sqref="J18">
    <cfRule type="containsText" dxfId="3" priority="3679" operator="containsText" text="관리">
      <formula>NOT(ISERROR(SEARCH(("관리"),(J18))))</formula>
    </cfRule>
  </conditionalFormatting>
  <conditionalFormatting sqref="J18">
    <cfRule type="containsText" dxfId="4" priority="3680" operator="containsText" text="등록">
      <formula>NOT(ISERROR(SEARCH(("등록"),(J18))))</formula>
    </cfRule>
  </conditionalFormatting>
  <conditionalFormatting sqref="J18">
    <cfRule type="containsText" dxfId="0" priority="3681" operator="containsText" text="거부">
      <formula>NOT(ISERROR(SEARCH(("거부"),(J18))))</formula>
    </cfRule>
  </conditionalFormatting>
  <conditionalFormatting sqref="J18">
    <cfRule type="containsText" dxfId="1" priority="3682" operator="containsText" text="리턴">
      <formula>NOT(ISERROR(SEARCH(("리턴"),(J18))))</formula>
    </cfRule>
  </conditionalFormatting>
  <conditionalFormatting sqref="J18">
    <cfRule type="containsText" dxfId="2" priority="3683" operator="containsText" text="실패">
      <formula>NOT(ISERROR(SEARCH(("실패"),(J18))))</formula>
    </cfRule>
  </conditionalFormatting>
  <conditionalFormatting sqref="J18">
    <cfRule type="containsText" dxfId="3" priority="3684" operator="containsText" text="관리">
      <formula>NOT(ISERROR(SEARCH(("관리"),(J18))))</formula>
    </cfRule>
  </conditionalFormatting>
  <conditionalFormatting sqref="J18">
    <cfRule type="containsText" dxfId="4" priority="3685" operator="containsText" text="등록">
      <formula>NOT(ISERROR(SEARCH(("등록"),(J18))))</formula>
    </cfRule>
  </conditionalFormatting>
  <conditionalFormatting sqref="J18">
    <cfRule type="containsText" dxfId="0" priority="3686" operator="containsText" text="거부">
      <formula>NOT(ISERROR(SEARCH(("거부"),(J18))))</formula>
    </cfRule>
  </conditionalFormatting>
  <conditionalFormatting sqref="J18">
    <cfRule type="containsText" dxfId="1" priority="3687" operator="containsText" text="리턴">
      <formula>NOT(ISERROR(SEARCH(("리턴"),(J18))))</formula>
    </cfRule>
  </conditionalFormatting>
  <conditionalFormatting sqref="J18">
    <cfRule type="containsText" dxfId="2" priority="3688" operator="containsText" text="실패">
      <formula>NOT(ISERROR(SEARCH(("실패"),(J18))))</formula>
    </cfRule>
  </conditionalFormatting>
  <conditionalFormatting sqref="J18">
    <cfRule type="containsText" dxfId="3" priority="3689" operator="containsText" text="관리">
      <formula>NOT(ISERROR(SEARCH(("관리"),(J18))))</formula>
    </cfRule>
  </conditionalFormatting>
  <conditionalFormatting sqref="J18">
    <cfRule type="containsText" dxfId="4" priority="3690" operator="containsText" text="등록">
      <formula>NOT(ISERROR(SEARCH(("등록"),(J18))))</formula>
    </cfRule>
  </conditionalFormatting>
  <conditionalFormatting sqref="J18">
    <cfRule type="containsText" dxfId="0" priority="3691" operator="containsText" text="거부">
      <formula>NOT(ISERROR(SEARCH(("거부"),(J18))))</formula>
    </cfRule>
  </conditionalFormatting>
  <conditionalFormatting sqref="J18">
    <cfRule type="containsText" dxfId="1" priority="3692" operator="containsText" text="리턴">
      <formula>NOT(ISERROR(SEARCH(("리턴"),(J18))))</formula>
    </cfRule>
  </conditionalFormatting>
  <conditionalFormatting sqref="J18">
    <cfRule type="containsText" dxfId="2" priority="3693" operator="containsText" text="실패">
      <formula>NOT(ISERROR(SEARCH(("실패"),(J18))))</formula>
    </cfRule>
  </conditionalFormatting>
  <conditionalFormatting sqref="J18">
    <cfRule type="containsText" dxfId="3" priority="3694" operator="containsText" text="관리">
      <formula>NOT(ISERROR(SEARCH(("관리"),(J18))))</formula>
    </cfRule>
  </conditionalFormatting>
  <conditionalFormatting sqref="J18">
    <cfRule type="containsText" dxfId="4" priority="3695" operator="containsText" text="등록">
      <formula>NOT(ISERROR(SEARCH(("등록"),(J18))))</formula>
    </cfRule>
  </conditionalFormatting>
  <conditionalFormatting sqref="J18">
    <cfRule type="containsText" dxfId="0" priority="3696" operator="containsText" text="거부">
      <formula>NOT(ISERROR(SEARCH(("거부"),(J18))))</formula>
    </cfRule>
  </conditionalFormatting>
  <conditionalFormatting sqref="J18">
    <cfRule type="containsText" dxfId="1" priority="3697" operator="containsText" text="리턴">
      <formula>NOT(ISERROR(SEARCH(("리턴"),(J18))))</formula>
    </cfRule>
  </conditionalFormatting>
  <conditionalFormatting sqref="J18">
    <cfRule type="containsText" dxfId="2" priority="3698" operator="containsText" text="실패">
      <formula>NOT(ISERROR(SEARCH(("실패"),(J18))))</formula>
    </cfRule>
  </conditionalFormatting>
  <conditionalFormatting sqref="J18">
    <cfRule type="containsText" dxfId="3" priority="3699" operator="containsText" text="관리">
      <formula>NOT(ISERROR(SEARCH(("관리"),(J18))))</formula>
    </cfRule>
  </conditionalFormatting>
  <conditionalFormatting sqref="J18">
    <cfRule type="containsText" dxfId="4" priority="3700" operator="containsText" text="등록">
      <formula>NOT(ISERROR(SEARCH(("등록"),(J18))))</formula>
    </cfRule>
  </conditionalFormatting>
  <conditionalFormatting sqref="J18">
    <cfRule type="containsText" dxfId="0" priority="3701" operator="containsText" text="거부">
      <formula>NOT(ISERROR(SEARCH(("거부"),(J18))))</formula>
    </cfRule>
  </conditionalFormatting>
  <conditionalFormatting sqref="J18">
    <cfRule type="containsText" dxfId="1" priority="3702" operator="containsText" text="리턴">
      <formula>NOT(ISERROR(SEARCH(("리턴"),(J18))))</formula>
    </cfRule>
  </conditionalFormatting>
  <conditionalFormatting sqref="J18">
    <cfRule type="containsText" dxfId="2" priority="3703" operator="containsText" text="실패">
      <formula>NOT(ISERROR(SEARCH(("실패"),(J18))))</formula>
    </cfRule>
  </conditionalFormatting>
  <conditionalFormatting sqref="J18">
    <cfRule type="containsText" dxfId="3" priority="3704" operator="containsText" text="관리">
      <formula>NOT(ISERROR(SEARCH(("관리"),(J18))))</formula>
    </cfRule>
  </conditionalFormatting>
  <conditionalFormatting sqref="J18">
    <cfRule type="containsText" dxfId="4" priority="3705" operator="containsText" text="등록">
      <formula>NOT(ISERROR(SEARCH(("등록"),(J18))))</formula>
    </cfRule>
  </conditionalFormatting>
  <conditionalFormatting sqref="J18">
    <cfRule type="containsText" dxfId="0" priority="3706" operator="containsText" text="거부">
      <formula>NOT(ISERROR(SEARCH(("거부"),(J18))))</formula>
    </cfRule>
  </conditionalFormatting>
  <conditionalFormatting sqref="J18">
    <cfRule type="containsText" dxfId="1" priority="3707" operator="containsText" text="리턴">
      <formula>NOT(ISERROR(SEARCH(("리턴"),(J18))))</formula>
    </cfRule>
  </conditionalFormatting>
  <conditionalFormatting sqref="J18">
    <cfRule type="containsText" dxfId="2" priority="3708" operator="containsText" text="실패">
      <formula>NOT(ISERROR(SEARCH(("실패"),(J18))))</formula>
    </cfRule>
  </conditionalFormatting>
  <conditionalFormatting sqref="J18">
    <cfRule type="containsText" dxfId="3" priority="3709" operator="containsText" text="관리">
      <formula>NOT(ISERROR(SEARCH(("관리"),(J18))))</formula>
    </cfRule>
  </conditionalFormatting>
  <conditionalFormatting sqref="J18">
    <cfRule type="containsText" dxfId="4" priority="3710" operator="containsText" text="등록">
      <formula>NOT(ISERROR(SEARCH(("등록"),(J18))))</formula>
    </cfRule>
  </conditionalFormatting>
  <conditionalFormatting sqref="J18">
    <cfRule type="containsText" dxfId="0" priority="3711" operator="containsText" text="거부">
      <formula>NOT(ISERROR(SEARCH(("거부"),(J18))))</formula>
    </cfRule>
  </conditionalFormatting>
  <conditionalFormatting sqref="J18">
    <cfRule type="containsText" dxfId="1" priority="3712" operator="containsText" text="리턴">
      <formula>NOT(ISERROR(SEARCH(("리턴"),(J18))))</formula>
    </cfRule>
  </conditionalFormatting>
  <conditionalFormatting sqref="J18">
    <cfRule type="containsText" dxfId="2" priority="3713" operator="containsText" text="실패">
      <formula>NOT(ISERROR(SEARCH(("실패"),(J18))))</formula>
    </cfRule>
  </conditionalFormatting>
  <conditionalFormatting sqref="J18">
    <cfRule type="containsText" dxfId="3" priority="3714" operator="containsText" text="관리">
      <formula>NOT(ISERROR(SEARCH(("관리"),(J18))))</formula>
    </cfRule>
  </conditionalFormatting>
  <conditionalFormatting sqref="J18">
    <cfRule type="containsText" dxfId="4" priority="3715" operator="containsText" text="등록">
      <formula>NOT(ISERROR(SEARCH(("등록"),(J18))))</formula>
    </cfRule>
  </conditionalFormatting>
  <conditionalFormatting sqref="A19:A20">
    <cfRule type="containsText" dxfId="0" priority="3716" operator="containsText" text="거부">
      <formula>NOT(ISERROR(SEARCH(("거부"),(A19))))</formula>
    </cfRule>
  </conditionalFormatting>
  <conditionalFormatting sqref="A19:A20">
    <cfRule type="containsText" dxfId="1" priority="3717" operator="containsText" text="리턴">
      <formula>NOT(ISERROR(SEARCH(("리턴"),(A19))))</formula>
    </cfRule>
  </conditionalFormatting>
  <conditionalFormatting sqref="A19:A20">
    <cfRule type="containsText" dxfId="2" priority="3718" operator="containsText" text="실패">
      <formula>NOT(ISERROR(SEARCH(("실패"),(A19))))</formula>
    </cfRule>
  </conditionalFormatting>
  <conditionalFormatting sqref="A19:A20">
    <cfRule type="containsText" dxfId="3" priority="3719" operator="containsText" text="관리">
      <formula>NOT(ISERROR(SEARCH(("관리"),(A19))))</formula>
    </cfRule>
  </conditionalFormatting>
  <conditionalFormatting sqref="A19:A20">
    <cfRule type="containsText" dxfId="4" priority="3720" operator="containsText" text="등록">
      <formula>NOT(ISERROR(SEARCH(("등록"),(A19))))</formula>
    </cfRule>
  </conditionalFormatting>
  <conditionalFormatting sqref="A19:A20">
    <cfRule type="containsText" dxfId="0" priority="3721" operator="containsText" text="거부">
      <formula>NOT(ISERROR(SEARCH(("거부"),(A19))))</formula>
    </cfRule>
  </conditionalFormatting>
  <conditionalFormatting sqref="A19:A20">
    <cfRule type="containsText" dxfId="1" priority="3722" operator="containsText" text="리턴">
      <formula>NOT(ISERROR(SEARCH(("리턴"),(A19))))</formula>
    </cfRule>
  </conditionalFormatting>
  <conditionalFormatting sqref="A19:A20">
    <cfRule type="containsText" dxfId="2" priority="3723" operator="containsText" text="실패">
      <formula>NOT(ISERROR(SEARCH(("실패"),(A19))))</formula>
    </cfRule>
  </conditionalFormatting>
  <conditionalFormatting sqref="A19:A20">
    <cfRule type="containsText" dxfId="3" priority="3724" operator="containsText" text="관리">
      <formula>NOT(ISERROR(SEARCH(("관리"),(A19))))</formula>
    </cfRule>
  </conditionalFormatting>
  <conditionalFormatting sqref="A19:A20">
    <cfRule type="containsText" dxfId="4" priority="3725" operator="containsText" text="등록">
      <formula>NOT(ISERROR(SEARCH(("등록"),(A19))))</formula>
    </cfRule>
  </conditionalFormatting>
  <conditionalFormatting sqref="A19:A20">
    <cfRule type="containsText" dxfId="0" priority="3726" operator="containsText" text="거부">
      <formula>NOT(ISERROR(SEARCH(("거부"),(A19))))</formula>
    </cfRule>
  </conditionalFormatting>
  <conditionalFormatting sqref="A19:A20">
    <cfRule type="containsText" dxfId="1" priority="3727" operator="containsText" text="리턴">
      <formula>NOT(ISERROR(SEARCH(("리턴"),(A19))))</formula>
    </cfRule>
  </conditionalFormatting>
  <conditionalFormatting sqref="A19:A20">
    <cfRule type="containsText" dxfId="2" priority="3728" operator="containsText" text="실패">
      <formula>NOT(ISERROR(SEARCH(("실패"),(A19))))</formula>
    </cfRule>
  </conditionalFormatting>
  <conditionalFormatting sqref="A19:A20">
    <cfRule type="containsText" dxfId="3" priority="3729" operator="containsText" text="관리">
      <formula>NOT(ISERROR(SEARCH(("관리"),(A19))))</formula>
    </cfRule>
  </conditionalFormatting>
  <conditionalFormatting sqref="A19:A20">
    <cfRule type="containsText" dxfId="4" priority="3730" operator="containsText" text="등록">
      <formula>NOT(ISERROR(SEARCH(("등록"),(A19))))</formula>
    </cfRule>
  </conditionalFormatting>
  <conditionalFormatting sqref="A19:A20">
    <cfRule type="containsText" dxfId="0" priority="3731" operator="containsText" text="거부">
      <formula>NOT(ISERROR(SEARCH(("거부"),(A19))))</formula>
    </cfRule>
  </conditionalFormatting>
  <conditionalFormatting sqref="A19:A20">
    <cfRule type="containsText" dxfId="1" priority="3732" operator="containsText" text="리턴">
      <formula>NOT(ISERROR(SEARCH(("리턴"),(A19))))</formula>
    </cfRule>
  </conditionalFormatting>
  <conditionalFormatting sqref="A19:A20">
    <cfRule type="containsText" dxfId="2" priority="3733" operator="containsText" text="실패">
      <formula>NOT(ISERROR(SEARCH(("실패"),(A19))))</formula>
    </cfRule>
  </conditionalFormatting>
  <conditionalFormatting sqref="A19:A20">
    <cfRule type="containsText" dxfId="3" priority="3734" operator="containsText" text="관리">
      <formula>NOT(ISERROR(SEARCH(("관리"),(A19))))</formula>
    </cfRule>
  </conditionalFormatting>
  <conditionalFormatting sqref="A19:A20">
    <cfRule type="containsText" dxfId="4" priority="3735" operator="containsText" text="등록">
      <formula>NOT(ISERROR(SEARCH(("등록"),(A19))))</formula>
    </cfRule>
  </conditionalFormatting>
  <conditionalFormatting sqref="A19:A20">
    <cfRule type="containsText" dxfId="0" priority="3736" operator="containsText" text="거부">
      <formula>NOT(ISERROR(SEARCH(("거부"),(A19))))</formula>
    </cfRule>
  </conditionalFormatting>
  <conditionalFormatting sqref="A19:A20">
    <cfRule type="containsText" dxfId="1" priority="3737" operator="containsText" text="리턴">
      <formula>NOT(ISERROR(SEARCH(("리턴"),(A19))))</formula>
    </cfRule>
  </conditionalFormatting>
  <conditionalFormatting sqref="A19:A20">
    <cfRule type="containsText" dxfId="2" priority="3738" operator="containsText" text="실패">
      <formula>NOT(ISERROR(SEARCH(("실패"),(A19))))</formula>
    </cfRule>
  </conditionalFormatting>
  <conditionalFormatting sqref="A19:A20">
    <cfRule type="containsText" dxfId="3" priority="3739" operator="containsText" text="관리">
      <formula>NOT(ISERROR(SEARCH(("관리"),(A19))))</formula>
    </cfRule>
  </conditionalFormatting>
  <conditionalFormatting sqref="A19:A20">
    <cfRule type="containsText" dxfId="4" priority="3740" operator="containsText" text="등록">
      <formula>NOT(ISERROR(SEARCH(("등록"),(A19))))</formula>
    </cfRule>
  </conditionalFormatting>
  <conditionalFormatting sqref="A19:A20">
    <cfRule type="containsText" dxfId="0" priority="3741" operator="containsText" text="거부">
      <formula>NOT(ISERROR(SEARCH(("거부"),(A19))))</formula>
    </cfRule>
  </conditionalFormatting>
  <conditionalFormatting sqref="A19:A20">
    <cfRule type="containsText" dxfId="1" priority="3742" operator="containsText" text="리턴">
      <formula>NOT(ISERROR(SEARCH(("리턴"),(A19))))</formula>
    </cfRule>
  </conditionalFormatting>
  <conditionalFormatting sqref="A19:A20">
    <cfRule type="containsText" dxfId="2" priority="3743" operator="containsText" text="실패">
      <formula>NOT(ISERROR(SEARCH(("실패"),(A19))))</formula>
    </cfRule>
  </conditionalFormatting>
  <conditionalFormatting sqref="A19:A20">
    <cfRule type="containsText" dxfId="3" priority="3744" operator="containsText" text="관리">
      <formula>NOT(ISERROR(SEARCH(("관리"),(A19))))</formula>
    </cfRule>
  </conditionalFormatting>
  <conditionalFormatting sqref="A19:A20">
    <cfRule type="containsText" dxfId="4" priority="3745" operator="containsText" text="등록">
      <formula>NOT(ISERROR(SEARCH(("등록"),(A19))))</formula>
    </cfRule>
  </conditionalFormatting>
  <conditionalFormatting sqref="A19:A20">
    <cfRule type="containsText" dxfId="0" priority="3746" operator="containsText" text="거부">
      <formula>NOT(ISERROR(SEARCH(("거부"),(A19))))</formula>
    </cfRule>
  </conditionalFormatting>
  <conditionalFormatting sqref="A19:A20">
    <cfRule type="containsText" dxfId="1" priority="3747" operator="containsText" text="리턴">
      <formula>NOT(ISERROR(SEARCH(("리턴"),(A19))))</formula>
    </cfRule>
  </conditionalFormatting>
  <conditionalFormatting sqref="A19:A20">
    <cfRule type="containsText" dxfId="2" priority="3748" operator="containsText" text="실패">
      <formula>NOT(ISERROR(SEARCH(("실패"),(A19))))</formula>
    </cfRule>
  </conditionalFormatting>
  <conditionalFormatting sqref="A19:A20">
    <cfRule type="containsText" dxfId="3" priority="3749" operator="containsText" text="관리">
      <formula>NOT(ISERROR(SEARCH(("관리"),(A19))))</formula>
    </cfRule>
  </conditionalFormatting>
  <conditionalFormatting sqref="A19:A20">
    <cfRule type="containsText" dxfId="4" priority="3750" operator="containsText" text="등록">
      <formula>NOT(ISERROR(SEARCH(("등록"),(A19))))</formula>
    </cfRule>
  </conditionalFormatting>
  <conditionalFormatting sqref="A19:A20">
    <cfRule type="containsText" dxfId="0" priority="3751" operator="containsText" text="거부">
      <formula>NOT(ISERROR(SEARCH(("거부"),(A19))))</formula>
    </cfRule>
  </conditionalFormatting>
  <conditionalFormatting sqref="A19:A20">
    <cfRule type="containsText" dxfId="1" priority="3752" operator="containsText" text="리턴">
      <formula>NOT(ISERROR(SEARCH(("리턴"),(A19))))</formula>
    </cfRule>
  </conditionalFormatting>
  <conditionalFormatting sqref="A19:A20">
    <cfRule type="containsText" dxfId="2" priority="3753" operator="containsText" text="실패">
      <formula>NOT(ISERROR(SEARCH(("실패"),(A19))))</formula>
    </cfRule>
  </conditionalFormatting>
  <conditionalFormatting sqref="A19:A20">
    <cfRule type="containsText" dxfId="3" priority="3754" operator="containsText" text="관리">
      <formula>NOT(ISERROR(SEARCH(("관리"),(A19))))</formula>
    </cfRule>
  </conditionalFormatting>
  <conditionalFormatting sqref="A19:A20">
    <cfRule type="containsText" dxfId="4" priority="3755" operator="containsText" text="등록">
      <formula>NOT(ISERROR(SEARCH(("등록"),(A19))))</formula>
    </cfRule>
  </conditionalFormatting>
  <conditionalFormatting sqref="A19:A20">
    <cfRule type="containsText" dxfId="0" priority="3756" operator="containsText" text="거부">
      <formula>NOT(ISERROR(SEARCH(("거부"),(A19))))</formula>
    </cfRule>
  </conditionalFormatting>
  <conditionalFormatting sqref="A19:A20">
    <cfRule type="containsText" dxfId="1" priority="3757" operator="containsText" text="리턴">
      <formula>NOT(ISERROR(SEARCH(("리턴"),(A19))))</formula>
    </cfRule>
  </conditionalFormatting>
  <conditionalFormatting sqref="A19:A20">
    <cfRule type="containsText" dxfId="2" priority="3758" operator="containsText" text="실패">
      <formula>NOT(ISERROR(SEARCH(("실패"),(A19))))</formula>
    </cfRule>
  </conditionalFormatting>
  <conditionalFormatting sqref="A19:A20">
    <cfRule type="containsText" dxfId="3" priority="3759" operator="containsText" text="관리">
      <formula>NOT(ISERROR(SEARCH(("관리"),(A19))))</formula>
    </cfRule>
  </conditionalFormatting>
  <conditionalFormatting sqref="A19:A20">
    <cfRule type="containsText" dxfId="4" priority="3760" operator="containsText" text="등록">
      <formula>NOT(ISERROR(SEARCH(("등록"),(A19))))</formula>
    </cfRule>
  </conditionalFormatting>
  <conditionalFormatting sqref="A19:A20">
    <cfRule type="containsText" dxfId="0" priority="3761" operator="containsText" text="거부">
      <formula>NOT(ISERROR(SEARCH(("거부"),(A19))))</formula>
    </cfRule>
  </conditionalFormatting>
  <conditionalFormatting sqref="A19:A20">
    <cfRule type="containsText" dxfId="1" priority="3762" operator="containsText" text="리턴">
      <formula>NOT(ISERROR(SEARCH(("리턴"),(A19))))</formula>
    </cfRule>
  </conditionalFormatting>
  <conditionalFormatting sqref="A19:A20">
    <cfRule type="containsText" dxfId="2" priority="3763" operator="containsText" text="실패">
      <formula>NOT(ISERROR(SEARCH(("실패"),(A19))))</formula>
    </cfRule>
  </conditionalFormatting>
  <conditionalFormatting sqref="A19:A20">
    <cfRule type="containsText" dxfId="3" priority="3764" operator="containsText" text="관리">
      <formula>NOT(ISERROR(SEARCH(("관리"),(A19))))</formula>
    </cfRule>
  </conditionalFormatting>
  <conditionalFormatting sqref="A19:A20">
    <cfRule type="containsText" dxfId="4" priority="3765" operator="containsText" text="등록">
      <formula>NOT(ISERROR(SEARCH(("등록"),(A19))))</formula>
    </cfRule>
  </conditionalFormatting>
  <conditionalFormatting sqref="A19:A20">
    <cfRule type="containsText" dxfId="0" priority="3766" operator="containsText" text="거부">
      <formula>NOT(ISERROR(SEARCH(("거부"),(A19))))</formula>
    </cfRule>
  </conditionalFormatting>
  <conditionalFormatting sqref="A19:A20">
    <cfRule type="containsText" dxfId="1" priority="3767" operator="containsText" text="리턴">
      <formula>NOT(ISERROR(SEARCH(("리턴"),(A19))))</formula>
    </cfRule>
  </conditionalFormatting>
  <conditionalFormatting sqref="A19:A20">
    <cfRule type="containsText" dxfId="2" priority="3768" operator="containsText" text="실패">
      <formula>NOT(ISERROR(SEARCH(("실패"),(A19))))</formula>
    </cfRule>
  </conditionalFormatting>
  <conditionalFormatting sqref="A19:A20">
    <cfRule type="containsText" dxfId="3" priority="3769" operator="containsText" text="관리">
      <formula>NOT(ISERROR(SEARCH(("관리"),(A19))))</formula>
    </cfRule>
  </conditionalFormatting>
  <conditionalFormatting sqref="A19:A20">
    <cfRule type="containsText" dxfId="4" priority="3770" operator="containsText" text="등록">
      <formula>NOT(ISERROR(SEARCH(("등록"),(A19))))</formula>
    </cfRule>
  </conditionalFormatting>
  <conditionalFormatting sqref="A19:A20">
    <cfRule type="containsText" dxfId="0" priority="3771" operator="containsText" text="거부">
      <formula>NOT(ISERROR(SEARCH(("거부"),(A19))))</formula>
    </cfRule>
  </conditionalFormatting>
  <conditionalFormatting sqref="A19:A20">
    <cfRule type="containsText" dxfId="1" priority="3772" operator="containsText" text="리턴">
      <formula>NOT(ISERROR(SEARCH(("리턴"),(A19))))</formula>
    </cfRule>
  </conditionalFormatting>
  <conditionalFormatting sqref="A19:A20">
    <cfRule type="containsText" dxfId="2" priority="3773" operator="containsText" text="실패">
      <formula>NOT(ISERROR(SEARCH(("실패"),(A19))))</formula>
    </cfRule>
  </conditionalFormatting>
  <conditionalFormatting sqref="A19:A20">
    <cfRule type="containsText" dxfId="3" priority="3774" operator="containsText" text="관리">
      <formula>NOT(ISERROR(SEARCH(("관리"),(A19))))</formula>
    </cfRule>
  </conditionalFormatting>
  <conditionalFormatting sqref="A19:A20">
    <cfRule type="containsText" dxfId="4" priority="3775" operator="containsText" text="등록">
      <formula>NOT(ISERROR(SEARCH(("등록"),(A19))))</formula>
    </cfRule>
  </conditionalFormatting>
  <conditionalFormatting sqref="A19:A20">
    <cfRule type="containsText" dxfId="0" priority="3776" operator="containsText" text="거부">
      <formula>NOT(ISERROR(SEARCH(("거부"),(A19))))</formula>
    </cfRule>
  </conditionalFormatting>
  <conditionalFormatting sqref="A19:A20">
    <cfRule type="containsText" dxfId="1" priority="3777" operator="containsText" text="리턴">
      <formula>NOT(ISERROR(SEARCH(("리턴"),(A19))))</formula>
    </cfRule>
  </conditionalFormatting>
  <conditionalFormatting sqref="A19:A20">
    <cfRule type="containsText" dxfId="2" priority="3778" operator="containsText" text="실패">
      <formula>NOT(ISERROR(SEARCH(("실패"),(A19))))</formula>
    </cfRule>
  </conditionalFormatting>
  <conditionalFormatting sqref="A19:A20">
    <cfRule type="containsText" dxfId="3" priority="3779" operator="containsText" text="관리">
      <formula>NOT(ISERROR(SEARCH(("관리"),(A19))))</formula>
    </cfRule>
  </conditionalFormatting>
  <conditionalFormatting sqref="A19:A20">
    <cfRule type="containsText" dxfId="4" priority="3780" operator="containsText" text="등록">
      <formula>NOT(ISERROR(SEARCH(("등록"),(A19))))</formula>
    </cfRule>
  </conditionalFormatting>
  <conditionalFormatting sqref="A19:A20">
    <cfRule type="containsText" dxfId="0" priority="3781" operator="containsText" text="거부">
      <formula>NOT(ISERROR(SEARCH(("거부"),(A19))))</formula>
    </cfRule>
  </conditionalFormatting>
  <conditionalFormatting sqref="A19:A20">
    <cfRule type="containsText" dxfId="1" priority="3782" operator="containsText" text="리턴">
      <formula>NOT(ISERROR(SEARCH(("리턴"),(A19))))</formula>
    </cfRule>
  </conditionalFormatting>
  <conditionalFormatting sqref="A19:A20">
    <cfRule type="containsText" dxfId="2" priority="3783" operator="containsText" text="실패">
      <formula>NOT(ISERROR(SEARCH(("실패"),(A19))))</formula>
    </cfRule>
  </conditionalFormatting>
  <conditionalFormatting sqref="A19:A20">
    <cfRule type="containsText" dxfId="3" priority="3784" operator="containsText" text="관리">
      <formula>NOT(ISERROR(SEARCH(("관리"),(A19))))</formula>
    </cfRule>
  </conditionalFormatting>
  <conditionalFormatting sqref="A19:A20">
    <cfRule type="containsText" dxfId="4" priority="3785" operator="containsText" text="등록">
      <formula>NOT(ISERROR(SEARCH(("등록"),(A19))))</formula>
    </cfRule>
  </conditionalFormatting>
  <conditionalFormatting sqref="A19:A20">
    <cfRule type="containsText" dxfId="0" priority="3786" operator="containsText" text="거부">
      <formula>NOT(ISERROR(SEARCH(("거부"),(A19))))</formula>
    </cfRule>
  </conditionalFormatting>
  <conditionalFormatting sqref="A19:A20">
    <cfRule type="containsText" dxfId="1" priority="3787" operator="containsText" text="리턴">
      <formula>NOT(ISERROR(SEARCH(("리턴"),(A19))))</formula>
    </cfRule>
  </conditionalFormatting>
  <conditionalFormatting sqref="A19:A20">
    <cfRule type="containsText" dxfId="2" priority="3788" operator="containsText" text="실패">
      <formula>NOT(ISERROR(SEARCH(("실패"),(A19))))</formula>
    </cfRule>
  </conditionalFormatting>
  <conditionalFormatting sqref="A19:A20">
    <cfRule type="containsText" dxfId="3" priority="3789" operator="containsText" text="관리">
      <formula>NOT(ISERROR(SEARCH(("관리"),(A19))))</formula>
    </cfRule>
  </conditionalFormatting>
  <conditionalFormatting sqref="A19:A20">
    <cfRule type="containsText" dxfId="4" priority="3790" operator="containsText" text="등록">
      <formula>NOT(ISERROR(SEARCH(("등록"),(A19))))</formula>
    </cfRule>
  </conditionalFormatting>
  <conditionalFormatting sqref="A19:A20">
    <cfRule type="containsText" dxfId="0" priority="3791" operator="containsText" text="거부">
      <formula>NOT(ISERROR(SEARCH(("거부"),(A19))))</formula>
    </cfRule>
  </conditionalFormatting>
  <conditionalFormatting sqref="A19:A20">
    <cfRule type="containsText" dxfId="1" priority="3792" operator="containsText" text="리턴">
      <formula>NOT(ISERROR(SEARCH(("리턴"),(A19))))</formula>
    </cfRule>
  </conditionalFormatting>
  <conditionalFormatting sqref="A19:A20">
    <cfRule type="containsText" dxfId="2" priority="3793" operator="containsText" text="실패">
      <formula>NOT(ISERROR(SEARCH(("실패"),(A19))))</formula>
    </cfRule>
  </conditionalFormatting>
  <conditionalFormatting sqref="A19:A20">
    <cfRule type="containsText" dxfId="3" priority="3794" operator="containsText" text="관리">
      <formula>NOT(ISERROR(SEARCH(("관리"),(A19))))</formula>
    </cfRule>
  </conditionalFormatting>
  <conditionalFormatting sqref="A19:A20">
    <cfRule type="containsText" dxfId="4" priority="3795" operator="containsText" text="등록">
      <formula>NOT(ISERROR(SEARCH(("등록"),(A19))))</formula>
    </cfRule>
  </conditionalFormatting>
  <conditionalFormatting sqref="J21">
    <cfRule type="containsText" dxfId="0" priority="3796" operator="containsText" text="거부">
      <formula>NOT(ISERROR(SEARCH(("거부"),(J21))))</formula>
    </cfRule>
  </conditionalFormatting>
  <conditionalFormatting sqref="J21">
    <cfRule type="containsText" dxfId="1" priority="3797" operator="containsText" text="리턴">
      <formula>NOT(ISERROR(SEARCH(("리턴"),(J21))))</formula>
    </cfRule>
  </conditionalFormatting>
  <conditionalFormatting sqref="J21">
    <cfRule type="containsText" dxfId="2" priority="3798" operator="containsText" text="실패">
      <formula>NOT(ISERROR(SEARCH(("실패"),(J21))))</formula>
    </cfRule>
  </conditionalFormatting>
  <conditionalFormatting sqref="J21">
    <cfRule type="containsText" dxfId="3" priority="3799" operator="containsText" text="관리">
      <formula>NOT(ISERROR(SEARCH(("관리"),(J21))))</formula>
    </cfRule>
  </conditionalFormatting>
  <conditionalFormatting sqref="J21">
    <cfRule type="containsText" dxfId="4" priority="3800" operator="containsText" text="등록">
      <formula>NOT(ISERROR(SEARCH(("등록"),(J21))))</formula>
    </cfRule>
  </conditionalFormatting>
  <conditionalFormatting sqref="J21">
    <cfRule type="containsText" dxfId="0" priority="3801" operator="containsText" text="거부">
      <formula>NOT(ISERROR(SEARCH(("거부"),(J21))))</formula>
    </cfRule>
  </conditionalFormatting>
  <conditionalFormatting sqref="J21">
    <cfRule type="containsText" dxfId="1" priority="3802" operator="containsText" text="리턴">
      <formula>NOT(ISERROR(SEARCH(("리턴"),(J21))))</formula>
    </cfRule>
  </conditionalFormatting>
  <conditionalFormatting sqref="J21">
    <cfRule type="containsText" dxfId="2" priority="3803" operator="containsText" text="실패">
      <formula>NOT(ISERROR(SEARCH(("실패"),(J21))))</formula>
    </cfRule>
  </conditionalFormatting>
  <conditionalFormatting sqref="J21">
    <cfRule type="containsText" dxfId="3" priority="3804" operator="containsText" text="관리">
      <formula>NOT(ISERROR(SEARCH(("관리"),(J21))))</formula>
    </cfRule>
  </conditionalFormatting>
  <conditionalFormatting sqref="J21">
    <cfRule type="containsText" dxfId="4" priority="3805" operator="containsText" text="등록">
      <formula>NOT(ISERROR(SEARCH(("등록"),(J21))))</formula>
    </cfRule>
  </conditionalFormatting>
  <conditionalFormatting sqref="J21">
    <cfRule type="containsText" dxfId="0" priority="3806" operator="containsText" text="거부">
      <formula>NOT(ISERROR(SEARCH(("거부"),(J21))))</formula>
    </cfRule>
  </conditionalFormatting>
  <conditionalFormatting sqref="J21">
    <cfRule type="containsText" dxfId="1" priority="3807" operator="containsText" text="리턴">
      <formula>NOT(ISERROR(SEARCH(("리턴"),(J21))))</formula>
    </cfRule>
  </conditionalFormatting>
  <conditionalFormatting sqref="J21">
    <cfRule type="containsText" dxfId="2" priority="3808" operator="containsText" text="실패">
      <formula>NOT(ISERROR(SEARCH(("실패"),(J21))))</formula>
    </cfRule>
  </conditionalFormatting>
  <conditionalFormatting sqref="J21">
    <cfRule type="containsText" dxfId="3" priority="3809" operator="containsText" text="관리">
      <formula>NOT(ISERROR(SEARCH(("관리"),(J21))))</formula>
    </cfRule>
  </conditionalFormatting>
  <conditionalFormatting sqref="J21">
    <cfRule type="containsText" dxfId="4" priority="3810" operator="containsText" text="등록">
      <formula>NOT(ISERROR(SEARCH(("등록"),(J21))))</formula>
    </cfRule>
  </conditionalFormatting>
  <conditionalFormatting sqref="J21">
    <cfRule type="containsText" dxfId="0" priority="3811" operator="containsText" text="거부">
      <formula>NOT(ISERROR(SEARCH(("거부"),(J21))))</formula>
    </cfRule>
  </conditionalFormatting>
  <conditionalFormatting sqref="J21">
    <cfRule type="containsText" dxfId="1" priority="3812" operator="containsText" text="리턴">
      <formula>NOT(ISERROR(SEARCH(("리턴"),(J21))))</formula>
    </cfRule>
  </conditionalFormatting>
  <conditionalFormatting sqref="J21">
    <cfRule type="containsText" dxfId="2" priority="3813" operator="containsText" text="실패">
      <formula>NOT(ISERROR(SEARCH(("실패"),(J21))))</formula>
    </cfRule>
  </conditionalFormatting>
  <conditionalFormatting sqref="J21">
    <cfRule type="containsText" dxfId="3" priority="3814" operator="containsText" text="관리">
      <formula>NOT(ISERROR(SEARCH(("관리"),(J21))))</formula>
    </cfRule>
  </conditionalFormatting>
  <conditionalFormatting sqref="J21">
    <cfRule type="containsText" dxfId="4" priority="3815" operator="containsText" text="등록">
      <formula>NOT(ISERROR(SEARCH(("등록"),(J21))))</formula>
    </cfRule>
  </conditionalFormatting>
  <conditionalFormatting sqref="J21">
    <cfRule type="containsText" dxfId="0" priority="3816" operator="containsText" text="거부">
      <formula>NOT(ISERROR(SEARCH(("거부"),(J21))))</formula>
    </cfRule>
  </conditionalFormatting>
  <conditionalFormatting sqref="J21">
    <cfRule type="containsText" dxfId="1" priority="3817" operator="containsText" text="리턴">
      <formula>NOT(ISERROR(SEARCH(("리턴"),(J21))))</formula>
    </cfRule>
  </conditionalFormatting>
  <conditionalFormatting sqref="J21">
    <cfRule type="containsText" dxfId="2" priority="3818" operator="containsText" text="실패">
      <formula>NOT(ISERROR(SEARCH(("실패"),(J21))))</formula>
    </cfRule>
  </conditionalFormatting>
  <conditionalFormatting sqref="J21">
    <cfRule type="containsText" dxfId="3" priority="3819" operator="containsText" text="관리">
      <formula>NOT(ISERROR(SEARCH(("관리"),(J21))))</formula>
    </cfRule>
  </conditionalFormatting>
  <conditionalFormatting sqref="J21">
    <cfRule type="containsText" dxfId="4" priority="3820" operator="containsText" text="등록">
      <formula>NOT(ISERROR(SEARCH(("등록"),(J21))))</formula>
    </cfRule>
  </conditionalFormatting>
  <conditionalFormatting sqref="J21">
    <cfRule type="containsText" dxfId="0" priority="3821" operator="containsText" text="거부">
      <formula>NOT(ISERROR(SEARCH(("거부"),(J21))))</formula>
    </cfRule>
  </conditionalFormatting>
  <conditionalFormatting sqref="J21">
    <cfRule type="containsText" dxfId="1" priority="3822" operator="containsText" text="리턴">
      <formula>NOT(ISERROR(SEARCH(("리턴"),(J21))))</formula>
    </cfRule>
  </conditionalFormatting>
  <conditionalFormatting sqref="J21">
    <cfRule type="containsText" dxfId="2" priority="3823" operator="containsText" text="실패">
      <formula>NOT(ISERROR(SEARCH(("실패"),(J21))))</formula>
    </cfRule>
  </conditionalFormatting>
  <conditionalFormatting sqref="J21">
    <cfRule type="containsText" dxfId="3" priority="3824" operator="containsText" text="관리">
      <formula>NOT(ISERROR(SEARCH(("관리"),(J21))))</formula>
    </cfRule>
  </conditionalFormatting>
  <conditionalFormatting sqref="J21">
    <cfRule type="containsText" dxfId="4" priority="3825" operator="containsText" text="등록">
      <formula>NOT(ISERROR(SEARCH(("등록"),(J21))))</formula>
    </cfRule>
  </conditionalFormatting>
  <conditionalFormatting sqref="J21">
    <cfRule type="containsText" dxfId="0" priority="3826" operator="containsText" text="거부">
      <formula>NOT(ISERROR(SEARCH(("거부"),(J21))))</formula>
    </cfRule>
  </conditionalFormatting>
  <conditionalFormatting sqref="J21">
    <cfRule type="containsText" dxfId="1" priority="3827" operator="containsText" text="리턴">
      <formula>NOT(ISERROR(SEARCH(("리턴"),(J21))))</formula>
    </cfRule>
  </conditionalFormatting>
  <conditionalFormatting sqref="J21">
    <cfRule type="containsText" dxfId="2" priority="3828" operator="containsText" text="실패">
      <formula>NOT(ISERROR(SEARCH(("실패"),(J21))))</formula>
    </cfRule>
  </conditionalFormatting>
  <conditionalFormatting sqref="J21">
    <cfRule type="containsText" dxfId="3" priority="3829" operator="containsText" text="관리">
      <formula>NOT(ISERROR(SEARCH(("관리"),(J21))))</formula>
    </cfRule>
  </conditionalFormatting>
  <conditionalFormatting sqref="J21">
    <cfRule type="containsText" dxfId="4" priority="3830" operator="containsText" text="등록">
      <formula>NOT(ISERROR(SEARCH(("등록"),(J21))))</formula>
    </cfRule>
  </conditionalFormatting>
  <conditionalFormatting sqref="J21">
    <cfRule type="containsText" dxfId="0" priority="3831" operator="containsText" text="거부">
      <formula>NOT(ISERROR(SEARCH(("거부"),(J21))))</formula>
    </cfRule>
  </conditionalFormatting>
  <conditionalFormatting sqref="J21">
    <cfRule type="containsText" dxfId="1" priority="3832" operator="containsText" text="리턴">
      <formula>NOT(ISERROR(SEARCH(("리턴"),(J21))))</formula>
    </cfRule>
  </conditionalFormatting>
  <conditionalFormatting sqref="J21">
    <cfRule type="containsText" dxfId="2" priority="3833" operator="containsText" text="실패">
      <formula>NOT(ISERROR(SEARCH(("실패"),(J21))))</formula>
    </cfRule>
  </conditionalFormatting>
  <conditionalFormatting sqref="J21">
    <cfRule type="containsText" dxfId="3" priority="3834" operator="containsText" text="관리">
      <formula>NOT(ISERROR(SEARCH(("관리"),(J21))))</formula>
    </cfRule>
  </conditionalFormatting>
  <conditionalFormatting sqref="J21">
    <cfRule type="containsText" dxfId="4" priority="3835" operator="containsText" text="등록">
      <formula>NOT(ISERROR(SEARCH(("등록"),(J21))))</formula>
    </cfRule>
  </conditionalFormatting>
  <conditionalFormatting sqref="J21">
    <cfRule type="containsText" dxfId="0" priority="3836" operator="containsText" text="거부">
      <formula>NOT(ISERROR(SEARCH(("거부"),(J21))))</formula>
    </cfRule>
  </conditionalFormatting>
  <conditionalFormatting sqref="J21">
    <cfRule type="containsText" dxfId="1" priority="3837" operator="containsText" text="리턴">
      <formula>NOT(ISERROR(SEARCH(("리턴"),(J21))))</formula>
    </cfRule>
  </conditionalFormatting>
  <conditionalFormatting sqref="J21">
    <cfRule type="containsText" dxfId="2" priority="3838" operator="containsText" text="실패">
      <formula>NOT(ISERROR(SEARCH(("실패"),(J21))))</formula>
    </cfRule>
  </conditionalFormatting>
  <conditionalFormatting sqref="J21">
    <cfRule type="containsText" dxfId="3" priority="3839" operator="containsText" text="관리">
      <formula>NOT(ISERROR(SEARCH(("관리"),(J21))))</formula>
    </cfRule>
  </conditionalFormatting>
  <conditionalFormatting sqref="J21">
    <cfRule type="containsText" dxfId="4" priority="3840" operator="containsText" text="등록">
      <formula>NOT(ISERROR(SEARCH(("등록"),(J21))))</formula>
    </cfRule>
  </conditionalFormatting>
  <conditionalFormatting sqref="J26">
    <cfRule type="containsText" dxfId="0" priority="3841" operator="containsText" text="거부">
      <formula>NOT(ISERROR(SEARCH(("거부"),(J26))))</formula>
    </cfRule>
  </conditionalFormatting>
  <conditionalFormatting sqref="J26">
    <cfRule type="containsText" dxfId="1" priority="3842" operator="containsText" text="리턴">
      <formula>NOT(ISERROR(SEARCH(("리턴"),(J26))))</formula>
    </cfRule>
  </conditionalFormatting>
  <conditionalFormatting sqref="J26">
    <cfRule type="containsText" dxfId="2" priority="3843" operator="containsText" text="실패">
      <formula>NOT(ISERROR(SEARCH(("실패"),(J26))))</formula>
    </cfRule>
  </conditionalFormatting>
  <conditionalFormatting sqref="J26">
    <cfRule type="containsText" dxfId="3" priority="3844" operator="containsText" text="관리">
      <formula>NOT(ISERROR(SEARCH(("관리"),(J26))))</formula>
    </cfRule>
  </conditionalFormatting>
  <conditionalFormatting sqref="J26">
    <cfRule type="containsText" dxfId="4" priority="3845" operator="containsText" text="등록">
      <formula>NOT(ISERROR(SEARCH(("등록"),(J26))))</formula>
    </cfRule>
  </conditionalFormatting>
  <conditionalFormatting sqref="J26">
    <cfRule type="containsText" dxfId="0" priority="3846" operator="containsText" text="거부">
      <formula>NOT(ISERROR(SEARCH(("거부"),(J26))))</formula>
    </cfRule>
  </conditionalFormatting>
  <conditionalFormatting sqref="J26">
    <cfRule type="containsText" dxfId="1" priority="3847" operator="containsText" text="리턴">
      <formula>NOT(ISERROR(SEARCH(("리턴"),(J26))))</formula>
    </cfRule>
  </conditionalFormatting>
  <conditionalFormatting sqref="J26">
    <cfRule type="containsText" dxfId="2" priority="3848" operator="containsText" text="실패">
      <formula>NOT(ISERROR(SEARCH(("실패"),(J26))))</formula>
    </cfRule>
  </conditionalFormatting>
  <conditionalFormatting sqref="J26">
    <cfRule type="containsText" dxfId="3" priority="3849" operator="containsText" text="관리">
      <formula>NOT(ISERROR(SEARCH(("관리"),(J26))))</formula>
    </cfRule>
  </conditionalFormatting>
  <conditionalFormatting sqref="J26">
    <cfRule type="containsText" dxfId="4" priority="3850" operator="containsText" text="등록">
      <formula>NOT(ISERROR(SEARCH(("등록"),(J26))))</formula>
    </cfRule>
  </conditionalFormatting>
  <conditionalFormatting sqref="J26">
    <cfRule type="containsText" dxfId="0" priority="3851" operator="containsText" text="거부">
      <formula>NOT(ISERROR(SEARCH(("거부"),(J26))))</formula>
    </cfRule>
  </conditionalFormatting>
  <conditionalFormatting sqref="J26">
    <cfRule type="containsText" dxfId="1" priority="3852" operator="containsText" text="리턴">
      <formula>NOT(ISERROR(SEARCH(("리턴"),(J26))))</formula>
    </cfRule>
  </conditionalFormatting>
  <conditionalFormatting sqref="J26">
    <cfRule type="containsText" dxfId="2" priority="3853" operator="containsText" text="실패">
      <formula>NOT(ISERROR(SEARCH(("실패"),(J26))))</formula>
    </cfRule>
  </conditionalFormatting>
  <conditionalFormatting sqref="J26">
    <cfRule type="containsText" dxfId="3" priority="3854" operator="containsText" text="관리">
      <formula>NOT(ISERROR(SEARCH(("관리"),(J26))))</formula>
    </cfRule>
  </conditionalFormatting>
  <conditionalFormatting sqref="J26">
    <cfRule type="containsText" dxfId="4" priority="3855" operator="containsText" text="등록">
      <formula>NOT(ISERROR(SEARCH(("등록"),(J26))))</formula>
    </cfRule>
  </conditionalFormatting>
  <conditionalFormatting sqref="J26">
    <cfRule type="containsText" dxfId="0" priority="3856" operator="containsText" text="거부">
      <formula>NOT(ISERROR(SEARCH(("거부"),(J26))))</formula>
    </cfRule>
  </conditionalFormatting>
  <conditionalFormatting sqref="J26">
    <cfRule type="containsText" dxfId="1" priority="3857" operator="containsText" text="리턴">
      <formula>NOT(ISERROR(SEARCH(("리턴"),(J26))))</formula>
    </cfRule>
  </conditionalFormatting>
  <conditionalFormatting sqref="J26">
    <cfRule type="containsText" dxfId="2" priority="3858" operator="containsText" text="실패">
      <formula>NOT(ISERROR(SEARCH(("실패"),(J26))))</formula>
    </cfRule>
  </conditionalFormatting>
  <conditionalFormatting sqref="J26">
    <cfRule type="containsText" dxfId="3" priority="3859" operator="containsText" text="관리">
      <formula>NOT(ISERROR(SEARCH(("관리"),(J26))))</formula>
    </cfRule>
  </conditionalFormatting>
  <conditionalFormatting sqref="J26">
    <cfRule type="containsText" dxfId="4" priority="3860" operator="containsText" text="등록">
      <formula>NOT(ISERROR(SEARCH(("등록"),(J26))))</formula>
    </cfRule>
  </conditionalFormatting>
  <conditionalFormatting sqref="J26">
    <cfRule type="containsText" dxfId="0" priority="3861" operator="containsText" text="거부">
      <formula>NOT(ISERROR(SEARCH(("거부"),(J26))))</formula>
    </cfRule>
  </conditionalFormatting>
  <conditionalFormatting sqref="J26">
    <cfRule type="containsText" dxfId="1" priority="3862" operator="containsText" text="리턴">
      <formula>NOT(ISERROR(SEARCH(("리턴"),(J26))))</formula>
    </cfRule>
  </conditionalFormatting>
  <conditionalFormatting sqref="J26">
    <cfRule type="containsText" dxfId="2" priority="3863" operator="containsText" text="실패">
      <formula>NOT(ISERROR(SEARCH(("실패"),(J26))))</formula>
    </cfRule>
  </conditionalFormatting>
  <conditionalFormatting sqref="J26">
    <cfRule type="containsText" dxfId="3" priority="3864" operator="containsText" text="관리">
      <formula>NOT(ISERROR(SEARCH(("관리"),(J26))))</formula>
    </cfRule>
  </conditionalFormatting>
  <conditionalFormatting sqref="J26">
    <cfRule type="containsText" dxfId="4" priority="3865" operator="containsText" text="등록">
      <formula>NOT(ISERROR(SEARCH(("등록"),(J26))))</formula>
    </cfRule>
  </conditionalFormatting>
  <conditionalFormatting sqref="J26">
    <cfRule type="containsText" dxfId="0" priority="3866" operator="containsText" text="거부">
      <formula>NOT(ISERROR(SEARCH(("거부"),(J26))))</formula>
    </cfRule>
  </conditionalFormatting>
  <conditionalFormatting sqref="J26">
    <cfRule type="containsText" dxfId="1" priority="3867" operator="containsText" text="리턴">
      <formula>NOT(ISERROR(SEARCH(("리턴"),(J26))))</formula>
    </cfRule>
  </conditionalFormatting>
  <conditionalFormatting sqref="J26">
    <cfRule type="containsText" dxfId="2" priority="3868" operator="containsText" text="실패">
      <formula>NOT(ISERROR(SEARCH(("실패"),(J26))))</formula>
    </cfRule>
  </conditionalFormatting>
  <conditionalFormatting sqref="J26">
    <cfRule type="containsText" dxfId="3" priority="3869" operator="containsText" text="관리">
      <formula>NOT(ISERROR(SEARCH(("관리"),(J26))))</formula>
    </cfRule>
  </conditionalFormatting>
  <conditionalFormatting sqref="J26">
    <cfRule type="containsText" dxfId="4" priority="3870" operator="containsText" text="등록">
      <formula>NOT(ISERROR(SEARCH(("등록"),(J26))))</formula>
    </cfRule>
  </conditionalFormatting>
  <conditionalFormatting sqref="D27">
    <cfRule type="containsText" dxfId="0" priority="3871" operator="containsText" text="거부">
      <formula>NOT(ISERROR(SEARCH(("거부"),(D27))))</formula>
    </cfRule>
  </conditionalFormatting>
  <conditionalFormatting sqref="D27">
    <cfRule type="containsText" dxfId="1" priority="3872" operator="containsText" text="리턴">
      <formula>NOT(ISERROR(SEARCH(("리턴"),(D27))))</formula>
    </cfRule>
  </conditionalFormatting>
  <conditionalFormatting sqref="D27">
    <cfRule type="containsText" dxfId="2" priority="3873" operator="containsText" text="실패">
      <formula>NOT(ISERROR(SEARCH(("실패"),(D27))))</formula>
    </cfRule>
  </conditionalFormatting>
  <conditionalFormatting sqref="D27">
    <cfRule type="containsText" dxfId="3" priority="3874" operator="containsText" text="관리">
      <formula>NOT(ISERROR(SEARCH(("관리"),(D27))))</formula>
    </cfRule>
  </conditionalFormatting>
  <conditionalFormatting sqref="D27">
    <cfRule type="containsText" dxfId="4" priority="3875" operator="containsText" text="등록">
      <formula>NOT(ISERROR(SEARCH(("등록"),(D27))))</formula>
    </cfRule>
  </conditionalFormatting>
  <conditionalFormatting sqref="D27">
    <cfRule type="containsText" dxfId="0" priority="3876" operator="containsText" text="거부">
      <formula>NOT(ISERROR(SEARCH(("거부"),(D27))))</formula>
    </cfRule>
  </conditionalFormatting>
  <conditionalFormatting sqref="D27">
    <cfRule type="containsText" dxfId="1" priority="3877" operator="containsText" text="리턴">
      <formula>NOT(ISERROR(SEARCH(("리턴"),(D27))))</formula>
    </cfRule>
  </conditionalFormatting>
  <conditionalFormatting sqref="D27">
    <cfRule type="containsText" dxfId="2" priority="3878" operator="containsText" text="실패">
      <formula>NOT(ISERROR(SEARCH(("실패"),(D27))))</formula>
    </cfRule>
  </conditionalFormatting>
  <conditionalFormatting sqref="D27">
    <cfRule type="containsText" dxfId="3" priority="3879" operator="containsText" text="관리">
      <formula>NOT(ISERROR(SEARCH(("관리"),(D27))))</formula>
    </cfRule>
  </conditionalFormatting>
  <conditionalFormatting sqref="D27">
    <cfRule type="containsText" dxfId="4" priority="3880" operator="containsText" text="등록">
      <formula>NOT(ISERROR(SEARCH(("등록"),(D27))))</formula>
    </cfRule>
  </conditionalFormatting>
  <conditionalFormatting sqref="D27">
    <cfRule type="containsText" dxfId="0" priority="3881" operator="containsText" text="거부">
      <formula>NOT(ISERROR(SEARCH(("거부"),(D27))))</formula>
    </cfRule>
  </conditionalFormatting>
  <conditionalFormatting sqref="D27">
    <cfRule type="containsText" dxfId="1" priority="3882" operator="containsText" text="리턴">
      <formula>NOT(ISERROR(SEARCH(("리턴"),(D27))))</formula>
    </cfRule>
  </conditionalFormatting>
  <conditionalFormatting sqref="D27">
    <cfRule type="containsText" dxfId="2" priority="3883" operator="containsText" text="실패">
      <formula>NOT(ISERROR(SEARCH(("실패"),(D27))))</formula>
    </cfRule>
  </conditionalFormatting>
  <conditionalFormatting sqref="D27">
    <cfRule type="containsText" dxfId="3" priority="3884" operator="containsText" text="관리">
      <formula>NOT(ISERROR(SEARCH(("관리"),(D27))))</formula>
    </cfRule>
  </conditionalFormatting>
  <conditionalFormatting sqref="D27">
    <cfRule type="containsText" dxfId="4" priority="3885" operator="containsText" text="등록">
      <formula>NOT(ISERROR(SEARCH(("등록"),(D27))))</formula>
    </cfRule>
  </conditionalFormatting>
  <conditionalFormatting sqref="J27">
    <cfRule type="containsText" dxfId="0" priority="3886" operator="containsText" text="거부">
      <formula>NOT(ISERROR(SEARCH(("거부"),(J27))))</formula>
    </cfRule>
  </conditionalFormatting>
  <conditionalFormatting sqref="J27">
    <cfRule type="containsText" dxfId="1" priority="3887" operator="containsText" text="리턴">
      <formula>NOT(ISERROR(SEARCH(("리턴"),(J27))))</formula>
    </cfRule>
  </conditionalFormatting>
  <conditionalFormatting sqref="J27">
    <cfRule type="containsText" dxfId="2" priority="3888" operator="containsText" text="실패">
      <formula>NOT(ISERROR(SEARCH(("실패"),(J27))))</formula>
    </cfRule>
  </conditionalFormatting>
  <conditionalFormatting sqref="J27">
    <cfRule type="containsText" dxfId="3" priority="3889" operator="containsText" text="관리">
      <formula>NOT(ISERROR(SEARCH(("관리"),(J27))))</formula>
    </cfRule>
  </conditionalFormatting>
  <conditionalFormatting sqref="J27">
    <cfRule type="containsText" dxfId="4" priority="3890" operator="containsText" text="등록">
      <formula>NOT(ISERROR(SEARCH(("등록"),(J27))))</formula>
    </cfRule>
  </conditionalFormatting>
  <conditionalFormatting sqref="J27">
    <cfRule type="containsText" dxfId="0" priority="3891" operator="containsText" text="거부">
      <formula>NOT(ISERROR(SEARCH(("거부"),(J27))))</formula>
    </cfRule>
  </conditionalFormatting>
  <conditionalFormatting sqref="J27">
    <cfRule type="containsText" dxfId="1" priority="3892" operator="containsText" text="리턴">
      <formula>NOT(ISERROR(SEARCH(("리턴"),(J27))))</formula>
    </cfRule>
  </conditionalFormatting>
  <conditionalFormatting sqref="J27">
    <cfRule type="containsText" dxfId="2" priority="3893" operator="containsText" text="실패">
      <formula>NOT(ISERROR(SEARCH(("실패"),(J27))))</formula>
    </cfRule>
  </conditionalFormatting>
  <conditionalFormatting sqref="J27">
    <cfRule type="containsText" dxfId="3" priority="3894" operator="containsText" text="관리">
      <formula>NOT(ISERROR(SEARCH(("관리"),(J27))))</formula>
    </cfRule>
  </conditionalFormatting>
  <conditionalFormatting sqref="J27">
    <cfRule type="containsText" dxfId="4" priority="3895" operator="containsText" text="등록">
      <formula>NOT(ISERROR(SEARCH(("등록"),(J27))))</formula>
    </cfRule>
  </conditionalFormatting>
  <conditionalFormatting sqref="J27">
    <cfRule type="containsText" dxfId="0" priority="3896" operator="containsText" text="거부">
      <formula>NOT(ISERROR(SEARCH(("거부"),(J27))))</formula>
    </cfRule>
  </conditionalFormatting>
  <conditionalFormatting sqref="J27">
    <cfRule type="containsText" dxfId="1" priority="3897" operator="containsText" text="리턴">
      <formula>NOT(ISERROR(SEARCH(("리턴"),(J27))))</formula>
    </cfRule>
  </conditionalFormatting>
  <conditionalFormatting sqref="J27">
    <cfRule type="containsText" dxfId="2" priority="3898" operator="containsText" text="실패">
      <formula>NOT(ISERROR(SEARCH(("실패"),(J27))))</formula>
    </cfRule>
  </conditionalFormatting>
  <conditionalFormatting sqref="J27">
    <cfRule type="containsText" dxfId="3" priority="3899" operator="containsText" text="관리">
      <formula>NOT(ISERROR(SEARCH(("관리"),(J27))))</formula>
    </cfRule>
  </conditionalFormatting>
  <conditionalFormatting sqref="J27">
    <cfRule type="containsText" dxfId="4" priority="3900" operator="containsText" text="등록">
      <formula>NOT(ISERROR(SEARCH(("등록"),(J27))))</formula>
    </cfRule>
  </conditionalFormatting>
  <conditionalFormatting sqref="J27">
    <cfRule type="containsText" dxfId="0" priority="3901" operator="containsText" text="거부">
      <formula>NOT(ISERROR(SEARCH(("거부"),(J27))))</formula>
    </cfRule>
  </conditionalFormatting>
  <conditionalFormatting sqref="J27">
    <cfRule type="containsText" dxfId="1" priority="3902" operator="containsText" text="리턴">
      <formula>NOT(ISERROR(SEARCH(("리턴"),(J27))))</formula>
    </cfRule>
  </conditionalFormatting>
  <conditionalFormatting sqref="J27">
    <cfRule type="containsText" dxfId="2" priority="3903" operator="containsText" text="실패">
      <formula>NOT(ISERROR(SEARCH(("실패"),(J27))))</formula>
    </cfRule>
  </conditionalFormatting>
  <conditionalFormatting sqref="J27">
    <cfRule type="containsText" dxfId="3" priority="3904" operator="containsText" text="관리">
      <formula>NOT(ISERROR(SEARCH(("관리"),(J27))))</formula>
    </cfRule>
  </conditionalFormatting>
  <conditionalFormatting sqref="J27">
    <cfRule type="containsText" dxfId="4" priority="3905" operator="containsText" text="등록">
      <formula>NOT(ISERROR(SEARCH(("등록"),(J27))))</formula>
    </cfRule>
  </conditionalFormatting>
  <conditionalFormatting sqref="J27">
    <cfRule type="containsText" dxfId="0" priority="3906" operator="containsText" text="거부">
      <formula>NOT(ISERROR(SEARCH(("거부"),(J27))))</formula>
    </cfRule>
  </conditionalFormatting>
  <conditionalFormatting sqref="J27">
    <cfRule type="containsText" dxfId="1" priority="3907" operator="containsText" text="리턴">
      <formula>NOT(ISERROR(SEARCH(("리턴"),(J27))))</formula>
    </cfRule>
  </conditionalFormatting>
  <conditionalFormatting sqref="J27">
    <cfRule type="containsText" dxfId="2" priority="3908" operator="containsText" text="실패">
      <formula>NOT(ISERROR(SEARCH(("실패"),(J27))))</formula>
    </cfRule>
  </conditionalFormatting>
  <conditionalFormatting sqref="J27">
    <cfRule type="containsText" dxfId="3" priority="3909" operator="containsText" text="관리">
      <formula>NOT(ISERROR(SEARCH(("관리"),(J27))))</formula>
    </cfRule>
  </conditionalFormatting>
  <conditionalFormatting sqref="J27">
    <cfRule type="containsText" dxfId="4" priority="3910" operator="containsText" text="등록">
      <formula>NOT(ISERROR(SEARCH(("등록"),(J27))))</formula>
    </cfRule>
  </conditionalFormatting>
  <conditionalFormatting sqref="J27">
    <cfRule type="containsText" dxfId="0" priority="3911" operator="containsText" text="거부">
      <formula>NOT(ISERROR(SEARCH(("거부"),(J27))))</formula>
    </cfRule>
  </conditionalFormatting>
  <conditionalFormatting sqref="J27">
    <cfRule type="containsText" dxfId="1" priority="3912" operator="containsText" text="리턴">
      <formula>NOT(ISERROR(SEARCH(("리턴"),(J27))))</formula>
    </cfRule>
  </conditionalFormatting>
  <conditionalFormatting sqref="J27">
    <cfRule type="containsText" dxfId="2" priority="3913" operator="containsText" text="실패">
      <formula>NOT(ISERROR(SEARCH(("실패"),(J27))))</formula>
    </cfRule>
  </conditionalFormatting>
  <conditionalFormatting sqref="J27">
    <cfRule type="containsText" dxfId="3" priority="3914" operator="containsText" text="관리">
      <formula>NOT(ISERROR(SEARCH(("관리"),(J27))))</formula>
    </cfRule>
  </conditionalFormatting>
  <conditionalFormatting sqref="J27">
    <cfRule type="containsText" dxfId="4" priority="3915" operator="containsText" text="등록">
      <formula>NOT(ISERROR(SEARCH(("등록"),(J27))))</formula>
    </cfRule>
  </conditionalFormatting>
  <conditionalFormatting sqref="A27">
    <cfRule type="containsText" dxfId="0" priority="3916" operator="containsText" text="거부">
      <formula>NOT(ISERROR(SEARCH(("거부"),(A27))))</formula>
    </cfRule>
  </conditionalFormatting>
  <conditionalFormatting sqref="A27">
    <cfRule type="containsText" dxfId="1" priority="3917" operator="containsText" text="리턴">
      <formula>NOT(ISERROR(SEARCH(("리턴"),(A27))))</formula>
    </cfRule>
  </conditionalFormatting>
  <conditionalFormatting sqref="A27">
    <cfRule type="containsText" dxfId="2" priority="3918" operator="containsText" text="실패">
      <formula>NOT(ISERROR(SEARCH(("실패"),(A27))))</formula>
    </cfRule>
  </conditionalFormatting>
  <conditionalFormatting sqref="A27">
    <cfRule type="containsText" dxfId="3" priority="3919" operator="containsText" text="관리">
      <formula>NOT(ISERROR(SEARCH(("관리"),(A27))))</formula>
    </cfRule>
  </conditionalFormatting>
  <conditionalFormatting sqref="A27">
    <cfRule type="containsText" dxfId="4" priority="3920" operator="containsText" text="등록">
      <formula>NOT(ISERROR(SEARCH(("등록"),(A27))))</formula>
    </cfRule>
  </conditionalFormatting>
  <conditionalFormatting sqref="A27">
    <cfRule type="containsText" dxfId="0" priority="3921" operator="containsText" text="거부">
      <formula>NOT(ISERROR(SEARCH(("거부"),(A27))))</formula>
    </cfRule>
  </conditionalFormatting>
  <conditionalFormatting sqref="A27">
    <cfRule type="containsText" dxfId="1" priority="3922" operator="containsText" text="리턴">
      <formula>NOT(ISERROR(SEARCH(("리턴"),(A27))))</formula>
    </cfRule>
  </conditionalFormatting>
  <conditionalFormatting sqref="A27">
    <cfRule type="containsText" dxfId="2" priority="3923" operator="containsText" text="실패">
      <formula>NOT(ISERROR(SEARCH(("실패"),(A27))))</formula>
    </cfRule>
  </conditionalFormatting>
  <conditionalFormatting sqref="A27">
    <cfRule type="containsText" dxfId="3" priority="3924" operator="containsText" text="관리">
      <formula>NOT(ISERROR(SEARCH(("관리"),(A27))))</formula>
    </cfRule>
  </conditionalFormatting>
  <conditionalFormatting sqref="A27">
    <cfRule type="containsText" dxfId="4" priority="3925" operator="containsText" text="등록">
      <formula>NOT(ISERROR(SEARCH(("등록"),(A27))))</formula>
    </cfRule>
  </conditionalFormatting>
  <conditionalFormatting sqref="A27">
    <cfRule type="containsText" dxfId="0" priority="3926" operator="containsText" text="거부">
      <formula>NOT(ISERROR(SEARCH(("거부"),(A27))))</formula>
    </cfRule>
  </conditionalFormatting>
  <conditionalFormatting sqref="A27">
    <cfRule type="containsText" dxfId="1" priority="3927" operator="containsText" text="리턴">
      <formula>NOT(ISERROR(SEARCH(("리턴"),(A27))))</formula>
    </cfRule>
  </conditionalFormatting>
  <conditionalFormatting sqref="A27">
    <cfRule type="containsText" dxfId="2" priority="3928" operator="containsText" text="실패">
      <formula>NOT(ISERROR(SEARCH(("실패"),(A27))))</formula>
    </cfRule>
  </conditionalFormatting>
  <conditionalFormatting sqref="A27">
    <cfRule type="containsText" dxfId="3" priority="3929" operator="containsText" text="관리">
      <formula>NOT(ISERROR(SEARCH(("관리"),(A27))))</formula>
    </cfRule>
  </conditionalFormatting>
  <conditionalFormatting sqref="A27">
    <cfRule type="containsText" dxfId="4" priority="3930" operator="containsText" text="등록">
      <formula>NOT(ISERROR(SEARCH(("등록"),(A27))))</formula>
    </cfRule>
  </conditionalFormatting>
  <conditionalFormatting sqref="A27">
    <cfRule type="containsText" dxfId="0" priority="3931" operator="containsText" text="거부">
      <formula>NOT(ISERROR(SEARCH(("거부"),(A27))))</formula>
    </cfRule>
  </conditionalFormatting>
  <conditionalFormatting sqref="A27">
    <cfRule type="containsText" dxfId="1" priority="3932" operator="containsText" text="리턴">
      <formula>NOT(ISERROR(SEARCH(("리턴"),(A27))))</formula>
    </cfRule>
  </conditionalFormatting>
  <conditionalFormatting sqref="A27">
    <cfRule type="containsText" dxfId="2" priority="3933" operator="containsText" text="실패">
      <formula>NOT(ISERROR(SEARCH(("실패"),(A27))))</formula>
    </cfRule>
  </conditionalFormatting>
  <conditionalFormatting sqref="A27">
    <cfRule type="containsText" dxfId="3" priority="3934" operator="containsText" text="관리">
      <formula>NOT(ISERROR(SEARCH(("관리"),(A27))))</formula>
    </cfRule>
  </conditionalFormatting>
  <conditionalFormatting sqref="A27">
    <cfRule type="containsText" dxfId="4" priority="3935" operator="containsText" text="등록">
      <formula>NOT(ISERROR(SEARCH(("등록"),(A27))))</formula>
    </cfRule>
  </conditionalFormatting>
  <conditionalFormatting sqref="A27">
    <cfRule type="containsText" dxfId="0" priority="3936" operator="containsText" text="거부">
      <formula>NOT(ISERROR(SEARCH(("거부"),(A27))))</formula>
    </cfRule>
  </conditionalFormatting>
  <conditionalFormatting sqref="A27">
    <cfRule type="containsText" dxfId="1" priority="3937" operator="containsText" text="리턴">
      <formula>NOT(ISERROR(SEARCH(("리턴"),(A27))))</formula>
    </cfRule>
  </conditionalFormatting>
  <conditionalFormatting sqref="A27">
    <cfRule type="containsText" dxfId="2" priority="3938" operator="containsText" text="실패">
      <formula>NOT(ISERROR(SEARCH(("실패"),(A27))))</formula>
    </cfRule>
  </conditionalFormatting>
  <conditionalFormatting sqref="A27">
    <cfRule type="containsText" dxfId="3" priority="3939" operator="containsText" text="관리">
      <formula>NOT(ISERROR(SEARCH(("관리"),(A27))))</formula>
    </cfRule>
  </conditionalFormatting>
  <conditionalFormatting sqref="A27">
    <cfRule type="containsText" dxfId="4" priority="3940" operator="containsText" text="등록">
      <formula>NOT(ISERROR(SEARCH(("등록"),(A27))))</formula>
    </cfRule>
  </conditionalFormatting>
  <conditionalFormatting sqref="A26">
    <cfRule type="containsText" dxfId="0" priority="3941" operator="containsText" text="거부">
      <formula>NOT(ISERROR(SEARCH(("거부"),(A26))))</formula>
    </cfRule>
  </conditionalFormatting>
  <conditionalFormatting sqref="A26">
    <cfRule type="containsText" dxfId="1" priority="3942" operator="containsText" text="리턴">
      <formula>NOT(ISERROR(SEARCH(("리턴"),(A26))))</formula>
    </cfRule>
  </conditionalFormatting>
  <conditionalFormatting sqref="A26">
    <cfRule type="containsText" dxfId="2" priority="3943" operator="containsText" text="실패">
      <formula>NOT(ISERROR(SEARCH(("실패"),(A26))))</formula>
    </cfRule>
  </conditionalFormatting>
  <conditionalFormatting sqref="A26">
    <cfRule type="containsText" dxfId="3" priority="3944" operator="containsText" text="관리">
      <formula>NOT(ISERROR(SEARCH(("관리"),(A26))))</formula>
    </cfRule>
  </conditionalFormatting>
  <conditionalFormatting sqref="A26">
    <cfRule type="containsText" dxfId="4" priority="3945" operator="containsText" text="등록">
      <formula>NOT(ISERROR(SEARCH(("등록"),(A26))))</formula>
    </cfRule>
  </conditionalFormatting>
  <conditionalFormatting sqref="A26">
    <cfRule type="containsText" dxfId="0" priority="3946" operator="containsText" text="거부">
      <formula>NOT(ISERROR(SEARCH(("거부"),(A26))))</formula>
    </cfRule>
  </conditionalFormatting>
  <conditionalFormatting sqref="A26">
    <cfRule type="containsText" dxfId="1" priority="3947" operator="containsText" text="리턴">
      <formula>NOT(ISERROR(SEARCH(("리턴"),(A26))))</formula>
    </cfRule>
  </conditionalFormatting>
  <conditionalFormatting sqref="A26">
    <cfRule type="containsText" dxfId="2" priority="3948" operator="containsText" text="실패">
      <formula>NOT(ISERROR(SEARCH(("실패"),(A26))))</formula>
    </cfRule>
  </conditionalFormatting>
  <conditionalFormatting sqref="A26">
    <cfRule type="containsText" dxfId="3" priority="3949" operator="containsText" text="관리">
      <formula>NOT(ISERROR(SEARCH(("관리"),(A26))))</formula>
    </cfRule>
  </conditionalFormatting>
  <conditionalFormatting sqref="A26">
    <cfRule type="containsText" dxfId="4" priority="3950" operator="containsText" text="등록">
      <formula>NOT(ISERROR(SEARCH(("등록"),(A26))))</formula>
    </cfRule>
  </conditionalFormatting>
  <conditionalFormatting sqref="A26">
    <cfRule type="containsText" dxfId="0" priority="3951" operator="containsText" text="거부">
      <formula>NOT(ISERROR(SEARCH(("거부"),(A26))))</formula>
    </cfRule>
  </conditionalFormatting>
  <conditionalFormatting sqref="A26">
    <cfRule type="containsText" dxfId="1" priority="3952" operator="containsText" text="리턴">
      <formula>NOT(ISERROR(SEARCH(("리턴"),(A26))))</formula>
    </cfRule>
  </conditionalFormatting>
  <conditionalFormatting sqref="A26">
    <cfRule type="containsText" dxfId="2" priority="3953" operator="containsText" text="실패">
      <formula>NOT(ISERROR(SEARCH(("실패"),(A26))))</formula>
    </cfRule>
  </conditionalFormatting>
  <conditionalFormatting sqref="A26">
    <cfRule type="containsText" dxfId="3" priority="3954" operator="containsText" text="관리">
      <formula>NOT(ISERROR(SEARCH(("관리"),(A26))))</formula>
    </cfRule>
  </conditionalFormatting>
  <conditionalFormatting sqref="A26">
    <cfRule type="containsText" dxfId="4" priority="3955" operator="containsText" text="등록">
      <formula>NOT(ISERROR(SEARCH(("등록"),(A26))))</formula>
    </cfRule>
  </conditionalFormatting>
  <conditionalFormatting sqref="A26">
    <cfRule type="containsText" dxfId="0" priority="3956" operator="containsText" text="거부">
      <formula>NOT(ISERROR(SEARCH(("거부"),(A26))))</formula>
    </cfRule>
  </conditionalFormatting>
  <conditionalFormatting sqref="A26">
    <cfRule type="containsText" dxfId="1" priority="3957" operator="containsText" text="리턴">
      <formula>NOT(ISERROR(SEARCH(("리턴"),(A26))))</formula>
    </cfRule>
  </conditionalFormatting>
  <conditionalFormatting sqref="A26">
    <cfRule type="containsText" dxfId="2" priority="3958" operator="containsText" text="실패">
      <formula>NOT(ISERROR(SEARCH(("실패"),(A26))))</formula>
    </cfRule>
  </conditionalFormatting>
  <conditionalFormatting sqref="A26">
    <cfRule type="containsText" dxfId="3" priority="3959" operator="containsText" text="관리">
      <formula>NOT(ISERROR(SEARCH(("관리"),(A26))))</formula>
    </cfRule>
  </conditionalFormatting>
  <conditionalFormatting sqref="A26">
    <cfRule type="containsText" dxfId="4" priority="3960" operator="containsText" text="등록">
      <formula>NOT(ISERROR(SEARCH(("등록"),(A26))))</formula>
    </cfRule>
  </conditionalFormatting>
  <conditionalFormatting sqref="A26">
    <cfRule type="containsText" dxfId="0" priority="3961" operator="containsText" text="거부">
      <formula>NOT(ISERROR(SEARCH(("거부"),(A26))))</formula>
    </cfRule>
  </conditionalFormatting>
  <conditionalFormatting sqref="A26">
    <cfRule type="containsText" dxfId="1" priority="3962" operator="containsText" text="리턴">
      <formula>NOT(ISERROR(SEARCH(("리턴"),(A26))))</formula>
    </cfRule>
  </conditionalFormatting>
  <conditionalFormatting sqref="A26">
    <cfRule type="containsText" dxfId="2" priority="3963" operator="containsText" text="실패">
      <formula>NOT(ISERROR(SEARCH(("실패"),(A26))))</formula>
    </cfRule>
  </conditionalFormatting>
  <conditionalFormatting sqref="A26">
    <cfRule type="containsText" dxfId="3" priority="3964" operator="containsText" text="관리">
      <formula>NOT(ISERROR(SEARCH(("관리"),(A26))))</formula>
    </cfRule>
  </conditionalFormatting>
  <conditionalFormatting sqref="A26">
    <cfRule type="containsText" dxfId="4" priority="3965" operator="containsText" text="등록">
      <formula>NOT(ISERROR(SEARCH(("등록"),(A26))))</formula>
    </cfRule>
  </conditionalFormatting>
  <conditionalFormatting sqref="A28">
    <cfRule type="containsText" dxfId="0" priority="3966" operator="containsText" text="거부">
      <formula>NOT(ISERROR(SEARCH(("거부"),(A28))))</formula>
    </cfRule>
  </conditionalFormatting>
  <conditionalFormatting sqref="A28">
    <cfRule type="containsText" dxfId="1" priority="3967" operator="containsText" text="리턴">
      <formula>NOT(ISERROR(SEARCH(("리턴"),(A28))))</formula>
    </cfRule>
  </conditionalFormatting>
  <conditionalFormatting sqref="A28">
    <cfRule type="containsText" dxfId="2" priority="3968" operator="containsText" text="실패">
      <formula>NOT(ISERROR(SEARCH(("실패"),(A28))))</formula>
    </cfRule>
  </conditionalFormatting>
  <conditionalFormatting sqref="A28">
    <cfRule type="containsText" dxfId="3" priority="3969" operator="containsText" text="관리">
      <formula>NOT(ISERROR(SEARCH(("관리"),(A28))))</formula>
    </cfRule>
  </conditionalFormatting>
  <conditionalFormatting sqref="A28">
    <cfRule type="containsText" dxfId="4" priority="3970" operator="containsText" text="등록">
      <formula>NOT(ISERROR(SEARCH(("등록"),(A28))))</formula>
    </cfRule>
  </conditionalFormatting>
  <conditionalFormatting sqref="A28">
    <cfRule type="containsText" dxfId="0" priority="3971" operator="containsText" text="거부">
      <formula>NOT(ISERROR(SEARCH(("거부"),(A28))))</formula>
    </cfRule>
  </conditionalFormatting>
  <conditionalFormatting sqref="A28">
    <cfRule type="containsText" dxfId="1" priority="3972" operator="containsText" text="리턴">
      <formula>NOT(ISERROR(SEARCH(("리턴"),(A28))))</formula>
    </cfRule>
  </conditionalFormatting>
  <conditionalFormatting sqref="A28">
    <cfRule type="containsText" dxfId="2" priority="3973" operator="containsText" text="실패">
      <formula>NOT(ISERROR(SEARCH(("실패"),(A28))))</formula>
    </cfRule>
  </conditionalFormatting>
  <conditionalFormatting sqref="A28">
    <cfRule type="containsText" dxfId="3" priority="3974" operator="containsText" text="관리">
      <formula>NOT(ISERROR(SEARCH(("관리"),(A28))))</formula>
    </cfRule>
  </conditionalFormatting>
  <conditionalFormatting sqref="A28">
    <cfRule type="containsText" dxfId="4" priority="3975" operator="containsText" text="등록">
      <formula>NOT(ISERROR(SEARCH(("등록"),(A28))))</formula>
    </cfRule>
  </conditionalFormatting>
  <conditionalFormatting sqref="A28">
    <cfRule type="containsText" dxfId="0" priority="3976" operator="containsText" text="거부">
      <formula>NOT(ISERROR(SEARCH(("거부"),(A28))))</formula>
    </cfRule>
  </conditionalFormatting>
  <conditionalFormatting sqref="A28">
    <cfRule type="containsText" dxfId="1" priority="3977" operator="containsText" text="리턴">
      <formula>NOT(ISERROR(SEARCH(("리턴"),(A28))))</formula>
    </cfRule>
  </conditionalFormatting>
  <conditionalFormatting sqref="A28">
    <cfRule type="containsText" dxfId="2" priority="3978" operator="containsText" text="실패">
      <formula>NOT(ISERROR(SEARCH(("실패"),(A28))))</formula>
    </cfRule>
  </conditionalFormatting>
  <conditionalFormatting sqref="A28">
    <cfRule type="containsText" dxfId="3" priority="3979" operator="containsText" text="관리">
      <formula>NOT(ISERROR(SEARCH(("관리"),(A28))))</formula>
    </cfRule>
  </conditionalFormatting>
  <conditionalFormatting sqref="A28">
    <cfRule type="containsText" dxfId="4" priority="3980" operator="containsText" text="등록">
      <formula>NOT(ISERROR(SEARCH(("등록"),(A28))))</formula>
    </cfRule>
  </conditionalFormatting>
  <conditionalFormatting sqref="A28">
    <cfRule type="containsText" dxfId="0" priority="3981" operator="containsText" text="거부">
      <formula>NOT(ISERROR(SEARCH(("거부"),(A28))))</formula>
    </cfRule>
  </conditionalFormatting>
  <conditionalFormatting sqref="A28">
    <cfRule type="containsText" dxfId="1" priority="3982" operator="containsText" text="리턴">
      <formula>NOT(ISERROR(SEARCH(("리턴"),(A28))))</formula>
    </cfRule>
  </conditionalFormatting>
  <conditionalFormatting sqref="A28">
    <cfRule type="containsText" dxfId="2" priority="3983" operator="containsText" text="실패">
      <formula>NOT(ISERROR(SEARCH(("실패"),(A28))))</formula>
    </cfRule>
  </conditionalFormatting>
  <conditionalFormatting sqref="A28">
    <cfRule type="containsText" dxfId="3" priority="3984" operator="containsText" text="관리">
      <formula>NOT(ISERROR(SEARCH(("관리"),(A28))))</formula>
    </cfRule>
  </conditionalFormatting>
  <conditionalFormatting sqref="A28">
    <cfRule type="containsText" dxfId="4" priority="3985" operator="containsText" text="등록">
      <formula>NOT(ISERROR(SEARCH(("등록"),(A28))))</formula>
    </cfRule>
  </conditionalFormatting>
  <conditionalFormatting sqref="A28">
    <cfRule type="containsText" dxfId="0" priority="3986" operator="containsText" text="거부">
      <formula>NOT(ISERROR(SEARCH(("거부"),(A28))))</formula>
    </cfRule>
  </conditionalFormatting>
  <conditionalFormatting sqref="A28">
    <cfRule type="containsText" dxfId="1" priority="3987" operator="containsText" text="리턴">
      <formula>NOT(ISERROR(SEARCH(("리턴"),(A28))))</formula>
    </cfRule>
  </conditionalFormatting>
  <conditionalFormatting sqref="A28">
    <cfRule type="containsText" dxfId="2" priority="3988" operator="containsText" text="실패">
      <formula>NOT(ISERROR(SEARCH(("실패"),(A28))))</formula>
    </cfRule>
  </conditionalFormatting>
  <conditionalFormatting sqref="A28">
    <cfRule type="containsText" dxfId="3" priority="3989" operator="containsText" text="관리">
      <formula>NOT(ISERROR(SEARCH(("관리"),(A28))))</formula>
    </cfRule>
  </conditionalFormatting>
  <conditionalFormatting sqref="A28">
    <cfRule type="containsText" dxfId="4" priority="3990" operator="containsText" text="등록">
      <formula>NOT(ISERROR(SEARCH(("등록"),(A28))))</formula>
    </cfRule>
  </conditionalFormatting>
  <conditionalFormatting sqref="A28">
    <cfRule type="containsText" dxfId="0" priority="3991" operator="containsText" text="거부">
      <formula>NOT(ISERROR(SEARCH(("거부"),(A28))))</formula>
    </cfRule>
  </conditionalFormatting>
  <conditionalFormatting sqref="A28">
    <cfRule type="containsText" dxfId="1" priority="3992" operator="containsText" text="리턴">
      <formula>NOT(ISERROR(SEARCH(("리턴"),(A28))))</formula>
    </cfRule>
  </conditionalFormatting>
  <conditionalFormatting sqref="A28">
    <cfRule type="containsText" dxfId="2" priority="3993" operator="containsText" text="실패">
      <formula>NOT(ISERROR(SEARCH(("실패"),(A28))))</formula>
    </cfRule>
  </conditionalFormatting>
  <conditionalFormatting sqref="A28">
    <cfRule type="containsText" dxfId="3" priority="3994" operator="containsText" text="관리">
      <formula>NOT(ISERROR(SEARCH(("관리"),(A28))))</formula>
    </cfRule>
  </conditionalFormatting>
  <conditionalFormatting sqref="A28">
    <cfRule type="containsText" dxfId="4" priority="3995" operator="containsText" text="등록">
      <formula>NOT(ISERROR(SEARCH(("등록"),(A28))))</formula>
    </cfRule>
  </conditionalFormatting>
  <conditionalFormatting sqref="A28">
    <cfRule type="containsText" dxfId="0" priority="3996" operator="containsText" text="거부">
      <formula>NOT(ISERROR(SEARCH(("거부"),(A28))))</formula>
    </cfRule>
  </conditionalFormatting>
  <conditionalFormatting sqref="A28">
    <cfRule type="containsText" dxfId="1" priority="3997" operator="containsText" text="리턴">
      <formula>NOT(ISERROR(SEARCH(("리턴"),(A28))))</formula>
    </cfRule>
  </conditionalFormatting>
  <conditionalFormatting sqref="A28">
    <cfRule type="containsText" dxfId="2" priority="3998" operator="containsText" text="실패">
      <formula>NOT(ISERROR(SEARCH(("실패"),(A28))))</formula>
    </cfRule>
  </conditionalFormatting>
  <conditionalFormatting sqref="A28">
    <cfRule type="containsText" dxfId="3" priority="3999" operator="containsText" text="관리">
      <formula>NOT(ISERROR(SEARCH(("관리"),(A28))))</formula>
    </cfRule>
  </conditionalFormatting>
  <conditionalFormatting sqref="A28">
    <cfRule type="containsText" dxfId="4" priority="4000" operator="containsText" text="등록">
      <formula>NOT(ISERROR(SEARCH(("등록"),(A28))))</formula>
    </cfRule>
  </conditionalFormatting>
  <conditionalFormatting sqref="A28">
    <cfRule type="containsText" dxfId="0" priority="4001" operator="containsText" text="거부">
      <formula>NOT(ISERROR(SEARCH(("거부"),(A28))))</formula>
    </cfRule>
  </conditionalFormatting>
  <conditionalFormatting sqref="A28">
    <cfRule type="containsText" dxfId="1" priority="4002" operator="containsText" text="리턴">
      <formula>NOT(ISERROR(SEARCH(("리턴"),(A28))))</formula>
    </cfRule>
  </conditionalFormatting>
  <conditionalFormatting sqref="A28">
    <cfRule type="containsText" dxfId="2" priority="4003" operator="containsText" text="실패">
      <formula>NOT(ISERROR(SEARCH(("실패"),(A28))))</formula>
    </cfRule>
  </conditionalFormatting>
  <conditionalFormatting sqref="A28">
    <cfRule type="containsText" dxfId="3" priority="4004" operator="containsText" text="관리">
      <formula>NOT(ISERROR(SEARCH(("관리"),(A28))))</formula>
    </cfRule>
  </conditionalFormatting>
  <conditionalFormatting sqref="A28">
    <cfRule type="containsText" dxfId="4" priority="4005" operator="containsText" text="등록">
      <formula>NOT(ISERROR(SEARCH(("등록"),(A28))))</formula>
    </cfRule>
  </conditionalFormatting>
  <conditionalFormatting sqref="A28">
    <cfRule type="containsText" dxfId="0" priority="4006" operator="containsText" text="거부">
      <formula>NOT(ISERROR(SEARCH(("거부"),(A28))))</formula>
    </cfRule>
  </conditionalFormatting>
  <conditionalFormatting sqref="A28">
    <cfRule type="containsText" dxfId="1" priority="4007" operator="containsText" text="리턴">
      <formula>NOT(ISERROR(SEARCH(("리턴"),(A28))))</formula>
    </cfRule>
  </conditionalFormatting>
  <conditionalFormatting sqref="A28">
    <cfRule type="containsText" dxfId="2" priority="4008" operator="containsText" text="실패">
      <formula>NOT(ISERROR(SEARCH(("실패"),(A28))))</formula>
    </cfRule>
  </conditionalFormatting>
  <conditionalFormatting sqref="A28">
    <cfRule type="containsText" dxfId="3" priority="4009" operator="containsText" text="관리">
      <formula>NOT(ISERROR(SEARCH(("관리"),(A28))))</formula>
    </cfRule>
  </conditionalFormatting>
  <conditionalFormatting sqref="A28">
    <cfRule type="containsText" dxfId="4" priority="4010" operator="containsText" text="등록">
      <formula>NOT(ISERROR(SEARCH(("등록"),(A28))))</formula>
    </cfRule>
  </conditionalFormatting>
  <conditionalFormatting sqref="A28">
    <cfRule type="containsText" dxfId="0" priority="4011" operator="containsText" text="거부">
      <formula>NOT(ISERROR(SEARCH(("거부"),(A28))))</formula>
    </cfRule>
  </conditionalFormatting>
  <conditionalFormatting sqref="A28">
    <cfRule type="containsText" dxfId="1" priority="4012" operator="containsText" text="리턴">
      <formula>NOT(ISERROR(SEARCH(("리턴"),(A28))))</formula>
    </cfRule>
  </conditionalFormatting>
  <conditionalFormatting sqref="A28">
    <cfRule type="containsText" dxfId="2" priority="4013" operator="containsText" text="실패">
      <formula>NOT(ISERROR(SEARCH(("실패"),(A28))))</formula>
    </cfRule>
  </conditionalFormatting>
  <conditionalFormatting sqref="A28">
    <cfRule type="containsText" dxfId="3" priority="4014" operator="containsText" text="관리">
      <formula>NOT(ISERROR(SEARCH(("관리"),(A28))))</formula>
    </cfRule>
  </conditionalFormatting>
  <conditionalFormatting sqref="A28">
    <cfRule type="containsText" dxfId="4" priority="4015" operator="containsText" text="등록">
      <formula>NOT(ISERROR(SEARCH(("등록"),(A28))))</formula>
    </cfRule>
  </conditionalFormatting>
  <conditionalFormatting sqref="D28">
    <cfRule type="containsText" dxfId="0" priority="4016" operator="containsText" text="거부">
      <formula>NOT(ISERROR(SEARCH(("거부"),(D28))))</formula>
    </cfRule>
  </conditionalFormatting>
  <conditionalFormatting sqref="D28">
    <cfRule type="containsText" dxfId="1" priority="4017" operator="containsText" text="리턴">
      <formula>NOT(ISERROR(SEARCH(("리턴"),(D28))))</formula>
    </cfRule>
  </conditionalFormatting>
  <conditionalFormatting sqref="D28">
    <cfRule type="containsText" dxfId="2" priority="4018" operator="containsText" text="실패">
      <formula>NOT(ISERROR(SEARCH(("실패"),(D28))))</formula>
    </cfRule>
  </conditionalFormatting>
  <conditionalFormatting sqref="D28">
    <cfRule type="containsText" dxfId="3" priority="4019" operator="containsText" text="관리">
      <formula>NOT(ISERROR(SEARCH(("관리"),(D28))))</formula>
    </cfRule>
  </conditionalFormatting>
  <conditionalFormatting sqref="D28">
    <cfRule type="containsText" dxfId="4" priority="4020" operator="containsText" text="등록">
      <formula>NOT(ISERROR(SEARCH(("등록"),(D28))))</formula>
    </cfRule>
  </conditionalFormatting>
  <conditionalFormatting sqref="D28">
    <cfRule type="containsText" dxfId="0" priority="4021" operator="containsText" text="거부">
      <formula>NOT(ISERROR(SEARCH(("거부"),(D28))))</formula>
    </cfRule>
  </conditionalFormatting>
  <conditionalFormatting sqref="D28">
    <cfRule type="containsText" dxfId="1" priority="4022" operator="containsText" text="리턴">
      <formula>NOT(ISERROR(SEARCH(("리턴"),(D28))))</formula>
    </cfRule>
  </conditionalFormatting>
  <conditionalFormatting sqref="D28">
    <cfRule type="containsText" dxfId="2" priority="4023" operator="containsText" text="실패">
      <formula>NOT(ISERROR(SEARCH(("실패"),(D28))))</formula>
    </cfRule>
  </conditionalFormatting>
  <conditionalFormatting sqref="D28">
    <cfRule type="containsText" dxfId="3" priority="4024" operator="containsText" text="관리">
      <formula>NOT(ISERROR(SEARCH(("관리"),(D28))))</formula>
    </cfRule>
  </conditionalFormatting>
  <conditionalFormatting sqref="D28">
    <cfRule type="containsText" dxfId="4" priority="4025" operator="containsText" text="등록">
      <formula>NOT(ISERROR(SEARCH(("등록"),(D28))))</formula>
    </cfRule>
  </conditionalFormatting>
  <conditionalFormatting sqref="D28">
    <cfRule type="containsText" dxfId="0" priority="4026" operator="containsText" text="거부">
      <formula>NOT(ISERROR(SEARCH(("거부"),(D28))))</formula>
    </cfRule>
  </conditionalFormatting>
  <conditionalFormatting sqref="D28">
    <cfRule type="containsText" dxfId="1" priority="4027" operator="containsText" text="리턴">
      <formula>NOT(ISERROR(SEARCH(("리턴"),(D28))))</formula>
    </cfRule>
  </conditionalFormatting>
  <conditionalFormatting sqref="D28">
    <cfRule type="containsText" dxfId="2" priority="4028" operator="containsText" text="실패">
      <formula>NOT(ISERROR(SEARCH(("실패"),(D28))))</formula>
    </cfRule>
  </conditionalFormatting>
  <conditionalFormatting sqref="D28">
    <cfRule type="containsText" dxfId="3" priority="4029" operator="containsText" text="관리">
      <formula>NOT(ISERROR(SEARCH(("관리"),(D28))))</formula>
    </cfRule>
  </conditionalFormatting>
  <conditionalFormatting sqref="D28">
    <cfRule type="containsText" dxfId="4" priority="4030" operator="containsText" text="등록">
      <formula>NOT(ISERROR(SEARCH(("등록"),(D28))))</formula>
    </cfRule>
  </conditionalFormatting>
  <conditionalFormatting sqref="J28">
    <cfRule type="containsText" dxfId="0" priority="4031" operator="containsText" text="거부">
      <formula>NOT(ISERROR(SEARCH(("거부"),(J28))))</formula>
    </cfRule>
  </conditionalFormatting>
  <conditionalFormatting sqref="J28">
    <cfRule type="containsText" dxfId="1" priority="4032" operator="containsText" text="리턴">
      <formula>NOT(ISERROR(SEARCH(("리턴"),(J28))))</formula>
    </cfRule>
  </conditionalFormatting>
  <conditionalFormatting sqref="J28">
    <cfRule type="containsText" dxfId="2" priority="4033" operator="containsText" text="실패">
      <formula>NOT(ISERROR(SEARCH(("실패"),(J28))))</formula>
    </cfRule>
  </conditionalFormatting>
  <conditionalFormatting sqref="J28">
    <cfRule type="containsText" dxfId="3" priority="4034" operator="containsText" text="관리">
      <formula>NOT(ISERROR(SEARCH(("관리"),(J28))))</formula>
    </cfRule>
  </conditionalFormatting>
  <conditionalFormatting sqref="J28">
    <cfRule type="containsText" dxfId="4" priority="4035" operator="containsText" text="등록">
      <formula>NOT(ISERROR(SEARCH(("등록"),(J28))))</formula>
    </cfRule>
  </conditionalFormatting>
  <conditionalFormatting sqref="J28">
    <cfRule type="containsText" dxfId="0" priority="4036" operator="containsText" text="거부">
      <formula>NOT(ISERROR(SEARCH(("거부"),(J28))))</formula>
    </cfRule>
  </conditionalFormatting>
  <conditionalFormatting sqref="J28">
    <cfRule type="containsText" dxfId="1" priority="4037" operator="containsText" text="리턴">
      <formula>NOT(ISERROR(SEARCH(("리턴"),(J28))))</formula>
    </cfRule>
  </conditionalFormatting>
  <conditionalFormatting sqref="J28">
    <cfRule type="containsText" dxfId="2" priority="4038" operator="containsText" text="실패">
      <formula>NOT(ISERROR(SEARCH(("실패"),(J28))))</formula>
    </cfRule>
  </conditionalFormatting>
  <conditionalFormatting sqref="J28">
    <cfRule type="containsText" dxfId="3" priority="4039" operator="containsText" text="관리">
      <formula>NOT(ISERROR(SEARCH(("관리"),(J28))))</formula>
    </cfRule>
  </conditionalFormatting>
  <conditionalFormatting sqref="J28">
    <cfRule type="containsText" dxfId="4" priority="4040" operator="containsText" text="등록">
      <formula>NOT(ISERROR(SEARCH(("등록"),(J28))))</formula>
    </cfRule>
  </conditionalFormatting>
  <conditionalFormatting sqref="J28">
    <cfRule type="containsText" dxfId="0" priority="4041" operator="containsText" text="거부">
      <formula>NOT(ISERROR(SEARCH(("거부"),(J28))))</formula>
    </cfRule>
  </conditionalFormatting>
  <conditionalFormatting sqref="J28">
    <cfRule type="containsText" dxfId="1" priority="4042" operator="containsText" text="리턴">
      <formula>NOT(ISERROR(SEARCH(("리턴"),(J28))))</formula>
    </cfRule>
  </conditionalFormatting>
  <conditionalFormatting sqref="J28">
    <cfRule type="containsText" dxfId="2" priority="4043" operator="containsText" text="실패">
      <formula>NOT(ISERROR(SEARCH(("실패"),(J28))))</formula>
    </cfRule>
  </conditionalFormatting>
  <conditionalFormatting sqref="J28">
    <cfRule type="containsText" dxfId="3" priority="4044" operator="containsText" text="관리">
      <formula>NOT(ISERROR(SEARCH(("관리"),(J28))))</formula>
    </cfRule>
  </conditionalFormatting>
  <conditionalFormatting sqref="J28">
    <cfRule type="containsText" dxfId="4" priority="4045" operator="containsText" text="등록">
      <formula>NOT(ISERROR(SEARCH(("등록"),(J28))))</formula>
    </cfRule>
  </conditionalFormatting>
  <conditionalFormatting sqref="J28">
    <cfRule type="containsText" dxfId="0" priority="4046" operator="containsText" text="거부">
      <formula>NOT(ISERROR(SEARCH(("거부"),(J28))))</formula>
    </cfRule>
  </conditionalFormatting>
  <conditionalFormatting sqref="J28">
    <cfRule type="containsText" dxfId="1" priority="4047" operator="containsText" text="리턴">
      <formula>NOT(ISERROR(SEARCH(("리턴"),(J28))))</formula>
    </cfRule>
  </conditionalFormatting>
  <conditionalFormatting sqref="J28">
    <cfRule type="containsText" dxfId="2" priority="4048" operator="containsText" text="실패">
      <formula>NOT(ISERROR(SEARCH(("실패"),(J28))))</formula>
    </cfRule>
  </conditionalFormatting>
  <conditionalFormatting sqref="J28">
    <cfRule type="containsText" dxfId="3" priority="4049" operator="containsText" text="관리">
      <formula>NOT(ISERROR(SEARCH(("관리"),(J28))))</formula>
    </cfRule>
  </conditionalFormatting>
  <conditionalFormatting sqref="J28">
    <cfRule type="containsText" dxfId="4" priority="4050" operator="containsText" text="등록">
      <formula>NOT(ISERROR(SEARCH(("등록"),(J28))))</formula>
    </cfRule>
  </conditionalFormatting>
  <conditionalFormatting sqref="J28">
    <cfRule type="containsText" dxfId="0" priority="4051" operator="containsText" text="거부">
      <formula>NOT(ISERROR(SEARCH(("거부"),(J28))))</formula>
    </cfRule>
  </conditionalFormatting>
  <conditionalFormatting sqref="J28">
    <cfRule type="containsText" dxfId="1" priority="4052" operator="containsText" text="리턴">
      <formula>NOT(ISERROR(SEARCH(("리턴"),(J28))))</formula>
    </cfRule>
  </conditionalFormatting>
  <conditionalFormatting sqref="J28">
    <cfRule type="containsText" dxfId="2" priority="4053" operator="containsText" text="실패">
      <formula>NOT(ISERROR(SEARCH(("실패"),(J28))))</formula>
    </cfRule>
  </conditionalFormatting>
  <conditionalFormatting sqref="J28">
    <cfRule type="containsText" dxfId="3" priority="4054" operator="containsText" text="관리">
      <formula>NOT(ISERROR(SEARCH(("관리"),(J28))))</formula>
    </cfRule>
  </conditionalFormatting>
  <conditionalFormatting sqref="J28">
    <cfRule type="containsText" dxfId="4" priority="4055" operator="containsText" text="등록">
      <formula>NOT(ISERROR(SEARCH(("등록"),(J28))))</formula>
    </cfRule>
  </conditionalFormatting>
  <conditionalFormatting sqref="J28">
    <cfRule type="containsText" dxfId="0" priority="4056" operator="containsText" text="거부">
      <formula>NOT(ISERROR(SEARCH(("거부"),(J28))))</formula>
    </cfRule>
  </conditionalFormatting>
  <conditionalFormatting sqref="J28">
    <cfRule type="containsText" dxfId="1" priority="4057" operator="containsText" text="리턴">
      <formula>NOT(ISERROR(SEARCH(("리턴"),(J28))))</formula>
    </cfRule>
  </conditionalFormatting>
  <conditionalFormatting sqref="J28">
    <cfRule type="containsText" dxfId="2" priority="4058" operator="containsText" text="실패">
      <formula>NOT(ISERROR(SEARCH(("실패"),(J28))))</formula>
    </cfRule>
  </conditionalFormatting>
  <conditionalFormatting sqref="J28">
    <cfRule type="containsText" dxfId="3" priority="4059" operator="containsText" text="관리">
      <formula>NOT(ISERROR(SEARCH(("관리"),(J28))))</formula>
    </cfRule>
  </conditionalFormatting>
  <conditionalFormatting sqref="J28">
    <cfRule type="containsText" dxfId="4" priority="4060" operator="containsText" text="등록">
      <formula>NOT(ISERROR(SEARCH(("등록"),(J28))))</formula>
    </cfRule>
  </conditionalFormatting>
  <conditionalFormatting sqref="A28">
    <cfRule type="containsText" dxfId="0" priority="4061" operator="containsText" text="거부">
      <formula>NOT(ISERROR(SEARCH(("거부"),(A28))))</formula>
    </cfRule>
  </conditionalFormatting>
  <conditionalFormatting sqref="A28">
    <cfRule type="containsText" dxfId="1" priority="4062" operator="containsText" text="리턴">
      <formula>NOT(ISERROR(SEARCH(("리턴"),(A28))))</formula>
    </cfRule>
  </conditionalFormatting>
  <conditionalFormatting sqref="A28">
    <cfRule type="containsText" dxfId="2" priority="4063" operator="containsText" text="실패">
      <formula>NOT(ISERROR(SEARCH(("실패"),(A28))))</formula>
    </cfRule>
  </conditionalFormatting>
  <conditionalFormatting sqref="A28">
    <cfRule type="containsText" dxfId="3" priority="4064" operator="containsText" text="관리">
      <formula>NOT(ISERROR(SEARCH(("관리"),(A28))))</formula>
    </cfRule>
  </conditionalFormatting>
  <conditionalFormatting sqref="A28">
    <cfRule type="containsText" dxfId="4" priority="4065" operator="containsText" text="등록">
      <formula>NOT(ISERROR(SEARCH(("등록"),(A28))))</formula>
    </cfRule>
  </conditionalFormatting>
  <conditionalFormatting sqref="A28">
    <cfRule type="containsText" dxfId="0" priority="4066" operator="containsText" text="거부">
      <formula>NOT(ISERROR(SEARCH(("거부"),(A28))))</formula>
    </cfRule>
  </conditionalFormatting>
  <conditionalFormatting sqref="A28">
    <cfRule type="containsText" dxfId="1" priority="4067" operator="containsText" text="리턴">
      <formula>NOT(ISERROR(SEARCH(("리턴"),(A28))))</formula>
    </cfRule>
  </conditionalFormatting>
  <conditionalFormatting sqref="A28">
    <cfRule type="containsText" dxfId="2" priority="4068" operator="containsText" text="실패">
      <formula>NOT(ISERROR(SEARCH(("실패"),(A28))))</formula>
    </cfRule>
  </conditionalFormatting>
  <conditionalFormatting sqref="A28">
    <cfRule type="containsText" dxfId="3" priority="4069" operator="containsText" text="관리">
      <formula>NOT(ISERROR(SEARCH(("관리"),(A28))))</formula>
    </cfRule>
  </conditionalFormatting>
  <conditionalFormatting sqref="A28">
    <cfRule type="containsText" dxfId="4" priority="4070" operator="containsText" text="등록">
      <formula>NOT(ISERROR(SEARCH(("등록"),(A28))))</formula>
    </cfRule>
  </conditionalFormatting>
  <conditionalFormatting sqref="A28">
    <cfRule type="containsText" dxfId="0" priority="4071" operator="containsText" text="거부">
      <formula>NOT(ISERROR(SEARCH(("거부"),(A28))))</formula>
    </cfRule>
  </conditionalFormatting>
  <conditionalFormatting sqref="A28">
    <cfRule type="containsText" dxfId="1" priority="4072" operator="containsText" text="리턴">
      <formula>NOT(ISERROR(SEARCH(("리턴"),(A28))))</formula>
    </cfRule>
  </conditionalFormatting>
  <conditionalFormatting sqref="A28">
    <cfRule type="containsText" dxfId="2" priority="4073" operator="containsText" text="실패">
      <formula>NOT(ISERROR(SEARCH(("실패"),(A28))))</formula>
    </cfRule>
  </conditionalFormatting>
  <conditionalFormatting sqref="A28">
    <cfRule type="containsText" dxfId="3" priority="4074" operator="containsText" text="관리">
      <formula>NOT(ISERROR(SEARCH(("관리"),(A28))))</formula>
    </cfRule>
  </conditionalFormatting>
  <conditionalFormatting sqref="A28">
    <cfRule type="containsText" dxfId="4" priority="4075" operator="containsText" text="등록">
      <formula>NOT(ISERROR(SEARCH(("등록"),(A28))))</formula>
    </cfRule>
  </conditionalFormatting>
  <conditionalFormatting sqref="A28">
    <cfRule type="containsText" dxfId="0" priority="4076" operator="containsText" text="거부">
      <formula>NOT(ISERROR(SEARCH(("거부"),(A28))))</formula>
    </cfRule>
  </conditionalFormatting>
  <conditionalFormatting sqref="A28">
    <cfRule type="containsText" dxfId="1" priority="4077" operator="containsText" text="리턴">
      <formula>NOT(ISERROR(SEARCH(("리턴"),(A28))))</formula>
    </cfRule>
  </conditionalFormatting>
  <conditionalFormatting sqref="A28">
    <cfRule type="containsText" dxfId="2" priority="4078" operator="containsText" text="실패">
      <formula>NOT(ISERROR(SEARCH(("실패"),(A28))))</formula>
    </cfRule>
  </conditionalFormatting>
  <conditionalFormatting sqref="A28">
    <cfRule type="containsText" dxfId="3" priority="4079" operator="containsText" text="관리">
      <formula>NOT(ISERROR(SEARCH(("관리"),(A28))))</formula>
    </cfRule>
  </conditionalFormatting>
  <conditionalFormatting sqref="A28">
    <cfRule type="containsText" dxfId="4" priority="4080" operator="containsText" text="등록">
      <formula>NOT(ISERROR(SEARCH(("등록"),(A28))))</formula>
    </cfRule>
  </conditionalFormatting>
  <conditionalFormatting sqref="A28">
    <cfRule type="containsText" dxfId="0" priority="4081" operator="containsText" text="거부">
      <formula>NOT(ISERROR(SEARCH(("거부"),(A28))))</formula>
    </cfRule>
  </conditionalFormatting>
  <conditionalFormatting sqref="A28">
    <cfRule type="containsText" dxfId="1" priority="4082" operator="containsText" text="리턴">
      <formula>NOT(ISERROR(SEARCH(("리턴"),(A28))))</formula>
    </cfRule>
  </conditionalFormatting>
  <conditionalFormatting sqref="A28">
    <cfRule type="containsText" dxfId="2" priority="4083" operator="containsText" text="실패">
      <formula>NOT(ISERROR(SEARCH(("실패"),(A28))))</formula>
    </cfRule>
  </conditionalFormatting>
  <conditionalFormatting sqref="A28">
    <cfRule type="containsText" dxfId="3" priority="4084" operator="containsText" text="관리">
      <formula>NOT(ISERROR(SEARCH(("관리"),(A28))))</formula>
    </cfRule>
  </conditionalFormatting>
  <conditionalFormatting sqref="A28">
    <cfRule type="containsText" dxfId="4" priority="4085" operator="containsText" text="등록">
      <formula>NOT(ISERROR(SEARCH(("등록"),(A28))))</formula>
    </cfRule>
  </conditionalFormatting>
  <conditionalFormatting sqref="D29">
    <cfRule type="containsText" dxfId="0" priority="4086" operator="containsText" text="거부">
      <formula>NOT(ISERROR(SEARCH(("거부"),(D29))))</formula>
    </cfRule>
  </conditionalFormatting>
  <conditionalFormatting sqref="D29">
    <cfRule type="containsText" dxfId="1" priority="4087" operator="containsText" text="리턴">
      <formula>NOT(ISERROR(SEARCH(("리턴"),(D29))))</formula>
    </cfRule>
  </conditionalFormatting>
  <conditionalFormatting sqref="D29">
    <cfRule type="containsText" dxfId="2" priority="4088" operator="containsText" text="실패">
      <formula>NOT(ISERROR(SEARCH(("실패"),(D29))))</formula>
    </cfRule>
  </conditionalFormatting>
  <conditionalFormatting sqref="D29">
    <cfRule type="containsText" dxfId="3" priority="4089" operator="containsText" text="관리">
      <formula>NOT(ISERROR(SEARCH(("관리"),(D29))))</formula>
    </cfRule>
  </conditionalFormatting>
  <conditionalFormatting sqref="D29">
    <cfRule type="containsText" dxfId="4" priority="4090" operator="containsText" text="등록">
      <formula>NOT(ISERROR(SEARCH(("등록"),(D29))))</formula>
    </cfRule>
  </conditionalFormatting>
  <conditionalFormatting sqref="D29">
    <cfRule type="containsText" dxfId="0" priority="4091" operator="containsText" text="거부">
      <formula>NOT(ISERROR(SEARCH(("거부"),(D29))))</formula>
    </cfRule>
  </conditionalFormatting>
  <conditionalFormatting sqref="D29">
    <cfRule type="containsText" dxfId="1" priority="4092" operator="containsText" text="리턴">
      <formula>NOT(ISERROR(SEARCH(("리턴"),(D29))))</formula>
    </cfRule>
  </conditionalFormatting>
  <conditionalFormatting sqref="D29">
    <cfRule type="containsText" dxfId="2" priority="4093" operator="containsText" text="실패">
      <formula>NOT(ISERROR(SEARCH(("실패"),(D29))))</formula>
    </cfRule>
  </conditionalFormatting>
  <conditionalFormatting sqref="D29">
    <cfRule type="containsText" dxfId="3" priority="4094" operator="containsText" text="관리">
      <formula>NOT(ISERROR(SEARCH(("관리"),(D29))))</formula>
    </cfRule>
  </conditionalFormatting>
  <conditionalFormatting sqref="D29">
    <cfRule type="containsText" dxfId="4" priority="4095" operator="containsText" text="등록">
      <formula>NOT(ISERROR(SEARCH(("등록"),(D29))))</formula>
    </cfRule>
  </conditionalFormatting>
  <conditionalFormatting sqref="J29">
    <cfRule type="containsText" dxfId="0" priority="4096" operator="containsText" text="거부">
      <formula>NOT(ISERROR(SEARCH(("거부"),(J29))))</formula>
    </cfRule>
  </conditionalFormatting>
  <conditionalFormatting sqref="J29">
    <cfRule type="containsText" dxfId="1" priority="4097" operator="containsText" text="리턴">
      <formula>NOT(ISERROR(SEARCH(("리턴"),(J29))))</formula>
    </cfRule>
  </conditionalFormatting>
  <conditionalFormatting sqref="J29">
    <cfRule type="containsText" dxfId="2" priority="4098" operator="containsText" text="실패">
      <formula>NOT(ISERROR(SEARCH(("실패"),(J29))))</formula>
    </cfRule>
  </conditionalFormatting>
  <conditionalFormatting sqref="J29">
    <cfRule type="containsText" dxfId="3" priority="4099" operator="containsText" text="관리">
      <formula>NOT(ISERROR(SEARCH(("관리"),(J29))))</formula>
    </cfRule>
  </conditionalFormatting>
  <conditionalFormatting sqref="J29">
    <cfRule type="containsText" dxfId="4" priority="4100" operator="containsText" text="등록">
      <formula>NOT(ISERROR(SEARCH(("등록"),(J29))))</formula>
    </cfRule>
  </conditionalFormatting>
  <conditionalFormatting sqref="J29">
    <cfRule type="containsText" dxfId="0" priority="4101" operator="containsText" text="거부">
      <formula>NOT(ISERROR(SEARCH(("거부"),(J29))))</formula>
    </cfRule>
  </conditionalFormatting>
  <conditionalFormatting sqref="J29">
    <cfRule type="containsText" dxfId="1" priority="4102" operator="containsText" text="리턴">
      <formula>NOT(ISERROR(SEARCH(("리턴"),(J29))))</formula>
    </cfRule>
  </conditionalFormatting>
  <conditionalFormatting sqref="J29">
    <cfRule type="containsText" dxfId="2" priority="4103" operator="containsText" text="실패">
      <formula>NOT(ISERROR(SEARCH(("실패"),(J29))))</formula>
    </cfRule>
  </conditionalFormatting>
  <conditionalFormatting sqref="J29">
    <cfRule type="containsText" dxfId="3" priority="4104" operator="containsText" text="관리">
      <formula>NOT(ISERROR(SEARCH(("관리"),(J29))))</formula>
    </cfRule>
  </conditionalFormatting>
  <conditionalFormatting sqref="J29">
    <cfRule type="containsText" dxfId="4" priority="4105" operator="containsText" text="등록">
      <formula>NOT(ISERROR(SEARCH(("등록"),(J29))))</formula>
    </cfRule>
  </conditionalFormatting>
  <conditionalFormatting sqref="J29">
    <cfRule type="containsText" dxfId="0" priority="4106" operator="containsText" text="거부">
      <formula>NOT(ISERROR(SEARCH(("거부"),(J29))))</formula>
    </cfRule>
  </conditionalFormatting>
  <conditionalFormatting sqref="J29">
    <cfRule type="containsText" dxfId="1" priority="4107" operator="containsText" text="리턴">
      <formula>NOT(ISERROR(SEARCH(("리턴"),(J29))))</formula>
    </cfRule>
  </conditionalFormatting>
  <conditionalFormatting sqref="J29">
    <cfRule type="containsText" dxfId="2" priority="4108" operator="containsText" text="실패">
      <formula>NOT(ISERROR(SEARCH(("실패"),(J29))))</formula>
    </cfRule>
  </conditionalFormatting>
  <conditionalFormatting sqref="J29">
    <cfRule type="containsText" dxfId="3" priority="4109" operator="containsText" text="관리">
      <formula>NOT(ISERROR(SEARCH(("관리"),(J29))))</formula>
    </cfRule>
  </conditionalFormatting>
  <conditionalFormatting sqref="J29">
    <cfRule type="containsText" dxfId="4" priority="4110" operator="containsText" text="등록">
      <formula>NOT(ISERROR(SEARCH(("등록"),(J29))))</formula>
    </cfRule>
  </conditionalFormatting>
  <conditionalFormatting sqref="J29">
    <cfRule type="containsText" dxfId="0" priority="4111" operator="containsText" text="거부">
      <formula>NOT(ISERROR(SEARCH(("거부"),(J29))))</formula>
    </cfRule>
  </conditionalFormatting>
  <conditionalFormatting sqref="J29">
    <cfRule type="containsText" dxfId="1" priority="4112" operator="containsText" text="리턴">
      <formula>NOT(ISERROR(SEARCH(("리턴"),(J29))))</formula>
    </cfRule>
  </conditionalFormatting>
  <conditionalFormatting sqref="J29">
    <cfRule type="containsText" dxfId="2" priority="4113" operator="containsText" text="실패">
      <formula>NOT(ISERROR(SEARCH(("실패"),(J29))))</formula>
    </cfRule>
  </conditionalFormatting>
  <conditionalFormatting sqref="J29">
    <cfRule type="containsText" dxfId="3" priority="4114" operator="containsText" text="관리">
      <formula>NOT(ISERROR(SEARCH(("관리"),(J29))))</formula>
    </cfRule>
  </conditionalFormatting>
  <conditionalFormatting sqref="J29">
    <cfRule type="containsText" dxfId="4" priority="4115" operator="containsText" text="등록">
      <formula>NOT(ISERROR(SEARCH(("등록"),(J29))))</formula>
    </cfRule>
  </conditionalFormatting>
  <conditionalFormatting sqref="J29">
    <cfRule type="containsText" dxfId="0" priority="4116" operator="containsText" text="거부">
      <formula>NOT(ISERROR(SEARCH(("거부"),(J29))))</formula>
    </cfRule>
  </conditionalFormatting>
  <conditionalFormatting sqref="J29">
    <cfRule type="containsText" dxfId="1" priority="4117" operator="containsText" text="리턴">
      <formula>NOT(ISERROR(SEARCH(("리턴"),(J29))))</formula>
    </cfRule>
  </conditionalFormatting>
  <conditionalFormatting sqref="J29">
    <cfRule type="containsText" dxfId="2" priority="4118" operator="containsText" text="실패">
      <formula>NOT(ISERROR(SEARCH(("실패"),(J29))))</formula>
    </cfRule>
  </conditionalFormatting>
  <conditionalFormatting sqref="J29">
    <cfRule type="containsText" dxfId="3" priority="4119" operator="containsText" text="관리">
      <formula>NOT(ISERROR(SEARCH(("관리"),(J29))))</formula>
    </cfRule>
  </conditionalFormatting>
  <conditionalFormatting sqref="J29">
    <cfRule type="containsText" dxfId="4" priority="4120" operator="containsText" text="등록">
      <formula>NOT(ISERROR(SEARCH(("등록"),(J29))))</formula>
    </cfRule>
  </conditionalFormatting>
  <conditionalFormatting sqref="J29">
    <cfRule type="containsText" dxfId="0" priority="4121" operator="containsText" text="거부">
      <formula>NOT(ISERROR(SEARCH(("거부"),(J29))))</formula>
    </cfRule>
  </conditionalFormatting>
  <conditionalFormatting sqref="J29">
    <cfRule type="containsText" dxfId="1" priority="4122" operator="containsText" text="리턴">
      <formula>NOT(ISERROR(SEARCH(("리턴"),(J29))))</formula>
    </cfRule>
  </conditionalFormatting>
  <conditionalFormatting sqref="J29">
    <cfRule type="containsText" dxfId="2" priority="4123" operator="containsText" text="실패">
      <formula>NOT(ISERROR(SEARCH(("실패"),(J29))))</formula>
    </cfRule>
  </conditionalFormatting>
  <conditionalFormatting sqref="J29">
    <cfRule type="containsText" dxfId="3" priority="4124" operator="containsText" text="관리">
      <formula>NOT(ISERROR(SEARCH(("관리"),(J29))))</formula>
    </cfRule>
  </conditionalFormatting>
  <conditionalFormatting sqref="J29">
    <cfRule type="containsText" dxfId="4" priority="4125" operator="containsText" text="등록">
      <formula>NOT(ISERROR(SEARCH(("등록"),(J29))))</formula>
    </cfRule>
  </conditionalFormatting>
  <conditionalFormatting sqref="G30">
    <cfRule type="containsText" dxfId="0" priority="4126" operator="containsText" text="거부">
      <formula>NOT(ISERROR(SEARCH(("거부"),(G30))))</formula>
    </cfRule>
  </conditionalFormatting>
  <conditionalFormatting sqref="G30">
    <cfRule type="containsText" dxfId="1" priority="4127" operator="containsText" text="리턴">
      <formula>NOT(ISERROR(SEARCH(("리턴"),(G30))))</formula>
    </cfRule>
  </conditionalFormatting>
  <conditionalFormatting sqref="G30">
    <cfRule type="containsText" dxfId="2" priority="4128" operator="containsText" text="실패">
      <formula>NOT(ISERROR(SEARCH(("실패"),(G30))))</formula>
    </cfRule>
  </conditionalFormatting>
  <conditionalFormatting sqref="G30">
    <cfRule type="containsText" dxfId="3" priority="4129" operator="containsText" text="관리">
      <formula>NOT(ISERROR(SEARCH(("관리"),(G30))))</formula>
    </cfRule>
  </conditionalFormatting>
  <conditionalFormatting sqref="G30">
    <cfRule type="containsText" dxfId="4" priority="4130" operator="containsText" text="등록">
      <formula>NOT(ISERROR(SEARCH(("등록"),(G30))))</formula>
    </cfRule>
  </conditionalFormatting>
  <conditionalFormatting sqref="A31">
    <cfRule type="containsText" dxfId="0" priority="4131" operator="containsText" text="거부">
      <formula>NOT(ISERROR(SEARCH(("거부"),(A31))))</formula>
    </cfRule>
  </conditionalFormatting>
  <conditionalFormatting sqref="A31">
    <cfRule type="containsText" dxfId="1" priority="4132" operator="containsText" text="리턴">
      <formula>NOT(ISERROR(SEARCH(("리턴"),(A31))))</formula>
    </cfRule>
  </conditionalFormatting>
  <conditionalFormatting sqref="A31">
    <cfRule type="containsText" dxfId="2" priority="4133" operator="containsText" text="실패">
      <formula>NOT(ISERROR(SEARCH(("실패"),(A31))))</formula>
    </cfRule>
  </conditionalFormatting>
  <conditionalFormatting sqref="A31">
    <cfRule type="containsText" dxfId="3" priority="4134" operator="containsText" text="관리">
      <formula>NOT(ISERROR(SEARCH(("관리"),(A31))))</formula>
    </cfRule>
  </conditionalFormatting>
  <conditionalFormatting sqref="A31">
    <cfRule type="containsText" dxfId="4" priority="4135" operator="containsText" text="등록">
      <formula>NOT(ISERROR(SEARCH(("등록"),(A31))))</formula>
    </cfRule>
  </conditionalFormatting>
  <conditionalFormatting sqref="A31">
    <cfRule type="containsText" dxfId="0" priority="4136" operator="containsText" text="거부">
      <formula>NOT(ISERROR(SEARCH(("거부"),(A31))))</formula>
    </cfRule>
  </conditionalFormatting>
  <conditionalFormatting sqref="A31">
    <cfRule type="containsText" dxfId="1" priority="4137" operator="containsText" text="리턴">
      <formula>NOT(ISERROR(SEARCH(("리턴"),(A31))))</formula>
    </cfRule>
  </conditionalFormatting>
  <conditionalFormatting sqref="A31">
    <cfRule type="containsText" dxfId="2" priority="4138" operator="containsText" text="실패">
      <formula>NOT(ISERROR(SEARCH(("실패"),(A31))))</formula>
    </cfRule>
  </conditionalFormatting>
  <conditionalFormatting sqref="A31">
    <cfRule type="containsText" dxfId="3" priority="4139" operator="containsText" text="관리">
      <formula>NOT(ISERROR(SEARCH(("관리"),(A31))))</formula>
    </cfRule>
  </conditionalFormatting>
  <conditionalFormatting sqref="A31">
    <cfRule type="containsText" dxfId="4" priority="4140" operator="containsText" text="등록">
      <formula>NOT(ISERROR(SEARCH(("등록"),(A31))))</formula>
    </cfRule>
  </conditionalFormatting>
  <conditionalFormatting sqref="A31">
    <cfRule type="containsText" dxfId="0" priority="4141" operator="containsText" text="거부">
      <formula>NOT(ISERROR(SEARCH(("거부"),(A31))))</formula>
    </cfRule>
  </conditionalFormatting>
  <conditionalFormatting sqref="A31">
    <cfRule type="containsText" dxfId="1" priority="4142" operator="containsText" text="리턴">
      <formula>NOT(ISERROR(SEARCH(("리턴"),(A31))))</formula>
    </cfRule>
  </conditionalFormatting>
  <conditionalFormatting sqref="A31">
    <cfRule type="containsText" dxfId="2" priority="4143" operator="containsText" text="실패">
      <formula>NOT(ISERROR(SEARCH(("실패"),(A31))))</formula>
    </cfRule>
  </conditionalFormatting>
  <conditionalFormatting sqref="A31">
    <cfRule type="containsText" dxfId="3" priority="4144" operator="containsText" text="관리">
      <formula>NOT(ISERROR(SEARCH(("관리"),(A31))))</formula>
    </cfRule>
  </conditionalFormatting>
  <conditionalFormatting sqref="A31">
    <cfRule type="containsText" dxfId="4" priority="4145" operator="containsText" text="등록">
      <formula>NOT(ISERROR(SEARCH(("등록"),(A31))))</formula>
    </cfRule>
  </conditionalFormatting>
  <conditionalFormatting sqref="A31">
    <cfRule type="containsText" dxfId="0" priority="4146" operator="containsText" text="거부">
      <formula>NOT(ISERROR(SEARCH(("거부"),(A31))))</formula>
    </cfRule>
  </conditionalFormatting>
  <conditionalFormatting sqref="A31">
    <cfRule type="containsText" dxfId="1" priority="4147" operator="containsText" text="리턴">
      <formula>NOT(ISERROR(SEARCH(("리턴"),(A31))))</formula>
    </cfRule>
  </conditionalFormatting>
  <conditionalFormatting sqref="A31">
    <cfRule type="containsText" dxfId="2" priority="4148" operator="containsText" text="실패">
      <formula>NOT(ISERROR(SEARCH(("실패"),(A31))))</formula>
    </cfRule>
  </conditionalFormatting>
  <conditionalFormatting sqref="A31">
    <cfRule type="containsText" dxfId="3" priority="4149" operator="containsText" text="관리">
      <formula>NOT(ISERROR(SEARCH(("관리"),(A31))))</formula>
    </cfRule>
  </conditionalFormatting>
  <conditionalFormatting sqref="A31">
    <cfRule type="containsText" dxfId="4" priority="4150" operator="containsText" text="등록">
      <formula>NOT(ISERROR(SEARCH(("등록"),(A31))))</formula>
    </cfRule>
  </conditionalFormatting>
  <conditionalFormatting sqref="A31">
    <cfRule type="containsText" dxfId="0" priority="4151" operator="containsText" text="거부">
      <formula>NOT(ISERROR(SEARCH(("거부"),(A31))))</formula>
    </cfRule>
  </conditionalFormatting>
  <conditionalFormatting sqref="A31">
    <cfRule type="containsText" dxfId="1" priority="4152" operator="containsText" text="리턴">
      <formula>NOT(ISERROR(SEARCH(("리턴"),(A31))))</formula>
    </cfRule>
  </conditionalFormatting>
  <conditionalFormatting sqref="A31">
    <cfRule type="containsText" dxfId="2" priority="4153" operator="containsText" text="실패">
      <formula>NOT(ISERROR(SEARCH(("실패"),(A31))))</formula>
    </cfRule>
  </conditionalFormatting>
  <conditionalFormatting sqref="A31">
    <cfRule type="containsText" dxfId="3" priority="4154" operator="containsText" text="관리">
      <formula>NOT(ISERROR(SEARCH(("관리"),(A31))))</formula>
    </cfRule>
  </conditionalFormatting>
  <conditionalFormatting sqref="A31">
    <cfRule type="containsText" dxfId="4" priority="4155" operator="containsText" text="등록">
      <formula>NOT(ISERROR(SEARCH(("등록"),(A31))))</formula>
    </cfRule>
  </conditionalFormatting>
  <conditionalFormatting sqref="D31">
    <cfRule type="containsText" dxfId="0" priority="4156" operator="containsText" text="거부">
      <formula>NOT(ISERROR(SEARCH(("거부"),(D31))))</formula>
    </cfRule>
  </conditionalFormatting>
  <conditionalFormatting sqref="D31">
    <cfRule type="containsText" dxfId="1" priority="4157" operator="containsText" text="리턴">
      <formula>NOT(ISERROR(SEARCH(("리턴"),(D31))))</formula>
    </cfRule>
  </conditionalFormatting>
  <conditionalFormatting sqref="D31">
    <cfRule type="containsText" dxfId="2" priority="4158" operator="containsText" text="실패">
      <formula>NOT(ISERROR(SEARCH(("실패"),(D31))))</formula>
    </cfRule>
  </conditionalFormatting>
  <conditionalFormatting sqref="D31">
    <cfRule type="containsText" dxfId="3" priority="4159" operator="containsText" text="관리">
      <formula>NOT(ISERROR(SEARCH(("관리"),(D31))))</formula>
    </cfRule>
  </conditionalFormatting>
  <conditionalFormatting sqref="D31">
    <cfRule type="containsText" dxfId="4" priority="4160" operator="containsText" text="등록">
      <formula>NOT(ISERROR(SEARCH(("등록"),(D31))))</formula>
    </cfRule>
  </conditionalFormatting>
  <conditionalFormatting sqref="D31">
    <cfRule type="containsText" dxfId="0" priority="4161" operator="containsText" text="거부">
      <formula>NOT(ISERROR(SEARCH(("거부"),(D31))))</formula>
    </cfRule>
  </conditionalFormatting>
  <conditionalFormatting sqref="D31">
    <cfRule type="containsText" dxfId="1" priority="4162" operator="containsText" text="리턴">
      <formula>NOT(ISERROR(SEARCH(("리턴"),(D31))))</formula>
    </cfRule>
  </conditionalFormatting>
  <conditionalFormatting sqref="D31">
    <cfRule type="containsText" dxfId="2" priority="4163" operator="containsText" text="실패">
      <formula>NOT(ISERROR(SEARCH(("실패"),(D31))))</formula>
    </cfRule>
  </conditionalFormatting>
  <conditionalFormatting sqref="D31">
    <cfRule type="containsText" dxfId="3" priority="4164" operator="containsText" text="관리">
      <formula>NOT(ISERROR(SEARCH(("관리"),(D31))))</formula>
    </cfRule>
  </conditionalFormatting>
  <conditionalFormatting sqref="D31">
    <cfRule type="containsText" dxfId="4" priority="4165" operator="containsText" text="등록">
      <formula>NOT(ISERROR(SEARCH(("등록"),(D31))))</formula>
    </cfRule>
  </conditionalFormatting>
  <conditionalFormatting sqref="D31">
    <cfRule type="containsText" dxfId="0" priority="4166" operator="containsText" text="거부">
      <formula>NOT(ISERROR(SEARCH(("거부"),(D31))))</formula>
    </cfRule>
  </conditionalFormatting>
  <conditionalFormatting sqref="D31">
    <cfRule type="containsText" dxfId="1" priority="4167" operator="containsText" text="리턴">
      <formula>NOT(ISERROR(SEARCH(("리턴"),(D31))))</formula>
    </cfRule>
  </conditionalFormatting>
  <conditionalFormatting sqref="D31">
    <cfRule type="containsText" dxfId="2" priority="4168" operator="containsText" text="실패">
      <formula>NOT(ISERROR(SEARCH(("실패"),(D31))))</formula>
    </cfRule>
  </conditionalFormatting>
  <conditionalFormatting sqref="D31">
    <cfRule type="containsText" dxfId="3" priority="4169" operator="containsText" text="관리">
      <formula>NOT(ISERROR(SEARCH(("관리"),(D31))))</formula>
    </cfRule>
  </conditionalFormatting>
  <conditionalFormatting sqref="D31">
    <cfRule type="containsText" dxfId="4" priority="4170" operator="containsText" text="등록">
      <formula>NOT(ISERROR(SEARCH(("등록"),(D31))))</formula>
    </cfRule>
  </conditionalFormatting>
  <conditionalFormatting sqref="J31">
    <cfRule type="containsText" dxfId="0" priority="4171" operator="containsText" text="거부">
      <formula>NOT(ISERROR(SEARCH(("거부"),(J31))))</formula>
    </cfRule>
  </conditionalFormatting>
  <conditionalFormatting sqref="J31">
    <cfRule type="containsText" dxfId="1" priority="4172" operator="containsText" text="리턴">
      <formula>NOT(ISERROR(SEARCH(("리턴"),(J31))))</formula>
    </cfRule>
  </conditionalFormatting>
  <conditionalFormatting sqref="J31">
    <cfRule type="containsText" dxfId="2" priority="4173" operator="containsText" text="실패">
      <formula>NOT(ISERROR(SEARCH(("실패"),(J31))))</formula>
    </cfRule>
  </conditionalFormatting>
  <conditionalFormatting sqref="J31">
    <cfRule type="containsText" dxfId="3" priority="4174" operator="containsText" text="관리">
      <formula>NOT(ISERROR(SEARCH(("관리"),(J31))))</formula>
    </cfRule>
  </conditionalFormatting>
  <conditionalFormatting sqref="J31">
    <cfRule type="containsText" dxfId="4" priority="4175" operator="containsText" text="등록">
      <formula>NOT(ISERROR(SEARCH(("등록"),(J31))))</formula>
    </cfRule>
  </conditionalFormatting>
  <conditionalFormatting sqref="J31">
    <cfRule type="containsText" dxfId="0" priority="4176" operator="containsText" text="거부">
      <formula>NOT(ISERROR(SEARCH(("거부"),(J31))))</formula>
    </cfRule>
  </conditionalFormatting>
  <conditionalFormatting sqref="J31">
    <cfRule type="containsText" dxfId="1" priority="4177" operator="containsText" text="리턴">
      <formula>NOT(ISERROR(SEARCH(("리턴"),(J31))))</formula>
    </cfRule>
  </conditionalFormatting>
  <conditionalFormatting sqref="J31">
    <cfRule type="containsText" dxfId="2" priority="4178" operator="containsText" text="실패">
      <formula>NOT(ISERROR(SEARCH(("실패"),(J31))))</formula>
    </cfRule>
  </conditionalFormatting>
  <conditionalFormatting sqref="J31">
    <cfRule type="containsText" dxfId="3" priority="4179" operator="containsText" text="관리">
      <formula>NOT(ISERROR(SEARCH(("관리"),(J31))))</formula>
    </cfRule>
  </conditionalFormatting>
  <conditionalFormatting sqref="J31">
    <cfRule type="containsText" dxfId="4" priority="4180" operator="containsText" text="등록">
      <formula>NOT(ISERROR(SEARCH(("등록"),(J31))))</formula>
    </cfRule>
  </conditionalFormatting>
  <conditionalFormatting sqref="J31">
    <cfRule type="containsText" dxfId="0" priority="4181" operator="containsText" text="거부">
      <formula>NOT(ISERROR(SEARCH(("거부"),(J31))))</formula>
    </cfRule>
  </conditionalFormatting>
  <conditionalFormatting sqref="J31">
    <cfRule type="containsText" dxfId="1" priority="4182" operator="containsText" text="리턴">
      <formula>NOT(ISERROR(SEARCH(("리턴"),(J31))))</formula>
    </cfRule>
  </conditionalFormatting>
  <conditionalFormatting sqref="J31">
    <cfRule type="containsText" dxfId="2" priority="4183" operator="containsText" text="실패">
      <formula>NOT(ISERROR(SEARCH(("실패"),(J31))))</formula>
    </cfRule>
  </conditionalFormatting>
  <conditionalFormatting sqref="J31">
    <cfRule type="containsText" dxfId="3" priority="4184" operator="containsText" text="관리">
      <formula>NOT(ISERROR(SEARCH(("관리"),(J31))))</formula>
    </cfRule>
  </conditionalFormatting>
  <conditionalFormatting sqref="J31">
    <cfRule type="containsText" dxfId="4" priority="4185" operator="containsText" text="등록">
      <formula>NOT(ISERROR(SEARCH(("등록"),(J31))))</formula>
    </cfRule>
  </conditionalFormatting>
  <conditionalFormatting sqref="J31">
    <cfRule type="containsText" dxfId="0" priority="4186" operator="containsText" text="거부">
      <formula>NOT(ISERROR(SEARCH(("거부"),(J31))))</formula>
    </cfRule>
  </conditionalFormatting>
  <conditionalFormatting sqref="J31">
    <cfRule type="containsText" dxfId="1" priority="4187" operator="containsText" text="리턴">
      <formula>NOT(ISERROR(SEARCH(("리턴"),(J31))))</formula>
    </cfRule>
  </conditionalFormatting>
  <conditionalFormatting sqref="J31">
    <cfRule type="containsText" dxfId="2" priority="4188" operator="containsText" text="실패">
      <formula>NOT(ISERROR(SEARCH(("실패"),(J31))))</formula>
    </cfRule>
  </conditionalFormatting>
  <conditionalFormatting sqref="J31">
    <cfRule type="containsText" dxfId="3" priority="4189" operator="containsText" text="관리">
      <formula>NOT(ISERROR(SEARCH(("관리"),(J31))))</formula>
    </cfRule>
  </conditionalFormatting>
  <conditionalFormatting sqref="J31">
    <cfRule type="containsText" dxfId="4" priority="4190" operator="containsText" text="등록">
      <formula>NOT(ISERROR(SEARCH(("등록"),(J31))))</formula>
    </cfRule>
  </conditionalFormatting>
  <conditionalFormatting sqref="J31">
    <cfRule type="containsText" dxfId="0" priority="4191" operator="containsText" text="거부">
      <formula>NOT(ISERROR(SEARCH(("거부"),(J31))))</formula>
    </cfRule>
  </conditionalFormatting>
  <conditionalFormatting sqref="J31">
    <cfRule type="containsText" dxfId="1" priority="4192" operator="containsText" text="리턴">
      <formula>NOT(ISERROR(SEARCH(("리턴"),(J31))))</formula>
    </cfRule>
  </conditionalFormatting>
  <conditionalFormatting sqref="J31">
    <cfRule type="containsText" dxfId="2" priority="4193" operator="containsText" text="실패">
      <formula>NOT(ISERROR(SEARCH(("실패"),(J31))))</formula>
    </cfRule>
  </conditionalFormatting>
  <conditionalFormatting sqref="J31">
    <cfRule type="containsText" dxfId="3" priority="4194" operator="containsText" text="관리">
      <formula>NOT(ISERROR(SEARCH(("관리"),(J31))))</formula>
    </cfRule>
  </conditionalFormatting>
  <conditionalFormatting sqref="J31">
    <cfRule type="containsText" dxfId="4" priority="4195" operator="containsText" text="등록">
      <formula>NOT(ISERROR(SEARCH(("등록"),(J31))))</formula>
    </cfRule>
  </conditionalFormatting>
  <conditionalFormatting sqref="J31">
    <cfRule type="containsText" dxfId="0" priority="4196" operator="containsText" text="거부">
      <formula>NOT(ISERROR(SEARCH(("거부"),(J31))))</formula>
    </cfRule>
  </conditionalFormatting>
  <conditionalFormatting sqref="J31">
    <cfRule type="containsText" dxfId="1" priority="4197" operator="containsText" text="리턴">
      <formula>NOT(ISERROR(SEARCH(("리턴"),(J31))))</formula>
    </cfRule>
  </conditionalFormatting>
  <conditionalFormatting sqref="J31">
    <cfRule type="containsText" dxfId="2" priority="4198" operator="containsText" text="실패">
      <formula>NOT(ISERROR(SEARCH(("실패"),(J31))))</formula>
    </cfRule>
  </conditionalFormatting>
  <conditionalFormatting sqref="J31">
    <cfRule type="containsText" dxfId="3" priority="4199" operator="containsText" text="관리">
      <formula>NOT(ISERROR(SEARCH(("관리"),(J31))))</formula>
    </cfRule>
  </conditionalFormatting>
  <conditionalFormatting sqref="J31">
    <cfRule type="containsText" dxfId="4" priority="4200" operator="containsText" text="등록">
      <formula>NOT(ISERROR(SEARCH(("등록"),(J31))))</formula>
    </cfRule>
  </conditionalFormatting>
  <conditionalFormatting sqref="A32">
    <cfRule type="containsText" dxfId="0" priority="4201" operator="containsText" text="거부">
      <formula>NOT(ISERROR(SEARCH(("거부"),(A32))))</formula>
    </cfRule>
  </conditionalFormatting>
  <conditionalFormatting sqref="A32">
    <cfRule type="containsText" dxfId="1" priority="4202" operator="containsText" text="리턴">
      <formula>NOT(ISERROR(SEARCH(("리턴"),(A32))))</formula>
    </cfRule>
  </conditionalFormatting>
  <conditionalFormatting sqref="A32">
    <cfRule type="containsText" dxfId="2" priority="4203" operator="containsText" text="실패">
      <formula>NOT(ISERROR(SEARCH(("실패"),(A32))))</formula>
    </cfRule>
  </conditionalFormatting>
  <conditionalFormatting sqref="A32">
    <cfRule type="containsText" dxfId="3" priority="4204" operator="containsText" text="관리">
      <formula>NOT(ISERROR(SEARCH(("관리"),(A32))))</formula>
    </cfRule>
  </conditionalFormatting>
  <conditionalFormatting sqref="A32">
    <cfRule type="containsText" dxfId="4" priority="4205" operator="containsText" text="등록">
      <formula>NOT(ISERROR(SEARCH(("등록"),(A32))))</formula>
    </cfRule>
  </conditionalFormatting>
  <conditionalFormatting sqref="A32">
    <cfRule type="containsText" dxfId="0" priority="4206" operator="containsText" text="거부">
      <formula>NOT(ISERROR(SEARCH(("거부"),(A32))))</formula>
    </cfRule>
  </conditionalFormatting>
  <conditionalFormatting sqref="A32">
    <cfRule type="containsText" dxfId="1" priority="4207" operator="containsText" text="리턴">
      <formula>NOT(ISERROR(SEARCH(("리턴"),(A32))))</formula>
    </cfRule>
  </conditionalFormatting>
  <conditionalFormatting sqref="A32">
    <cfRule type="containsText" dxfId="2" priority="4208" operator="containsText" text="실패">
      <formula>NOT(ISERROR(SEARCH(("실패"),(A32))))</formula>
    </cfRule>
  </conditionalFormatting>
  <conditionalFormatting sqref="A32">
    <cfRule type="containsText" dxfId="3" priority="4209" operator="containsText" text="관리">
      <formula>NOT(ISERROR(SEARCH(("관리"),(A32))))</formula>
    </cfRule>
  </conditionalFormatting>
  <conditionalFormatting sqref="A32">
    <cfRule type="containsText" dxfId="4" priority="4210" operator="containsText" text="등록">
      <formula>NOT(ISERROR(SEARCH(("등록"),(A32))))</formula>
    </cfRule>
  </conditionalFormatting>
  <conditionalFormatting sqref="A32">
    <cfRule type="containsText" dxfId="0" priority="4211" operator="containsText" text="거부">
      <formula>NOT(ISERROR(SEARCH(("거부"),(A32))))</formula>
    </cfRule>
  </conditionalFormatting>
  <conditionalFormatting sqref="A32">
    <cfRule type="containsText" dxfId="1" priority="4212" operator="containsText" text="리턴">
      <formula>NOT(ISERROR(SEARCH(("리턴"),(A32))))</formula>
    </cfRule>
  </conditionalFormatting>
  <conditionalFormatting sqref="A32">
    <cfRule type="containsText" dxfId="2" priority="4213" operator="containsText" text="실패">
      <formula>NOT(ISERROR(SEARCH(("실패"),(A32))))</formula>
    </cfRule>
  </conditionalFormatting>
  <conditionalFormatting sqref="A32">
    <cfRule type="containsText" dxfId="3" priority="4214" operator="containsText" text="관리">
      <formula>NOT(ISERROR(SEARCH(("관리"),(A32))))</formula>
    </cfRule>
  </conditionalFormatting>
  <conditionalFormatting sqref="A32">
    <cfRule type="containsText" dxfId="4" priority="4215" operator="containsText" text="등록">
      <formula>NOT(ISERROR(SEARCH(("등록"),(A32))))</formula>
    </cfRule>
  </conditionalFormatting>
  <conditionalFormatting sqref="A32">
    <cfRule type="containsText" dxfId="0" priority="4216" operator="containsText" text="거부">
      <formula>NOT(ISERROR(SEARCH(("거부"),(A32))))</formula>
    </cfRule>
  </conditionalFormatting>
  <conditionalFormatting sqref="A32">
    <cfRule type="containsText" dxfId="1" priority="4217" operator="containsText" text="리턴">
      <formula>NOT(ISERROR(SEARCH(("리턴"),(A32))))</formula>
    </cfRule>
  </conditionalFormatting>
  <conditionalFormatting sqref="A32">
    <cfRule type="containsText" dxfId="2" priority="4218" operator="containsText" text="실패">
      <formula>NOT(ISERROR(SEARCH(("실패"),(A32))))</formula>
    </cfRule>
  </conditionalFormatting>
  <conditionalFormatting sqref="A32">
    <cfRule type="containsText" dxfId="3" priority="4219" operator="containsText" text="관리">
      <formula>NOT(ISERROR(SEARCH(("관리"),(A32))))</formula>
    </cfRule>
  </conditionalFormatting>
  <conditionalFormatting sqref="A32">
    <cfRule type="containsText" dxfId="4" priority="4220" operator="containsText" text="등록">
      <formula>NOT(ISERROR(SEARCH(("등록"),(A32))))</formula>
    </cfRule>
  </conditionalFormatting>
  <conditionalFormatting sqref="A32">
    <cfRule type="containsText" dxfId="0" priority="4221" operator="containsText" text="거부">
      <formula>NOT(ISERROR(SEARCH(("거부"),(A32))))</formula>
    </cfRule>
  </conditionalFormatting>
  <conditionalFormatting sqref="A32">
    <cfRule type="containsText" dxfId="1" priority="4222" operator="containsText" text="리턴">
      <formula>NOT(ISERROR(SEARCH(("리턴"),(A32))))</formula>
    </cfRule>
  </conditionalFormatting>
  <conditionalFormatting sqref="A32">
    <cfRule type="containsText" dxfId="2" priority="4223" operator="containsText" text="실패">
      <formula>NOT(ISERROR(SEARCH(("실패"),(A32))))</formula>
    </cfRule>
  </conditionalFormatting>
  <conditionalFormatting sqref="A32">
    <cfRule type="containsText" dxfId="3" priority="4224" operator="containsText" text="관리">
      <formula>NOT(ISERROR(SEARCH(("관리"),(A32))))</formula>
    </cfRule>
  </conditionalFormatting>
  <conditionalFormatting sqref="A32">
    <cfRule type="containsText" dxfId="4" priority="4225" operator="containsText" text="등록">
      <formula>NOT(ISERROR(SEARCH(("등록"),(A32))))</formula>
    </cfRule>
  </conditionalFormatting>
  <conditionalFormatting sqref="D32">
    <cfRule type="containsText" dxfId="0" priority="4226" operator="containsText" text="거부">
      <formula>NOT(ISERROR(SEARCH(("거부"),(D32))))</formula>
    </cfRule>
  </conditionalFormatting>
  <conditionalFormatting sqref="D32">
    <cfRule type="containsText" dxfId="1" priority="4227" operator="containsText" text="리턴">
      <formula>NOT(ISERROR(SEARCH(("리턴"),(D32))))</formula>
    </cfRule>
  </conditionalFormatting>
  <conditionalFormatting sqref="D32">
    <cfRule type="containsText" dxfId="2" priority="4228" operator="containsText" text="실패">
      <formula>NOT(ISERROR(SEARCH(("실패"),(D32))))</formula>
    </cfRule>
  </conditionalFormatting>
  <conditionalFormatting sqref="D32">
    <cfRule type="containsText" dxfId="3" priority="4229" operator="containsText" text="관리">
      <formula>NOT(ISERROR(SEARCH(("관리"),(D32))))</formula>
    </cfRule>
  </conditionalFormatting>
  <conditionalFormatting sqref="D32">
    <cfRule type="containsText" dxfId="4" priority="4230" operator="containsText" text="등록">
      <formula>NOT(ISERROR(SEARCH(("등록"),(D32))))</formula>
    </cfRule>
  </conditionalFormatting>
  <conditionalFormatting sqref="D32">
    <cfRule type="containsText" dxfId="0" priority="4231" operator="containsText" text="거부">
      <formula>NOT(ISERROR(SEARCH(("거부"),(D32))))</formula>
    </cfRule>
  </conditionalFormatting>
  <conditionalFormatting sqref="D32">
    <cfRule type="containsText" dxfId="1" priority="4232" operator="containsText" text="리턴">
      <formula>NOT(ISERROR(SEARCH(("리턴"),(D32))))</formula>
    </cfRule>
  </conditionalFormatting>
  <conditionalFormatting sqref="D32">
    <cfRule type="containsText" dxfId="2" priority="4233" operator="containsText" text="실패">
      <formula>NOT(ISERROR(SEARCH(("실패"),(D32))))</formula>
    </cfRule>
  </conditionalFormatting>
  <conditionalFormatting sqref="D32">
    <cfRule type="containsText" dxfId="3" priority="4234" operator="containsText" text="관리">
      <formula>NOT(ISERROR(SEARCH(("관리"),(D32))))</formula>
    </cfRule>
  </conditionalFormatting>
  <conditionalFormatting sqref="D32">
    <cfRule type="containsText" dxfId="4" priority="4235" operator="containsText" text="등록">
      <formula>NOT(ISERROR(SEARCH(("등록"),(D32))))</formula>
    </cfRule>
  </conditionalFormatting>
  <conditionalFormatting sqref="D32">
    <cfRule type="containsText" dxfId="0" priority="4236" operator="containsText" text="거부">
      <formula>NOT(ISERROR(SEARCH(("거부"),(D32))))</formula>
    </cfRule>
  </conditionalFormatting>
  <conditionalFormatting sqref="D32">
    <cfRule type="containsText" dxfId="1" priority="4237" operator="containsText" text="리턴">
      <formula>NOT(ISERROR(SEARCH(("리턴"),(D32))))</formula>
    </cfRule>
  </conditionalFormatting>
  <conditionalFormatting sqref="D32">
    <cfRule type="containsText" dxfId="2" priority="4238" operator="containsText" text="실패">
      <formula>NOT(ISERROR(SEARCH(("실패"),(D32))))</formula>
    </cfRule>
  </conditionalFormatting>
  <conditionalFormatting sqref="D32">
    <cfRule type="containsText" dxfId="3" priority="4239" operator="containsText" text="관리">
      <formula>NOT(ISERROR(SEARCH(("관리"),(D32))))</formula>
    </cfRule>
  </conditionalFormatting>
  <conditionalFormatting sqref="D32">
    <cfRule type="containsText" dxfId="4" priority="4240" operator="containsText" text="등록">
      <formula>NOT(ISERROR(SEARCH(("등록"),(D32))))</formula>
    </cfRule>
  </conditionalFormatting>
  <conditionalFormatting sqref="J32">
    <cfRule type="containsText" dxfId="0" priority="4241" operator="containsText" text="거부">
      <formula>NOT(ISERROR(SEARCH(("거부"),(J32))))</formula>
    </cfRule>
  </conditionalFormatting>
  <conditionalFormatting sqref="J32">
    <cfRule type="containsText" dxfId="1" priority="4242" operator="containsText" text="리턴">
      <formula>NOT(ISERROR(SEARCH(("리턴"),(J32))))</formula>
    </cfRule>
  </conditionalFormatting>
  <conditionalFormatting sqref="J32">
    <cfRule type="containsText" dxfId="2" priority="4243" operator="containsText" text="실패">
      <formula>NOT(ISERROR(SEARCH(("실패"),(J32))))</formula>
    </cfRule>
  </conditionalFormatting>
  <conditionalFormatting sqref="J32">
    <cfRule type="containsText" dxfId="3" priority="4244" operator="containsText" text="관리">
      <formula>NOT(ISERROR(SEARCH(("관리"),(J32))))</formula>
    </cfRule>
  </conditionalFormatting>
  <conditionalFormatting sqref="J32">
    <cfRule type="containsText" dxfId="4" priority="4245" operator="containsText" text="등록">
      <formula>NOT(ISERROR(SEARCH(("등록"),(J32))))</formula>
    </cfRule>
  </conditionalFormatting>
  <conditionalFormatting sqref="J32">
    <cfRule type="containsText" dxfId="0" priority="4246" operator="containsText" text="거부">
      <formula>NOT(ISERROR(SEARCH(("거부"),(J32))))</formula>
    </cfRule>
  </conditionalFormatting>
  <conditionalFormatting sqref="J32">
    <cfRule type="containsText" dxfId="1" priority="4247" operator="containsText" text="리턴">
      <formula>NOT(ISERROR(SEARCH(("리턴"),(J32))))</formula>
    </cfRule>
  </conditionalFormatting>
  <conditionalFormatting sqref="J32">
    <cfRule type="containsText" dxfId="2" priority="4248" operator="containsText" text="실패">
      <formula>NOT(ISERROR(SEARCH(("실패"),(J32))))</formula>
    </cfRule>
  </conditionalFormatting>
  <conditionalFormatting sqref="J32">
    <cfRule type="containsText" dxfId="3" priority="4249" operator="containsText" text="관리">
      <formula>NOT(ISERROR(SEARCH(("관리"),(J32))))</formula>
    </cfRule>
  </conditionalFormatting>
  <conditionalFormatting sqref="J32">
    <cfRule type="containsText" dxfId="4" priority="4250" operator="containsText" text="등록">
      <formula>NOT(ISERROR(SEARCH(("등록"),(J32))))</formula>
    </cfRule>
  </conditionalFormatting>
  <conditionalFormatting sqref="J32">
    <cfRule type="containsText" dxfId="0" priority="4251" operator="containsText" text="거부">
      <formula>NOT(ISERROR(SEARCH(("거부"),(J32))))</formula>
    </cfRule>
  </conditionalFormatting>
  <conditionalFormatting sqref="J32">
    <cfRule type="containsText" dxfId="1" priority="4252" operator="containsText" text="리턴">
      <formula>NOT(ISERROR(SEARCH(("리턴"),(J32))))</formula>
    </cfRule>
  </conditionalFormatting>
  <conditionalFormatting sqref="J32">
    <cfRule type="containsText" dxfId="2" priority="4253" operator="containsText" text="실패">
      <formula>NOT(ISERROR(SEARCH(("실패"),(J32))))</formula>
    </cfRule>
  </conditionalFormatting>
  <conditionalFormatting sqref="J32">
    <cfRule type="containsText" dxfId="3" priority="4254" operator="containsText" text="관리">
      <formula>NOT(ISERROR(SEARCH(("관리"),(J32))))</formula>
    </cfRule>
  </conditionalFormatting>
  <conditionalFormatting sqref="J32">
    <cfRule type="containsText" dxfId="4" priority="4255" operator="containsText" text="등록">
      <formula>NOT(ISERROR(SEARCH(("등록"),(J32))))</formula>
    </cfRule>
  </conditionalFormatting>
  <conditionalFormatting sqref="J32">
    <cfRule type="containsText" dxfId="0" priority="4256" operator="containsText" text="거부">
      <formula>NOT(ISERROR(SEARCH(("거부"),(J32))))</formula>
    </cfRule>
  </conditionalFormatting>
  <conditionalFormatting sqref="J32">
    <cfRule type="containsText" dxfId="1" priority="4257" operator="containsText" text="리턴">
      <formula>NOT(ISERROR(SEARCH(("리턴"),(J32))))</formula>
    </cfRule>
  </conditionalFormatting>
  <conditionalFormatting sqref="J32">
    <cfRule type="containsText" dxfId="2" priority="4258" operator="containsText" text="실패">
      <formula>NOT(ISERROR(SEARCH(("실패"),(J32))))</formula>
    </cfRule>
  </conditionalFormatting>
  <conditionalFormatting sqref="J32">
    <cfRule type="containsText" dxfId="3" priority="4259" operator="containsText" text="관리">
      <formula>NOT(ISERROR(SEARCH(("관리"),(J32))))</formula>
    </cfRule>
  </conditionalFormatting>
  <conditionalFormatting sqref="J32">
    <cfRule type="containsText" dxfId="4" priority="4260" operator="containsText" text="등록">
      <formula>NOT(ISERROR(SEARCH(("등록"),(J32))))</formula>
    </cfRule>
  </conditionalFormatting>
  <conditionalFormatting sqref="J32">
    <cfRule type="containsText" dxfId="0" priority="4261" operator="containsText" text="거부">
      <formula>NOT(ISERROR(SEARCH(("거부"),(J32))))</formula>
    </cfRule>
  </conditionalFormatting>
  <conditionalFormatting sqref="J32">
    <cfRule type="containsText" dxfId="1" priority="4262" operator="containsText" text="리턴">
      <formula>NOT(ISERROR(SEARCH(("리턴"),(J32))))</formula>
    </cfRule>
  </conditionalFormatting>
  <conditionalFormatting sqref="J32">
    <cfRule type="containsText" dxfId="2" priority="4263" operator="containsText" text="실패">
      <formula>NOT(ISERROR(SEARCH(("실패"),(J32))))</formula>
    </cfRule>
  </conditionalFormatting>
  <conditionalFormatting sqref="J32">
    <cfRule type="containsText" dxfId="3" priority="4264" operator="containsText" text="관리">
      <formula>NOT(ISERROR(SEARCH(("관리"),(J32))))</formula>
    </cfRule>
  </conditionalFormatting>
  <conditionalFormatting sqref="J32">
    <cfRule type="containsText" dxfId="4" priority="4265" operator="containsText" text="등록">
      <formula>NOT(ISERROR(SEARCH(("등록"),(J32))))</formula>
    </cfRule>
  </conditionalFormatting>
  <conditionalFormatting sqref="J32">
    <cfRule type="containsText" dxfId="0" priority="4266" operator="containsText" text="거부">
      <formula>NOT(ISERROR(SEARCH(("거부"),(J32))))</formula>
    </cfRule>
  </conditionalFormatting>
  <conditionalFormatting sqref="J32">
    <cfRule type="containsText" dxfId="1" priority="4267" operator="containsText" text="리턴">
      <formula>NOT(ISERROR(SEARCH(("리턴"),(J32))))</formula>
    </cfRule>
  </conditionalFormatting>
  <conditionalFormatting sqref="J32">
    <cfRule type="containsText" dxfId="2" priority="4268" operator="containsText" text="실패">
      <formula>NOT(ISERROR(SEARCH(("실패"),(J32))))</formula>
    </cfRule>
  </conditionalFormatting>
  <conditionalFormatting sqref="J32">
    <cfRule type="containsText" dxfId="3" priority="4269" operator="containsText" text="관리">
      <formula>NOT(ISERROR(SEARCH(("관리"),(J32))))</formula>
    </cfRule>
  </conditionalFormatting>
  <conditionalFormatting sqref="J32">
    <cfRule type="containsText" dxfId="4" priority="4270" operator="containsText" text="등록">
      <formula>NOT(ISERROR(SEARCH(("등록"),(J32))))</formula>
    </cfRule>
  </conditionalFormatting>
  <conditionalFormatting sqref="G32">
    <cfRule type="containsText" dxfId="0" priority="4271" operator="containsText" text="거부">
      <formula>NOT(ISERROR(SEARCH(("거부"),(G32))))</formula>
    </cfRule>
  </conditionalFormatting>
  <conditionalFormatting sqref="G32">
    <cfRule type="containsText" dxfId="1" priority="4272" operator="containsText" text="리턴">
      <formula>NOT(ISERROR(SEARCH(("리턴"),(G32))))</formula>
    </cfRule>
  </conditionalFormatting>
  <conditionalFormatting sqref="G32">
    <cfRule type="containsText" dxfId="2" priority="4273" operator="containsText" text="실패">
      <formula>NOT(ISERROR(SEARCH(("실패"),(G32))))</formula>
    </cfRule>
  </conditionalFormatting>
  <conditionalFormatting sqref="G32">
    <cfRule type="containsText" dxfId="3" priority="4274" operator="containsText" text="관리">
      <formula>NOT(ISERROR(SEARCH(("관리"),(G32))))</formula>
    </cfRule>
  </conditionalFormatting>
  <conditionalFormatting sqref="G32">
    <cfRule type="containsText" dxfId="4" priority="4275" operator="containsText" text="등록">
      <formula>NOT(ISERROR(SEARCH(("등록"),(G32))))</formula>
    </cfRule>
  </conditionalFormatting>
  <conditionalFormatting sqref="G16">
    <cfRule type="containsText" dxfId="0" priority="4276" operator="containsText" text="거부">
      <formula>NOT(ISERROR(SEARCH(("거부"),(G16))))</formula>
    </cfRule>
  </conditionalFormatting>
  <conditionalFormatting sqref="G16">
    <cfRule type="containsText" dxfId="1" priority="4277" operator="containsText" text="리턴">
      <formula>NOT(ISERROR(SEARCH(("리턴"),(G16))))</formula>
    </cfRule>
  </conditionalFormatting>
  <conditionalFormatting sqref="G16">
    <cfRule type="containsText" dxfId="2" priority="4278" operator="containsText" text="실패">
      <formula>NOT(ISERROR(SEARCH(("실패"),(G16))))</formula>
    </cfRule>
  </conditionalFormatting>
  <conditionalFormatting sqref="G16">
    <cfRule type="containsText" dxfId="3" priority="4279" operator="containsText" text="관리">
      <formula>NOT(ISERROR(SEARCH(("관리"),(G16))))</formula>
    </cfRule>
  </conditionalFormatting>
  <conditionalFormatting sqref="G16">
    <cfRule type="containsText" dxfId="4" priority="4280" operator="containsText" text="등록">
      <formula>NOT(ISERROR(SEARCH(("등록"),(G16))))</formula>
    </cfRule>
  </conditionalFormatting>
  <conditionalFormatting sqref="A16">
    <cfRule type="containsText" dxfId="0" priority="4281" operator="containsText" text="거부">
      <formula>NOT(ISERROR(SEARCH(("거부"),(A16))))</formula>
    </cfRule>
  </conditionalFormatting>
  <conditionalFormatting sqref="A16">
    <cfRule type="containsText" dxfId="1" priority="4282" operator="containsText" text="리턴">
      <formula>NOT(ISERROR(SEARCH(("리턴"),(A16))))</formula>
    </cfRule>
  </conditionalFormatting>
  <conditionalFormatting sqref="A16">
    <cfRule type="containsText" dxfId="2" priority="4283" operator="containsText" text="실패">
      <formula>NOT(ISERROR(SEARCH(("실패"),(A16))))</formula>
    </cfRule>
  </conditionalFormatting>
  <conditionalFormatting sqref="A16">
    <cfRule type="containsText" dxfId="3" priority="4284" operator="containsText" text="관리">
      <formula>NOT(ISERROR(SEARCH(("관리"),(A16))))</formula>
    </cfRule>
  </conditionalFormatting>
  <conditionalFormatting sqref="A16">
    <cfRule type="containsText" dxfId="4" priority="4285" operator="containsText" text="등록">
      <formula>NOT(ISERROR(SEARCH(("등록"),(A16))))</formula>
    </cfRule>
  </conditionalFormatting>
  <conditionalFormatting sqref="E28">
    <cfRule type="containsText" dxfId="0" priority="4286" operator="containsText" text="거부">
      <formula>NOT(ISERROR(SEARCH(("거부"),(E28))))</formula>
    </cfRule>
  </conditionalFormatting>
  <conditionalFormatting sqref="E28">
    <cfRule type="containsText" dxfId="1" priority="4287" operator="containsText" text="리턴">
      <formula>NOT(ISERROR(SEARCH(("리턴"),(E28))))</formula>
    </cfRule>
  </conditionalFormatting>
  <conditionalFormatting sqref="E28">
    <cfRule type="containsText" dxfId="2" priority="4288" operator="containsText" text="실패">
      <formula>NOT(ISERROR(SEARCH(("실패"),(E28))))</formula>
    </cfRule>
  </conditionalFormatting>
  <conditionalFormatting sqref="E28">
    <cfRule type="containsText" dxfId="3" priority="4289" operator="containsText" text="관리">
      <formula>NOT(ISERROR(SEARCH(("관리"),(E28))))</formula>
    </cfRule>
  </conditionalFormatting>
  <conditionalFormatting sqref="E28">
    <cfRule type="containsText" dxfId="4" priority="4290" operator="containsText" text="등록">
      <formula>NOT(ISERROR(SEARCH(("등록"),(E28))))</formula>
    </cfRule>
  </conditionalFormatting>
  <conditionalFormatting sqref="D19">
    <cfRule type="containsText" dxfId="0" priority="4291" operator="containsText" text="거부">
      <formula>NOT(ISERROR(SEARCH(("거부"),(D19))))</formula>
    </cfRule>
  </conditionalFormatting>
  <conditionalFormatting sqref="D19">
    <cfRule type="containsText" dxfId="1" priority="4292" operator="containsText" text="리턴">
      <formula>NOT(ISERROR(SEARCH(("리턴"),(D19))))</formula>
    </cfRule>
  </conditionalFormatting>
  <conditionalFormatting sqref="D19">
    <cfRule type="containsText" dxfId="2" priority="4293" operator="containsText" text="실패">
      <formula>NOT(ISERROR(SEARCH(("실패"),(D19))))</formula>
    </cfRule>
  </conditionalFormatting>
  <conditionalFormatting sqref="D19">
    <cfRule type="containsText" dxfId="3" priority="4294" operator="containsText" text="관리">
      <formula>NOT(ISERROR(SEARCH(("관리"),(D19))))</formula>
    </cfRule>
  </conditionalFormatting>
  <conditionalFormatting sqref="D19">
    <cfRule type="containsText" dxfId="4" priority="4295" operator="containsText" text="등록">
      <formula>NOT(ISERROR(SEARCH(("등록"),(D19))))</formula>
    </cfRule>
  </conditionalFormatting>
  <conditionalFormatting sqref="G16">
    <cfRule type="containsText" dxfId="0" priority="4296" operator="containsText" text="거부">
      <formula>NOT(ISERROR(SEARCH(("거부"),(G16))))</formula>
    </cfRule>
  </conditionalFormatting>
  <conditionalFormatting sqref="G16">
    <cfRule type="containsText" dxfId="1" priority="4297" operator="containsText" text="리턴">
      <formula>NOT(ISERROR(SEARCH(("리턴"),(G16))))</formula>
    </cfRule>
  </conditionalFormatting>
  <conditionalFormatting sqref="G16">
    <cfRule type="containsText" dxfId="2" priority="4298" operator="containsText" text="실패">
      <formula>NOT(ISERROR(SEARCH(("실패"),(G16))))</formula>
    </cfRule>
  </conditionalFormatting>
  <conditionalFormatting sqref="G16">
    <cfRule type="containsText" dxfId="3" priority="4299" operator="containsText" text="관리">
      <formula>NOT(ISERROR(SEARCH(("관리"),(G16))))</formula>
    </cfRule>
  </conditionalFormatting>
  <conditionalFormatting sqref="G16">
    <cfRule type="containsText" dxfId="4" priority="4300" operator="containsText" text="등록">
      <formula>NOT(ISERROR(SEARCH(("등록"),(G16))))</formula>
    </cfRule>
  </conditionalFormatting>
  <conditionalFormatting sqref="J16">
    <cfRule type="containsText" dxfId="0" priority="4301" operator="containsText" text="거부">
      <formula>NOT(ISERROR(SEARCH(("거부"),(J16))))</formula>
    </cfRule>
  </conditionalFormatting>
  <conditionalFormatting sqref="J16">
    <cfRule type="containsText" dxfId="1" priority="4302" operator="containsText" text="리턴">
      <formula>NOT(ISERROR(SEARCH(("리턴"),(J16))))</formula>
    </cfRule>
  </conditionalFormatting>
  <conditionalFormatting sqref="J16">
    <cfRule type="containsText" dxfId="2" priority="4303" operator="containsText" text="실패">
      <formula>NOT(ISERROR(SEARCH(("실패"),(J16))))</formula>
    </cfRule>
  </conditionalFormatting>
  <conditionalFormatting sqref="J16">
    <cfRule type="containsText" dxfId="3" priority="4304" operator="containsText" text="관리">
      <formula>NOT(ISERROR(SEARCH(("관리"),(J16))))</formula>
    </cfRule>
  </conditionalFormatting>
  <conditionalFormatting sqref="J16">
    <cfRule type="containsText" dxfId="4" priority="4305" operator="containsText" text="등록">
      <formula>NOT(ISERROR(SEARCH(("등록"),(J16))))</formula>
    </cfRule>
  </conditionalFormatting>
  <conditionalFormatting sqref="J16">
    <cfRule type="containsText" dxfId="0" priority="4306" operator="containsText" text="거부">
      <formula>NOT(ISERROR(SEARCH(("거부"),(J16))))</formula>
    </cfRule>
  </conditionalFormatting>
  <conditionalFormatting sqref="J16">
    <cfRule type="containsText" dxfId="1" priority="4307" operator="containsText" text="리턴">
      <formula>NOT(ISERROR(SEARCH(("리턴"),(J16))))</formula>
    </cfRule>
  </conditionalFormatting>
  <conditionalFormatting sqref="J16">
    <cfRule type="containsText" dxfId="2" priority="4308" operator="containsText" text="실패">
      <formula>NOT(ISERROR(SEARCH(("실패"),(J16))))</formula>
    </cfRule>
  </conditionalFormatting>
  <conditionalFormatting sqref="J16">
    <cfRule type="containsText" dxfId="3" priority="4309" operator="containsText" text="관리">
      <formula>NOT(ISERROR(SEARCH(("관리"),(J16))))</formula>
    </cfRule>
  </conditionalFormatting>
  <conditionalFormatting sqref="J16">
    <cfRule type="containsText" dxfId="4" priority="4310" operator="containsText" text="등록">
      <formula>NOT(ISERROR(SEARCH(("등록"),(J16))))</formula>
    </cfRule>
  </conditionalFormatting>
  <conditionalFormatting sqref="D19">
    <cfRule type="containsText" dxfId="0" priority="4311" operator="containsText" text="거부">
      <formula>NOT(ISERROR(SEARCH(("거부"),(D19))))</formula>
    </cfRule>
  </conditionalFormatting>
  <conditionalFormatting sqref="D19">
    <cfRule type="containsText" dxfId="1" priority="4312" operator="containsText" text="리턴">
      <formula>NOT(ISERROR(SEARCH(("리턴"),(D19))))</formula>
    </cfRule>
  </conditionalFormatting>
  <conditionalFormatting sqref="D19">
    <cfRule type="containsText" dxfId="2" priority="4313" operator="containsText" text="실패">
      <formula>NOT(ISERROR(SEARCH(("실패"),(D19))))</formula>
    </cfRule>
  </conditionalFormatting>
  <conditionalFormatting sqref="D19">
    <cfRule type="containsText" dxfId="3" priority="4314" operator="containsText" text="관리">
      <formula>NOT(ISERROR(SEARCH(("관리"),(D19))))</formula>
    </cfRule>
  </conditionalFormatting>
  <conditionalFormatting sqref="D19">
    <cfRule type="containsText" dxfId="4" priority="4315" operator="containsText" text="등록">
      <formula>NOT(ISERROR(SEARCH(("등록"),(D19))))</formula>
    </cfRule>
  </conditionalFormatting>
  <conditionalFormatting sqref="G31">
    <cfRule type="containsText" dxfId="0" priority="4316" operator="containsText" text="거부">
      <formula>NOT(ISERROR(SEARCH(("거부"),(G31))))</formula>
    </cfRule>
  </conditionalFormatting>
  <conditionalFormatting sqref="G31">
    <cfRule type="containsText" dxfId="1" priority="4317" operator="containsText" text="리턴">
      <formula>NOT(ISERROR(SEARCH(("리턴"),(G31))))</formula>
    </cfRule>
  </conditionalFormatting>
  <conditionalFormatting sqref="G31">
    <cfRule type="containsText" dxfId="2" priority="4318" operator="containsText" text="실패">
      <formula>NOT(ISERROR(SEARCH(("실패"),(G31))))</formula>
    </cfRule>
  </conditionalFormatting>
  <conditionalFormatting sqref="G31">
    <cfRule type="containsText" dxfId="3" priority="4319" operator="containsText" text="관리">
      <formula>NOT(ISERROR(SEARCH(("관리"),(G31))))</formula>
    </cfRule>
  </conditionalFormatting>
  <conditionalFormatting sqref="G31">
    <cfRule type="containsText" dxfId="4" priority="4320" operator="containsText" text="등록">
      <formula>NOT(ISERROR(SEARCH(("등록"),(G31))))</formula>
    </cfRule>
  </conditionalFormatting>
  <conditionalFormatting sqref="G32">
    <cfRule type="containsText" dxfId="0" priority="4321" operator="containsText" text="거부">
      <formula>NOT(ISERROR(SEARCH(("거부"),(G32))))</formula>
    </cfRule>
  </conditionalFormatting>
  <conditionalFormatting sqref="G32">
    <cfRule type="containsText" dxfId="1" priority="4322" operator="containsText" text="리턴">
      <formula>NOT(ISERROR(SEARCH(("리턴"),(G32))))</formula>
    </cfRule>
  </conditionalFormatting>
  <conditionalFormatting sqref="G32">
    <cfRule type="containsText" dxfId="2" priority="4323" operator="containsText" text="실패">
      <formula>NOT(ISERROR(SEARCH(("실패"),(G32))))</formula>
    </cfRule>
  </conditionalFormatting>
  <conditionalFormatting sqref="G32">
    <cfRule type="containsText" dxfId="3" priority="4324" operator="containsText" text="관리">
      <formula>NOT(ISERROR(SEARCH(("관리"),(G32))))</formula>
    </cfRule>
  </conditionalFormatting>
  <conditionalFormatting sqref="G32">
    <cfRule type="containsText" dxfId="4" priority="4325" operator="containsText" text="등록">
      <formula>NOT(ISERROR(SEARCH(("등록"),(G32))))</formula>
    </cfRule>
  </conditionalFormatting>
  <conditionalFormatting sqref="G31">
    <cfRule type="containsText" dxfId="0" priority="4326" operator="containsText" text="거부">
      <formula>NOT(ISERROR(SEARCH(("거부"),(G31))))</formula>
    </cfRule>
  </conditionalFormatting>
  <conditionalFormatting sqref="G31">
    <cfRule type="containsText" dxfId="1" priority="4327" operator="containsText" text="리턴">
      <formula>NOT(ISERROR(SEARCH(("리턴"),(G31))))</formula>
    </cfRule>
  </conditionalFormatting>
  <conditionalFormatting sqref="G31">
    <cfRule type="containsText" dxfId="2" priority="4328" operator="containsText" text="실패">
      <formula>NOT(ISERROR(SEARCH(("실패"),(G31))))</formula>
    </cfRule>
  </conditionalFormatting>
  <conditionalFormatting sqref="G31">
    <cfRule type="containsText" dxfId="3" priority="4329" operator="containsText" text="관리">
      <formula>NOT(ISERROR(SEARCH(("관리"),(G31))))</formula>
    </cfRule>
  </conditionalFormatting>
  <conditionalFormatting sqref="G31">
    <cfRule type="containsText" dxfId="4" priority="4330" operator="containsText" text="등록">
      <formula>NOT(ISERROR(SEARCH(("등록"),(G31))))</formula>
    </cfRule>
  </conditionalFormatting>
  <conditionalFormatting sqref="G32">
    <cfRule type="containsText" dxfId="0" priority="4331" operator="containsText" text="거부">
      <formula>NOT(ISERROR(SEARCH(("거부"),(G32))))</formula>
    </cfRule>
  </conditionalFormatting>
  <conditionalFormatting sqref="G32">
    <cfRule type="containsText" dxfId="1" priority="4332" operator="containsText" text="리턴">
      <formula>NOT(ISERROR(SEARCH(("리턴"),(G32))))</formula>
    </cfRule>
  </conditionalFormatting>
  <conditionalFormatting sqref="G32">
    <cfRule type="containsText" dxfId="2" priority="4333" operator="containsText" text="실패">
      <formula>NOT(ISERROR(SEARCH(("실패"),(G32))))</formula>
    </cfRule>
  </conditionalFormatting>
  <conditionalFormatting sqref="G32">
    <cfRule type="containsText" dxfId="3" priority="4334" operator="containsText" text="관리">
      <formula>NOT(ISERROR(SEARCH(("관리"),(G32))))</formula>
    </cfRule>
  </conditionalFormatting>
  <conditionalFormatting sqref="G32">
    <cfRule type="containsText" dxfId="4" priority="4335" operator="containsText" text="등록">
      <formula>NOT(ISERROR(SEARCH(("등록"),(G32))))</formula>
    </cfRule>
  </conditionalFormatting>
  <conditionalFormatting sqref="F20">
    <cfRule type="containsText" dxfId="0" priority="4336" operator="containsText" text="거부">
      <formula>NOT(ISERROR(SEARCH(("거부"),(F20))))</formula>
    </cfRule>
  </conditionalFormatting>
  <conditionalFormatting sqref="F20">
    <cfRule type="containsText" dxfId="1" priority="4337" operator="containsText" text="리턴">
      <formula>NOT(ISERROR(SEARCH(("리턴"),(F20))))</formula>
    </cfRule>
  </conditionalFormatting>
  <conditionalFormatting sqref="F20">
    <cfRule type="containsText" dxfId="2" priority="4338" operator="containsText" text="실패">
      <formula>NOT(ISERROR(SEARCH(("실패"),(F20))))</formula>
    </cfRule>
  </conditionalFormatting>
  <conditionalFormatting sqref="F20">
    <cfRule type="containsText" dxfId="3" priority="4339" operator="containsText" text="관리">
      <formula>NOT(ISERROR(SEARCH(("관리"),(F20))))</formula>
    </cfRule>
  </conditionalFormatting>
  <conditionalFormatting sqref="F20">
    <cfRule type="containsText" dxfId="4" priority="4340" operator="containsText" text="등록">
      <formula>NOT(ISERROR(SEARCH(("등록"),(F20))))</formula>
    </cfRule>
  </conditionalFormatting>
  <conditionalFormatting sqref="G16">
    <cfRule type="containsText" dxfId="0" priority="4341" operator="containsText" text="거부">
      <formula>NOT(ISERROR(SEARCH(("거부"),(G16))))</formula>
    </cfRule>
  </conditionalFormatting>
  <conditionalFormatting sqref="G16">
    <cfRule type="containsText" dxfId="1" priority="4342" operator="containsText" text="리턴">
      <formula>NOT(ISERROR(SEARCH(("리턴"),(G16))))</formula>
    </cfRule>
  </conditionalFormatting>
  <conditionalFormatting sqref="G16">
    <cfRule type="containsText" dxfId="2" priority="4343" operator="containsText" text="실패">
      <formula>NOT(ISERROR(SEARCH(("실패"),(G16))))</formula>
    </cfRule>
  </conditionalFormatting>
  <conditionalFormatting sqref="G16">
    <cfRule type="containsText" dxfId="3" priority="4344" operator="containsText" text="관리">
      <formula>NOT(ISERROR(SEARCH(("관리"),(G16))))</formula>
    </cfRule>
  </conditionalFormatting>
  <conditionalFormatting sqref="G16">
    <cfRule type="containsText" dxfId="4" priority="4345" operator="containsText" text="등록">
      <formula>NOT(ISERROR(SEARCH(("등록"),(G16))))</formula>
    </cfRule>
  </conditionalFormatting>
  <conditionalFormatting sqref="G17">
    <cfRule type="containsText" dxfId="0" priority="4346" operator="containsText" text="거부">
      <formula>NOT(ISERROR(SEARCH(("거부"),(G17))))</formula>
    </cfRule>
  </conditionalFormatting>
  <conditionalFormatting sqref="G17">
    <cfRule type="containsText" dxfId="1" priority="4347" operator="containsText" text="리턴">
      <formula>NOT(ISERROR(SEARCH(("리턴"),(G17))))</formula>
    </cfRule>
  </conditionalFormatting>
  <conditionalFormatting sqref="G17">
    <cfRule type="containsText" dxfId="2" priority="4348" operator="containsText" text="실패">
      <formula>NOT(ISERROR(SEARCH(("실패"),(G17))))</formula>
    </cfRule>
  </conditionalFormatting>
  <conditionalFormatting sqref="G17">
    <cfRule type="containsText" dxfId="3" priority="4349" operator="containsText" text="관리">
      <formula>NOT(ISERROR(SEARCH(("관리"),(G17))))</formula>
    </cfRule>
  </conditionalFormatting>
  <conditionalFormatting sqref="G17">
    <cfRule type="containsText" dxfId="4" priority="4350" operator="containsText" text="등록">
      <formula>NOT(ISERROR(SEARCH(("등록"),(G17))))</formula>
    </cfRule>
  </conditionalFormatting>
  <conditionalFormatting sqref="G17">
    <cfRule type="containsText" dxfId="0" priority="4351" operator="containsText" text="거부">
      <formula>NOT(ISERROR(SEARCH(("거부"),(G17))))</formula>
    </cfRule>
  </conditionalFormatting>
  <conditionalFormatting sqref="G17">
    <cfRule type="containsText" dxfId="1" priority="4352" operator="containsText" text="리턴">
      <formula>NOT(ISERROR(SEARCH(("리턴"),(G17))))</formula>
    </cfRule>
  </conditionalFormatting>
  <conditionalFormatting sqref="G17">
    <cfRule type="containsText" dxfId="2" priority="4353" operator="containsText" text="실패">
      <formula>NOT(ISERROR(SEARCH(("실패"),(G17))))</formula>
    </cfRule>
  </conditionalFormatting>
  <conditionalFormatting sqref="G17">
    <cfRule type="containsText" dxfId="3" priority="4354" operator="containsText" text="관리">
      <formula>NOT(ISERROR(SEARCH(("관리"),(G17))))</formula>
    </cfRule>
  </conditionalFormatting>
  <conditionalFormatting sqref="G17">
    <cfRule type="containsText" dxfId="4" priority="4355" operator="containsText" text="등록">
      <formula>NOT(ISERROR(SEARCH(("등록"),(G17))))</formula>
    </cfRule>
  </conditionalFormatting>
  <conditionalFormatting sqref="G16">
    <cfRule type="containsText" dxfId="0" priority="4356" operator="containsText" text="거부">
      <formula>NOT(ISERROR(SEARCH(("거부"),(G16))))</formula>
    </cfRule>
  </conditionalFormatting>
  <conditionalFormatting sqref="G16">
    <cfRule type="containsText" dxfId="1" priority="4357" operator="containsText" text="리턴">
      <formula>NOT(ISERROR(SEARCH(("리턴"),(G16))))</formula>
    </cfRule>
  </conditionalFormatting>
  <conditionalFormatting sqref="G16">
    <cfRule type="containsText" dxfId="2" priority="4358" operator="containsText" text="실패">
      <formula>NOT(ISERROR(SEARCH(("실패"),(G16))))</formula>
    </cfRule>
  </conditionalFormatting>
  <conditionalFormatting sqref="G16">
    <cfRule type="containsText" dxfId="3" priority="4359" operator="containsText" text="관리">
      <formula>NOT(ISERROR(SEARCH(("관리"),(G16))))</formula>
    </cfRule>
  </conditionalFormatting>
  <conditionalFormatting sqref="G16">
    <cfRule type="containsText" dxfId="4" priority="4360" operator="containsText" text="등록">
      <formula>NOT(ISERROR(SEARCH(("등록"),(G16))))</formula>
    </cfRule>
  </conditionalFormatting>
  <conditionalFormatting sqref="J16">
    <cfRule type="containsText" dxfId="0" priority="4361" operator="containsText" text="거부">
      <formula>NOT(ISERROR(SEARCH(("거부"),(J16))))</formula>
    </cfRule>
  </conditionalFormatting>
  <conditionalFormatting sqref="J16">
    <cfRule type="containsText" dxfId="1" priority="4362" operator="containsText" text="리턴">
      <formula>NOT(ISERROR(SEARCH(("리턴"),(J16))))</formula>
    </cfRule>
  </conditionalFormatting>
  <conditionalFormatting sqref="J16">
    <cfRule type="containsText" dxfId="2" priority="4363" operator="containsText" text="실패">
      <formula>NOT(ISERROR(SEARCH(("실패"),(J16))))</formula>
    </cfRule>
  </conditionalFormatting>
  <conditionalFormatting sqref="J16">
    <cfRule type="containsText" dxfId="3" priority="4364" operator="containsText" text="관리">
      <formula>NOT(ISERROR(SEARCH(("관리"),(J16))))</formula>
    </cfRule>
  </conditionalFormatting>
  <conditionalFormatting sqref="J16">
    <cfRule type="containsText" dxfId="4" priority="4365" operator="containsText" text="등록">
      <formula>NOT(ISERROR(SEARCH(("등록"),(J16))))</formula>
    </cfRule>
  </conditionalFormatting>
  <conditionalFormatting sqref="G22">
    <cfRule type="containsText" dxfId="0" priority="4366" operator="containsText" text="거부">
      <formula>NOT(ISERROR(SEARCH(("거부"),(G22))))</formula>
    </cfRule>
  </conditionalFormatting>
  <conditionalFormatting sqref="G22">
    <cfRule type="containsText" dxfId="1" priority="4367" operator="containsText" text="리턴">
      <formula>NOT(ISERROR(SEARCH(("리턴"),(G22))))</formula>
    </cfRule>
  </conditionalFormatting>
  <conditionalFormatting sqref="G22">
    <cfRule type="containsText" dxfId="2" priority="4368" operator="containsText" text="실패">
      <formula>NOT(ISERROR(SEARCH(("실패"),(G22))))</formula>
    </cfRule>
  </conditionalFormatting>
  <conditionalFormatting sqref="G22">
    <cfRule type="containsText" dxfId="3" priority="4369" operator="containsText" text="관리">
      <formula>NOT(ISERROR(SEARCH(("관리"),(G22))))</formula>
    </cfRule>
  </conditionalFormatting>
  <conditionalFormatting sqref="G22">
    <cfRule type="containsText" dxfId="4" priority="4370" operator="containsText" text="등록">
      <formula>NOT(ISERROR(SEARCH(("등록"),(G22))))</formula>
    </cfRule>
  </conditionalFormatting>
  <conditionalFormatting sqref="A22">
    <cfRule type="containsText" dxfId="0" priority="4371" operator="containsText" text="거부">
      <formula>NOT(ISERROR(SEARCH(("거부"),(A22))))</formula>
    </cfRule>
  </conditionalFormatting>
  <conditionalFormatting sqref="A22">
    <cfRule type="containsText" dxfId="1" priority="4372" operator="containsText" text="리턴">
      <formula>NOT(ISERROR(SEARCH(("리턴"),(A22))))</formula>
    </cfRule>
  </conditionalFormatting>
  <conditionalFormatting sqref="A22">
    <cfRule type="containsText" dxfId="2" priority="4373" operator="containsText" text="실패">
      <formula>NOT(ISERROR(SEARCH(("실패"),(A22))))</formula>
    </cfRule>
  </conditionalFormatting>
  <conditionalFormatting sqref="A22">
    <cfRule type="containsText" dxfId="3" priority="4374" operator="containsText" text="관리">
      <formula>NOT(ISERROR(SEARCH(("관리"),(A22))))</formula>
    </cfRule>
  </conditionalFormatting>
  <conditionalFormatting sqref="A22">
    <cfRule type="containsText" dxfId="4" priority="4375" operator="containsText" text="등록">
      <formula>NOT(ISERROR(SEARCH(("등록"),(A22))))</formula>
    </cfRule>
  </conditionalFormatting>
  <conditionalFormatting sqref="A22">
    <cfRule type="containsText" dxfId="0" priority="4376" operator="containsText" text="거부">
      <formula>NOT(ISERROR(SEARCH(("거부"),(A22))))</formula>
    </cfRule>
  </conditionalFormatting>
  <conditionalFormatting sqref="A22">
    <cfRule type="containsText" dxfId="1" priority="4377" operator="containsText" text="리턴">
      <formula>NOT(ISERROR(SEARCH(("리턴"),(A22))))</formula>
    </cfRule>
  </conditionalFormatting>
  <conditionalFormatting sqref="A22">
    <cfRule type="containsText" dxfId="2" priority="4378" operator="containsText" text="실패">
      <formula>NOT(ISERROR(SEARCH(("실패"),(A22))))</formula>
    </cfRule>
  </conditionalFormatting>
  <conditionalFormatting sqref="A22">
    <cfRule type="containsText" dxfId="3" priority="4379" operator="containsText" text="관리">
      <formula>NOT(ISERROR(SEARCH(("관리"),(A22))))</formula>
    </cfRule>
  </conditionalFormatting>
  <conditionalFormatting sqref="A22">
    <cfRule type="containsText" dxfId="4" priority="4380" operator="containsText" text="등록">
      <formula>NOT(ISERROR(SEARCH(("등록"),(A22))))</formula>
    </cfRule>
  </conditionalFormatting>
  <conditionalFormatting sqref="D22">
    <cfRule type="containsText" dxfId="0" priority="4381" operator="containsText" text="거부">
      <formula>NOT(ISERROR(SEARCH(("거부"),(D22))))</formula>
    </cfRule>
  </conditionalFormatting>
  <conditionalFormatting sqref="D22">
    <cfRule type="containsText" dxfId="1" priority="4382" operator="containsText" text="리턴">
      <formula>NOT(ISERROR(SEARCH(("리턴"),(D22))))</formula>
    </cfRule>
  </conditionalFormatting>
  <conditionalFormatting sqref="D22">
    <cfRule type="containsText" dxfId="2" priority="4383" operator="containsText" text="실패">
      <formula>NOT(ISERROR(SEARCH(("실패"),(D22))))</formula>
    </cfRule>
  </conditionalFormatting>
  <conditionalFormatting sqref="D22">
    <cfRule type="containsText" dxfId="3" priority="4384" operator="containsText" text="관리">
      <formula>NOT(ISERROR(SEARCH(("관리"),(D22))))</formula>
    </cfRule>
  </conditionalFormatting>
  <conditionalFormatting sqref="D22">
    <cfRule type="containsText" dxfId="4" priority="4385" operator="containsText" text="등록">
      <formula>NOT(ISERROR(SEARCH(("등록"),(D22))))</formula>
    </cfRule>
  </conditionalFormatting>
  <conditionalFormatting sqref="G22">
    <cfRule type="containsText" dxfId="0" priority="4386" operator="containsText" text="거부">
      <formula>NOT(ISERROR(SEARCH(("거부"),(G22))))</formula>
    </cfRule>
  </conditionalFormatting>
  <conditionalFormatting sqref="G22">
    <cfRule type="containsText" dxfId="1" priority="4387" operator="containsText" text="리턴">
      <formula>NOT(ISERROR(SEARCH(("리턴"),(G22))))</formula>
    </cfRule>
  </conditionalFormatting>
  <conditionalFormatting sqref="G22">
    <cfRule type="containsText" dxfId="2" priority="4388" operator="containsText" text="실패">
      <formula>NOT(ISERROR(SEARCH(("실패"),(G22))))</formula>
    </cfRule>
  </conditionalFormatting>
  <conditionalFormatting sqref="G22">
    <cfRule type="containsText" dxfId="3" priority="4389" operator="containsText" text="관리">
      <formula>NOT(ISERROR(SEARCH(("관리"),(G22))))</formula>
    </cfRule>
  </conditionalFormatting>
  <conditionalFormatting sqref="G22">
    <cfRule type="containsText" dxfId="4" priority="4390" operator="containsText" text="등록">
      <formula>NOT(ISERROR(SEARCH(("등록"),(G22))))</formula>
    </cfRule>
  </conditionalFormatting>
  <conditionalFormatting sqref="A22">
    <cfRule type="containsText" dxfId="0" priority="4391" operator="containsText" text="거부">
      <formula>NOT(ISERROR(SEARCH(("거부"),(A22))))</formula>
    </cfRule>
  </conditionalFormatting>
  <conditionalFormatting sqref="A22">
    <cfRule type="containsText" dxfId="1" priority="4392" operator="containsText" text="리턴">
      <formula>NOT(ISERROR(SEARCH(("리턴"),(A22))))</formula>
    </cfRule>
  </conditionalFormatting>
  <conditionalFormatting sqref="A22">
    <cfRule type="containsText" dxfId="2" priority="4393" operator="containsText" text="실패">
      <formula>NOT(ISERROR(SEARCH(("실패"),(A22))))</formula>
    </cfRule>
  </conditionalFormatting>
  <conditionalFormatting sqref="A22">
    <cfRule type="containsText" dxfId="3" priority="4394" operator="containsText" text="관리">
      <formula>NOT(ISERROR(SEARCH(("관리"),(A22))))</formula>
    </cfRule>
  </conditionalFormatting>
  <conditionalFormatting sqref="A22">
    <cfRule type="containsText" dxfId="4" priority="4395" operator="containsText" text="등록">
      <formula>NOT(ISERROR(SEARCH(("등록"),(A22))))</formula>
    </cfRule>
  </conditionalFormatting>
  <conditionalFormatting sqref="A22">
    <cfRule type="containsText" dxfId="0" priority="4396" operator="containsText" text="거부">
      <formula>NOT(ISERROR(SEARCH(("거부"),(A22))))</formula>
    </cfRule>
  </conditionalFormatting>
  <conditionalFormatting sqref="A22">
    <cfRule type="containsText" dxfId="1" priority="4397" operator="containsText" text="리턴">
      <formula>NOT(ISERROR(SEARCH(("리턴"),(A22))))</formula>
    </cfRule>
  </conditionalFormatting>
  <conditionalFormatting sqref="A22">
    <cfRule type="containsText" dxfId="2" priority="4398" operator="containsText" text="실패">
      <formula>NOT(ISERROR(SEARCH(("실패"),(A22))))</formula>
    </cfRule>
  </conditionalFormatting>
  <conditionalFormatting sqref="A22">
    <cfRule type="containsText" dxfId="3" priority="4399" operator="containsText" text="관리">
      <formula>NOT(ISERROR(SEARCH(("관리"),(A22))))</formula>
    </cfRule>
  </conditionalFormatting>
  <conditionalFormatting sqref="A22">
    <cfRule type="containsText" dxfId="4" priority="4400" operator="containsText" text="등록">
      <formula>NOT(ISERROR(SEARCH(("등록"),(A22))))</formula>
    </cfRule>
  </conditionalFormatting>
  <conditionalFormatting sqref="D22">
    <cfRule type="containsText" dxfId="0" priority="4401" operator="containsText" text="거부">
      <formula>NOT(ISERROR(SEARCH(("거부"),(D22))))</formula>
    </cfRule>
  </conditionalFormatting>
  <conditionalFormatting sqref="D22">
    <cfRule type="containsText" dxfId="1" priority="4402" operator="containsText" text="리턴">
      <formula>NOT(ISERROR(SEARCH(("리턴"),(D22))))</formula>
    </cfRule>
  </conditionalFormatting>
  <conditionalFormatting sqref="D22">
    <cfRule type="containsText" dxfId="2" priority="4403" operator="containsText" text="실패">
      <formula>NOT(ISERROR(SEARCH(("실패"),(D22))))</formula>
    </cfRule>
  </conditionalFormatting>
  <conditionalFormatting sqref="D22">
    <cfRule type="containsText" dxfId="3" priority="4404" operator="containsText" text="관리">
      <formula>NOT(ISERROR(SEARCH(("관리"),(D22))))</formula>
    </cfRule>
  </conditionalFormatting>
  <conditionalFormatting sqref="D22">
    <cfRule type="containsText" dxfId="4" priority="4405" operator="containsText" text="등록">
      <formula>NOT(ISERROR(SEARCH(("등록"),(D22))))</formula>
    </cfRule>
  </conditionalFormatting>
  <conditionalFormatting sqref="G22">
    <cfRule type="containsText" dxfId="0" priority="4406" operator="containsText" text="거부">
      <formula>NOT(ISERROR(SEARCH(("거부"),(G22))))</formula>
    </cfRule>
  </conditionalFormatting>
  <conditionalFormatting sqref="G22">
    <cfRule type="containsText" dxfId="1" priority="4407" operator="containsText" text="리턴">
      <formula>NOT(ISERROR(SEARCH(("리턴"),(G22))))</formula>
    </cfRule>
  </conditionalFormatting>
  <conditionalFormatting sqref="G22">
    <cfRule type="containsText" dxfId="2" priority="4408" operator="containsText" text="실패">
      <formula>NOT(ISERROR(SEARCH(("실패"),(G22))))</formula>
    </cfRule>
  </conditionalFormatting>
  <conditionalFormatting sqref="G22">
    <cfRule type="containsText" dxfId="3" priority="4409" operator="containsText" text="관리">
      <formula>NOT(ISERROR(SEARCH(("관리"),(G22))))</formula>
    </cfRule>
  </conditionalFormatting>
  <conditionalFormatting sqref="G22">
    <cfRule type="containsText" dxfId="4" priority="4410" operator="containsText" text="등록">
      <formula>NOT(ISERROR(SEARCH(("등록"),(G22))))</formula>
    </cfRule>
  </conditionalFormatting>
  <conditionalFormatting sqref="A22">
    <cfRule type="containsText" dxfId="0" priority="4411" operator="containsText" text="거부">
      <formula>NOT(ISERROR(SEARCH(("거부"),(A22))))</formula>
    </cfRule>
  </conditionalFormatting>
  <conditionalFormatting sqref="A22">
    <cfRule type="containsText" dxfId="1" priority="4412" operator="containsText" text="리턴">
      <formula>NOT(ISERROR(SEARCH(("리턴"),(A22))))</formula>
    </cfRule>
  </conditionalFormatting>
  <conditionalFormatting sqref="A22">
    <cfRule type="containsText" dxfId="2" priority="4413" operator="containsText" text="실패">
      <formula>NOT(ISERROR(SEARCH(("실패"),(A22))))</formula>
    </cfRule>
  </conditionalFormatting>
  <conditionalFormatting sqref="A22">
    <cfRule type="containsText" dxfId="3" priority="4414" operator="containsText" text="관리">
      <formula>NOT(ISERROR(SEARCH(("관리"),(A22))))</formula>
    </cfRule>
  </conditionalFormatting>
  <conditionalFormatting sqref="A22">
    <cfRule type="containsText" dxfId="4" priority="4415" operator="containsText" text="등록">
      <formula>NOT(ISERROR(SEARCH(("등록"),(A22))))</formula>
    </cfRule>
  </conditionalFormatting>
  <conditionalFormatting sqref="G22">
    <cfRule type="containsText" dxfId="0" priority="4416" operator="containsText" text="거부">
      <formula>NOT(ISERROR(SEARCH(("거부"),(G22))))</formula>
    </cfRule>
  </conditionalFormatting>
  <conditionalFormatting sqref="G22">
    <cfRule type="containsText" dxfId="1" priority="4417" operator="containsText" text="리턴">
      <formula>NOT(ISERROR(SEARCH(("리턴"),(G22))))</formula>
    </cfRule>
  </conditionalFormatting>
  <conditionalFormatting sqref="G22">
    <cfRule type="containsText" dxfId="2" priority="4418" operator="containsText" text="실패">
      <formula>NOT(ISERROR(SEARCH(("실패"),(G22))))</formula>
    </cfRule>
  </conditionalFormatting>
  <conditionalFormatting sqref="G22">
    <cfRule type="containsText" dxfId="3" priority="4419" operator="containsText" text="관리">
      <formula>NOT(ISERROR(SEARCH(("관리"),(G22))))</formula>
    </cfRule>
  </conditionalFormatting>
  <conditionalFormatting sqref="G22">
    <cfRule type="containsText" dxfId="4" priority="4420" operator="containsText" text="등록">
      <formula>NOT(ISERROR(SEARCH(("등록"),(G22))))</formula>
    </cfRule>
  </conditionalFormatting>
  <conditionalFormatting sqref="J22">
    <cfRule type="containsText" dxfId="0" priority="4421" operator="containsText" text="거부">
      <formula>NOT(ISERROR(SEARCH(("거부"),(J22))))</formula>
    </cfRule>
  </conditionalFormatting>
  <conditionalFormatting sqref="J22">
    <cfRule type="containsText" dxfId="1" priority="4422" operator="containsText" text="리턴">
      <formula>NOT(ISERROR(SEARCH(("리턴"),(J22))))</formula>
    </cfRule>
  </conditionalFormatting>
  <conditionalFormatting sqref="J22">
    <cfRule type="containsText" dxfId="2" priority="4423" operator="containsText" text="실패">
      <formula>NOT(ISERROR(SEARCH(("실패"),(J22))))</formula>
    </cfRule>
  </conditionalFormatting>
  <conditionalFormatting sqref="J22">
    <cfRule type="containsText" dxfId="3" priority="4424" operator="containsText" text="관리">
      <formula>NOT(ISERROR(SEARCH(("관리"),(J22))))</formula>
    </cfRule>
  </conditionalFormatting>
  <conditionalFormatting sqref="J22">
    <cfRule type="containsText" dxfId="4" priority="4425" operator="containsText" text="등록">
      <formula>NOT(ISERROR(SEARCH(("등록"),(J22))))</formula>
    </cfRule>
  </conditionalFormatting>
  <conditionalFormatting sqref="A16">
    <cfRule type="containsText" dxfId="0" priority="4426" operator="containsText" text="거부">
      <formula>NOT(ISERROR(SEARCH(("거부"),(A16))))</formula>
    </cfRule>
  </conditionalFormatting>
  <conditionalFormatting sqref="A16">
    <cfRule type="containsText" dxfId="1" priority="4427" operator="containsText" text="리턴">
      <formula>NOT(ISERROR(SEARCH(("리턴"),(A16))))</formula>
    </cfRule>
  </conditionalFormatting>
  <conditionalFormatting sqref="A16">
    <cfRule type="containsText" dxfId="2" priority="4428" operator="containsText" text="실패">
      <formula>NOT(ISERROR(SEARCH(("실패"),(A16))))</formula>
    </cfRule>
  </conditionalFormatting>
  <conditionalFormatting sqref="A16">
    <cfRule type="containsText" dxfId="3" priority="4429" operator="containsText" text="관리">
      <formula>NOT(ISERROR(SEARCH(("관리"),(A16))))</formula>
    </cfRule>
  </conditionalFormatting>
  <conditionalFormatting sqref="A16">
    <cfRule type="containsText" dxfId="4" priority="4430" operator="containsText" text="등록">
      <formula>NOT(ISERROR(SEARCH(("등록"),(A16))))</formula>
    </cfRule>
  </conditionalFormatting>
  <conditionalFormatting sqref="A16">
    <cfRule type="containsText" dxfId="0" priority="4431" operator="containsText" text="거부">
      <formula>NOT(ISERROR(SEARCH(("거부"),(A16))))</formula>
    </cfRule>
  </conditionalFormatting>
  <conditionalFormatting sqref="A16">
    <cfRule type="containsText" dxfId="1" priority="4432" operator="containsText" text="리턴">
      <formula>NOT(ISERROR(SEARCH(("리턴"),(A16))))</formula>
    </cfRule>
  </conditionalFormatting>
  <conditionalFormatting sqref="A16">
    <cfRule type="containsText" dxfId="2" priority="4433" operator="containsText" text="실패">
      <formula>NOT(ISERROR(SEARCH(("실패"),(A16))))</formula>
    </cfRule>
  </conditionalFormatting>
  <conditionalFormatting sqref="A16">
    <cfRule type="containsText" dxfId="3" priority="4434" operator="containsText" text="관리">
      <formula>NOT(ISERROR(SEARCH(("관리"),(A16))))</formula>
    </cfRule>
  </conditionalFormatting>
  <conditionalFormatting sqref="A16">
    <cfRule type="containsText" dxfId="4" priority="4435" operator="containsText" text="등록">
      <formula>NOT(ISERROR(SEARCH(("등록"),(A16))))</formula>
    </cfRule>
  </conditionalFormatting>
  <conditionalFormatting sqref="A16">
    <cfRule type="containsText" dxfId="0" priority="4436" operator="containsText" text="거부">
      <formula>NOT(ISERROR(SEARCH(("거부"),(A16))))</formula>
    </cfRule>
  </conditionalFormatting>
  <conditionalFormatting sqref="A16">
    <cfRule type="containsText" dxfId="1" priority="4437" operator="containsText" text="리턴">
      <formula>NOT(ISERROR(SEARCH(("리턴"),(A16))))</formula>
    </cfRule>
  </conditionalFormatting>
  <conditionalFormatting sqref="A16">
    <cfRule type="containsText" dxfId="2" priority="4438" operator="containsText" text="실패">
      <formula>NOT(ISERROR(SEARCH(("실패"),(A16))))</formula>
    </cfRule>
  </conditionalFormatting>
  <conditionalFormatting sqref="A16">
    <cfRule type="containsText" dxfId="3" priority="4439" operator="containsText" text="관리">
      <formula>NOT(ISERROR(SEARCH(("관리"),(A16))))</formula>
    </cfRule>
  </conditionalFormatting>
  <conditionalFormatting sqref="A16">
    <cfRule type="containsText" dxfId="4" priority="4440" operator="containsText" text="등록">
      <formula>NOT(ISERROR(SEARCH(("등록"),(A16))))</formula>
    </cfRule>
  </conditionalFormatting>
  <conditionalFormatting sqref="A16">
    <cfRule type="containsText" dxfId="0" priority="4441" operator="containsText" text="거부">
      <formula>NOT(ISERROR(SEARCH(("거부"),(A16))))</formula>
    </cfRule>
  </conditionalFormatting>
  <conditionalFormatting sqref="A16">
    <cfRule type="containsText" dxfId="1" priority="4442" operator="containsText" text="리턴">
      <formula>NOT(ISERROR(SEARCH(("리턴"),(A16))))</formula>
    </cfRule>
  </conditionalFormatting>
  <conditionalFormatting sqref="A16">
    <cfRule type="containsText" dxfId="2" priority="4443" operator="containsText" text="실패">
      <formula>NOT(ISERROR(SEARCH(("실패"),(A16))))</formula>
    </cfRule>
  </conditionalFormatting>
  <conditionalFormatting sqref="A16">
    <cfRule type="containsText" dxfId="3" priority="4444" operator="containsText" text="관리">
      <formula>NOT(ISERROR(SEARCH(("관리"),(A16))))</formula>
    </cfRule>
  </conditionalFormatting>
  <conditionalFormatting sqref="A16">
    <cfRule type="containsText" dxfId="4" priority="4445" operator="containsText" text="등록">
      <formula>NOT(ISERROR(SEARCH(("등록"),(A16))))</formula>
    </cfRule>
  </conditionalFormatting>
  <conditionalFormatting sqref="J23">
    <cfRule type="containsText" dxfId="0" priority="4446" operator="containsText" text="거부">
      <formula>NOT(ISERROR(SEARCH(("거부"),(J23))))</formula>
    </cfRule>
  </conditionalFormatting>
  <conditionalFormatting sqref="J23">
    <cfRule type="containsText" dxfId="1" priority="4447" operator="containsText" text="리턴">
      <formula>NOT(ISERROR(SEARCH(("리턴"),(J23))))</formula>
    </cfRule>
  </conditionalFormatting>
  <conditionalFormatting sqref="J23">
    <cfRule type="containsText" dxfId="2" priority="4448" operator="containsText" text="실패">
      <formula>NOT(ISERROR(SEARCH(("실패"),(J23))))</formula>
    </cfRule>
  </conditionalFormatting>
  <conditionalFormatting sqref="J23">
    <cfRule type="containsText" dxfId="3" priority="4449" operator="containsText" text="관리">
      <formula>NOT(ISERROR(SEARCH(("관리"),(J23))))</formula>
    </cfRule>
  </conditionalFormatting>
  <conditionalFormatting sqref="J23">
    <cfRule type="containsText" dxfId="4" priority="4450" operator="containsText" text="등록">
      <formula>NOT(ISERROR(SEARCH(("등록"),(J23))))</formula>
    </cfRule>
  </conditionalFormatting>
  <conditionalFormatting sqref="J24">
    <cfRule type="containsText" dxfId="0" priority="4451" operator="containsText" text="거부">
      <formula>NOT(ISERROR(SEARCH(("거부"),(J24))))</formula>
    </cfRule>
  </conditionalFormatting>
  <conditionalFormatting sqref="J24">
    <cfRule type="containsText" dxfId="1" priority="4452" operator="containsText" text="리턴">
      <formula>NOT(ISERROR(SEARCH(("리턴"),(J24))))</formula>
    </cfRule>
  </conditionalFormatting>
  <conditionalFormatting sqref="J24">
    <cfRule type="containsText" dxfId="2" priority="4453" operator="containsText" text="실패">
      <formula>NOT(ISERROR(SEARCH(("실패"),(J24))))</formula>
    </cfRule>
  </conditionalFormatting>
  <conditionalFormatting sqref="J24">
    <cfRule type="containsText" dxfId="3" priority="4454" operator="containsText" text="관리">
      <formula>NOT(ISERROR(SEARCH(("관리"),(J24))))</formula>
    </cfRule>
  </conditionalFormatting>
  <conditionalFormatting sqref="J24">
    <cfRule type="containsText" dxfId="4" priority="4455" operator="containsText" text="등록">
      <formula>NOT(ISERROR(SEARCH(("등록"),(J24))))</formula>
    </cfRule>
  </conditionalFormatting>
  <conditionalFormatting sqref="J24">
    <cfRule type="containsText" dxfId="0" priority="4456" operator="containsText" text="거부">
      <formula>NOT(ISERROR(SEARCH(("거부"),(J24))))</formula>
    </cfRule>
  </conditionalFormatting>
  <conditionalFormatting sqref="J24">
    <cfRule type="containsText" dxfId="1" priority="4457" operator="containsText" text="리턴">
      <formula>NOT(ISERROR(SEARCH(("리턴"),(J24))))</formula>
    </cfRule>
  </conditionalFormatting>
  <conditionalFormatting sqref="J24">
    <cfRule type="containsText" dxfId="2" priority="4458" operator="containsText" text="실패">
      <formula>NOT(ISERROR(SEARCH(("실패"),(J24))))</formula>
    </cfRule>
  </conditionalFormatting>
  <conditionalFormatting sqref="J24">
    <cfRule type="containsText" dxfId="3" priority="4459" operator="containsText" text="관리">
      <formula>NOT(ISERROR(SEARCH(("관리"),(J24))))</formula>
    </cfRule>
  </conditionalFormatting>
  <conditionalFormatting sqref="J24">
    <cfRule type="containsText" dxfId="4" priority="4460" operator="containsText" text="등록">
      <formula>NOT(ISERROR(SEARCH(("등록"),(J24))))</formula>
    </cfRule>
  </conditionalFormatting>
  <conditionalFormatting sqref="J23">
    <cfRule type="containsText" dxfId="0" priority="4461" operator="containsText" text="거부">
      <formula>NOT(ISERROR(SEARCH(("거부"),(J23))))</formula>
    </cfRule>
  </conditionalFormatting>
  <conditionalFormatting sqref="J23">
    <cfRule type="containsText" dxfId="1" priority="4462" operator="containsText" text="리턴">
      <formula>NOT(ISERROR(SEARCH(("리턴"),(J23))))</formula>
    </cfRule>
  </conditionalFormatting>
  <conditionalFormatting sqref="J23">
    <cfRule type="containsText" dxfId="2" priority="4463" operator="containsText" text="실패">
      <formula>NOT(ISERROR(SEARCH(("실패"),(J23))))</formula>
    </cfRule>
  </conditionalFormatting>
  <conditionalFormatting sqref="J23">
    <cfRule type="containsText" dxfId="3" priority="4464" operator="containsText" text="관리">
      <formula>NOT(ISERROR(SEARCH(("관리"),(J23))))</formula>
    </cfRule>
  </conditionalFormatting>
  <conditionalFormatting sqref="J23">
    <cfRule type="containsText" dxfId="4" priority="4465" operator="containsText" text="등록">
      <formula>NOT(ISERROR(SEARCH(("등록"),(J23))))</formula>
    </cfRule>
  </conditionalFormatting>
  <conditionalFormatting sqref="J23">
    <cfRule type="containsText" dxfId="0" priority="4466" operator="containsText" text="거부">
      <formula>NOT(ISERROR(SEARCH(("거부"),(J23))))</formula>
    </cfRule>
  </conditionalFormatting>
  <conditionalFormatting sqref="J23">
    <cfRule type="containsText" dxfId="1" priority="4467" operator="containsText" text="리턴">
      <formula>NOT(ISERROR(SEARCH(("리턴"),(J23))))</formula>
    </cfRule>
  </conditionalFormatting>
  <conditionalFormatting sqref="J23">
    <cfRule type="containsText" dxfId="2" priority="4468" operator="containsText" text="실패">
      <formula>NOT(ISERROR(SEARCH(("실패"),(J23))))</formula>
    </cfRule>
  </conditionalFormatting>
  <conditionalFormatting sqref="J23">
    <cfRule type="containsText" dxfId="3" priority="4469" operator="containsText" text="관리">
      <formula>NOT(ISERROR(SEARCH(("관리"),(J23))))</formula>
    </cfRule>
  </conditionalFormatting>
  <conditionalFormatting sqref="J23">
    <cfRule type="containsText" dxfId="4" priority="4470" operator="containsText" text="등록">
      <formula>NOT(ISERROR(SEARCH(("등록"),(J23))))</formula>
    </cfRule>
  </conditionalFormatting>
  <conditionalFormatting sqref="J24">
    <cfRule type="containsText" dxfId="0" priority="4471" operator="containsText" text="거부">
      <formula>NOT(ISERROR(SEARCH(("거부"),(J24))))</formula>
    </cfRule>
  </conditionalFormatting>
  <conditionalFormatting sqref="J24">
    <cfRule type="containsText" dxfId="1" priority="4472" operator="containsText" text="리턴">
      <formula>NOT(ISERROR(SEARCH(("리턴"),(J24))))</formula>
    </cfRule>
  </conditionalFormatting>
  <conditionalFormatting sqref="J24">
    <cfRule type="containsText" dxfId="2" priority="4473" operator="containsText" text="실패">
      <formula>NOT(ISERROR(SEARCH(("실패"),(J24))))</formula>
    </cfRule>
  </conditionalFormatting>
  <conditionalFormatting sqref="J24">
    <cfRule type="containsText" dxfId="3" priority="4474" operator="containsText" text="관리">
      <formula>NOT(ISERROR(SEARCH(("관리"),(J24))))</formula>
    </cfRule>
  </conditionalFormatting>
  <conditionalFormatting sqref="J24">
    <cfRule type="containsText" dxfId="4" priority="4475" operator="containsText" text="등록">
      <formula>NOT(ISERROR(SEARCH(("등록"),(J24))))</formula>
    </cfRule>
  </conditionalFormatting>
  <conditionalFormatting sqref="J24">
    <cfRule type="containsText" dxfId="0" priority="4476" operator="containsText" text="거부">
      <formula>NOT(ISERROR(SEARCH(("거부"),(J24))))</formula>
    </cfRule>
  </conditionalFormatting>
  <conditionalFormatting sqref="J24">
    <cfRule type="containsText" dxfId="1" priority="4477" operator="containsText" text="리턴">
      <formula>NOT(ISERROR(SEARCH(("리턴"),(J24))))</formula>
    </cfRule>
  </conditionalFormatting>
  <conditionalFormatting sqref="J24">
    <cfRule type="containsText" dxfId="2" priority="4478" operator="containsText" text="실패">
      <formula>NOT(ISERROR(SEARCH(("실패"),(J24))))</formula>
    </cfRule>
  </conditionalFormatting>
  <conditionalFormatting sqref="J24">
    <cfRule type="containsText" dxfId="3" priority="4479" operator="containsText" text="관리">
      <formula>NOT(ISERROR(SEARCH(("관리"),(J24))))</formula>
    </cfRule>
  </conditionalFormatting>
  <conditionalFormatting sqref="J24">
    <cfRule type="containsText" dxfId="4" priority="4480" operator="containsText" text="등록">
      <formula>NOT(ISERROR(SEARCH(("등록"),(J24))))</formula>
    </cfRule>
  </conditionalFormatting>
  <conditionalFormatting sqref="J24">
    <cfRule type="containsText" dxfId="0" priority="4481" operator="containsText" text="거부">
      <formula>NOT(ISERROR(SEARCH(("거부"),(J24))))</formula>
    </cfRule>
  </conditionalFormatting>
  <conditionalFormatting sqref="J24">
    <cfRule type="containsText" dxfId="1" priority="4482" operator="containsText" text="리턴">
      <formula>NOT(ISERROR(SEARCH(("리턴"),(J24))))</formula>
    </cfRule>
  </conditionalFormatting>
  <conditionalFormatting sqref="J24">
    <cfRule type="containsText" dxfId="2" priority="4483" operator="containsText" text="실패">
      <formula>NOT(ISERROR(SEARCH(("실패"),(J24))))</formula>
    </cfRule>
  </conditionalFormatting>
  <conditionalFormatting sqref="J24">
    <cfRule type="containsText" dxfId="3" priority="4484" operator="containsText" text="관리">
      <formula>NOT(ISERROR(SEARCH(("관리"),(J24))))</formula>
    </cfRule>
  </conditionalFormatting>
  <conditionalFormatting sqref="J24">
    <cfRule type="containsText" dxfId="4" priority="4485" operator="containsText" text="등록">
      <formula>NOT(ISERROR(SEARCH(("등록"),(J24))))</formula>
    </cfRule>
  </conditionalFormatting>
  <conditionalFormatting sqref="J24">
    <cfRule type="containsText" dxfId="0" priority="4486" operator="containsText" text="거부">
      <formula>NOT(ISERROR(SEARCH(("거부"),(J24))))</formula>
    </cfRule>
  </conditionalFormatting>
  <conditionalFormatting sqref="J24">
    <cfRule type="containsText" dxfId="1" priority="4487" operator="containsText" text="리턴">
      <formula>NOT(ISERROR(SEARCH(("리턴"),(J24))))</formula>
    </cfRule>
  </conditionalFormatting>
  <conditionalFormatting sqref="J24">
    <cfRule type="containsText" dxfId="2" priority="4488" operator="containsText" text="실패">
      <formula>NOT(ISERROR(SEARCH(("실패"),(J24))))</formula>
    </cfRule>
  </conditionalFormatting>
  <conditionalFormatting sqref="J24">
    <cfRule type="containsText" dxfId="3" priority="4489" operator="containsText" text="관리">
      <formula>NOT(ISERROR(SEARCH(("관리"),(J24))))</formula>
    </cfRule>
  </conditionalFormatting>
  <conditionalFormatting sqref="J24">
    <cfRule type="containsText" dxfId="4" priority="4490" operator="containsText" text="등록">
      <formula>NOT(ISERROR(SEARCH(("등록"),(J24))))</formula>
    </cfRule>
  </conditionalFormatting>
  <conditionalFormatting sqref="G30">
    <cfRule type="containsText" dxfId="0" priority="4491" operator="containsText" text="거부">
      <formula>NOT(ISERROR(SEARCH(("거부"),(G30))))</formula>
    </cfRule>
  </conditionalFormatting>
  <conditionalFormatting sqref="G30">
    <cfRule type="containsText" dxfId="1" priority="4492" operator="containsText" text="리턴">
      <formula>NOT(ISERROR(SEARCH(("리턴"),(G30))))</formula>
    </cfRule>
  </conditionalFormatting>
  <conditionalFormatting sqref="G30">
    <cfRule type="containsText" dxfId="2" priority="4493" operator="containsText" text="실패">
      <formula>NOT(ISERROR(SEARCH(("실패"),(G30))))</formula>
    </cfRule>
  </conditionalFormatting>
  <conditionalFormatting sqref="G30">
    <cfRule type="containsText" dxfId="3" priority="4494" operator="containsText" text="관리">
      <formula>NOT(ISERROR(SEARCH(("관리"),(G30))))</formula>
    </cfRule>
  </conditionalFormatting>
  <conditionalFormatting sqref="G30">
    <cfRule type="containsText" dxfId="4" priority="4495" operator="containsText" text="등록">
      <formula>NOT(ISERROR(SEARCH(("등록"),(G30))))</formula>
    </cfRule>
  </conditionalFormatting>
  <conditionalFormatting sqref="G31">
    <cfRule type="containsText" dxfId="0" priority="4496" operator="containsText" text="거부">
      <formula>NOT(ISERROR(SEARCH(("거부"),(G31))))</formula>
    </cfRule>
  </conditionalFormatting>
  <conditionalFormatting sqref="G31">
    <cfRule type="containsText" dxfId="1" priority="4497" operator="containsText" text="리턴">
      <formula>NOT(ISERROR(SEARCH(("리턴"),(G31))))</formula>
    </cfRule>
  </conditionalFormatting>
  <conditionalFormatting sqref="G31">
    <cfRule type="containsText" dxfId="2" priority="4498" operator="containsText" text="실패">
      <formula>NOT(ISERROR(SEARCH(("실패"),(G31))))</formula>
    </cfRule>
  </conditionalFormatting>
  <conditionalFormatting sqref="G31">
    <cfRule type="containsText" dxfId="3" priority="4499" operator="containsText" text="관리">
      <formula>NOT(ISERROR(SEARCH(("관리"),(G31))))</formula>
    </cfRule>
  </conditionalFormatting>
  <conditionalFormatting sqref="G31">
    <cfRule type="containsText" dxfId="4" priority="4500" operator="containsText" text="등록">
      <formula>NOT(ISERROR(SEARCH(("등록"),(G31))))</formula>
    </cfRule>
  </conditionalFormatting>
  <conditionalFormatting sqref="G30">
    <cfRule type="containsText" dxfId="0" priority="4501" operator="containsText" text="거부">
      <formula>NOT(ISERROR(SEARCH(("거부"),(G30))))</formula>
    </cfRule>
  </conditionalFormatting>
  <conditionalFormatting sqref="G30">
    <cfRule type="containsText" dxfId="1" priority="4502" operator="containsText" text="리턴">
      <formula>NOT(ISERROR(SEARCH(("리턴"),(G30))))</formula>
    </cfRule>
  </conditionalFormatting>
  <conditionalFormatting sqref="G30">
    <cfRule type="containsText" dxfId="2" priority="4503" operator="containsText" text="실패">
      <formula>NOT(ISERROR(SEARCH(("실패"),(G30))))</formula>
    </cfRule>
  </conditionalFormatting>
  <conditionalFormatting sqref="G30">
    <cfRule type="containsText" dxfId="3" priority="4504" operator="containsText" text="관리">
      <formula>NOT(ISERROR(SEARCH(("관리"),(G30))))</formula>
    </cfRule>
  </conditionalFormatting>
  <conditionalFormatting sqref="G30">
    <cfRule type="containsText" dxfId="4" priority="4505" operator="containsText" text="등록">
      <formula>NOT(ISERROR(SEARCH(("등록"),(G30))))</formula>
    </cfRule>
  </conditionalFormatting>
  <conditionalFormatting sqref="G31">
    <cfRule type="containsText" dxfId="0" priority="4506" operator="containsText" text="거부">
      <formula>NOT(ISERROR(SEARCH(("거부"),(G31))))</formula>
    </cfRule>
  </conditionalFormatting>
  <conditionalFormatting sqref="G31">
    <cfRule type="containsText" dxfId="1" priority="4507" operator="containsText" text="리턴">
      <formula>NOT(ISERROR(SEARCH(("리턴"),(G31))))</formula>
    </cfRule>
  </conditionalFormatting>
  <conditionalFormatting sqref="G31">
    <cfRule type="containsText" dxfId="2" priority="4508" operator="containsText" text="실패">
      <formula>NOT(ISERROR(SEARCH(("실패"),(G31))))</formula>
    </cfRule>
  </conditionalFormatting>
  <conditionalFormatting sqref="G31">
    <cfRule type="containsText" dxfId="3" priority="4509" operator="containsText" text="관리">
      <formula>NOT(ISERROR(SEARCH(("관리"),(G31))))</formula>
    </cfRule>
  </conditionalFormatting>
  <conditionalFormatting sqref="G31">
    <cfRule type="containsText" dxfId="4" priority="4510" operator="containsText" text="등록">
      <formula>NOT(ISERROR(SEARCH(("등록"),(G31))))</formula>
    </cfRule>
  </conditionalFormatting>
  <conditionalFormatting sqref="F18">
    <cfRule type="containsText" dxfId="0" priority="4511" operator="containsText" text="거부">
      <formula>NOT(ISERROR(SEARCH(("거부"),(F18))))</formula>
    </cfRule>
  </conditionalFormatting>
  <conditionalFormatting sqref="F18">
    <cfRule type="containsText" dxfId="1" priority="4512" operator="containsText" text="리턴">
      <formula>NOT(ISERROR(SEARCH(("리턴"),(F18))))</formula>
    </cfRule>
  </conditionalFormatting>
  <conditionalFormatting sqref="F18">
    <cfRule type="containsText" dxfId="2" priority="4513" operator="containsText" text="실패">
      <formula>NOT(ISERROR(SEARCH(("실패"),(F18))))</formula>
    </cfRule>
  </conditionalFormatting>
  <conditionalFormatting sqref="F18">
    <cfRule type="containsText" dxfId="3" priority="4514" operator="containsText" text="관리">
      <formula>NOT(ISERROR(SEARCH(("관리"),(F18))))</formula>
    </cfRule>
  </conditionalFormatting>
  <conditionalFormatting sqref="F18">
    <cfRule type="containsText" dxfId="4" priority="4515" operator="containsText" text="등록">
      <formula>NOT(ISERROR(SEARCH(("등록"),(F18))))</formula>
    </cfRule>
  </conditionalFormatting>
  <conditionalFormatting sqref="F18">
    <cfRule type="containsText" dxfId="0" priority="4516" operator="containsText" text="거부">
      <formula>NOT(ISERROR(SEARCH(("거부"),(F18))))</formula>
    </cfRule>
  </conditionalFormatting>
  <conditionalFormatting sqref="F18">
    <cfRule type="containsText" dxfId="1" priority="4517" operator="containsText" text="리턴">
      <formula>NOT(ISERROR(SEARCH(("리턴"),(F18))))</formula>
    </cfRule>
  </conditionalFormatting>
  <conditionalFormatting sqref="F18">
    <cfRule type="containsText" dxfId="2" priority="4518" operator="containsText" text="실패">
      <formula>NOT(ISERROR(SEARCH(("실패"),(F18))))</formula>
    </cfRule>
  </conditionalFormatting>
  <conditionalFormatting sqref="F18">
    <cfRule type="containsText" dxfId="3" priority="4519" operator="containsText" text="관리">
      <formula>NOT(ISERROR(SEARCH(("관리"),(F18))))</formula>
    </cfRule>
  </conditionalFormatting>
  <conditionalFormatting sqref="F18">
    <cfRule type="containsText" dxfId="4" priority="4520" operator="containsText" text="등록">
      <formula>NOT(ISERROR(SEARCH(("등록"),(F18))))</formula>
    </cfRule>
  </conditionalFormatting>
  <conditionalFormatting sqref="G18">
    <cfRule type="containsText" dxfId="0" priority="4521" operator="containsText" text="거부">
      <formula>NOT(ISERROR(SEARCH(("거부"),(G18))))</formula>
    </cfRule>
  </conditionalFormatting>
  <conditionalFormatting sqref="G18">
    <cfRule type="containsText" dxfId="1" priority="4522" operator="containsText" text="리턴">
      <formula>NOT(ISERROR(SEARCH(("리턴"),(G18))))</formula>
    </cfRule>
  </conditionalFormatting>
  <conditionalFormatting sqref="G18">
    <cfRule type="containsText" dxfId="2" priority="4523" operator="containsText" text="실패">
      <formula>NOT(ISERROR(SEARCH(("실패"),(G18))))</formula>
    </cfRule>
  </conditionalFormatting>
  <conditionalFormatting sqref="G18">
    <cfRule type="containsText" dxfId="3" priority="4524" operator="containsText" text="관리">
      <formula>NOT(ISERROR(SEARCH(("관리"),(G18))))</formula>
    </cfRule>
  </conditionalFormatting>
  <conditionalFormatting sqref="G18">
    <cfRule type="containsText" dxfId="4" priority="4525" operator="containsText" text="등록">
      <formula>NOT(ISERROR(SEARCH(("등록"),(G18))))</formula>
    </cfRule>
  </conditionalFormatting>
  <conditionalFormatting sqref="G18">
    <cfRule type="containsText" dxfId="0" priority="4526" operator="containsText" text="거부">
      <formula>NOT(ISERROR(SEARCH(("거부"),(G18))))</formula>
    </cfRule>
  </conditionalFormatting>
  <conditionalFormatting sqref="G18">
    <cfRule type="containsText" dxfId="1" priority="4527" operator="containsText" text="리턴">
      <formula>NOT(ISERROR(SEARCH(("리턴"),(G18))))</formula>
    </cfRule>
  </conditionalFormatting>
  <conditionalFormatting sqref="G18">
    <cfRule type="containsText" dxfId="2" priority="4528" operator="containsText" text="실패">
      <formula>NOT(ISERROR(SEARCH(("실패"),(G18))))</formula>
    </cfRule>
  </conditionalFormatting>
  <conditionalFormatting sqref="G18">
    <cfRule type="containsText" dxfId="3" priority="4529" operator="containsText" text="관리">
      <formula>NOT(ISERROR(SEARCH(("관리"),(G18))))</formula>
    </cfRule>
  </conditionalFormatting>
  <conditionalFormatting sqref="G18">
    <cfRule type="containsText" dxfId="4" priority="4530" operator="containsText" text="등록">
      <formula>NOT(ISERROR(SEARCH(("등록"),(G18))))</formula>
    </cfRule>
  </conditionalFormatting>
  <conditionalFormatting sqref="A16">
    <cfRule type="containsText" dxfId="0" priority="4531" operator="containsText" text="거부">
      <formula>NOT(ISERROR(SEARCH(("거부"),(A16))))</formula>
    </cfRule>
  </conditionalFormatting>
  <conditionalFormatting sqref="A16">
    <cfRule type="containsText" dxfId="1" priority="4532" operator="containsText" text="리턴">
      <formula>NOT(ISERROR(SEARCH(("리턴"),(A16))))</formula>
    </cfRule>
  </conditionalFormatting>
  <conditionalFormatting sqref="A16">
    <cfRule type="containsText" dxfId="2" priority="4533" operator="containsText" text="실패">
      <formula>NOT(ISERROR(SEARCH(("실패"),(A16))))</formula>
    </cfRule>
  </conditionalFormatting>
  <conditionalFormatting sqref="A16">
    <cfRule type="containsText" dxfId="3" priority="4534" operator="containsText" text="관리">
      <formula>NOT(ISERROR(SEARCH(("관리"),(A16))))</formula>
    </cfRule>
  </conditionalFormatting>
  <conditionalFormatting sqref="A16">
    <cfRule type="containsText" dxfId="4" priority="4535" operator="containsText" text="등록">
      <formula>NOT(ISERROR(SEARCH(("등록"),(A16))))</formula>
    </cfRule>
  </conditionalFormatting>
  <conditionalFormatting sqref="A16">
    <cfRule type="containsText" dxfId="0" priority="4536" operator="containsText" text="거부">
      <formula>NOT(ISERROR(SEARCH(("거부"),(A16))))</formula>
    </cfRule>
  </conditionalFormatting>
  <conditionalFormatting sqref="A16">
    <cfRule type="containsText" dxfId="1" priority="4537" operator="containsText" text="리턴">
      <formula>NOT(ISERROR(SEARCH(("리턴"),(A16))))</formula>
    </cfRule>
  </conditionalFormatting>
  <conditionalFormatting sqref="A16">
    <cfRule type="containsText" dxfId="2" priority="4538" operator="containsText" text="실패">
      <formula>NOT(ISERROR(SEARCH(("실패"),(A16))))</formula>
    </cfRule>
  </conditionalFormatting>
  <conditionalFormatting sqref="A16">
    <cfRule type="containsText" dxfId="3" priority="4539" operator="containsText" text="관리">
      <formula>NOT(ISERROR(SEARCH(("관리"),(A16))))</formula>
    </cfRule>
  </conditionalFormatting>
  <conditionalFormatting sqref="A16">
    <cfRule type="containsText" dxfId="4" priority="4540" operator="containsText" text="등록">
      <formula>NOT(ISERROR(SEARCH(("등록"),(A16))))</formula>
    </cfRule>
  </conditionalFormatting>
  <conditionalFormatting sqref="A16">
    <cfRule type="containsText" dxfId="0" priority="4541" operator="containsText" text="거부">
      <formula>NOT(ISERROR(SEARCH(("거부"),(A16))))</formula>
    </cfRule>
  </conditionalFormatting>
  <conditionalFormatting sqref="A16">
    <cfRule type="containsText" dxfId="1" priority="4542" operator="containsText" text="리턴">
      <formula>NOT(ISERROR(SEARCH(("리턴"),(A16))))</formula>
    </cfRule>
  </conditionalFormatting>
  <conditionalFormatting sqref="A16">
    <cfRule type="containsText" dxfId="2" priority="4543" operator="containsText" text="실패">
      <formula>NOT(ISERROR(SEARCH(("실패"),(A16))))</formula>
    </cfRule>
  </conditionalFormatting>
  <conditionalFormatting sqref="A16">
    <cfRule type="containsText" dxfId="3" priority="4544" operator="containsText" text="관리">
      <formula>NOT(ISERROR(SEARCH(("관리"),(A16))))</formula>
    </cfRule>
  </conditionalFormatting>
  <conditionalFormatting sqref="A16">
    <cfRule type="containsText" dxfId="4" priority="4545" operator="containsText" text="등록">
      <formula>NOT(ISERROR(SEARCH(("등록"),(A16))))</formula>
    </cfRule>
  </conditionalFormatting>
  <conditionalFormatting sqref="G16">
    <cfRule type="containsText" dxfId="0" priority="4546" operator="containsText" text="거부">
      <formula>NOT(ISERROR(SEARCH(("거부"),(G16))))</formula>
    </cfRule>
  </conditionalFormatting>
  <conditionalFormatting sqref="G16">
    <cfRule type="containsText" dxfId="1" priority="4547" operator="containsText" text="리턴">
      <formula>NOT(ISERROR(SEARCH(("리턴"),(G16))))</formula>
    </cfRule>
  </conditionalFormatting>
  <conditionalFormatting sqref="G16">
    <cfRule type="containsText" dxfId="2" priority="4548" operator="containsText" text="실패">
      <formula>NOT(ISERROR(SEARCH(("실패"),(G16))))</formula>
    </cfRule>
  </conditionalFormatting>
  <conditionalFormatting sqref="G16">
    <cfRule type="containsText" dxfId="3" priority="4549" operator="containsText" text="관리">
      <formula>NOT(ISERROR(SEARCH(("관리"),(G16))))</formula>
    </cfRule>
  </conditionalFormatting>
  <conditionalFormatting sqref="G16">
    <cfRule type="containsText" dxfId="4" priority="4550" operator="containsText" text="등록">
      <formula>NOT(ISERROR(SEARCH(("등록"),(G16))))</formula>
    </cfRule>
  </conditionalFormatting>
  <conditionalFormatting sqref="G16">
    <cfRule type="containsText" dxfId="0" priority="4551" operator="containsText" text="거부">
      <formula>NOT(ISERROR(SEARCH(("거부"),(G16))))</formula>
    </cfRule>
  </conditionalFormatting>
  <conditionalFormatting sqref="G16">
    <cfRule type="containsText" dxfId="1" priority="4552" operator="containsText" text="리턴">
      <formula>NOT(ISERROR(SEARCH(("리턴"),(G16))))</formula>
    </cfRule>
  </conditionalFormatting>
  <conditionalFormatting sqref="G16">
    <cfRule type="containsText" dxfId="2" priority="4553" operator="containsText" text="실패">
      <formula>NOT(ISERROR(SEARCH(("실패"),(G16))))</formula>
    </cfRule>
  </conditionalFormatting>
  <conditionalFormatting sqref="G16">
    <cfRule type="containsText" dxfId="3" priority="4554" operator="containsText" text="관리">
      <formula>NOT(ISERROR(SEARCH(("관리"),(G16))))</formula>
    </cfRule>
  </conditionalFormatting>
  <conditionalFormatting sqref="G16">
    <cfRule type="containsText" dxfId="4" priority="4555" operator="containsText" text="등록">
      <formula>NOT(ISERROR(SEARCH(("등록"),(G16))))</formula>
    </cfRule>
  </conditionalFormatting>
  <conditionalFormatting sqref="G17">
    <cfRule type="containsText" dxfId="0" priority="4556" operator="containsText" text="거부">
      <formula>NOT(ISERROR(SEARCH(("거부"),(G17))))</formula>
    </cfRule>
  </conditionalFormatting>
  <conditionalFormatting sqref="G17">
    <cfRule type="containsText" dxfId="1" priority="4557" operator="containsText" text="리턴">
      <formula>NOT(ISERROR(SEARCH(("리턴"),(G17))))</formula>
    </cfRule>
  </conditionalFormatting>
  <conditionalFormatting sqref="G17">
    <cfRule type="containsText" dxfId="2" priority="4558" operator="containsText" text="실패">
      <formula>NOT(ISERROR(SEARCH(("실패"),(G17))))</formula>
    </cfRule>
  </conditionalFormatting>
  <conditionalFormatting sqref="G17">
    <cfRule type="containsText" dxfId="3" priority="4559" operator="containsText" text="관리">
      <formula>NOT(ISERROR(SEARCH(("관리"),(G17))))</formula>
    </cfRule>
  </conditionalFormatting>
  <conditionalFormatting sqref="G17">
    <cfRule type="containsText" dxfId="4" priority="4560" operator="containsText" text="등록">
      <formula>NOT(ISERROR(SEARCH(("등록"),(G17))))</formula>
    </cfRule>
  </conditionalFormatting>
  <conditionalFormatting sqref="G17">
    <cfRule type="containsText" dxfId="0" priority="4561" operator="containsText" text="거부">
      <formula>NOT(ISERROR(SEARCH(("거부"),(G17))))</formula>
    </cfRule>
  </conditionalFormatting>
  <conditionalFormatting sqref="G17">
    <cfRule type="containsText" dxfId="1" priority="4562" operator="containsText" text="리턴">
      <formula>NOT(ISERROR(SEARCH(("리턴"),(G17))))</formula>
    </cfRule>
  </conditionalFormatting>
  <conditionalFormatting sqref="G17">
    <cfRule type="containsText" dxfId="2" priority="4563" operator="containsText" text="실패">
      <formula>NOT(ISERROR(SEARCH(("실패"),(G17))))</formula>
    </cfRule>
  </conditionalFormatting>
  <conditionalFormatting sqref="G17">
    <cfRule type="containsText" dxfId="3" priority="4564" operator="containsText" text="관리">
      <formula>NOT(ISERROR(SEARCH(("관리"),(G17))))</formula>
    </cfRule>
  </conditionalFormatting>
  <conditionalFormatting sqref="G17">
    <cfRule type="containsText" dxfId="4" priority="4565" operator="containsText" text="등록">
      <formula>NOT(ISERROR(SEARCH(("등록"),(G17))))</formula>
    </cfRule>
  </conditionalFormatting>
  <conditionalFormatting sqref="G31">
    <cfRule type="containsText" dxfId="0" priority="4566" operator="containsText" text="거부">
      <formula>NOT(ISERROR(SEARCH(("거부"),(G31))))</formula>
    </cfRule>
  </conditionalFormatting>
  <conditionalFormatting sqref="G31">
    <cfRule type="containsText" dxfId="1" priority="4567" operator="containsText" text="리턴">
      <formula>NOT(ISERROR(SEARCH(("리턴"),(G31))))</formula>
    </cfRule>
  </conditionalFormatting>
  <conditionalFormatting sqref="G31">
    <cfRule type="containsText" dxfId="2" priority="4568" operator="containsText" text="실패">
      <formula>NOT(ISERROR(SEARCH(("실패"),(G31))))</formula>
    </cfRule>
  </conditionalFormatting>
  <conditionalFormatting sqref="G31">
    <cfRule type="containsText" dxfId="3" priority="4569" operator="containsText" text="관리">
      <formula>NOT(ISERROR(SEARCH(("관리"),(G31))))</formula>
    </cfRule>
  </conditionalFormatting>
  <conditionalFormatting sqref="G31">
    <cfRule type="containsText" dxfId="4" priority="4570" operator="containsText" text="등록">
      <formula>NOT(ISERROR(SEARCH(("등록"),(G31))))</formula>
    </cfRule>
  </conditionalFormatting>
  <conditionalFormatting sqref="G32">
    <cfRule type="containsText" dxfId="0" priority="4571" operator="containsText" text="거부">
      <formula>NOT(ISERROR(SEARCH(("거부"),(G32))))</formula>
    </cfRule>
  </conditionalFormatting>
  <conditionalFormatting sqref="G32">
    <cfRule type="containsText" dxfId="1" priority="4572" operator="containsText" text="리턴">
      <formula>NOT(ISERROR(SEARCH(("리턴"),(G32))))</formula>
    </cfRule>
  </conditionalFormatting>
  <conditionalFormatting sqref="G32">
    <cfRule type="containsText" dxfId="2" priority="4573" operator="containsText" text="실패">
      <formula>NOT(ISERROR(SEARCH(("실패"),(G32))))</formula>
    </cfRule>
  </conditionalFormatting>
  <conditionalFormatting sqref="G32">
    <cfRule type="containsText" dxfId="3" priority="4574" operator="containsText" text="관리">
      <formula>NOT(ISERROR(SEARCH(("관리"),(G32))))</formula>
    </cfRule>
  </conditionalFormatting>
  <conditionalFormatting sqref="G32">
    <cfRule type="containsText" dxfId="4" priority="4575" operator="containsText" text="등록">
      <formula>NOT(ISERROR(SEARCH(("등록"),(G32))))</formula>
    </cfRule>
  </conditionalFormatting>
  <conditionalFormatting sqref="G32">
    <cfRule type="containsText" dxfId="0" priority="4576" operator="containsText" text="거부">
      <formula>NOT(ISERROR(SEARCH(("거부"),(G32))))</formula>
    </cfRule>
  </conditionalFormatting>
  <conditionalFormatting sqref="G32">
    <cfRule type="containsText" dxfId="1" priority="4577" operator="containsText" text="리턴">
      <formula>NOT(ISERROR(SEARCH(("리턴"),(G32))))</formula>
    </cfRule>
  </conditionalFormatting>
  <conditionalFormatting sqref="G32">
    <cfRule type="containsText" dxfId="2" priority="4578" operator="containsText" text="실패">
      <formula>NOT(ISERROR(SEARCH(("실패"),(G32))))</formula>
    </cfRule>
  </conditionalFormatting>
  <conditionalFormatting sqref="G32">
    <cfRule type="containsText" dxfId="3" priority="4579" operator="containsText" text="관리">
      <formula>NOT(ISERROR(SEARCH(("관리"),(G32))))</formula>
    </cfRule>
  </conditionalFormatting>
  <conditionalFormatting sqref="G32">
    <cfRule type="containsText" dxfId="4" priority="4580" operator="containsText" text="등록">
      <formula>NOT(ISERROR(SEARCH(("등록"),(G32))))</formula>
    </cfRule>
  </conditionalFormatting>
  <conditionalFormatting sqref="G31">
    <cfRule type="containsText" dxfId="0" priority="4581" operator="containsText" text="거부">
      <formula>NOT(ISERROR(SEARCH(("거부"),(G31))))</formula>
    </cfRule>
  </conditionalFormatting>
  <conditionalFormatting sqref="G31">
    <cfRule type="containsText" dxfId="1" priority="4582" operator="containsText" text="리턴">
      <formula>NOT(ISERROR(SEARCH(("리턴"),(G31))))</formula>
    </cfRule>
  </conditionalFormatting>
  <conditionalFormatting sqref="G31">
    <cfRule type="containsText" dxfId="2" priority="4583" operator="containsText" text="실패">
      <formula>NOT(ISERROR(SEARCH(("실패"),(G31))))</formula>
    </cfRule>
  </conditionalFormatting>
  <conditionalFormatting sqref="G31">
    <cfRule type="containsText" dxfId="3" priority="4584" operator="containsText" text="관리">
      <formula>NOT(ISERROR(SEARCH(("관리"),(G31))))</formula>
    </cfRule>
  </conditionalFormatting>
  <conditionalFormatting sqref="G31">
    <cfRule type="containsText" dxfId="4" priority="4585" operator="containsText" text="등록">
      <formula>NOT(ISERROR(SEARCH(("등록"),(G31))))</formula>
    </cfRule>
  </conditionalFormatting>
  <conditionalFormatting sqref="G32">
    <cfRule type="containsText" dxfId="0" priority="4586" operator="containsText" text="거부">
      <formula>NOT(ISERROR(SEARCH(("거부"),(G32))))</formula>
    </cfRule>
  </conditionalFormatting>
  <conditionalFormatting sqref="G32">
    <cfRule type="containsText" dxfId="1" priority="4587" operator="containsText" text="리턴">
      <formula>NOT(ISERROR(SEARCH(("리턴"),(G32))))</formula>
    </cfRule>
  </conditionalFormatting>
  <conditionalFormatting sqref="G32">
    <cfRule type="containsText" dxfId="2" priority="4588" operator="containsText" text="실패">
      <formula>NOT(ISERROR(SEARCH(("실패"),(G32))))</formula>
    </cfRule>
  </conditionalFormatting>
  <conditionalFormatting sqref="G32">
    <cfRule type="containsText" dxfId="3" priority="4589" operator="containsText" text="관리">
      <formula>NOT(ISERROR(SEARCH(("관리"),(G32))))</formula>
    </cfRule>
  </conditionalFormatting>
  <conditionalFormatting sqref="G32">
    <cfRule type="containsText" dxfId="4" priority="4590" operator="containsText" text="등록">
      <formula>NOT(ISERROR(SEARCH(("등록"),(G32))))</formula>
    </cfRule>
  </conditionalFormatting>
  <conditionalFormatting sqref="G31">
    <cfRule type="containsText" dxfId="0" priority="4591" operator="containsText" text="거부">
      <formula>NOT(ISERROR(SEARCH(("거부"),(G31))))</formula>
    </cfRule>
  </conditionalFormatting>
  <conditionalFormatting sqref="G31">
    <cfRule type="containsText" dxfId="1" priority="4592" operator="containsText" text="리턴">
      <formula>NOT(ISERROR(SEARCH(("리턴"),(G31))))</formula>
    </cfRule>
  </conditionalFormatting>
  <conditionalFormatting sqref="G31">
    <cfRule type="containsText" dxfId="2" priority="4593" operator="containsText" text="실패">
      <formula>NOT(ISERROR(SEARCH(("실패"),(G31))))</formula>
    </cfRule>
  </conditionalFormatting>
  <conditionalFormatting sqref="G31">
    <cfRule type="containsText" dxfId="3" priority="4594" operator="containsText" text="관리">
      <formula>NOT(ISERROR(SEARCH(("관리"),(G31))))</formula>
    </cfRule>
  </conditionalFormatting>
  <conditionalFormatting sqref="G31">
    <cfRule type="containsText" dxfId="4" priority="4595" operator="containsText" text="등록">
      <formula>NOT(ISERROR(SEARCH(("등록"),(G31))))</formula>
    </cfRule>
  </conditionalFormatting>
  <conditionalFormatting sqref="G32">
    <cfRule type="containsText" dxfId="0" priority="4596" operator="containsText" text="거부">
      <formula>NOT(ISERROR(SEARCH(("거부"),(G32))))</formula>
    </cfRule>
  </conditionalFormatting>
  <conditionalFormatting sqref="G32">
    <cfRule type="containsText" dxfId="1" priority="4597" operator="containsText" text="리턴">
      <formula>NOT(ISERROR(SEARCH(("리턴"),(G32))))</formula>
    </cfRule>
  </conditionalFormatting>
  <conditionalFormatting sqref="G32">
    <cfRule type="containsText" dxfId="2" priority="4598" operator="containsText" text="실패">
      <formula>NOT(ISERROR(SEARCH(("실패"),(G32))))</formula>
    </cfRule>
  </conditionalFormatting>
  <conditionalFormatting sqref="G32">
    <cfRule type="containsText" dxfId="3" priority="4599" operator="containsText" text="관리">
      <formula>NOT(ISERROR(SEARCH(("관리"),(G32))))</formula>
    </cfRule>
  </conditionalFormatting>
  <conditionalFormatting sqref="G32">
    <cfRule type="containsText" dxfId="4" priority="4600" operator="containsText" text="등록">
      <formula>NOT(ISERROR(SEARCH(("등록"),(G32))))</formula>
    </cfRule>
  </conditionalFormatting>
  <conditionalFormatting sqref="G30">
    <cfRule type="containsText" dxfId="0" priority="4601" operator="containsText" text="거부">
      <formula>NOT(ISERROR(SEARCH(("거부"),(G30))))</formula>
    </cfRule>
  </conditionalFormatting>
  <conditionalFormatting sqref="G30">
    <cfRule type="containsText" dxfId="1" priority="4602" operator="containsText" text="리턴">
      <formula>NOT(ISERROR(SEARCH(("리턴"),(G30))))</formula>
    </cfRule>
  </conditionalFormatting>
  <conditionalFormatting sqref="G30">
    <cfRule type="containsText" dxfId="2" priority="4603" operator="containsText" text="실패">
      <formula>NOT(ISERROR(SEARCH(("실패"),(G30))))</formula>
    </cfRule>
  </conditionalFormatting>
  <conditionalFormatting sqref="G30">
    <cfRule type="containsText" dxfId="3" priority="4604" operator="containsText" text="관리">
      <formula>NOT(ISERROR(SEARCH(("관리"),(G30))))</formula>
    </cfRule>
  </conditionalFormatting>
  <conditionalFormatting sqref="G30">
    <cfRule type="containsText" dxfId="4" priority="4605" operator="containsText" text="등록">
      <formula>NOT(ISERROR(SEARCH(("등록"),(G30))))</formula>
    </cfRule>
  </conditionalFormatting>
  <conditionalFormatting sqref="G31">
    <cfRule type="containsText" dxfId="0" priority="4606" operator="containsText" text="거부">
      <formula>NOT(ISERROR(SEARCH(("거부"),(G31))))</formula>
    </cfRule>
  </conditionalFormatting>
  <conditionalFormatting sqref="G31">
    <cfRule type="containsText" dxfId="1" priority="4607" operator="containsText" text="리턴">
      <formula>NOT(ISERROR(SEARCH(("리턴"),(G31))))</formula>
    </cfRule>
  </conditionalFormatting>
  <conditionalFormatting sqref="G31">
    <cfRule type="containsText" dxfId="2" priority="4608" operator="containsText" text="실패">
      <formula>NOT(ISERROR(SEARCH(("실패"),(G31))))</formula>
    </cfRule>
  </conditionalFormatting>
  <conditionalFormatting sqref="G31">
    <cfRule type="containsText" dxfId="3" priority="4609" operator="containsText" text="관리">
      <formula>NOT(ISERROR(SEARCH(("관리"),(G31))))</formula>
    </cfRule>
  </conditionalFormatting>
  <conditionalFormatting sqref="G31">
    <cfRule type="containsText" dxfId="4" priority="4610" operator="containsText" text="등록">
      <formula>NOT(ISERROR(SEARCH(("등록"),(G31))))</formula>
    </cfRule>
  </conditionalFormatting>
  <conditionalFormatting sqref="G30">
    <cfRule type="containsText" dxfId="0" priority="4611" operator="containsText" text="거부">
      <formula>NOT(ISERROR(SEARCH(("거부"),(G30))))</formula>
    </cfRule>
  </conditionalFormatting>
  <conditionalFormatting sqref="G30">
    <cfRule type="containsText" dxfId="1" priority="4612" operator="containsText" text="리턴">
      <formula>NOT(ISERROR(SEARCH(("리턴"),(G30))))</formula>
    </cfRule>
  </conditionalFormatting>
  <conditionalFormatting sqref="G30">
    <cfRule type="containsText" dxfId="2" priority="4613" operator="containsText" text="실패">
      <formula>NOT(ISERROR(SEARCH(("실패"),(G30))))</formula>
    </cfRule>
  </conditionalFormatting>
  <conditionalFormatting sqref="G30">
    <cfRule type="containsText" dxfId="3" priority="4614" operator="containsText" text="관리">
      <formula>NOT(ISERROR(SEARCH(("관리"),(G30))))</formula>
    </cfRule>
  </conditionalFormatting>
  <conditionalFormatting sqref="G30">
    <cfRule type="containsText" dxfId="4" priority="4615" operator="containsText" text="등록">
      <formula>NOT(ISERROR(SEARCH(("등록"),(G30))))</formula>
    </cfRule>
  </conditionalFormatting>
  <conditionalFormatting sqref="G31">
    <cfRule type="containsText" dxfId="0" priority="4616" operator="containsText" text="거부">
      <formula>NOT(ISERROR(SEARCH(("거부"),(G31))))</formula>
    </cfRule>
  </conditionalFormatting>
  <conditionalFormatting sqref="G31">
    <cfRule type="containsText" dxfId="1" priority="4617" operator="containsText" text="리턴">
      <formula>NOT(ISERROR(SEARCH(("리턴"),(G31))))</formula>
    </cfRule>
  </conditionalFormatting>
  <conditionalFormatting sqref="G31">
    <cfRule type="containsText" dxfId="2" priority="4618" operator="containsText" text="실패">
      <formula>NOT(ISERROR(SEARCH(("실패"),(G31))))</formula>
    </cfRule>
  </conditionalFormatting>
  <conditionalFormatting sqref="G31">
    <cfRule type="containsText" dxfId="3" priority="4619" operator="containsText" text="관리">
      <formula>NOT(ISERROR(SEARCH(("관리"),(G31))))</formula>
    </cfRule>
  </conditionalFormatting>
  <conditionalFormatting sqref="G31">
    <cfRule type="containsText" dxfId="4" priority="4620" operator="containsText" text="등록">
      <formula>NOT(ISERROR(SEARCH(("등록"),(G31))))</formula>
    </cfRule>
  </conditionalFormatting>
  <conditionalFormatting sqref="E28">
    <cfRule type="containsText" dxfId="0" priority="4621" operator="containsText" text="거부">
      <formula>NOT(ISERROR(SEARCH(("거부"),(E28))))</formula>
    </cfRule>
  </conditionalFormatting>
  <conditionalFormatting sqref="E28">
    <cfRule type="containsText" dxfId="1" priority="4622" operator="containsText" text="리턴">
      <formula>NOT(ISERROR(SEARCH(("리턴"),(E28))))</formula>
    </cfRule>
  </conditionalFormatting>
  <conditionalFormatting sqref="E28">
    <cfRule type="containsText" dxfId="2" priority="4623" operator="containsText" text="실패">
      <formula>NOT(ISERROR(SEARCH(("실패"),(E28))))</formula>
    </cfRule>
  </conditionalFormatting>
  <conditionalFormatting sqref="E28">
    <cfRule type="containsText" dxfId="3" priority="4624" operator="containsText" text="관리">
      <formula>NOT(ISERROR(SEARCH(("관리"),(E28))))</formula>
    </cfRule>
  </conditionalFormatting>
  <conditionalFormatting sqref="E28">
    <cfRule type="containsText" dxfId="4" priority="4625" operator="containsText" text="등록">
      <formula>NOT(ISERROR(SEARCH(("등록"),(E28))))</formula>
    </cfRule>
  </conditionalFormatting>
  <conditionalFormatting sqref="G29">
    <cfRule type="containsText" dxfId="0" priority="4626" operator="containsText" text="거부">
      <formula>NOT(ISERROR(SEARCH(("거부"),(G29))))</formula>
    </cfRule>
  </conditionalFormatting>
  <conditionalFormatting sqref="G29">
    <cfRule type="containsText" dxfId="1" priority="4627" operator="containsText" text="리턴">
      <formula>NOT(ISERROR(SEARCH(("리턴"),(G29))))</formula>
    </cfRule>
  </conditionalFormatting>
  <conditionalFormatting sqref="G29">
    <cfRule type="containsText" dxfId="2" priority="4628" operator="containsText" text="실패">
      <formula>NOT(ISERROR(SEARCH(("실패"),(G29))))</formula>
    </cfRule>
  </conditionalFormatting>
  <conditionalFormatting sqref="G29">
    <cfRule type="containsText" dxfId="3" priority="4629" operator="containsText" text="관리">
      <formula>NOT(ISERROR(SEARCH(("관리"),(G29))))</formula>
    </cfRule>
  </conditionalFormatting>
  <conditionalFormatting sqref="G29">
    <cfRule type="containsText" dxfId="4" priority="4630" operator="containsText" text="등록">
      <formula>NOT(ISERROR(SEARCH(("등록"),(G29))))</formula>
    </cfRule>
  </conditionalFormatting>
  <conditionalFormatting sqref="G30">
    <cfRule type="containsText" dxfId="0" priority="4631" operator="containsText" text="거부">
      <formula>NOT(ISERROR(SEARCH(("거부"),(G30))))</formula>
    </cfRule>
  </conditionalFormatting>
  <conditionalFormatting sqref="G30">
    <cfRule type="containsText" dxfId="1" priority="4632" operator="containsText" text="리턴">
      <formula>NOT(ISERROR(SEARCH(("리턴"),(G30))))</formula>
    </cfRule>
  </conditionalFormatting>
  <conditionalFormatting sqref="G30">
    <cfRule type="containsText" dxfId="2" priority="4633" operator="containsText" text="실패">
      <formula>NOT(ISERROR(SEARCH(("실패"),(G30))))</formula>
    </cfRule>
  </conditionalFormatting>
  <conditionalFormatting sqref="G30">
    <cfRule type="containsText" dxfId="3" priority="4634" operator="containsText" text="관리">
      <formula>NOT(ISERROR(SEARCH(("관리"),(G30))))</formula>
    </cfRule>
  </conditionalFormatting>
  <conditionalFormatting sqref="G30">
    <cfRule type="containsText" dxfId="4" priority="4635" operator="containsText" text="등록">
      <formula>NOT(ISERROR(SEARCH(("등록"),(G30))))</formula>
    </cfRule>
  </conditionalFormatting>
  <conditionalFormatting sqref="G29">
    <cfRule type="containsText" dxfId="0" priority="4636" operator="containsText" text="거부">
      <formula>NOT(ISERROR(SEARCH(("거부"),(G29))))</formula>
    </cfRule>
  </conditionalFormatting>
  <conditionalFormatting sqref="G29">
    <cfRule type="containsText" dxfId="1" priority="4637" operator="containsText" text="리턴">
      <formula>NOT(ISERROR(SEARCH(("리턴"),(G29))))</formula>
    </cfRule>
  </conditionalFormatting>
  <conditionalFormatting sqref="G29">
    <cfRule type="containsText" dxfId="2" priority="4638" operator="containsText" text="실패">
      <formula>NOT(ISERROR(SEARCH(("실패"),(G29))))</formula>
    </cfRule>
  </conditionalFormatting>
  <conditionalFormatting sqref="G29">
    <cfRule type="containsText" dxfId="3" priority="4639" operator="containsText" text="관리">
      <formula>NOT(ISERROR(SEARCH(("관리"),(G29))))</formula>
    </cfRule>
  </conditionalFormatting>
  <conditionalFormatting sqref="G29">
    <cfRule type="containsText" dxfId="4" priority="4640" operator="containsText" text="등록">
      <formula>NOT(ISERROR(SEARCH(("등록"),(G29))))</formula>
    </cfRule>
  </conditionalFormatting>
  <conditionalFormatting sqref="G30">
    <cfRule type="containsText" dxfId="0" priority="4641" operator="containsText" text="거부">
      <formula>NOT(ISERROR(SEARCH(("거부"),(G30))))</formula>
    </cfRule>
  </conditionalFormatting>
  <conditionalFormatting sqref="G30">
    <cfRule type="containsText" dxfId="1" priority="4642" operator="containsText" text="리턴">
      <formula>NOT(ISERROR(SEARCH(("리턴"),(G30))))</formula>
    </cfRule>
  </conditionalFormatting>
  <conditionalFormatting sqref="G30">
    <cfRule type="containsText" dxfId="2" priority="4643" operator="containsText" text="실패">
      <formula>NOT(ISERROR(SEARCH(("실패"),(G30))))</formula>
    </cfRule>
  </conditionalFormatting>
  <conditionalFormatting sqref="G30">
    <cfRule type="containsText" dxfId="3" priority="4644" operator="containsText" text="관리">
      <formula>NOT(ISERROR(SEARCH(("관리"),(G30))))</formula>
    </cfRule>
  </conditionalFormatting>
  <conditionalFormatting sqref="G30">
    <cfRule type="containsText" dxfId="4" priority="4645" operator="containsText" text="등록">
      <formula>NOT(ISERROR(SEARCH(("등록"),(G30))))</formula>
    </cfRule>
  </conditionalFormatting>
  <conditionalFormatting sqref="G30">
    <cfRule type="containsText" dxfId="0" priority="4646" operator="containsText" text="거부">
      <formula>NOT(ISERROR(SEARCH(("거부"),(G30))))</formula>
    </cfRule>
  </conditionalFormatting>
  <conditionalFormatting sqref="G30">
    <cfRule type="containsText" dxfId="1" priority="4647" operator="containsText" text="리턴">
      <formula>NOT(ISERROR(SEARCH(("리턴"),(G30))))</formula>
    </cfRule>
  </conditionalFormatting>
  <conditionalFormatting sqref="G30">
    <cfRule type="containsText" dxfId="2" priority="4648" operator="containsText" text="실패">
      <formula>NOT(ISERROR(SEARCH(("실패"),(G30))))</formula>
    </cfRule>
  </conditionalFormatting>
  <conditionalFormatting sqref="G30">
    <cfRule type="containsText" dxfId="3" priority="4649" operator="containsText" text="관리">
      <formula>NOT(ISERROR(SEARCH(("관리"),(G30))))</formula>
    </cfRule>
  </conditionalFormatting>
  <conditionalFormatting sqref="G30">
    <cfRule type="containsText" dxfId="4" priority="4650" operator="containsText" text="등록">
      <formula>NOT(ISERROR(SEARCH(("등록"),(G30))))</formula>
    </cfRule>
  </conditionalFormatting>
  <conditionalFormatting sqref="G31">
    <cfRule type="containsText" dxfId="0" priority="4651" operator="containsText" text="거부">
      <formula>NOT(ISERROR(SEARCH(("거부"),(G31))))</formula>
    </cfRule>
  </conditionalFormatting>
  <conditionalFormatting sqref="G31">
    <cfRule type="containsText" dxfId="1" priority="4652" operator="containsText" text="리턴">
      <formula>NOT(ISERROR(SEARCH(("리턴"),(G31))))</formula>
    </cfRule>
  </conditionalFormatting>
  <conditionalFormatting sqref="G31">
    <cfRule type="containsText" dxfId="2" priority="4653" operator="containsText" text="실패">
      <formula>NOT(ISERROR(SEARCH(("실패"),(G31))))</formula>
    </cfRule>
  </conditionalFormatting>
  <conditionalFormatting sqref="G31">
    <cfRule type="containsText" dxfId="3" priority="4654" operator="containsText" text="관리">
      <formula>NOT(ISERROR(SEARCH(("관리"),(G31))))</formula>
    </cfRule>
  </conditionalFormatting>
  <conditionalFormatting sqref="G31">
    <cfRule type="containsText" dxfId="4" priority="4655" operator="containsText" text="등록">
      <formula>NOT(ISERROR(SEARCH(("등록"),(G31))))</formula>
    </cfRule>
  </conditionalFormatting>
  <conditionalFormatting sqref="G32">
    <cfRule type="containsText" dxfId="0" priority="4656" operator="containsText" text="거부">
      <formula>NOT(ISERROR(SEARCH(("거부"),(G32))))</formula>
    </cfRule>
  </conditionalFormatting>
  <conditionalFormatting sqref="G32">
    <cfRule type="containsText" dxfId="1" priority="4657" operator="containsText" text="리턴">
      <formula>NOT(ISERROR(SEARCH(("리턴"),(G32))))</formula>
    </cfRule>
  </conditionalFormatting>
  <conditionalFormatting sqref="G32">
    <cfRule type="containsText" dxfId="2" priority="4658" operator="containsText" text="실패">
      <formula>NOT(ISERROR(SEARCH(("실패"),(G32))))</formula>
    </cfRule>
  </conditionalFormatting>
  <conditionalFormatting sqref="G32">
    <cfRule type="containsText" dxfId="3" priority="4659" operator="containsText" text="관리">
      <formula>NOT(ISERROR(SEARCH(("관리"),(G32))))</formula>
    </cfRule>
  </conditionalFormatting>
  <conditionalFormatting sqref="G32">
    <cfRule type="containsText" dxfId="4" priority="4660" operator="containsText" text="등록">
      <formula>NOT(ISERROR(SEARCH(("등록"),(G32))))</formula>
    </cfRule>
  </conditionalFormatting>
  <conditionalFormatting sqref="G31">
    <cfRule type="containsText" dxfId="0" priority="4661" operator="containsText" text="거부">
      <formula>NOT(ISERROR(SEARCH(("거부"),(G31))))</formula>
    </cfRule>
  </conditionalFormatting>
  <conditionalFormatting sqref="G31">
    <cfRule type="containsText" dxfId="1" priority="4662" operator="containsText" text="리턴">
      <formula>NOT(ISERROR(SEARCH(("리턴"),(G31))))</formula>
    </cfRule>
  </conditionalFormatting>
  <conditionalFormatting sqref="G31">
    <cfRule type="containsText" dxfId="2" priority="4663" operator="containsText" text="실패">
      <formula>NOT(ISERROR(SEARCH(("실패"),(G31))))</formula>
    </cfRule>
  </conditionalFormatting>
  <conditionalFormatting sqref="G31">
    <cfRule type="containsText" dxfId="3" priority="4664" operator="containsText" text="관리">
      <formula>NOT(ISERROR(SEARCH(("관리"),(G31))))</formula>
    </cfRule>
  </conditionalFormatting>
  <conditionalFormatting sqref="G31">
    <cfRule type="containsText" dxfId="4" priority="4665" operator="containsText" text="등록">
      <formula>NOT(ISERROR(SEARCH(("등록"),(G31))))</formula>
    </cfRule>
  </conditionalFormatting>
  <conditionalFormatting sqref="G32">
    <cfRule type="containsText" dxfId="0" priority="4666" operator="containsText" text="거부">
      <formula>NOT(ISERROR(SEARCH(("거부"),(G32))))</formula>
    </cfRule>
  </conditionalFormatting>
  <conditionalFormatting sqref="G32">
    <cfRule type="containsText" dxfId="1" priority="4667" operator="containsText" text="리턴">
      <formula>NOT(ISERROR(SEARCH(("리턴"),(G32))))</formula>
    </cfRule>
  </conditionalFormatting>
  <conditionalFormatting sqref="G32">
    <cfRule type="containsText" dxfId="2" priority="4668" operator="containsText" text="실패">
      <formula>NOT(ISERROR(SEARCH(("실패"),(G32))))</formula>
    </cfRule>
  </conditionalFormatting>
  <conditionalFormatting sqref="G32">
    <cfRule type="containsText" dxfId="3" priority="4669" operator="containsText" text="관리">
      <formula>NOT(ISERROR(SEARCH(("관리"),(G32))))</formula>
    </cfRule>
  </conditionalFormatting>
  <conditionalFormatting sqref="G32">
    <cfRule type="containsText" dxfId="4" priority="4670" operator="containsText" text="등록">
      <formula>NOT(ISERROR(SEARCH(("등록"),(G32))))</formula>
    </cfRule>
  </conditionalFormatting>
  <conditionalFormatting sqref="G30">
    <cfRule type="containsText" dxfId="0" priority="4671" operator="containsText" text="거부">
      <formula>NOT(ISERROR(SEARCH(("거부"),(G30))))</formula>
    </cfRule>
  </conditionalFormatting>
  <conditionalFormatting sqref="G30">
    <cfRule type="containsText" dxfId="1" priority="4672" operator="containsText" text="리턴">
      <formula>NOT(ISERROR(SEARCH(("리턴"),(G30))))</formula>
    </cfRule>
  </conditionalFormatting>
  <conditionalFormatting sqref="G30">
    <cfRule type="containsText" dxfId="2" priority="4673" operator="containsText" text="실패">
      <formula>NOT(ISERROR(SEARCH(("실패"),(G30))))</formula>
    </cfRule>
  </conditionalFormatting>
  <conditionalFormatting sqref="G30">
    <cfRule type="containsText" dxfId="3" priority="4674" operator="containsText" text="관리">
      <formula>NOT(ISERROR(SEARCH(("관리"),(G30))))</formula>
    </cfRule>
  </conditionalFormatting>
  <conditionalFormatting sqref="G30">
    <cfRule type="containsText" dxfId="4" priority="4675" operator="containsText" text="등록">
      <formula>NOT(ISERROR(SEARCH(("등록"),(G30))))</formula>
    </cfRule>
  </conditionalFormatting>
  <conditionalFormatting sqref="G31">
    <cfRule type="containsText" dxfId="0" priority="4676" operator="containsText" text="거부">
      <formula>NOT(ISERROR(SEARCH(("거부"),(G31))))</formula>
    </cfRule>
  </conditionalFormatting>
  <conditionalFormatting sqref="G31">
    <cfRule type="containsText" dxfId="1" priority="4677" operator="containsText" text="리턴">
      <formula>NOT(ISERROR(SEARCH(("리턴"),(G31))))</formula>
    </cfRule>
  </conditionalFormatting>
  <conditionalFormatting sqref="G31">
    <cfRule type="containsText" dxfId="2" priority="4678" operator="containsText" text="실패">
      <formula>NOT(ISERROR(SEARCH(("실패"),(G31))))</formula>
    </cfRule>
  </conditionalFormatting>
  <conditionalFormatting sqref="G31">
    <cfRule type="containsText" dxfId="3" priority="4679" operator="containsText" text="관리">
      <formula>NOT(ISERROR(SEARCH(("관리"),(G31))))</formula>
    </cfRule>
  </conditionalFormatting>
  <conditionalFormatting sqref="G31">
    <cfRule type="containsText" dxfId="4" priority="4680" operator="containsText" text="등록">
      <formula>NOT(ISERROR(SEARCH(("등록"),(G31))))</formula>
    </cfRule>
  </conditionalFormatting>
  <conditionalFormatting sqref="G30">
    <cfRule type="containsText" dxfId="0" priority="4681" operator="containsText" text="거부">
      <formula>NOT(ISERROR(SEARCH(("거부"),(G30))))</formula>
    </cfRule>
  </conditionalFormatting>
  <conditionalFormatting sqref="G30">
    <cfRule type="containsText" dxfId="1" priority="4682" operator="containsText" text="리턴">
      <formula>NOT(ISERROR(SEARCH(("리턴"),(G30))))</formula>
    </cfRule>
  </conditionalFormatting>
  <conditionalFormatting sqref="G30">
    <cfRule type="containsText" dxfId="2" priority="4683" operator="containsText" text="실패">
      <formula>NOT(ISERROR(SEARCH(("실패"),(G30))))</formula>
    </cfRule>
  </conditionalFormatting>
  <conditionalFormatting sqref="G30">
    <cfRule type="containsText" dxfId="3" priority="4684" operator="containsText" text="관리">
      <formula>NOT(ISERROR(SEARCH(("관리"),(G30))))</formula>
    </cfRule>
  </conditionalFormatting>
  <conditionalFormatting sqref="G30">
    <cfRule type="containsText" dxfId="4" priority="4685" operator="containsText" text="등록">
      <formula>NOT(ISERROR(SEARCH(("등록"),(G30))))</formula>
    </cfRule>
  </conditionalFormatting>
  <conditionalFormatting sqref="G31">
    <cfRule type="containsText" dxfId="0" priority="4686" operator="containsText" text="거부">
      <formula>NOT(ISERROR(SEARCH(("거부"),(G31))))</formula>
    </cfRule>
  </conditionalFormatting>
  <conditionalFormatting sqref="G31">
    <cfRule type="containsText" dxfId="1" priority="4687" operator="containsText" text="리턴">
      <formula>NOT(ISERROR(SEARCH(("리턴"),(G31))))</formula>
    </cfRule>
  </conditionalFormatting>
  <conditionalFormatting sqref="G31">
    <cfRule type="containsText" dxfId="2" priority="4688" operator="containsText" text="실패">
      <formula>NOT(ISERROR(SEARCH(("실패"),(G31))))</formula>
    </cfRule>
  </conditionalFormatting>
  <conditionalFormatting sqref="G31">
    <cfRule type="containsText" dxfId="3" priority="4689" operator="containsText" text="관리">
      <formula>NOT(ISERROR(SEARCH(("관리"),(G31))))</formula>
    </cfRule>
  </conditionalFormatting>
  <conditionalFormatting sqref="G31">
    <cfRule type="containsText" dxfId="4" priority="4690" operator="containsText" text="등록">
      <formula>NOT(ISERROR(SEARCH(("등록"),(G31))))</formula>
    </cfRule>
  </conditionalFormatting>
  <conditionalFormatting sqref="D16">
    <cfRule type="containsText" dxfId="0" priority="4691" operator="containsText" text="거부">
      <formula>NOT(ISERROR(SEARCH(("거부"),(D16))))</formula>
    </cfRule>
  </conditionalFormatting>
  <conditionalFormatting sqref="D16">
    <cfRule type="containsText" dxfId="1" priority="4692" operator="containsText" text="리턴">
      <formula>NOT(ISERROR(SEARCH(("리턴"),(D16))))</formula>
    </cfRule>
  </conditionalFormatting>
  <conditionalFormatting sqref="D16">
    <cfRule type="containsText" dxfId="2" priority="4693" operator="containsText" text="실패">
      <formula>NOT(ISERROR(SEARCH(("실패"),(D16))))</formula>
    </cfRule>
  </conditionalFormatting>
  <conditionalFormatting sqref="D16">
    <cfRule type="containsText" dxfId="3" priority="4694" operator="containsText" text="관리">
      <formula>NOT(ISERROR(SEARCH(("관리"),(D16))))</formula>
    </cfRule>
  </conditionalFormatting>
  <conditionalFormatting sqref="D16">
    <cfRule type="containsText" dxfId="4" priority="4695" operator="containsText" text="등록">
      <formula>NOT(ISERROR(SEARCH(("등록"),(D16))))</formula>
    </cfRule>
  </conditionalFormatting>
  <conditionalFormatting sqref="D16">
    <cfRule type="containsText" dxfId="0" priority="4696" operator="containsText" text="거부">
      <formula>NOT(ISERROR(SEARCH(("거부"),(D16))))</formula>
    </cfRule>
  </conditionalFormatting>
  <conditionalFormatting sqref="D16">
    <cfRule type="containsText" dxfId="1" priority="4697" operator="containsText" text="리턴">
      <formula>NOT(ISERROR(SEARCH(("리턴"),(D16))))</formula>
    </cfRule>
  </conditionalFormatting>
  <conditionalFormatting sqref="D16">
    <cfRule type="containsText" dxfId="2" priority="4698" operator="containsText" text="실패">
      <formula>NOT(ISERROR(SEARCH(("실패"),(D16))))</formula>
    </cfRule>
  </conditionalFormatting>
  <conditionalFormatting sqref="D16">
    <cfRule type="containsText" dxfId="3" priority="4699" operator="containsText" text="관리">
      <formula>NOT(ISERROR(SEARCH(("관리"),(D16))))</formula>
    </cfRule>
  </conditionalFormatting>
  <conditionalFormatting sqref="D16">
    <cfRule type="containsText" dxfId="4" priority="4700" operator="containsText" text="등록">
      <formula>NOT(ISERROR(SEARCH(("등록"),(D16))))</formula>
    </cfRule>
  </conditionalFormatting>
  <conditionalFormatting sqref="D16">
    <cfRule type="containsText" dxfId="0" priority="4701" operator="containsText" text="거부">
      <formula>NOT(ISERROR(SEARCH(("거부"),(D16))))</formula>
    </cfRule>
  </conditionalFormatting>
  <conditionalFormatting sqref="D16">
    <cfRule type="containsText" dxfId="1" priority="4702" operator="containsText" text="리턴">
      <formula>NOT(ISERROR(SEARCH(("리턴"),(D16))))</formula>
    </cfRule>
  </conditionalFormatting>
  <conditionalFormatting sqref="D16">
    <cfRule type="containsText" dxfId="2" priority="4703" operator="containsText" text="실패">
      <formula>NOT(ISERROR(SEARCH(("실패"),(D16))))</formula>
    </cfRule>
  </conditionalFormatting>
  <conditionalFormatting sqref="D16">
    <cfRule type="containsText" dxfId="3" priority="4704" operator="containsText" text="관리">
      <formula>NOT(ISERROR(SEARCH(("관리"),(D16))))</formula>
    </cfRule>
  </conditionalFormatting>
  <conditionalFormatting sqref="D16">
    <cfRule type="containsText" dxfId="4" priority="4705" operator="containsText" text="등록">
      <formula>NOT(ISERROR(SEARCH(("등록"),(D16))))</formula>
    </cfRule>
  </conditionalFormatting>
  <conditionalFormatting sqref="D16">
    <cfRule type="containsText" dxfId="0" priority="4706" operator="containsText" text="거부">
      <formula>NOT(ISERROR(SEARCH(("거부"),(D16))))</formula>
    </cfRule>
  </conditionalFormatting>
  <conditionalFormatting sqref="D16">
    <cfRule type="containsText" dxfId="1" priority="4707" operator="containsText" text="리턴">
      <formula>NOT(ISERROR(SEARCH(("리턴"),(D16))))</formula>
    </cfRule>
  </conditionalFormatting>
  <conditionalFormatting sqref="D16">
    <cfRule type="containsText" dxfId="2" priority="4708" operator="containsText" text="실패">
      <formula>NOT(ISERROR(SEARCH(("실패"),(D16))))</formula>
    </cfRule>
  </conditionalFormatting>
  <conditionalFormatting sqref="D16">
    <cfRule type="containsText" dxfId="3" priority="4709" operator="containsText" text="관리">
      <formula>NOT(ISERROR(SEARCH(("관리"),(D16))))</formula>
    </cfRule>
  </conditionalFormatting>
  <conditionalFormatting sqref="D16">
    <cfRule type="containsText" dxfId="4" priority="4710" operator="containsText" text="등록">
      <formula>NOT(ISERROR(SEARCH(("등록"),(D16))))</formula>
    </cfRule>
  </conditionalFormatting>
  <conditionalFormatting sqref="E16">
    <cfRule type="containsText" dxfId="0" priority="4711" operator="containsText" text="거부">
      <formula>NOT(ISERROR(SEARCH(("거부"),(E16))))</formula>
    </cfRule>
  </conditionalFormatting>
  <conditionalFormatting sqref="E16">
    <cfRule type="containsText" dxfId="1" priority="4712" operator="containsText" text="리턴">
      <formula>NOT(ISERROR(SEARCH(("리턴"),(E16))))</formula>
    </cfRule>
  </conditionalFormatting>
  <conditionalFormatting sqref="E16">
    <cfRule type="containsText" dxfId="2" priority="4713" operator="containsText" text="실패">
      <formula>NOT(ISERROR(SEARCH(("실패"),(E16))))</formula>
    </cfRule>
  </conditionalFormatting>
  <conditionalFormatting sqref="E16">
    <cfRule type="containsText" dxfId="3" priority="4714" operator="containsText" text="관리">
      <formula>NOT(ISERROR(SEARCH(("관리"),(E16))))</formula>
    </cfRule>
  </conditionalFormatting>
  <conditionalFormatting sqref="E16">
    <cfRule type="containsText" dxfId="4" priority="4715" operator="containsText" text="등록">
      <formula>NOT(ISERROR(SEARCH(("등록"),(E16))))</formula>
    </cfRule>
  </conditionalFormatting>
  <conditionalFormatting sqref="E16">
    <cfRule type="containsText" dxfId="0" priority="4716" operator="containsText" text="거부">
      <formula>NOT(ISERROR(SEARCH(("거부"),(E16))))</formula>
    </cfRule>
  </conditionalFormatting>
  <conditionalFormatting sqref="E16">
    <cfRule type="containsText" dxfId="1" priority="4717" operator="containsText" text="리턴">
      <formula>NOT(ISERROR(SEARCH(("리턴"),(E16))))</formula>
    </cfRule>
  </conditionalFormatting>
  <conditionalFormatting sqref="E16">
    <cfRule type="containsText" dxfId="2" priority="4718" operator="containsText" text="실패">
      <formula>NOT(ISERROR(SEARCH(("실패"),(E16))))</formula>
    </cfRule>
  </conditionalFormatting>
  <conditionalFormatting sqref="E16">
    <cfRule type="containsText" dxfId="3" priority="4719" operator="containsText" text="관리">
      <formula>NOT(ISERROR(SEARCH(("관리"),(E16))))</formula>
    </cfRule>
  </conditionalFormatting>
  <conditionalFormatting sqref="E16">
    <cfRule type="containsText" dxfId="4" priority="4720" operator="containsText" text="등록">
      <formula>NOT(ISERROR(SEARCH(("등록"),(E16))))</formula>
    </cfRule>
  </conditionalFormatting>
  <conditionalFormatting sqref="E16">
    <cfRule type="containsText" dxfId="0" priority="4721" operator="containsText" text="거부">
      <formula>NOT(ISERROR(SEARCH(("거부"),(E16))))</formula>
    </cfRule>
  </conditionalFormatting>
  <conditionalFormatting sqref="E16">
    <cfRule type="containsText" dxfId="1" priority="4722" operator="containsText" text="리턴">
      <formula>NOT(ISERROR(SEARCH(("리턴"),(E16))))</formula>
    </cfRule>
  </conditionalFormatting>
  <conditionalFormatting sqref="E16">
    <cfRule type="containsText" dxfId="2" priority="4723" operator="containsText" text="실패">
      <formula>NOT(ISERROR(SEARCH(("실패"),(E16))))</formula>
    </cfRule>
  </conditionalFormatting>
  <conditionalFormatting sqref="E16">
    <cfRule type="containsText" dxfId="3" priority="4724" operator="containsText" text="관리">
      <formula>NOT(ISERROR(SEARCH(("관리"),(E16))))</formula>
    </cfRule>
  </conditionalFormatting>
  <conditionalFormatting sqref="E16">
    <cfRule type="containsText" dxfId="4" priority="4725" operator="containsText" text="등록">
      <formula>NOT(ISERROR(SEARCH(("등록"),(E16))))</formula>
    </cfRule>
  </conditionalFormatting>
  <conditionalFormatting sqref="E16">
    <cfRule type="containsText" dxfId="0" priority="4726" operator="containsText" text="거부">
      <formula>NOT(ISERROR(SEARCH(("거부"),(E16))))</formula>
    </cfRule>
  </conditionalFormatting>
  <conditionalFormatting sqref="E16">
    <cfRule type="containsText" dxfId="1" priority="4727" operator="containsText" text="리턴">
      <formula>NOT(ISERROR(SEARCH(("리턴"),(E16))))</formula>
    </cfRule>
  </conditionalFormatting>
  <conditionalFormatting sqref="E16">
    <cfRule type="containsText" dxfId="2" priority="4728" operator="containsText" text="실패">
      <formula>NOT(ISERROR(SEARCH(("실패"),(E16))))</formula>
    </cfRule>
  </conditionalFormatting>
  <conditionalFormatting sqref="E16">
    <cfRule type="containsText" dxfId="3" priority="4729" operator="containsText" text="관리">
      <formula>NOT(ISERROR(SEARCH(("관리"),(E16))))</formula>
    </cfRule>
  </conditionalFormatting>
  <conditionalFormatting sqref="E16">
    <cfRule type="containsText" dxfId="4" priority="4730" operator="containsText" text="등록">
      <formula>NOT(ISERROR(SEARCH(("등록"),(E16))))</formula>
    </cfRule>
  </conditionalFormatting>
  <conditionalFormatting sqref="A16">
    <cfRule type="containsText" dxfId="0" priority="4731" operator="containsText" text="거부">
      <formula>NOT(ISERROR(SEARCH(("거부"),(A16))))</formula>
    </cfRule>
  </conditionalFormatting>
  <conditionalFormatting sqref="A16">
    <cfRule type="containsText" dxfId="1" priority="4732" operator="containsText" text="리턴">
      <formula>NOT(ISERROR(SEARCH(("리턴"),(A16))))</formula>
    </cfRule>
  </conditionalFormatting>
  <conditionalFormatting sqref="A16">
    <cfRule type="containsText" dxfId="2" priority="4733" operator="containsText" text="실패">
      <formula>NOT(ISERROR(SEARCH(("실패"),(A16))))</formula>
    </cfRule>
  </conditionalFormatting>
  <conditionalFormatting sqref="A16">
    <cfRule type="containsText" dxfId="3" priority="4734" operator="containsText" text="관리">
      <formula>NOT(ISERROR(SEARCH(("관리"),(A16))))</formula>
    </cfRule>
  </conditionalFormatting>
  <conditionalFormatting sqref="A16">
    <cfRule type="containsText" dxfId="4" priority="4735" operator="containsText" text="등록">
      <formula>NOT(ISERROR(SEARCH(("등록"),(A16))))</formula>
    </cfRule>
  </conditionalFormatting>
  <conditionalFormatting sqref="A16">
    <cfRule type="containsText" dxfId="0" priority="4736" operator="containsText" text="거부">
      <formula>NOT(ISERROR(SEARCH(("거부"),(A16))))</formula>
    </cfRule>
  </conditionalFormatting>
  <conditionalFormatting sqref="A16">
    <cfRule type="containsText" dxfId="1" priority="4737" operator="containsText" text="리턴">
      <formula>NOT(ISERROR(SEARCH(("리턴"),(A16))))</formula>
    </cfRule>
  </conditionalFormatting>
  <conditionalFormatting sqref="A16">
    <cfRule type="containsText" dxfId="2" priority="4738" operator="containsText" text="실패">
      <formula>NOT(ISERROR(SEARCH(("실패"),(A16))))</formula>
    </cfRule>
  </conditionalFormatting>
  <conditionalFormatting sqref="A16">
    <cfRule type="containsText" dxfId="3" priority="4739" operator="containsText" text="관리">
      <formula>NOT(ISERROR(SEARCH(("관리"),(A16))))</formula>
    </cfRule>
  </conditionalFormatting>
  <conditionalFormatting sqref="A16">
    <cfRule type="containsText" dxfId="4" priority="4740" operator="containsText" text="등록">
      <formula>NOT(ISERROR(SEARCH(("등록"),(A16))))</formula>
    </cfRule>
  </conditionalFormatting>
  <conditionalFormatting sqref="A16">
    <cfRule type="containsText" dxfId="0" priority="4741" operator="containsText" text="거부">
      <formula>NOT(ISERROR(SEARCH(("거부"),(A16))))</formula>
    </cfRule>
  </conditionalFormatting>
  <conditionalFormatting sqref="A16">
    <cfRule type="containsText" dxfId="1" priority="4742" operator="containsText" text="리턴">
      <formula>NOT(ISERROR(SEARCH(("리턴"),(A16))))</formula>
    </cfRule>
  </conditionalFormatting>
  <conditionalFormatting sqref="A16">
    <cfRule type="containsText" dxfId="2" priority="4743" operator="containsText" text="실패">
      <formula>NOT(ISERROR(SEARCH(("실패"),(A16))))</formula>
    </cfRule>
  </conditionalFormatting>
  <conditionalFormatting sqref="A16">
    <cfRule type="containsText" dxfId="3" priority="4744" operator="containsText" text="관리">
      <formula>NOT(ISERROR(SEARCH(("관리"),(A16))))</formula>
    </cfRule>
  </conditionalFormatting>
  <conditionalFormatting sqref="A16">
    <cfRule type="containsText" dxfId="4" priority="4745" operator="containsText" text="등록">
      <formula>NOT(ISERROR(SEARCH(("등록"),(A16))))</formula>
    </cfRule>
  </conditionalFormatting>
  <conditionalFormatting sqref="G16">
    <cfRule type="containsText" dxfId="0" priority="4746" operator="containsText" text="거부">
      <formula>NOT(ISERROR(SEARCH(("거부"),(G16))))</formula>
    </cfRule>
  </conditionalFormatting>
  <conditionalFormatting sqref="G16">
    <cfRule type="containsText" dxfId="1" priority="4747" operator="containsText" text="리턴">
      <formula>NOT(ISERROR(SEARCH(("리턴"),(G16))))</formula>
    </cfRule>
  </conditionalFormatting>
  <conditionalFormatting sqref="G16">
    <cfRule type="containsText" dxfId="2" priority="4748" operator="containsText" text="실패">
      <formula>NOT(ISERROR(SEARCH(("실패"),(G16))))</formula>
    </cfRule>
  </conditionalFormatting>
  <conditionalFormatting sqref="G16">
    <cfRule type="containsText" dxfId="3" priority="4749" operator="containsText" text="관리">
      <formula>NOT(ISERROR(SEARCH(("관리"),(G16))))</formula>
    </cfRule>
  </conditionalFormatting>
  <conditionalFormatting sqref="G16">
    <cfRule type="containsText" dxfId="4" priority="4750" operator="containsText" text="등록">
      <formula>NOT(ISERROR(SEARCH(("등록"),(G16))))</formula>
    </cfRule>
  </conditionalFormatting>
  <conditionalFormatting sqref="G16">
    <cfRule type="containsText" dxfId="0" priority="4751" operator="containsText" text="거부">
      <formula>NOT(ISERROR(SEARCH(("거부"),(G16))))</formula>
    </cfRule>
  </conditionalFormatting>
  <conditionalFormatting sqref="G16">
    <cfRule type="containsText" dxfId="1" priority="4752" operator="containsText" text="리턴">
      <formula>NOT(ISERROR(SEARCH(("리턴"),(G16))))</formula>
    </cfRule>
  </conditionalFormatting>
  <conditionalFormatting sqref="G16">
    <cfRule type="containsText" dxfId="2" priority="4753" operator="containsText" text="실패">
      <formula>NOT(ISERROR(SEARCH(("실패"),(G16))))</formula>
    </cfRule>
  </conditionalFormatting>
  <conditionalFormatting sqref="G16">
    <cfRule type="containsText" dxfId="3" priority="4754" operator="containsText" text="관리">
      <formula>NOT(ISERROR(SEARCH(("관리"),(G16))))</formula>
    </cfRule>
  </conditionalFormatting>
  <conditionalFormatting sqref="G16">
    <cfRule type="containsText" dxfId="4" priority="4755" operator="containsText" text="등록">
      <formula>NOT(ISERROR(SEARCH(("등록"),(G16))))</formula>
    </cfRule>
  </conditionalFormatting>
  <conditionalFormatting sqref="F17">
    <cfRule type="containsText" dxfId="0" priority="4756" operator="containsText" text="거부">
      <formula>NOT(ISERROR(SEARCH(("거부"),(F17))))</formula>
    </cfRule>
  </conditionalFormatting>
  <conditionalFormatting sqref="F17">
    <cfRule type="containsText" dxfId="1" priority="4757" operator="containsText" text="리턴">
      <formula>NOT(ISERROR(SEARCH(("리턴"),(F17))))</formula>
    </cfRule>
  </conditionalFormatting>
  <conditionalFormatting sqref="F17">
    <cfRule type="containsText" dxfId="2" priority="4758" operator="containsText" text="실패">
      <formula>NOT(ISERROR(SEARCH(("실패"),(F17))))</formula>
    </cfRule>
  </conditionalFormatting>
  <conditionalFormatting sqref="F17">
    <cfRule type="containsText" dxfId="3" priority="4759" operator="containsText" text="관리">
      <formula>NOT(ISERROR(SEARCH(("관리"),(F17))))</formula>
    </cfRule>
  </conditionalFormatting>
  <conditionalFormatting sqref="F17">
    <cfRule type="containsText" dxfId="4" priority="4760" operator="containsText" text="등록">
      <formula>NOT(ISERROR(SEARCH(("등록"),(F17))))</formula>
    </cfRule>
  </conditionalFormatting>
  <conditionalFormatting sqref="F17">
    <cfRule type="containsText" dxfId="0" priority="4761" operator="containsText" text="거부">
      <formula>NOT(ISERROR(SEARCH(("거부"),(F17))))</formula>
    </cfRule>
  </conditionalFormatting>
  <conditionalFormatting sqref="F17">
    <cfRule type="containsText" dxfId="1" priority="4762" operator="containsText" text="리턴">
      <formula>NOT(ISERROR(SEARCH(("리턴"),(F17))))</formula>
    </cfRule>
  </conditionalFormatting>
  <conditionalFormatting sqref="F17">
    <cfRule type="containsText" dxfId="2" priority="4763" operator="containsText" text="실패">
      <formula>NOT(ISERROR(SEARCH(("실패"),(F17))))</formula>
    </cfRule>
  </conditionalFormatting>
  <conditionalFormatting sqref="F17">
    <cfRule type="containsText" dxfId="3" priority="4764" operator="containsText" text="관리">
      <formula>NOT(ISERROR(SEARCH(("관리"),(F17))))</formula>
    </cfRule>
  </conditionalFormatting>
  <conditionalFormatting sqref="F17">
    <cfRule type="containsText" dxfId="4" priority="4765" operator="containsText" text="등록">
      <formula>NOT(ISERROR(SEARCH(("등록"),(F17))))</formula>
    </cfRule>
  </conditionalFormatting>
  <conditionalFormatting sqref="G17">
    <cfRule type="containsText" dxfId="0" priority="4766" operator="containsText" text="거부">
      <formula>NOT(ISERROR(SEARCH(("거부"),(G17))))</formula>
    </cfRule>
  </conditionalFormatting>
  <conditionalFormatting sqref="G17">
    <cfRule type="containsText" dxfId="1" priority="4767" operator="containsText" text="리턴">
      <formula>NOT(ISERROR(SEARCH(("리턴"),(G17))))</formula>
    </cfRule>
  </conditionalFormatting>
  <conditionalFormatting sqref="G17">
    <cfRule type="containsText" dxfId="2" priority="4768" operator="containsText" text="실패">
      <formula>NOT(ISERROR(SEARCH(("실패"),(G17))))</formula>
    </cfRule>
  </conditionalFormatting>
  <conditionalFormatting sqref="G17">
    <cfRule type="containsText" dxfId="3" priority="4769" operator="containsText" text="관리">
      <formula>NOT(ISERROR(SEARCH(("관리"),(G17))))</formula>
    </cfRule>
  </conditionalFormatting>
  <conditionalFormatting sqref="G17">
    <cfRule type="containsText" dxfId="4" priority="4770" operator="containsText" text="등록">
      <formula>NOT(ISERROR(SEARCH(("등록"),(G17))))</formula>
    </cfRule>
  </conditionalFormatting>
  <conditionalFormatting sqref="G17">
    <cfRule type="containsText" dxfId="0" priority="4771" operator="containsText" text="거부">
      <formula>NOT(ISERROR(SEARCH(("거부"),(G17))))</formula>
    </cfRule>
  </conditionalFormatting>
  <conditionalFormatting sqref="G17">
    <cfRule type="containsText" dxfId="1" priority="4772" operator="containsText" text="리턴">
      <formula>NOT(ISERROR(SEARCH(("리턴"),(G17))))</formula>
    </cfRule>
  </conditionalFormatting>
  <conditionalFormatting sqref="G17">
    <cfRule type="containsText" dxfId="2" priority="4773" operator="containsText" text="실패">
      <formula>NOT(ISERROR(SEARCH(("실패"),(G17))))</formula>
    </cfRule>
  </conditionalFormatting>
  <conditionalFormatting sqref="G17">
    <cfRule type="containsText" dxfId="3" priority="4774" operator="containsText" text="관리">
      <formula>NOT(ISERROR(SEARCH(("관리"),(G17))))</formula>
    </cfRule>
  </conditionalFormatting>
  <conditionalFormatting sqref="G17">
    <cfRule type="containsText" dxfId="4" priority="4775" operator="containsText" text="등록">
      <formula>NOT(ISERROR(SEARCH(("등록"),(G17))))</formula>
    </cfRule>
  </conditionalFormatting>
  <conditionalFormatting sqref="A16">
    <cfRule type="containsText" dxfId="0" priority="4776" operator="containsText" text="거부">
      <formula>NOT(ISERROR(SEARCH(("거부"),(A16))))</formula>
    </cfRule>
  </conditionalFormatting>
  <conditionalFormatting sqref="A16">
    <cfRule type="containsText" dxfId="1" priority="4777" operator="containsText" text="리턴">
      <formula>NOT(ISERROR(SEARCH(("리턴"),(A16))))</formula>
    </cfRule>
  </conditionalFormatting>
  <conditionalFormatting sqref="A16">
    <cfRule type="containsText" dxfId="2" priority="4778" operator="containsText" text="실패">
      <formula>NOT(ISERROR(SEARCH(("실패"),(A16))))</formula>
    </cfRule>
  </conditionalFormatting>
  <conditionalFormatting sqref="A16">
    <cfRule type="containsText" dxfId="3" priority="4779" operator="containsText" text="관리">
      <formula>NOT(ISERROR(SEARCH(("관리"),(A16))))</formula>
    </cfRule>
  </conditionalFormatting>
  <conditionalFormatting sqref="A16">
    <cfRule type="containsText" dxfId="4" priority="4780" operator="containsText" text="등록">
      <formula>NOT(ISERROR(SEARCH(("등록"),(A16))))</formula>
    </cfRule>
  </conditionalFormatting>
  <conditionalFormatting sqref="A16">
    <cfRule type="containsText" dxfId="0" priority="4781" operator="containsText" text="거부">
      <formula>NOT(ISERROR(SEARCH(("거부"),(A16))))</formula>
    </cfRule>
  </conditionalFormatting>
  <conditionalFormatting sqref="A16">
    <cfRule type="containsText" dxfId="1" priority="4782" operator="containsText" text="리턴">
      <formula>NOT(ISERROR(SEARCH(("리턴"),(A16))))</formula>
    </cfRule>
  </conditionalFormatting>
  <conditionalFormatting sqref="A16">
    <cfRule type="containsText" dxfId="2" priority="4783" operator="containsText" text="실패">
      <formula>NOT(ISERROR(SEARCH(("실패"),(A16))))</formula>
    </cfRule>
  </conditionalFormatting>
  <conditionalFormatting sqref="A16">
    <cfRule type="containsText" dxfId="3" priority="4784" operator="containsText" text="관리">
      <formula>NOT(ISERROR(SEARCH(("관리"),(A16))))</formula>
    </cfRule>
  </conditionalFormatting>
  <conditionalFormatting sqref="A16">
    <cfRule type="containsText" dxfId="4" priority="4785" operator="containsText" text="등록">
      <formula>NOT(ISERROR(SEARCH(("등록"),(A16))))</formula>
    </cfRule>
  </conditionalFormatting>
  <conditionalFormatting sqref="A16">
    <cfRule type="containsText" dxfId="0" priority="4786" operator="containsText" text="거부">
      <formula>NOT(ISERROR(SEARCH(("거부"),(A16))))</formula>
    </cfRule>
  </conditionalFormatting>
  <conditionalFormatting sqref="A16">
    <cfRule type="containsText" dxfId="1" priority="4787" operator="containsText" text="리턴">
      <formula>NOT(ISERROR(SEARCH(("리턴"),(A16))))</formula>
    </cfRule>
  </conditionalFormatting>
  <conditionalFormatting sqref="A16">
    <cfRule type="containsText" dxfId="2" priority="4788" operator="containsText" text="실패">
      <formula>NOT(ISERROR(SEARCH(("실패"),(A16))))</formula>
    </cfRule>
  </conditionalFormatting>
  <conditionalFormatting sqref="A16">
    <cfRule type="containsText" dxfId="3" priority="4789" operator="containsText" text="관리">
      <formula>NOT(ISERROR(SEARCH(("관리"),(A16))))</formula>
    </cfRule>
  </conditionalFormatting>
  <conditionalFormatting sqref="A16">
    <cfRule type="containsText" dxfId="4" priority="4790" operator="containsText" text="등록">
      <formula>NOT(ISERROR(SEARCH(("등록"),(A16))))</formula>
    </cfRule>
  </conditionalFormatting>
  <conditionalFormatting sqref="A16">
    <cfRule type="containsText" dxfId="0" priority="4791" operator="containsText" text="거부">
      <formula>NOT(ISERROR(SEARCH(("거부"),(A16))))</formula>
    </cfRule>
  </conditionalFormatting>
  <conditionalFormatting sqref="A16">
    <cfRule type="containsText" dxfId="1" priority="4792" operator="containsText" text="리턴">
      <formula>NOT(ISERROR(SEARCH(("리턴"),(A16))))</formula>
    </cfRule>
  </conditionalFormatting>
  <conditionalFormatting sqref="A16">
    <cfRule type="containsText" dxfId="2" priority="4793" operator="containsText" text="실패">
      <formula>NOT(ISERROR(SEARCH(("실패"),(A16))))</formula>
    </cfRule>
  </conditionalFormatting>
  <conditionalFormatting sqref="A16">
    <cfRule type="containsText" dxfId="3" priority="4794" operator="containsText" text="관리">
      <formula>NOT(ISERROR(SEARCH(("관리"),(A16))))</formula>
    </cfRule>
  </conditionalFormatting>
  <conditionalFormatting sqref="A16">
    <cfRule type="containsText" dxfId="4" priority="4795" operator="containsText" text="등록">
      <formula>NOT(ISERROR(SEARCH(("등록"),(A16))))</formula>
    </cfRule>
  </conditionalFormatting>
  <conditionalFormatting sqref="G16">
    <cfRule type="containsText" dxfId="0" priority="4796" operator="containsText" text="거부">
      <formula>NOT(ISERROR(SEARCH(("거부"),(G16))))</formula>
    </cfRule>
  </conditionalFormatting>
  <conditionalFormatting sqref="G16">
    <cfRule type="containsText" dxfId="1" priority="4797" operator="containsText" text="리턴">
      <formula>NOT(ISERROR(SEARCH(("리턴"),(G16))))</formula>
    </cfRule>
  </conditionalFormatting>
  <conditionalFormatting sqref="G16">
    <cfRule type="containsText" dxfId="2" priority="4798" operator="containsText" text="실패">
      <formula>NOT(ISERROR(SEARCH(("실패"),(G16))))</formula>
    </cfRule>
  </conditionalFormatting>
  <conditionalFormatting sqref="G16">
    <cfRule type="containsText" dxfId="3" priority="4799" operator="containsText" text="관리">
      <formula>NOT(ISERROR(SEARCH(("관리"),(G16))))</formula>
    </cfRule>
  </conditionalFormatting>
  <conditionalFormatting sqref="G16">
    <cfRule type="containsText" dxfId="4" priority="4800" operator="containsText" text="등록">
      <formula>NOT(ISERROR(SEARCH(("등록"),(G16))))</formula>
    </cfRule>
  </conditionalFormatting>
  <conditionalFormatting sqref="G16">
    <cfRule type="containsText" dxfId="0" priority="4801" operator="containsText" text="거부">
      <formula>NOT(ISERROR(SEARCH(("거부"),(G16))))</formula>
    </cfRule>
  </conditionalFormatting>
  <conditionalFormatting sqref="G16">
    <cfRule type="containsText" dxfId="1" priority="4802" operator="containsText" text="리턴">
      <formula>NOT(ISERROR(SEARCH(("리턴"),(G16))))</formula>
    </cfRule>
  </conditionalFormatting>
  <conditionalFormatting sqref="G16">
    <cfRule type="containsText" dxfId="2" priority="4803" operator="containsText" text="실패">
      <formula>NOT(ISERROR(SEARCH(("실패"),(G16))))</formula>
    </cfRule>
  </conditionalFormatting>
  <conditionalFormatting sqref="G16">
    <cfRule type="containsText" dxfId="3" priority="4804" operator="containsText" text="관리">
      <formula>NOT(ISERROR(SEARCH(("관리"),(G16))))</formula>
    </cfRule>
  </conditionalFormatting>
  <conditionalFormatting sqref="G16">
    <cfRule type="containsText" dxfId="4" priority="4805" operator="containsText" text="등록">
      <formula>NOT(ISERROR(SEARCH(("등록"),(G16))))</formula>
    </cfRule>
  </conditionalFormatting>
  <conditionalFormatting sqref="D16">
    <cfRule type="containsText" dxfId="0" priority="4806" operator="containsText" text="거부">
      <formula>NOT(ISERROR(SEARCH(("거부"),(D16))))</formula>
    </cfRule>
  </conditionalFormatting>
  <conditionalFormatting sqref="D16">
    <cfRule type="containsText" dxfId="1" priority="4807" operator="containsText" text="리턴">
      <formula>NOT(ISERROR(SEARCH(("리턴"),(D16))))</formula>
    </cfRule>
  </conditionalFormatting>
  <conditionalFormatting sqref="D16">
    <cfRule type="containsText" dxfId="2" priority="4808" operator="containsText" text="실패">
      <formula>NOT(ISERROR(SEARCH(("실패"),(D16))))</formula>
    </cfRule>
  </conditionalFormatting>
  <conditionalFormatting sqref="D16">
    <cfRule type="containsText" dxfId="3" priority="4809" operator="containsText" text="관리">
      <formula>NOT(ISERROR(SEARCH(("관리"),(D16))))</formula>
    </cfRule>
  </conditionalFormatting>
  <conditionalFormatting sqref="D16">
    <cfRule type="containsText" dxfId="4" priority="4810" operator="containsText" text="등록">
      <formula>NOT(ISERROR(SEARCH(("등록"),(D16))))</formula>
    </cfRule>
  </conditionalFormatting>
  <conditionalFormatting sqref="D16">
    <cfRule type="containsText" dxfId="0" priority="4811" operator="containsText" text="거부">
      <formula>NOT(ISERROR(SEARCH(("거부"),(D16))))</formula>
    </cfRule>
  </conditionalFormatting>
  <conditionalFormatting sqref="D16">
    <cfRule type="containsText" dxfId="1" priority="4812" operator="containsText" text="리턴">
      <formula>NOT(ISERROR(SEARCH(("리턴"),(D16))))</formula>
    </cfRule>
  </conditionalFormatting>
  <conditionalFormatting sqref="D16">
    <cfRule type="containsText" dxfId="2" priority="4813" operator="containsText" text="실패">
      <formula>NOT(ISERROR(SEARCH(("실패"),(D16))))</formula>
    </cfRule>
  </conditionalFormatting>
  <conditionalFormatting sqref="D16">
    <cfRule type="containsText" dxfId="3" priority="4814" operator="containsText" text="관리">
      <formula>NOT(ISERROR(SEARCH(("관리"),(D16))))</formula>
    </cfRule>
  </conditionalFormatting>
  <conditionalFormatting sqref="D16">
    <cfRule type="containsText" dxfId="4" priority="4815" operator="containsText" text="등록">
      <formula>NOT(ISERROR(SEARCH(("등록"),(D16))))</formula>
    </cfRule>
  </conditionalFormatting>
  <conditionalFormatting sqref="D16">
    <cfRule type="containsText" dxfId="0" priority="4816" operator="containsText" text="거부">
      <formula>NOT(ISERROR(SEARCH(("거부"),(D16))))</formula>
    </cfRule>
  </conditionalFormatting>
  <conditionalFormatting sqref="D16">
    <cfRule type="containsText" dxfId="1" priority="4817" operator="containsText" text="리턴">
      <formula>NOT(ISERROR(SEARCH(("리턴"),(D16))))</formula>
    </cfRule>
  </conditionalFormatting>
  <conditionalFormatting sqref="D16">
    <cfRule type="containsText" dxfId="2" priority="4818" operator="containsText" text="실패">
      <formula>NOT(ISERROR(SEARCH(("실패"),(D16))))</formula>
    </cfRule>
  </conditionalFormatting>
  <conditionalFormatting sqref="D16">
    <cfRule type="containsText" dxfId="3" priority="4819" operator="containsText" text="관리">
      <formula>NOT(ISERROR(SEARCH(("관리"),(D16))))</formula>
    </cfRule>
  </conditionalFormatting>
  <conditionalFormatting sqref="D16">
    <cfRule type="containsText" dxfId="4" priority="4820" operator="containsText" text="등록">
      <formula>NOT(ISERROR(SEARCH(("등록"),(D16))))</formula>
    </cfRule>
  </conditionalFormatting>
  <conditionalFormatting sqref="D16">
    <cfRule type="containsText" dxfId="0" priority="4821" operator="containsText" text="거부">
      <formula>NOT(ISERROR(SEARCH(("거부"),(D16))))</formula>
    </cfRule>
  </conditionalFormatting>
  <conditionalFormatting sqref="D16">
    <cfRule type="containsText" dxfId="1" priority="4822" operator="containsText" text="리턴">
      <formula>NOT(ISERROR(SEARCH(("리턴"),(D16))))</formula>
    </cfRule>
  </conditionalFormatting>
  <conditionalFormatting sqref="D16">
    <cfRule type="containsText" dxfId="2" priority="4823" operator="containsText" text="실패">
      <formula>NOT(ISERROR(SEARCH(("실패"),(D16))))</formula>
    </cfRule>
  </conditionalFormatting>
  <conditionalFormatting sqref="D16">
    <cfRule type="containsText" dxfId="3" priority="4824" operator="containsText" text="관리">
      <formula>NOT(ISERROR(SEARCH(("관리"),(D16))))</formula>
    </cfRule>
  </conditionalFormatting>
  <conditionalFormatting sqref="D16">
    <cfRule type="containsText" dxfId="4" priority="4825" operator="containsText" text="등록">
      <formula>NOT(ISERROR(SEARCH(("등록"),(D16))))</formula>
    </cfRule>
  </conditionalFormatting>
  <conditionalFormatting sqref="E16">
    <cfRule type="containsText" dxfId="0" priority="4826" operator="containsText" text="거부">
      <formula>NOT(ISERROR(SEARCH(("거부"),(E16))))</formula>
    </cfRule>
  </conditionalFormatting>
  <conditionalFormatting sqref="E16">
    <cfRule type="containsText" dxfId="1" priority="4827" operator="containsText" text="리턴">
      <formula>NOT(ISERROR(SEARCH(("리턴"),(E16))))</formula>
    </cfRule>
  </conditionalFormatting>
  <conditionalFormatting sqref="E16">
    <cfRule type="containsText" dxfId="2" priority="4828" operator="containsText" text="실패">
      <formula>NOT(ISERROR(SEARCH(("실패"),(E16))))</formula>
    </cfRule>
  </conditionalFormatting>
  <conditionalFormatting sqref="E16">
    <cfRule type="containsText" dxfId="3" priority="4829" operator="containsText" text="관리">
      <formula>NOT(ISERROR(SEARCH(("관리"),(E16))))</formula>
    </cfRule>
  </conditionalFormatting>
  <conditionalFormatting sqref="E16">
    <cfRule type="containsText" dxfId="4" priority="4830" operator="containsText" text="등록">
      <formula>NOT(ISERROR(SEARCH(("등록"),(E16))))</formula>
    </cfRule>
  </conditionalFormatting>
  <conditionalFormatting sqref="E16">
    <cfRule type="containsText" dxfId="0" priority="4831" operator="containsText" text="거부">
      <formula>NOT(ISERROR(SEARCH(("거부"),(E16))))</formula>
    </cfRule>
  </conditionalFormatting>
  <conditionalFormatting sqref="E16">
    <cfRule type="containsText" dxfId="1" priority="4832" operator="containsText" text="리턴">
      <formula>NOT(ISERROR(SEARCH(("리턴"),(E16))))</formula>
    </cfRule>
  </conditionalFormatting>
  <conditionalFormatting sqref="E16">
    <cfRule type="containsText" dxfId="2" priority="4833" operator="containsText" text="실패">
      <formula>NOT(ISERROR(SEARCH(("실패"),(E16))))</formula>
    </cfRule>
  </conditionalFormatting>
  <conditionalFormatting sqref="E16">
    <cfRule type="containsText" dxfId="3" priority="4834" operator="containsText" text="관리">
      <formula>NOT(ISERROR(SEARCH(("관리"),(E16))))</formula>
    </cfRule>
  </conditionalFormatting>
  <conditionalFormatting sqref="E16">
    <cfRule type="containsText" dxfId="4" priority="4835" operator="containsText" text="등록">
      <formula>NOT(ISERROR(SEARCH(("등록"),(E16))))</formula>
    </cfRule>
  </conditionalFormatting>
  <conditionalFormatting sqref="E16">
    <cfRule type="containsText" dxfId="0" priority="4836" operator="containsText" text="거부">
      <formula>NOT(ISERROR(SEARCH(("거부"),(E16))))</formula>
    </cfRule>
  </conditionalFormatting>
  <conditionalFormatting sqref="E16">
    <cfRule type="containsText" dxfId="1" priority="4837" operator="containsText" text="리턴">
      <formula>NOT(ISERROR(SEARCH(("리턴"),(E16))))</formula>
    </cfRule>
  </conditionalFormatting>
  <conditionalFormatting sqref="E16">
    <cfRule type="containsText" dxfId="2" priority="4838" operator="containsText" text="실패">
      <formula>NOT(ISERROR(SEARCH(("실패"),(E16))))</formula>
    </cfRule>
  </conditionalFormatting>
  <conditionalFormatting sqref="E16">
    <cfRule type="containsText" dxfId="3" priority="4839" operator="containsText" text="관리">
      <formula>NOT(ISERROR(SEARCH(("관리"),(E16))))</formula>
    </cfRule>
  </conditionalFormatting>
  <conditionalFormatting sqref="E16">
    <cfRule type="containsText" dxfId="4" priority="4840" operator="containsText" text="등록">
      <formula>NOT(ISERROR(SEARCH(("등록"),(E16))))</formula>
    </cfRule>
  </conditionalFormatting>
  <conditionalFormatting sqref="E16">
    <cfRule type="containsText" dxfId="0" priority="4841" operator="containsText" text="거부">
      <formula>NOT(ISERROR(SEARCH(("거부"),(E16))))</formula>
    </cfRule>
  </conditionalFormatting>
  <conditionalFormatting sqref="E16">
    <cfRule type="containsText" dxfId="1" priority="4842" operator="containsText" text="리턴">
      <formula>NOT(ISERROR(SEARCH(("리턴"),(E16))))</formula>
    </cfRule>
  </conditionalFormatting>
  <conditionalFormatting sqref="E16">
    <cfRule type="containsText" dxfId="2" priority="4843" operator="containsText" text="실패">
      <formula>NOT(ISERROR(SEARCH(("실패"),(E16))))</formula>
    </cfRule>
  </conditionalFormatting>
  <conditionalFormatting sqref="E16">
    <cfRule type="containsText" dxfId="3" priority="4844" operator="containsText" text="관리">
      <formula>NOT(ISERROR(SEARCH(("관리"),(E16))))</formula>
    </cfRule>
  </conditionalFormatting>
  <conditionalFormatting sqref="E16">
    <cfRule type="containsText" dxfId="4" priority="4845" operator="containsText" text="등록">
      <formula>NOT(ISERROR(SEARCH(("등록"),(E16))))</formula>
    </cfRule>
  </conditionalFormatting>
  <conditionalFormatting sqref="J17">
    <cfRule type="containsText" dxfId="0" priority="4846" operator="containsText" text="거부">
      <formula>NOT(ISERROR(SEARCH(("거부"),(J17))))</formula>
    </cfRule>
  </conditionalFormatting>
  <conditionalFormatting sqref="J17">
    <cfRule type="containsText" dxfId="1" priority="4847" operator="containsText" text="리턴">
      <formula>NOT(ISERROR(SEARCH(("리턴"),(J17))))</formula>
    </cfRule>
  </conditionalFormatting>
  <conditionalFormatting sqref="J17">
    <cfRule type="containsText" dxfId="2" priority="4848" operator="containsText" text="실패">
      <formula>NOT(ISERROR(SEARCH(("실패"),(J17))))</formula>
    </cfRule>
  </conditionalFormatting>
  <conditionalFormatting sqref="J17">
    <cfRule type="containsText" dxfId="3" priority="4849" operator="containsText" text="관리">
      <formula>NOT(ISERROR(SEARCH(("관리"),(J17))))</formula>
    </cfRule>
  </conditionalFormatting>
  <conditionalFormatting sqref="J17">
    <cfRule type="containsText" dxfId="4" priority="4850" operator="containsText" text="등록">
      <formula>NOT(ISERROR(SEARCH(("등록"),(J17))))</formula>
    </cfRule>
  </conditionalFormatting>
  <conditionalFormatting sqref="J17">
    <cfRule type="containsText" dxfId="0" priority="4851" operator="containsText" text="거부">
      <formula>NOT(ISERROR(SEARCH(("거부"),(J17))))</formula>
    </cfRule>
  </conditionalFormatting>
  <conditionalFormatting sqref="J17">
    <cfRule type="containsText" dxfId="1" priority="4852" operator="containsText" text="리턴">
      <formula>NOT(ISERROR(SEARCH(("리턴"),(J17))))</formula>
    </cfRule>
  </conditionalFormatting>
  <conditionalFormatting sqref="J17">
    <cfRule type="containsText" dxfId="2" priority="4853" operator="containsText" text="실패">
      <formula>NOT(ISERROR(SEARCH(("실패"),(J17))))</formula>
    </cfRule>
  </conditionalFormatting>
  <conditionalFormatting sqref="J17">
    <cfRule type="containsText" dxfId="3" priority="4854" operator="containsText" text="관리">
      <formula>NOT(ISERROR(SEARCH(("관리"),(J17))))</formula>
    </cfRule>
  </conditionalFormatting>
  <conditionalFormatting sqref="J17">
    <cfRule type="containsText" dxfId="4" priority="4855" operator="containsText" text="등록">
      <formula>NOT(ISERROR(SEARCH(("등록"),(J17))))</formula>
    </cfRule>
  </conditionalFormatting>
  <conditionalFormatting sqref="J17">
    <cfRule type="containsText" dxfId="0" priority="4856" operator="containsText" text="거부">
      <formula>NOT(ISERROR(SEARCH(("거부"),(J17))))</formula>
    </cfRule>
  </conditionalFormatting>
  <conditionalFormatting sqref="J17">
    <cfRule type="containsText" dxfId="1" priority="4857" operator="containsText" text="리턴">
      <formula>NOT(ISERROR(SEARCH(("리턴"),(J17))))</formula>
    </cfRule>
  </conditionalFormatting>
  <conditionalFormatting sqref="J17">
    <cfRule type="containsText" dxfId="2" priority="4858" operator="containsText" text="실패">
      <formula>NOT(ISERROR(SEARCH(("실패"),(J17))))</formula>
    </cfRule>
  </conditionalFormatting>
  <conditionalFormatting sqref="J17">
    <cfRule type="containsText" dxfId="3" priority="4859" operator="containsText" text="관리">
      <formula>NOT(ISERROR(SEARCH(("관리"),(J17))))</formula>
    </cfRule>
  </conditionalFormatting>
  <conditionalFormatting sqref="J17">
    <cfRule type="containsText" dxfId="4" priority="4860" operator="containsText" text="등록">
      <formula>NOT(ISERROR(SEARCH(("등록"),(J17))))</formula>
    </cfRule>
  </conditionalFormatting>
  <conditionalFormatting sqref="J17">
    <cfRule type="containsText" dxfId="0" priority="4861" operator="containsText" text="거부">
      <formula>NOT(ISERROR(SEARCH(("거부"),(J17))))</formula>
    </cfRule>
  </conditionalFormatting>
  <conditionalFormatting sqref="J17">
    <cfRule type="containsText" dxfId="1" priority="4862" operator="containsText" text="리턴">
      <formula>NOT(ISERROR(SEARCH(("리턴"),(J17))))</formula>
    </cfRule>
  </conditionalFormatting>
  <conditionalFormatting sqref="J17">
    <cfRule type="containsText" dxfId="2" priority="4863" operator="containsText" text="실패">
      <formula>NOT(ISERROR(SEARCH(("실패"),(J17))))</formula>
    </cfRule>
  </conditionalFormatting>
  <conditionalFormatting sqref="J17">
    <cfRule type="containsText" dxfId="3" priority="4864" operator="containsText" text="관리">
      <formula>NOT(ISERROR(SEARCH(("관리"),(J17))))</formula>
    </cfRule>
  </conditionalFormatting>
  <conditionalFormatting sqref="J17">
    <cfRule type="containsText" dxfId="4" priority="4865" operator="containsText" text="등록">
      <formula>NOT(ISERROR(SEARCH(("등록"),(J17))))</formula>
    </cfRule>
  </conditionalFormatting>
  <conditionalFormatting sqref="J17">
    <cfRule type="containsText" dxfId="0" priority="4866" operator="containsText" text="거부">
      <formula>NOT(ISERROR(SEARCH(("거부"),(J17))))</formula>
    </cfRule>
  </conditionalFormatting>
  <conditionalFormatting sqref="J17">
    <cfRule type="containsText" dxfId="1" priority="4867" operator="containsText" text="리턴">
      <formula>NOT(ISERROR(SEARCH(("리턴"),(J17))))</formula>
    </cfRule>
  </conditionalFormatting>
  <conditionalFormatting sqref="J17">
    <cfRule type="containsText" dxfId="2" priority="4868" operator="containsText" text="실패">
      <formula>NOT(ISERROR(SEARCH(("실패"),(J17))))</formula>
    </cfRule>
  </conditionalFormatting>
  <conditionalFormatting sqref="J17">
    <cfRule type="containsText" dxfId="3" priority="4869" operator="containsText" text="관리">
      <formula>NOT(ISERROR(SEARCH(("관리"),(J17))))</formula>
    </cfRule>
  </conditionalFormatting>
  <conditionalFormatting sqref="J17">
    <cfRule type="containsText" dxfId="4" priority="4870" operator="containsText" text="등록">
      <formula>NOT(ISERROR(SEARCH(("등록"),(J17))))</formula>
    </cfRule>
  </conditionalFormatting>
  <conditionalFormatting sqref="J17">
    <cfRule type="containsText" dxfId="0" priority="4871" operator="containsText" text="거부">
      <formula>NOT(ISERROR(SEARCH(("거부"),(J17))))</formula>
    </cfRule>
  </conditionalFormatting>
  <conditionalFormatting sqref="J17">
    <cfRule type="containsText" dxfId="1" priority="4872" operator="containsText" text="리턴">
      <formula>NOT(ISERROR(SEARCH(("리턴"),(J17))))</formula>
    </cfRule>
  </conditionalFormatting>
  <conditionalFormatting sqref="J17">
    <cfRule type="containsText" dxfId="2" priority="4873" operator="containsText" text="실패">
      <formula>NOT(ISERROR(SEARCH(("실패"),(J17))))</formula>
    </cfRule>
  </conditionalFormatting>
  <conditionalFormatting sqref="J17">
    <cfRule type="containsText" dxfId="3" priority="4874" operator="containsText" text="관리">
      <formula>NOT(ISERROR(SEARCH(("관리"),(J17))))</formula>
    </cfRule>
  </conditionalFormatting>
  <conditionalFormatting sqref="J17">
    <cfRule type="containsText" dxfId="4" priority="4875" operator="containsText" text="등록">
      <formula>NOT(ISERROR(SEARCH(("등록"),(J17))))</formula>
    </cfRule>
  </conditionalFormatting>
  <conditionalFormatting sqref="J17">
    <cfRule type="containsText" dxfId="0" priority="4876" operator="containsText" text="거부">
      <formula>NOT(ISERROR(SEARCH(("거부"),(J17))))</formula>
    </cfRule>
  </conditionalFormatting>
  <conditionalFormatting sqref="J17">
    <cfRule type="containsText" dxfId="1" priority="4877" operator="containsText" text="리턴">
      <formula>NOT(ISERROR(SEARCH(("리턴"),(J17))))</formula>
    </cfRule>
  </conditionalFormatting>
  <conditionalFormatting sqref="J17">
    <cfRule type="containsText" dxfId="2" priority="4878" operator="containsText" text="실패">
      <formula>NOT(ISERROR(SEARCH(("실패"),(J17))))</formula>
    </cfRule>
  </conditionalFormatting>
  <conditionalFormatting sqref="J17">
    <cfRule type="containsText" dxfId="3" priority="4879" operator="containsText" text="관리">
      <formula>NOT(ISERROR(SEARCH(("관리"),(J17))))</formula>
    </cfRule>
  </conditionalFormatting>
  <conditionalFormatting sqref="J17">
    <cfRule type="containsText" dxfId="4" priority="4880" operator="containsText" text="등록">
      <formula>NOT(ISERROR(SEARCH(("등록"),(J17))))</formula>
    </cfRule>
  </conditionalFormatting>
  <conditionalFormatting sqref="J17">
    <cfRule type="containsText" dxfId="0" priority="4881" operator="containsText" text="거부">
      <formula>NOT(ISERROR(SEARCH(("거부"),(J17))))</formula>
    </cfRule>
  </conditionalFormatting>
  <conditionalFormatting sqref="J17">
    <cfRule type="containsText" dxfId="1" priority="4882" operator="containsText" text="리턴">
      <formula>NOT(ISERROR(SEARCH(("리턴"),(J17))))</formula>
    </cfRule>
  </conditionalFormatting>
  <conditionalFormatting sqref="J17">
    <cfRule type="containsText" dxfId="2" priority="4883" operator="containsText" text="실패">
      <formula>NOT(ISERROR(SEARCH(("실패"),(J17))))</formula>
    </cfRule>
  </conditionalFormatting>
  <conditionalFormatting sqref="J17">
    <cfRule type="containsText" dxfId="3" priority="4884" operator="containsText" text="관리">
      <formula>NOT(ISERROR(SEARCH(("관리"),(J17))))</formula>
    </cfRule>
  </conditionalFormatting>
  <conditionalFormatting sqref="J17">
    <cfRule type="containsText" dxfId="4" priority="4885" operator="containsText" text="등록">
      <formula>NOT(ISERROR(SEARCH(("등록"),(J17))))</formula>
    </cfRule>
  </conditionalFormatting>
  <conditionalFormatting sqref="J17">
    <cfRule type="containsText" dxfId="0" priority="4886" operator="containsText" text="거부">
      <formula>NOT(ISERROR(SEARCH(("거부"),(J17))))</formula>
    </cfRule>
  </conditionalFormatting>
  <conditionalFormatting sqref="J17">
    <cfRule type="containsText" dxfId="1" priority="4887" operator="containsText" text="리턴">
      <formula>NOT(ISERROR(SEARCH(("리턴"),(J17))))</formula>
    </cfRule>
  </conditionalFormatting>
  <conditionalFormatting sqref="J17">
    <cfRule type="containsText" dxfId="2" priority="4888" operator="containsText" text="실패">
      <formula>NOT(ISERROR(SEARCH(("실패"),(J17))))</formula>
    </cfRule>
  </conditionalFormatting>
  <conditionalFormatting sqref="J17">
    <cfRule type="containsText" dxfId="3" priority="4889" operator="containsText" text="관리">
      <formula>NOT(ISERROR(SEARCH(("관리"),(J17))))</formula>
    </cfRule>
  </conditionalFormatting>
  <conditionalFormatting sqref="J17">
    <cfRule type="containsText" dxfId="4" priority="4890" operator="containsText" text="등록">
      <formula>NOT(ISERROR(SEARCH(("등록"),(J17))))</formula>
    </cfRule>
  </conditionalFormatting>
  <conditionalFormatting sqref="A20">
    <cfRule type="containsText" dxfId="0" priority="4891" operator="containsText" text="거부">
      <formula>NOT(ISERROR(SEARCH(("거부"),(A20))))</formula>
    </cfRule>
  </conditionalFormatting>
  <conditionalFormatting sqref="A20">
    <cfRule type="containsText" dxfId="1" priority="4892" operator="containsText" text="리턴">
      <formula>NOT(ISERROR(SEARCH(("리턴"),(A20))))</formula>
    </cfRule>
  </conditionalFormatting>
  <conditionalFormatting sqref="A20">
    <cfRule type="containsText" dxfId="2" priority="4893" operator="containsText" text="실패">
      <formula>NOT(ISERROR(SEARCH(("실패"),(A20))))</formula>
    </cfRule>
  </conditionalFormatting>
  <conditionalFormatting sqref="A20">
    <cfRule type="containsText" dxfId="3" priority="4894" operator="containsText" text="관리">
      <formula>NOT(ISERROR(SEARCH(("관리"),(A20))))</formula>
    </cfRule>
  </conditionalFormatting>
  <conditionalFormatting sqref="A20">
    <cfRule type="containsText" dxfId="4" priority="4895" operator="containsText" text="등록">
      <formula>NOT(ISERROR(SEARCH(("등록"),(A20))))</formula>
    </cfRule>
  </conditionalFormatting>
  <conditionalFormatting sqref="A20">
    <cfRule type="containsText" dxfId="0" priority="4896" operator="containsText" text="거부">
      <formula>NOT(ISERROR(SEARCH(("거부"),(A20))))</formula>
    </cfRule>
  </conditionalFormatting>
  <conditionalFormatting sqref="A20">
    <cfRule type="containsText" dxfId="1" priority="4897" operator="containsText" text="리턴">
      <formula>NOT(ISERROR(SEARCH(("리턴"),(A20))))</formula>
    </cfRule>
  </conditionalFormatting>
  <conditionalFormatting sqref="A20">
    <cfRule type="containsText" dxfId="2" priority="4898" operator="containsText" text="실패">
      <formula>NOT(ISERROR(SEARCH(("실패"),(A20))))</formula>
    </cfRule>
  </conditionalFormatting>
  <conditionalFormatting sqref="A20">
    <cfRule type="containsText" dxfId="3" priority="4899" operator="containsText" text="관리">
      <formula>NOT(ISERROR(SEARCH(("관리"),(A20))))</formula>
    </cfRule>
  </conditionalFormatting>
  <conditionalFormatting sqref="A20">
    <cfRule type="containsText" dxfId="4" priority="4900" operator="containsText" text="등록">
      <formula>NOT(ISERROR(SEARCH(("등록"),(A20))))</formula>
    </cfRule>
  </conditionalFormatting>
  <conditionalFormatting sqref="A20">
    <cfRule type="containsText" dxfId="0" priority="4901" operator="containsText" text="거부">
      <formula>NOT(ISERROR(SEARCH(("거부"),(A20))))</formula>
    </cfRule>
  </conditionalFormatting>
  <conditionalFormatting sqref="A20">
    <cfRule type="containsText" dxfId="1" priority="4902" operator="containsText" text="리턴">
      <formula>NOT(ISERROR(SEARCH(("리턴"),(A20))))</formula>
    </cfRule>
  </conditionalFormatting>
  <conditionalFormatting sqref="A20">
    <cfRule type="containsText" dxfId="2" priority="4903" operator="containsText" text="실패">
      <formula>NOT(ISERROR(SEARCH(("실패"),(A20))))</formula>
    </cfRule>
  </conditionalFormatting>
  <conditionalFormatting sqref="A20">
    <cfRule type="containsText" dxfId="3" priority="4904" operator="containsText" text="관리">
      <formula>NOT(ISERROR(SEARCH(("관리"),(A20))))</formula>
    </cfRule>
  </conditionalFormatting>
  <conditionalFormatting sqref="A20">
    <cfRule type="containsText" dxfId="4" priority="4905" operator="containsText" text="등록">
      <formula>NOT(ISERROR(SEARCH(("등록"),(A20))))</formula>
    </cfRule>
  </conditionalFormatting>
  <conditionalFormatting sqref="A20">
    <cfRule type="containsText" dxfId="0" priority="4906" operator="containsText" text="거부">
      <formula>NOT(ISERROR(SEARCH(("거부"),(A20))))</formula>
    </cfRule>
  </conditionalFormatting>
  <conditionalFormatting sqref="A20">
    <cfRule type="containsText" dxfId="1" priority="4907" operator="containsText" text="리턴">
      <formula>NOT(ISERROR(SEARCH(("리턴"),(A20))))</formula>
    </cfRule>
  </conditionalFormatting>
  <conditionalFormatting sqref="A20">
    <cfRule type="containsText" dxfId="2" priority="4908" operator="containsText" text="실패">
      <formula>NOT(ISERROR(SEARCH(("실패"),(A20))))</formula>
    </cfRule>
  </conditionalFormatting>
  <conditionalFormatting sqref="A20">
    <cfRule type="containsText" dxfId="3" priority="4909" operator="containsText" text="관리">
      <formula>NOT(ISERROR(SEARCH(("관리"),(A20))))</formula>
    </cfRule>
  </conditionalFormatting>
  <conditionalFormatting sqref="A20">
    <cfRule type="containsText" dxfId="4" priority="4910" operator="containsText" text="등록">
      <formula>NOT(ISERROR(SEARCH(("등록"),(A20))))</formula>
    </cfRule>
  </conditionalFormatting>
  <conditionalFormatting sqref="A20">
    <cfRule type="containsText" dxfId="0" priority="4911" operator="containsText" text="거부">
      <formula>NOT(ISERROR(SEARCH(("거부"),(A20))))</formula>
    </cfRule>
  </conditionalFormatting>
  <conditionalFormatting sqref="A20">
    <cfRule type="containsText" dxfId="1" priority="4912" operator="containsText" text="리턴">
      <formula>NOT(ISERROR(SEARCH(("리턴"),(A20))))</formula>
    </cfRule>
  </conditionalFormatting>
  <conditionalFormatting sqref="A20">
    <cfRule type="containsText" dxfId="2" priority="4913" operator="containsText" text="실패">
      <formula>NOT(ISERROR(SEARCH(("실패"),(A20))))</formula>
    </cfRule>
  </conditionalFormatting>
  <conditionalFormatting sqref="A20">
    <cfRule type="containsText" dxfId="3" priority="4914" operator="containsText" text="관리">
      <formula>NOT(ISERROR(SEARCH(("관리"),(A20))))</formula>
    </cfRule>
  </conditionalFormatting>
  <conditionalFormatting sqref="A20">
    <cfRule type="containsText" dxfId="4" priority="4915" operator="containsText" text="등록">
      <formula>NOT(ISERROR(SEARCH(("등록"),(A20))))</formula>
    </cfRule>
  </conditionalFormatting>
  <conditionalFormatting sqref="A20">
    <cfRule type="containsText" dxfId="0" priority="4916" operator="containsText" text="거부">
      <formula>NOT(ISERROR(SEARCH(("거부"),(A20))))</formula>
    </cfRule>
  </conditionalFormatting>
  <conditionalFormatting sqref="A20">
    <cfRule type="containsText" dxfId="1" priority="4917" operator="containsText" text="리턴">
      <formula>NOT(ISERROR(SEARCH(("리턴"),(A20))))</formula>
    </cfRule>
  </conditionalFormatting>
  <conditionalFormatting sqref="A20">
    <cfRule type="containsText" dxfId="2" priority="4918" operator="containsText" text="실패">
      <formula>NOT(ISERROR(SEARCH(("실패"),(A20))))</formula>
    </cfRule>
  </conditionalFormatting>
  <conditionalFormatting sqref="A20">
    <cfRule type="containsText" dxfId="3" priority="4919" operator="containsText" text="관리">
      <formula>NOT(ISERROR(SEARCH(("관리"),(A20))))</formula>
    </cfRule>
  </conditionalFormatting>
  <conditionalFormatting sqref="A20">
    <cfRule type="containsText" dxfId="4" priority="4920" operator="containsText" text="등록">
      <formula>NOT(ISERROR(SEARCH(("등록"),(A20))))</formula>
    </cfRule>
  </conditionalFormatting>
  <conditionalFormatting sqref="A20">
    <cfRule type="containsText" dxfId="0" priority="4921" operator="containsText" text="거부">
      <formula>NOT(ISERROR(SEARCH(("거부"),(A20))))</formula>
    </cfRule>
  </conditionalFormatting>
  <conditionalFormatting sqref="A20">
    <cfRule type="containsText" dxfId="1" priority="4922" operator="containsText" text="리턴">
      <formula>NOT(ISERROR(SEARCH(("리턴"),(A20))))</formula>
    </cfRule>
  </conditionalFormatting>
  <conditionalFormatting sqref="A20">
    <cfRule type="containsText" dxfId="2" priority="4923" operator="containsText" text="실패">
      <formula>NOT(ISERROR(SEARCH(("실패"),(A20))))</formula>
    </cfRule>
  </conditionalFormatting>
  <conditionalFormatting sqref="A20">
    <cfRule type="containsText" dxfId="3" priority="4924" operator="containsText" text="관리">
      <formula>NOT(ISERROR(SEARCH(("관리"),(A20))))</formula>
    </cfRule>
  </conditionalFormatting>
  <conditionalFormatting sqref="A20">
    <cfRule type="containsText" dxfId="4" priority="4925" operator="containsText" text="등록">
      <formula>NOT(ISERROR(SEARCH(("등록"),(A20))))</formula>
    </cfRule>
  </conditionalFormatting>
  <conditionalFormatting sqref="A20">
    <cfRule type="containsText" dxfId="0" priority="4926" operator="containsText" text="거부">
      <formula>NOT(ISERROR(SEARCH(("거부"),(A20))))</formula>
    </cfRule>
  </conditionalFormatting>
  <conditionalFormatting sqref="A20">
    <cfRule type="containsText" dxfId="1" priority="4927" operator="containsText" text="리턴">
      <formula>NOT(ISERROR(SEARCH(("리턴"),(A20))))</formula>
    </cfRule>
  </conditionalFormatting>
  <conditionalFormatting sqref="A20">
    <cfRule type="containsText" dxfId="2" priority="4928" operator="containsText" text="실패">
      <formula>NOT(ISERROR(SEARCH(("실패"),(A20))))</formula>
    </cfRule>
  </conditionalFormatting>
  <conditionalFormatting sqref="A20">
    <cfRule type="containsText" dxfId="3" priority="4929" operator="containsText" text="관리">
      <formula>NOT(ISERROR(SEARCH(("관리"),(A20))))</formula>
    </cfRule>
  </conditionalFormatting>
  <conditionalFormatting sqref="A20">
    <cfRule type="containsText" dxfId="4" priority="4930" operator="containsText" text="등록">
      <formula>NOT(ISERROR(SEARCH(("등록"),(A20))))</formula>
    </cfRule>
  </conditionalFormatting>
  <conditionalFormatting sqref="A20">
    <cfRule type="containsText" dxfId="0" priority="4931" operator="containsText" text="거부">
      <formula>NOT(ISERROR(SEARCH(("거부"),(A20))))</formula>
    </cfRule>
  </conditionalFormatting>
  <conditionalFormatting sqref="A20">
    <cfRule type="containsText" dxfId="1" priority="4932" operator="containsText" text="리턴">
      <formula>NOT(ISERROR(SEARCH(("리턴"),(A20))))</formula>
    </cfRule>
  </conditionalFormatting>
  <conditionalFormatting sqref="A20">
    <cfRule type="containsText" dxfId="2" priority="4933" operator="containsText" text="실패">
      <formula>NOT(ISERROR(SEARCH(("실패"),(A20))))</formula>
    </cfRule>
  </conditionalFormatting>
  <conditionalFormatting sqref="A20">
    <cfRule type="containsText" dxfId="3" priority="4934" operator="containsText" text="관리">
      <formula>NOT(ISERROR(SEARCH(("관리"),(A20))))</formula>
    </cfRule>
  </conditionalFormatting>
  <conditionalFormatting sqref="A20">
    <cfRule type="containsText" dxfId="4" priority="4935" operator="containsText" text="등록">
      <formula>NOT(ISERROR(SEARCH(("등록"),(A20))))</formula>
    </cfRule>
  </conditionalFormatting>
  <conditionalFormatting sqref="D20">
    <cfRule type="containsText" dxfId="0" priority="4936" operator="containsText" text="거부">
      <formula>NOT(ISERROR(SEARCH(("거부"),(D20))))</formula>
    </cfRule>
  </conditionalFormatting>
  <conditionalFormatting sqref="D20">
    <cfRule type="containsText" dxfId="1" priority="4937" operator="containsText" text="리턴">
      <formula>NOT(ISERROR(SEARCH(("리턴"),(D20))))</formula>
    </cfRule>
  </conditionalFormatting>
  <conditionalFormatting sqref="D20">
    <cfRule type="containsText" dxfId="2" priority="4938" operator="containsText" text="실패">
      <formula>NOT(ISERROR(SEARCH(("실패"),(D20))))</formula>
    </cfRule>
  </conditionalFormatting>
  <conditionalFormatting sqref="D20">
    <cfRule type="containsText" dxfId="3" priority="4939" operator="containsText" text="관리">
      <formula>NOT(ISERROR(SEARCH(("관리"),(D20))))</formula>
    </cfRule>
  </conditionalFormatting>
  <conditionalFormatting sqref="D20">
    <cfRule type="containsText" dxfId="4" priority="4940" operator="containsText" text="등록">
      <formula>NOT(ISERROR(SEARCH(("등록"),(D20))))</formula>
    </cfRule>
  </conditionalFormatting>
  <conditionalFormatting sqref="D20">
    <cfRule type="containsText" dxfId="0" priority="4941" operator="containsText" text="거부">
      <formula>NOT(ISERROR(SEARCH(("거부"),(D20))))</formula>
    </cfRule>
  </conditionalFormatting>
  <conditionalFormatting sqref="D20">
    <cfRule type="containsText" dxfId="1" priority="4942" operator="containsText" text="리턴">
      <formula>NOT(ISERROR(SEARCH(("리턴"),(D20))))</formula>
    </cfRule>
  </conditionalFormatting>
  <conditionalFormatting sqref="D20">
    <cfRule type="containsText" dxfId="2" priority="4943" operator="containsText" text="실패">
      <formula>NOT(ISERROR(SEARCH(("실패"),(D20))))</formula>
    </cfRule>
  </conditionalFormatting>
  <conditionalFormatting sqref="D20">
    <cfRule type="containsText" dxfId="3" priority="4944" operator="containsText" text="관리">
      <formula>NOT(ISERROR(SEARCH(("관리"),(D20))))</formula>
    </cfRule>
  </conditionalFormatting>
  <conditionalFormatting sqref="D20">
    <cfRule type="containsText" dxfId="4" priority="4945" operator="containsText" text="등록">
      <formula>NOT(ISERROR(SEARCH(("등록"),(D20))))</formula>
    </cfRule>
  </conditionalFormatting>
  <conditionalFormatting sqref="D20">
    <cfRule type="containsText" dxfId="0" priority="4946" operator="containsText" text="거부">
      <formula>NOT(ISERROR(SEARCH(("거부"),(D20))))</formula>
    </cfRule>
  </conditionalFormatting>
  <conditionalFormatting sqref="D20">
    <cfRule type="containsText" dxfId="1" priority="4947" operator="containsText" text="리턴">
      <formula>NOT(ISERROR(SEARCH(("리턴"),(D20))))</formula>
    </cfRule>
  </conditionalFormatting>
  <conditionalFormatting sqref="D20">
    <cfRule type="containsText" dxfId="2" priority="4948" operator="containsText" text="실패">
      <formula>NOT(ISERROR(SEARCH(("실패"),(D20))))</formula>
    </cfRule>
  </conditionalFormatting>
  <conditionalFormatting sqref="D20">
    <cfRule type="containsText" dxfId="3" priority="4949" operator="containsText" text="관리">
      <formula>NOT(ISERROR(SEARCH(("관리"),(D20))))</formula>
    </cfRule>
  </conditionalFormatting>
  <conditionalFormatting sqref="D20">
    <cfRule type="containsText" dxfId="4" priority="4950" operator="containsText" text="등록">
      <formula>NOT(ISERROR(SEARCH(("등록"),(D20))))</formula>
    </cfRule>
  </conditionalFormatting>
  <conditionalFormatting sqref="D20">
    <cfRule type="containsText" dxfId="0" priority="4951" operator="containsText" text="거부">
      <formula>NOT(ISERROR(SEARCH(("거부"),(D20))))</formula>
    </cfRule>
  </conditionalFormatting>
  <conditionalFormatting sqref="D20">
    <cfRule type="containsText" dxfId="1" priority="4952" operator="containsText" text="리턴">
      <formula>NOT(ISERROR(SEARCH(("리턴"),(D20))))</formula>
    </cfRule>
  </conditionalFormatting>
  <conditionalFormatting sqref="D20">
    <cfRule type="containsText" dxfId="2" priority="4953" operator="containsText" text="실패">
      <formula>NOT(ISERROR(SEARCH(("실패"),(D20))))</formula>
    </cfRule>
  </conditionalFormatting>
  <conditionalFormatting sqref="D20">
    <cfRule type="containsText" dxfId="3" priority="4954" operator="containsText" text="관리">
      <formula>NOT(ISERROR(SEARCH(("관리"),(D20))))</formula>
    </cfRule>
  </conditionalFormatting>
  <conditionalFormatting sqref="D20">
    <cfRule type="containsText" dxfId="4" priority="4955" operator="containsText" text="등록">
      <formula>NOT(ISERROR(SEARCH(("등록"),(D20))))</formula>
    </cfRule>
  </conditionalFormatting>
  <conditionalFormatting sqref="E20">
    <cfRule type="containsText" dxfId="0" priority="4956" operator="containsText" text="거부">
      <formula>NOT(ISERROR(SEARCH(("거부"),(E20))))</formula>
    </cfRule>
  </conditionalFormatting>
  <conditionalFormatting sqref="E20">
    <cfRule type="containsText" dxfId="1" priority="4957" operator="containsText" text="리턴">
      <formula>NOT(ISERROR(SEARCH(("리턴"),(E20))))</formula>
    </cfRule>
  </conditionalFormatting>
  <conditionalFormatting sqref="E20">
    <cfRule type="containsText" dxfId="2" priority="4958" operator="containsText" text="실패">
      <formula>NOT(ISERROR(SEARCH(("실패"),(E20))))</formula>
    </cfRule>
  </conditionalFormatting>
  <conditionalFormatting sqref="E20">
    <cfRule type="containsText" dxfId="3" priority="4959" operator="containsText" text="관리">
      <formula>NOT(ISERROR(SEARCH(("관리"),(E20))))</formula>
    </cfRule>
  </conditionalFormatting>
  <conditionalFormatting sqref="E20">
    <cfRule type="containsText" dxfId="4" priority="4960" operator="containsText" text="등록">
      <formula>NOT(ISERROR(SEARCH(("등록"),(E20))))</formula>
    </cfRule>
  </conditionalFormatting>
  <conditionalFormatting sqref="E20">
    <cfRule type="containsText" dxfId="0" priority="4961" operator="containsText" text="거부">
      <formula>NOT(ISERROR(SEARCH(("거부"),(E20))))</formula>
    </cfRule>
  </conditionalFormatting>
  <conditionalFormatting sqref="E20">
    <cfRule type="containsText" dxfId="1" priority="4962" operator="containsText" text="리턴">
      <formula>NOT(ISERROR(SEARCH(("리턴"),(E20))))</formula>
    </cfRule>
  </conditionalFormatting>
  <conditionalFormatting sqref="E20">
    <cfRule type="containsText" dxfId="2" priority="4963" operator="containsText" text="실패">
      <formula>NOT(ISERROR(SEARCH(("실패"),(E20))))</formula>
    </cfRule>
  </conditionalFormatting>
  <conditionalFormatting sqref="E20">
    <cfRule type="containsText" dxfId="3" priority="4964" operator="containsText" text="관리">
      <formula>NOT(ISERROR(SEARCH(("관리"),(E20))))</formula>
    </cfRule>
  </conditionalFormatting>
  <conditionalFormatting sqref="E20">
    <cfRule type="containsText" dxfId="4" priority="4965" operator="containsText" text="등록">
      <formula>NOT(ISERROR(SEARCH(("등록"),(E20))))</formula>
    </cfRule>
  </conditionalFormatting>
  <conditionalFormatting sqref="E20">
    <cfRule type="containsText" dxfId="0" priority="4966" operator="containsText" text="거부">
      <formula>NOT(ISERROR(SEARCH(("거부"),(E20))))</formula>
    </cfRule>
  </conditionalFormatting>
  <conditionalFormatting sqref="E20">
    <cfRule type="containsText" dxfId="1" priority="4967" operator="containsText" text="리턴">
      <formula>NOT(ISERROR(SEARCH(("리턴"),(E20))))</formula>
    </cfRule>
  </conditionalFormatting>
  <conditionalFormatting sqref="E20">
    <cfRule type="containsText" dxfId="2" priority="4968" operator="containsText" text="실패">
      <formula>NOT(ISERROR(SEARCH(("실패"),(E20))))</formula>
    </cfRule>
  </conditionalFormatting>
  <conditionalFormatting sqref="E20">
    <cfRule type="containsText" dxfId="3" priority="4969" operator="containsText" text="관리">
      <formula>NOT(ISERROR(SEARCH(("관리"),(E20))))</formula>
    </cfRule>
  </conditionalFormatting>
  <conditionalFormatting sqref="E20">
    <cfRule type="containsText" dxfId="4" priority="4970" operator="containsText" text="등록">
      <formula>NOT(ISERROR(SEARCH(("등록"),(E20))))</formula>
    </cfRule>
  </conditionalFormatting>
  <conditionalFormatting sqref="E20">
    <cfRule type="containsText" dxfId="0" priority="4971" operator="containsText" text="거부">
      <formula>NOT(ISERROR(SEARCH(("거부"),(E20))))</formula>
    </cfRule>
  </conditionalFormatting>
  <conditionalFormatting sqref="E20">
    <cfRule type="containsText" dxfId="1" priority="4972" operator="containsText" text="리턴">
      <formula>NOT(ISERROR(SEARCH(("리턴"),(E20))))</formula>
    </cfRule>
  </conditionalFormatting>
  <conditionalFormatting sqref="E20">
    <cfRule type="containsText" dxfId="2" priority="4973" operator="containsText" text="실패">
      <formula>NOT(ISERROR(SEARCH(("실패"),(E20))))</formula>
    </cfRule>
  </conditionalFormatting>
  <conditionalFormatting sqref="E20">
    <cfRule type="containsText" dxfId="3" priority="4974" operator="containsText" text="관리">
      <formula>NOT(ISERROR(SEARCH(("관리"),(E20))))</formula>
    </cfRule>
  </conditionalFormatting>
  <conditionalFormatting sqref="E20">
    <cfRule type="containsText" dxfId="4" priority="4975" operator="containsText" text="등록">
      <formula>NOT(ISERROR(SEARCH(("등록"),(E20))))</formula>
    </cfRule>
  </conditionalFormatting>
  <conditionalFormatting sqref="A20">
    <cfRule type="containsText" dxfId="0" priority="4976" operator="containsText" text="거부">
      <formula>NOT(ISERROR(SEARCH(("거부"),(A20))))</formula>
    </cfRule>
  </conditionalFormatting>
  <conditionalFormatting sqref="A20">
    <cfRule type="containsText" dxfId="1" priority="4977" operator="containsText" text="리턴">
      <formula>NOT(ISERROR(SEARCH(("리턴"),(A20))))</formula>
    </cfRule>
  </conditionalFormatting>
  <conditionalFormatting sqref="A20">
    <cfRule type="containsText" dxfId="2" priority="4978" operator="containsText" text="실패">
      <formula>NOT(ISERROR(SEARCH(("실패"),(A20))))</formula>
    </cfRule>
  </conditionalFormatting>
  <conditionalFormatting sqref="A20">
    <cfRule type="containsText" dxfId="3" priority="4979" operator="containsText" text="관리">
      <formula>NOT(ISERROR(SEARCH(("관리"),(A20))))</formula>
    </cfRule>
  </conditionalFormatting>
  <conditionalFormatting sqref="A20">
    <cfRule type="containsText" dxfId="4" priority="4980" operator="containsText" text="등록">
      <formula>NOT(ISERROR(SEARCH(("등록"),(A20))))</formula>
    </cfRule>
  </conditionalFormatting>
  <conditionalFormatting sqref="A20">
    <cfRule type="containsText" dxfId="0" priority="4981" operator="containsText" text="거부">
      <formula>NOT(ISERROR(SEARCH(("거부"),(A20))))</formula>
    </cfRule>
  </conditionalFormatting>
  <conditionalFormatting sqref="A20">
    <cfRule type="containsText" dxfId="1" priority="4982" operator="containsText" text="리턴">
      <formula>NOT(ISERROR(SEARCH(("리턴"),(A20))))</formula>
    </cfRule>
  </conditionalFormatting>
  <conditionalFormatting sqref="A20">
    <cfRule type="containsText" dxfId="2" priority="4983" operator="containsText" text="실패">
      <formula>NOT(ISERROR(SEARCH(("실패"),(A20))))</formula>
    </cfRule>
  </conditionalFormatting>
  <conditionalFormatting sqref="A20">
    <cfRule type="containsText" dxfId="3" priority="4984" operator="containsText" text="관리">
      <formula>NOT(ISERROR(SEARCH(("관리"),(A20))))</formula>
    </cfRule>
  </conditionalFormatting>
  <conditionalFormatting sqref="A20">
    <cfRule type="containsText" dxfId="4" priority="4985" operator="containsText" text="등록">
      <formula>NOT(ISERROR(SEARCH(("등록"),(A20))))</formula>
    </cfRule>
  </conditionalFormatting>
  <conditionalFormatting sqref="A20">
    <cfRule type="containsText" dxfId="0" priority="4986" operator="containsText" text="거부">
      <formula>NOT(ISERROR(SEARCH(("거부"),(A20))))</formula>
    </cfRule>
  </conditionalFormatting>
  <conditionalFormatting sqref="A20">
    <cfRule type="containsText" dxfId="1" priority="4987" operator="containsText" text="리턴">
      <formula>NOT(ISERROR(SEARCH(("리턴"),(A20))))</formula>
    </cfRule>
  </conditionalFormatting>
  <conditionalFormatting sqref="A20">
    <cfRule type="containsText" dxfId="2" priority="4988" operator="containsText" text="실패">
      <formula>NOT(ISERROR(SEARCH(("실패"),(A20))))</formula>
    </cfRule>
  </conditionalFormatting>
  <conditionalFormatting sqref="A20">
    <cfRule type="containsText" dxfId="3" priority="4989" operator="containsText" text="관리">
      <formula>NOT(ISERROR(SEARCH(("관리"),(A20))))</formula>
    </cfRule>
  </conditionalFormatting>
  <conditionalFormatting sqref="A20">
    <cfRule type="containsText" dxfId="4" priority="4990" operator="containsText" text="등록">
      <formula>NOT(ISERROR(SEARCH(("등록"),(A20))))</formula>
    </cfRule>
  </conditionalFormatting>
  <conditionalFormatting sqref="A20">
    <cfRule type="containsText" dxfId="0" priority="4991" operator="containsText" text="거부">
      <formula>NOT(ISERROR(SEARCH(("거부"),(A20))))</formula>
    </cfRule>
  </conditionalFormatting>
  <conditionalFormatting sqref="A20">
    <cfRule type="containsText" dxfId="1" priority="4992" operator="containsText" text="리턴">
      <formula>NOT(ISERROR(SEARCH(("리턴"),(A20))))</formula>
    </cfRule>
  </conditionalFormatting>
  <conditionalFormatting sqref="A20">
    <cfRule type="containsText" dxfId="2" priority="4993" operator="containsText" text="실패">
      <formula>NOT(ISERROR(SEARCH(("실패"),(A20))))</formula>
    </cfRule>
  </conditionalFormatting>
  <conditionalFormatting sqref="A20">
    <cfRule type="containsText" dxfId="3" priority="4994" operator="containsText" text="관리">
      <formula>NOT(ISERROR(SEARCH(("관리"),(A20))))</formula>
    </cfRule>
  </conditionalFormatting>
  <conditionalFormatting sqref="A20">
    <cfRule type="containsText" dxfId="4" priority="4995" operator="containsText" text="등록">
      <formula>NOT(ISERROR(SEARCH(("등록"),(A20))))</formula>
    </cfRule>
  </conditionalFormatting>
  <conditionalFormatting sqref="A20">
    <cfRule type="containsText" dxfId="0" priority="4996" operator="containsText" text="거부">
      <formula>NOT(ISERROR(SEARCH(("거부"),(A20))))</formula>
    </cfRule>
  </conditionalFormatting>
  <conditionalFormatting sqref="A20">
    <cfRule type="containsText" dxfId="1" priority="4997" operator="containsText" text="리턴">
      <formula>NOT(ISERROR(SEARCH(("리턴"),(A20))))</formula>
    </cfRule>
  </conditionalFormatting>
  <conditionalFormatting sqref="A20">
    <cfRule type="containsText" dxfId="2" priority="4998" operator="containsText" text="실패">
      <formula>NOT(ISERROR(SEARCH(("실패"),(A20))))</formula>
    </cfRule>
  </conditionalFormatting>
  <conditionalFormatting sqref="A20">
    <cfRule type="containsText" dxfId="3" priority="4999" operator="containsText" text="관리">
      <formula>NOT(ISERROR(SEARCH(("관리"),(A20))))</formula>
    </cfRule>
  </conditionalFormatting>
  <conditionalFormatting sqref="A20">
    <cfRule type="containsText" dxfId="4" priority="5000" operator="containsText" text="등록">
      <formula>NOT(ISERROR(SEARCH(("등록"),(A20))))</formula>
    </cfRule>
  </conditionalFormatting>
  <conditionalFormatting sqref="A20">
    <cfRule type="containsText" dxfId="0" priority="5001" operator="containsText" text="거부">
      <formula>NOT(ISERROR(SEARCH(("거부"),(A20))))</formula>
    </cfRule>
  </conditionalFormatting>
  <conditionalFormatting sqref="A20">
    <cfRule type="containsText" dxfId="1" priority="5002" operator="containsText" text="리턴">
      <formula>NOT(ISERROR(SEARCH(("리턴"),(A20))))</formula>
    </cfRule>
  </conditionalFormatting>
  <conditionalFormatting sqref="A20">
    <cfRule type="containsText" dxfId="2" priority="5003" operator="containsText" text="실패">
      <formula>NOT(ISERROR(SEARCH(("실패"),(A20))))</formula>
    </cfRule>
  </conditionalFormatting>
  <conditionalFormatting sqref="A20">
    <cfRule type="containsText" dxfId="3" priority="5004" operator="containsText" text="관리">
      <formula>NOT(ISERROR(SEARCH(("관리"),(A20))))</formula>
    </cfRule>
  </conditionalFormatting>
  <conditionalFormatting sqref="A20">
    <cfRule type="containsText" dxfId="4" priority="5005" operator="containsText" text="등록">
      <formula>NOT(ISERROR(SEARCH(("등록"),(A20))))</formula>
    </cfRule>
  </conditionalFormatting>
  <conditionalFormatting sqref="A20">
    <cfRule type="containsText" dxfId="0" priority="5006" operator="containsText" text="거부">
      <formula>NOT(ISERROR(SEARCH(("거부"),(A20))))</formula>
    </cfRule>
  </conditionalFormatting>
  <conditionalFormatting sqref="A20">
    <cfRule type="containsText" dxfId="1" priority="5007" operator="containsText" text="리턴">
      <formula>NOT(ISERROR(SEARCH(("리턴"),(A20))))</formula>
    </cfRule>
  </conditionalFormatting>
  <conditionalFormatting sqref="A20">
    <cfRule type="containsText" dxfId="2" priority="5008" operator="containsText" text="실패">
      <formula>NOT(ISERROR(SEARCH(("실패"),(A20))))</formula>
    </cfRule>
  </conditionalFormatting>
  <conditionalFormatting sqref="A20">
    <cfRule type="containsText" dxfId="3" priority="5009" operator="containsText" text="관리">
      <formula>NOT(ISERROR(SEARCH(("관리"),(A20))))</formula>
    </cfRule>
  </conditionalFormatting>
  <conditionalFormatting sqref="A20">
    <cfRule type="containsText" dxfId="4" priority="5010" operator="containsText" text="등록">
      <formula>NOT(ISERROR(SEARCH(("등록"),(A20))))</formula>
    </cfRule>
  </conditionalFormatting>
  <conditionalFormatting sqref="D20">
    <cfRule type="containsText" dxfId="0" priority="5011" operator="containsText" text="거부">
      <formula>NOT(ISERROR(SEARCH(("거부"),(D20))))</formula>
    </cfRule>
  </conditionalFormatting>
  <conditionalFormatting sqref="D20">
    <cfRule type="containsText" dxfId="1" priority="5012" operator="containsText" text="리턴">
      <formula>NOT(ISERROR(SEARCH(("리턴"),(D20))))</formula>
    </cfRule>
  </conditionalFormatting>
  <conditionalFormatting sqref="D20">
    <cfRule type="containsText" dxfId="2" priority="5013" operator="containsText" text="실패">
      <formula>NOT(ISERROR(SEARCH(("실패"),(D20))))</formula>
    </cfRule>
  </conditionalFormatting>
  <conditionalFormatting sqref="D20">
    <cfRule type="containsText" dxfId="3" priority="5014" operator="containsText" text="관리">
      <formula>NOT(ISERROR(SEARCH(("관리"),(D20))))</formula>
    </cfRule>
  </conditionalFormatting>
  <conditionalFormatting sqref="D20">
    <cfRule type="containsText" dxfId="4" priority="5015" operator="containsText" text="등록">
      <formula>NOT(ISERROR(SEARCH(("등록"),(D20))))</formula>
    </cfRule>
  </conditionalFormatting>
  <conditionalFormatting sqref="D20">
    <cfRule type="containsText" dxfId="0" priority="5016" operator="containsText" text="거부">
      <formula>NOT(ISERROR(SEARCH(("거부"),(D20))))</formula>
    </cfRule>
  </conditionalFormatting>
  <conditionalFormatting sqref="D20">
    <cfRule type="containsText" dxfId="1" priority="5017" operator="containsText" text="리턴">
      <formula>NOT(ISERROR(SEARCH(("리턴"),(D20))))</formula>
    </cfRule>
  </conditionalFormatting>
  <conditionalFormatting sqref="D20">
    <cfRule type="containsText" dxfId="2" priority="5018" operator="containsText" text="실패">
      <formula>NOT(ISERROR(SEARCH(("실패"),(D20))))</formula>
    </cfRule>
  </conditionalFormatting>
  <conditionalFormatting sqref="D20">
    <cfRule type="containsText" dxfId="3" priority="5019" operator="containsText" text="관리">
      <formula>NOT(ISERROR(SEARCH(("관리"),(D20))))</formula>
    </cfRule>
  </conditionalFormatting>
  <conditionalFormatting sqref="D20">
    <cfRule type="containsText" dxfId="4" priority="5020" operator="containsText" text="등록">
      <formula>NOT(ISERROR(SEARCH(("등록"),(D20))))</formula>
    </cfRule>
  </conditionalFormatting>
  <conditionalFormatting sqref="D20">
    <cfRule type="containsText" dxfId="0" priority="5021" operator="containsText" text="거부">
      <formula>NOT(ISERROR(SEARCH(("거부"),(D20))))</formula>
    </cfRule>
  </conditionalFormatting>
  <conditionalFormatting sqref="D20">
    <cfRule type="containsText" dxfId="1" priority="5022" operator="containsText" text="리턴">
      <formula>NOT(ISERROR(SEARCH(("리턴"),(D20))))</formula>
    </cfRule>
  </conditionalFormatting>
  <conditionalFormatting sqref="D20">
    <cfRule type="containsText" dxfId="2" priority="5023" operator="containsText" text="실패">
      <formula>NOT(ISERROR(SEARCH(("실패"),(D20))))</formula>
    </cfRule>
  </conditionalFormatting>
  <conditionalFormatting sqref="D20">
    <cfRule type="containsText" dxfId="3" priority="5024" operator="containsText" text="관리">
      <formula>NOT(ISERROR(SEARCH(("관리"),(D20))))</formula>
    </cfRule>
  </conditionalFormatting>
  <conditionalFormatting sqref="D20">
    <cfRule type="containsText" dxfId="4" priority="5025" operator="containsText" text="등록">
      <formula>NOT(ISERROR(SEARCH(("등록"),(D20))))</formula>
    </cfRule>
  </conditionalFormatting>
  <conditionalFormatting sqref="D20">
    <cfRule type="containsText" dxfId="0" priority="5026" operator="containsText" text="거부">
      <formula>NOT(ISERROR(SEARCH(("거부"),(D20))))</formula>
    </cfRule>
  </conditionalFormatting>
  <conditionalFormatting sqref="D20">
    <cfRule type="containsText" dxfId="1" priority="5027" operator="containsText" text="리턴">
      <formula>NOT(ISERROR(SEARCH(("리턴"),(D20))))</formula>
    </cfRule>
  </conditionalFormatting>
  <conditionalFormatting sqref="D20">
    <cfRule type="containsText" dxfId="2" priority="5028" operator="containsText" text="실패">
      <formula>NOT(ISERROR(SEARCH(("실패"),(D20))))</formula>
    </cfRule>
  </conditionalFormatting>
  <conditionalFormatting sqref="D20">
    <cfRule type="containsText" dxfId="3" priority="5029" operator="containsText" text="관리">
      <formula>NOT(ISERROR(SEARCH(("관리"),(D20))))</formula>
    </cfRule>
  </conditionalFormatting>
  <conditionalFormatting sqref="D20">
    <cfRule type="containsText" dxfId="4" priority="5030" operator="containsText" text="등록">
      <formula>NOT(ISERROR(SEARCH(("등록"),(D20))))</formula>
    </cfRule>
  </conditionalFormatting>
  <conditionalFormatting sqref="E20">
    <cfRule type="containsText" dxfId="0" priority="5031" operator="containsText" text="거부">
      <formula>NOT(ISERROR(SEARCH(("거부"),(E20))))</formula>
    </cfRule>
  </conditionalFormatting>
  <conditionalFormatting sqref="E20">
    <cfRule type="containsText" dxfId="1" priority="5032" operator="containsText" text="리턴">
      <formula>NOT(ISERROR(SEARCH(("리턴"),(E20))))</formula>
    </cfRule>
  </conditionalFormatting>
  <conditionalFormatting sqref="E20">
    <cfRule type="containsText" dxfId="2" priority="5033" operator="containsText" text="실패">
      <formula>NOT(ISERROR(SEARCH(("실패"),(E20))))</formula>
    </cfRule>
  </conditionalFormatting>
  <conditionalFormatting sqref="E20">
    <cfRule type="containsText" dxfId="3" priority="5034" operator="containsText" text="관리">
      <formula>NOT(ISERROR(SEARCH(("관리"),(E20))))</formula>
    </cfRule>
  </conditionalFormatting>
  <conditionalFormatting sqref="E20">
    <cfRule type="containsText" dxfId="4" priority="5035" operator="containsText" text="등록">
      <formula>NOT(ISERROR(SEARCH(("등록"),(E20))))</formula>
    </cfRule>
  </conditionalFormatting>
  <conditionalFormatting sqref="E20">
    <cfRule type="containsText" dxfId="0" priority="5036" operator="containsText" text="거부">
      <formula>NOT(ISERROR(SEARCH(("거부"),(E20))))</formula>
    </cfRule>
  </conditionalFormatting>
  <conditionalFormatting sqref="E20">
    <cfRule type="containsText" dxfId="1" priority="5037" operator="containsText" text="리턴">
      <formula>NOT(ISERROR(SEARCH(("리턴"),(E20))))</formula>
    </cfRule>
  </conditionalFormatting>
  <conditionalFormatting sqref="E20">
    <cfRule type="containsText" dxfId="2" priority="5038" operator="containsText" text="실패">
      <formula>NOT(ISERROR(SEARCH(("실패"),(E20))))</formula>
    </cfRule>
  </conditionalFormatting>
  <conditionalFormatting sqref="E20">
    <cfRule type="containsText" dxfId="3" priority="5039" operator="containsText" text="관리">
      <formula>NOT(ISERROR(SEARCH(("관리"),(E20))))</formula>
    </cfRule>
  </conditionalFormatting>
  <conditionalFormatting sqref="E20">
    <cfRule type="containsText" dxfId="4" priority="5040" operator="containsText" text="등록">
      <formula>NOT(ISERROR(SEARCH(("등록"),(E20))))</formula>
    </cfRule>
  </conditionalFormatting>
  <conditionalFormatting sqref="E20">
    <cfRule type="containsText" dxfId="0" priority="5041" operator="containsText" text="거부">
      <formula>NOT(ISERROR(SEARCH(("거부"),(E20))))</formula>
    </cfRule>
  </conditionalFormatting>
  <conditionalFormatting sqref="E20">
    <cfRule type="containsText" dxfId="1" priority="5042" operator="containsText" text="리턴">
      <formula>NOT(ISERROR(SEARCH(("리턴"),(E20))))</formula>
    </cfRule>
  </conditionalFormatting>
  <conditionalFormatting sqref="E20">
    <cfRule type="containsText" dxfId="2" priority="5043" operator="containsText" text="실패">
      <formula>NOT(ISERROR(SEARCH(("실패"),(E20))))</formula>
    </cfRule>
  </conditionalFormatting>
  <conditionalFormatting sqref="E20">
    <cfRule type="containsText" dxfId="3" priority="5044" operator="containsText" text="관리">
      <formula>NOT(ISERROR(SEARCH(("관리"),(E20))))</formula>
    </cfRule>
  </conditionalFormatting>
  <conditionalFormatting sqref="E20">
    <cfRule type="containsText" dxfId="4" priority="5045" operator="containsText" text="등록">
      <formula>NOT(ISERROR(SEARCH(("등록"),(E20))))</formula>
    </cfRule>
  </conditionalFormatting>
  <conditionalFormatting sqref="E20">
    <cfRule type="containsText" dxfId="0" priority="5046" operator="containsText" text="거부">
      <formula>NOT(ISERROR(SEARCH(("거부"),(E20))))</formula>
    </cfRule>
  </conditionalFormatting>
  <conditionalFormatting sqref="E20">
    <cfRule type="containsText" dxfId="1" priority="5047" operator="containsText" text="리턴">
      <formula>NOT(ISERROR(SEARCH(("리턴"),(E20))))</formula>
    </cfRule>
  </conditionalFormatting>
  <conditionalFormatting sqref="E20">
    <cfRule type="containsText" dxfId="2" priority="5048" operator="containsText" text="실패">
      <formula>NOT(ISERROR(SEARCH(("실패"),(E20))))</formula>
    </cfRule>
  </conditionalFormatting>
  <conditionalFormatting sqref="E20">
    <cfRule type="containsText" dxfId="3" priority="5049" operator="containsText" text="관리">
      <formula>NOT(ISERROR(SEARCH(("관리"),(E20))))</formula>
    </cfRule>
  </conditionalFormatting>
  <conditionalFormatting sqref="E20">
    <cfRule type="containsText" dxfId="4" priority="5050" operator="containsText" text="등록">
      <formula>NOT(ISERROR(SEARCH(("등록"),(E20))))</formula>
    </cfRule>
  </conditionalFormatting>
  <conditionalFormatting sqref="G20">
    <cfRule type="containsText" dxfId="0" priority="5051" operator="containsText" text="거부">
      <formula>NOT(ISERROR(SEARCH(("거부"),(G20))))</formula>
    </cfRule>
  </conditionalFormatting>
  <conditionalFormatting sqref="G20">
    <cfRule type="containsText" dxfId="1" priority="5052" operator="containsText" text="리턴">
      <formula>NOT(ISERROR(SEARCH(("리턴"),(G20))))</formula>
    </cfRule>
  </conditionalFormatting>
  <conditionalFormatting sqref="G20">
    <cfRule type="containsText" dxfId="2" priority="5053" operator="containsText" text="실패">
      <formula>NOT(ISERROR(SEARCH(("실패"),(G20))))</formula>
    </cfRule>
  </conditionalFormatting>
  <conditionalFormatting sqref="G20">
    <cfRule type="containsText" dxfId="3" priority="5054" operator="containsText" text="관리">
      <formula>NOT(ISERROR(SEARCH(("관리"),(G20))))</formula>
    </cfRule>
  </conditionalFormatting>
  <conditionalFormatting sqref="G20">
    <cfRule type="containsText" dxfId="4" priority="5055" operator="containsText" text="등록">
      <formula>NOT(ISERROR(SEARCH(("등록"),(G20))))</formula>
    </cfRule>
  </conditionalFormatting>
  <conditionalFormatting sqref="J20">
    <cfRule type="containsText" dxfId="0" priority="5056" operator="containsText" text="거부">
      <formula>NOT(ISERROR(SEARCH(("거부"),(J20))))</formula>
    </cfRule>
  </conditionalFormatting>
  <conditionalFormatting sqref="J20">
    <cfRule type="containsText" dxfId="1" priority="5057" operator="containsText" text="리턴">
      <formula>NOT(ISERROR(SEARCH(("리턴"),(J20))))</formula>
    </cfRule>
  </conditionalFormatting>
  <conditionalFormatting sqref="J20">
    <cfRule type="containsText" dxfId="2" priority="5058" operator="containsText" text="실패">
      <formula>NOT(ISERROR(SEARCH(("실패"),(J20))))</formula>
    </cfRule>
  </conditionalFormatting>
  <conditionalFormatting sqref="J20">
    <cfRule type="containsText" dxfId="3" priority="5059" operator="containsText" text="관리">
      <formula>NOT(ISERROR(SEARCH(("관리"),(J20))))</formula>
    </cfRule>
  </conditionalFormatting>
  <conditionalFormatting sqref="J20">
    <cfRule type="containsText" dxfId="4" priority="5060" operator="containsText" text="등록">
      <formula>NOT(ISERROR(SEARCH(("등록"),(J20))))</formula>
    </cfRule>
  </conditionalFormatting>
  <conditionalFormatting sqref="J20">
    <cfRule type="containsText" dxfId="0" priority="5061" operator="containsText" text="거부">
      <formula>NOT(ISERROR(SEARCH(("거부"),(J20))))</formula>
    </cfRule>
  </conditionalFormatting>
  <conditionalFormatting sqref="J20">
    <cfRule type="containsText" dxfId="1" priority="5062" operator="containsText" text="리턴">
      <formula>NOT(ISERROR(SEARCH(("리턴"),(J20))))</formula>
    </cfRule>
  </conditionalFormatting>
  <conditionalFormatting sqref="J20">
    <cfRule type="containsText" dxfId="2" priority="5063" operator="containsText" text="실패">
      <formula>NOT(ISERROR(SEARCH(("실패"),(J20))))</formula>
    </cfRule>
  </conditionalFormatting>
  <conditionalFormatting sqref="J20">
    <cfRule type="containsText" dxfId="3" priority="5064" operator="containsText" text="관리">
      <formula>NOT(ISERROR(SEARCH(("관리"),(J20))))</formula>
    </cfRule>
  </conditionalFormatting>
  <conditionalFormatting sqref="J20">
    <cfRule type="containsText" dxfId="4" priority="5065" operator="containsText" text="등록">
      <formula>NOT(ISERROR(SEARCH(("등록"),(J20))))</formula>
    </cfRule>
  </conditionalFormatting>
  <conditionalFormatting sqref="J20">
    <cfRule type="containsText" dxfId="0" priority="5066" operator="containsText" text="거부">
      <formula>NOT(ISERROR(SEARCH(("거부"),(J20))))</formula>
    </cfRule>
  </conditionalFormatting>
  <conditionalFormatting sqref="J20">
    <cfRule type="containsText" dxfId="1" priority="5067" operator="containsText" text="리턴">
      <formula>NOT(ISERROR(SEARCH(("리턴"),(J20))))</formula>
    </cfRule>
  </conditionalFormatting>
  <conditionalFormatting sqref="J20">
    <cfRule type="containsText" dxfId="2" priority="5068" operator="containsText" text="실패">
      <formula>NOT(ISERROR(SEARCH(("실패"),(J20))))</formula>
    </cfRule>
  </conditionalFormatting>
  <conditionalFormatting sqref="J20">
    <cfRule type="containsText" dxfId="3" priority="5069" operator="containsText" text="관리">
      <formula>NOT(ISERROR(SEARCH(("관리"),(J20))))</formula>
    </cfRule>
  </conditionalFormatting>
  <conditionalFormatting sqref="J20">
    <cfRule type="containsText" dxfId="4" priority="5070" operator="containsText" text="등록">
      <formula>NOT(ISERROR(SEARCH(("등록"),(J20))))</formula>
    </cfRule>
  </conditionalFormatting>
  <conditionalFormatting sqref="J20">
    <cfRule type="containsText" dxfId="0" priority="5071" operator="containsText" text="거부">
      <formula>NOT(ISERROR(SEARCH(("거부"),(J20))))</formula>
    </cfRule>
  </conditionalFormatting>
  <conditionalFormatting sqref="J20">
    <cfRule type="containsText" dxfId="1" priority="5072" operator="containsText" text="리턴">
      <formula>NOT(ISERROR(SEARCH(("리턴"),(J20))))</formula>
    </cfRule>
  </conditionalFormatting>
  <conditionalFormatting sqref="J20">
    <cfRule type="containsText" dxfId="2" priority="5073" operator="containsText" text="실패">
      <formula>NOT(ISERROR(SEARCH(("실패"),(J20))))</formula>
    </cfRule>
  </conditionalFormatting>
  <conditionalFormatting sqref="J20">
    <cfRule type="containsText" dxfId="3" priority="5074" operator="containsText" text="관리">
      <formula>NOT(ISERROR(SEARCH(("관리"),(J20))))</formula>
    </cfRule>
  </conditionalFormatting>
  <conditionalFormatting sqref="J20">
    <cfRule type="containsText" dxfId="4" priority="5075" operator="containsText" text="등록">
      <formula>NOT(ISERROR(SEARCH(("등록"),(J20))))</formula>
    </cfRule>
  </conditionalFormatting>
  <conditionalFormatting sqref="J20">
    <cfRule type="containsText" dxfId="0" priority="5076" operator="containsText" text="거부">
      <formula>NOT(ISERROR(SEARCH(("거부"),(J20))))</formula>
    </cfRule>
  </conditionalFormatting>
  <conditionalFormatting sqref="J20">
    <cfRule type="containsText" dxfId="1" priority="5077" operator="containsText" text="리턴">
      <formula>NOT(ISERROR(SEARCH(("리턴"),(J20))))</formula>
    </cfRule>
  </conditionalFormatting>
  <conditionalFormatting sqref="J20">
    <cfRule type="containsText" dxfId="2" priority="5078" operator="containsText" text="실패">
      <formula>NOT(ISERROR(SEARCH(("실패"),(J20))))</formula>
    </cfRule>
  </conditionalFormatting>
  <conditionalFormatting sqref="J20">
    <cfRule type="containsText" dxfId="3" priority="5079" operator="containsText" text="관리">
      <formula>NOT(ISERROR(SEARCH(("관리"),(J20))))</formula>
    </cfRule>
  </conditionalFormatting>
  <conditionalFormatting sqref="J20">
    <cfRule type="containsText" dxfId="4" priority="5080" operator="containsText" text="등록">
      <formula>NOT(ISERROR(SEARCH(("등록"),(J20))))</formula>
    </cfRule>
  </conditionalFormatting>
  <conditionalFormatting sqref="J20">
    <cfRule type="containsText" dxfId="0" priority="5081" operator="containsText" text="거부">
      <formula>NOT(ISERROR(SEARCH(("거부"),(J20))))</formula>
    </cfRule>
  </conditionalFormatting>
  <conditionalFormatting sqref="J20">
    <cfRule type="containsText" dxfId="1" priority="5082" operator="containsText" text="리턴">
      <formula>NOT(ISERROR(SEARCH(("리턴"),(J20))))</formula>
    </cfRule>
  </conditionalFormatting>
  <conditionalFormatting sqref="J20">
    <cfRule type="containsText" dxfId="2" priority="5083" operator="containsText" text="실패">
      <formula>NOT(ISERROR(SEARCH(("실패"),(J20))))</formula>
    </cfRule>
  </conditionalFormatting>
  <conditionalFormatting sqref="J20">
    <cfRule type="containsText" dxfId="3" priority="5084" operator="containsText" text="관리">
      <formula>NOT(ISERROR(SEARCH(("관리"),(J20))))</formula>
    </cfRule>
  </conditionalFormatting>
  <conditionalFormatting sqref="J20">
    <cfRule type="containsText" dxfId="4" priority="5085" operator="containsText" text="등록">
      <formula>NOT(ISERROR(SEARCH(("등록"),(J20))))</formula>
    </cfRule>
  </conditionalFormatting>
  <conditionalFormatting sqref="J20">
    <cfRule type="containsText" dxfId="0" priority="5086" operator="containsText" text="거부">
      <formula>NOT(ISERROR(SEARCH(("거부"),(J20))))</formula>
    </cfRule>
  </conditionalFormatting>
  <conditionalFormatting sqref="J20">
    <cfRule type="containsText" dxfId="1" priority="5087" operator="containsText" text="리턴">
      <formula>NOT(ISERROR(SEARCH(("리턴"),(J20))))</formula>
    </cfRule>
  </conditionalFormatting>
  <conditionalFormatting sqref="J20">
    <cfRule type="containsText" dxfId="2" priority="5088" operator="containsText" text="실패">
      <formula>NOT(ISERROR(SEARCH(("실패"),(J20))))</formula>
    </cfRule>
  </conditionalFormatting>
  <conditionalFormatting sqref="J20">
    <cfRule type="containsText" dxfId="3" priority="5089" operator="containsText" text="관리">
      <formula>NOT(ISERROR(SEARCH(("관리"),(J20))))</formula>
    </cfRule>
  </conditionalFormatting>
  <conditionalFormatting sqref="J20">
    <cfRule type="containsText" dxfId="4" priority="5090" operator="containsText" text="등록">
      <formula>NOT(ISERROR(SEARCH(("등록"),(J20))))</formula>
    </cfRule>
  </conditionalFormatting>
  <conditionalFormatting sqref="J20">
    <cfRule type="containsText" dxfId="0" priority="5091" operator="containsText" text="거부">
      <formula>NOT(ISERROR(SEARCH(("거부"),(J20))))</formula>
    </cfRule>
  </conditionalFormatting>
  <conditionalFormatting sqref="J20">
    <cfRule type="containsText" dxfId="1" priority="5092" operator="containsText" text="리턴">
      <formula>NOT(ISERROR(SEARCH(("리턴"),(J20))))</formula>
    </cfRule>
  </conditionalFormatting>
  <conditionalFormatting sqref="J20">
    <cfRule type="containsText" dxfId="2" priority="5093" operator="containsText" text="실패">
      <formula>NOT(ISERROR(SEARCH(("실패"),(J20))))</formula>
    </cfRule>
  </conditionalFormatting>
  <conditionalFormatting sqref="J20">
    <cfRule type="containsText" dxfId="3" priority="5094" operator="containsText" text="관리">
      <formula>NOT(ISERROR(SEARCH(("관리"),(J20))))</formula>
    </cfRule>
  </conditionalFormatting>
  <conditionalFormatting sqref="J20">
    <cfRule type="containsText" dxfId="4" priority="5095" operator="containsText" text="등록">
      <formula>NOT(ISERROR(SEARCH(("등록"),(J20))))</formula>
    </cfRule>
  </conditionalFormatting>
  <conditionalFormatting sqref="J20">
    <cfRule type="containsText" dxfId="0" priority="5096" operator="containsText" text="거부">
      <formula>NOT(ISERROR(SEARCH(("거부"),(J20))))</formula>
    </cfRule>
  </conditionalFormatting>
  <conditionalFormatting sqref="J20">
    <cfRule type="containsText" dxfId="1" priority="5097" operator="containsText" text="리턴">
      <formula>NOT(ISERROR(SEARCH(("리턴"),(J20))))</formula>
    </cfRule>
  </conditionalFormatting>
  <conditionalFormatting sqref="J20">
    <cfRule type="containsText" dxfId="2" priority="5098" operator="containsText" text="실패">
      <formula>NOT(ISERROR(SEARCH(("실패"),(J20))))</formula>
    </cfRule>
  </conditionalFormatting>
  <conditionalFormatting sqref="J20">
    <cfRule type="containsText" dxfId="3" priority="5099" operator="containsText" text="관리">
      <formula>NOT(ISERROR(SEARCH(("관리"),(J20))))</formula>
    </cfRule>
  </conditionalFormatting>
  <conditionalFormatting sqref="J20">
    <cfRule type="containsText" dxfId="4" priority="5100" operator="containsText" text="등록">
      <formula>NOT(ISERROR(SEARCH(("등록"),(J20))))</formula>
    </cfRule>
  </conditionalFormatting>
  <conditionalFormatting sqref="J26">
    <cfRule type="containsText" dxfId="0" priority="5101" operator="containsText" text="거부">
      <formula>NOT(ISERROR(SEARCH(("거부"),(J26))))</formula>
    </cfRule>
  </conditionalFormatting>
  <conditionalFormatting sqref="J26">
    <cfRule type="containsText" dxfId="1" priority="5102" operator="containsText" text="리턴">
      <formula>NOT(ISERROR(SEARCH(("리턴"),(J26))))</formula>
    </cfRule>
  </conditionalFormatting>
  <conditionalFormatting sqref="J26">
    <cfRule type="containsText" dxfId="2" priority="5103" operator="containsText" text="실패">
      <formula>NOT(ISERROR(SEARCH(("실패"),(J26))))</formula>
    </cfRule>
  </conditionalFormatting>
  <conditionalFormatting sqref="J26">
    <cfRule type="containsText" dxfId="3" priority="5104" operator="containsText" text="관리">
      <formula>NOT(ISERROR(SEARCH(("관리"),(J26))))</formula>
    </cfRule>
  </conditionalFormatting>
  <conditionalFormatting sqref="J26">
    <cfRule type="containsText" dxfId="4" priority="5105" operator="containsText" text="등록">
      <formula>NOT(ISERROR(SEARCH(("등록"),(J26))))</formula>
    </cfRule>
  </conditionalFormatting>
  <conditionalFormatting sqref="J26">
    <cfRule type="containsText" dxfId="0" priority="5106" operator="containsText" text="거부">
      <formula>NOT(ISERROR(SEARCH(("거부"),(J26))))</formula>
    </cfRule>
  </conditionalFormatting>
  <conditionalFormatting sqref="J26">
    <cfRule type="containsText" dxfId="1" priority="5107" operator="containsText" text="리턴">
      <formula>NOT(ISERROR(SEARCH(("리턴"),(J26))))</formula>
    </cfRule>
  </conditionalFormatting>
  <conditionalFormatting sqref="J26">
    <cfRule type="containsText" dxfId="2" priority="5108" operator="containsText" text="실패">
      <formula>NOT(ISERROR(SEARCH(("실패"),(J26))))</formula>
    </cfRule>
  </conditionalFormatting>
  <conditionalFormatting sqref="J26">
    <cfRule type="containsText" dxfId="3" priority="5109" operator="containsText" text="관리">
      <formula>NOT(ISERROR(SEARCH(("관리"),(J26))))</formula>
    </cfRule>
  </conditionalFormatting>
  <conditionalFormatting sqref="J26">
    <cfRule type="containsText" dxfId="4" priority="5110" operator="containsText" text="등록">
      <formula>NOT(ISERROR(SEARCH(("등록"),(J26))))</formula>
    </cfRule>
  </conditionalFormatting>
  <conditionalFormatting sqref="J26">
    <cfRule type="containsText" dxfId="0" priority="5111" operator="containsText" text="거부">
      <formula>NOT(ISERROR(SEARCH(("거부"),(J26))))</formula>
    </cfRule>
  </conditionalFormatting>
  <conditionalFormatting sqref="J26">
    <cfRule type="containsText" dxfId="1" priority="5112" operator="containsText" text="리턴">
      <formula>NOT(ISERROR(SEARCH(("리턴"),(J26))))</formula>
    </cfRule>
  </conditionalFormatting>
  <conditionalFormatting sqref="J26">
    <cfRule type="containsText" dxfId="2" priority="5113" operator="containsText" text="실패">
      <formula>NOT(ISERROR(SEARCH(("실패"),(J26))))</formula>
    </cfRule>
  </conditionalFormatting>
  <conditionalFormatting sqref="J26">
    <cfRule type="containsText" dxfId="3" priority="5114" operator="containsText" text="관리">
      <formula>NOT(ISERROR(SEARCH(("관리"),(J26))))</formula>
    </cfRule>
  </conditionalFormatting>
  <conditionalFormatting sqref="J26">
    <cfRule type="containsText" dxfId="4" priority="5115" operator="containsText" text="등록">
      <formula>NOT(ISERROR(SEARCH(("등록"),(J26))))</formula>
    </cfRule>
  </conditionalFormatting>
  <conditionalFormatting sqref="J26">
    <cfRule type="containsText" dxfId="0" priority="5116" operator="containsText" text="거부">
      <formula>NOT(ISERROR(SEARCH(("거부"),(J26))))</formula>
    </cfRule>
  </conditionalFormatting>
  <conditionalFormatting sqref="J26">
    <cfRule type="containsText" dxfId="1" priority="5117" operator="containsText" text="리턴">
      <formula>NOT(ISERROR(SEARCH(("리턴"),(J26))))</formula>
    </cfRule>
  </conditionalFormatting>
  <conditionalFormatting sqref="J26">
    <cfRule type="containsText" dxfId="2" priority="5118" operator="containsText" text="실패">
      <formula>NOT(ISERROR(SEARCH(("실패"),(J26))))</formula>
    </cfRule>
  </conditionalFormatting>
  <conditionalFormatting sqref="J26">
    <cfRule type="containsText" dxfId="3" priority="5119" operator="containsText" text="관리">
      <formula>NOT(ISERROR(SEARCH(("관리"),(J26))))</formula>
    </cfRule>
  </conditionalFormatting>
  <conditionalFormatting sqref="J26">
    <cfRule type="containsText" dxfId="4" priority="5120" operator="containsText" text="등록">
      <formula>NOT(ISERROR(SEARCH(("등록"),(J26))))</formula>
    </cfRule>
  </conditionalFormatting>
  <conditionalFormatting sqref="J26">
    <cfRule type="containsText" dxfId="0" priority="5121" operator="containsText" text="거부">
      <formula>NOT(ISERROR(SEARCH(("거부"),(J26))))</formula>
    </cfRule>
  </conditionalFormatting>
  <conditionalFormatting sqref="J26">
    <cfRule type="containsText" dxfId="1" priority="5122" operator="containsText" text="리턴">
      <formula>NOT(ISERROR(SEARCH(("리턴"),(J26))))</formula>
    </cfRule>
  </conditionalFormatting>
  <conditionalFormatting sqref="J26">
    <cfRule type="containsText" dxfId="2" priority="5123" operator="containsText" text="실패">
      <formula>NOT(ISERROR(SEARCH(("실패"),(J26))))</formula>
    </cfRule>
  </conditionalFormatting>
  <conditionalFormatting sqref="J26">
    <cfRule type="containsText" dxfId="3" priority="5124" operator="containsText" text="관리">
      <formula>NOT(ISERROR(SEARCH(("관리"),(J26))))</formula>
    </cfRule>
  </conditionalFormatting>
  <conditionalFormatting sqref="J26">
    <cfRule type="containsText" dxfId="4" priority="5125" operator="containsText" text="등록">
      <formula>NOT(ISERROR(SEARCH(("등록"),(J26))))</formula>
    </cfRule>
  </conditionalFormatting>
  <conditionalFormatting sqref="J26">
    <cfRule type="containsText" dxfId="0" priority="5126" operator="containsText" text="거부">
      <formula>NOT(ISERROR(SEARCH(("거부"),(J26))))</formula>
    </cfRule>
  </conditionalFormatting>
  <conditionalFormatting sqref="J26">
    <cfRule type="containsText" dxfId="1" priority="5127" operator="containsText" text="리턴">
      <formula>NOT(ISERROR(SEARCH(("리턴"),(J26))))</formula>
    </cfRule>
  </conditionalFormatting>
  <conditionalFormatting sqref="J26">
    <cfRule type="containsText" dxfId="2" priority="5128" operator="containsText" text="실패">
      <formula>NOT(ISERROR(SEARCH(("실패"),(J26))))</formula>
    </cfRule>
  </conditionalFormatting>
  <conditionalFormatting sqref="J26">
    <cfRule type="containsText" dxfId="3" priority="5129" operator="containsText" text="관리">
      <formula>NOT(ISERROR(SEARCH(("관리"),(J26))))</formula>
    </cfRule>
  </conditionalFormatting>
  <conditionalFormatting sqref="J26">
    <cfRule type="containsText" dxfId="4" priority="5130" operator="containsText" text="등록">
      <formula>NOT(ISERROR(SEARCH(("등록"),(J26))))</formula>
    </cfRule>
  </conditionalFormatting>
  <conditionalFormatting sqref="A26">
    <cfRule type="containsText" dxfId="0" priority="5131" operator="containsText" text="거부">
      <formula>NOT(ISERROR(SEARCH(("거부"),(A26))))</formula>
    </cfRule>
  </conditionalFormatting>
  <conditionalFormatting sqref="A26">
    <cfRule type="containsText" dxfId="1" priority="5132" operator="containsText" text="리턴">
      <formula>NOT(ISERROR(SEARCH(("리턴"),(A26))))</formula>
    </cfRule>
  </conditionalFormatting>
  <conditionalFormatting sqref="A26">
    <cfRule type="containsText" dxfId="2" priority="5133" operator="containsText" text="실패">
      <formula>NOT(ISERROR(SEARCH(("실패"),(A26))))</formula>
    </cfRule>
  </conditionalFormatting>
  <conditionalFormatting sqref="A26">
    <cfRule type="containsText" dxfId="3" priority="5134" operator="containsText" text="관리">
      <formula>NOT(ISERROR(SEARCH(("관리"),(A26))))</formula>
    </cfRule>
  </conditionalFormatting>
  <conditionalFormatting sqref="A26">
    <cfRule type="containsText" dxfId="4" priority="5135" operator="containsText" text="등록">
      <formula>NOT(ISERROR(SEARCH(("등록"),(A26))))</formula>
    </cfRule>
  </conditionalFormatting>
  <conditionalFormatting sqref="A26">
    <cfRule type="containsText" dxfId="0" priority="5136" operator="containsText" text="거부">
      <formula>NOT(ISERROR(SEARCH(("거부"),(A26))))</formula>
    </cfRule>
  </conditionalFormatting>
  <conditionalFormatting sqref="A26">
    <cfRule type="containsText" dxfId="1" priority="5137" operator="containsText" text="리턴">
      <formula>NOT(ISERROR(SEARCH(("리턴"),(A26))))</formula>
    </cfRule>
  </conditionalFormatting>
  <conditionalFormatting sqref="A26">
    <cfRule type="containsText" dxfId="2" priority="5138" operator="containsText" text="실패">
      <formula>NOT(ISERROR(SEARCH(("실패"),(A26))))</formula>
    </cfRule>
  </conditionalFormatting>
  <conditionalFormatting sqref="A26">
    <cfRule type="containsText" dxfId="3" priority="5139" operator="containsText" text="관리">
      <formula>NOT(ISERROR(SEARCH(("관리"),(A26))))</formula>
    </cfRule>
  </conditionalFormatting>
  <conditionalFormatting sqref="A26">
    <cfRule type="containsText" dxfId="4" priority="5140" operator="containsText" text="등록">
      <formula>NOT(ISERROR(SEARCH(("등록"),(A26))))</formula>
    </cfRule>
  </conditionalFormatting>
  <conditionalFormatting sqref="A26">
    <cfRule type="containsText" dxfId="0" priority="5141" operator="containsText" text="거부">
      <formula>NOT(ISERROR(SEARCH(("거부"),(A26))))</formula>
    </cfRule>
  </conditionalFormatting>
  <conditionalFormatting sqref="A26">
    <cfRule type="containsText" dxfId="1" priority="5142" operator="containsText" text="리턴">
      <formula>NOT(ISERROR(SEARCH(("리턴"),(A26))))</formula>
    </cfRule>
  </conditionalFormatting>
  <conditionalFormatting sqref="A26">
    <cfRule type="containsText" dxfId="2" priority="5143" operator="containsText" text="실패">
      <formula>NOT(ISERROR(SEARCH(("실패"),(A26))))</formula>
    </cfRule>
  </conditionalFormatting>
  <conditionalFormatting sqref="A26">
    <cfRule type="containsText" dxfId="3" priority="5144" operator="containsText" text="관리">
      <formula>NOT(ISERROR(SEARCH(("관리"),(A26))))</formula>
    </cfRule>
  </conditionalFormatting>
  <conditionalFormatting sqref="A26">
    <cfRule type="containsText" dxfId="4" priority="5145" operator="containsText" text="등록">
      <formula>NOT(ISERROR(SEARCH(("등록"),(A26))))</formula>
    </cfRule>
  </conditionalFormatting>
  <conditionalFormatting sqref="A26">
    <cfRule type="containsText" dxfId="0" priority="5146" operator="containsText" text="거부">
      <formula>NOT(ISERROR(SEARCH(("거부"),(A26))))</formula>
    </cfRule>
  </conditionalFormatting>
  <conditionalFormatting sqref="A26">
    <cfRule type="containsText" dxfId="1" priority="5147" operator="containsText" text="리턴">
      <formula>NOT(ISERROR(SEARCH(("리턴"),(A26))))</formula>
    </cfRule>
  </conditionalFormatting>
  <conditionalFormatting sqref="A26">
    <cfRule type="containsText" dxfId="2" priority="5148" operator="containsText" text="실패">
      <formula>NOT(ISERROR(SEARCH(("실패"),(A26))))</formula>
    </cfRule>
  </conditionalFormatting>
  <conditionalFormatting sqref="A26">
    <cfRule type="containsText" dxfId="3" priority="5149" operator="containsText" text="관리">
      <formula>NOT(ISERROR(SEARCH(("관리"),(A26))))</formula>
    </cfRule>
  </conditionalFormatting>
  <conditionalFormatting sqref="A26">
    <cfRule type="containsText" dxfId="4" priority="5150" operator="containsText" text="등록">
      <formula>NOT(ISERROR(SEARCH(("등록"),(A26))))</formula>
    </cfRule>
  </conditionalFormatting>
  <conditionalFormatting sqref="A26">
    <cfRule type="containsText" dxfId="0" priority="5151" operator="containsText" text="거부">
      <formula>NOT(ISERROR(SEARCH(("거부"),(A26))))</formula>
    </cfRule>
  </conditionalFormatting>
  <conditionalFormatting sqref="A26">
    <cfRule type="containsText" dxfId="1" priority="5152" operator="containsText" text="리턴">
      <formula>NOT(ISERROR(SEARCH(("리턴"),(A26))))</formula>
    </cfRule>
  </conditionalFormatting>
  <conditionalFormatting sqref="A26">
    <cfRule type="containsText" dxfId="2" priority="5153" operator="containsText" text="실패">
      <formula>NOT(ISERROR(SEARCH(("실패"),(A26))))</formula>
    </cfRule>
  </conditionalFormatting>
  <conditionalFormatting sqref="A26">
    <cfRule type="containsText" dxfId="3" priority="5154" operator="containsText" text="관리">
      <formula>NOT(ISERROR(SEARCH(("관리"),(A26))))</formula>
    </cfRule>
  </conditionalFormatting>
  <conditionalFormatting sqref="A26">
    <cfRule type="containsText" dxfId="4" priority="5155" operator="containsText" text="등록">
      <formula>NOT(ISERROR(SEARCH(("등록"),(A26))))</formula>
    </cfRule>
  </conditionalFormatting>
  <conditionalFormatting sqref="A27">
    <cfRule type="containsText" dxfId="0" priority="5156" operator="containsText" text="거부">
      <formula>NOT(ISERROR(SEARCH(("거부"),(A27))))</formula>
    </cfRule>
  </conditionalFormatting>
  <conditionalFormatting sqref="A27">
    <cfRule type="containsText" dxfId="1" priority="5157" operator="containsText" text="리턴">
      <formula>NOT(ISERROR(SEARCH(("리턴"),(A27))))</formula>
    </cfRule>
  </conditionalFormatting>
  <conditionalFormatting sqref="A27">
    <cfRule type="containsText" dxfId="2" priority="5158" operator="containsText" text="실패">
      <formula>NOT(ISERROR(SEARCH(("실패"),(A27))))</formula>
    </cfRule>
  </conditionalFormatting>
  <conditionalFormatting sqref="A27">
    <cfRule type="containsText" dxfId="3" priority="5159" operator="containsText" text="관리">
      <formula>NOT(ISERROR(SEARCH(("관리"),(A27))))</formula>
    </cfRule>
  </conditionalFormatting>
  <conditionalFormatting sqref="A27">
    <cfRule type="containsText" dxfId="4" priority="5160" operator="containsText" text="등록">
      <formula>NOT(ISERROR(SEARCH(("등록"),(A27))))</formula>
    </cfRule>
  </conditionalFormatting>
  <conditionalFormatting sqref="A27">
    <cfRule type="containsText" dxfId="0" priority="5161" operator="containsText" text="거부">
      <formula>NOT(ISERROR(SEARCH(("거부"),(A27))))</formula>
    </cfRule>
  </conditionalFormatting>
  <conditionalFormatting sqref="A27">
    <cfRule type="containsText" dxfId="1" priority="5162" operator="containsText" text="리턴">
      <formula>NOT(ISERROR(SEARCH(("리턴"),(A27))))</formula>
    </cfRule>
  </conditionalFormatting>
  <conditionalFormatting sqref="A27">
    <cfRule type="containsText" dxfId="2" priority="5163" operator="containsText" text="실패">
      <formula>NOT(ISERROR(SEARCH(("실패"),(A27))))</formula>
    </cfRule>
  </conditionalFormatting>
  <conditionalFormatting sqref="A27">
    <cfRule type="containsText" dxfId="3" priority="5164" operator="containsText" text="관리">
      <formula>NOT(ISERROR(SEARCH(("관리"),(A27))))</formula>
    </cfRule>
  </conditionalFormatting>
  <conditionalFormatting sqref="A27">
    <cfRule type="containsText" dxfId="4" priority="5165" operator="containsText" text="등록">
      <formula>NOT(ISERROR(SEARCH(("등록"),(A27))))</formula>
    </cfRule>
  </conditionalFormatting>
  <conditionalFormatting sqref="A27">
    <cfRule type="containsText" dxfId="0" priority="5166" operator="containsText" text="거부">
      <formula>NOT(ISERROR(SEARCH(("거부"),(A27))))</formula>
    </cfRule>
  </conditionalFormatting>
  <conditionalFormatting sqref="A27">
    <cfRule type="containsText" dxfId="1" priority="5167" operator="containsText" text="리턴">
      <formula>NOT(ISERROR(SEARCH(("리턴"),(A27))))</formula>
    </cfRule>
  </conditionalFormatting>
  <conditionalFormatting sqref="A27">
    <cfRule type="containsText" dxfId="2" priority="5168" operator="containsText" text="실패">
      <formula>NOT(ISERROR(SEARCH(("실패"),(A27))))</formula>
    </cfRule>
  </conditionalFormatting>
  <conditionalFormatting sqref="A27">
    <cfRule type="containsText" dxfId="3" priority="5169" operator="containsText" text="관리">
      <formula>NOT(ISERROR(SEARCH(("관리"),(A27))))</formula>
    </cfRule>
  </conditionalFormatting>
  <conditionalFormatting sqref="A27">
    <cfRule type="containsText" dxfId="4" priority="5170" operator="containsText" text="등록">
      <formula>NOT(ISERROR(SEARCH(("등록"),(A27))))</formula>
    </cfRule>
  </conditionalFormatting>
  <conditionalFormatting sqref="A27">
    <cfRule type="containsText" dxfId="0" priority="5171" operator="containsText" text="거부">
      <formula>NOT(ISERROR(SEARCH(("거부"),(A27))))</formula>
    </cfRule>
  </conditionalFormatting>
  <conditionalFormatting sqref="A27">
    <cfRule type="containsText" dxfId="1" priority="5172" operator="containsText" text="리턴">
      <formula>NOT(ISERROR(SEARCH(("리턴"),(A27))))</formula>
    </cfRule>
  </conditionalFormatting>
  <conditionalFormatting sqref="A27">
    <cfRule type="containsText" dxfId="2" priority="5173" operator="containsText" text="실패">
      <formula>NOT(ISERROR(SEARCH(("실패"),(A27))))</formula>
    </cfRule>
  </conditionalFormatting>
  <conditionalFormatting sqref="A27">
    <cfRule type="containsText" dxfId="3" priority="5174" operator="containsText" text="관리">
      <formula>NOT(ISERROR(SEARCH(("관리"),(A27))))</formula>
    </cfRule>
  </conditionalFormatting>
  <conditionalFormatting sqref="A27">
    <cfRule type="containsText" dxfId="4" priority="5175" operator="containsText" text="등록">
      <formula>NOT(ISERROR(SEARCH(("등록"),(A27))))</formula>
    </cfRule>
  </conditionalFormatting>
  <conditionalFormatting sqref="A27">
    <cfRule type="containsText" dxfId="0" priority="5176" operator="containsText" text="거부">
      <formula>NOT(ISERROR(SEARCH(("거부"),(A27))))</formula>
    </cfRule>
  </conditionalFormatting>
  <conditionalFormatting sqref="A27">
    <cfRule type="containsText" dxfId="1" priority="5177" operator="containsText" text="리턴">
      <formula>NOT(ISERROR(SEARCH(("리턴"),(A27))))</formula>
    </cfRule>
  </conditionalFormatting>
  <conditionalFormatting sqref="A27">
    <cfRule type="containsText" dxfId="2" priority="5178" operator="containsText" text="실패">
      <formula>NOT(ISERROR(SEARCH(("실패"),(A27))))</formula>
    </cfRule>
  </conditionalFormatting>
  <conditionalFormatting sqref="A27">
    <cfRule type="containsText" dxfId="3" priority="5179" operator="containsText" text="관리">
      <formula>NOT(ISERROR(SEARCH(("관리"),(A27))))</formula>
    </cfRule>
  </conditionalFormatting>
  <conditionalFormatting sqref="A27">
    <cfRule type="containsText" dxfId="4" priority="5180" operator="containsText" text="등록">
      <formula>NOT(ISERROR(SEARCH(("등록"),(A27))))</formula>
    </cfRule>
  </conditionalFormatting>
  <conditionalFormatting sqref="A27">
    <cfRule type="containsText" dxfId="0" priority="5181" operator="containsText" text="거부">
      <formula>NOT(ISERROR(SEARCH(("거부"),(A27))))</formula>
    </cfRule>
  </conditionalFormatting>
  <conditionalFormatting sqref="A27">
    <cfRule type="containsText" dxfId="1" priority="5182" operator="containsText" text="리턴">
      <formula>NOT(ISERROR(SEARCH(("리턴"),(A27))))</formula>
    </cfRule>
  </conditionalFormatting>
  <conditionalFormatting sqref="A27">
    <cfRule type="containsText" dxfId="2" priority="5183" operator="containsText" text="실패">
      <formula>NOT(ISERROR(SEARCH(("실패"),(A27))))</formula>
    </cfRule>
  </conditionalFormatting>
  <conditionalFormatting sqref="A27">
    <cfRule type="containsText" dxfId="3" priority="5184" operator="containsText" text="관리">
      <formula>NOT(ISERROR(SEARCH(("관리"),(A27))))</formula>
    </cfRule>
  </conditionalFormatting>
  <conditionalFormatting sqref="A27">
    <cfRule type="containsText" dxfId="4" priority="5185" operator="containsText" text="등록">
      <formula>NOT(ISERROR(SEARCH(("등록"),(A27))))</formula>
    </cfRule>
  </conditionalFormatting>
  <conditionalFormatting sqref="A27">
    <cfRule type="containsText" dxfId="0" priority="5186" operator="containsText" text="거부">
      <formula>NOT(ISERROR(SEARCH(("거부"),(A27))))</formula>
    </cfRule>
  </conditionalFormatting>
  <conditionalFormatting sqref="A27">
    <cfRule type="containsText" dxfId="1" priority="5187" operator="containsText" text="리턴">
      <formula>NOT(ISERROR(SEARCH(("리턴"),(A27))))</formula>
    </cfRule>
  </conditionalFormatting>
  <conditionalFormatting sqref="A27">
    <cfRule type="containsText" dxfId="2" priority="5188" operator="containsText" text="실패">
      <formula>NOT(ISERROR(SEARCH(("실패"),(A27))))</formula>
    </cfRule>
  </conditionalFormatting>
  <conditionalFormatting sqref="A27">
    <cfRule type="containsText" dxfId="3" priority="5189" operator="containsText" text="관리">
      <formula>NOT(ISERROR(SEARCH(("관리"),(A27))))</formula>
    </cfRule>
  </conditionalFormatting>
  <conditionalFormatting sqref="A27">
    <cfRule type="containsText" dxfId="4" priority="5190" operator="containsText" text="등록">
      <formula>NOT(ISERROR(SEARCH(("등록"),(A27))))</formula>
    </cfRule>
  </conditionalFormatting>
  <conditionalFormatting sqref="A27">
    <cfRule type="containsText" dxfId="0" priority="5191" operator="containsText" text="거부">
      <formula>NOT(ISERROR(SEARCH(("거부"),(A27))))</formula>
    </cfRule>
  </conditionalFormatting>
  <conditionalFormatting sqref="A27">
    <cfRule type="containsText" dxfId="1" priority="5192" operator="containsText" text="리턴">
      <formula>NOT(ISERROR(SEARCH(("리턴"),(A27))))</formula>
    </cfRule>
  </conditionalFormatting>
  <conditionalFormatting sqref="A27">
    <cfRule type="containsText" dxfId="2" priority="5193" operator="containsText" text="실패">
      <formula>NOT(ISERROR(SEARCH(("실패"),(A27))))</formula>
    </cfRule>
  </conditionalFormatting>
  <conditionalFormatting sqref="A27">
    <cfRule type="containsText" dxfId="3" priority="5194" operator="containsText" text="관리">
      <formula>NOT(ISERROR(SEARCH(("관리"),(A27))))</formula>
    </cfRule>
  </conditionalFormatting>
  <conditionalFormatting sqref="A27">
    <cfRule type="containsText" dxfId="4" priority="5195" operator="containsText" text="등록">
      <formula>NOT(ISERROR(SEARCH(("등록"),(A27))))</formula>
    </cfRule>
  </conditionalFormatting>
  <conditionalFormatting sqref="A27">
    <cfRule type="containsText" dxfId="0" priority="5196" operator="containsText" text="거부">
      <formula>NOT(ISERROR(SEARCH(("거부"),(A27))))</formula>
    </cfRule>
  </conditionalFormatting>
  <conditionalFormatting sqref="A27">
    <cfRule type="containsText" dxfId="1" priority="5197" operator="containsText" text="리턴">
      <formula>NOT(ISERROR(SEARCH(("리턴"),(A27))))</formula>
    </cfRule>
  </conditionalFormatting>
  <conditionalFormatting sqref="A27">
    <cfRule type="containsText" dxfId="2" priority="5198" operator="containsText" text="실패">
      <formula>NOT(ISERROR(SEARCH(("실패"),(A27))))</formula>
    </cfRule>
  </conditionalFormatting>
  <conditionalFormatting sqref="A27">
    <cfRule type="containsText" dxfId="3" priority="5199" operator="containsText" text="관리">
      <formula>NOT(ISERROR(SEARCH(("관리"),(A27))))</formula>
    </cfRule>
  </conditionalFormatting>
  <conditionalFormatting sqref="A27">
    <cfRule type="containsText" dxfId="4" priority="5200" operator="containsText" text="등록">
      <formula>NOT(ISERROR(SEARCH(("등록"),(A27))))</formula>
    </cfRule>
  </conditionalFormatting>
  <conditionalFormatting sqref="A27">
    <cfRule type="containsText" dxfId="0" priority="5201" operator="containsText" text="거부">
      <formula>NOT(ISERROR(SEARCH(("거부"),(A27))))</formula>
    </cfRule>
  </conditionalFormatting>
  <conditionalFormatting sqref="A27">
    <cfRule type="containsText" dxfId="1" priority="5202" operator="containsText" text="리턴">
      <formula>NOT(ISERROR(SEARCH(("리턴"),(A27))))</formula>
    </cfRule>
  </conditionalFormatting>
  <conditionalFormatting sqref="A27">
    <cfRule type="containsText" dxfId="2" priority="5203" operator="containsText" text="실패">
      <formula>NOT(ISERROR(SEARCH(("실패"),(A27))))</formula>
    </cfRule>
  </conditionalFormatting>
  <conditionalFormatting sqref="A27">
    <cfRule type="containsText" dxfId="3" priority="5204" operator="containsText" text="관리">
      <formula>NOT(ISERROR(SEARCH(("관리"),(A27))))</formula>
    </cfRule>
  </conditionalFormatting>
  <conditionalFormatting sqref="A27">
    <cfRule type="containsText" dxfId="4" priority="5205" operator="containsText" text="등록">
      <formula>NOT(ISERROR(SEARCH(("등록"),(A27))))</formula>
    </cfRule>
  </conditionalFormatting>
  <conditionalFormatting sqref="D27">
    <cfRule type="containsText" dxfId="0" priority="5206" operator="containsText" text="거부">
      <formula>NOT(ISERROR(SEARCH(("거부"),(D27))))</formula>
    </cfRule>
  </conditionalFormatting>
  <conditionalFormatting sqref="D27">
    <cfRule type="containsText" dxfId="1" priority="5207" operator="containsText" text="리턴">
      <formula>NOT(ISERROR(SEARCH(("리턴"),(D27))))</formula>
    </cfRule>
  </conditionalFormatting>
  <conditionalFormatting sqref="D27">
    <cfRule type="containsText" dxfId="2" priority="5208" operator="containsText" text="실패">
      <formula>NOT(ISERROR(SEARCH(("실패"),(D27))))</formula>
    </cfRule>
  </conditionalFormatting>
  <conditionalFormatting sqref="D27">
    <cfRule type="containsText" dxfId="3" priority="5209" operator="containsText" text="관리">
      <formula>NOT(ISERROR(SEARCH(("관리"),(D27))))</formula>
    </cfRule>
  </conditionalFormatting>
  <conditionalFormatting sqref="D27">
    <cfRule type="containsText" dxfId="4" priority="5210" operator="containsText" text="등록">
      <formula>NOT(ISERROR(SEARCH(("등록"),(D27))))</formula>
    </cfRule>
  </conditionalFormatting>
  <conditionalFormatting sqref="D27">
    <cfRule type="containsText" dxfId="0" priority="5211" operator="containsText" text="거부">
      <formula>NOT(ISERROR(SEARCH(("거부"),(D27))))</formula>
    </cfRule>
  </conditionalFormatting>
  <conditionalFormatting sqref="D27">
    <cfRule type="containsText" dxfId="1" priority="5212" operator="containsText" text="리턴">
      <formula>NOT(ISERROR(SEARCH(("리턴"),(D27))))</formula>
    </cfRule>
  </conditionalFormatting>
  <conditionalFormatting sqref="D27">
    <cfRule type="containsText" dxfId="2" priority="5213" operator="containsText" text="실패">
      <formula>NOT(ISERROR(SEARCH(("실패"),(D27))))</formula>
    </cfRule>
  </conditionalFormatting>
  <conditionalFormatting sqref="D27">
    <cfRule type="containsText" dxfId="3" priority="5214" operator="containsText" text="관리">
      <formula>NOT(ISERROR(SEARCH(("관리"),(D27))))</formula>
    </cfRule>
  </conditionalFormatting>
  <conditionalFormatting sqref="D27">
    <cfRule type="containsText" dxfId="4" priority="5215" operator="containsText" text="등록">
      <formula>NOT(ISERROR(SEARCH(("등록"),(D27))))</formula>
    </cfRule>
  </conditionalFormatting>
  <conditionalFormatting sqref="D27">
    <cfRule type="containsText" dxfId="0" priority="5216" operator="containsText" text="거부">
      <formula>NOT(ISERROR(SEARCH(("거부"),(D27))))</formula>
    </cfRule>
  </conditionalFormatting>
  <conditionalFormatting sqref="D27">
    <cfRule type="containsText" dxfId="1" priority="5217" operator="containsText" text="리턴">
      <formula>NOT(ISERROR(SEARCH(("리턴"),(D27))))</formula>
    </cfRule>
  </conditionalFormatting>
  <conditionalFormatting sqref="D27">
    <cfRule type="containsText" dxfId="2" priority="5218" operator="containsText" text="실패">
      <formula>NOT(ISERROR(SEARCH(("실패"),(D27))))</formula>
    </cfRule>
  </conditionalFormatting>
  <conditionalFormatting sqref="D27">
    <cfRule type="containsText" dxfId="3" priority="5219" operator="containsText" text="관리">
      <formula>NOT(ISERROR(SEARCH(("관리"),(D27))))</formula>
    </cfRule>
  </conditionalFormatting>
  <conditionalFormatting sqref="D27">
    <cfRule type="containsText" dxfId="4" priority="5220" operator="containsText" text="등록">
      <formula>NOT(ISERROR(SEARCH(("등록"),(D27))))</formula>
    </cfRule>
  </conditionalFormatting>
  <conditionalFormatting sqref="J27">
    <cfRule type="containsText" dxfId="0" priority="5221" operator="containsText" text="거부">
      <formula>NOT(ISERROR(SEARCH(("거부"),(J27))))</formula>
    </cfRule>
  </conditionalFormatting>
  <conditionalFormatting sqref="J27">
    <cfRule type="containsText" dxfId="1" priority="5222" operator="containsText" text="리턴">
      <formula>NOT(ISERROR(SEARCH(("리턴"),(J27))))</formula>
    </cfRule>
  </conditionalFormatting>
  <conditionalFormatting sqref="J27">
    <cfRule type="containsText" dxfId="2" priority="5223" operator="containsText" text="실패">
      <formula>NOT(ISERROR(SEARCH(("실패"),(J27))))</formula>
    </cfRule>
  </conditionalFormatting>
  <conditionalFormatting sqref="J27">
    <cfRule type="containsText" dxfId="3" priority="5224" operator="containsText" text="관리">
      <formula>NOT(ISERROR(SEARCH(("관리"),(J27))))</formula>
    </cfRule>
  </conditionalFormatting>
  <conditionalFormatting sqref="J27">
    <cfRule type="containsText" dxfId="4" priority="5225" operator="containsText" text="등록">
      <formula>NOT(ISERROR(SEARCH(("등록"),(J27))))</formula>
    </cfRule>
  </conditionalFormatting>
  <conditionalFormatting sqref="J27">
    <cfRule type="containsText" dxfId="0" priority="5226" operator="containsText" text="거부">
      <formula>NOT(ISERROR(SEARCH(("거부"),(J27))))</formula>
    </cfRule>
  </conditionalFormatting>
  <conditionalFormatting sqref="J27">
    <cfRule type="containsText" dxfId="1" priority="5227" operator="containsText" text="리턴">
      <formula>NOT(ISERROR(SEARCH(("리턴"),(J27))))</formula>
    </cfRule>
  </conditionalFormatting>
  <conditionalFormatting sqref="J27">
    <cfRule type="containsText" dxfId="2" priority="5228" operator="containsText" text="실패">
      <formula>NOT(ISERROR(SEARCH(("실패"),(J27))))</formula>
    </cfRule>
  </conditionalFormatting>
  <conditionalFormatting sqref="J27">
    <cfRule type="containsText" dxfId="3" priority="5229" operator="containsText" text="관리">
      <formula>NOT(ISERROR(SEARCH(("관리"),(J27))))</formula>
    </cfRule>
  </conditionalFormatting>
  <conditionalFormatting sqref="J27">
    <cfRule type="containsText" dxfId="4" priority="5230" operator="containsText" text="등록">
      <formula>NOT(ISERROR(SEARCH(("등록"),(J27))))</formula>
    </cfRule>
  </conditionalFormatting>
  <conditionalFormatting sqref="J27">
    <cfRule type="containsText" dxfId="0" priority="5231" operator="containsText" text="거부">
      <formula>NOT(ISERROR(SEARCH(("거부"),(J27))))</formula>
    </cfRule>
  </conditionalFormatting>
  <conditionalFormatting sqref="J27">
    <cfRule type="containsText" dxfId="1" priority="5232" operator="containsText" text="리턴">
      <formula>NOT(ISERROR(SEARCH(("리턴"),(J27))))</formula>
    </cfRule>
  </conditionalFormatting>
  <conditionalFormatting sqref="J27">
    <cfRule type="containsText" dxfId="2" priority="5233" operator="containsText" text="실패">
      <formula>NOT(ISERROR(SEARCH(("실패"),(J27))))</formula>
    </cfRule>
  </conditionalFormatting>
  <conditionalFormatting sqref="J27">
    <cfRule type="containsText" dxfId="3" priority="5234" operator="containsText" text="관리">
      <formula>NOT(ISERROR(SEARCH(("관리"),(J27))))</formula>
    </cfRule>
  </conditionalFormatting>
  <conditionalFormatting sqref="J27">
    <cfRule type="containsText" dxfId="4" priority="5235" operator="containsText" text="등록">
      <formula>NOT(ISERROR(SEARCH(("등록"),(J27))))</formula>
    </cfRule>
  </conditionalFormatting>
  <conditionalFormatting sqref="J27">
    <cfRule type="containsText" dxfId="0" priority="5236" operator="containsText" text="거부">
      <formula>NOT(ISERROR(SEARCH(("거부"),(J27))))</formula>
    </cfRule>
  </conditionalFormatting>
  <conditionalFormatting sqref="J27">
    <cfRule type="containsText" dxfId="1" priority="5237" operator="containsText" text="리턴">
      <formula>NOT(ISERROR(SEARCH(("리턴"),(J27))))</formula>
    </cfRule>
  </conditionalFormatting>
  <conditionalFormatting sqref="J27">
    <cfRule type="containsText" dxfId="2" priority="5238" operator="containsText" text="실패">
      <formula>NOT(ISERROR(SEARCH(("실패"),(J27))))</formula>
    </cfRule>
  </conditionalFormatting>
  <conditionalFormatting sqref="J27">
    <cfRule type="containsText" dxfId="3" priority="5239" operator="containsText" text="관리">
      <formula>NOT(ISERROR(SEARCH(("관리"),(J27))))</formula>
    </cfRule>
  </conditionalFormatting>
  <conditionalFormatting sqref="J27">
    <cfRule type="containsText" dxfId="4" priority="5240" operator="containsText" text="등록">
      <formula>NOT(ISERROR(SEARCH(("등록"),(J27))))</formula>
    </cfRule>
  </conditionalFormatting>
  <conditionalFormatting sqref="J27">
    <cfRule type="containsText" dxfId="0" priority="5241" operator="containsText" text="거부">
      <formula>NOT(ISERROR(SEARCH(("거부"),(J27))))</formula>
    </cfRule>
  </conditionalFormatting>
  <conditionalFormatting sqref="J27">
    <cfRule type="containsText" dxfId="1" priority="5242" operator="containsText" text="리턴">
      <formula>NOT(ISERROR(SEARCH(("리턴"),(J27))))</formula>
    </cfRule>
  </conditionalFormatting>
  <conditionalFormatting sqref="J27">
    <cfRule type="containsText" dxfId="2" priority="5243" operator="containsText" text="실패">
      <formula>NOT(ISERROR(SEARCH(("실패"),(J27))))</formula>
    </cfRule>
  </conditionalFormatting>
  <conditionalFormatting sqref="J27">
    <cfRule type="containsText" dxfId="3" priority="5244" operator="containsText" text="관리">
      <formula>NOT(ISERROR(SEARCH(("관리"),(J27))))</formula>
    </cfRule>
  </conditionalFormatting>
  <conditionalFormatting sqref="J27">
    <cfRule type="containsText" dxfId="4" priority="5245" operator="containsText" text="등록">
      <formula>NOT(ISERROR(SEARCH(("등록"),(J27))))</formula>
    </cfRule>
  </conditionalFormatting>
  <conditionalFormatting sqref="J27">
    <cfRule type="containsText" dxfId="0" priority="5246" operator="containsText" text="거부">
      <formula>NOT(ISERROR(SEARCH(("거부"),(J27))))</formula>
    </cfRule>
  </conditionalFormatting>
  <conditionalFormatting sqref="J27">
    <cfRule type="containsText" dxfId="1" priority="5247" operator="containsText" text="리턴">
      <formula>NOT(ISERROR(SEARCH(("리턴"),(J27))))</formula>
    </cfRule>
  </conditionalFormatting>
  <conditionalFormatting sqref="J27">
    <cfRule type="containsText" dxfId="2" priority="5248" operator="containsText" text="실패">
      <formula>NOT(ISERROR(SEARCH(("실패"),(J27))))</formula>
    </cfRule>
  </conditionalFormatting>
  <conditionalFormatting sqref="J27">
    <cfRule type="containsText" dxfId="3" priority="5249" operator="containsText" text="관리">
      <formula>NOT(ISERROR(SEARCH(("관리"),(J27))))</formula>
    </cfRule>
  </conditionalFormatting>
  <conditionalFormatting sqref="J27">
    <cfRule type="containsText" dxfId="4" priority="5250" operator="containsText" text="등록">
      <formula>NOT(ISERROR(SEARCH(("등록"),(J27))))</formula>
    </cfRule>
  </conditionalFormatting>
  <conditionalFormatting sqref="D28">
    <cfRule type="containsText" dxfId="0" priority="5251" operator="containsText" text="거부">
      <formula>NOT(ISERROR(SEARCH(("거부"),(D28))))</formula>
    </cfRule>
  </conditionalFormatting>
  <conditionalFormatting sqref="D28">
    <cfRule type="containsText" dxfId="1" priority="5252" operator="containsText" text="리턴">
      <formula>NOT(ISERROR(SEARCH(("리턴"),(D28))))</formula>
    </cfRule>
  </conditionalFormatting>
  <conditionalFormatting sqref="D28">
    <cfRule type="containsText" dxfId="2" priority="5253" operator="containsText" text="실패">
      <formula>NOT(ISERROR(SEARCH(("실패"),(D28))))</formula>
    </cfRule>
  </conditionalFormatting>
  <conditionalFormatting sqref="D28">
    <cfRule type="containsText" dxfId="3" priority="5254" operator="containsText" text="관리">
      <formula>NOT(ISERROR(SEARCH(("관리"),(D28))))</formula>
    </cfRule>
  </conditionalFormatting>
  <conditionalFormatting sqref="D28">
    <cfRule type="containsText" dxfId="4" priority="5255" operator="containsText" text="등록">
      <formula>NOT(ISERROR(SEARCH(("등록"),(D28))))</formula>
    </cfRule>
  </conditionalFormatting>
  <conditionalFormatting sqref="D28">
    <cfRule type="containsText" dxfId="0" priority="5256" operator="containsText" text="거부">
      <formula>NOT(ISERROR(SEARCH(("거부"),(D28))))</formula>
    </cfRule>
  </conditionalFormatting>
  <conditionalFormatting sqref="D28">
    <cfRule type="containsText" dxfId="1" priority="5257" operator="containsText" text="리턴">
      <formula>NOT(ISERROR(SEARCH(("리턴"),(D28))))</formula>
    </cfRule>
  </conditionalFormatting>
  <conditionalFormatting sqref="D28">
    <cfRule type="containsText" dxfId="2" priority="5258" operator="containsText" text="실패">
      <formula>NOT(ISERROR(SEARCH(("실패"),(D28))))</formula>
    </cfRule>
  </conditionalFormatting>
  <conditionalFormatting sqref="D28">
    <cfRule type="containsText" dxfId="3" priority="5259" operator="containsText" text="관리">
      <formula>NOT(ISERROR(SEARCH(("관리"),(D28))))</formula>
    </cfRule>
  </conditionalFormatting>
  <conditionalFormatting sqref="D28">
    <cfRule type="containsText" dxfId="4" priority="5260" operator="containsText" text="등록">
      <formula>NOT(ISERROR(SEARCH(("등록"),(D28))))</formula>
    </cfRule>
  </conditionalFormatting>
  <conditionalFormatting sqref="D29">
    <cfRule type="containsText" dxfId="0" priority="5261" operator="containsText" text="거부">
      <formula>NOT(ISERROR(SEARCH(("거부"),(D29))))</formula>
    </cfRule>
  </conditionalFormatting>
  <conditionalFormatting sqref="D29">
    <cfRule type="containsText" dxfId="1" priority="5262" operator="containsText" text="리턴">
      <formula>NOT(ISERROR(SEARCH(("리턴"),(D29))))</formula>
    </cfRule>
  </conditionalFormatting>
  <conditionalFormatting sqref="D29">
    <cfRule type="containsText" dxfId="2" priority="5263" operator="containsText" text="실패">
      <formula>NOT(ISERROR(SEARCH(("실패"),(D29))))</formula>
    </cfRule>
  </conditionalFormatting>
  <conditionalFormatting sqref="D29">
    <cfRule type="containsText" dxfId="3" priority="5264" operator="containsText" text="관리">
      <formula>NOT(ISERROR(SEARCH(("관리"),(D29))))</formula>
    </cfRule>
  </conditionalFormatting>
  <conditionalFormatting sqref="D29">
    <cfRule type="containsText" dxfId="4" priority="5265" operator="containsText" text="등록">
      <formula>NOT(ISERROR(SEARCH(("등록"),(D29))))</formula>
    </cfRule>
  </conditionalFormatting>
  <conditionalFormatting sqref="D29">
    <cfRule type="containsText" dxfId="0" priority="5266" operator="containsText" text="거부">
      <formula>NOT(ISERROR(SEARCH(("거부"),(D29))))</formula>
    </cfRule>
  </conditionalFormatting>
  <conditionalFormatting sqref="D29">
    <cfRule type="containsText" dxfId="1" priority="5267" operator="containsText" text="리턴">
      <formula>NOT(ISERROR(SEARCH(("리턴"),(D29))))</formula>
    </cfRule>
  </conditionalFormatting>
  <conditionalFormatting sqref="D29">
    <cfRule type="containsText" dxfId="2" priority="5268" operator="containsText" text="실패">
      <formula>NOT(ISERROR(SEARCH(("실패"),(D29))))</formula>
    </cfRule>
  </conditionalFormatting>
  <conditionalFormatting sqref="D29">
    <cfRule type="containsText" dxfId="3" priority="5269" operator="containsText" text="관리">
      <formula>NOT(ISERROR(SEARCH(("관리"),(D29))))</formula>
    </cfRule>
  </conditionalFormatting>
  <conditionalFormatting sqref="D29">
    <cfRule type="containsText" dxfId="4" priority="5270" operator="containsText" text="등록">
      <formula>NOT(ISERROR(SEARCH(("등록"),(D29))))</formula>
    </cfRule>
  </conditionalFormatting>
  <conditionalFormatting sqref="J28">
    <cfRule type="containsText" dxfId="0" priority="5271" operator="containsText" text="거부">
      <formula>NOT(ISERROR(SEARCH(("거부"),(J28))))</formula>
    </cfRule>
  </conditionalFormatting>
  <conditionalFormatting sqref="J28">
    <cfRule type="containsText" dxfId="1" priority="5272" operator="containsText" text="리턴">
      <formula>NOT(ISERROR(SEARCH(("리턴"),(J28))))</formula>
    </cfRule>
  </conditionalFormatting>
  <conditionalFormatting sqref="J28">
    <cfRule type="containsText" dxfId="2" priority="5273" operator="containsText" text="실패">
      <formula>NOT(ISERROR(SEARCH(("실패"),(J28))))</formula>
    </cfRule>
  </conditionalFormatting>
  <conditionalFormatting sqref="J28">
    <cfRule type="containsText" dxfId="3" priority="5274" operator="containsText" text="관리">
      <formula>NOT(ISERROR(SEARCH(("관리"),(J28))))</formula>
    </cfRule>
  </conditionalFormatting>
  <conditionalFormatting sqref="J28">
    <cfRule type="containsText" dxfId="4" priority="5275" operator="containsText" text="등록">
      <formula>NOT(ISERROR(SEARCH(("등록"),(J28))))</formula>
    </cfRule>
  </conditionalFormatting>
  <conditionalFormatting sqref="J28">
    <cfRule type="containsText" dxfId="0" priority="5276" operator="containsText" text="거부">
      <formula>NOT(ISERROR(SEARCH(("거부"),(J28))))</formula>
    </cfRule>
  </conditionalFormatting>
  <conditionalFormatting sqref="J28">
    <cfRule type="containsText" dxfId="1" priority="5277" operator="containsText" text="리턴">
      <formula>NOT(ISERROR(SEARCH(("리턴"),(J28))))</formula>
    </cfRule>
  </conditionalFormatting>
  <conditionalFormatting sqref="J28">
    <cfRule type="containsText" dxfId="2" priority="5278" operator="containsText" text="실패">
      <formula>NOT(ISERROR(SEARCH(("실패"),(J28))))</formula>
    </cfRule>
  </conditionalFormatting>
  <conditionalFormatting sqref="J28">
    <cfRule type="containsText" dxfId="3" priority="5279" operator="containsText" text="관리">
      <formula>NOT(ISERROR(SEARCH(("관리"),(J28))))</formula>
    </cfRule>
  </conditionalFormatting>
  <conditionalFormatting sqref="J28">
    <cfRule type="containsText" dxfId="4" priority="5280" operator="containsText" text="등록">
      <formula>NOT(ISERROR(SEARCH(("등록"),(J28))))</formula>
    </cfRule>
  </conditionalFormatting>
  <conditionalFormatting sqref="J28">
    <cfRule type="containsText" dxfId="0" priority="5281" operator="containsText" text="거부">
      <formula>NOT(ISERROR(SEARCH(("거부"),(J28))))</formula>
    </cfRule>
  </conditionalFormatting>
  <conditionalFormatting sqref="J28">
    <cfRule type="containsText" dxfId="1" priority="5282" operator="containsText" text="리턴">
      <formula>NOT(ISERROR(SEARCH(("리턴"),(J28))))</formula>
    </cfRule>
  </conditionalFormatting>
  <conditionalFormatting sqref="J28">
    <cfRule type="containsText" dxfId="2" priority="5283" operator="containsText" text="실패">
      <formula>NOT(ISERROR(SEARCH(("실패"),(J28))))</formula>
    </cfRule>
  </conditionalFormatting>
  <conditionalFormatting sqref="J28">
    <cfRule type="containsText" dxfId="3" priority="5284" operator="containsText" text="관리">
      <formula>NOT(ISERROR(SEARCH(("관리"),(J28))))</formula>
    </cfRule>
  </conditionalFormatting>
  <conditionalFormatting sqref="J28">
    <cfRule type="containsText" dxfId="4" priority="5285" operator="containsText" text="등록">
      <formula>NOT(ISERROR(SEARCH(("등록"),(J28))))</formula>
    </cfRule>
  </conditionalFormatting>
  <conditionalFormatting sqref="J28">
    <cfRule type="containsText" dxfId="0" priority="5286" operator="containsText" text="거부">
      <formula>NOT(ISERROR(SEARCH(("거부"),(J28))))</formula>
    </cfRule>
  </conditionalFormatting>
  <conditionalFormatting sqref="J28">
    <cfRule type="containsText" dxfId="1" priority="5287" operator="containsText" text="리턴">
      <formula>NOT(ISERROR(SEARCH(("리턴"),(J28))))</formula>
    </cfRule>
  </conditionalFormatting>
  <conditionalFormatting sqref="J28">
    <cfRule type="containsText" dxfId="2" priority="5288" operator="containsText" text="실패">
      <formula>NOT(ISERROR(SEARCH(("실패"),(J28))))</formula>
    </cfRule>
  </conditionalFormatting>
  <conditionalFormatting sqref="J28">
    <cfRule type="containsText" dxfId="3" priority="5289" operator="containsText" text="관리">
      <formula>NOT(ISERROR(SEARCH(("관리"),(J28))))</formula>
    </cfRule>
  </conditionalFormatting>
  <conditionalFormatting sqref="J28">
    <cfRule type="containsText" dxfId="4" priority="5290" operator="containsText" text="등록">
      <formula>NOT(ISERROR(SEARCH(("등록"),(J28))))</formula>
    </cfRule>
  </conditionalFormatting>
  <conditionalFormatting sqref="J28">
    <cfRule type="containsText" dxfId="0" priority="5291" operator="containsText" text="거부">
      <formula>NOT(ISERROR(SEARCH(("거부"),(J28))))</formula>
    </cfRule>
  </conditionalFormatting>
  <conditionalFormatting sqref="J28">
    <cfRule type="containsText" dxfId="1" priority="5292" operator="containsText" text="리턴">
      <formula>NOT(ISERROR(SEARCH(("리턴"),(J28))))</formula>
    </cfRule>
  </conditionalFormatting>
  <conditionalFormatting sqref="J28">
    <cfRule type="containsText" dxfId="2" priority="5293" operator="containsText" text="실패">
      <formula>NOT(ISERROR(SEARCH(("실패"),(J28))))</formula>
    </cfRule>
  </conditionalFormatting>
  <conditionalFormatting sqref="J28">
    <cfRule type="containsText" dxfId="3" priority="5294" operator="containsText" text="관리">
      <formula>NOT(ISERROR(SEARCH(("관리"),(J28))))</formula>
    </cfRule>
  </conditionalFormatting>
  <conditionalFormatting sqref="J28">
    <cfRule type="containsText" dxfId="4" priority="5295" operator="containsText" text="등록">
      <formula>NOT(ISERROR(SEARCH(("등록"),(J28))))</formula>
    </cfRule>
  </conditionalFormatting>
  <conditionalFormatting sqref="J28">
    <cfRule type="containsText" dxfId="0" priority="5296" operator="containsText" text="거부">
      <formula>NOT(ISERROR(SEARCH(("거부"),(J28))))</formula>
    </cfRule>
  </conditionalFormatting>
  <conditionalFormatting sqref="J28">
    <cfRule type="containsText" dxfId="1" priority="5297" operator="containsText" text="리턴">
      <formula>NOT(ISERROR(SEARCH(("리턴"),(J28))))</formula>
    </cfRule>
  </conditionalFormatting>
  <conditionalFormatting sqref="J28">
    <cfRule type="containsText" dxfId="2" priority="5298" operator="containsText" text="실패">
      <formula>NOT(ISERROR(SEARCH(("실패"),(J28))))</formula>
    </cfRule>
  </conditionalFormatting>
  <conditionalFormatting sqref="J28">
    <cfRule type="containsText" dxfId="3" priority="5299" operator="containsText" text="관리">
      <formula>NOT(ISERROR(SEARCH(("관리"),(J28))))</formula>
    </cfRule>
  </conditionalFormatting>
  <conditionalFormatting sqref="J28">
    <cfRule type="containsText" dxfId="4" priority="5300" operator="containsText" text="등록">
      <formula>NOT(ISERROR(SEARCH(("등록"),(J28))))</formula>
    </cfRule>
  </conditionalFormatting>
  <conditionalFormatting sqref="J29">
    <cfRule type="containsText" dxfId="0" priority="5301" operator="containsText" text="거부">
      <formula>NOT(ISERROR(SEARCH(("거부"),(J29))))</formula>
    </cfRule>
  </conditionalFormatting>
  <conditionalFormatting sqref="J29">
    <cfRule type="containsText" dxfId="1" priority="5302" operator="containsText" text="리턴">
      <formula>NOT(ISERROR(SEARCH(("리턴"),(J29))))</formula>
    </cfRule>
  </conditionalFormatting>
  <conditionalFormatting sqref="J29">
    <cfRule type="containsText" dxfId="2" priority="5303" operator="containsText" text="실패">
      <formula>NOT(ISERROR(SEARCH(("실패"),(J29))))</formula>
    </cfRule>
  </conditionalFormatting>
  <conditionalFormatting sqref="J29">
    <cfRule type="containsText" dxfId="3" priority="5304" operator="containsText" text="관리">
      <formula>NOT(ISERROR(SEARCH(("관리"),(J29))))</formula>
    </cfRule>
  </conditionalFormatting>
  <conditionalFormatting sqref="J29">
    <cfRule type="containsText" dxfId="4" priority="5305" operator="containsText" text="등록">
      <formula>NOT(ISERROR(SEARCH(("등록"),(J29))))</formula>
    </cfRule>
  </conditionalFormatting>
  <conditionalFormatting sqref="J29">
    <cfRule type="containsText" dxfId="0" priority="5306" operator="containsText" text="거부">
      <formula>NOT(ISERROR(SEARCH(("거부"),(J29))))</formula>
    </cfRule>
  </conditionalFormatting>
  <conditionalFormatting sqref="J29">
    <cfRule type="containsText" dxfId="1" priority="5307" operator="containsText" text="리턴">
      <formula>NOT(ISERROR(SEARCH(("리턴"),(J29))))</formula>
    </cfRule>
  </conditionalFormatting>
  <conditionalFormatting sqref="J29">
    <cfRule type="containsText" dxfId="2" priority="5308" operator="containsText" text="실패">
      <formula>NOT(ISERROR(SEARCH(("실패"),(J29))))</formula>
    </cfRule>
  </conditionalFormatting>
  <conditionalFormatting sqref="J29">
    <cfRule type="containsText" dxfId="3" priority="5309" operator="containsText" text="관리">
      <formula>NOT(ISERROR(SEARCH(("관리"),(J29))))</formula>
    </cfRule>
  </conditionalFormatting>
  <conditionalFormatting sqref="J29">
    <cfRule type="containsText" dxfId="4" priority="5310" operator="containsText" text="등록">
      <formula>NOT(ISERROR(SEARCH(("등록"),(J29))))</formula>
    </cfRule>
  </conditionalFormatting>
  <conditionalFormatting sqref="J29">
    <cfRule type="containsText" dxfId="0" priority="5311" operator="containsText" text="거부">
      <formula>NOT(ISERROR(SEARCH(("거부"),(J29))))</formula>
    </cfRule>
  </conditionalFormatting>
  <conditionalFormatting sqref="J29">
    <cfRule type="containsText" dxfId="1" priority="5312" operator="containsText" text="리턴">
      <formula>NOT(ISERROR(SEARCH(("리턴"),(J29))))</formula>
    </cfRule>
  </conditionalFormatting>
  <conditionalFormatting sqref="J29">
    <cfRule type="containsText" dxfId="2" priority="5313" operator="containsText" text="실패">
      <formula>NOT(ISERROR(SEARCH(("실패"),(J29))))</formula>
    </cfRule>
  </conditionalFormatting>
  <conditionalFormatting sqref="J29">
    <cfRule type="containsText" dxfId="3" priority="5314" operator="containsText" text="관리">
      <formula>NOT(ISERROR(SEARCH(("관리"),(J29))))</formula>
    </cfRule>
  </conditionalFormatting>
  <conditionalFormatting sqref="J29">
    <cfRule type="containsText" dxfId="4" priority="5315" operator="containsText" text="등록">
      <formula>NOT(ISERROR(SEARCH(("등록"),(J29))))</formula>
    </cfRule>
  </conditionalFormatting>
  <conditionalFormatting sqref="J29">
    <cfRule type="containsText" dxfId="0" priority="5316" operator="containsText" text="거부">
      <formula>NOT(ISERROR(SEARCH(("거부"),(J29))))</formula>
    </cfRule>
  </conditionalFormatting>
  <conditionalFormatting sqref="J29">
    <cfRule type="containsText" dxfId="1" priority="5317" operator="containsText" text="리턴">
      <formula>NOT(ISERROR(SEARCH(("리턴"),(J29))))</formula>
    </cfRule>
  </conditionalFormatting>
  <conditionalFormatting sqref="J29">
    <cfRule type="containsText" dxfId="2" priority="5318" operator="containsText" text="실패">
      <formula>NOT(ISERROR(SEARCH(("실패"),(J29))))</formula>
    </cfRule>
  </conditionalFormatting>
  <conditionalFormatting sqref="J29">
    <cfRule type="containsText" dxfId="3" priority="5319" operator="containsText" text="관리">
      <formula>NOT(ISERROR(SEARCH(("관리"),(J29))))</formula>
    </cfRule>
  </conditionalFormatting>
  <conditionalFormatting sqref="J29">
    <cfRule type="containsText" dxfId="4" priority="5320" operator="containsText" text="등록">
      <formula>NOT(ISERROR(SEARCH(("등록"),(J29))))</formula>
    </cfRule>
  </conditionalFormatting>
  <conditionalFormatting sqref="J29">
    <cfRule type="containsText" dxfId="0" priority="5321" operator="containsText" text="거부">
      <formula>NOT(ISERROR(SEARCH(("거부"),(J29))))</formula>
    </cfRule>
  </conditionalFormatting>
  <conditionalFormatting sqref="J29">
    <cfRule type="containsText" dxfId="1" priority="5322" operator="containsText" text="리턴">
      <formula>NOT(ISERROR(SEARCH(("리턴"),(J29))))</formula>
    </cfRule>
  </conditionalFormatting>
  <conditionalFormatting sqref="J29">
    <cfRule type="containsText" dxfId="2" priority="5323" operator="containsText" text="실패">
      <formula>NOT(ISERROR(SEARCH(("실패"),(J29))))</formula>
    </cfRule>
  </conditionalFormatting>
  <conditionalFormatting sqref="J29">
    <cfRule type="containsText" dxfId="3" priority="5324" operator="containsText" text="관리">
      <formula>NOT(ISERROR(SEARCH(("관리"),(J29))))</formula>
    </cfRule>
  </conditionalFormatting>
  <conditionalFormatting sqref="J29">
    <cfRule type="containsText" dxfId="4" priority="5325" operator="containsText" text="등록">
      <formula>NOT(ISERROR(SEARCH(("등록"),(J29))))</formula>
    </cfRule>
  </conditionalFormatting>
  <conditionalFormatting sqref="J29">
    <cfRule type="containsText" dxfId="0" priority="5326" operator="containsText" text="거부">
      <formula>NOT(ISERROR(SEARCH(("거부"),(J29))))</formula>
    </cfRule>
  </conditionalFormatting>
  <conditionalFormatting sqref="J29">
    <cfRule type="containsText" dxfId="1" priority="5327" operator="containsText" text="리턴">
      <formula>NOT(ISERROR(SEARCH(("리턴"),(J29))))</formula>
    </cfRule>
  </conditionalFormatting>
  <conditionalFormatting sqref="J29">
    <cfRule type="containsText" dxfId="2" priority="5328" operator="containsText" text="실패">
      <formula>NOT(ISERROR(SEARCH(("실패"),(J29))))</formula>
    </cfRule>
  </conditionalFormatting>
  <conditionalFormatting sqref="J29">
    <cfRule type="containsText" dxfId="3" priority="5329" operator="containsText" text="관리">
      <formula>NOT(ISERROR(SEARCH(("관리"),(J29))))</formula>
    </cfRule>
  </conditionalFormatting>
  <conditionalFormatting sqref="J29">
    <cfRule type="containsText" dxfId="4" priority="5330" operator="containsText" text="등록">
      <formula>NOT(ISERROR(SEARCH(("등록"),(J29))))</formula>
    </cfRule>
  </conditionalFormatting>
  <conditionalFormatting sqref="G29">
    <cfRule type="containsText" dxfId="0" priority="5331" operator="containsText" text="거부">
      <formula>NOT(ISERROR(SEARCH(("거부"),(G29))))</formula>
    </cfRule>
  </conditionalFormatting>
  <conditionalFormatting sqref="G29">
    <cfRule type="containsText" dxfId="1" priority="5332" operator="containsText" text="리턴">
      <formula>NOT(ISERROR(SEARCH(("리턴"),(G29))))</formula>
    </cfRule>
  </conditionalFormatting>
  <conditionalFormatting sqref="G29">
    <cfRule type="containsText" dxfId="2" priority="5333" operator="containsText" text="실패">
      <formula>NOT(ISERROR(SEARCH(("실패"),(G29))))</formula>
    </cfRule>
  </conditionalFormatting>
  <conditionalFormatting sqref="G29">
    <cfRule type="containsText" dxfId="3" priority="5334" operator="containsText" text="관리">
      <formula>NOT(ISERROR(SEARCH(("관리"),(G29))))</formula>
    </cfRule>
  </conditionalFormatting>
  <conditionalFormatting sqref="G29">
    <cfRule type="containsText" dxfId="4" priority="5335" operator="containsText" text="등록">
      <formula>NOT(ISERROR(SEARCH(("등록"),(G29))))</formula>
    </cfRule>
  </conditionalFormatting>
  <conditionalFormatting sqref="A31">
    <cfRule type="containsText" dxfId="0" priority="5336" operator="containsText" text="거부">
      <formula>NOT(ISERROR(SEARCH(("거부"),(A31))))</formula>
    </cfRule>
  </conditionalFormatting>
  <conditionalFormatting sqref="A31">
    <cfRule type="containsText" dxfId="1" priority="5337" operator="containsText" text="리턴">
      <formula>NOT(ISERROR(SEARCH(("리턴"),(A31))))</formula>
    </cfRule>
  </conditionalFormatting>
  <conditionalFormatting sqref="A31">
    <cfRule type="containsText" dxfId="2" priority="5338" operator="containsText" text="실패">
      <formula>NOT(ISERROR(SEARCH(("실패"),(A31))))</formula>
    </cfRule>
  </conditionalFormatting>
  <conditionalFormatting sqref="A31">
    <cfRule type="containsText" dxfId="3" priority="5339" operator="containsText" text="관리">
      <formula>NOT(ISERROR(SEARCH(("관리"),(A31))))</formula>
    </cfRule>
  </conditionalFormatting>
  <conditionalFormatting sqref="A31">
    <cfRule type="containsText" dxfId="4" priority="5340" operator="containsText" text="등록">
      <formula>NOT(ISERROR(SEARCH(("등록"),(A31))))</formula>
    </cfRule>
  </conditionalFormatting>
  <conditionalFormatting sqref="A31">
    <cfRule type="containsText" dxfId="0" priority="5341" operator="containsText" text="거부">
      <formula>NOT(ISERROR(SEARCH(("거부"),(A31))))</formula>
    </cfRule>
  </conditionalFormatting>
  <conditionalFormatting sqref="A31">
    <cfRule type="containsText" dxfId="1" priority="5342" operator="containsText" text="리턴">
      <formula>NOT(ISERROR(SEARCH(("리턴"),(A31))))</formula>
    </cfRule>
  </conditionalFormatting>
  <conditionalFormatting sqref="A31">
    <cfRule type="containsText" dxfId="2" priority="5343" operator="containsText" text="실패">
      <formula>NOT(ISERROR(SEARCH(("실패"),(A31))))</formula>
    </cfRule>
  </conditionalFormatting>
  <conditionalFormatting sqref="A31">
    <cfRule type="containsText" dxfId="3" priority="5344" operator="containsText" text="관리">
      <formula>NOT(ISERROR(SEARCH(("관리"),(A31))))</formula>
    </cfRule>
  </conditionalFormatting>
  <conditionalFormatting sqref="A31">
    <cfRule type="containsText" dxfId="4" priority="5345" operator="containsText" text="등록">
      <formula>NOT(ISERROR(SEARCH(("등록"),(A31))))</formula>
    </cfRule>
  </conditionalFormatting>
  <conditionalFormatting sqref="A31">
    <cfRule type="containsText" dxfId="0" priority="5346" operator="containsText" text="거부">
      <formula>NOT(ISERROR(SEARCH(("거부"),(A31))))</formula>
    </cfRule>
  </conditionalFormatting>
  <conditionalFormatting sqref="A31">
    <cfRule type="containsText" dxfId="1" priority="5347" operator="containsText" text="리턴">
      <formula>NOT(ISERROR(SEARCH(("리턴"),(A31))))</formula>
    </cfRule>
  </conditionalFormatting>
  <conditionalFormatting sqref="A31">
    <cfRule type="containsText" dxfId="2" priority="5348" operator="containsText" text="실패">
      <formula>NOT(ISERROR(SEARCH(("실패"),(A31))))</formula>
    </cfRule>
  </conditionalFormatting>
  <conditionalFormatting sqref="A31">
    <cfRule type="containsText" dxfId="3" priority="5349" operator="containsText" text="관리">
      <formula>NOT(ISERROR(SEARCH(("관리"),(A31))))</formula>
    </cfRule>
  </conditionalFormatting>
  <conditionalFormatting sqref="A31">
    <cfRule type="containsText" dxfId="4" priority="5350" operator="containsText" text="등록">
      <formula>NOT(ISERROR(SEARCH(("등록"),(A31))))</formula>
    </cfRule>
  </conditionalFormatting>
  <conditionalFormatting sqref="A31">
    <cfRule type="containsText" dxfId="0" priority="5351" operator="containsText" text="거부">
      <formula>NOT(ISERROR(SEARCH(("거부"),(A31))))</formula>
    </cfRule>
  </conditionalFormatting>
  <conditionalFormatting sqref="A31">
    <cfRule type="containsText" dxfId="1" priority="5352" operator="containsText" text="리턴">
      <formula>NOT(ISERROR(SEARCH(("리턴"),(A31))))</formula>
    </cfRule>
  </conditionalFormatting>
  <conditionalFormatting sqref="A31">
    <cfRule type="containsText" dxfId="2" priority="5353" operator="containsText" text="실패">
      <formula>NOT(ISERROR(SEARCH(("실패"),(A31))))</formula>
    </cfRule>
  </conditionalFormatting>
  <conditionalFormatting sqref="A31">
    <cfRule type="containsText" dxfId="3" priority="5354" operator="containsText" text="관리">
      <formula>NOT(ISERROR(SEARCH(("관리"),(A31))))</formula>
    </cfRule>
  </conditionalFormatting>
  <conditionalFormatting sqref="A31">
    <cfRule type="containsText" dxfId="4" priority="5355" operator="containsText" text="등록">
      <formula>NOT(ISERROR(SEARCH(("등록"),(A31))))</formula>
    </cfRule>
  </conditionalFormatting>
  <conditionalFormatting sqref="A31">
    <cfRule type="containsText" dxfId="0" priority="5356" operator="containsText" text="거부">
      <formula>NOT(ISERROR(SEARCH(("거부"),(A31))))</formula>
    </cfRule>
  </conditionalFormatting>
  <conditionalFormatting sqref="A31">
    <cfRule type="containsText" dxfId="1" priority="5357" operator="containsText" text="리턴">
      <formula>NOT(ISERROR(SEARCH(("리턴"),(A31))))</formula>
    </cfRule>
  </conditionalFormatting>
  <conditionalFormatting sqref="A31">
    <cfRule type="containsText" dxfId="2" priority="5358" operator="containsText" text="실패">
      <formula>NOT(ISERROR(SEARCH(("실패"),(A31))))</formula>
    </cfRule>
  </conditionalFormatting>
  <conditionalFormatting sqref="A31">
    <cfRule type="containsText" dxfId="3" priority="5359" operator="containsText" text="관리">
      <formula>NOT(ISERROR(SEARCH(("관리"),(A31))))</formula>
    </cfRule>
  </conditionalFormatting>
  <conditionalFormatting sqref="A31">
    <cfRule type="containsText" dxfId="4" priority="5360" operator="containsText" text="등록">
      <formula>NOT(ISERROR(SEARCH(("등록"),(A31))))</formula>
    </cfRule>
  </conditionalFormatting>
  <conditionalFormatting sqref="D31">
    <cfRule type="containsText" dxfId="0" priority="5361" operator="containsText" text="거부">
      <formula>NOT(ISERROR(SEARCH(("거부"),(D31))))</formula>
    </cfRule>
  </conditionalFormatting>
  <conditionalFormatting sqref="D31">
    <cfRule type="containsText" dxfId="1" priority="5362" operator="containsText" text="리턴">
      <formula>NOT(ISERROR(SEARCH(("리턴"),(D31))))</formula>
    </cfRule>
  </conditionalFormatting>
  <conditionalFormatting sqref="D31">
    <cfRule type="containsText" dxfId="2" priority="5363" operator="containsText" text="실패">
      <formula>NOT(ISERROR(SEARCH(("실패"),(D31))))</formula>
    </cfRule>
  </conditionalFormatting>
  <conditionalFormatting sqref="D31">
    <cfRule type="containsText" dxfId="3" priority="5364" operator="containsText" text="관리">
      <formula>NOT(ISERROR(SEARCH(("관리"),(D31))))</formula>
    </cfRule>
  </conditionalFormatting>
  <conditionalFormatting sqref="D31">
    <cfRule type="containsText" dxfId="4" priority="5365" operator="containsText" text="등록">
      <formula>NOT(ISERROR(SEARCH(("등록"),(D31))))</formula>
    </cfRule>
  </conditionalFormatting>
  <conditionalFormatting sqref="D31">
    <cfRule type="containsText" dxfId="0" priority="5366" operator="containsText" text="거부">
      <formula>NOT(ISERROR(SEARCH(("거부"),(D31))))</formula>
    </cfRule>
  </conditionalFormatting>
  <conditionalFormatting sqref="D31">
    <cfRule type="containsText" dxfId="1" priority="5367" operator="containsText" text="리턴">
      <formula>NOT(ISERROR(SEARCH(("리턴"),(D31))))</formula>
    </cfRule>
  </conditionalFormatting>
  <conditionalFormatting sqref="D31">
    <cfRule type="containsText" dxfId="2" priority="5368" operator="containsText" text="실패">
      <formula>NOT(ISERROR(SEARCH(("실패"),(D31))))</formula>
    </cfRule>
  </conditionalFormatting>
  <conditionalFormatting sqref="D31">
    <cfRule type="containsText" dxfId="3" priority="5369" operator="containsText" text="관리">
      <formula>NOT(ISERROR(SEARCH(("관리"),(D31))))</formula>
    </cfRule>
  </conditionalFormatting>
  <conditionalFormatting sqref="D31">
    <cfRule type="containsText" dxfId="4" priority="5370" operator="containsText" text="등록">
      <formula>NOT(ISERROR(SEARCH(("등록"),(D31))))</formula>
    </cfRule>
  </conditionalFormatting>
  <conditionalFormatting sqref="D31">
    <cfRule type="containsText" dxfId="0" priority="5371" operator="containsText" text="거부">
      <formula>NOT(ISERROR(SEARCH(("거부"),(D31))))</formula>
    </cfRule>
  </conditionalFormatting>
  <conditionalFormatting sqref="D31">
    <cfRule type="containsText" dxfId="1" priority="5372" operator="containsText" text="리턴">
      <formula>NOT(ISERROR(SEARCH(("리턴"),(D31))))</formula>
    </cfRule>
  </conditionalFormatting>
  <conditionalFormatting sqref="D31">
    <cfRule type="containsText" dxfId="2" priority="5373" operator="containsText" text="실패">
      <formula>NOT(ISERROR(SEARCH(("실패"),(D31))))</formula>
    </cfRule>
  </conditionalFormatting>
  <conditionalFormatting sqref="D31">
    <cfRule type="containsText" dxfId="3" priority="5374" operator="containsText" text="관리">
      <formula>NOT(ISERROR(SEARCH(("관리"),(D31))))</formula>
    </cfRule>
  </conditionalFormatting>
  <conditionalFormatting sqref="D31">
    <cfRule type="containsText" dxfId="4" priority="5375" operator="containsText" text="등록">
      <formula>NOT(ISERROR(SEARCH(("등록"),(D31))))</formula>
    </cfRule>
  </conditionalFormatting>
  <conditionalFormatting sqref="J31">
    <cfRule type="containsText" dxfId="0" priority="5376" operator="containsText" text="거부">
      <formula>NOT(ISERROR(SEARCH(("거부"),(J31))))</formula>
    </cfRule>
  </conditionalFormatting>
  <conditionalFormatting sqref="J31">
    <cfRule type="containsText" dxfId="1" priority="5377" operator="containsText" text="리턴">
      <formula>NOT(ISERROR(SEARCH(("리턴"),(J31))))</formula>
    </cfRule>
  </conditionalFormatting>
  <conditionalFormatting sqref="J31">
    <cfRule type="containsText" dxfId="2" priority="5378" operator="containsText" text="실패">
      <formula>NOT(ISERROR(SEARCH(("실패"),(J31))))</formula>
    </cfRule>
  </conditionalFormatting>
  <conditionalFormatting sqref="J31">
    <cfRule type="containsText" dxfId="3" priority="5379" operator="containsText" text="관리">
      <formula>NOT(ISERROR(SEARCH(("관리"),(J31))))</formula>
    </cfRule>
  </conditionalFormatting>
  <conditionalFormatting sqref="J31">
    <cfRule type="containsText" dxfId="4" priority="5380" operator="containsText" text="등록">
      <formula>NOT(ISERROR(SEARCH(("등록"),(J31))))</formula>
    </cfRule>
  </conditionalFormatting>
  <conditionalFormatting sqref="J31">
    <cfRule type="containsText" dxfId="0" priority="5381" operator="containsText" text="거부">
      <formula>NOT(ISERROR(SEARCH(("거부"),(J31))))</formula>
    </cfRule>
  </conditionalFormatting>
  <conditionalFormatting sqref="J31">
    <cfRule type="containsText" dxfId="1" priority="5382" operator="containsText" text="리턴">
      <formula>NOT(ISERROR(SEARCH(("리턴"),(J31))))</formula>
    </cfRule>
  </conditionalFormatting>
  <conditionalFormatting sqref="J31">
    <cfRule type="containsText" dxfId="2" priority="5383" operator="containsText" text="실패">
      <formula>NOT(ISERROR(SEARCH(("실패"),(J31))))</formula>
    </cfRule>
  </conditionalFormatting>
  <conditionalFormatting sqref="J31">
    <cfRule type="containsText" dxfId="3" priority="5384" operator="containsText" text="관리">
      <formula>NOT(ISERROR(SEARCH(("관리"),(J31))))</formula>
    </cfRule>
  </conditionalFormatting>
  <conditionalFormatting sqref="J31">
    <cfRule type="containsText" dxfId="4" priority="5385" operator="containsText" text="등록">
      <formula>NOT(ISERROR(SEARCH(("등록"),(J31))))</formula>
    </cfRule>
  </conditionalFormatting>
  <conditionalFormatting sqref="J31">
    <cfRule type="containsText" dxfId="0" priority="5386" operator="containsText" text="거부">
      <formula>NOT(ISERROR(SEARCH(("거부"),(J31))))</formula>
    </cfRule>
  </conditionalFormatting>
  <conditionalFormatting sqref="J31">
    <cfRule type="containsText" dxfId="1" priority="5387" operator="containsText" text="리턴">
      <formula>NOT(ISERROR(SEARCH(("리턴"),(J31))))</formula>
    </cfRule>
  </conditionalFormatting>
  <conditionalFormatting sqref="J31">
    <cfRule type="containsText" dxfId="2" priority="5388" operator="containsText" text="실패">
      <formula>NOT(ISERROR(SEARCH(("실패"),(J31))))</formula>
    </cfRule>
  </conditionalFormatting>
  <conditionalFormatting sqref="J31">
    <cfRule type="containsText" dxfId="3" priority="5389" operator="containsText" text="관리">
      <formula>NOT(ISERROR(SEARCH(("관리"),(J31))))</formula>
    </cfRule>
  </conditionalFormatting>
  <conditionalFormatting sqref="J31">
    <cfRule type="containsText" dxfId="4" priority="5390" operator="containsText" text="등록">
      <formula>NOT(ISERROR(SEARCH(("등록"),(J31))))</formula>
    </cfRule>
  </conditionalFormatting>
  <conditionalFormatting sqref="J31">
    <cfRule type="containsText" dxfId="0" priority="5391" operator="containsText" text="거부">
      <formula>NOT(ISERROR(SEARCH(("거부"),(J31))))</formula>
    </cfRule>
  </conditionalFormatting>
  <conditionalFormatting sqref="J31">
    <cfRule type="containsText" dxfId="1" priority="5392" operator="containsText" text="리턴">
      <formula>NOT(ISERROR(SEARCH(("리턴"),(J31))))</formula>
    </cfRule>
  </conditionalFormatting>
  <conditionalFormatting sqref="J31">
    <cfRule type="containsText" dxfId="2" priority="5393" operator="containsText" text="실패">
      <formula>NOT(ISERROR(SEARCH(("실패"),(J31))))</formula>
    </cfRule>
  </conditionalFormatting>
  <conditionalFormatting sqref="J31">
    <cfRule type="containsText" dxfId="3" priority="5394" operator="containsText" text="관리">
      <formula>NOT(ISERROR(SEARCH(("관리"),(J31))))</formula>
    </cfRule>
  </conditionalFormatting>
  <conditionalFormatting sqref="J31">
    <cfRule type="containsText" dxfId="4" priority="5395" operator="containsText" text="등록">
      <formula>NOT(ISERROR(SEARCH(("등록"),(J31))))</formula>
    </cfRule>
  </conditionalFormatting>
  <conditionalFormatting sqref="J31">
    <cfRule type="containsText" dxfId="0" priority="5396" operator="containsText" text="거부">
      <formula>NOT(ISERROR(SEARCH(("거부"),(J31))))</formula>
    </cfRule>
  </conditionalFormatting>
  <conditionalFormatting sqref="J31">
    <cfRule type="containsText" dxfId="1" priority="5397" operator="containsText" text="리턴">
      <formula>NOT(ISERROR(SEARCH(("리턴"),(J31))))</formula>
    </cfRule>
  </conditionalFormatting>
  <conditionalFormatting sqref="J31">
    <cfRule type="containsText" dxfId="2" priority="5398" operator="containsText" text="실패">
      <formula>NOT(ISERROR(SEARCH(("실패"),(J31))))</formula>
    </cfRule>
  </conditionalFormatting>
  <conditionalFormatting sqref="J31">
    <cfRule type="containsText" dxfId="3" priority="5399" operator="containsText" text="관리">
      <formula>NOT(ISERROR(SEARCH(("관리"),(J31))))</formula>
    </cfRule>
  </conditionalFormatting>
  <conditionalFormatting sqref="J31">
    <cfRule type="containsText" dxfId="4" priority="5400" operator="containsText" text="등록">
      <formula>NOT(ISERROR(SEARCH(("등록"),(J31))))</formula>
    </cfRule>
  </conditionalFormatting>
  <conditionalFormatting sqref="J31">
    <cfRule type="containsText" dxfId="0" priority="5401" operator="containsText" text="거부">
      <formula>NOT(ISERROR(SEARCH(("거부"),(J31))))</formula>
    </cfRule>
  </conditionalFormatting>
  <conditionalFormatting sqref="J31">
    <cfRule type="containsText" dxfId="1" priority="5402" operator="containsText" text="리턴">
      <formula>NOT(ISERROR(SEARCH(("리턴"),(J31))))</formula>
    </cfRule>
  </conditionalFormatting>
  <conditionalFormatting sqref="J31">
    <cfRule type="containsText" dxfId="2" priority="5403" operator="containsText" text="실패">
      <formula>NOT(ISERROR(SEARCH(("실패"),(J31))))</formula>
    </cfRule>
  </conditionalFormatting>
  <conditionalFormatting sqref="J31">
    <cfRule type="containsText" dxfId="3" priority="5404" operator="containsText" text="관리">
      <formula>NOT(ISERROR(SEARCH(("관리"),(J31))))</formula>
    </cfRule>
  </conditionalFormatting>
  <conditionalFormatting sqref="J31">
    <cfRule type="containsText" dxfId="4" priority="5405" operator="containsText" text="등록">
      <formula>NOT(ISERROR(SEARCH(("등록"),(J31))))</formula>
    </cfRule>
  </conditionalFormatting>
  <conditionalFormatting sqref="A32">
    <cfRule type="containsText" dxfId="0" priority="5406" operator="containsText" text="거부">
      <formula>NOT(ISERROR(SEARCH(("거부"),(A32))))</formula>
    </cfRule>
  </conditionalFormatting>
  <conditionalFormatting sqref="A32">
    <cfRule type="containsText" dxfId="1" priority="5407" operator="containsText" text="리턴">
      <formula>NOT(ISERROR(SEARCH(("리턴"),(A32))))</formula>
    </cfRule>
  </conditionalFormatting>
  <conditionalFormatting sqref="A32">
    <cfRule type="containsText" dxfId="2" priority="5408" operator="containsText" text="실패">
      <formula>NOT(ISERROR(SEARCH(("실패"),(A32))))</formula>
    </cfRule>
  </conditionalFormatting>
  <conditionalFormatting sqref="A32">
    <cfRule type="containsText" dxfId="3" priority="5409" operator="containsText" text="관리">
      <formula>NOT(ISERROR(SEARCH(("관리"),(A32))))</formula>
    </cfRule>
  </conditionalFormatting>
  <conditionalFormatting sqref="A32">
    <cfRule type="containsText" dxfId="4" priority="5410" operator="containsText" text="등록">
      <formula>NOT(ISERROR(SEARCH(("등록"),(A32))))</formula>
    </cfRule>
  </conditionalFormatting>
  <conditionalFormatting sqref="A32">
    <cfRule type="containsText" dxfId="0" priority="5411" operator="containsText" text="거부">
      <formula>NOT(ISERROR(SEARCH(("거부"),(A32))))</formula>
    </cfRule>
  </conditionalFormatting>
  <conditionalFormatting sqref="A32">
    <cfRule type="containsText" dxfId="1" priority="5412" operator="containsText" text="리턴">
      <formula>NOT(ISERROR(SEARCH(("리턴"),(A32))))</formula>
    </cfRule>
  </conditionalFormatting>
  <conditionalFormatting sqref="A32">
    <cfRule type="containsText" dxfId="2" priority="5413" operator="containsText" text="실패">
      <formula>NOT(ISERROR(SEARCH(("실패"),(A32))))</formula>
    </cfRule>
  </conditionalFormatting>
  <conditionalFormatting sqref="A32">
    <cfRule type="containsText" dxfId="3" priority="5414" operator="containsText" text="관리">
      <formula>NOT(ISERROR(SEARCH(("관리"),(A32))))</formula>
    </cfRule>
  </conditionalFormatting>
  <conditionalFormatting sqref="A32">
    <cfRule type="containsText" dxfId="4" priority="5415" operator="containsText" text="등록">
      <formula>NOT(ISERROR(SEARCH(("등록"),(A32))))</formula>
    </cfRule>
  </conditionalFormatting>
  <conditionalFormatting sqref="A32">
    <cfRule type="containsText" dxfId="0" priority="5416" operator="containsText" text="거부">
      <formula>NOT(ISERROR(SEARCH(("거부"),(A32))))</formula>
    </cfRule>
  </conditionalFormatting>
  <conditionalFormatting sqref="A32">
    <cfRule type="containsText" dxfId="1" priority="5417" operator="containsText" text="리턴">
      <formula>NOT(ISERROR(SEARCH(("리턴"),(A32))))</formula>
    </cfRule>
  </conditionalFormatting>
  <conditionalFormatting sqref="A32">
    <cfRule type="containsText" dxfId="2" priority="5418" operator="containsText" text="실패">
      <formula>NOT(ISERROR(SEARCH(("실패"),(A32))))</formula>
    </cfRule>
  </conditionalFormatting>
  <conditionalFormatting sqref="A32">
    <cfRule type="containsText" dxfId="3" priority="5419" operator="containsText" text="관리">
      <formula>NOT(ISERROR(SEARCH(("관리"),(A32))))</formula>
    </cfRule>
  </conditionalFormatting>
  <conditionalFormatting sqref="A32">
    <cfRule type="containsText" dxfId="4" priority="5420" operator="containsText" text="등록">
      <formula>NOT(ISERROR(SEARCH(("등록"),(A32))))</formula>
    </cfRule>
  </conditionalFormatting>
  <conditionalFormatting sqref="A32">
    <cfRule type="containsText" dxfId="0" priority="5421" operator="containsText" text="거부">
      <formula>NOT(ISERROR(SEARCH(("거부"),(A32))))</formula>
    </cfRule>
  </conditionalFormatting>
  <conditionalFormatting sqref="A32">
    <cfRule type="containsText" dxfId="1" priority="5422" operator="containsText" text="리턴">
      <formula>NOT(ISERROR(SEARCH(("리턴"),(A32))))</formula>
    </cfRule>
  </conditionalFormatting>
  <conditionalFormatting sqref="A32">
    <cfRule type="containsText" dxfId="2" priority="5423" operator="containsText" text="실패">
      <formula>NOT(ISERROR(SEARCH(("실패"),(A32))))</formula>
    </cfRule>
  </conditionalFormatting>
  <conditionalFormatting sqref="A32">
    <cfRule type="containsText" dxfId="3" priority="5424" operator="containsText" text="관리">
      <formula>NOT(ISERROR(SEARCH(("관리"),(A32))))</formula>
    </cfRule>
  </conditionalFormatting>
  <conditionalFormatting sqref="A32">
    <cfRule type="containsText" dxfId="4" priority="5425" operator="containsText" text="등록">
      <formula>NOT(ISERROR(SEARCH(("등록"),(A32))))</formula>
    </cfRule>
  </conditionalFormatting>
  <conditionalFormatting sqref="A32">
    <cfRule type="containsText" dxfId="0" priority="5426" operator="containsText" text="거부">
      <formula>NOT(ISERROR(SEARCH(("거부"),(A32))))</formula>
    </cfRule>
  </conditionalFormatting>
  <conditionalFormatting sqref="A32">
    <cfRule type="containsText" dxfId="1" priority="5427" operator="containsText" text="리턴">
      <formula>NOT(ISERROR(SEARCH(("리턴"),(A32))))</formula>
    </cfRule>
  </conditionalFormatting>
  <conditionalFormatting sqref="A32">
    <cfRule type="containsText" dxfId="2" priority="5428" operator="containsText" text="실패">
      <formula>NOT(ISERROR(SEARCH(("실패"),(A32))))</formula>
    </cfRule>
  </conditionalFormatting>
  <conditionalFormatting sqref="A32">
    <cfRule type="containsText" dxfId="3" priority="5429" operator="containsText" text="관리">
      <formula>NOT(ISERROR(SEARCH(("관리"),(A32))))</formula>
    </cfRule>
  </conditionalFormatting>
  <conditionalFormatting sqref="A32">
    <cfRule type="containsText" dxfId="4" priority="5430" operator="containsText" text="등록">
      <formula>NOT(ISERROR(SEARCH(("등록"),(A32))))</formula>
    </cfRule>
  </conditionalFormatting>
  <conditionalFormatting sqref="D32">
    <cfRule type="containsText" dxfId="0" priority="5431" operator="containsText" text="거부">
      <formula>NOT(ISERROR(SEARCH(("거부"),(D32))))</formula>
    </cfRule>
  </conditionalFormatting>
  <conditionalFormatting sqref="D32">
    <cfRule type="containsText" dxfId="1" priority="5432" operator="containsText" text="리턴">
      <formula>NOT(ISERROR(SEARCH(("리턴"),(D32))))</formula>
    </cfRule>
  </conditionalFormatting>
  <conditionalFormatting sqref="D32">
    <cfRule type="containsText" dxfId="2" priority="5433" operator="containsText" text="실패">
      <formula>NOT(ISERROR(SEARCH(("실패"),(D32))))</formula>
    </cfRule>
  </conditionalFormatting>
  <conditionalFormatting sqref="D32">
    <cfRule type="containsText" dxfId="3" priority="5434" operator="containsText" text="관리">
      <formula>NOT(ISERROR(SEARCH(("관리"),(D32))))</formula>
    </cfRule>
  </conditionalFormatting>
  <conditionalFormatting sqref="D32">
    <cfRule type="containsText" dxfId="4" priority="5435" operator="containsText" text="등록">
      <formula>NOT(ISERROR(SEARCH(("등록"),(D32))))</formula>
    </cfRule>
  </conditionalFormatting>
  <conditionalFormatting sqref="D32">
    <cfRule type="containsText" dxfId="0" priority="5436" operator="containsText" text="거부">
      <formula>NOT(ISERROR(SEARCH(("거부"),(D32))))</formula>
    </cfRule>
  </conditionalFormatting>
  <conditionalFormatting sqref="D32">
    <cfRule type="containsText" dxfId="1" priority="5437" operator="containsText" text="리턴">
      <formula>NOT(ISERROR(SEARCH(("리턴"),(D32))))</formula>
    </cfRule>
  </conditionalFormatting>
  <conditionalFormatting sqref="D32">
    <cfRule type="containsText" dxfId="2" priority="5438" operator="containsText" text="실패">
      <formula>NOT(ISERROR(SEARCH(("실패"),(D32))))</formula>
    </cfRule>
  </conditionalFormatting>
  <conditionalFormatting sqref="D32">
    <cfRule type="containsText" dxfId="3" priority="5439" operator="containsText" text="관리">
      <formula>NOT(ISERROR(SEARCH(("관리"),(D32))))</formula>
    </cfRule>
  </conditionalFormatting>
  <conditionalFormatting sqref="D32">
    <cfRule type="containsText" dxfId="4" priority="5440" operator="containsText" text="등록">
      <formula>NOT(ISERROR(SEARCH(("등록"),(D32))))</formula>
    </cfRule>
  </conditionalFormatting>
  <conditionalFormatting sqref="D32">
    <cfRule type="containsText" dxfId="0" priority="5441" operator="containsText" text="거부">
      <formula>NOT(ISERROR(SEARCH(("거부"),(D32))))</formula>
    </cfRule>
  </conditionalFormatting>
  <conditionalFormatting sqref="D32">
    <cfRule type="containsText" dxfId="1" priority="5442" operator="containsText" text="리턴">
      <formula>NOT(ISERROR(SEARCH(("리턴"),(D32))))</formula>
    </cfRule>
  </conditionalFormatting>
  <conditionalFormatting sqref="D32">
    <cfRule type="containsText" dxfId="2" priority="5443" operator="containsText" text="실패">
      <formula>NOT(ISERROR(SEARCH(("실패"),(D32))))</formula>
    </cfRule>
  </conditionalFormatting>
  <conditionalFormatting sqref="D32">
    <cfRule type="containsText" dxfId="3" priority="5444" operator="containsText" text="관리">
      <formula>NOT(ISERROR(SEARCH(("관리"),(D32))))</formula>
    </cfRule>
  </conditionalFormatting>
  <conditionalFormatting sqref="D32">
    <cfRule type="containsText" dxfId="4" priority="5445" operator="containsText" text="등록">
      <formula>NOT(ISERROR(SEARCH(("등록"),(D32))))</formula>
    </cfRule>
  </conditionalFormatting>
  <conditionalFormatting sqref="J32">
    <cfRule type="containsText" dxfId="0" priority="5446" operator="containsText" text="거부">
      <formula>NOT(ISERROR(SEARCH(("거부"),(J32))))</formula>
    </cfRule>
  </conditionalFormatting>
  <conditionalFormatting sqref="J32">
    <cfRule type="containsText" dxfId="1" priority="5447" operator="containsText" text="리턴">
      <formula>NOT(ISERROR(SEARCH(("리턴"),(J32))))</formula>
    </cfRule>
  </conditionalFormatting>
  <conditionalFormatting sqref="J32">
    <cfRule type="containsText" dxfId="2" priority="5448" operator="containsText" text="실패">
      <formula>NOT(ISERROR(SEARCH(("실패"),(J32))))</formula>
    </cfRule>
  </conditionalFormatting>
  <conditionalFormatting sqref="J32">
    <cfRule type="containsText" dxfId="3" priority="5449" operator="containsText" text="관리">
      <formula>NOT(ISERROR(SEARCH(("관리"),(J32))))</formula>
    </cfRule>
  </conditionalFormatting>
  <conditionalFormatting sqref="J32">
    <cfRule type="containsText" dxfId="4" priority="5450" operator="containsText" text="등록">
      <formula>NOT(ISERROR(SEARCH(("등록"),(J32))))</formula>
    </cfRule>
  </conditionalFormatting>
  <conditionalFormatting sqref="J32">
    <cfRule type="containsText" dxfId="0" priority="5451" operator="containsText" text="거부">
      <formula>NOT(ISERROR(SEARCH(("거부"),(J32))))</formula>
    </cfRule>
  </conditionalFormatting>
  <conditionalFormatting sqref="J32">
    <cfRule type="containsText" dxfId="1" priority="5452" operator="containsText" text="리턴">
      <formula>NOT(ISERROR(SEARCH(("리턴"),(J32))))</formula>
    </cfRule>
  </conditionalFormatting>
  <conditionalFormatting sqref="J32">
    <cfRule type="containsText" dxfId="2" priority="5453" operator="containsText" text="실패">
      <formula>NOT(ISERROR(SEARCH(("실패"),(J32))))</formula>
    </cfRule>
  </conditionalFormatting>
  <conditionalFormatting sqref="J32">
    <cfRule type="containsText" dxfId="3" priority="5454" operator="containsText" text="관리">
      <formula>NOT(ISERROR(SEARCH(("관리"),(J32))))</formula>
    </cfRule>
  </conditionalFormatting>
  <conditionalFormatting sqref="J32">
    <cfRule type="containsText" dxfId="4" priority="5455" operator="containsText" text="등록">
      <formula>NOT(ISERROR(SEARCH(("등록"),(J32))))</formula>
    </cfRule>
  </conditionalFormatting>
  <conditionalFormatting sqref="J32">
    <cfRule type="containsText" dxfId="0" priority="5456" operator="containsText" text="거부">
      <formula>NOT(ISERROR(SEARCH(("거부"),(J32))))</formula>
    </cfRule>
  </conditionalFormatting>
  <conditionalFormatting sqref="J32">
    <cfRule type="containsText" dxfId="1" priority="5457" operator="containsText" text="리턴">
      <formula>NOT(ISERROR(SEARCH(("리턴"),(J32))))</formula>
    </cfRule>
  </conditionalFormatting>
  <conditionalFormatting sqref="J32">
    <cfRule type="containsText" dxfId="2" priority="5458" operator="containsText" text="실패">
      <formula>NOT(ISERROR(SEARCH(("실패"),(J32))))</formula>
    </cfRule>
  </conditionalFormatting>
  <conditionalFormatting sqref="J32">
    <cfRule type="containsText" dxfId="3" priority="5459" operator="containsText" text="관리">
      <formula>NOT(ISERROR(SEARCH(("관리"),(J32))))</formula>
    </cfRule>
  </conditionalFormatting>
  <conditionalFormatting sqref="J32">
    <cfRule type="containsText" dxfId="4" priority="5460" operator="containsText" text="등록">
      <formula>NOT(ISERROR(SEARCH(("등록"),(J32))))</formula>
    </cfRule>
  </conditionalFormatting>
  <conditionalFormatting sqref="J32">
    <cfRule type="containsText" dxfId="0" priority="5461" operator="containsText" text="거부">
      <formula>NOT(ISERROR(SEARCH(("거부"),(J32))))</formula>
    </cfRule>
  </conditionalFormatting>
  <conditionalFormatting sqref="J32">
    <cfRule type="containsText" dxfId="1" priority="5462" operator="containsText" text="리턴">
      <formula>NOT(ISERROR(SEARCH(("리턴"),(J32))))</formula>
    </cfRule>
  </conditionalFormatting>
  <conditionalFormatting sqref="J32">
    <cfRule type="containsText" dxfId="2" priority="5463" operator="containsText" text="실패">
      <formula>NOT(ISERROR(SEARCH(("실패"),(J32))))</formula>
    </cfRule>
  </conditionalFormatting>
  <conditionalFormatting sqref="J32">
    <cfRule type="containsText" dxfId="3" priority="5464" operator="containsText" text="관리">
      <formula>NOT(ISERROR(SEARCH(("관리"),(J32))))</formula>
    </cfRule>
  </conditionalFormatting>
  <conditionalFormatting sqref="J32">
    <cfRule type="containsText" dxfId="4" priority="5465" operator="containsText" text="등록">
      <formula>NOT(ISERROR(SEARCH(("등록"),(J32))))</formula>
    </cfRule>
  </conditionalFormatting>
  <conditionalFormatting sqref="J32">
    <cfRule type="containsText" dxfId="0" priority="5466" operator="containsText" text="거부">
      <formula>NOT(ISERROR(SEARCH(("거부"),(J32))))</formula>
    </cfRule>
  </conditionalFormatting>
  <conditionalFormatting sqref="J32">
    <cfRule type="containsText" dxfId="1" priority="5467" operator="containsText" text="리턴">
      <formula>NOT(ISERROR(SEARCH(("리턴"),(J32))))</formula>
    </cfRule>
  </conditionalFormatting>
  <conditionalFormatting sqref="J32">
    <cfRule type="containsText" dxfId="2" priority="5468" operator="containsText" text="실패">
      <formula>NOT(ISERROR(SEARCH(("실패"),(J32))))</formula>
    </cfRule>
  </conditionalFormatting>
  <conditionalFormatting sqref="J32">
    <cfRule type="containsText" dxfId="3" priority="5469" operator="containsText" text="관리">
      <formula>NOT(ISERROR(SEARCH(("관리"),(J32))))</formula>
    </cfRule>
  </conditionalFormatting>
  <conditionalFormatting sqref="J32">
    <cfRule type="containsText" dxfId="4" priority="5470" operator="containsText" text="등록">
      <formula>NOT(ISERROR(SEARCH(("등록"),(J32))))</formula>
    </cfRule>
  </conditionalFormatting>
  <conditionalFormatting sqref="J32">
    <cfRule type="containsText" dxfId="0" priority="5471" operator="containsText" text="거부">
      <formula>NOT(ISERROR(SEARCH(("거부"),(J32))))</formula>
    </cfRule>
  </conditionalFormatting>
  <conditionalFormatting sqref="J32">
    <cfRule type="containsText" dxfId="1" priority="5472" operator="containsText" text="리턴">
      <formula>NOT(ISERROR(SEARCH(("리턴"),(J32))))</formula>
    </cfRule>
  </conditionalFormatting>
  <conditionalFormatting sqref="J32">
    <cfRule type="containsText" dxfId="2" priority="5473" operator="containsText" text="실패">
      <formula>NOT(ISERROR(SEARCH(("실패"),(J32))))</formula>
    </cfRule>
  </conditionalFormatting>
  <conditionalFormatting sqref="J32">
    <cfRule type="containsText" dxfId="3" priority="5474" operator="containsText" text="관리">
      <formula>NOT(ISERROR(SEARCH(("관리"),(J32))))</formula>
    </cfRule>
  </conditionalFormatting>
  <conditionalFormatting sqref="J32">
    <cfRule type="containsText" dxfId="4" priority="5475" operator="containsText" text="등록">
      <formula>NOT(ISERROR(SEARCH(("등록"),(J32))))</formula>
    </cfRule>
  </conditionalFormatting>
  <conditionalFormatting sqref="A39">
    <cfRule type="containsText" dxfId="0" priority="5476" operator="containsText" text="거부">
      <formula>NOT(ISERROR(SEARCH(("거부"),(A39))))</formula>
    </cfRule>
  </conditionalFormatting>
  <conditionalFormatting sqref="A39">
    <cfRule type="containsText" dxfId="1" priority="5477" operator="containsText" text="리턴">
      <formula>NOT(ISERROR(SEARCH(("리턴"),(A39))))</formula>
    </cfRule>
  </conditionalFormatting>
  <conditionalFormatting sqref="A39">
    <cfRule type="containsText" dxfId="2" priority="5478" operator="containsText" text="실패">
      <formula>NOT(ISERROR(SEARCH(("실패"),(A39))))</formula>
    </cfRule>
  </conditionalFormatting>
  <conditionalFormatting sqref="A39">
    <cfRule type="containsText" dxfId="3" priority="5479" operator="containsText" text="관리">
      <formula>NOT(ISERROR(SEARCH(("관리"),(A39))))</formula>
    </cfRule>
  </conditionalFormatting>
  <conditionalFormatting sqref="A39">
    <cfRule type="containsText" dxfId="4" priority="5480" operator="containsText" text="등록">
      <formula>NOT(ISERROR(SEARCH(("등록"),(A39))))</formula>
    </cfRule>
  </conditionalFormatting>
  <conditionalFormatting sqref="A39">
    <cfRule type="containsText" dxfId="0" priority="5481" operator="containsText" text="거부">
      <formula>NOT(ISERROR(SEARCH(("거부"),(A39))))</formula>
    </cfRule>
  </conditionalFormatting>
  <conditionalFormatting sqref="A39">
    <cfRule type="containsText" dxfId="1" priority="5482" operator="containsText" text="리턴">
      <formula>NOT(ISERROR(SEARCH(("리턴"),(A39))))</formula>
    </cfRule>
  </conditionalFormatting>
  <conditionalFormatting sqref="A39">
    <cfRule type="containsText" dxfId="2" priority="5483" operator="containsText" text="실패">
      <formula>NOT(ISERROR(SEARCH(("실패"),(A39))))</formula>
    </cfRule>
  </conditionalFormatting>
  <conditionalFormatting sqref="A39">
    <cfRule type="containsText" dxfId="3" priority="5484" operator="containsText" text="관리">
      <formula>NOT(ISERROR(SEARCH(("관리"),(A39))))</formula>
    </cfRule>
  </conditionalFormatting>
  <conditionalFormatting sqref="A39">
    <cfRule type="containsText" dxfId="4" priority="5485" operator="containsText" text="등록">
      <formula>NOT(ISERROR(SEARCH(("등록"),(A39))))</formula>
    </cfRule>
  </conditionalFormatting>
  <conditionalFormatting sqref="A39">
    <cfRule type="containsText" dxfId="0" priority="5486" operator="containsText" text="거부">
      <formula>NOT(ISERROR(SEARCH(("거부"),(A39))))</formula>
    </cfRule>
  </conditionalFormatting>
  <conditionalFormatting sqref="A39">
    <cfRule type="containsText" dxfId="1" priority="5487" operator="containsText" text="리턴">
      <formula>NOT(ISERROR(SEARCH(("리턴"),(A39))))</formula>
    </cfRule>
  </conditionalFormatting>
  <conditionalFormatting sqref="A39">
    <cfRule type="containsText" dxfId="2" priority="5488" operator="containsText" text="실패">
      <formula>NOT(ISERROR(SEARCH(("실패"),(A39))))</formula>
    </cfRule>
  </conditionalFormatting>
  <conditionalFormatting sqref="A39">
    <cfRule type="containsText" dxfId="3" priority="5489" operator="containsText" text="관리">
      <formula>NOT(ISERROR(SEARCH(("관리"),(A39))))</formula>
    </cfRule>
  </conditionalFormatting>
  <conditionalFormatting sqref="A39">
    <cfRule type="containsText" dxfId="4" priority="5490" operator="containsText" text="등록">
      <formula>NOT(ISERROR(SEARCH(("등록"),(A39))))</formula>
    </cfRule>
  </conditionalFormatting>
  <conditionalFormatting sqref="A39">
    <cfRule type="containsText" dxfId="0" priority="5491" operator="containsText" text="거부">
      <formula>NOT(ISERROR(SEARCH(("거부"),(A39))))</formula>
    </cfRule>
  </conditionalFormatting>
  <conditionalFormatting sqref="A39">
    <cfRule type="containsText" dxfId="1" priority="5492" operator="containsText" text="리턴">
      <formula>NOT(ISERROR(SEARCH(("리턴"),(A39))))</formula>
    </cfRule>
  </conditionalFormatting>
  <conditionalFormatting sqref="A39">
    <cfRule type="containsText" dxfId="2" priority="5493" operator="containsText" text="실패">
      <formula>NOT(ISERROR(SEARCH(("실패"),(A39))))</formula>
    </cfRule>
  </conditionalFormatting>
  <conditionalFormatting sqref="A39">
    <cfRule type="containsText" dxfId="3" priority="5494" operator="containsText" text="관리">
      <formula>NOT(ISERROR(SEARCH(("관리"),(A39))))</formula>
    </cfRule>
  </conditionalFormatting>
  <conditionalFormatting sqref="A39">
    <cfRule type="containsText" dxfId="4" priority="5495" operator="containsText" text="등록">
      <formula>NOT(ISERROR(SEARCH(("등록"),(A39))))</formula>
    </cfRule>
  </conditionalFormatting>
  <conditionalFormatting sqref="A39">
    <cfRule type="containsText" dxfId="0" priority="5496" operator="containsText" text="거부">
      <formula>NOT(ISERROR(SEARCH(("거부"),(A39))))</formula>
    </cfRule>
  </conditionalFormatting>
  <conditionalFormatting sqref="A39">
    <cfRule type="containsText" dxfId="1" priority="5497" operator="containsText" text="리턴">
      <formula>NOT(ISERROR(SEARCH(("리턴"),(A39))))</formula>
    </cfRule>
  </conditionalFormatting>
  <conditionalFormatting sqref="A39">
    <cfRule type="containsText" dxfId="2" priority="5498" operator="containsText" text="실패">
      <formula>NOT(ISERROR(SEARCH(("실패"),(A39))))</formula>
    </cfRule>
  </conditionalFormatting>
  <conditionalFormatting sqref="A39">
    <cfRule type="containsText" dxfId="3" priority="5499" operator="containsText" text="관리">
      <formula>NOT(ISERROR(SEARCH(("관리"),(A39))))</formula>
    </cfRule>
  </conditionalFormatting>
  <conditionalFormatting sqref="A39">
    <cfRule type="containsText" dxfId="4" priority="5500" operator="containsText" text="등록">
      <formula>NOT(ISERROR(SEARCH(("등록"),(A39))))</formula>
    </cfRule>
  </conditionalFormatting>
  <conditionalFormatting sqref="G38:G39">
    <cfRule type="containsText" dxfId="0" priority="5501" operator="containsText" text="거부">
      <formula>NOT(ISERROR(SEARCH(("거부"),(G38))))</formula>
    </cfRule>
  </conditionalFormatting>
  <conditionalFormatting sqref="G38:G39">
    <cfRule type="containsText" dxfId="1" priority="5502" operator="containsText" text="리턴">
      <formula>NOT(ISERROR(SEARCH(("리턴"),(G38))))</formula>
    </cfRule>
  </conditionalFormatting>
  <conditionalFormatting sqref="G38:G39">
    <cfRule type="containsText" dxfId="2" priority="5503" operator="containsText" text="실패">
      <formula>NOT(ISERROR(SEARCH(("실패"),(G38))))</formula>
    </cfRule>
  </conditionalFormatting>
  <conditionalFormatting sqref="G38:G39">
    <cfRule type="containsText" dxfId="3" priority="5504" operator="containsText" text="관리">
      <formula>NOT(ISERROR(SEARCH(("관리"),(G38))))</formula>
    </cfRule>
  </conditionalFormatting>
  <conditionalFormatting sqref="G38:G39">
    <cfRule type="containsText" dxfId="4" priority="5505" operator="containsText" text="등록">
      <formula>NOT(ISERROR(SEARCH(("등록"),(G38))))</formula>
    </cfRule>
  </conditionalFormatting>
  <conditionalFormatting sqref="G38:G39">
    <cfRule type="containsText" dxfId="0" priority="5506" operator="containsText" text="거부">
      <formula>NOT(ISERROR(SEARCH(("거부"),(G38))))</formula>
    </cfRule>
  </conditionalFormatting>
  <conditionalFormatting sqref="G38:G39">
    <cfRule type="containsText" dxfId="1" priority="5507" operator="containsText" text="리턴">
      <formula>NOT(ISERROR(SEARCH(("리턴"),(G38))))</formula>
    </cfRule>
  </conditionalFormatting>
  <conditionalFormatting sqref="G38:G39">
    <cfRule type="containsText" dxfId="2" priority="5508" operator="containsText" text="실패">
      <formula>NOT(ISERROR(SEARCH(("실패"),(G38))))</formula>
    </cfRule>
  </conditionalFormatting>
  <conditionalFormatting sqref="G38:G39">
    <cfRule type="containsText" dxfId="3" priority="5509" operator="containsText" text="관리">
      <formula>NOT(ISERROR(SEARCH(("관리"),(G38))))</formula>
    </cfRule>
  </conditionalFormatting>
  <conditionalFormatting sqref="G38:G39">
    <cfRule type="containsText" dxfId="4" priority="5510" operator="containsText" text="등록">
      <formula>NOT(ISERROR(SEARCH(("등록"),(G38))))</formula>
    </cfRule>
  </conditionalFormatting>
  <conditionalFormatting sqref="G38:G39">
    <cfRule type="containsText" dxfId="0" priority="5511" operator="containsText" text="거부">
      <formula>NOT(ISERROR(SEARCH(("거부"),(G38))))</formula>
    </cfRule>
  </conditionalFormatting>
  <conditionalFormatting sqref="G38:G39">
    <cfRule type="containsText" dxfId="1" priority="5512" operator="containsText" text="리턴">
      <formula>NOT(ISERROR(SEARCH(("리턴"),(G38))))</formula>
    </cfRule>
  </conditionalFormatting>
  <conditionalFormatting sqref="G38:G39">
    <cfRule type="containsText" dxfId="2" priority="5513" operator="containsText" text="실패">
      <formula>NOT(ISERROR(SEARCH(("실패"),(G38))))</formula>
    </cfRule>
  </conditionalFormatting>
  <conditionalFormatting sqref="G38:G39">
    <cfRule type="containsText" dxfId="3" priority="5514" operator="containsText" text="관리">
      <formula>NOT(ISERROR(SEARCH(("관리"),(G38))))</formula>
    </cfRule>
  </conditionalFormatting>
  <conditionalFormatting sqref="G38:G39">
    <cfRule type="containsText" dxfId="4" priority="5515" operator="containsText" text="등록">
      <formula>NOT(ISERROR(SEARCH(("등록"),(G38))))</formula>
    </cfRule>
  </conditionalFormatting>
  <conditionalFormatting sqref="J39">
    <cfRule type="containsText" dxfId="0" priority="5516" operator="containsText" text="거부">
      <formula>NOT(ISERROR(SEARCH(("거부"),(J39))))</formula>
    </cfRule>
  </conditionalFormatting>
  <conditionalFormatting sqref="J39">
    <cfRule type="containsText" dxfId="1" priority="5517" operator="containsText" text="리턴">
      <formula>NOT(ISERROR(SEARCH(("리턴"),(J39))))</formula>
    </cfRule>
  </conditionalFormatting>
  <conditionalFormatting sqref="J39">
    <cfRule type="containsText" dxfId="2" priority="5518" operator="containsText" text="실패">
      <formula>NOT(ISERROR(SEARCH(("실패"),(J39))))</formula>
    </cfRule>
  </conditionalFormatting>
  <conditionalFormatting sqref="J39">
    <cfRule type="containsText" dxfId="3" priority="5519" operator="containsText" text="관리">
      <formula>NOT(ISERROR(SEARCH(("관리"),(J39))))</formula>
    </cfRule>
  </conditionalFormatting>
  <conditionalFormatting sqref="J39">
    <cfRule type="containsText" dxfId="4" priority="5520" operator="containsText" text="등록">
      <formula>NOT(ISERROR(SEARCH(("등록"),(J39))))</formula>
    </cfRule>
  </conditionalFormatting>
  <conditionalFormatting sqref="J39">
    <cfRule type="containsText" dxfId="0" priority="5521" operator="containsText" text="거부">
      <formula>NOT(ISERROR(SEARCH(("거부"),(J39))))</formula>
    </cfRule>
  </conditionalFormatting>
  <conditionalFormatting sqref="J39">
    <cfRule type="containsText" dxfId="1" priority="5522" operator="containsText" text="리턴">
      <formula>NOT(ISERROR(SEARCH(("리턴"),(J39))))</formula>
    </cfRule>
  </conditionalFormatting>
  <conditionalFormatting sqref="J39">
    <cfRule type="containsText" dxfId="2" priority="5523" operator="containsText" text="실패">
      <formula>NOT(ISERROR(SEARCH(("실패"),(J39))))</formula>
    </cfRule>
  </conditionalFormatting>
  <conditionalFormatting sqref="J39">
    <cfRule type="containsText" dxfId="3" priority="5524" operator="containsText" text="관리">
      <formula>NOT(ISERROR(SEARCH(("관리"),(J39))))</formula>
    </cfRule>
  </conditionalFormatting>
  <conditionalFormatting sqref="J39">
    <cfRule type="containsText" dxfId="4" priority="5525" operator="containsText" text="등록">
      <formula>NOT(ISERROR(SEARCH(("등록"),(J39))))</formula>
    </cfRule>
  </conditionalFormatting>
  <conditionalFormatting sqref="J39">
    <cfRule type="containsText" dxfId="0" priority="5526" operator="containsText" text="거부">
      <formula>NOT(ISERROR(SEARCH(("거부"),(J39))))</formula>
    </cfRule>
  </conditionalFormatting>
  <conditionalFormatting sqref="J39">
    <cfRule type="containsText" dxfId="1" priority="5527" operator="containsText" text="리턴">
      <formula>NOT(ISERROR(SEARCH(("리턴"),(J39))))</formula>
    </cfRule>
  </conditionalFormatting>
  <conditionalFormatting sqref="J39">
    <cfRule type="containsText" dxfId="2" priority="5528" operator="containsText" text="실패">
      <formula>NOT(ISERROR(SEARCH(("실패"),(J39))))</formula>
    </cfRule>
  </conditionalFormatting>
  <conditionalFormatting sqref="J39">
    <cfRule type="containsText" dxfId="3" priority="5529" operator="containsText" text="관리">
      <formula>NOT(ISERROR(SEARCH(("관리"),(J39))))</formula>
    </cfRule>
  </conditionalFormatting>
  <conditionalFormatting sqref="J39">
    <cfRule type="containsText" dxfId="4" priority="5530" operator="containsText" text="등록">
      <formula>NOT(ISERROR(SEARCH(("등록"),(J39))))</formula>
    </cfRule>
  </conditionalFormatting>
  <conditionalFormatting sqref="J39">
    <cfRule type="containsText" dxfId="0" priority="5531" operator="containsText" text="거부">
      <formula>NOT(ISERROR(SEARCH(("거부"),(J39))))</formula>
    </cfRule>
  </conditionalFormatting>
  <conditionalFormatting sqref="J39">
    <cfRule type="containsText" dxfId="1" priority="5532" operator="containsText" text="리턴">
      <formula>NOT(ISERROR(SEARCH(("리턴"),(J39))))</formula>
    </cfRule>
  </conditionalFormatting>
  <conditionalFormatting sqref="J39">
    <cfRule type="containsText" dxfId="2" priority="5533" operator="containsText" text="실패">
      <formula>NOT(ISERROR(SEARCH(("실패"),(J39))))</formula>
    </cfRule>
  </conditionalFormatting>
  <conditionalFormatting sqref="J39">
    <cfRule type="containsText" dxfId="3" priority="5534" operator="containsText" text="관리">
      <formula>NOT(ISERROR(SEARCH(("관리"),(J39))))</formula>
    </cfRule>
  </conditionalFormatting>
  <conditionalFormatting sqref="J39">
    <cfRule type="containsText" dxfId="4" priority="5535" operator="containsText" text="등록">
      <formula>NOT(ISERROR(SEARCH(("등록"),(J39))))</formula>
    </cfRule>
  </conditionalFormatting>
  <conditionalFormatting sqref="J39">
    <cfRule type="containsText" dxfId="0" priority="5536" operator="containsText" text="거부">
      <formula>NOT(ISERROR(SEARCH(("거부"),(J39))))</formula>
    </cfRule>
  </conditionalFormatting>
  <conditionalFormatting sqref="J39">
    <cfRule type="containsText" dxfId="1" priority="5537" operator="containsText" text="리턴">
      <formula>NOT(ISERROR(SEARCH(("리턴"),(J39))))</formula>
    </cfRule>
  </conditionalFormatting>
  <conditionalFormatting sqref="J39">
    <cfRule type="containsText" dxfId="2" priority="5538" operator="containsText" text="실패">
      <formula>NOT(ISERROR(SEARCH(("실패"),(J39))))</formula>
    </cfRule>
  </conditionalFormatting>
  <conditionalFormatting sqref="J39">
    <cfRule type="containsText" dxfId="3" priority="5539" operator="containsText" text="관리">
      <formula>NOT(ISERROR(SEARCH(("관리"),(J39))))</formula>
    </cfRule>
  </conditionalFormatting>
  <conditionalFormatting sqref="J39">
    <cfRule type="containsText" dxfId="4" priority="5540" operator="containsText" text="등록">
      <formula>NOT(ISERROR(SEARCH(("등록"),(J39))))</formula>
    </cfRule>
  </conditionalFormatting>
  <conditionalFormatting sqref="J39">
    <cfRule type="containsText" dxfId="0" priority="5541" operator="containsText" text="거부">
      <formula>NOT(ISERROR(SEARCH(("거부"),(J39))))</formula>
    </cfRule>
  </conditionalFormatting>
  <conditionalFormatting sqref="J39">
    <cfRule type="containsText" dxfId="1" priority="5542" operator="containsText" text="리턴">
      <formula>NOT(ISERROR(SEARCH(("리턴"),(J39))))</formula>
    </cfRule>
  </conditionalFormatting>
  <conditionalFormatting sqref="J39">
    <cfRule type="containsText" dxfId="2" priority="5543" operator="containsText" text="실패">
      <formula>NOT(ISERROR(SEARCH(("실패"),(J39))))</formula>
    </cfRule>
  </conditionalFormatting>
  <conditionalFormatting sqref="J39">
    <cfRule type="containsText" dxfId="3" priority="5544" operator="containsText" text="관리">
      <formula>NOT(ISERROR(SEARCH(("관리"),(J39))))</formula>
    </cfRule>
  </conditionalFormatting>
  <conditionalFormatting sqref="J39">
    <cfRule type="containsText" dxfId="4" priority="5545" operator="containsText" text="등록">
      <formula>NOT(ISERROR(SEARCH(("등록"),(J39))))</formula>
    </cfRule>
  </conditionalFormatting>
  <conditionalFormatting sqref="D47">
    <cfRule type="containsText" dxfId="0" priority="5546" operator="containsText" text="거부">
      <formula>NOT(ISERROR(SEARCH(("거부"),(D47))))</formula>
    </cfRule>
  </conditionalFormatting>
  <conditionalFormatting sqref="D47">
    <cfRule type="containsText" dxfId="1" priority="5547" operator="containsText" text="리턴">
      <formula>NOT(ISERROR(SEARCH(("리턴"),(D47))))</formula>
    </cfRule>
  </conditionalFormatting>
  <conditionalFormatting sqref="D47">
    <cfRule type="containsText" dxfId="2" priority="5548" operator="containsText" text="실패">
      <formula>NOT(ISERROR(SEARCH(("실패"),(D47))))</formula>
    </cfRule>
  </conditionalFormatting>
  <conditionalFormatting sqref="D47">
    <cfRule type="containsText" dxfId="3" priority="5549" operator="containsText" text="관리">
      <formula>NOT(ISERROR(SEARCH(("관리"),(D47))))</formula>
    </cfRule>
  </conditionalFormatting>
  <conditionalFormatting sqref="D47">
    <cfRule type="containsText" dxfId="4" priority="5550" operator="containsText" text="등록">
      <formula>NOT(ISERROR(SEARCH(("등록"),(D47))))</formula>
    </cfRule>
  </conditionalFormatting>
  <conditionalFormatting sqref="E47">
    <cfRule type="containsText" dxfId="0" priority="5551" operator="containsText" text="거부">
      <formula>NOT(ISERROR(SEARCH(("거부"),(E47))))</formula>
    </cfRule>
  </conditionalFormatting>
  <conditionalFormatting sqref="E47">
    <cfRule type="containsText" dxfId="1" priority="5552" operator="containsText" text="리턴">
      <formula>NOT(ISERROR(SEARCH(("리턴"),(E47))))</formula>
    </cfRule>
  </conditionalFormatting>
  <conditionalFormatting sqref="E47">
    <cfRule type="containsText" dxfId="2" priority="5553" operator="containsText" text="실패">
      <formula>NOT(ISERROR(SEARCH(("실패"),(E47))))</formula>
    </cfRule>
  </conditionalFormatting>
  <conditionalFormatting sqref="E47">
    <cfRule type="containsText" dxfId="3" priority="5554" operator="containsText" text="관리">
      <formula>NOT(ISERROR(SEARCH(("관리"),(E47))))</formula>
    </cfRule>
  </conditionalFormatting>
  <conditionalFormatting sqref="E47">
    <cfRule type="containsText" dxfId="4" priority="5555" operator="containsText" text="등록">
      <formula>NOT(ISERROR(SEARCH(("등록"),(E47))))</formula>
    </cfRule>
  </conditionalFormatting>
  <conditionalFormatting sqref="E47">
    <cfRule type="containsText" dxfId="0" priority="5556" operator="containsText" text="거부">
      <formula>NOT(ISERROR(SEARCH(("거부"),(E47))))</formula>
    </cfRule>
  </conditionalFormatting>
  <conditionalFormatting sqref="E47">
    <cfRule type="containsText" dxfId="1" priority="5557" operator="containsText" text="리턴">
      <formula>NOT(ISERROR(SEARCH(("리턴"),(E47))))</formula>
    </cfRule>
  </conditionalFormatting>
  <conditionalFormatting sqref="E47">
    <cfRule type="containsText" dxfId="2" priority="5558" operator="containsText" text="실패">
      <formula>NOT(ISERROR(SEARCH(("실패"),(E47))))</formula>
    </cfRule>
  </conditionalFormatting>
  <conditionalFormatting sqref="E47">
    <cfRule type="containsText" dxfId="3" priority="5559" operator="containsText" text="관리">
      <formula>NOT(ISERROR(SEARCH(("관리"),(E47))))</formula>
    </cfRule>
  </conditionalFormatting>
  <conditionalFormatting sqref="E47">
    <cfRule type="containsText" dxfId="4" priority="5560" operator="containsText" text="등록">
      <formula>NOT(ISERROR(SEARCH(("등록"),(E47))))</formula>
    </cfRule>
  </conditionalFormatting>
  <conditionalFormatting sqref="G47">
    <cfRule type="containsText" dxfId="0" priority="5561" operator="containsText" text="거부">
      <formula>NOT(ISERROR(SEARCH(("거부"),(G47))))</formula>
    </cfRule>
  </conditionalFormatting>
  <conditionalFormatting sqref="G47">
    <cfRule type="containsText" dxfId="1" priority="5562" operator="containsText" text="리턴">
      <formula>NOT(ISERROR(SEARCH(("리턴"),(G47))))</formula>
    </cfRule>
  </conditionalFormatting>
  <conditionalFormatting sqref="G47">
    <cfRule type="containsText" dxfId="2" priority="5563" operator="containsText" text="실패">
      <formula>NOT(ISERROR(SEARCH(("실패"),(G47))))</formula>
    </cfRule>
  </conditionalFormatting>
  <conditionalFormatting sqref="G47">
    <cfRule type="containsText" dxfId="3" priority="5564" operator="containsText" text="관리">
      <formula>NOT(ISERROR(SEARCH(("관리"),(G47))))</formula>
    </cfRule>
  </conditionalFormatting>
  <conditionalFormatting sqref="G47">
    <cfRule type="containsText" dxfId="4" priority="5565" operator="containsText" text="등록">
      <formula>NOT(ISERROR(SEARCH(("등록"),(G47))))</formula>
    </cfRule>
  </conditionalFormatting>
  <conditionalFormatting sqref="J47">
    <cfRule type="containsText" dxfId="0" priority="5566" operator="containsText" text="거부">
      <formula>NOT(ISERROR(SEARCH(("거부"),(J47))))</formula>
    </cfRule>
  </conditionalFormatting>
  <conditionalFormatting sqref="J47">
    <cfRule type="containsText" dxfId="1" priority="5567" operator="containsText" text="리턴">
      <formula>NOT(ISERROR(SEARCH(("리턴"),(J47))))</formula>
    </cfRule>
  </conditionalFormatting>
  <conditionalFormatting sqref="J47">
    <cfRule type="containsText" dxfId="2" priority="5568" operator="containsText" text="실패">
      <formula>NOT(ISERROR(SEARCH(("실패"),(J47))))</formula>
    </cfRule>
  </conditionalFormatting>
  <conditionalFormatting sqref="J47">
    <cfRule type="containsText" dxfId="3" priority="5569" operator="containsText" text="관리">
      <formula>NOT(ISERROR(SEARCH(("관리"),(J47))))</formula>
    </cfRule>
  </conditionalFormatting>
  <conditionalFormatting sqref="J47">
    <cfRule type="containsText" dxfId="4" priority="5570" operator="containsText" text="등록">
      <formula>NOT(ISERROR(SEARCH(("등록"),(J47))))</formula>
    </cfRule>
  </conditionalFormatting>
  <conditionalFormatting sqref="J47">
    <cfRule type="containsText" dxfId="0" priority="5571" operator="containsText" text="거부">
      <formula>NOT(ISERROR(SEARCH(("거부"),(J47))))</formula>
    </cfRule>
  </conditionalFormatting>
  <conditionalFormatting sqref="J47">
    <cfRule type="containsText" dxfId="1" priority="5572" operator="containsText" text="리턴">
      <formula>NOT(ISERROR(SEARCH(("리턴"),(J47))))</formula>
    </cfRule>
  </conditionalFormatting>
  <conditionalFormatting sqref="J47">
    <cfRule type="containsText" dxfId="2" priority="5573" operator="containsText" text="실패">
      <formula>NOT(ISERROR(SEARCH(("실패"),(J47))))</formula>
    </cfRule>
  </conditionalFormatting>
  <conditionalFormatting sqref="J47">
    <cfRule type="containsText" dxfId="3" priority="5574" operator="containsText" text="관리">
      <formula>NOT(ISERROR(SEARCH(("관리"),(J47))))</formula>
    </cfRule>
  </conditionalFormatting>
  <conditionalFormatting sqref="J47">
    <cfRule type="containsText" dxfId="4" priority="5575" operator="containsText" text="등록">
      <formula>NOT(ISERROR(SEARCH(("등록"),(J47))))</formula>
    </cfRule>
  </conditionalFormatting>
  <conditionalFormatting sqref="J47">
    <cfRule type="containsText" dxfId="0" priority="5576" operator="containsText" text="거부">
      <formula>NOT(ISERROR(SEARCH(("거부"),(J47))))</formula>
    </cfRule>
  </conditionalFormatting>
  <conditionalFormatting sqref="J47">
    <cfRule type="containsText" dxfId="1" priority="5577" operator="containsText" text="리턴">
      <formula>NOT(ISERROR(SEARCH(("리턴"),(J47))))</formula>
    </cfRule>
  </conditionalFormatting>
  <conditionalFormatting sqref="J47">
    <cfRule type="containsText" dxfId="2" priority="5578" operator="containsText" text="실패">
      <formula>NOT(ISERROR(SEARCH(("실패"),(J47))))</formula>
    </cfRule>
  </conditionalFormatting>
  <conditionalFormatting sqref="J47">
    <cfRule type="containsText" dxfId="3" priority="5579" operator="containsText" text="관리">
      <formula>NOT(ISERROR(SEARCH(("관리"),(J47))))</formula>
    </cfRule>
  </conditionalFormatting>
  <conditionalFormatting sqref="J47">
    <cfRule type="containsText" dxfId="4" priority="5580" operator="containsText" text="등록">
      <formula>NOT(ISERROR(SEARCH(("등록"),(J47))))</formula>
    </cfRule>
  </conditionalFormatting>
  <conditionalFormatting sqref="A49">
    <cfRule type="containsText" dxfId="0" priority="5581" operator="containsText" text="거부">
      <formula>NOT(ISERROR(SEARCH(("거부"),(A49))))</formula>
    </cfRule>
  </conditionalFormatting>
  <conditionalFormatting sqref="A49">
    <cfRule type="containsText" dxfId="1" priority="5582" operator="containsText" text="리턴">
      <formula>NOT(ISERROR(SEARCH(("리턴"),(A49))))</formula>
    </cfRule>
  </conditionalFormatting>
  <conditionalFormatting sqref="A49">
    <cfRule type="containsText" dxfId="2" priority="5583" operator="containsText" text="실패">
      <formula>NOT(ISERROR(SEARCH(("실패"),(A49))))</formula>
    </cfRule>
  </conditionalFormatting>
  <conditionalFormatting sqref="A49">
    <cfRule type="containsText" dxfId="3" priority="5584" operator="containsText" text="관리">
      <formula>NOT(ISERROR(SEARCH(("관리"),(A49))))</formula>
    </cfRule>
  </conditionalFormatting>
  <conditionalFormatting sqref="A49">
    <cfRule type="containsText" dxfId="4" priority="5585" operator="containsText" text="등록">
      <formula>NOT(ISERROR(SEARCH(("등록"),(A49))))</formula>
    </cfRule>
  </conditionalFormatting>
  <conditionalFormatting sqref="A49">
    <cfRule type="containsText" dxfId="0" priority="5586" operator="containsText" text="거부">
      <formula>NOT(ISERROR(SEARCH(("거부"),(A49))))</formula>
    </cfRule>
  </conditionalFormatting>
  <conditionalFormatting sqref="A49">
    <cfRule type="containsText" dxfId="1" priority="5587" operator="containsText" text="리턴">
      <formula>NOT(ISERROR(SEARCH(("리턴"),(A49))))</formula>
    </cfRule>
  </conditionalFormatting>
  <conditionalFormatting sqref="A49">
    <cfRule type="containsText" dxfId="2" priority="5588" operator="containsText" text="실패">
      <formula>NOT(ISERROR(SEARCH(("실패"),(A49))))</formula>
    </cfRule>
  </conditionalFormatting>
  <conditionalFormatting sqref="A49">
    <cfRule type="containsText" dxfId="3" priority="5589" operator="containsText" text="관리">
      <formula>NOT(ISERROR(SEARCH(("관리"),(A49))))</formula>
    </cfRule>
  </conditionalFormatting>
  <conditionalFormatting sqref="A49">
    <cfRule type="containsText" dxfId="4" priority="5590" operator="containsText" text="등록">
      <formula>NOT(ISERROR(SEARCH(("등록"),(A49))))</formula>
    </cfRule>
  </conditionalFormatting>
  <conditionalFormatting sqref="A49">
    <cfRule type="containsText" dxfId="0" priority="5591" operator="containsText" text="거부">
      <formula>NOT(ISERROR(SEARCH(("거부"),(A49))))</formula>
    </cfRule>
  </conditionalFormatting>
  <conditionalFormatting sqref="A49">
    <cfRule type="containsText" dxfId="1" priority="5592" operator="containsText" text="리턴">
      <formula>NOT(ISERROR(SEARCH(("리턴"),(A49))))</formula>
    </cfRule>
  </conditionalFormatting>
  <conditionalFormatting sqref="A49">
    <cfRule type="containsText" dxfId="2" priority="5593" operator="containsText" text="실패">
      <formula>NOT(ISERROR(SEARCH(("실패"),(A49))))</formula>
    </cfRule>
  </conditionalFormatting>
  <conditionalFormatting sqref="A49">
    <cfRule type="containsText" dxfId="3" priority="5594" operator="containsText" text="관리">
      <formula>NOT(ISERROR(SEARCH(("관리"),(A49))))</formula>
    </cfRule>
  </conditionalFormatting>
  <conditionalFormatting sqref="A49">
    <cfRule type="containsText" dxfId="4" priority="5595" operator="containsText" text="등록">
      <formula>NOT(ISERROR(SEARCH(("등록"),(A49))))</formula>
    </cfRule>
  </conditionalFormatting>
  <conditionalFormatting sqref="A49">
    <cfRule type="containsText" dxfId="0" priority="5596" operator="containsText" text="거부">
      <formula>NOT(ISERROR(SEARCH(("거부"),(A49))))</formula>
    </cfRule>
  </conditionalFormatting>
  <conditionalFormatting sqref="A49">
    <cfRule type="containsText" dxfId="1" priority="5597" operator="containsText" text="리턴">
      <formula>NOT(ISERROR(SEARCH(("리턴"),(A49))))</formula>
    </cfRule>
  </conditionalFormatting>
  <conditionalFormatting sqref="A49">
    <cfRule type="containsText" dxfId="2" priority="5598" operator="containsText" text="실패">
      <formula>NOT(ISERROR(SEARCH(("실패"),(A49))))</formula>
    </cfRule>
  </conditionalFormatting>
  <conditionalFormatting sqref="A49">
    <cfRule type="containsText" dxfId="3" priority="5599" operator="containsText" text="관리">
      <formula>NOT(ISERROR(SEARCH(("관리"),(A49))))</formula>
    </cfRule>
  </conditionalFormatting>
  <conditionalFormatting sqref="A49">
    <cfRule type="containsText" dxfId="4" priority="5600" operator="containsText" text="등록">
      <formula>NOT(ISERROR(SEARCH(("등록"),(A49))))</formula>
    </cfRule>
  </conditionalFormatting>
  <conditionalFormatting sqref="D49">
    <cfRule type="containsText" dxfId="0" priority="5601" operator="containsText" text="거부">
      <formula>NOT(ISERROR(SEARCH(("거부"),(D49))))</formula>
    </cfRule>
  </conditionalFormatting>
  <conditionalFormatting sqref="D49">
    <cfRule type="containsText" dxfId="1" priority="5602" operator="containsText" text="리턴">
      <formula>NOT(ISERROR(SEARCH(("리턴"),(D49))))</formula>
    </cfRule>
  </conditionalFormatting>
  <conditionalFormatting sqref="D49">
    <cfRule type="containsText" dxfId="2" priority="5603" operator="containsText" text="실패">
      <formula>NOT(ISERROR(SEARCH(("실패"),(D49))))</formula>
    </cfRule>
  </conditionalFormatting>
  <conditionalFormatting sqref="D49">
    <cfRule type="containsText" dxfId="3" priority="5604" operator="containsText" text="관리">
      <formula>NOT(ISERROR(SEARCH(("관리"),(D49))))</formula>
    </cfRule>
  </conditionalFormatting>
  <conditionalFormatting sqref="D49">
    <cfRule type="containsText" dxfId="4" priority="5605" operator="containsText" text="등록">
      <formula>NOT(ISERROR(SEARCH(("등록"),(D49))))</formula>
    </cfRule>
  </conditionalFormatting>
  <conditionalFormatting sqref="D49">
    <cfRule type="containsText" dxfId="0" priority="5606" operator="containsText" text="거부">
      <formula>NOT(ISERROR(SEARCH(("거부"),(D49))))</formula>
    </cfRule>
  </conditionalFormatting>
  <conditionalFormatting sqref="D49">
    <cfRule type="containsText" dxfId="1" priority="5607" operator="containsText" text="리턴">
      <formula>NOT(ISERROR(SEARCH(("리턴"),(D49))))</formula>
    </cfRule>
  </conditionalFormatting>
  <conditionalFormatting sqref="D49">
    <cfRule type="containsText" dxfId="2" priority="5608" operator="containsText" text="실패">
      <formula>NOT(ISERROR(SEARCH(("실패"),(D49))))</formula>
    </cfRule>
  </conditionalFormatting>
  <conditionalFormatting sqref="D49">
    <cfRule type="containsText" dxfId="3" priority="5609" operator="containsText" text="관리">
      <formula>NOT(ISERROR(SEARCH(("관리"),(D49))))</formula>
    </cfRule>
  </conditionalFormatting>
  <conditionalFormatting sqref="D49">
    <cfRule type="containsText" dxfId="4" priority="5610" operator="containsText" text="등록">
      <formula>NOT(ISERROR(SEARCH(("등록"),(D49))))</formula>
    </cfRule>
  </conditionalFormatting>
  <conditionalFormatting sqref="D49">
    <cfRule type="containsText" dxfId="0" priority="5611" operator="containsText" text="거부">
      <formula>NOT(ISERROR(SEARCH(("거부"),(D49))))</formula>
    </cfRule>
  </conditionalFormatting>
  <conditionalFormatting sqref="D49">
    <cfRule type="containsText" dxfId="1" priority="5612" operator="containsText" text="리턴">
      <formula>NOT(ISERROR(SEARCH(("리턴"),(D49))))</formula>
    </cfRule>
  </conditionalFormatting>
  <conditionalFormatting sqref="D49">
    <cfRule type="containsText" dxfId="2" priority="5613" operator="containsText" text="실패">
      <formula>NOT(ISERROR(SEARCH(("실패"),(D49))))</formula>
    </cfRule>
  </conditionalFormatting>
  <conditionalFormatting sqref="D49">
    <cfRule type="containsText" dxfId="3" priority="5614" operator="containsText" text="관리">
      <formula>NOT(ISERROR(SEARCH(("관리"),(D49))))</formula>
    </cfRule>
  </conditionalFormatting>
  <conditionalFormatting sqref="D49">
    <cfRule type="containsText" dxfId="4" priority="5615" operator="containsText" text="등록">
      <formula>NOT(ISERROR(SEARCH(("등록"),(D49))))</formula>
    </cfRule>
  </conditionalFormatting>
  <conditionalFormatting sqref="D49">
    <cfRule type="containsText" dxfId="0" priority="5616" operator="containsText" text="거부">
      <formula>NOT(ISERROR(SEARCH(("거부"),(D49))))</formula>
    </cfRule>
  </conditionalFormatting>
  <conditionalFormatting sqref="D49">
    <cfRule type="containsText" dxfId="1" priority="5617" operator="containsText" text="리턴">
      <formula>NOT(ISERROR(SEARCH(("리턴"),(D49))))</formula>
    </cfRule>
  </conditionalFormatting>
  <conditionalFormatting sqref="D49">
    <cfRule type="containsText" dxfId="2" priority="5618" operator="containsText" text="실패">
      <formula>NOT(ISERROR(SEARCH(("실패"),(D49))))</formula>
    </cfRule>
  </conditionalFormatting>
  <conditionalFormatting sqref="D49">
    <cfRule type="containsText" dxfId="3" priority="5619" operator="containsText" text="관리">
      <formula>NOT(ISERROR(SEARCH(("관리"),(D49))))</formula>
    </cfRule>
  </conditionalFormatting>
  <conditionalFormatting sqref="D49">
    <cfRule type="containsText" dxfId="4" priority="5620" operator="containsText" text="등록">
      <formula>NOT(ISERROR(SEARCH(("등록"),(D49))))</formula>
    </cfRule>
  </conditionalFormatting>
  <conditionalFormatting sqref="D49">
    <cfRule type="containsText" dxfId="0" priority="5621" operator="containsText" text="거부">
      <formula>NOT(ISERROR(SEARCH(("거부"),(D49))))</formula>
    </cfRule>
  </conditionalFormatting>
  <conditionalFormatting sqref="D49">
    <cfRule type="containsText" dxfId="1" priority="5622" operator="containsText" text="리턴">
      <formula>NOT(ISERROR(SEARCH(("리턴"),(D49))))</formula>
    </cfRule>
  </conditionalFormatting>
  <conditionalFormatting sqref="D49">
    <cfRule type="containsText" dxfId="2" priority="5623" operator="containsText" text="실패">
      <formula>NOT(ISERROR(SEARCH(("실패"),(D49))))</formula>
    </cfRule>
  </conditionalFormatting>
  <conditionalFormatting sqref="D49">
    <cfRule type="containsText" dxfId="3" priority="5624" operator="containsText" text="관리">
      <formula>NOT(ISERROR(SEARCH(("관리"),(D49))))</formula>
    </cfRule>
  </conditionalFormatting>
  <conditionalFormatting sqref="D49">
    <cfRule type="containsText" dxfId="4" priority="5625" operator="containsText" text="등록">
      <formula>NOT(ISERROR(SEARCH(("등록"),(D49))))</formula>
    </cfRule>
  </conditionalFormatting>
  <conditionalFormatting sqref="D49">
    <cfRule type="containsText" dxfId="0" priority="5626" operator="containsText" text="거부">
      <formula>NOT(ISERROR(SEARCH(("거부"),(D49))))</formula>
    </cfRule>
  </conditionalFormatting>
  <conditionalFormatting sqref="D49">
    <cfRule type="containsText" dxfId="1" priority="5627" operator="containsText" text="리턴">
      <formula>NOT(ISERROR(SEARCH(("리턴"),(D49))))</formula>
    </cfRule>
  </conditionalFormatting>
  <conditionalFormatting sqref="D49">
    <cfRule type="containsText" dxfId="2" priority="5628" operator="containsText" text="실패">
      <formula>NOT(ISERROR(SEARCH(("실패"),(D49))))</formula>
    </cfRule>
  </conditionalFormatting>
  <conditionalFormatting sqref="D49">
    <cfRule type="containsText" dxfId="3" priority="5629" operator="containsText" text="관리">
      <formula>NOT(ISERROR(SEARCH(("관리"),(D49))))</formula>
    </cfRule>
  </conditionalFormatting>
  <conditionalFormatting sqref="D49">
    <cfRule type="containsText" dxfId="4" priority="5630" operator="containsText" text="등록">
      <formula>NOT(ISERROR(SEARCH(("등록"),(D49))))</formula>
    </cfRule>
  </conditionalFormatting>
  <conditionalFormatting sqref="D49">
    <cfRule type="containsText" dxfId="0" priority="5631" operator="containsText" text="거부">
      <formula>NOT(ISERROR(SEARCH(("거부"),(D49))))</formula>
    </cfRule>
  </conditionalFormatting>
  <conditionalFormatting sqref="D49">
    <cfRule type="containsText" dxfId="1" priority="5632" operator="containsText" text="리턴">
      <formula>NOT(ISERROR(SEARCH(("리턴"),(D49))))</formula>
    </cfRule>
  </conditionalFormatting>
  <conditionalFormatting sqref="D49">
    <cfRule type="containsText" dxfId="2" priority="5633" operator="containsText" text="실패">
      <formula>NOT(ISERROR(SEARCH(("실패"),(D49))))</formula>
    </cfRule>
  </conditionalFormatting>
  <conditionalFormatting sqref="D49">
    <cfRule type="containsText" dxfId="3" priority="5634" operator="containsText" text="관리">
      <formula>NOT(ISERROR(SEARCH(("관리"),(D49))))</formula>
    </cfRule>
  </conditionalFormatting>
  <conditionalFormatting sqref="D49">
    <cfRule type="containsText" dxfId="4" priority="5635" operator="containsText" text="등록">
      <formula>NOT(ISERROR(SEARCH(("등록"),(D49))))</formula>
    </cfRule>
  </conditionalFormatting>
  <conditionalFormatting sqref="D49">
    <cfRule type="containsText" dxfId="0" priority="5636" operator="containsText" text="거부">
      <formula>NOT(ISERROR(SEARCH(("거부"),(D49))))</formula>
    </cfRule>
  </conditionalFormatting>
  <conditionalFormatting sqref="D49">
    <cfRule type="containsText" dxfId="1" priority="5637" operator="containsText" text="리턴">
      <formula>NOT(ISERROR(SEARCH(("리턴"),(D49))))</formula>
    </cfRule>
  </conditionalFormatting>
  <conditionalFormatting sqref="D49">
    <cfRule type="containsText" dxfId="2" priority="5638" operator="containsText" text="실패">
      <formula>NOT(ISERROR(SEARCH(("실패"),(D49))))</formula>
    </cfRule>
  </conditionalFormatting>
  <conditionalFormatting sqref="D49">
    <cfRule type="containsText" dxfId="3" priority="5639" operator="containsText" text="관리">
      <formula>NOT(ISERROR(SEARCH(("관리"),(D49))))</formula>
    </cfRule>
  </conditionalFormatting>
  <conditionalFormatting sqref="D49">
    <cfRule type="containsText" dxfId="4" priority="5640" operator="containsText" text="등록">
      <formula>NOT(ISERROR(SEARCH(("등록"),(D49))))</formula>
    </cfRule>
  </conditionalFormatting>
  <conditionalFormatting sqref="D49">
    <cfRule type="containsText" dxfId="0" priority="5641" operator="containsText" text="거부">
      <formula>NOT(ISERROR(SEARCH(("거부"),(D49))))</formula>
    </cfRule>
  </conditionalFormatting>
  <conditionalFormatting sqref="D49">
    <cfRule type="containsText" dxfId="1" priority="5642" operator="containsText" text="리턴">
      <formula>NOT(ISERROR(SEARCH(("리턴"),(D49))))</formula>
    </cfRule>
  </conditionalFormatting>
  <conditionalFormatting sqref="D49">
    <cfRule type="containsText" dxfId="2" priority="5643" operator="containsText" text="실패">
      <formula>NOT(ISERROR(SEARCH(("실패"),(D49))))</formula>
    </cfRule>
  </conditionalFormatting>
  <conditionalFormatting sqref="D49">
    <cfRule type="containsText" dxfId="3" priority="5644" operator="containsText" text="관리">
      <formula>NOT(ISERROR(SEARCH(("관리"),(D49))))</formula>
    </cfRule>
  </conditionalFormatting>
  <conditionalFormatting sqref="D49">
    <cfRule type="containsText" dxfId="4" priority="5645" operator="containsText" text="등록">
      <formula>NOT(ISERROR(SEARCH(("등록"),(D49))))</formula>
    </cfRule>
  </conditionalFormatting>
  <conditionalFormatting sqref="D49">
    <cfRule type="containsText" dxfId="0" priority="5646" operator="containsText" text="거부">
      <formula>NOT(ISERROR(SEARCH(("거부"),(D49))))</formula>
    </cfRule>
  </conditionalFormatting>
  <conditionalFormatting sqref="D49">
    <cfRule type="containsText" dxfId="1" priority="5647" operator="containsText" text="리턴">
      <formula>NOT(ISERROR(SEARCH(("리턴"),(D49))))</formula>
    </cfRule>
  </conditionalFormatting>
  <conditionalFormatting sqref="D49">
    <cfRule type="containsText" dxfId="2" priority="5648" operator="containsText" text="실패">
      <formula>NOT(ISERROR(SEARCH(("실패"),(D49))))</formula>
    </cfRule>
  </conditionalFormatting>
  <conditionalFormatting sqref="D49">
    <cfRule type="containsText" dxfId="3" priority="5649" operator="containsText" text="관리">
      <formula>NOT(ISERROR(SEARCH(("관리"),(D49))))</formula>
    </cfRule>
  </conditionalFormatting>
  <conditionalFormatting sqref="D49">
    <cfRule type="containsText" dxfId="4" priority="5650" operator="containsText" text="등록">
      <formula>NOT(ISERROR(SEARCH(("등록"),(D49))))</formula>
    </cfRule>
  </conditionalFormatting>
  <conditionalFormatting sqref="D49">
    <cfRule type="containsText" dxfId="0" priority="5651" operator="containsText" text="거부">
      <formula>NOT(ISERROR(SEARCH(("거부"),(D49))))</formula>
    </cfRule>
  </conditionalFormatting>
  <conditionalFormatting sqref="D49">
    <cfRule type="containsText" dxfId="1" priority="5652" operator="containsText" text="리턴">
      <formula>NOT(ISERROR(SEARCH(("리턴"),(D49))))</formula>
    </cfRule>
  </conditionalFormatting>
  <conditionalFormatting sqref="D49">
    <cfRule type="containsText" dxfId="2" priority="5653" operator="containsText" text="실패">
      <formula>NOT(ISERROR(SEARCH(("실패"),(D49))))</formula>
    </cfRule>
  </conditionalFormatting>
  <conditionalFormatting sqref="D49">
    <cfRule type="containsText" dxfId="3" priority="5654" operator="containsText" text="관리">
      <formula>NOT(ISERROR(SEARCH(("관리"),(D49))))</formula>
    </cfRule>
  </conditionalFormatting>
  <conditionalFormatting sqref="D49">
    <cfRule type="containsText" dxfId="4" priority="5655" operator="containsText" text="등록">
      <formula>NOT(ISERROR(SEARCH(("등록"),(D49))))</formula>
    </cfRule>
  </conditionalFormatting>
  <conditionalFormatting sqref="D49">
    <cfRule type="containsText" dxfId="0" priority="5656" operator="containsText" text="거부">
      <formula>NOT(ISERROR(SEARCH(("거부"),(D49))))</formula>
    </cfRule>
  </conditionalFormatting>
  <conditionalFormatting sqref="D49">
    <cfRule type="containsText" dxfId="1" priority="5657" operator="containsText" text="리턴">
      <formula>NOT(ISERROR(SEARCH(("리턴"),(D49))))</formula>
    </cfRule>
  </conditionalFormatting>
  <conditionalFormatting sqref="D49">
    <cfRule type="containsText" dxfId="2" priority="5658" operator="containsText" text="실패">
      <formula>NOT(ISERROR(SEARCH(("실패"),(D49))))</formula>
    </cfRule>
  </conditionalFormatting>
  <conditionalFormatting sqref="D49">
    <cfRule type="containsText" dxfId="3" priority="5659" operator="containsText" text="관리">
      <formula>NOT(ISERROR(SEARCH(("관리"),(D49))))</formula>
    </cfRule>
  </conditionalFormatting>
  <conditionalFormatting sqref="D49">
    <cfRule type="containsText" dxfId="4" priority="5660" operator="containsText" text="등록">
      <formula>NOT(ISERROR(SEARCH(("등록"),(D49))))</formula>
    </cfRule>
  </conditionalFormatting>
  <conditionalFormatting sqref="D49">
    <cfRule type="containsText" dxfId="0" priority="5661" operator="containsText" text="거부">
      <formula>NOT(ISERROR(SEARCH(("거부"),(D49))))</formula>
    </cfRule>
  </conditionalFormatting>
  <conditionalFormatting sqref="D49">
    <cfRule type="containsText" dxfId="1" priority="5662" operator="containsText" text="리턴">
      <formula>NOT(ISERROR(SEARCH(("리턴"),(D49))))</formula>
    </cfRule>
  </conditionalFormatting>
  <conditionalFormatting sqref="D49">
    <cfRule type="containsText" dxfId="2" priority="5663" operator="containsText" text="실패">
      <formula>NOT(ISERROR(SEARCH(("실패"),(D49))))</formula>
    </cfRule>
  </conditionalFormatting>
  <conditionalFormatting sqref="D49">
    <cfRule type="containsText" dxfId="3" priority="5664" operator="containsText" text="관리">
      <formula>NOT(ISERROR(SEARCH(("관리"),(D49))))</formula>
    </cfRule>
  </conditionalFormatting>
  <conditionalFormatting sqref="D49">
    <cfRule type="containsText" dxfId="4" priority="5665" operator="containsText" text="등록">
      <formula>NOT(ISERROR(SEARCH(("등록"),(D49))))</formula>
    </cfRule>
  </conditionalFormatting>
  <conditionalFormatting sqref="D49">
    <cfRule type="containsText" dxfId="0" priority="5666" operator="containsText" text="거부">
      <formula>NOT(ISERROR(SEARCH(("거부"),(D49))))</formula>
    </cfRule>
  </conditionalFormatting>
  <conditionalFormatting sqref="D49">
    <cfRule type="containsText" dxfId="1" priority="5667" operator="containsText" text="리턴">
      <formula>NOT(ISERROR(SEARCH(("리턴"),(D49))))</formula>
    </cfRule>
  </conditionalFormatting>
  <conditionalFormatting sqref="D49">
    <cfRule type="containsText" dxfId="2" priority="5668" operator="containsText" text="실패">
      <formula>NOT(ISERROR(SEARCH(("실패"),(D49))))</formula>
    </cfRule>
  </conditionalFormatting>
  <conditionalFormatting sqref="D49">
    <cfRule type="containsText" dxfId="3" priority="5669" operator="containsText" text="관리">
      <formula>NOT(ISERROR(SEARCH(("관리"),(D49))))</formula>
    </cfRule>
  </conditionalFormatting>
  <conditionalFormatting sqref="D49">
    <cfRule type="containsText" dxfId="4" priority="5670" operator="containsText" text="등록">
      <formula>NOT(ISERROR(SEARCH(("등록"),(D49))))</formula>
    </cfRule>
  </conditionalFormatting>
  <conditionalFormatting sqref="D49">
    <cfRule type="containsText" dxfId="0" priority="5671" operator="containsText" text="거부">
      <formula>NOT(ISERROR(SEARCH(("거부"),(D49))))</formula>
    </cfRule>
  </conditionalFormatting>
  <conditionalFormatting sqref="D49">
    <cfRule type="containsText" dxfId="1" priority="5672" operator="containsText" text="리턴">
      <formula>NOT(ISERROR(SEARCH(("리턴"),(D49))))</formula>
    </cfRule>
  </conditionalFormatting>
  <conditionalFormatting sqref="D49">
    <cfRule type="containsText" dxfId="2" priority="5673" operator="containsText" text="실패">
      <formula>NOT(ISERROR(SEARCH(("실패"),(D49))))</formula>
    </cfRule>
  </conditionalFormatting>
  <conditionalFormatting sqref="D49">
    <cfRule type="containsText" dxfId="3" priority="5674" operator="containsText" text="관리">
      <formula>NOT(ISERROR(SEARCH(("관리"),(D49))))</formula>
    </cfRule>
  </conditionalFormatting>
  <conditionalFormatting sqref="D49">
    <cfRule type="containsText" dxfId="4" priority="5675" operator="containsText" text="등록">
      <formula>NOT(ISERROR(SEARCH(("등록"),(D49))))</formula>
    </cfRule>
  </conditionalFormatting>
  <conditionalFormatting sqref="D49">
    <cfRule type="containsText" dxfId="0" priority="5676" operator="containsText" text="거부">
      <formula>NOT(ISERROR(SEARCH(("거부"),(D49))))</formula>
    </cfRule>
  </conditionalFormatting>
  <conditionalFormatting sqref="D49">
    <cfRule type="containsText" dxfId="1" priority="5677" operator="containsText" text="리턴">
      <formula>NOT(ISERROR(SEARCH(("리턴"),(D49))))</formula>
    </cfRule>
  </conditionalFormatting>
  <conditionalFormatting sqref="D49">
    <cfRule type="containsText" dxfId="2" priority="5678" operator="containsText" text="실패">
      <formula>NOT(ISERROR(SEARCH(("실패"),(D49))))</formula>
    </cfRule>
  </conditionalFormatting>
  <conditionalFormatting sqref="D49">
    <cfRule type="containsText" dxfId="3" priority="5679" operator="containsText" text="관리">
      <formula>NOT(ISERROR(SEARCH(("관리"),(D49))))</formula>
    </cfRule>
  </conditionalFormatting>
  <conditionalFormatting sqref="D49">
    <cfRule type="containsText" dxfId="4" priority="5680" operator="containsText" text="등록">
      <formula>NOT(ISERROR(SEARCH(("등록"),(D49))))</formula>
    </cfRule>
  </conditionalFormatting>
  <conditionalFormatting sqref="D49">
    <cfRule type="containsText" dxfId="0" priority="5681" operator="containsText" text="거부">
      <formula>NOT(ISERROR(SEARCH(("거부"),(D49))))</formula>
    </cfRule>
  </conditionalFormatting>
  <conditionalFormatting sqref="D49">
    <cfRule type="containsText" dxfId="1" priority="5682" operator="containsText" text="리턴">
      <formula>NOT(ISERROR(SEARCH(("리턴"),(D49))))</formula>
    </cfRule>
  </conditionalFormatting>
  <conditionalFormatting sqref="D49">
    <cfRule type="containsText" dxfId="2" priority="5683" operator="containsText" text="실패">
      <formula>NOT(ISERROR(SEARCH(("실패"),(D49))))</formula>
    </cfRule>
  </conditionalFormatting>
  <conditionalFormatting sqref="D49">
    <cfRule type="containsText" dxfId="3" priority="5684" operator="containsText" text="관리">
      <formula>NOT(ISERROR(SEARCH(("관리"),(D49))))</formula>
    </cfRule>
  </conditionalFormatting>
  <conditionalFormatting sqref="D49">
    <cfRule type="containsText" dxfId="4" priority="5685" operator="containsText" text="등록">
      <formula>NOT(ISERROR(SEARCH(("등록"),(D49))))</formula>
    </cfRule>
  </conditionalFormatting>
  <conditionalFormatting sqref="D49">
    <cfRule type="containsText" dxfId="0" priority="5686" operator="containsText" text="거부">
      <formula>NOT(ISERROR(SEARCH(("거부"),(D49))))</formula>
    </cfRule>
  </conditionalFormatting>
  <conditionalFormatting sqref="D49">
    <cfRule type="containsText" dxfId="1" priority="5687" operator="containsText" text="리턴">
      <formula>NOT(ISERROR(SEARCH(("리턴"),(D49))))</formula>
    </cfRule>
  </conditionalFormatting>
  <conditionalFormatting sqref="D49">
    <cfRule type="containsText" dxfId="2" priority="5688" operator="containsText" text="실패">
      <formula>NOT(ISERROR(SEARCH(("실패"),(D49))))</formula>
    </cfRule>
  </conditionalFormatting>
  <conditionalFormatting sqref="D49">
    <cfRule type="containsText" dxfId="3" priority="5689" operator="containsText" text="관리">
      <formula>NOT(ISERROR(SEARCH(("관리"),(D49))))</formula>
    </cfRule>
  </conditionalFormatting>
  <conditionalFormatting sqref="D49">
    <cfRule type="containsText" dxfId="4" priority="5690" operator="containsText" text="등록">
      <formula>NOT(ISERROR(SEARCH(("등록"),(D49))))</formula>
    </cfRule>
  </conditionalFormatting>
  <conditionalFormatting sqref="D49">
    <cfRule type="containsText" dxfId="0" priority="5691" operator="containsText" text="거부">
      <formula>NOT(ISERROR(SEARCH(("거부"),(D49))))</formula>
    </cfRule>
  </conditionalFormatting>
  <conditionalFormatting sqref="D49">
    <cfRule type="containsText" dxfId="1" priority="5692" operator="containsText" text="리턴">
      <formula>NOT(ISERROR(SEARCH(("리턴"),(D49))))</formula>
    </cfRule>
  </conditionalFormatting>
  <conditionalFormatting sqref="D49">
    <cfRule type="containsText" dxfId="2" priority="5693" operator="containsText" text="실패">
      <formula>NOT(ISERROR(SEARCH(("실패"),(D49))))</formula>
    </cfRule>
  </conditionalFormatting>
  <conditionalFormatting sqref="D49">
    <cfRule type="containsText" dxfId="3" priority="5694" operator="containsText" text="관리">
      <formula>NOT(ISERROR(SEARCH(("관리"),(D49))))</formula>
    </cfRule>
  </conditionalFormatting>
  <conditionalFormatting sqref="D49">
    <cfRule type="containsText" dxfId="4" priority="5695" operator="containsText" text="등록">
      <formula>NOT(ISERROR(SEARCH(("등록"),(D49))))</formula>
    </cfRule>
  </conditionalFormatting>
  <conditionalFormatting sqref="D49">
    <cfRule type="containsText" dxfId="0" priority="5696" operator="containsText" text="거부">
      <formula>NOT(ISERROR(SEARCH(("거부"),(D49))))</formula>
    </cfRule>
  </conditionalFormatting>
  <conditionalFormatting sqref="D49">
    <cfRule type="containsText" dxfId="1" priority="5697" operator="containsText" text="리턴">
      <formula>NOT(ISERROR(SEARCH(("리턴"),(D49))))</formula>
    </cfRule>
  </conditionalFormatting>
  <conditionalFormatting sqref="D49">
    <cfRule type="containsText" dxfId="2" priority="5698" operator="containsText" text="실패">
      <formula>NOT(ISERROR(SEARCH(("실패"),(D49))))</formula>
    </cfRule>
  </conditionalFormatting>
  <conditionalFormatting sqref="D49">
    <cfRule type="containsText" dxfId="3" priority="5699" operator="containsText" text="관리">
      <formula>NOT(ISERROR(SEARCH(("관리"),(D49))))</formula>
    </cfRule>
  </conditionalFormatting>
  <conditionalFormatting sqref="D49">
    <cfRule type="containsText" dxfId="4" priority="5700" operator="containsText" text="등록">
      <formula>NOT(ISERROR(SEARCH(("등록"),(D49))))</formula>
    </cfRule>
  </conditionalFormatting>
  <conditionalFormatting sqref="D49">
    <cfRule type="containsText" dxfId="0" priority="5701" operator="containsText" text="거부">
      <formula>NOT(ISERROR(SEARCH(("거부"),(D49))))</formula>
    </cfRule>
  </conditionalFormatting>
  <conditionalFormatting sqref="D49">
    <cfRule type="containsText" dxfId="1" priority="5702" operator="containsText" text="리턴">
      <formula>NOT(ISERROR(SEARCH(("리턴"),(D49))))</formula>
    </cfRule>
  </conditionalFormatting>
  <conditionalFormatting sqref="D49">
    <cfRule type="containsText" dxfId="2" priority="5703" operator="containsText" text="실패">
      <formula>NOT(ISERROR(SEARCH(("실패"),(D49))))</formula>
    </cfRule>
  </conditionalFormatting>
  <conditionalFormatting sqref="D49">
    <cfRule type="containsText" dxfId="3" priority="5704" operator="containsText" text="관리">
      <formula>NOT(ISERROR(SEARCH(("관리"),(D49))))</formula>
    </cfRule>
  </conditionalFormatting>
  <conditionalFormatting sqref="D49">
    <cfRule type="containsText" dxfId="4" priority="5705" operator="containsText" text="등록">
      <formula>NOT(ISERROR(SEARCH(("등록"),(D49))))</formula>
    </cfRule>
  </conditionalFormatting>
  <conditionalFormatting sqref="D49">
    <cfRule type="containsText" dxfId="0" priority="5706" operator="containsText" text="거부">
      <formula>NOT(ISERROR(SEARCH(("거부"),(D49))))</formula>
    </cfRule>
  </conditionalFormatting>
  <conditionalFormatting sqref="D49">
    <cfRule type="containsText" dxfId="1" priority="5707" operator="containsText" text="리턴">
      <formula>NOT(ISERROR(SEARCH(("리턴"),(D49))))</formula>
    </cfRule>
  </conditionalFormatting>
  <conditionalFormatting sqref="D49">
    <cfRule type="containsText" dxfId="2" priority="5708" operator="containsText" text="실패">
      <formula>NOT(ISERROR(SEARCH(("실패"),(D49))))</formula>
    </cfRule>
  </conditionalFormatting>
  <conditionalFormatting sqref="D49">
    <cfRule type="containsText" dxfId="3" priority="5709" operator="containsText" text="관리">
      <formula>NOT(ISERROR(SEARCH(("관리"),(D49))))</formula>
    </cfRule>
  </conditionalFormatting>
  <conditionalFormatting sqref="D49">
    <cfRule type="containsText" dxfId="4" priority="5710" operator="containsText" text="등록">
      <formula>NOT(ISERROR(SEARCH(("등록"),(D49))))</formula>
    </cfRule>
  </conditionalFormatting>
  <conditionalFormatting sqref="D49">
    <cfRule type="containsText" dxfId="0" priority="5711" operator="containsText" text="거부">
      <formula>NOT(ISERROR(SEARCH(("거부"),(D49))))</formula>
    </cfRule>
  </conditionalFormatting>
  <conditionalFormatting sqref="D49">
    <cfRule type="containsText" dxfId="1" priority="5712" operator="containsText" text="리턴">
      <formula>NOT(ISERROR(SEARCH(("리턴"),(D49))))</formula>
    </cfRule>
  </conditionalFormatting>
  <conditionalFormatting sqref="D49">
    <cfRule type="containsText" dxfId="2" priority="5713" operator="containsText" text="실패">
      <formula>NOT(ISERROR(SEARCH(("실패"),(D49))))</formula>
    </cfRule>
  </conditionalFormatting>
  <conditionalFormatting sqref="D49">
    <cfRule type="containsText" dxfId="3" priority="5714" operator="containsText" text="관리">
      <formula>NOT(ISERROR(SEARCH(("관리"),(D49))))</formula>
    </cfRule>
  </conditionalFormatting>
  <conditionalFormatting sqref="D49">
    <cfRule type="containsText" dxfId="4" priority="5715" operator="containsText" text="등록">
      <formula>NOT(ISERROR(SEARCH(("등록"),(D49))))</formula>
    </cfRule>
  </conditionalFormatting>
  <conditionalFormatting sqref="D49">
    <cfRule type="containsText" dxfId="0" priority="5716" operator="containsText" text="거부">
      <formula>NOT(ISERROR(SEARCH(("거부"),(D49))))</formula>
    </cfRule>
  </conditionalFormatting>
  <conditionalFormatting sqref="D49">
    <cfRule type="containsText" dxfId="1" priority="5717" operator="containsText" text="리턴">
      <formula>NOT(ISERROR(SEARCH(("리턴"),(D49))))</formula>
    </cfRule>
  </conditionalFormatting>
  <conditionalFormatting sqref="D49">
    <cfRule type="containsText" dxfId="2" priority="5718" operator="containsText" text="실패">
      <formula>NOT(ISERROR(SEARCH(("실패"),(D49))))</formula>
    </cfRule>
  </conditionalFormatting>
  <conditionalFormatting sqref="D49">
    <cfRule type="containsText" dxfId="3" priority="5719" operator="containsText" text="관리">
      <formula>NOT(ISERROR(SEARCH(("관리"),(D49))))</formula>
    </cfRule>
  </conditionalFormatting>
  <conditionalFormatting sqref="D49">
    <cfRule type="containsText" dxfId="4" priority="5720" operator="containsText" text="등록">
      <formula>NOT(ISERROR(SEARCH(("등록"),(D49))))</formula>
    </cfRule>
  </conditionalFormatting>
  <conditionalFormatting sqref="D49">
    <cfRule type="containsText" dxfId="0" priority="5721" operator="containsText" text="거부">
      <formula>NOT(ISERROR(SEARCH(("거부"),(D49))))</formula>
    </cfRule>
  </conditionalFormatting>
  <conditionalFormatting sqref="D49">
    <cfRule type="containsText" dxfId="1" priority="5722" operator="containsText" text="리턴">
      <formula>NOT(ISERROR(SEARCH(("리턴"),(D49))))</formula>
    </cfRule>
  </conditionalFormatting>
  <conditionalFormatting sqref="D49">
    <cfRule type="containsText" dxfId="2" priority="5723" operator="containsText" text="실패">
      <formula>NOT(ISERROR(SEARCH(("실패"),(D49))))</formula>
    </cfRule>
  </conditionalFormatting>
  <conditionalFormatting sqref="D49">
    <cfRule type="containsText" dxfId="3" priority="5724" operator="containsText" text="관리">
      <formula>NOT(ISERROR(SEARCH(("관리"),(D49))))</formula>
    </cfRule>
  </conditionalFormatting>
  <conditionalFormatting sqref="D49">
    <cfRule type="containsText" dxfId="4" priority="5725" operator="containsText" text="등록">
      <formula>NOT(ISERROR(SEARCH(("등록"),(D49))))</formula>
    </cfRule>
  </conditionalFormatting>
  <conditionalFormatting sqref="D49">
    <cfRule type="containsText" dxfId="0" priority="5726" operator="containsText" text="거부">
      <formula>NOT(ISERROR(SEARCH(("거부"),(D49))))</formula>
    </cfRule>
  </conditionalFormatting>
  <conditionalFormatting sqref="D49">
    <cfRule type="containsText" dxfId="1" priority="5727" operator="containsText" text="리턴">
      <formula>NOT(ISERROR(SEARCH(("리턴"),(D49))))</formula>
    </cfRule>
  </conditionalFormatting>
  <conditionalFormatting sqref="D49">
    <cfRule type="containsText" dxfId="2" priority="5728" operator="containsText" text="실패">
      <formula>NOT(ISERROR(SEARCH(("실패"),(D49))))</formula>
    </cfRule>
  </conditionalFormatting>
  <conditionalFormatting sqref="D49">
    <cfRule type="containsText" dxfId="3" priority="5729" operator="containsText" text="관리">
      <formula>NOT(ISERROR(SEARCH(("관리"),(D49))))</formula>
    </cfRule>
  </conditionalFormatting>
  <conditionalFormatting sqref="D49">
    <cfRule type="containsText" dxfId="4" priority="5730" operator="containsText" text="등록">
      <formula>NOT(ISERROR(SEARCH(("등록"),(D49))))</formula>
    </cfRule>
  </conditionalFormatting>
  <conditionalFormatting sqref="D49">
    <cfRule type="containsText" dxfId="0" priority="5731" operator="containsText" text="거부">
      <formula>NOT(ISERROR(SEARCH(("거부"),(D49))))</formula>
    </cfRule>
  </conditionalFormatting>
  <conditionalFormatting sqref="D49">
    <cfRule type="containsText" dxfId="1" priority="5732" operator="containsText" text="리턴">
      <formula>NOT(ISERROR(SEARCH(("리턴"),(D49))))</formula>
    </cfRule>
  </conditionalFormatting>
  <conditionalFormatting sqref="D49">
    <cfRule type="containsText" dxfId="2" priority="5733" operator="containsText" text="실패">
      <formula>NOT(ISERROR(SEARCH(("실패"),(D49))))</formula>
    </cfRule>
  </conditionalFormatting>
  <conditionalFormatting sqref="D49">
    <cfRule type="containsText" dxfId="3" priority="5734" operator="containsText" text="관리">
      <formula>NOT(ISERROR(SEARCH(("관리"),(D49))))</formula>
    </cfRule>
  </conditionalFormatting>
  <conditionalFormatting sqref="D49">
    <cfRule type="containsText" dxfId="4" priority="5735" operator="containsText" text="등록">
      <formula>NOT(ISERROR(SEARCH(("등록"),(D49))))</formula>
    </cfRule>
  </conditionalFormatting>
  <conditionalFormatting sqref="D49">
    <cfRule type="containsText" dxfId="0" priority="5736" operator="containsText" text="거부">
      <formula>NOT(ISERROR(SEARCH(("거부"),(D49))))</formula>
    </cfRule>
  </conditionalFormatting>
  <conditionalFormatting sqref="D49">
    <cfRule type="containsText" dxfId="1" priority="5737" operator="containsText" text="리턴">
      <formula>NOT(ISERROR(SEARCH(("리턴"),(D49))))</formula>
    </cfRule>
  </conditionalFormatting>
  <conditionalFormatting sqref="D49">
    <cfRule type="containsText" dxfId="2" priority="5738" operator="containsText" text="실패">
      <formula>NOT(ISERROR(SEARCH(("실패"),(D49))))</formula>
    </cfRule>
  </conditionalFormatting>
  <conditionalFormatting sqref="D49">
    <cfRule type="containsText" dxfId="3" priority="5739" operator="containsText" text="관리">
      <formula>NOT(ISERROR(SEARCH(("관리"),(D49))))</formula>
    </cfRule>
  </conditionalFormatting>
  <conditionalFormatting sqref="D49">
    <cfRule type="containsText" dxfId="4" priority="5740" operator="containsText" text="등록">
      <formula>NOT(ISERROR(SEARCH(("등록"),(D49))))</formula>
    </cfRule>
  </conditionalFormatting>
  <conditionalFormatting sqref="D49">
    <cfRule type="containsText" dxfId="0" priority="5741" operator="containsText" text="거부">
      <formula>NOT(ISERROR(SEARCH(("거부"),(D49))))</formula>
    </cfRule>
  </conditionalFormatting>
  <conditionalFormatting sqref="D49">
    <cfRule type="containsText" dxfId="1" priority="5742" operator="containsText" text="리턴">
      <formula>NOT(ISERROR(SEARCH(("리턴"),(D49))))</formula>
    </cfRule>
  </conditionalFormatting>
  <conditionalFormatting sqref="D49">
    <cfRule type="containsText" dxfId="2" priority="5743" operator="containsText" text="실패">
      <formula>NOT(ISERROR(SEARCH(("실패"),(D49))))</formula>
    </cfRule>
  </conditionalFormatting>
  <conditionalFormatting sqref="D49">
    <cfRule type="containsText" dxfId="3" priority="5744" operator="containsText" text="관리">
      <formula>NOT(ISERROR(SEARCH(("관리"),(D49))))</formula>
    </cfRule>
  </conditionalFormatting>
  <conditionalFormatting sqref="D49">
    <cfRule type="containsText" dxfId="4" priority="5745" operator="containsText" text="등록">
      <formula>NOT(ISERROR(SEARCH(("등록"),(D49))))</formula>
    </cfRule>
  </conditionalFormatting>
  <conditionalFormatting sqref="D49">
    <cfRule type="containsText" dxfId="0" priority="5746" operator="containsText" text="거부">
      <formula>NOT(ISERROR(SEARCH(("거부"),(D49))))</formula>
    </cfRule>
  </conditionalFormatting>
  <conditionalFormatting sqref="D49">
    <cfRule type="containsText" dxfId="1" priority="5747" operator="containsText" text="리턴">
      <formula>NOT(ISERROR(SEARCH(("리턴"),(D49))))</formula>
    </cfRule>
  </conditionalFormatting>
  <conditionalFormatting sqref="D49">
    <cfRule type="containsText" dxfId="2" priority="5748" operator="containsText" text="실패">
      <formula>NOT(ISERROR(SEARCH(("실패"),(D49))))</formula>
    </cfRule>
  </conditionalFormatting>
  <conditionalFormatting sqref="D49">
    <cfRule type="containsText" dxfId="3" priority="5749" operator="containsText" text="관리">
      <formula>NOT(ISERROR(SEARCH(("관리"),(D49))))</formula>
    </cfRule>
  </conditionalFormatting>
  <conditionalFormatting sqref="D49">
    <cfRule type="containsText" dxfId="4" priority="5750" operator="containsText" text="등록">
      <formula>NOT(ISERROR(SEARCH(("등록"),(D49))))</formula>
    </cfRule>
  </conditionalFormatting>
  <conditionalFormatting sqref="D49">
    <cfRule type="containsText" dxfId="0" priority="5751" operator="containsText" text="거부">
      <formula>NOT(ISERROR(SEARCH(("거부"),(D49))))</formula>
    </cfRule>
  </conditionalFormatting>
  <conditionalFormatting sqref="D49">
    <cfRule type="containsText" dxfId="1" priority="5752" operator="containsText" text="리턴">
      <formula>NOT(ISERROR(SEARCH(("리턴"),(D49))))</formula>
    </cfRule>
  </conditionalFormatting>
  <conditionalFormatting sqref="D49">
    <cfRule type="containsText" dxfId="2" priority="5753" operator="containsText" text="실패">
      <formula>NOT(ISERROR(SEARCH(("실패"),(D49))))</formula>
    </cfRule>
  </conditionalFormatting>
  <conditionalFormatting sqref="D49">
    <cfRule type="containsText" dxfId="3" priority="5754" operator="containsText" text="관리">
      <formula>NOT(ISERROR(SEARCH(("관리"),(D49))))</formula>
    </cfRule>
  </conditionalFormatting>
  <conditionalFormatting sqref="D49">
    <cfRule type="containsText" dxfId="4" priority="5755" operator="containsText" text="등록">
      <formula>NOT(ISERROR(SEARCH(("등록"),(D49))))</formula>
    </cfRule>
  </conditionalFormatting>
  <conditionalFormatting sqref="D49">
    <cfRule type="containsText" dxfId="0" priority="5756" operator="containsText" text="거부">
      <formula>NOT(ISERROR(SEARCH(("거부"),(D49))))</formula>
    </cfRule>
  </conditionalFormatting>
  <conditionalFormatting sqref="D49">
    <cfRule type="containsText" dxfId="1" priority="5757" operator="containsText" text="리턴">
      <formula>NOT(ISERROR(SEARCH(("리턴"),(D49))))</formula>
    </cfRule>
  </conditionalFormatting>
  <conditionalFormatting sqref="D49">
    <cfRule type="containsText" dxfId="2" priority="5758" operator="containsText" text="실패">
      <formula>NOT(ISERROR(SEARCH(("실패"),(D49))))</formula>
    </cfRule>
  </conditionalFormatting>
  <conditionalFormatting sqref="D49">
    <cfRule type="containsText" dxfId="3" priority="5759" operator="containsText" text="관리">
      <formula>NOT(ISERROR(SEARCH(("관리"),(D49))))</formula>
    </cfRule>
  </conditionalFormatting>
  <conditionalFormatting sqref="D49">
    <cfRule type="containsText" dxfId="4" priority="5760" operator="containsText" text="등록">
      <formula>NOT(ISERROR(SEARCH(("등록"),(D49))))</formula>
    </cfRule>
  </conditionalFormatting>
  <conditionalFormatting sqref="D49">
    <cfRule type="containsText" dxfId="0" priority="5761" operator="containsText" text="거부">
      <formula>NOT(ISERROR(SEARCH(("거부"),(D49))))</formula>
    </cfRule>
  </conditionalFormatting>
  <conditionalFormatting sqref="D49">
    <cfRule type="containsText" dxfId="1" priority="5762" operator="containsText" text="리턴">
      <formula>NOT(ISERROR(SEARCH(("리턴"),(D49))))</formula>
    </cfRule>
  </conditionalFormatting>
  <conditionalFormatting sqref="D49">
    <cfRule type="containsText" dxfId="2" priority="5763" operator="containsText" text="실패">
      <formula>NOT(ISERROR(SEARCH(("실패"),(D49))))</formula>
    </cfRule>
  </conditionalFormatting>
  <conditionalFormatting sqref="D49">
    <cfRule type="containsText" dxfId="3" priority="5764" operator="containsText" text="관리">
      <formula>NOT(ISERROR(SEARCH(("관리"),(D49))))</formula>
    </cfRule>
  </conditionalFormatting>
  <conditionalFormatting sqref="D49">
    <cfRule type="containsText" dxfId="4" priority="5765" operator="containsText" text="등록">
      <formula>NOT(ISERROR(SEARCH(("등록"),(D49))))</formula>
    </cfRule>
  </conditionalFormatting>
  <conditionalFormatting sqref="D49">
    <cfRule type="containsText" dxfId="0" priority="5766" operator="containsText" text="거부">
      <formula>NOT(ISERROR(SEARCH(("거부"),(D49))))</formula>
    </cfRule>
  </conditionalFormatting>
  <conditionalFormatting sqref="D49">
    <cfRule type="containsText" dxfId="1" priority="5767" operator="containsText" text="리턴">
      <formula>NOT(ISERROR(SEARCH(("리턴"),(D49))))</formula>
    </cfRule>
  </conditionalFormatting>
  <conditionalFormatting sqref="D49">
    <cfRule type="containsText" dxfId="2" priority="5768" operator="containsText" text="실패">
      <formula>NOT(ISERROR(SEARCH(("실패"),(D49))))</formula>
    </cfRule>
  </conditionalFormatting>
  <conditionalFormatting sqref="D49">
    <cfRule type="containsText" dxfId="3" priority="5769" operator="containsText" text="관리">
      <formula>NOT(ISERROR(SEARCH(("관리"),(D49))))</formula>
    </cfRule>
  </conditionalFormatting>
  <conditionalFormatting sqref="D49">
    <cfRule type="containsText" dxfId="4" priority="5770" operator="containsText" text="등록">
      <formula>NOT(ISERROR(SEARCH(("등록"),(D49))))</formula>
    </cfRule>
  </conditionalFormatting>
  <conditionalFormatting sqref="E49">
    <cfRule type="containsText" dxfId="0" priority="5771" operator="containsText" text="거부">
      <formula>NOT(ISERROR(SEARCH(("거부"),(E49))))</formula>
    </cfRule>
  </conditionalFormatting>
  <conditionalFormatting sqref="E49">
    <cfRule type="containsText" dxfId="1" priority="5772" operator="containsText" text="리턴">
      <formula>NOT(ISERROR(SEARCH(("리턴"),(E49))))</formula>
    </cfRule>
  </conditionalFormatting>
  <conditionalFormatting sqref="E49">
    <cfRule type="containsText" dxfId="2" priority="5773" operator="containsText" text="실패">
      <formula>NOT(ISERROR(SEARCH(("실패"),(E49))))</formula>
    </cfRule>
  </conditionalFormatting>
  <conditionalFormatting sqref="E49">
    <cfRule type="containsText" dxfId="3" priority="5774" operator="containsText" text="관리">
      <formula>NOT(ISERROR(SEARCH(("관리"),(E49))))</formula>
    </cfRule>
  </conditionalFormatting>
  <conditionalFormatting sqref="E49">
    <cfRule type="containsText" dxfId="4" priority="5775" operator="containsText" text="등록">
      <formula>NOT(ISERROR(SEARCH(("등록"),(E49))))</formula>
    </cfRule>
  </conditionalFormatting>
  <conditionalFormatting sqref="E49">
    <cfRule type="containsText" dxfId="0" priority="5776" operator="containsText" text="거부">
      <formula>NOT(ISERROR(SEARCH(("거부"),(E49))))</formula>
    </cfRule>
  </conditionalFormatting>
  <conditionalFormatting sqref="E49">
    <cfRule type="containsText" dxfId="1" priority="5777" operator="containsText" text="리턴">
      <formula>NOT(ISERROR(SEARCH(("리턴"),(E49))))</formula>
    </cfRule>
  </conditionalFormatting>
  <conditionalFormatting sqref="E49">
    <cfRule type="containsText" dxfId="2" priority="5778" operator="containsText" text="실패">
      <formula>NOT(ISERROR(SEARCH(("실패"),(E49))))</formula>
    </cfRule>
  </conditionalFormatting>
  <conditionalFormatting sqref="E49">
    <cfRule type="containsText" dxfId="3" priority="5779" operator="containsText" text="관리">
      <formula>NOT(ISERROR(SEARCH(("관리"),(E49))))</formula>
    </cfRule>
  </conditionalFormatting>
  <conditionalFormatting sqref="E49">
    <cfRule type="containsText" dxfId="4" priority="5780" operator="containsText" text="등록">
      <formula>NOT(ISERROR(SEARCH(("등록"),(E49))))</formula>
    </cfRule>
  </conditionalFormatting>
  <conditionalFormatting sqref="E49">
    <cfRule type="containsText" dxfId="0" priority="5781" operator="containsText" text="거부">
      <formula>NOT(ISERROR(SEARCH(("거부"),(E49))))</formula>
    </cfRule>
  </conditionalFormatting>
  <conditionalFormatting sqref="E49">
    <cfRule type="containsText" dxfId="1" priority="5782" operator="containsText" text="리턴">
      <formula>NOT(ISERROR(SEARCH(("리턴"),(E49))))</formula>
    </cfRule>
  </conditionalFormatting>
  <conditionalFormatting sqref="E49">
    <cfRule type="containsText" dxfId="2" priority="5783" operator="containsText" text="실패">
      <formula>NOT(ISERROR(SEARCH(("실패"),(E49))))</formula>
    </cfRule>
  </conditionalFormatting>
  <conditionalFormatting sqref="E49">
    <cfRule type="containsText" dxfId="3" priority="5784" operator="containsText" text="관리">
      <formula>NOT(ISERROR(SEARCH(("관리"),(E49))))</formula>
    </cfRule>
  </conditionalFormatting>
  <conditionalFormatting sqref="E49">
    <cfRule type="containsText" dxfId="4" priority="5785" operator="containsText" text="등록">
      <formula>NOT(ISERROR(SEARCH(("등록"),(E49))))</formula>
    </cfRule>
  </conditionalFormatting>
  <conditionalFormatting sqref="E49">
    <cfRule type="containsText" dxfId="0" priority="5786" operator="containsText" text="거부">
      <formula>NOT(ISERROR(SEARCH(("거부"),(E49))))</formula>
    </cfRule>
  </conditionalFormatting>
  <conditionalFormatting sqref="E49">
    <cfRule type="containsText" dxfId="1" priority="5787" operator="containsText" text="리턴">
      <formula>NOT(ISERROR(SEARCH(("리턴"),(E49))))</formula>
    </cfRule>
  </conditionalFormatting>
  <conditionalFormatting sqref="E49">
    <cfRule type="containsText" dxfId="2" priority="5788" operator="containsText" text="실패">
      <formula>NOT(ISERROR(SEARCH(("실패"),(E49))))</formula>
    </cfRule>
  </conditionalFormatting>
  <conditionalFormatting sqref="E49">
    <cfRule type="containsText" dxfId="3" priority="5789" operator="containsText" text="관리">
      <formula>NOT(ISERROR(SEARCH(("관리"),(E49))))</formula>
    </cfRule>
  </conditionalFormatting>
  <conditionalFormatting sqref="E49">
    <cfRule type="containsText" dxfId="4" priority="5790" operator="containsText" text="등록">
      <formula>NOT(ISERROR(SEARCH(("등록"),(E49))))</formula>
    </cfRule>
  </conditionalFormatting>
  <conditionalFormatting sqref="E49">
    <cfRule type="containsText" dxfId="0" priority="5791" operator="containsText" text="거부">
      <formula>NOT(ISERROR(SEARCH(("거부"),(E49))))</formula>
    </cfRule>
  </conditionalFormatting>
  <conditionalFormatting sqref="E49">
    <cfRule type="containsText" dxfId="1" priority="5792" operator="containsText" text="리턴">
      <formula>NOT(ISERROR(SEARCH(("리턴"),(E49))))</formula>
    </cfRule>
  </conditionalFormatting>
  <conditionalFormatting sqref="E49">
    <cfRule type="containsText" dxfId="2" priority="5793" operator="containsText" text="실패">
      <formula>NOT(ISERROR(SEARCH(("실패"),(E49))))</formula>
    </cfRule>
  </conditionalFormatting>
  <conditionalFormatting sqref="E49">
    <cfRule type="containsText" dxfId="3" priority="5794" operator="containsText" text="관리">
      <formula>NOT(ISERROR(SEARCH(("관리"),(E49))))</formula>
    </cfRule>
  </conditionalFormatting>
  <conditionalFormatting sqref="E49">
    <cfRule type="containsText" dxfId="4" priority="5795" operator="containsText" text="등록">
      <formula>NOT(ISERROR(SEARCH(("등록"),(E49))))</formula>
    </cfRule>
  </conditionalFormatting>
  <conditionalFormatting sqref="E49">
    <cfRule type="containsText" dxfId="0" priority="5796" operator="containsText" text="거부">
      <formula>NOT(ISERROR(SEARCH(("거부"),(E49))))</formula>
    </cfRule>
  </conditionalFormatting>
  <conditionalFormatting sqref="E49">
    <cfRule type="containsText" dxfId="1" priority="5797" operator="containsText" text="리턴">
      <formula>NOT(ISERROR(SEARCH(("리턴"),(E49))))</formula>
    </cfRule>
  </conditionalFormatting>
  <conditionalFormatting sqref="E49">
    <cfRule type="containsText" dxfId="2" priority="5798" operator="containsText" text="실패">
      <formula>NOT(ISERROR(SEARCH(("실패"),(E49))))</formula>
    </cfRule>
  </conditionalFormatting>
  <conditionalFormatting sqref="E49">
    <cfRule type="containsText" dxfId="3" priority="5799" operator="containsText" text="관리">
      <formula>NOT(ISERROR(SEARCH(("관리"),(E49))))</formula>
    </cfRule>
  </conditionalFormatting>
  <conditionalFormatting sqref="E49">
    <cfRule type="containsText" dxfId="4" priority="5800" operator="containsText" text="등록">
      <formula>NOT(ISERROR(SEARCH(("등록"),(E49))))</formula>
    </cfRule>
  </conditionalFormatting>
  <conditionalFormatting sqref="E49">
    <cfRule type="containsText" dxfId="0" priority="5801" operator="containsText" text="거부">
      <formula>NOT(ISERROR(SEARCH(("거부"),(E49))))</formula>
    </cfRule>
  </conditionalFormatting>
  <conditionalFormatting sqref="E49">
    <cfRule type="containsText" dxfId="1" priority="5802" operator="containsText" text="리턴">
      <formula>NOT(ISERROR(SEARCH(("리턴"),(E49))))</formula>
    </cfRule>
  </conditionalFormatting>
  <conditionalFormatting sqref="E49">
    <cfRule type="containsText" dxfId="2" priority="5803" operator="containsText" text="실패">
      <formula>NOT(ISERROR(SEARCH(("실패"),(E49))))</formula>
    </cfRule>
  </conditionalFormatting>
  <conditionalFormatting sqref="E49">
    <cfRule type="containsText" dxfId="3" priority="5804" operator="containsText" text="관리">
      <formula>NOT(ISERROR(SEARCH(("관리"),(E49))))</formula>
    </cfRule>
  </conditionalFormatting>
  <conditionalFormatting sqref="E49">
    <cfRule type="containsText" dxfId="4" priority="5805" operator="containsText" text="등록">
      <formula>NOT(ISERROR(SEARCH(("등록"),(E49))))</formula>
    </cfRule>
  </conditionalFormatting>
  <conditionalFormatting sqref="E49">
    <cfRule type="containsText" dxfId="0" priority="5806" operator="containsText" text="거부">
      <formula>NOT(ISERROR(SEARCH(("거부"),(E49))))</formula>
    </cfRule>
  </conditionalFormatting>
  <conditionalFormatting sqref="E49">
    <cfRule type="containsText" dxfId="1" priority="5807" operator="containsText" text="리턴">
      <formula>NOT(ISERROR(SEARCH(("리턴"),(E49))))</formula>
    </cfRule>
  </conditionalFormatting>
  <conditionalFormatting sqref="E49">
    <cfRule type="containsText" dxfId="2" priority="5808" operator="containsText" text="실패">
      <formula>NOT(ISERROR(SEARCH(("실패"),(E49))))</formula>
    </cfRule>
  </conditionalFormatting>
  <conditionalFormatting sqref="E49">
    <cfRule type="containsText" dxfId="3" priority="5809" operator="containsText" text="관리">
      <formula>NOT(ISERROR(SEARCH(("관리"),(E49))))</formula>
    </cfRule>
  </conditionalFormatting>
  <conditionalFormatting sqref="E49">
    <cfRule type="containsText" dxfId="4" priority="5810" operator="containsText" text="등록">
      <formula>NOT(ISERROR(SEARCH(("등록"),(E49))))</formula>
    </cfRule>
  </conditionalFormatting>
  <conditionalFormatting sqref="E49">
    <cfRule type="containsText" dxfId="0" priority="5811" operator="containsText" text="거부">
      <formula>NOT(ISERROR(SEARCH(("거부"),(E49))))</formula>
    </cfRule>
  </conditionalFormatting>
  <conditionalFormatting sqref="E49">
    <cfRule type="containsText" dxfId="1" priority="5812" operator="containsText" text="리턴">
      <formula>NOT(ISERROR(SEARCH(("리턴"),(E49))))</formula>
    </cfRule>
  </conditionalFormatting>
  <conditionalFormatting sqref="E49">
    <cfRule type="containsText" dxfId="2" priority="5813" operator="containsText" text="실패">
      <formula>NOT(ISERROR(SEARCH(("실패"),(E49))))</formula>
    </cfRule>
  </conditionalFormatting>
  <conditionalFormatting sqref="E49">
    <cfRule type="containsText" dxfId="3" priority="5814" operator="containsText" text="관리">
      <formula>NOT(ISERROR(SEARCH(("관리"),(E49))))</formula>
    </cfRule>
  </conditionalFormatting>
  <conditionalFormatting sqref="E49">
    <cfRule type="containsText" dxfId="4" priority="5815" operator="containsText" text="등록">
      <formula>NOT(ISERROR(SEARCH(("등록"),(E49))))</formula>
    </cfRule>
  </conditionalFormatting>
  <conditionalFormatting sqref="E49">
    <cfRule type="containsText" dxfId="0" priority="5816" operator="containsText" text="거부">
      <formula>NOT(ISERROR(SEARCH(("거부"),(E49))))</formula>
    </cfRule>
  </conditionalFormatting>
  <conditionalFormatting sqref="E49">
    <cfRule type="containsText" dxfId="1" priority="5817" operator="containsText" text="리턴">
      <formula>NOT(ISERROR(SEARCH(("리턴"),(E49))))</formula>
    </cfRule>
  </conditionalFormatting>
  <conditionalFormatting sqref="E49">
    <cfRule type="containsText" dxfId="2" priority="5818" operator="containsText" text="실패">
      <formula>NOT(ISERROR(SEARCH(("실패"),(E49))))</formula>
    </cfRule>
  </conditionalFormatting>
  <conditionalFormatting sqref="E49">
    <cfRule type="containsText" dxfId="3" priority="5819" operator="containsText" text="관리">
      <formula>NOT(ISERROR(SEARCH(("관리"),(E49))))</formula>
    </cfRule>
  </conditionalFormatting>
  <conditionalFormatting sqref="E49">
    <cfRule type="containsText" dxfId="4" priority="5820" operator="containsText" text="등록">
      <formula>NOT(ISERROR(SEARCH(("등록"),(E49))))</formula>
    </cfRule>
  </conditionalFormatting>
  <conditionalFormatting sqref="E49">
    <cfRule type="containsText" dxfId="0" priority="5821" operator="containsText" text="거부">
      <formula>NOT(ISERROR(SEARCH(("거부"),(E49))))</formula>
    </cfRule>
  </conditionalFormatting>
  <conditionalFormatting sqref="E49">
    <cfRule type="containsText" dxfId="1" priority="5822" operator="containsText" text="리턴">
      <formula>NOT(ISERROR(SEARCH(("리턴"),(E49))))</formula>
    </cfRule>
  </conditionalFormatting>
  <conditionalFormatting sqref="E49">
    <cfRule type="containsText" dxfId="2" priority="5823" operator="containsText" text="실패">
      <formula>NOT(ISERROR(SEARCH(("실패"),(E49))))</formula>
    </cfRule>
  </conditionalFormatting>
  <conditionalFormatting sqref="E49">
    <cfRule type="containsText" dxfId="3" priority="5824" operator="containsText" text="관리">
      <formula>NOT(ISERROR(SEARCH(("관리"),(E49))))</formula>
    </cfRule>
  </conditionalFormatting>
  <conditionalFormatting sqref="E49">
    <cfRule type="containsText" dxfId="4" priority="5825" operator="containsText" text="등록">
      <formula>NOT(ISERROR(SEARCH(("등록"),(E49))))</formula>
    </cfRule>
  </conditionalFormatting>
  <conditionalFormatting sqref="E49">
    <cfRule type="containsText" dxfId="0" priority="5826" operator="containsText" text="거부">
      <formula>NOT(ISERROR(SEARCH(("거부"),(E49))))</formula>
    </cfRule>
  </conditionalFormatting>
  <conditionalFormatting sqref="E49">
    <cfRule type="containsText" dxfId="1" priority="5827" operator="containsText" text="리턴">
      <formula>NOT(ISERROR(SEARCH(("리턴"),(E49))))</formula>
    </cfRule>
  </conditionalFormatting>
  <conditionalFormatting sqref="E49">
    <cfRule type="containsText" dxfId="2" priority="5828" operator="containsText" text="실패">
      <formula>NOT(ISERROR(SEARCH(("실패"),(E49))))</formula>
    </cfRule>
  </conditionalFormatting>
  <conditionalFormatting sqref="E49">
    <cfRule type="containsText" dxfId="3" priority="5829" operator="containsText" text="관리">
      <formula>NOT(ISERROR(SEARCH(("관리"),(E49))))</formula>
    </cfRule>
  </conditionalFormatting>
  <conditionalFormatting sqref="E49">
    <cfRule type="containsText" dxfId="4" priority="5830" operator="containsText" text="등록">
      <formula>NOT(ISERROR(SEARCH(("등록"),(E49))))</formula>
    </cfRule>
  </conditionalFormatting>
  <conditionalFormatting sqref="E49">
    <cfRule type="containsText" dxfId="0" priority="5831" operator="containsText" text="거부">
      <formula>NOT(ISERROR(SEARCH(("거부"),(E49))))</formula>
    </cfRule>
  </conditionalFormatting>
  <conditionalFormatting sqref="E49">
    <cfRule type="containsText" dxfId="1" priority="5832" operator="containsText" text="리턴">
      <formula>NOT(ISERROR(SEARCH(("리턴"),(E49))))</formula>
    </cfRule>
  </conditionalFormatting>
  <conditionalFormatting sqref="E49">
    <cfRule type="containsText" dxfId="2" priority="5833" operator="containsText" text="실패">
      <formula>NOT(ISERROR(SEARCH(("실패"),(E49))))</formula>
    </cfRule>
  </conditionalFormatting>
  <conditionalFormatting sqref="E49">
    <cfRule type="containsText" dxfId="3" priority="5834" operator="containsText" text="관리">
      <formula>NOT(ISERROR(SEARCH(("관리"),(E49))))</formula>
    </cfRule>
  </conditionalFormatting>
  <conditionalFormatting sqref="E49">
    <cfRule type="containsText" dxfId="4" priority="5835" operator="containsText" text="등록">
      <formula>NOT(ISERROR(SEARCH(("등록"),(E49))))</formula>
    </cfRule>
  </conditionalFormatting>
  <conditionalFormatting sqref="E49">
    <cfRule type="containsText" dxfId="0" priority="5836" operator="containsText" text="거부">
      <formula>NOT(ISERROR(SEARCH(("거부"),(E49))))</formula>
    </cfRule>
  </conditionalFormatting>
  <conditionalFormatting sqref="E49">
    <cfRule type="containsText" dxfId="1" priority="5837" operator="containsText" text="리턴">
      <formula>NOT(ISERROR(SEARCH(("리턴"),(E49))))</formula>
    </cfRule>
  </conditionalFormatting>
  <conditionalFormatting sqref="E49">
    <cfRule type="containsText" dxfId="2" priority="5838" operator="containsText" text="실패">
      <formula>NOT(ISERROR(SEARCH(("실패"),(E49))))</formula>
    </cfRule>
  </conditionalFormatting>
  <conditionalFormatting sqref="E49">
    <cfRule type="containsText" dxfId="3" priority="5839" operator="containsText" text="관리">
      <formula>NOT(ISERROR(SEARCH(("관리"),(E49))))</formula>
    </cfRule>
  </conditionalFormatting>
  <conditionalFormatting sqref="E49">
    <cfRule type="containsText" dxfId="4" priority="5840" operator="containsText" text="등록">
      <formula>NOT(ISERROR(SEARCH(("등록"),(E49))))</formula>
    </cfRule>
  </conditionalFormatting>
  <conditionalFormatting sqref="E49">
    <cfRule type="containsText" dxfId="0" priority="5841" operator="containsText" text="거부">
      <formula>NOT(ISERROR(SEARCH(("거부"),(E49))))</formula>
    </cfRule>
  </conditionalFormatting>
  <conditionalFormatting sqref="E49">
    <cfRule type="containsText" dxfId="1" priority="5842" operator="containsText" text="리턴">
      <formula>NOT(ISERROR(SEARCH(("리턴"),(E49))))</formula>
    </cfRule>
  </conditionalFormatting>
  <conditionalFormatting sqref="E49">
    <cfRule type="containsText" dxfId="2" priority="5843" operator="containsText" text="실패">
      <formula>NOT(ISERROR(SEARCH(("실패"),(E49))))</formula>
    </cfRule>
  </conditionalFormatting>
  <conditionalFormatting sqref="E49">
    <cfRule type="containsText" dxfId="3" priority="5844" operator="containsText" text="관리">
      <formula>NOT(ISERROR(SEARCH(("관리"),(E49))))</formula>
    </cfRule>
  </conditionalFormatting>
  <conditionalFormatting sqref="E49">
    <cfRule type="containsText" dxfId="4" priority="5845" operator="containsText" text="등록">
      <formula>NOT(ISERROR(SEARCH(("등록"),(E49))))</formula>
    </cfRule>
  </conditionalFormatting>
  <conditionalFormatting sqref="E49">
    <cfRule type="containsText" dxfId="0" priority="5846" operator="containsText" text="거부">
      <formula>NOT(ISERROR(SEARCH(("거부"),(E49))))</formula>
    </cfRule>
  </conditionalFormatting>
  <conditionalFormatting sqref="E49">
    <cfRule type="containsText" dxfId="1" priority="5847" operator="containsText" text="리턴">
      <formula>NOT(ISERROR(SEARCH(("리턴"),(E49))))</formula>
    </cfRule>
  </conditionalFormatting>
  <conditionalFormatting sqref="E49">
    <cfRule type="containsText" dxfId="2" priority="5848" operator="containsText" text="실패">
      <formula>NOT(ISERROR(SEARCH(("실패"),(E49))))</formula>
    </cfRule>
  </conditionalFormatting>
  <conditionalFormatting sqref="E49">
    <cfRule type="containsText" dxfId="3" priority="5849" operator="containsText" text="관리">
      <formula>NOT(ISERROR(SEARCH(("관리"),(E49))))</formula>
    </cfRule>
  </conditionalFormatting>
  <conditionalFormatting sqref="E49">
    <cfRule type="containsText" dxfId="4" priority="5850" operator="containsText" text="등록">
      <formula>NOT(ISERROR(SEARCH(("등록"),(E49))))</formula>
    </cfRule>
  </conditionalFormatting>
  <conditionalFormatting sqref="J49">
    <cfRule type="containsText" dxfId="0" priority="5851" operator="containsText" text="거부">
      <formula>NOT(ISERROR(SEARCH(("거부"),(J49))))</formula>
    </cfRule>
  </conditionalFormatting>
  <conditionalFormatting sqref="J49">
    <cfRule type="containsText" dxfId="1" priority="5852" operator="containsText" text="리턴">
      <formula>NOT(ISERROR(SEARCH(("리턴"),(J49))))</formula>
    </cfRule>
  </conditionalFormatting>
  <conditionalFormatting sqref="J49">
    <cfRule type="containsText" dxfId="2" priority="5853" operator="containsText" text="실패">
      <formula>NOT(ISERROR(SEARCH(("실패"),(J49))))</formula>
    </cfRule>
  </conditionalFormatting>
  <conditionalFormatting sqref="J49">
    <cfRule type="containsText" dxfId="3" priority="5854" operator="containsText" text="관리">
      <formula>NOT(ISERROR(SEARCH(("관리"),(J49))))</formula>
    </cfRule>
  </conditionalFormatting>
  <conditionalFormatting sqref="J49">
    <cfRule type="containsText" dxfId="4" priority="5855" operator="containsText" text="등록">
      <formula>NOT(ISERROR(SEARCH(("등록"),(J49))))</formula>
    </cfRule>
  </conditionalFormatting>
  <conditionalFormatting sqref="J49">
    <cfRule type="containsText" dxfId="0" priority="5856" operator="containsText" text="거부">
      <formula>NOT(ISERROR(SEARCH(("거부"),(J49))))</formula>
    </cfRule>
  </conditionalFormatting>
  <conditionalFormatting sqref="J49">
    <cfRule type="containsText" dxfId="1" priority="5857" operator="containsText" text="리턴">
      <formula>NOT(ISERROR(SEARCH(("리턴"),(J49))))</formula>
    </cfRule>
  </conditionalFormatting>
  <conditionalFormatting sqref="J49">
    <cfRule type="containsText" dxfId="2" priority="5858" operator="containsText" text="실패">
      <formula>NOT(ISERROR(SEARCH(("실패"),(J49))))</formula>
    </cfRule>
  </conditionalFormatting>
  <conditionalFormatting sqref="J49">
    <cfRule type="containsText" dxfId="3" priority="5859" operator="containsText" text="관리">
      <formula>NOT(ISERROR(SEARCH(("관리"),(J49))))</formula>
    </cfRule>
  </conditionalFormatting>
  <conditionalFormatting sqref="J49">
    <cfRule type="containsText" dxfId="4" priority="5860" operator="containsText" text="등록">
      <formula>NOT(ISERROR(SEARCH(("등록"),(J49))))</formula>
    </cfRule>
  </conditionalFormatting>
  <conditionalFormatting sqref="J49">
    <cfRule type="containsText" dxfId="0" priority="5861" operator="containsText" text="거부">
      <formula>NOT(ISERROR(SEARCH(("거부"),(J49))))</formula>
    </cfRule>
  </conditionalFormatting>
  <conditionalFormatting sqref="J49">
    <cfRule type="containsText" dxfId="1" priority="5862" operator="containsText" text="리턴">
      <formula>NOT(ISERROR(SEARCH(("리턴"),(J49))))</formula>
    </cfRule>
  </conditionalFormatting>
  <conditionalFormatting sqref="J49">
    <cfRule type="containsText" dxfId="2" priority="5863" operator="containsText" text="실패">
      <formula>NOT(ISERROR(SEARCH(("실패"),(J49))))</formula>
    </cfRule>
  </conditionalFormatting>
  <conditionalFormatting sqref="J49">
    <cfRule type="containsText" dxfId="3" priority="5864" operator="containsText" text="관리">
      <formula>NOT(ISERROR(SEARCH(("관리"),(J49))))</formula>
    </cfRule>
  </conditionalFormatting>
  <conditionalFormatting sqref="J49">
    <cfRule type="containsText" dxfId="4" priority="5865" operator="containsText" text="등록">
      <formula>NOT(ISERROR(SEARCH(("등록"),(J49))))</formula>
    </cfRule>
  </conditionalFormatting>
  <conditionalFormatting sqref="J49">
    <cfRule type="containsText" dxfId="0" priority="5866" operator="containsText" text="거부">
      <formula>NOT(ISERROR(SEARCH(("거부"),(J49))))</formula>
    </cfRule>
  </conditionalFormatting>
  <conditionalFormatting sqref="J49">
    <cfRule type="containsText" dxfId="1" priority="5867" operator="containsText" text="리턴">
      <formula>NOT(ISERROR(SEARCH(("리턴"),(J49))))</formula>
    </cfRule>
  </conditionalFormatting>
  <conditionalFormatting sqref="J49">
    <cfRule type="containsText" dxfId="2" priority="5868" operator="containsText" text="실패">
      <formula>NOT(ISERROR(SEARCH(("실패"),(J49))))</formula>
    </cfRule>
  </conditionalFormatting>
  <conditionalFormatting sqref="J49">
    <cfRule type="containsText" dxfId="3" priority="5869" operator="containsText" text="관리">
      <formula>NOT(ISERROR(SEARCH(("관리"),(J49))))</formula>
    </cfRule>
  </conditionalFormatting>
  <conditionalFormatting sqref="J49">
    <cfRule type="containsText" dxfId="4" priority="5870" operator="containsText" text="등록">
      <formula>NOT(ISERROR(SEARCH(("등록"),(J49))))</formula>
    </cfRule>
  </conditionalFormatting>
  <conditionalFormatting sqref="J49">
    <cfRule type="containsText" dxfId="0" priority="5871" operator="containsText" text="거부">
      <formula>NOT(ISERROR(SEARCH(("거부"),(J49))))</formula>
    </cfRule>
  </conditionalFormatting>
  <conditionalFormatting sqref="J49">
    <cfRule type="containsText" dxfId="1" priority="5872" operator="containsText" text="리턴">
      <formula>NOT(ISERROR(SEARCH(("리턴"),(J49))))</formula>
    </cfRule>
  </conditionalFormatting>
  <conditionalFormatting sqref="J49">
    <cfRule type="containsText" dxfId="2" priority="5873" operator="containsText" text="실패">
      <formula>NOT(ISERROR(SEARCH(("실패"),(J49))))</formula>
    </cfRule>
  </conditionalFormatting>
  <conditionalFormatting sqref="J49">
    <cfRule type="containsText" dxfId="3" priority="5874" operator="containsText" text="관리">
      <formula>NOT(ISERROR(SEARCH(("관리"),(J49))))</formula>
    </cfRule>
  </conditionalFormatting>
  <conditionalFormatting sqref="J49">
    <cfRule type="containsText" dxfId="4" priority="5875" operator="containsText" text="등록">
      <formula>NOT(ISERROR(SEARCH(("등록"),(J49))))</formula>
    </cfRule>
  </conditionalFormatting>
  <conditionalFormatting sqref="J49">
    <cfRule type="containsText" dxfId="0" priority="5876" operator="containsText" text="거부">
      <formula>NOT(ISERROR(SEARCH(("거부"),(J49))))</formula>
    </cfRule>
  </conditionalFormatting>
  <conditionalFormatting sqref="J49">
    <cfRule type="containsText" dxfId="1" priority="5877" operator="containsText" text="리턴">
      <formula>NOT(ISERROR(SEARCH(("리턴"),(J49))))</formula>
    </cfRule>
  </conditionalFormatting>
  <conditionalFormatting sqref="J49">
    <cfRule type="containsText" dxfId="2" priority="5878" operator="containsText" text="실패">
      <formula>NOT(ISERROR(SEARCH(("실패"),(J49))))</formula>
    </cfRule>
  </conditionalFormatting>
  <conditionalFormatting sqref="J49">
    <cfRule type="containsText" dxfId="3" priority="5879" operator="containsText" text="관리">
      <formula>NOT(ISERROR(SEARCH(("관리"),(J49))))</formula>
    </cfRule>
  </conditionalFormatting>
  <conditionalFormatting sqref="J49">
    <cfRule type="containsText" dxfId="4" priority="5880" operator="containsText" text="등록">
      <formula>NOT(ISERROR(SEARCH(("등록"),(J49))))</formula>
    </cfRule>
  </conditionalFormatting>
  <conditionalFormatting sqref="J49">
    <cfRule type="containsText" dxfId="0" priority="5881" operator="containsText" text="거부">
      <formula>NOT(ISERROR(SEARCH(("거부"),(J49))))</formula>
    </cfRule>
  </conditionalFormatting>
  <conditionalFormatting sqref="J49">
    <cfRule type="containsText" dxfId="1" priority="5882" operator="containsText" text="리턴">
      <formula>NOT(ISERROR(SEARCH(("리턴"),(J49))))</formula>
    </cfRule>
  </conditionalFormatting>
  <conditionalFormatting sqref="J49">
    <cfRule type="containsText" dxfId="2" priority="5883" operator="containsText" text="실패">
      <formula>NOT(ISERROR(SEARCH(("실패"),(J49))))</formula>
    </cfRule>
  </conditionalFormatting>
  <conditionalFormatting sqref="J49">
    <cfRule type="containsText" dxfId="3" priority="5884" operator="containsText" text="관리">
      <formula>NOT(ISERROR(SEARCH(("관리"),(J49))))</formula>
    </cfRule>
  </conditionalFormatting>
  <conditionalFormatting sqref="J49">
    <cfRule type="containsText" dxfId="4" priority="5885" operator="containsText" text="등록">
      <formula>NOT(ISERROR(SEARCH(("등록"),(J49))))</formula>
    </cfRule>
  </conditionalFormatting>
  <conditionalFormatting sqref="J49">
    <cfRule type="containsText" dxfId="0" priority="5886" operator="containsText" text="거부">
      <formula>NOT(ISERROR(SEARCH(("거부"),(J49))))</formula>
    </cfRule>
  </conditionalFormatting>
  <conditionalFormatting sqref="J49">
    <cfRule type="containsText" dxfId="1" priority="5887" operator="containsText" text="리턴">
      <formula>NOT(ISERROR(SEARCH(("리턴"),(J49))))</formula>
    </cfRule>
  </conditionalFormatting>
  <conditionalFormatting sqref="J49">
    <cfRule type="containsText" dxfId="2" priority="5888" operator="containsText" text="실패">
      <formula>NOT(ISERROR(SEARCH(("실패"),(J49))))</formula>
    </cfRule>
  </conditionalFormatting>
  <conditionalFormatting sqref="J49">
    <cfRule type="containsText" dxfId="3" priority="5889" operator="containsText" text="관리">
      <formula>NOT(ISERROR(SEARCH(("관리"),(J49))))</formula>
    </cfRule>
  </conditionalFormatting>
  <conditionalFormatting sqref="J49">
    <cfRule type="containsText" dxfId="4" priority="5890" operator="containsText" text="등록">
      <formula>NOT(ISERROR(SEARCH(("등록"),(J49))))</formula>
    </cfRule>
  </conditionalFormatting>
  <conditionalFormatting sqref="J49">
    <cfRule type="containsText" dxfId="0" priority="5891" operator="containsText" text="거부">
      <formula>NOT(ISERROR(SEARCH(("거부"),(J49))))</formula>
    </cfRule>
  </conditionalFormatting>
  <conditionalFormatting sqref="J49">
    <cfRule type="containsText" dxfId="1" priority="5892" operator="containsText" text="리턴">
      <formula>NOT(ISERROR(SEARCH(("리턴"),(J49))))</formula>
    </cfRule>
  </conditionalFormatting>
  <conditionalFormatting sqref="J49">
    <cfRule type="containsText" dxfId="2" priority="5893" operator="containsText" text="실패">
      <formula>NOT(ISERROR(SEARCH(("실패"),(J49))))</formula>
    </cfRule>
  </conditionalFormatting>
  <conditionalFormatting sqref="J49">
    <cfRule type="containsText" dxfId="3" priority="5894" operator="containsText" text="관리">
      <formula>NOT(ISERROR(SEARCH(("관리"),(J49))))</formula>
    </cfRule>
  </conditionalFormatting>
  <conditionalFormatting sqref="J49">
    <cfRule type="containsText" dxfId="4" priority="5895" operator="containsText" text="등록">
      <formula>NOT(ISERROR(SEARCH(("등록"),(J49))))</formula>
    </cfRule>
  </conditionalFormatting>
  <conditionalFormatting sqref="J49">
    <cfRule type="containsText" dxfId="0" priority="5896" operator="containsText" text="거부">
      <formula>NOT(ISERROR(SEARCH(("거부"),(J49))))</formula>
    </cfRule>
  </conditionalFormatting>
  <conditionalFormatting sqref="J49">
    <cfRule type="containsText" dxfId="1" priority="5897" operator="containsText" text="리턴">
      <formula>NOT(ISERROR(SEARCH(("리턴"),(J49))))</formula>
    </cfRule>
  </conditionalFormatting>
  <conditionalFormatting sqref="J49">
    <cfRule type="containsText" dxfId="2" priority="5898" operator="containsText" text="실패">
      <formula>NOT(ISERROR(SEARCH(("실패"),(J49))))</formula>
    </cfRule>
  </conditionalFormatting>
  <conditionalFormatting sqref="J49">
    <cfRule type="containsText" dxfId="3" priority="5899" operator="containsText" text="관리">
      <formula>NOT(ISERROR(SEARCH(("관리"),(J49))))</formula>
    </cfRule>
  </conditionalFormatting>
  <conditionalFormatting sqref="J49">
    <cfRule type="containsText" dxfId="4" priority="5900" operator="containsText" text="등록">
      <formula>NOT(ISERROR(SEARCH(("등록"),(J49))))</formula>
    </cfRule>
  </conditionalFormatting>
  <conditionalFormatting sqref="J49">
    <cfRule type="containsText" dxfId="0" priority="5901" operator="containsText" text="거부">
      <formula>NOT(ISERROR(SEARCH(("거부"),(J49))))</formula>
    </cfRule>
  </conditionalFormatting>
  <conditionalFormatting sqref="J49">
    <cfRule type="containsText" dxfId="1" priority="5902" operator="containsText" text="리턴">
      <formula>NOT(ISERROR(SEARCH(("리턴"),(J49))))</formula>
    </cfRule>
  </conditionalFormatting>
  <conditionalFormatting sqref="J49">
    <cfRule type="containsText" dxfId="2" priority="5903" operator="containsText" text="실패">
      <formula>NOT(ISERROR(SEARCH(("실패"),(J49))))</formula>
    </cfRule>
  </conditionalFormatting>
  <conditionalFormatting sqref="J49">
    <cfRule type="containsText" dxfId="3" priority="5904" operator="containsText" text="관리">
      <formula>NOT(ISERROR(SEARCH(("관리"),(J49))))</formula>
    </cfRule>
  </conditionalFormatting>
  <conditionalFormatting sqref="J49">
    <cfRule type="containsText" dxfId="4" priority="5905" operator="containsText" text="등록">
      <formula>NOT(ISERROR(SEARCH(("등록"),(J49))))</formula>
    </cfRule>
  </conditionalFormatting>
  <conditionalFormatting sqref="J49">
    <cfRule type="containsText" dxfId="0" priority="5906" operator="containsText" text="거부">
      <formula>NOT(ISERROR(SEARCH(("거부"),(J49))))</formula>
    </cfRule>
  </conditionalFormatting>
  <conditionalFormatting sqref="J49">
    <cfRule type="containsText" dxfId="1" priority="5907" operator="containsText" text="리턴">
      <formula>NOT(ISERROR(SEARCH(("리턴"),(J49))))</formula>
    </cfRule>
  </conditionalFormatting>
  <conditionalFormatting sqref="J49">
    <cfRule type="containsText" dxfId="2" priority="5908" operator="containsText" text="실패">
      <formula>NOT(ISERROR(SEARCH(("실패"),(J49))))</formula>
    </cfRule>
  </conditionalFormatting>
  <conditionalFormatting sqref="J49">
    <cfRule type="containsText" dxfId="3" priority="5909" operator="containsText" text="관리">
      <formula>NOT(ISERROR(SEARCH(("관리"),(J49))))</formula>
    </cfRule>
  </conditionalFormatting>
  <conditionalFormatting sqref="J49">
    <cfRule type="containsText" dxfId="4" priority="5910" operator="containsText" text="등록">
      <formula>NOT(ISERROR(SEARCH(("등록"),(J49))))</formula>
    </cfRule>
  </conditionalFormatting>
  <conditionalFormatting sqref="J49">
    <cfRule type="containsText" dxfId="0" priority="5911" operator="containsText" text="거부">
      <formula>NOT(ISERROR(SEARCH(("거부"),(J49))))</formula>
    </cfRule>
  </conditionalFormatting>
  <conditionalFormatting sqref="J49">
    <cfRule type="containsText" dxfId="1" priority="5912" operator="containsText" text="리턴">
      <formula>NOT(ISERROR(SEARCH(("리턴"),(J49))))</formula>
    </cfRule>
  </conditionalFormatting>
  <conditionalFormatting sqref="J49">
    <cfRule type="containsText" dxfId="2" priority="5913" operator="containsText" text="실패">
      <formula>NOT(ISERROR(SEARCH(("실패"),(J49))))</formula>
    </cfRule>
  </conditionalFormatting>
  <conditionalFormatting sqref="J49">
    <cfRule type="containsText" dxfId="3" priority="5914" operator="containsText" text="관리">
      <formula>NOT(ISERROR(SEARCH(("관리"),(J49))))</formula>
    </cfRule>
  </conditionalFormatting>
  <conditionalFormatting sqref="J49">
    <cfRule type="containsText" dxfId="4" priority="5915" operator="containsText" text="등록">
      <formula>NOT(ISERROR(SEARCH(("등록"),(J49))))</formula>
    </cfRule>
  </conditionalFormatting>
  <conditionalFormatting sqref="J49">
    <cfRule type="containsText" dxfId="0" priority="5916" operator="containsText" text="거부">
      <formula>NOT(ISERROR(SEARCH(("거부"),(J49))))</formula>
    </cfRule>
  </conditionalFormatting>
  <conditionalFormatting sqref="J49">
    <cfRule type="containsText" dxfId="1" priority="5917" operator="containsText" text="리턴">
      <formula>NOT(ISERROR(SEARCH(("리턴"),(J49))))</formula>
    </cfRule>
  </conditionalFormatting>
  <conditionalFormatting sqref="J49">
    <cfRule type="containsText" dxfId="2" priority="5918" operator="containsText" text="실패">
      <formula>NOT(ISERROR(SEARCH(("실패"),(J49))))</formula>
    </cfRule>
  </conditionalFormatting>
  <conditionalFormatting sqref="J49">
    <cfRule type="containsText" dxfId="3" priority="5919" operator="containsText" text="관리">
      <formula>NOT(ISERROR(SEARCH(("관리"),(J49))))</formula>
    </cfRule>
  </conditionalFormatting>
  <conditionalFormatting sqref="J49">
    <cfRule type="containsText" dxfId="4" priority="5920" operator="containsText" text="등록">
      <formula>NOT(ISERROR(SEARCH(("등록"),(J49))))</formula>
    </cfRule>
  </conditionalFormatting>
  <conditionalFormatting sqref="J49">
    <cfRule type="containsText" dxfId="0" priority="5921" operator="containsText" text="거부">
      <formula>NOT(ISERROR(SEARCH(("거부"),(J49))))</formula>
    </cfRule>
  </conditionalFormatting>
  <conditionalFormatting sqref="J49">
    <cfRule type="containsText" dxfId="1" priority="5922" operator="containsText" text="리턴">
      <formula>NOT(ISERROR(SEARCH(("리턴"),(J49))))</formula>
    </cfRule>
  </conditionalFormatting>
  <conditionalFormatting sqref="J49">
    <cfRule type="containsText" dxfId="2" priority="5923" operator="containsText" text="실패">
      <formula>NOT(ISERROR(SEARCH(("실패"),(J49))))</formula>
    </cfRule>
  </conditionalFormatting>
  <conditionalFormatting sqref="J49">
    <cfRule type="containsText" dxfId="3" priority="5924" operator="containsText" text="관리">
      <formula>NOT(ISERROR(SEARCH(("관리"),(J49))))</formula>
    </cfRule>
  </conditionalFormatting>
  <conditionalFormatting sqref="J49">
    <cfRule type="containsText" dxfId="4" priority="5925" operator="containsText" text="등록">
      <formula>NOT(ISERROR(SEARCH(("등록"),(J49))))</formula>
    </cfRule>
  </conditionalFormatting>
  <conditionalFormatting sqref="A50">
    <cfRule type="containsText" dxfId="0" priority="5926" operator="containsText" text="거부">
      <formula>NOT(ISERROR(SEARCH(("거부"),(A50))))</formula>
    </cfRule>
  </conditionalFormatting>
  <conditionalFormatting sqref="A50">
    <cfRule type="containsText" dxfId="1" priority="5927" operator="containsText" text="리턴">
      <formula>NOT(ISERROR(SEARCH(("리턴"),(A50))))</formula>
    </cfRule>
  </conditionalFormatting>
  <conditionalFormatting sqref="A50">
    <cfRule type="containsText" dxfId="2" priority="5928" operator="containsText" text="실패">
      <formula>NOT(ISERROR(SEARCH(("실패"),(A50))))</formula>
    </cfRule>
  </conditionalFormatting>
  <conditionalFormatting sqref="A50">
    <cfRule type="containsText" dxfId="3" priority="5929" operator="containsText" text="관리">
      <formula>NOT(ISERROR(SEARCH(("관리"),(A50))))</formula>
    </cfRule>
  </conditionalFormatting>
  <conditionalFormatting sqref="A50">
    <cfRule type="containsText" dxfId="4" priority="5930" operator="containsText" text="등록">
      <formula>NOT(ISERROR(SEARCH(("등록"),(A50))))</formula>
    </cfRule>
  </conditionalFormatting>
  <conditionalFormatting sqref="A50">
    <cfRule type="containsText" dxfId="0" priority="5931" operator="containsText" text="거부">
      <formula>NOT(ISERROR(SEARCH(("거부"),(A50))))</formula>
    </cfRule>
  </conditionalFormatting>
  <conditionalFormatting sqref="A50">
    <cfRule type="containsText" dxfId="1" priority="5932" operator="containsText" text="리턴">
      <formula>NOT(ISERROR(SEARCH(("리턴"),(A50))))</formula>
    </cfRule>
  </conditionalFormatting>
  <conditionalFormatting sqref="A50">
    <cfRule type="containsText" dxfId="2" priority="5933" operator="containsText" text="실패">
      <formula>NOT(ISERROR(SEARCH(("실패"),(A50))))</formula>
    </cfRule>
  </conditionalFormatting>
  <conditionalFormatting sqref="A50">
    <cfRule type="containsText" dxfId="3" priority="5934" operator="containsText" text="관리">
      <formula>NOT(ISERROR(SEARCH(("관리"),(A50))))</formula>
    </cfRule>
  </conditionalFormatting>
  <conditionalFormatting sqref="A50">
    <cfRule type="containsText" dxfId="4" priority="5935" operator="containsText" text="등록">
      <formula>NOT(ISERROR(SEARCH(("등록"),(A50))))</formula>
    </cfRule>
  </conditionalFormatting>
  <conditionalFormatting sqref="A50">
    <cfRule type="containsText" dxfId="0" priority="5936" operator="containsText" text="거부">
      <formula>NOT(ISERROR(SEARCH(("거부"),(A50))))</formula>
    </cfRule>
  </conditionalFormatting>
  <conditionalFormatting sqref="A50">
    <cfRule type="containsText" dxfId="1" priority="5937" operator="containsText" text="리턴">
      <formula>NOT(ISERROR(SEARCH(("리턴"),(A50))))</formula>
    </cfRule>
  </conditionalFormatting>
  <conditionalFormatting sqref="A50">
    <cfRule type="containsText" dxfId="2" priority="5938" operator="containsText" text="실패">
      <formula>NOT(ISERROR(SEARCH(("실패"),(A50))))</formula>
    </cfRule>
  </conditionalFormatting>
  <conditionalFormatting sqref="A50">
    <cfRule type="containsText" dxfId="3" priority="5939" operator="containsText" text="관리">
      <formula>NOT(ISERROR(SEARCH(("관리"),(A50))))</formula>
    </cfRule>
  </conditionalFormatting>
  <conditionalFormatting sqref="A50">
    <cfRule type="containsText" dxfId="4" priority="5940" operator="containsText" text="등록">
      <formula>NOT(ISERROR(SEARCH(("등록"),(A50))))</formula>
    </cfRule>
  </conditionalFormatting>
  <conditionalFormatting sqref="A50">
    <cfRule type="containsText" dxfId="0" priority="5941" operator="containsText" text="거부">
      <formula>NOT(ISERROR(SEARCH(("거부"),(A50))))</formula>
    </cfRule>
  </conditionalFormatting>
  <conditionalFormatting sqref="A50">
    <cfRule type="containsText" dxfId="1" priority="5942" operator="containsText" text="리턴">
      <formula>NOT(ISERROR(SEARCH(("리턴"),(A50))))</formula>
    </cfRule>
  </conditionalFormatting>
  <conditionalFormatting sqref="A50">
    <cfRule type="containsText" dxfId="2" priority="5943" operator="containsText" text="실패">
      <formula>NOT(ISERROR(SEARCH(("실패"),(A50))))</formula>
    </cfRule>
  </conditionalFormatting>
  <conditionalFormatting sqref="A50">
    <cfRule type="containsText" dxfId="3" priority="5944" operator="containsText" text="관리">
      <formula>NOT(ISERROR(SEARCH(("관리"),(A50))))</formula>
    </cfRule>
  </conditionalFormatting>
  <conditionalFormatting sqref="A50">
    <cfRule type="containsText" dxfId="4" priority="5945" operator="containsText" text="등록">
      <formula>NOT(ISERROR(SEARCH(("등록"),(A50))))</formula>
    </cfRule>
  </conditionalFormatting>
  <conditionalFormatting sqref="A50">
    <cfRule type="containsText" dxfId="0" priority="5946" operator="containsText" text="거부">
      <formula>NOT(ISERROR(SEARCH(("거부"),(A50))))</formula>
    </cfRule>
  </conditionalFormatting>
  <conditionalFormatting sqref="A50">
    <cfRule type="containsText" dxfId="1" priority="5947" operator="containsText" text="리턴">
      <formula>NOT(ISERROR(SEARCH(("리턴"),(A50))))</formula>
    </cfRule>
  </conditionalFormatting>
  <conditionalFormatting sqref="A50">
    <cfRule type="containsText" dxfId="2" priority="5948" operator="containsText" text="실패">
      <formula>NOT(ISERROR(SEARCH(("실패"),(A50))))</formula>
    </cfRule>
  </conditionalFormatting>
  <conditionalFormatting sqref="A50">
    <cfRule type="containsText" dxfId="3" priority="5949" operator="containsText" text="관리">
      <formula>NOT(ISERROR(SEARCH(("관리"),(A50))))</formula>
    </cfRule>
  </conditionalFormatting>
  <conditionalFormatting sqref="A50">
    <cfRule type="containsText" dxfId="4" priority="5950" operator="containsText" text="등록">
      <formula>NOT(ISERROR(SEARCH(("등록"),(A50))))</formula>
    </cfRule>
  </conditionalFormatting>
  <conditionalFormatting sqref="A50">
    <cfRule type="containsText" dxfId="0" priority="5951" operator="containsText" text="거부">
      <formula>NOT(ISERROR(SEARCH(("거부"),(A50))))</formula>
    </cfRule>
  </conditionalFormatting>
  <conditionalFormatting sqref="A50">
    <cfRule type="containsText" dxfId="1" priority="5952" operator="containsText" text="리턴">
      <formula>NOT(ISERROR(SEARCH(("리턴"),(A50))))</formula>
    </cfRule>
  </conditionalFormatting>
  <conditionalFormatting sqref="A50">
    <cfRule type="containsText" dxfId="2" priority="5953" operator="containsText" text="실패">
      <formula>NOT(ISERROR(SEARCH(("실패"),(A50))))</formula>
    </cfRule>
  </conditionalFormatting>
  <conditionalFormatting sqref="A50">
    <cfRule type="containsText" dxfId="3" priority="5954" operator="containsText" text="관리">
      <formula>NOT(ISERROR(SEARCH(("관리"),(A50))))</formula>
    </cfRule>
  </conditionalFormatting>
  <conditionalFormatting sqref="A50">
    <cfRule type="containsText" dxfId="4" priority="5955" operator="containsText" text="등록">
      <formula>NOT(ISERROR(SEARCH(("등록"),(A50))))</formula>
    </cfRule>
  </conditionalFormatting>
  <conditionalFormatting sqref="A50">
    <cfRule type="containsText" dxfId="0" priority="5956" operator="containsText" text="거부">
      <formula>NOT(ISERROR(SEARCH(("거부"),(A50))))</formula>
    </cfRule>
  </conditionalFormatting>
  <conditionalFormatting sqref="A50">
    <cfRule type="containsText" dxfId="1" priority="5957" operator="containsText" text="리턴">
      <formula>NOT(ISERROR(SEARCH(("리턴"),(A50))))</formula>
    </cfRule>
  </conditionalFormatting>
  <conditionalFormatting sqref="A50">
    <cfRule type="containsText" dxfId="2" priority="5958" operator="containsText" text="실패">
      <formula>NOT(ISERROR(SEARCH(("실패"),(A50))))</formula>
    </cfRule>
  </conditionalFormatting>
  <conditionalFormatting sqref="A50">
    <cfRule type="containsText" dxfId="3" priority="5959" operator="containsText" text="관리">
      <formula>NOT(ISERROR(SEARCH(("관리"),(A50))))</formula>
    </cfRule>
  </conditionalFormatting>
  <conditionalFormatting sqref="A50">
    <cfRule type="containsText" dxfId="4" priority="5960" operator="containsText" text="등록">
      <formula>NOT(ISERROR(SEARCH(("등록"),(A50))))</formula>
    </cfRule>
  </conditionalFormatting>
  <conditionalFormatting sqref="A50">
    <cfRule type="containsText" dxfId="0" priority="5961" operator="containsText" text="거부">
      <formula>NOT(ISERROR(SEARCH(("거부"),(A50))))</formula>
    </cfRule>
  </conditionalFormatting>
  <conditionalFormatting sqref="A50">
    <cfRule type="containsText" dxfId="1" priority="5962" operator="containsText" text="리턴">
      <formula>NOT(ISERROR(SEARCH(("리턴"),(A50))))</formula>
    </cfRule>
  </conditionalFormatting>
  <conditionalFormatting sqref="A50">
    <cfRule type="containsText" dxfId="2" priority="5963" operator="containsText" text="실패">
      <formula>NOT(ISERROR(SEARCH(("실패"),(A50))))</formula>
    </cfRule>
  </conditionalFormatting>
  <conditionalFormatting sqref="A50">
    <cfRule type="containsText" dxfId="3" priority="5964" operator="containsText" text="관리">
      <formula>NOT(ISERROR(SEARCH(("관리"),(A50))))</formula>
    </cfRule>
  </conditionalFormatting>
  <conditionalFormatting sqref="A50">
    <cfRule type="containsText" dxfId="4" priority="5965" operator="containsText" text="등록">
      <formula>NOT(ISERROR(SEARCH(("등록"),(A50))))</formula>
    </cfRule>
  </conditionalFormatting>
  <conditionalFormatting sqref="A50">
    <cfRule type="containsText" dxfId="0" priority="5966" operator="containsText" text="거부">
      <formula>NOT(ISERROR(SEARCH(("거부"),(A50))))</formula>
    </cfRule>
  </conditionalFormatting>
  <conditionalFormatting sqref="A50">
    <cfRule type="containsText" dxfId="1" priority="5967" operator="containsText" text="리턴">
      <formula>NOT(ISERROR(SEARCH(("리턴"),(A50))))</formula>
    </cfRule>
  </conditionalFormatting>
  <conditionalFormatting sqref="A50">
    <cfRule type="containsText" dxfId="2" priority="5968" operator="containsText" text="실패">
      <formula>NOT(ISERROR(SEARCH(("실패"),(A50))))</formula>
    </cfRule>
  </conditionalFormatting>
  <conditionalFormatting sqref="A50">
    <cfRule type="containsText" dxfId="3" priority="5969" operator="containsText" text="관리">
      <formula>NOT(ISERROR(SEARCH(("관리"),(A50))))</formula>
    </cfRule>
  </conditionalFormatting>
  <conditionalFormatting sqref="A50">
    <cfRule type="containsText" dxfId="4" priority="5970" operator="containsText" text="등록">
      <formula>NOT(ISERROR(SEARCH(("등록"),(A50))))</formula>
    </cfRule>
  </conditionalFormatting>
  <conditionalFormatting sqref="A50">
    <cfRule type="containsText" dxfId="0" priority="5971" operator="containsText" text="거부">
      <formula>NOT(ISERROR(SEARCH(("거부"),(A50))))</formula>
    </cfRule>
  </conditionalFormatting>
  <conditionalFormatting sqref="A50">
    <cfRule type="containsText" dxfId="1" priority="5972" operator="containsText" text="리턴">
      <formula>NOT(ISERROR(SEARCH(("리턴"),(A50))))</formula>
    </cfRule>
  </conditionalFormatting>
  <conditionalFormatting sqref="A50">
    <cfRule type="containsText" dxfId="2" priority="5973" operator="containsText" text="실패">
      <formula>NOT(ISERROR(SEARCH(("실패"),(A50))))</formula>
    </cfRule>
  </conditionalFormatting>
  <conditionalFormatting sqref="A50">
    <cfRule type="containsText" dxfId="3" priority="5974" operator="containsText" text="관리">
      <formula>NOT(ISERROR(SEARCH(("관리"),(A50))))</formula>
    </cfRule>
  </conditionalFormatting>
  <conditionalFormatting sqref="A50">
    <cfRule type="containsText" dxfId="4" priority="5975" operator="containsText" text="등록">
      <formula>NOT(ISERROR(SEARCH(("등록"),(A50))))</formula>
    </cfRule>
  </conditionalFormatting>
  <conditionalFormatting sqref="D50">
    <cfRule type="containsText" dxfId="0" priority="5976" operator="containsText" text="거부">
      <formula>NOT(ISERROR(SEARCH(("거부"),(D50))))</formula>
    </cfRule>
  </conditionalFormatting>
  <conditionalFormatting sqref="D50">
    <cfRule type="containsText" dxfId="1" priority="5977" operator="containsText" text="리턴">
      <formula>NOT(ISERROR(SEARCH(("리턴"),(D50))))</formula>
    </cfRule>
  </conditionalFormatting>
  <conditionalFormatting sqref="D50">
    <cfRule type="containsText" dxfId="2" priority="5978" operator="containsText" text="실패">
      <formula>NOT(ISERROR(SEARCH(("실패"),(D50))))</formula>
    </cfRule>
  </conditionalFormatting>
  <conditionalFormatting sqref="D50">
    <cfRule type="containsText" dxfId="3" priority="5979" operator="containsText" text="관리">
      <formula>NOT(ISERROR(SEARCH(("관리"),(D50))))</formula>
    </cfRule>
  </conditionalFormatting>
  <conditionalFormatting sqref="D50">
    <cfRule type="containsText" dxfId="4" priority="5980" operator="containsText" text="등록">
      <formula>NOT(ISERROR(SEARCH(("등록"),(D50))))</formula>
    </cfRule>
  </conditionalFormatting>
  <conditionalFormatting sqref="D50">
    <cfRule type="containsText" dxfId="0" priority="5981" operator="containsText" text="거부">
      <formula>NOT(ISERROR(SEARCH(("거부"),(D50))))</formula>
    </cfRule>
  </conditionalFormatting>
  <conditionalFormatting sqref="D50">
    <cfRule type="containsText" dxfId="1" priority="5982" operator="containsText" text="리턴">
      <formula>NOT(ISERROR(SEARCH(("리턴"),(D50))))</formula>
    </cfRule>
  </conditionalFormatting>
  <conditionalFormatting sqref="D50">
    <cfRule type="containsText" dxfId="2" priority="5983" operator="containsText" text="실패">
      <formula>NOT(ISERROR(SEARCH(("실패"),(D50))))</formula>
    </cfRule>
  </conditionalFormatting>
  <conditionalFormatting sqref="D50">
    <cfRule type="containsText" dxfId="3" priority="5984" operator="containsText" text="관리">
      <formula>NOT(ISERROR(SEARCH(("관리"),(D50))))</formula>
    </cfRule>
  </conditionalFormatting>
  <conditionalFormatting sqref="D50">
    <cfRule type="containsText" dxfId="4" priority="5985" operator="containsText" text="등록">
      <formula>NOT(ISERROR(SEARCH(("등록"),(D50))))</formula>
    </cfRule>
  </conditionalFormatting>
  <conditionalFormatting sqref="D50">
    <cfRule type="containsText" dxfId="0" priority="5986" operator="containsText" text="거부">
      <formula>NOT(ISERROR(SEARCH(("거부"),(D50))))</formula>
    </cfRule>
  </conditionalFormatting>
  <conditionalFormatting sqref="D50">
    <cfRule type="containsText" dxfId="1" priority="5987" operator="containsText" text="리턴">
      <formula>NOT(ISERROR(SEARCH(("리턴"),(D50))))</formula>
    </cfRule>
  </conditionalFormatting>
  <conditionalFormatting sqref="D50">
    <cfRule type="containsText" dxfId="2" priority="5988" operator="containsText" text="실패">
      <formula>NOT(ISERROR(SEARCH(("실패"),(D50))))</formula>
    </cfRule>
  </conditionalFormatting>
  <conditionalFormatting sqref="D50">
    <cfRule type="containsText" dxfId="3" priority="5989" operator="containsText" text="관리">
      <formula>NOT(ISERROR(SEARCH(("관리"),(D50))))</formula>
    </cfRule>
  </conditionalFormatting>
  <conditionalFormatting sqref="D50">
    <cfRule type="containsText" dxfId="4" priority="5990" operator="containsText" text="등록">
      <formula>NOT(ISERROR(SEARCH(("등록"),(D50))))</formula>
    </cfRule>
  </conditionalFormatting>
  <conditionalFormatting sqref="D50">
    <cfRule type="containsText" dxfId="0" priority="5991" operator="containsText" text="거부">
      <formula>NOT(ISERROR(SEARCH(("거부"),(D50))))</formula>
    </cfRule>
  </conditionalFormatting>
  <conditionalFormatting sqref="D50">
    <cfRule type="containsText" dxfId="1" priority="5992" operator="containsText" text="리턴">
      <formula>NOT(ISERROR(SEARCH(("리턴"),(D50))))</formula>
    </cfRule>
  </conditionalFormatting>
  <conditionalFormatting sqref="D50">
    <cfRule type="containsText" dxfId="2" priority="5993" operator="containsText" text="실패">
      <formula>NOT(ISERROR(SEARCH(("실패"),(D50))))</formula>
    </cfRule>
  </conditionalFormatting>
  <conditionalFormatting sqref="D50">
    <cfRule type="containsText" dxfId="3" priority="5994" operator="containsText" text="관리">
      <formula>NOT(ISERROR(SEARCH(("관리"),(D50))))</formula>
    </cfRule>
  </conditionalFormatting>
  <conditionalFormatting sqref="D50">
    <cfRule type="containsText" dxfId="4" priority="5995" operator="containsText" text="등록">
      <formula>NOT(ISERROR(SEARCH(("등록"),(D50))))</formula>
    </cfRule>
  </conditionalFormatting>
  <conditionalFormatting sqref="D50">
    <cfRule type="containsText" dxfId="0" priority="5996" operator="containsText" text="거부">
      <formula>NOT(ISERROR(SEARCH(("거부"),(D50))))</formula>
    </cfRule>
  </conditionalFormatting>
  <conditionalFormatting sqref="D50">
    <cfRule type="containsText" dxfId="1" priority="5997" operator="containsText" text="리턴">
      <formula>NOT(ISERROR(SEARCH(("리턴"),(D50))))</formula>
    </cfRule>
  </conditionalFormatting>
  <conditionalFormatting sqref="D50">
    <cfRule type="containsText" dxfId="2" priority="5998" operator="containsText" text="실패">
      <formula>NOT(ISERROR(SEARCH(("실패"),(D50))))</formula>
    </cfRule>
  </conditionalFormatting>
  <conditionalFormatting sqref="D50">
    <cfRule type="containsText" dxfId="3" priority="5999" operator="containsText" text="관리">
      <formula>NOT(ISERROR(SEARCH(("관리"),(D50))))</formula>
    </cfRule>
  </conditionalFormatting>
  <conditionalFormatting sqref="D50">
    <cfRule type="containsText" dxfId="4" priority="6000" operator="containsText" text="등록">
      <formula>NOT(ISERROR(SEARCH(("등록"),(D50))))</formula>
    </cfRule>
  </conditionalFormatting>
  <conditionalFormatting sqref="J50">
    <cfRule type="containsText" dxfId="0" priority="6001" operator="containsText" text="거부">
      <formula>NOT(ISERROR(SEARCH(("거부"),(J50))))</formula>
    </cfRule>
  </conditionalFormatting>
  <conditionalFormatting sqref="J50">
    <cfRule type="containsText" dxfId="1" priority="6002" operator="containsText" text="리턴">
      <formula>NOT(ISERROR(SEARCH(("리턴"),(J50))))</formula>
    </cfRule>
  </conditionalFormatting>
  <conditionalFormatting sqref="J50">
    <cfRule type="containsText" dxfId="2" priority="6003" operator="containsText" text="실패">
      <formula>NOT(ISERROR(SEARCH(("실패"),(J50))))</formula>
    </cfRule>
  </conditionalFormatting>
  <conditionalFormatting sqref="J50">
    <cfRule type="containsText" dxfId="3" priority="6004" operator="containsText" text="관리">
      <formula>NOT(ISERROR(SEARCH(("관리"),(J50))))</formula>
    </cfRule>
  </conditionalFormatting>
  <conditionalFormatting sqref="J50">
    <cfRule type="containsText" dxfId="4" priority="6005" operator="containsText" text="등록">
      <formula>NOT(ISERROR(SEARCH(("등록"),(J50))))</formula>
    </cfRule>
  </conditionalFormatting>
  <conditionalFormatting sqref="J50">
    <cfRule type="containsText" dxfId="0" priority="6006" operator="containsText" text="거부">
      <formula>NOT(ISERROR(SEARCH(("거부"),(J50))))</formula>
    </cfRule>
  </conditionalFormatting>
  <conditionalFormatting sqref="J50">
    <cfRule type="containsText" dxfId="1" priority="6007" operator="containsText" text="리턴">
      <formula>NOT(ISERROR(SEARCH(("리턴"),(J50))))</formula>
    </cfRule>
  </conditionalFormatting>
  <conditionalFormatting sqref="J50">
    <cfRule type="containsText" dxfId="2" priority="6008" operator="containsText" text="실패">
      <formula>NOT(ISERROR(SEARCH(("실패"),(J50))))</formula>
    </cfRule>
  </conditionalFormatting>
  <conditionalFormatting sqref="J50">
    <cfRule type="containsText" dxfId="3" priority="6009" operator="containsText" text="관리">
      <formula>NOT(ISERROR(SEARCH(("관리"),(J50))))</formula>
    </cfRule>
  </conditionalFormatting>
  <conditionalFormatting sqref="J50">
    <cfRule type="containsText" dxfId="4" priority="6010" operator="containsText" text="등록">
      <formula>NOT(ISERROR(SEARCH(("등록"),(J50))))</formula>
    </cfRule>
  </conditionalFormatting>
  <conditionalFormatting sqref="J50">
    <cfRule type="containsText" dxfId="0" priority="6011" operator="containsText" text="거부">
      <formula>NOT(ISERROR(SEARCH(("거부"),(J50))))</formula>
    </cfRule>
  </conditionalFormatting>
  <conditionalFormatting sqref="J50">
    <cfRule type="containsText" dxfId="1" priority="6012" operator="containsText" text="리턴">
      <formula>NOT(ISERROR(SEARCH(("리턴"),(J50))))</formula>
    </cfRule>
  </conditionalFormatting>
  <conditionalFormatting sqref="J50">
    <cfRule type="containsText" dxfId="2" priority="6013" operator="containsText" text="실패">
      <formula>NOT(ISERROR(SEARCH(("실패"),(J50))))</formula>
    </cfRule>
  </conditionalFormatting>
  <conditionalFormatting sqref="J50">
    <cfRule type="containsText" dxfId="3" priority="6014" operator="containsText" text="관리">
      <formula>NOT(ISERROR(SEARCH(("관리"),(J50))))</formula>
    </cfRule>
  </conditionalFormatting>
  <conditionalFormatting sqref="J50">
    <cfRule type="containsText" dxfId="4" priority="6015" operator="containsText" text="등록">
      <formula>NOT(ISERROR(SEARCH(("등록"),(J50))))</formula>
    </cfRule>
  </conditionalFormatting>
  <conditionalFormatting sqref="J50">
    <cfRule type="containsText" dxfId="0" priority="6016" operator="containsText" text="거부">
      <formula>NOT(ISERROR(SEARCH(("거부"),(J50))))</formula>
    </cfRule>
  </conditionalFormatting>
  <conditionalFormatting sqref="J50">
    <cfRule type="containsText" dxfId="1" priority="6017" operator="containsText" text="리턴">
      <formula>NOT(ISERROR(SEARCH(("리턴"),(J50))))</formula>
    </cfRule>
  </conditionalFormatting>
  <conditionalFormatting sqref="J50">
    <cfRule type="containsText" dxfId="2" priority="6018" operator="containsText" text="실패">
      <formula>NOT(ISERROR(SEARCH(("실패"),(J50))))</formula>
    </cfRule>
  </conditionalFormatting>
  <conditionalFormatting sqref="J50">
    <cfRule type="containsText" dxfId="3" priority="6019" operator="containsText" text="관리">
      <formula>NOT(ISERROR(SEARCH(("관리"),(J50))))</formula>
    </cfRule>
  </conditionalFormatting>
  <conditionalFormatting sqref="J50">
    <cfRule type="containsText" dxfId="4" priority="6020" operator="containsText" text="등록">
      <formula>NOT(ISERROR(SEARCH(("등록"),(J50))))</formula>
    </cfRule>
  </conditionalFormatting>
  <conditionalFormatting sqref="J50">
    <cfRule type="containsText" dxfId="0" priority="6021" operator="containsText" text="거부">
      <formula>NOT(ISERROR(SEARCH(("거부"),(J50))))</formula>
    </cfRule>
  </conditionalFormatting>
  <conditionalFormatting sqref="J50">
    <cfRule type="containsText" dxfId="1" priority="6022" operator="containsText" text="리턴">
      <formula>NOT(ISERROR(SEARCH(("리턴"),(J50))))</formula>
    </cfRule>
  </conditionalFormatting>
  <conditionalFormatting sqref="J50">
    <cfRule type="containsText" dxfId="2" priority="6023" operator="containsText" text="실패">
      <formula>NOT(ISERROR(SEARCH(("실패"),(J50))))</formula>
    </cfRule>
  </conditionalFormatting>
  <conditionalFormatting sqref="J50">
    <cfRule type="containsText" dxfId="3" priority="6024" operator="containsText" text="관리">
      <formula>NOT(ISERROR(SEARCH(("관리"),(J50))))</formula>
    </cfRule>
  </conditionalFormatting>
  <conditionalFormatting sqref="J50">
    <cfRule type="containsText" dxfId="4" priority="6025" operator="containsText" text="등록">
      <formula>NOT(ISERROR(SEARCH(("등록"),(J50))))</formula>
    </cfRule>
  </conditionalFormatting>
  <conditionalFormatting sqref="J50">
    <cfRule type="containsText" dxfId="0" priority="6026" operator="containsText" text="거부">
      <formula>NOT(ISERROR(SEARCH(("거부"),(J50))))</formula>
    </cfRule>
  </conditionalFormatting>
  <conditionalFormatting sqref="J50">
    <cfRule type="containsText" dxfId="1" priority="6027" operator="containsText" text="리턴">
      <formula>NOT(ISERROR(SEARCH(("리턴"),(J50))))</formula>
    </cfRule>
  </conditionalFormatting>
  <conditionalFormatting sqref="J50">
    <cfRule type="containsText" dxfId="2" priority="6028" operator="containsText" text="실패">
      <formula>NOT(ISERROR(SEARCH(("실패"),(J50))))</formula>
    </cfRule>
  </conditionalFormatting>
  <conditionalFormatting sqref="J50">
    <cfRule type="containsText" dxfId="3" priority="6029" operator="containsText" text="관리">
      <formula>NOT(ISERROR(SEARCH(("관리"),(J50))))</formula>
    </cfRule>
  </conditionalFormatting>
  <conditionalFormatting sqref="J50">
    <cfRule type="containsText" dxfId="4" priority="6030" operator="containsText" text="등록">
      <formula>NOT(ISERROR(SEARCH(("등록"),(J50))))</formula>
    </cfRule>
  </conditionalFormatting>
  <conditionalFormatting sqref="J50">
    <cfRule type="containsText" dxfId="0" priority="6031" operator="containsText" text="거부">
      <formula>NOT(ISERROR(SEARCH(("거부"),(J50))))</formula>
    </cfRule>
  </conditionalFormatting>
  <conditionalFormatting sqref="J50">
    <cfRule type="containsText" dxfId="1" priority="6032" operator="containsText" text="리턴">
      <formula>NOT(ISERROR(SEARCH(("리턴"),(J50))))</formula>
    </cfRule>
  </conditionalFormatting>
  <conditionalFormatting sqref="J50">
    <cfRule type="containsText" dxfId="2" priority="6033" operator="containsText" text="실패">
      <formula>NOT(ISERROR(SEARCH(("실패"),(J50))))</formula>
    </cfRule>
  </conditionalFormatting>
  <conditionalFormatting sqref="J50">
    <cfRule type="containsText" dxfId="3" priority="6034" operator="containsText" text="관리">
      <formula>NOT(ISERROR(SEARCH(("관리"),(J50))))</formula>
    </cfRule>
  </conditionalFormatting>
  <conditionalFormatting sqref="J50">
    <cfRule type="containsText" dxfId="4" priority="6035" operator="containsText" text="등록">
      <formula>NOT(ISERROR(SEARCH(("등록"),(J50))))</formula>
    </cfRule>
  </conditionalFormatting>
  <conditionalFormatting sqref="J50">
    <cfRule type="containsText" dxfId="0" priority="6036" operator="containsText" text="거부">
      <formula>NOT(ISERROR(SEARCH(("거부"),(J50))))</formula>
    </cfRule>
  </conditionalFormatting>
  <conditionalFormatting sqref="J50">
    <cfRule type="containsText" dxfId="1" priority="6037" operator="containsText" text="리턴">
      <formula>NOT(ISERROR(SEARCH(("리턴"),(J50))))</formula>
    </cfRule>
  </conditionalFormatting>
  <conditionalFormatting sqref="J50">
    <cfRule type="containsText" dxfId="2" priority="6038" operator="containsText" text="실패">
      <formula>NOT(ISERROR(SEARCH(("실패"),(J50))))</formula>
    </cfRule>
  </conditionalFormatting>
  <conditionalFormatting sqref="J50">
    <cfRule type="containsText" dxfId="3" priority="6039" operator="containsText" text="관리">
      <formula>NOT(ISERROR(SEARCH(("관리"),(J50))))</formula>
    </cfRule>
  </conditionalFormatting>
  <conditionalFormatting sqref="J50">
    <cfRule type="containsText" dxfId="4" priority="6040" operator="containsText" text="등록">
      <formula>NOT(ISERROR(SEARCH(("등록"),(J50))))</formula>
    </cfRule>
  </conditionalFormatting>
  <conditionalFormatting sqref="J50">
    <cfRule type="containsText" dxfId="0" priority="6041" operator="containsText" text="거부">
      <formula>NOT(ISERROR(SEARCH(("거부"),(J50))))</formula>
    </cfRule>
  </conditionalFormatting>
  <conditionalFormatting sqref="J50">
    <cfRule type="containsText" dxfId="1" priority="6042" operator="containsText" text="리턴">
      <formula>NOT(ISERROR(SEARCH(("리턴"),(J50))))</formula>
    </cfRule>
  </conditionalFormatting>
  <conditionalFormatting sqref="J50">
    <cfRule type="containsText" dxfId="2" priority="6043" operator="containsText" text="실패">
      <formula>NOT(ISERROR(SEARCH(("실패"),(J50))))</formula>
    </cfRule>
  </conditionalFormatting>
  <conditionalFormatting sqref="J50">
    <cfRule type="containsText" dxfId="3" priority="6044" operator="containsText" text="관리">
      <formula>NOT(ISERROR(SEARCH(("관리"),(J50))))</formula>
    </cfRule>
  </conditionalFormatting>
  <conditionalFormatting sqref="J50">
    <cfRule type="containsText" dxfId="4" priority="6045" operator="containsText" text="등록">
      <formula>NOT(ISERROR(SEARCH(("등록"),(J50))))</formula>
    </cfRule>
  </conditionalFormatting>
  <conditionalFormatting sqref="J50">
    <cfRule type="containsText" dxfId="0" priority="6046" operator="containsText" text="거부">
      <formula>NOT(ISERROR(SEARCH(("거부"),(J50))))</formula>
    </cfRule>
  </conditionalFormatting>
  <conditionalFormatting sqref="J50">
    <cfRule type="containsText" dxfId="1" priority="6047" operator="containsText" text="리턴">
      <formula>NOT(ISERROR(SEARCH(("리턴"),(J50))))</formula>
    </cfRule>
  </conditionalFormatting>
  <conditionalFormatting sqref="J50">
    <cfRule type="containsText" dxfId="2" priority="6048" operator="containsText" text="실패">
      <formula>NOT(ISERROR(SEARCH(("실패"),(J50))))</formula>
    </cfRule>
  </conditionalFormatting>
  <conditionalFormatting sqref="J50">
    <cfRule type="containsText" dxfId="3" priority="6049" operator="containsText" text="관리">
      <formula>NOT(ISERROR(SEARCH(("관리"),(J50))))</formula>
    </cfRule>
  </conditionalFormatting>
  <conditionalFormatting sqref="J50">
    <cfRule type="containsText" dxfId="4" priority="6050" operator="containsText" text="등록">
      <formula>NOT(ISERROR(SEARCH(("등록"),(J50))))</formula>
    </cfRule>
  </conditionalFormatting>
  <conditionalFormatting sqref="J50">
    <cfRule type="containsText" dxfId="0" priority="6051" operator="containsText" text="거부">
      <formula>NOT(ISERROR(SEARCH(("거부"),(J50))))</formula>
    </cfRule>
  </conditionalFormatting>
  <conditionalFormatting sqref="J50">
    <cfRule type="containsText" dxfId="1" priority="6052" operator="containsText" text="리턴">
      <formula>NOT(ISERROR(SEARCH(("리턴"),(J50))))</formula>
    </cfRule>
  </conditionalFormatting>
  <conditionalFormatting sqref="J50">
    <cfRule type="containsText" dxfId="2" priority="6053" operator="containsText" text="실패">
      <formula>NOT(ISERROR(SEARCH(("실패"),(J50))))</formula>
    </cfRule>
  </conditionalFormatting>
  <conditionalFormatting sqref="J50">
    <cfRule type="containsText" dxfId="3" priority="6054" operator="containsText" text="관리">
      <formula>NOT(ISERROR(SEARCH(("관리"),(J50))))</formula>
    </cfRule>
  </conditionalFormatting>
  <conditionalFormatting sqref="J50">
    <cfRule type="containsText" dxfId="4" priority="6055" operator="containsText" text="등록">
      <formula>NOT(ISERROR(SEARCH(("등록"),(J50))))</formula>
    </cfRule>
  </conditionalFormatting>
  <conditionalFormatting sqref="J50">
    <cfRule type="containsText" dxfId="0" priority="6056" operator="containsText" text="거부">
      <formula>NOT(ISERROR(SEARCH(("거부"),(J50))))</formula>
    </cfRule>
  </conditionalFormatting>
  <conditionalFormatting sqref="J50">
    <cfRule type="containsText" dxfId="1" priority="6057" operator="containsText" text="리턴">
      <formula>NOT(ISERROR(SEARCH(("리턴"),(J50))))</formula>
    </cfRule>
  </conditionalFormatting>
  <conditionalFormatting sqref="J50">
    <cfRule type="containsText" dxfId="2" priority="6058" operator="containsText" text="실패">
      <formula>NOT(ISERROR(SEARCH(("실패"),(J50))))</formula>
    </cfRule>
  </conditionalFormatting>
  <conditionalFormatting sqref="J50">
    <cfRule type="containsText" dxfId="3" priority="6059" operator="containsText" text="관리">
      <formula>NOT(ISERROR(SEARCH(("관리"),(J50))))</formula>
    </cfRule>
  </conditionalFormatting>
  <conditionalFormatting sqref="J50">
    <cfRule type="containsText" dxfId="4" priority="6060" operator="containsText" text="등록">
      <formula>NOT(ISERROR(SEARCH(("등록"),(J50))))</formula>
    </cfRule>
  </conditionalFormatting>
  <conditionalFormatting sqref="J50">
    <cfRule type="containsText" dxfId="0" priority="6061" operator="containsText" text="거부">
      <formula>NOT(ISERROR(SEARCH(("거부"),(J50))))</formula>
    </cfRule>
  </conditionalFormatting>
  <conditionalFormatting sqref="J50">
    <cfRule type="containsText" dxfId="1" priority="6062" operator="containsText" text="리턴">
      <formula>NOT(ISERROR(SEARCH(("리턴"),(J50))))</formula>
    </cfRule>
  </conditionalFormatting>
  <conditionalFormatting sqref="J50">
    <cfRule type="containsText" dxfId="2" priority="6063" operator="containsText" text="실패">
      <formula>NOT(ISERROR(SEARCH(("실패"),(J50))))</formula>
    </cfRule>
  </conditionalFormatting>
  <conditionalFormatting sqref="J50">
    <cfRule type="containsText" dxfId="3" priority="6064" operator="containsText" text="관리">
      <formula>NOT(ISERROR(SEARCH(("관리"),(J50))))</formula>
    </cfRule>
  </conditionalFormatting>
  <conditionalFormatting sqref="J50">
    <cfRule type="containsText" dxfId="4" priority="6065" operator="containsText" text="등록">
      <formula>NOT(ISERROR(SEARCH(("등록"),(J50))))</formula>
    </cfRule>
  </conditionalFormatting>
  <conditionalFormatting sqref="J50">
    <cfRule type="containsText" dxfId="0" priority="6066" operator="containsText" text="거부">
      <formula>NOT(ISERROR(SEARCH(("거부"),(J50))))</formula>
    </cfRule>
  </conditionalFormatting>
  <conditionalFormatting sqref="J50">
    <cfRule type="containsText" dxfId="1" priority="6067" operator="containsText" text="리턴">
      <formula>NOT(ISERROR(SEARCH(("리턴"),(J50))))</formula>
    </cfRule>
  </conditionalFormatting>
  <conditionalFormatting sqref="J50">
    <cfRule type="containsText" dxfId="2" priority="6068" operator="containsText" text="실패">
      <formula>NOT(ISERROR(SEARCH(("실패"),(J50))))</formula>
    </cfRule>
  </conditionalFormatting>
  <conditionalFormatting sqref="J50">
    <cfRule type="containsText" dxfId="3" priority="6069" operator="containsText" text="관리">
      <formula>NOT(ISERROR(SEARCH(("관리"),(J50))))</formula>
    </cfRule>
  </conditionalFormatting>
  <conditionalFormatting sqref="J50">
    <cfRule type="containsText" dxfId="4" priority="6070" operator="containsText" text="등록">
      <formula>NOT(ISERROR(SEARCH(("등록"),(J50))))</formula>
    </cfRule>
  </conditionalFormatting>
  <conditionalFormatting sqref="J50">
    <cfRule type="containsText" dxfId="0" priority="6071" operator="containsText" text="거부">
      <formula>NOT(ISERROR(SEARCH(("거부"),(J50))))</formula>
    </cfRule>
  </conditionalFormatting>
  <conditionalFormatting sqref="J50">
    <cfRule type="containsText" dxfId="1" priority="6072" operator="containsText" text="리턴">
      <formula>NOT(ISERROR(SEARCH(("리턴"),(J50))))</formula>
    </cfRule>
  </conditionalFormatting>
  <conditionalFormatting sqref="J50">
    <cfRule type="containsText" dxfId="2" priority="6073" operator="containsText" text="실패">
      <formula>NOT(ISERROR(SEARCH(("실패"),(J50))))</formula>
    </cfRule>
  </conditionalFormatting>
  <conditionalFormatting sqref="J50">
    <cfRule type="containsText" dxfId="3" priority="6074" operator="containsText" text="관리">
      <formula>NOT(ISERROR(SEARCH(("관리"),(J50))))</formula>
    </cfRule>
  </conditionalFormatting>
  <conditionalFormatting sqref="J50">
    <cfRule type="containsText" dxfId="4" priority="6075" operator="containsText" text="등록">
      <formula>NOT(ISERROR(SEARCH(("등록"),(J50))))</formula>
    </cfRule>
  </conditionalFormatting>
  <conditionalFormatting sqref="A55">
    <cfRule type="containsText" dxfId="0" priority="6076" operator="containsText" text="거부">
      <formula>NOT(ISERROR(SEARCH(("거부"),(A55))))</formula>
    </cfRule>
  </conditionalFormatting>
  <conditionalFormatting sqref="A55">
    <cfRule type="containsText" dxfId="1" priority="6077" operator="containsText" text="리턴">
      <formula>NOT(ISERROR(SEARCH(("리턴"),(A55))))</formula>
    </cfRule>
  </conditionalFormatting>
  <conditionalFormatting sqref="A55">
    <cfRule type="containsText" dxfId="2" priority="6078" operator="containsText" text="실패">
      <formula>NOT(ISERROR(SEARCH(("실패"),(A55))))</formula>
    </cfRule>
  </conditionalFormatting>
  <conditionalFormatting sqref="A55">
    <cfRule type="containsText" dxfId="3" priority="6079" operator="containsText" text="관리">
      <formula>NOT(ISERROR(SEARCH(("관리"),(A55))))</formula>
    </cfRule>
  </conditionalFormatting>
  <conditionalFormatting sqref="A55">
    <cfRule type="containsText" dxfId="4" priority="6080" operator="containsText" text="등록">
      <formula>NOT(ISERROR(SEARCH(("등록"),(A55))))</formula>
    </cfRule>
  </conditionalFormatting>
  <conditionalFormatting sqref="A55">
    <cfRule type="containsText" dxfId="0" priority="6081" operator="containsText" text="거부">
      <formula>NOT(ISERROR(SEARCH(("거부"),(A55))))</formula>
    </cfRule>
  </conditionalFormatting>
  <conditionalFormatting sqref="A55">
    <cfRule type="containsText" dxfId="1" priority="6082" operator="containsText" text="리턴">
      <formula>NOT(ISERROR(SEARCH(("리턴"),(A55))))</formula>
    </cfRule>
  </conditionalFormatting>
  <conditionalFormatting sqref="A55">
    <cfRule type="containsText" dxfId="2" priority="6083" operator="containsText" text="실패">
      <formula>NOT(ISERROR(SEARCH(("실패"),(A55))))</formula>
    </cfRule>
  </conditionalFormatting>
  <conditionalFormatting sqref="A55">
    <cfRule type="containsText" dxfId="3" priority="6084" operator="containsText" text="관리">
      <formula>NOT(ISERROR(SEARCH(("관리"),(A55))))</formula>
    </cfRule>
  </conditionalFormatting>
  <conditionalFormatting sqref="A55">
    <cfRule type="containsText" dxfId="4" priority="6085" operator="containsText" text="등록">
      <formula>NOT(ISERROR(SEARCH(("등록"),(A55))))</formula>
    </cfRule>
  </conditionalFormatting>
  <conditionalFormatting sqref="A55">
    <cfRule type="containsText" dxfId="0" priority="6086" operator="containsText" text="거부">
      <formula>NOT(ISERROR(SEARCH(("거부"),(A55))))</formula>
    </cfRule>
  </conditionalFormatting>
  <conditionalFormatting sqref="A55">
    <cfRule type="containsText" dxfId="1" priority="6087" operator="containsText" text="리턴">
      <formula>NOT(ISERROR(SEARCH(("리턴"),(A55))))</formula>
    </cfRule>
  </conditionalFormatting>
  <conditionalFormatting sqref="A55">
    <cfRule type="containsText" dxfId="2" priority="6088" operator="containsText" text="실패">
      <formula>NOT(ISERROR(SEARCH(("실패"),(A55))))</formula>
    </cfRule>
  </conditionalFormatting>
  <conditionalFormatting sqref="A55">
    <cfRule type="containsText" dxfId="3" priority="6089" operator="containsText" text="관리">
      <formula>NOT(ISERROR(SEARCH(("관리"),(A55))))</formula>
    </cfRule>
  </conditionalFormatting>
  <conditionalFormatting sqref="A55">
    <cfRule type="containsText" dxfId="4" priority="6090" operator="containsText" text="등록">
      <formula>NOT(ISERROR(SEARCH(("등록"),(A55))))</formula>
    </cfRule>
  </conditionalFormatting>
  <conditionalFormatting sqref="A55">
    <cfRule type="containsText" dxfId="0" priority="6091" operator="containsText" text="거부">
      <formula>NOT(ISERROR(SEARCH(("거부"),(A55))))</formula>
    </cfRule>
  </conditionalFormatting>
  <conditionalFormatting sqref="A55">
    <cfRule type="containsText" dxfId="1" priority="6092" operator="containsText" text="리턴">
      <formula>NOT(ISERROR(SEARCH(("리턴"),(A55))))</formula>
    </cfRule>
  </conditionalFormatting>
  <conditionalFormatting sqref="A55">
    <cfRule type="containsText" dxfId="2" priority="6093" operator="containsText" text="실패">
      <formula>NOT(ISERROR(SEARCH(("실패"),(A55))))</formula>
    </cfRule>
  </conditionalFormatting>
  <conditionalFormatting sqref="A55">
    <cfRule type="containsText" dxfId="3" priority="6094" operator="containsText" text="관리">
      <formula>NOT(ISERROR(SEARCH(("관리"),(A55))))</formula>
    </cfRule>
  </conditionalFormatting>
  <conditionalFormatting sqref="A55">
    <cfRule type="containsText" dxfId="4" priority="6095" operator="containsText" text="등록">
      <formula>NOT(ISERROR(SEARCH(("등록"),(A55))))</formula>
    </cfRule>
  </conditionalFormatting>
  <conditionalFormatting sqref="A55">
    <cfRule type="containsText" dxfId="0" priority="6096" operator="containsText" text="거부">
      <formula>NOT(ISERROR(SEARCH(("거부"),(A55))))</formula>
    </cfRule>
  </conditionalFormatting>
  <conditionalFormatting sqref="A55">
    <cfRule type="containsText" dxfId="1" priority="6097" operator="containsText" text="리턴">
      <formula>NOT(ISERROR(SEARCH(("리턴"),(A55))))</formula>
    </cfRule>
  </conditionalFormatting>
  <conditionalFormatting sqref="A55">
    <cfRule type="containsText" dxfId="2" priority="6098" operator="containsText" text="실패">
      <formula>NOT(ISERROR(SEARCH(("실패"),(A55))))</formula>
    </cfRule>
  </conditionalFormatting>
  <conditionalFormatting sqref="A55">
    <cfRule type="containsText" dxfId="3" priority="6099" operator="containsText" text="관리">
      <formula>NOT(ISERROR(SEARCH(("관리"),(A55))))</formula>
    </cfRule>
  </conditionalFormatting>
  <conditionalFormatting sqref="A55">
    <cfRule type="containsText" dxfId="4" priority="6100" operator="containsText" text="등록">
      <formula>NOT(ISERROR(SEARCH(("등록"),(A55))))</formula>
    </cfRule>
  </conditionalFormatting>
  <conditionalFormatting sqref="A55">
    <cfRule type="containsText" dxfId="0" priority="6101" operator="containsText" text="거부">
      <formula>NOT(ISERROR(SEARCH(("거부"),(A55))))</formula>
    </cfRule>
  </conditionalFormatting>
  <conditionalFormatting sqref="A55">
    <cfRule type="containsText" dxfId="1" priority="6102" operator="containsText" text="리턴">
      <formula>NOT(ISERROR(SEARCH(("리턴"),(A55))))</formula>
    </cfRule>
  </conditionalFormatting>
  <conditionalFormatting sqref="A55">
    <cfRule type="containsText" dxfId="2" priority="6103" operator="containsText" text="실패">
      <formula>NOT(ISERROR(SEARCH(("실패"),(A55))))</formula>
    </cfRule>
  </conditionalFormatting>
  <conditionalFormatting sqref="A55">
    <cfRule type="containsText" dxfId="3" priority="6104" operator="containsText" text="관리">
      <formula>NOT(ISERROR(SEARCH(("관리"),(A55))))</formula>
    </cfRule>
  </conditionalFormatting>
  <conditionalFormatting sqref="A55">
    <cfRule type="containsText" dxfId="4" priority="6105" operator="containsText" text="등록">
      <formula>NOT(ISERROR(SEARCH(("등록"),(A55))))</formula>
    </cfRule>
  </conditionalFormatting>
  <conditionalFormatting sqref="A55">
    <cfRule type="containsText" dxfId="0" priority="6106" operator="containsText" text="거부">
      <formula>NOT(ISERROR(SEARCH(("거부"),(A55))))</formula>
    </cfRule>
  </conditionalFormatting>
  <conditionalFormatting sqref="A55">
    <cfRule type="containsText" dxfId="1" priority="6107" operator="containsText" text="리턴">
      <formula>NOT(ISERROR(SEARCH(("리턴"),(A55))))</formula>
    </cfRule>
  </conditionalFormatting>
  <conditionalFormatting sqref="A55">
    <cfRule type="containsText" dxfId="2" priority="6108" operator="containsText" text="실패">
      <formula>NOT(ISERROR(SEARCH(("실패"),(A55))))</formula>
    </cfRule>
  </conditionalFormatting>
  <conditionalFormatting sqref="A55">
    <cfRule type="containsText" dxfId="3" priority="6109" operator="containsText" text="관리">
      <formula>NOT(ISERROR(SEARCH(("관리"),(A55))))</formula>
    </cfRule>
  </conditionalFormatting>
  <conditionalFormatting sqref="A55">
    <cfRule type="containsText" dxfId="4" priority="6110" operator="containsText" text="등록">
      <formula>NOT(ISERROR(SEARCH(("등록"),(A55))))</formula>
    </cfRule>
  </conditionalFormatting>
  <conditionalFormatting sqref="A55">
    <cfRule type="containsText" dxfId="0" priority="6111" operator="containsText" text="거부">
      <formula>NOT(ISERROR(SEARCH(("거부"),(A55))))</formula>
    </cfRule>
  </conditionalFormatting>
  <conditionalFormatting sqref="A55">
    <cfRule type="containsText" dxfId="1" priority="6112" operator="containsText" text="리턴">
      <formula>NOT(ISERROR(SEARCH(("리턴"),(A55))))</formula>
    </cfRule>
  </conditionalFormatting>
  <conditionalFormatting sqref="A55">
    <cfRule type="containsText" dxfId="2" priority="6113" operator="containsText" text="실패">
      <formula>NOT(ISERROR(SEARCH(("실패"),(A55))))</formula>
    </cfRule>
  </conditionalFormatting>
  <conditionalFormatting sqref="A55">
    <cfRule type="containsText" dxfId="3" priority="6114" operator="containsText" text="관리">
      <formula>NOT(ISERROR(SEARCH(("관리"),(A55))))</formula>
    </cfRule>
  </conditionalFormatting>
  <conditionalFormatting sqref="A55">
    <cfRule type="containsText" dxfId="4" priority="6115" operator="containsText" text="등록">
      <formula>NOT(ISERROR(SEARCH(("등록"),(A55))))</formula>
    </cfRule>
  </conditionalFormatting>
  <conditionalFormatting sqref="A55">
    <cfRule type="containsText" dxfId="0" priority="6116" operator="containsText" text="거부">
      <formula>NOT(ISERROR(SEARCH(("거부"),(A55))))</formula>
    </cfRule>
  </conditionalFormatting>
  <conditionalFormatting sqref="A55">
    <cfRule type="containsText" dxfId="1" priority="6117" operator="containsText" text="리턴">
      <formula>NOT(ISERROR(SEARCH(("리턴"),(A55))))</formula>
    </cfRule>
  </conditionalFormatting>
  <conditionalFormatting sqref="A55">
    <cfRule type="containsText" dxfId="2" priority="6118" operator="containsText" text="실패">
      <formula>NOT(ISERROR(SEARCH(("실패"),(A55))))</formula>
    </cfRule>
  </conditionalFormatting>
  <conditionalFormatting sqref="A55">
    <cfRule type="containsText" dxfId="3" priority="6119" operator="containsText" text="관리">
      <formula>NOT(ISERROR(SEARCH(("관리"),(A55))))</formula>
    </cfRule>
  </conditionalFormatting>
  <conditionalFormatting sqref="A55">
    <cfRule type="containsText" dxfId="4" priority="6120" operator="containsText" text="등록">
      <formula>NOT(ISERROR(SEARCH(("등록"),(A55))))</formula>
    </cfRule>
  </conditionalFormatting>
  <conditionalFormatting sqref="A55">
    <cfRule type="containsText" dxfId="0" priority="6121" operator="containsText" text="거부">
      <formula>NOT(ISERROR(SEARCH(("거부"),(A55))))</formula>
    </cfRule>
  </conditionalFormatting>
  <conditionalFormatting sqref="A55">
    <cfRule type="containsText" dxfId="1" priority="6122" operator="containsText" text="리턴">
      <formula>NOT(ISERROR(SEARCH(("리턴"),(A55))))</formula>
    </cfRule>
  </conditionalFormatting>
  <conditionalFormatting sqref="A55">
    <cfRule type="containsText" dxfId="2" priority="6123" operator="containsText" text="실패">
      <formula>NOT(ISERROR(SEARCH(("실패"),(A55))))</formula>
    </cfRule>
  </conditionalFormatting>
  <conditionalFormatting sqref="A55">
    <cfRule type="containsText" dxfId="3" priority="6124" operator="containsText" text="관리">
      <formula>NOT(ISERROR(SEARCH(("관리"),(A55))))</formula>
    </cfRule>
  </conditionalFormatting>
  <conditionalFormatting sqref="A55">
    <cfRule type="containsText" dxfId="4" priority="6125" operator="containsText" text="등록">
      <formula>NOT(ISERROR(SEARCH(("등록"),(A55))))</formula>
    </cfRule>
  </conditionalFormatting>
  <conditionalFormatting sqref="A55">
    <cfRule type="containsText" dxfId="0" priority="6126" operator="containsText" text="거부">
      <formula>NOT(ISERROR(SEARCH(("거부"),(A55))))</formula>
    </cfRule>
  </conditionalFormatting>
  <conditionalFormatting sqref="A55">
    <cfRule type="containsText" dxfId="1" priority="6127" operator="containsText" text="리턴">
      <formula>NOT(ISERROR(SEARCH(("리턴"),(A55))))</formula>
    </cfRule>
  </conditionalFormatting>
  <conditionalFormatting sqref="A55">
    <cfRule type="containsText" dxfId="2" priority="6128" operator="containsText" text="실패">
      <formula>NOT(ISERROR(SEARCH(("실패"),(A55))))</formula>
    </cfRule>
  </conditionalFormatting>
  <conditionalFormatting sqref="A55">
    <cfRule type="containsText" dxfId="3" priority="6129" operator="containsText" text="관리">
      <formula>NOT(ISERROR(SEARCH(("관리"),(A55))))</formula>
    </cfRule>
  </conditionalFormatting>
  <conditionalFormatting sqref="A55">
    <cfRule type="containsText" dxfId="4" priority="6130" operator="containsText" text="등록">
      <formula>NOT(ISERROR(SEARCH(("등록"),(A55))))</formula>
    </cfRule>
  </conditionalFormatting>
  <conditionalFormatting sqref="A55">
    <cfRule type="containsText" dxfId="0" priority="6131" operator="containsText" text="거부">
      <formula>NOT(ISERROR(SEARCH(("거부"),(A55))))</formula>
    </cfRule>
  </conditionalFormatting>
  <conditionalFormatting sqref="A55">
    <cfRule type="containsText" dxfId="1" priority="6132" operator="containsText" text="리턴">
      <formula>NOT(ISERROR(SEARCH(("리턴"),(A55))))</formula>
    </cfRule>
  </conditionalFormatting>
  <conditionalFormatting sqref="A55">
    <cfRule type="containsText" dxfId="2" priority="6133" operator="containsText" text="실패">
      <formula>NOT(ISERROR(SEARCH(("실패"),(A55))))</formula>
    </cfRule>
  </conditionalFormatting>
  <conditionalFormatting sqref="A55">
    <cfRule type="containsText" dxfId="3" priority="6134" operator="containsText" text="관리">
      <formula>NOT(ISERROR(SEARCH(("관리"),(A55))))</formula>
    </cfRule>
  </conditionalFormatting>
  <conditionalFormatting sqref="A55">
    <cfRule type="containsText" dxfId="4" priority="6135" operator="containsText" text="등록">
      <formula>NOT(ISERROR(SEARCH(("등록"),(A55))))</formula>
    </cfRule>
  </conditionalFormatting>
  <conditionalFormatting sqref="A55">
    <cfRule type="containsText" dxfId="0" priority="6136" operator="containsText" text="거부">
      <formula>NOT(ISERROR(SEARCH(("거부"),(A55))))</formula>
    </cfRule>
  </conditionalFormatting>
  <conditionalFormatting sqref="A55">
    <cfRule type="containsText" dxfId="1" priority="6137" operator="containsText" text="리턴">
      <formula>NOT(ISERROR(SEARCH(("리턴"),(A55))))</formula>
    </cfRule>
  </conditionalFormatting>
  <conditionalFormatting sqref="A55">
    <cfRule type="containsText" dxfId="2" priority="6138" operator="containsText" text="실패">
      <formula>NOT(ISERROR(SEARCH(("실패"),(A55))))</formula>
    </cfRule>
  </conditionalFormatting>
  <conditionalFormatting sqref="A55">
    <cfRule type="containsText" dxfId="3" priority="6139" operator="containsText" text="관리">
      <formula>NOT(ISERROR(SEARCH(("관리"),(A55))))</formula>
    </cfRule>
  </conditionalFormatting>
  <conditionalFormatting sqref="A55">
    <cfRule type="containsText" dxfId="4" priority="6140" operator="containsText" text="등록">
      <formula>NOT(ISERROR(SEARCH(("등록"),(A55))))</formula>
    </cfRule>
  </conditionalFormatting>
  <conditionalFormatting sqref="A55">
    <cfRule type="containsText" dxfId="0" priority="6141" operator="containsText" text="거부">
      <formula>NOT(ISERROR(SEARCH(("거부"),(A55))))</formula>
    </cfRule>
  </conditionalFormatting>
  <conditionalFormatting sqref="A55">
    <cfRule type="containsText" dxfId="1" priority="6142" operator="containsText" text="리턴">
      <formula>NOT(ISERROR(SEARCH(("리턴"),(A55))))</formula>
    </cfRule>
  </conditionalFormatting>
  <conditionalFormatting sqref="A55">
    <cfRule type="containsText" dxfId="2" priority="6143" operator="containsText" text="실패">
      <formula>NOT(ISERROR(SEARCH(("실패"),(A55))))</formula>
    </cfRule>
  </conditionalFormatting>
  <conditionalFormatting sqref="A55">
    <cfRule type="containsText" dxfId="3" priority="6144" operator="containsText" text="관리">
      <formula>NOT(ISERROR(SEARCH(("관리"),(A55))))</formula>
    </cfRule>
  </conditionalFormatting>
  <conditionalFormatting sqref="A55">
    <cfRule type="containsText" dxfId="4" priority="6145" operator="containsText" text="등록">
      <formula>NOT(ISERROR(SEARCH(("등록"),(A55))))</formula>
    </cfRule>
  </conditionalFormatting>
  <conditionalFormatting sqref="A55">
    <cfRule type="containsText" dxfId="0" priority="6146" operator="containsText" text="거부">
      <formula>NOT(ISERROR(SEARCH(("거부"),(A55))))</formula>
    </cfRule>
  </conditionalFormatting>
  <conditionalFormatting sqref="A55">
    <cfRule type="containsText" dxfId="1" priority="6147" operator="containsText" text="리턴">
      <formula>NOT(ISERROR(SEARCH(("리턴"),(A55))))</formula>
    </cfRule>
  </conditionalFormatting>
  <conditionalFormatting sqref="A55">
    <cfRule type="containsText" dxfId="2" priority="6148" operator="containsText" text="실패">
      <formula>NOT(ISERROR(SEARCH(("실패"),(A55))))</formula>
    </cfRule>
  </conditionalFormatting>
  <conditionalFormatting sqref="A55">
    <cfRule type="containsText" dxfId="3" priority="6149" operator="containsText" text="관리">
      <formula>NOT(ISERROR(SEARCH(("관리"),(A55))))</formula>
    </cfRule>
  </conditionalFormatting>
  <conditionalFormatting sqref="A55">
    <cfRule type="containsText" dxfId="4" priority="6150" operator="containsText" text="등록">
      <formula>NOT(ISERROR(SEARCH(("등록"),(A55))))</formula>
    </cfRule>
  </conditionalFormatting>
  <conditionalFormatting sqref="A55">
    <cfRule type="containsText" dxfId="0" priority="6151" operator="containsText" text="거부">
      <formula>NOT(ISERROR(SEARCH(("거부"),(A55))))</formula>
    </cfRule>
  </conditionalFormatting>
  <conditionalFormatting sqref="A55">
    <cfRule type="containsText" dxfId="1" priority="6152" operator="containsText" text="리턴">
      <formula>NOT(ISERROR(SEARCH(("리턴"),(A55))))</formula>
    </cfRule>
  </conditionalFormatting>
  <conditionalFormatting sqref="A55">
    <cfRule type="containsText" dxfId="2" priority="6153" operator="containsText" text="실패">
      <formula>NOT(ISERROR(SEARCH(("실패"),(A55))))</formula>
    </cfRule>
  </conditionalFormatting>
  <conditionalFormatting sqref="A55">
    <cfRule type="containsText" dxfId="3" priority="6154" operator="containsText" text="관리">
      <formula>NOT(ISERROR(SEARCH(("관리"),(A55))))</formula>
    </cfRule>
  </conditionalFormatting>
  <conditionalFormatting sqref="A55">
    <cfRule type="containsText" dxfId="4" priority="6155" operator="containsText" text="등록">
      <formula>NOT(ISERROR(SEARCH(("등록"),(A55))))</formula>
    </cfRule>
  </conditionalFormatting>
  <conditionalFormatting sqref="A55">
    <cfRule type="containsText" dxfId="0" priority="6156" operator="containsText" text="거부">
      <formula>NOT(ISERROR(SEARCH(("거부"),(A55))))</formula>
    </cfRule>
  </conditionalFormatting>
  <conditionalFormatting sqref="A55">
    <cfRule type="containsText" dxfId="1" priority="6157" operator="containsText" text="리턴">
      <formula>NOT(ISERROR(SEARCH(("리턴"),(A55))))</formula>
    </cfRule>
  </conditionalFormatting>
  <conditionalFormatting sqref="A55">
    <cfRule type="containsText" dxfId="2" priority="6158" operator="containsText" text="실패">
      <formula>NOT(ISERROR(SEARCH(("실패"),(A55))))</formula>
    </cfRule>
  </conditionalFormatting>
  <conditionalFormatting sqref="A55">
    <cfRule type="containsText" dxfId="3" priority="6159" operator="containsText" text="관리">
      <formula>NOT(ISERROR(SEARCH(("관리"),(A55))))</formula>
    </cfRule>
  </conditionalFormatting>
  <conditionalFormatting sqref="A55">
    <cfRule type="containsText" dxfId="4" priority="6160" operator="containsText" text="등록">
      <formula>NOT(ISERROR(SEARCH(("등록"),(A55))))</formula>
    </cfRule>
  </conditionalFormatting>
  <conditionalFormatting sqref="A55">
    <cfRule type="containsText" dxfId="0" priority="6161" operator="containsText" text="거부">
      <formula>NOT(ISERROR(SEARCH(("거부"),(A55))))</formula>
    </cfRule>
  </conditionalFormatting>
  <conditionalFormatting sqref="A55">
    <cfRule type="containsText" dxfId="1" priority="6162" operator="containsText" text="리턴">
      <formula>NOT(ISERROR(SEARCH(("리턴"),(A55))))</formula>
    </cfRule>
  </conditionalFormatting>
  <conditionalFormatting sqref="A55">
    <cfRule type="containsText" dxfId="2" priority="6163" operator="containsText" text="실패">
      <formula>NOT(ISERROR(SEARCH(("실패"),(A55))))</formula>
    </cfRule>
  </conditionalFormatting>
  <conditionalFormatting sqref="A55">
    <cfRule type="containsText" dxfId="3" priority="6164" operator="containsText" text="관리">
      <formula>NOT(ISERROR(SEARCH(("관리"),(A55))))</formula>
    </cfRule>
  </conditionalFormatting>
  <conditionalFormatting sqref="A55">
    <cfRule type="containsText" dxfId="4" priority="6165" operator="containsText" text="등록">
      <formula>NOT(ISERROR(SEARCH(("등록"),(A55))))</formula>
    </cfRule>
  </conditionalFormatting>
  <conditionalFormatting sqref="A55">
    <cfRule type="containsText" dxfId="0" priority="6166" operator="containsText" text="거부">
      <formula>NOT(ISERROR(SEARCH(("거부"),(A55))))</formula>
    </cfRule>
  </conditionalFormatting>
  <conditionalFormatting sqref="A55">
    <cfRule type="containsText" dxfId="1" priority="6167" operator="containsText" text="리턴">
      <formula>NOT(ISERROR(SEARCH(("리턴"),(A55))))</formula>
    </cfRule>
  </conditionalFormatting>
  <conditionalFormatting sqref="A55">
    <cfRule type="containsText" dxfId="2" priority="6168" operator="containsText" text="실패">
      <formula>NOT(ISERROR(SEARCH(("실패"),(A55))))</formula>
    </cfRule>
  </conditionalFormatting>
  <conditionalFormatting sqref="A55">
    <cfRule type="containsText" dxfId="3" priority="6169" operator="containsText" text="관리">
      <formula>NOT(ISERROR(SEARCH(("관리"),(A55))))</formula>
    </cfRule>
  </conditionalFormatting>
  <conditionalFormatting sqref="A55">
    <cfRule type="containsText" dxfId="4" priority="6170" operator="containsText" text="등록">
      <formula>NOT(ISERROR(SEARCH(("등록"),(A55))))</formula>
    </cfRule>
  </conditionalFormatting>
  <conditionalFormatting sqref="D55">
    <cfRule type="containsText" dxfId="0" priority="6171" operator="containsText" text="거부">
      <formula>NOT(ISERROR(SEARCH(("거부"),(D55))))</formula>
    </cfRule>
  </conditionalFormatting>
  <conditionalFormatting sqref="D55">
    <cfRule type="containsText" dxfId="1" priority="6172" operator="containsText" text="리턴">
      <formula>NOT(ISERROR(SEARCH(("리턴"),(D55))))</formula>
    </cfRule>
  </conditionalFormatting>
  <conditionalFormatting sqref="D55">
    <cfRule type="containsText" dxfId="2" priority="6173" operator="containsText" text="실패">
      <formula>NOT(ISERROR(SEARCH(("실패"),(D55))))</formula>
    </cfRule>
  </conditionalFormatting>
  <conditionalFormatting sqref="D55">
    <cfRule type="containsText" dxfId="3" priority="6174" operator="containsText" text="관리">
      <formula>NOT(ISERROR(SEARCH(("관리"),(D55))))</formula>
    </cfRule>
  </conditionalFormatting>
  <conditionalFormatting sqref="D55">
    <cfRule type="containsText" dxfId="4" priority="6175" operator="containsText" text="등록">
      <formula>NOT(ISERROR(SEARCH(("등록"),(D55))))</formula>
    </cfRule>
  </conditionalFormatting>
  <conditionalFormatting sqref="D55">
    <cfRule type="containsText" dxfId="0" priority="6176" operator="containsText" text="거부">
      <formula>NOT(ISERROR(SEARCH(("거부"),(D55))))</formula>
    </cfRule>
  </conditionalFormatting>
  <conditionalFormatting sqref="D55">
    <cfRule type="containsText" dxfId="1" priority="6177" operator="containsText" text="리턴">
      <formula>NOT(ISERROR(SEARCH(("리턴"),(D55))))</formula>
    </cfRule>
  </conditionalFormatting>
  <conditionalFormatting sqref="D55">
    <cfRule type="containsText" dxfId="2" priority="6178" operator="containsText" text="실패">
      <formula>NOT(ISERROR(SEARCH(("실패"),(D55))))</formula>
    </cfRule>
  </conditionalFormatting>
  <conditionalFormatting sqref="D55">
    <cfRule type="containsText" dxfId="3" priority="6179" operator="containsText" text="관리">
      <formula>NOT(ISERROR(SEARCH(("관리"),(D55))))</formula>
    </cfRule>
  </conditionalFormatting>
  <conditionalFormatting sqref="D55">
    <cfRule type="containsText" dxfId="4" priority="6180" operator="containsText" text="등록">
      <formula>NOT(ISERROR(SEARCH(("등록"),(D55))))</formula>
    </cfRule>
  </conditionalFormatting>
  <conditionalFormatting sqref="D55">
    <cfRule type="containsText" dxfId="0" priority="6181" operator="containsText" text="거부">
      <formula>NOT(ISERROR(SEARCH(("거부"),(D55))))</formula>
    </cfRule>
  </conditionalFormatting>
  <conditionalFormatting sqref="D55">
    <cfRule type="containsText" dxfId="1" priority="6182" operator="containsText" text="리턴">
      <formula>NOT(ISERROR(SEARCH(("리턴"),(D55))))</formula>
    </cfRule>
  </conditionalFormatting>
  <conditionalFormatting sqref="D55">
    <cfRule type="containsText" dxfId="2" priority="6183" operator="containsText" text="실패">
      <formula>NOT(ISERROR(SEARCH(("실패"),(D55))))</formula>
    </cfRule>
  </conditionalFormatting>
  <conditionalFormatting sqref="D55">
    <cfRule type="containsText" dxfId="3" priority="6184" operator="containsText" text="관리">
      <formula>NOT(ISERROR(SEARCH(("관리"),(D55))))</formula>
    </cfRule>
  </conditionalFormatting>
  <conditionalFormatting sqref="D55">
    <cfRule type="containsText" dxfId="4" priority="6185" operator="containsText" text="등록">
      <formula>NOT(ISERROR(SEARCH(("등록"),(D55))))</formula>
    </cfRule>
  </conditionalFormatting>
  <conditionalFormatting sqref="D55">
    <cfRule type="containsText" dxfId="0" priority="6186" operator="containsText" text="거부">
      <formula>NOT(ISERROR(SEARCH(("거부"),(D55))))</formula>
    </cfRule>
  </conditionalFormatting>
  <conditionalFormatting sqref="D55">
    <cfRule type="containsText" dxfId="1" priority="6187" operator="containsText" text="리턴">
      <formula>NOT(ISERROR(SEARCH(("리턴"),(D55))))</formula>
    </cfRule>
  </conditionalFormatting>
  <conditionalFormatting sqref="D55">
    <cfRule type="containsText" dxfId="2" priority="6188" operator="containsText" text="실패">
      <formula>NOT(ISERROR(SEARCH(("실패"),(D55))))</formula>
    </cfRule>
  </conditionalFormatting>
  <conditionalFormatting sqref="D55">
    <cfRule type="containsText" dxfId="3" priority="6189" operator="containsText" text="관리">
      <formula>NOT(ISERROR(SEARCH(("관리"),(D55))))</formula>
    </cfRule>
  </conditionalFormatting>
  <conditionalFormatting sqref="D55">
    <cfRule type="containsText" dxfId="4" priority="6190" operator="containsText" text="등록">
      <formula>NOT(ISERROR(SEARCH(("등록"),(D55))))</formula>
    </cfRule>
  </conditionalFormatting>
  <conditionalFormatting sqref="J55">
    <cfRule type="containsText" dxfId="0" priority="6191" operator="containsText" text="거부">
      <formula>NOT(ISERROR(SEARCH(("거부"),(J55))))</formula>
    </cfRule>
  </conditionalFormatting>
  <conditionalFormatting sqref="J55">
    <cfRule type="containsText" dxfId="1" priority="6192" operator="containsText" text="리턴">
      <formula>NOT(ISERROR(SEARCH(("리턴"),(J55))))</formula>
    </cfRule>
  </conditionalFormatting>
  <conditionalFormatting sqref="J55">
    <cfRule type="containsText" dxfId="2" priority="6193" operator="containsText" text="실패">
      <formula>NOT(ISERROR(SEARCH(("실패"),(J55))))</formula>
    </cfRule>
  </conditionalFormatting>
  <conditionalFormatting sqref="J55">
    <cfRule type="containsText" dxfId="3" priority="6194" operator="containsText" text="관리">
      <formula>NOT(ISERROR(SEARCH(("관리"),(J55))))</formula>
    </cfRule>
  </conditionalFormatting>
  <conditionalFormatting sqref="J55">
    <cfRule type="containsText" dxfId="4" priority="6195" operator="containsText" text="등록">
      <formula>NOT(ISERROR(SEARCH(("등록"),(J55))))</formula>
    </cfRule>
  </conditionalFormatting>
  <conditionalFormatting sqref="J55">
    <cfRule type="containsText" dxfId="0" priority="6196" operator="containsText" text="거부">
      <formula>NOT(ISERROR(SEARCH(("거부"),(J55))))</formula>
    </cfRule>
  </conditionalFormatting>
  <conditionalFormatting sqref="J55">
    <cfRule type="containsText" dxfId="1" priority="6197" operator="containsText" text="리턴">
      <formula>NOT(ISERROR(SEARCH(("리턴"),(J55))))</formula>
    </cfRule>
  </conditionalFormatting>
  <conditionalFormatting sqref="J55">
    <cfRule type="containsText" dxfId="2" priority="6198" operator="containsText" text="실패">
      <formula>NOT(ISERROR(SEARCH(("실패"),(J55))))</formula>
    </cfRule>
  </conditionalFormatting>
  <conditionalFormatting sqref="J55">
    <cfRule type="containsText" dxfId="3" priority="6199" operator="containsText" text="관리">
      <formula>NOT(ISERROR(SEARCH(("관리"),(J55))))</formula>
    </cfRule>
  </conditionalFormatting>
  <conditionalFormatting sqref="J55">
    <cfRule type="containsText" dxfId="4" priority="6200" operator="containsText" text="등록">
      <formula>NOT(ISERROR(SEARCH(("등록"),(J55))))</formula>
    </cfRule>
  </conditionalFormatting>
  <conditionalFormatting sqref="J55">
    <cfRule type="containsText" dxfId="0" priority="6201" operator="containsText" text="거부">
      <formula>NOT(ISERROR(SEARCH(("거부"),(J55))))</formula>
    </cfRule>
  </conditionalFormatting>
  <conditionalFormatting sqref="J55">
    <cfRule type="containsText" dxfId="1" priority="6202" operator="containsText" text="리턴">
      <formula>NOT(ISERROR(SEARCH(("리턴"),(J55))))</formula>
    </cfRule>
  </conditionalFormatting>
  <conditionalFormatting sqref="J55">
    <cfRule type="containsText" dxfId="2" priority="6203" operator="containsText" text="실패">
      <formula>NOT(ISERROR(SEARCH(("실패"),(J55))))</formula>
    </cfRule>
  </conditionalFormatting>
  <conditionalFormatting sqref="J55">
    <cfRule type="containsText" dxfId="3" priority="6204" operator="containsText" text="관리">
      <formula>NOT(ISERROR(SEARCH(("관리"),(J55))))</formula>
    </cfRule>
  </conditionalFormatting>
  <conditionalFormatting sqref="J55">
    <cfRule type="containsText" dxfId="4" priority="6205" operator="containsText" text="등록">
      <formula>NOT(ISERROR(SEARCH(("등록"),(J55))))</formula>
    </cfRule>
  </conditionalFormatting>
  <conditionalFormatting sqref="J55">
    <cfRule type="containsText" dxfId="0" priority="6206" operator="containsText" text="거부">
      <formula>NOT(ISERROR(SEARCH(("거부"),(J55))))</formula>
    </cfRule>
  </conditionalFormatting>
  <conditionalFormatting sqref="J55">
    <cfRule type="containsText" dxfId="1" priority="6207" operator="containsText" text="리턴">
      <formula>NOT(ISERROR(SEARCH(("리턴"),(J55))))</formula>
    </cfRule>
  </conditionalFormatting>
  <conditionalFormatting sqref="J55">
    <cfRule type="containsText" dxfId="2" priority="6208" operator="containsText" text="실패">
      <formula>NOT(ISERROR(SEARCH(("실패"),(J55))))</formula>
    </cfRule>
  </conditionalFormatting>
  <conditionalFormatting sqref="J55">
    <cfRule type="containsText" dxfId="3" priority="6209" operator="containsText" text="관리">
      <formula>NOT(ISERROR(SEARCH(("관리"),(J55))))</formula>
    </cfRule>
  </conditionalFormatting>
  <conditionalFormatting sqref="J55">
    <cfRule type="containsText" dxfId="4" priority="6210" operator="containsText" text="등록">
      <formula>NOT(ISERROR(SEARCH(("등록"),(J55))))</formula>
    </cfRule>
  </conditionalFormatting>
  <conditionalFormatting sqref="F57">
    <cfRule type="cellIs" dxfId="5" priority="6211" operator="equal">
      <formula>39067659</formula>
    </cfRule>
  </conditionalFormatting>
  <conditionalFormatting sqref="F57">
    <cfRule type="cellIs" dxfId="5" priority="6212" operator="equal">
      <formula>39067659</formula>
    </cfRule>
  </conditionalFormatting>
  <conditionalFormatting sqref="F57">
    <cfRule type="cellIs" dxfId="5" priority="6213" operator="equal">
      <formula>39067659</formula>
    </cfRule>
  </conditionalFormatting>
  <conditionalFormatting sqref="A59">
    <cfRule type="containsText" dxfId="0" priority="6214" operator="containsText" text="거부">
      <formula>NOT(ISERROR(SEARCH(("거부"),(A59))))</formula>
    </cfRule>
  </conditionalFormatting>
  <conditionalFormatting sqref="A59">
    <cfRule type="containsText" dxfId="1" priority="6215" operator="containsText" text="리턴">
      <formula>NOT(ISERROR(SEARCH(("리턴"),(A59))))</formula>
    </cfRule>
  </conditionalFormatting>
  <conditionalFormatting sqref="A59">
    <cfRule type="containsText" dxfId="2" priority="6216" operator="containsText" text="실패">
      <formula>NOT(ISERROR(SEARCH(("실패"),(A59))))</formula>
    </cfRule>
  </conditionalFormatting>
  <conditionalFormatting sqref="A59">
    <cfRule type="containsText" dxfId="3" priority="6217" operator="containsText" text="관리">
      <formula>NOT(ISERROR(SEARCH(("관리"),(A59))))</formula>
    </cfRule>
  </conditionalFormatting>
  <conditionalFormatting sqref="A59">
    <cfRule type="containsText" dxfId="4" priority="6218" operator="containsText" text="등록">
      <formula>NOT(ISERROR(SEARCH(("등록"),(A59))))</formula>
    </cfRule>
  </conditionalFormatting>
  <conditionalFormatting sqref="A59">
    <cfRule type="containsText" dxfId="0" priority="6219" operator="containsText" text="거부">
      <formula>NOT(ISERROR(SEARCH(("거부"),(A59))))</formula>
    </cfRule>
  </conditionalFormatting>
  <conditionalFormatting sqref="A59">
    <cfRule type="containsText" dxfId="1" priority="6220" operator="containsText" text="리턴">
      <formula>NOT(ISERROR(SEARCH(("리턴"),(A59))))</formula>
    </cfRule>
  </conditionalFormatting>
  <conditionalFormatting sqref="A59">
    <cfRule type="containsText" dxfId="2" priority="6221" operator="containsText" text="실패">
      <formula>NOT(ISERROR(SEARCH(("실패"),(A59))))</formula>
    </cfRule>
  </conditionalFormatting>
  <conditionalFormatting sqref="A59">
    <cfRule type="containsText" dxfId="3" priority="6222" operator="containsText" text="관리">
      <formula>NOT(ISERROR(SEARCH(("관리"),(A59))))</formula>
    </cfRule>
  </conditionalFormatting>
  <conditionalFormatting sqref="A59">
    <cfRule type="containsText" dxfId="4" priority="6223" operator="containsText" text="등록">
      <formula>NOT(ISERROR(SEARCH(("등록"),(A59))))</formula>
    </cfRule>
  </conditionalFormatting>
  <conditionalFormatting sqref="A59">
    <cfRule type="containsText" dxfId="0" priority="6224" operator="containsText" text="거부">
      <formula>NOT(ISERROR(SEARCH(("거부"),(A59))))</formula>
    </cfRule>
  </conditionalFormatting>
  <conditionalFormatting sqref="A59">
    <cfRule type="containsText" dxfId="1" priority="6225" operator="containsText" text="리턴">
      <formula>NOT(ISERROR(SEARCH(("리턴"),(A59))))</formula>
    </cfRule>
  </conditionalFormatting>
  <conditionalFormatting sqref="A59">
    <cfRule type="containsText" dxfId="2" priority="6226" operator="containsText" text="실패">
      <formula>NOT(ISERROR(SEARCH(("실패"),(A59))))</formula>
    </cfRule>
  </conditionalFormatting>
  <conditionalFormatting sqref="A59">
    <cfRule type="containsText" dxfId="3" priority="6227" operator="containsText" text="관리">
      <formula>NOT(ISERROR(SEARCH(("관리"),(A59))))</formula>
    </cfRule>
  </conditionalFormatting>
  <conditionalFormatting sqref="A59">
    <cfRule type="containsText" dxfId="4" priority="6228" operator="containsText" text="등록">
      <formula>NOT(ISERROR(SEARCH(("등록"),(A59))))</formula>
    </cfRule>
  </conditionalFormatting>
  <conditionalFormatting sqref="A59">
    <cfRule type="containsText" dxfId="0" priority="6229" operator="containsText" text="거부">
      <formula>NOT(ISERROR(SEARCH(("거부"),(A59))))</formula>
    </cfRule>
  </conditionalFormatting>
  <conditionalFormatting sqref="A59">
    <cfRule type="containsText" dxfId="1" priority="6230" operator="containsText" text="리턴">
      <formula>NOT(ISERROR(SEARCH(("리턴"),(A59))))</formula>
    </cfRule>
  </conditionalFormatting>
  <conditionalFormatting sqref="A59">
    <cfRule type="containsText" dxfId="2" priority="6231" operator="containsText" text="실패">
      <formula>NOT(ISERROR(SEARCH(("실패"),(A59))))</formula>
    </cfRule>
  </conditionalFormatting>
  <conditionalFormatting sqref="A59">
    <cfRule type="containsText" dxfId="3" priority="6232" operator="containsText" text="관리">
      <formula>NOT(ISERROR(SEARCH(("관리"),(A59))))</formula>
    </cfRule>
  </conditionalFormatting>
  <conditionalFormatting sqref="A59">
    <cfRule type="containsText" dxfId="4" priority="6233" operator="containsText" text="등록">
      <formula>NOT(ISERROR(SEARCH(("등록"),(A59))))</formula>
    </cfRule>
  </conditionalFormatting>
  <conditionalFormatting sqref="A59">
    <cfRule type="containsText" dxfId="0" priority="6234" operator="containsText" text="거부">
      <formula>NOT(ISERROR(SEARCH(("거부"),(A59))))</formula>
    </cfRule>
  </conditionalFormatting>
  <conditionalFormatting sqref="A59">
    <cfRule type="containsText" dxfId="1" priority="6235" operator="containsText" text="리턴">
      <formula>NOT(ISERROR(SEARCH(("리턴"),(A59))))</formula>
    </cfRule>
  </conditionalFormatting>
  <conditionalFormatting sqref="A59">
    <cfRule type="containsText" dxfId="2" priority="6236" operator="containsText" text="실패">
      <formula>NOT(ISERROR(SEARCH(("실패"),(A59))))</formula>
    </cfRule>
  </conditionalFormatting>
  <conditionalFormatting sqref="A59">
    <cfRule type="containsText" dxfId="3" priority="6237" operator="containsText" text="관리">
      <formula>NOT(ISERROR(SEARCH(("관리"),(A59))))</formula>
    </cfRule>
  </conditionalFormatting>
  <conditionalFormatting sqref="A59">
    <cfRule type="containsText" dxfId="4" priority="6238" operator="containsText" text="등록">
      <formula>NOT(ISERROR(SEARCH(("등록"),(A59))))</formula>
    </cfRule>
  </conditionalFormatting>
  <conditionalFormatting sqref="A59">
    <cfRule type="containsText" dxfId="0" priority="6239" operator="containsText" text="거부">
      <formula>NOT(ISERROR(SEARCH(("거부"),(A59))))</formula>
    </cfRule>
  </conditionalFormatting>
  <conditionalFormatting sqref="A59">
    <cfRule type="containsText" dxfId="1" priority="6240" operator="containsText" text="리턴">
      <formula>NOT(ISERROR(SEARCH(("리턴"),(A59))))</formula>
    </cfRule>
  </conditionalFormatting>
  <conditionalFormatting sqref="A59">
    <cfRule type="containsText" dxfId="2" priority="6241" operator="containsText" text="실패">
      <formula>NOT(ISERROR(SEARCH(("실패"),(A59))))</formula>
    </cfRule>
  </conditionalFormatting>
  <conditionalFormatting sqref="A59">
    <cfRule type="containsText" dxfId="3" priority="6242" operator="containsText" text="관리">
      <formula>NOT(ISERROR(SEARCH(("관리"),(A59))))</formula>
    </cfRule>
  </conditionalFormatting>
  <conditionalFormatting sqref="A59">
    <cfRule type="containsText" dxfId="4" priority="6243" operator="containsText" text="등록">
      <formula>NOT(ISERROR(SEARCH(("등록"),(A59))))</formula>
    </cfRule>
  </conditionalFormatting>
  <conditionalFormatting sqref="A59">
    <cfRule type="containsText" dxfId="0" priority="6244" operator="containsText" text="거부">
      <formula>NOT(ISERROR(SEARCH(("거부"),(A59))))</formula>
    </cfRule>
  </conditionalFormatting>
  <conditionalFormatting sqref="A59">
    <cfRule type="containsText" dxfId="1" priority="6245" operator="containsText" text="리턴">
      <formula>NOT(ISERROR(SEARCH(("리턴"),(A59))))</formula>
    </cfRule>
  </conditionalFormatting>
  <conditionalFormatting sqref="A59">
    <cfRule type="containsText" dxfId="2" priority="6246" operator="containsText" text="실패">
      <formula>NOT(ISERROR(SEARCH(("실패"),(A59))))</formula>
    </cfRule>
  </conditionalFormatting>
  <conditionalFormatting sqref="A59">
    <cfRule type="containsText" dxfId="3" priority="6247" operator="containsText" text="관리">
      <formula>NOT(ISERROR(SEARCH(("관리"),(A59))))</formula>
    </cfRule>
  </conditionalFormatting>
  <conditionalFormatting sqref="A59">
    <cfRule type="containsText" dxfId="4" priority="6248" operator="containsText" text="등록">
      <formula>NOT(ISERROR(SEARCH(("등록"),(A59))))</formula>
    </cfRule>
  </conditionalFormatting>
  <conditionalFormatting sqref="A59">
    <cfRule type="containsText" dxfId="0" priority="6249" operator="containsText" text="거부">
      <formula>NOT(ISERROR(SEARCH(("거부"),(A59))))</formula>
    </cfRule>
  </conditionalFormatting>
  <conditionalFormatting sqref="A59">
    <cfRule type="containsText" dxfId="1" priority="6250" operator="containsText" text="리턴">
      <formula>NOT(ISERROR(SEARCH(("리턴"),(A59))))</formula>
    </cfRule>
  </conditionalFormatting>
  <conditionalFormatting sqref="A59">
    <cfRule type="containsText" dxfId="2" priority="6251" operator="containsText" text="실패">
      <formula>NOT(ISERROR(SEARCH(("실패"),(A59))))</formula>
    </cfRule>
  </conditionalFormatting>
  <conditionalFormatting sqref="A59">
    <cfRule type="containsText" dxfId="3" priority="6252" operator="containsText" text="관리">
      <formula>NOT(ISERROR(SEARCH(("관리"),(A59))))</formula>
    </cfRule>
  </conditionalFormatting>
  <conditionalFormatting sqref="A59">
    <cfRule type="containsText" dxfId="4" priority="6253" operator="containsText" text="등록">
      <formula>NOT(ISERROR(SEARCH(("등록"),(A59))))</formula>
    </cfRule>
  </conditionalFormatting>
  <conditionalFormatting sqref="A59">
    <cfRule type="containsText" dxfId="0" priority="6254" operator="containsText" text="거부">
      <formula>NOT(ISERROR(SEARCH(("거부"),(A59))))</formula>
    </cfRule>
  </conditionalFormatting>
  <conditionalFormatting sqref="A59">
    <cfRule type="containsText" dxfId="1" priority="6255" operator="containsText" text="리턴">
      <formula>NOT(ISERROR(SEARCH(("리턴"),(A59))))</formula>
    </cfRule>
  </conditionalFormatting>
  <conditionalFormatting sqref="A59">
    <cfRule type="containsText" dxfId="2" priority="6256" operator="containsText" text="실패">
      <formula>NOT(ISERROR(SEARCH(("실패"),(A59))))</formula>
    </cfRule>
  </conditionalFormatting>
  <conditionalFormatting sqref="A59">
    <cfRule type="containsText" dxfId="3" priority="6257" operator="containsText" text="관리">
      <formula>NOT(ISERROR(SEARCH(("관리"),(A59))))</formula>
    </cfRule>
  </conditionalFormatting>
  <conditionalFormatting sqref="A59">
    <cfRule type="containsText" dxfId="4" priority="6258" operator="containsText" text="등록">
      <formula>NOT(ISERROR(SEARCH(("등록"),(A59))))</formula>
    </cfRule>
  </conditionalFormatting>
  <conditionalFormatting sqref="A59">
    <cfRule type="containsText" dxfId="0" priority="6259" operator="containsText" text="거부">
      <formula>NOT(ISERROR(SEARCH(("거부"),(A59))))</formula>
    </cfRule>
  </conditionalFormatting>
  <conditionalFormatting sqref="A59">
    <cfRule type="containsText" dxfId="1" priority="6260" operator="containsText" text="리턴">
      <formula>NOT(ISERROR(SEARCH(("리턴"),(A59))))</formula>
    </cfRule>
  </conditionalFormatting>
  <conditionalFormatting sqref="A59">
    <cfRule type="containsText" dxfId="2" priority="6261" operator="containsText" text="실패">
      <formula>NOT(ISERROR(SEARCH(("실패"),(A59))))</formula>
    </cfRule>
  </conditionalFormatting>
  <conditionalFormatting sqref="A59">
    <cfRule type="containsText" dxfId="3" priority="6262" operator="containsText" text="관리">
      <formula>NOT(ISERROR(SEARCH(("관리"),(A59))))</formula>
    </cfRule>
  </conditionalFormatting>
  <conditionalFormatting sqref="A59">
    <cfRule type="containsText" dxfId="4" priority="6263" operator="containsText" text="등록">
      <formula>NOT(ISERROR(SEARCH(("등록"),(A59))))</formula>
    </cfRule>
  </conditionalFormatting>
  <conditionalFormatting sqref="A59">
    <cfRule type="containsText" dxfId="0" priority="6264" operator="containsText" text="거부">
      <formula>NOT(ISERROR(SEARCH(("거부"),(A59))))</formula>
    </cfRule>
  </conditionalFormatting>
  <conditionalFormatting sqref="A59">
    <cfRule type="containsText" dxfId="1" priority="6265" operator="containsText" text="리턴">
      <formula>NOT(ISERROR(SEARCH(("리턴"),(A59))))</formula>
    </cfRule>
  </conditionalFormatting>
  <conditionalFormatting sqref="A59">
    <cfRule type="containsText" dxfId="2" priority="6266" operator="containsText" text="실패">
      <formula>NOT(ISERROR(SEARCH(("실패"),(A59))))</formula>
    </cfRule>
  </conditionalFormatting>
  <conditionalFormatting sqref="A59">
    <cfRule type="containsText" dxfId="3" priority="6267" operator="containsText" text="관리">
      <formula>NOT(ISERROR(SEARCH(("관리"),(A59))))</formula>
    </cfRule>
  </conditionalFormatting>
  <conditionalFormatting sqref="A59">
    <cfRule type="containsText" dxfId="4" priority="6268" operator="containsText" text="등록">
      <formula>NOT(ISERROR(SEARCH(("등록"),(A59))))</formula>
    </cfRule>
  </conditionalFormatting>
  <conditionalFormatting sqref="A59">
    <cfRule type="containsText" dxfId="0" priority="6269" operator="containsText" text="거부">
      <formula>NOT(ISERROR(SEARCH(("거부"),(A59))))</formula>
    </cfRule>
  </conditionalFormatting>
  <conditionalFormatting sqref="A59">
    <cfRule type="containsText" dxfId="1" priority="6270" operator="containsText" text="리턴">
      <formula>NOT(ISERROR(SEARCH(("리턴"),(A59))))</formula>
    </cfRule>
  </conditionalFormatting>
  <conditionalFormatting sqref="A59">
    <cfRule type="containsText" dxfId="2" priority="6271" operator="containsText" text="실패">
      <formula>NOT(ISERROR(SEARCH(("실패"),(A59))))</formula>
    </cfRule>
  </conditionalFormatting>
  <conditionalFormatting sqref="A59">
    <cfRule type="containsText" dxfId="3" priority="6272" operator="containsText" text="관리">
      <formula>NOT(ISERROR(SEARCH(("관리"),(A59))))</formula>
    </cfRule>
  </conditionalFormatting>
  <conditionalFormatting sqref="A59">
    <cfRule type="containsText" dxfId="4" priority="6273" operator="containsText" text="등록">
      <formula>NOT(ISERROR(SEARCH(("등록"),(A59))))</formula>
    </cfRule>
  </conditionalFormatting>
  <conditionalFormatting sqref="A59">
    <cfRule type="containsText" dxfId="0" priority="6274" operator="containsText" text="거부">
      <formula>NOT(ISERROR(SEARCH(("거부"),(A59))))</formula>
    </cfRule>
  </conditionalFormatting>
  <conditionalFormatting sqref="A59">
    <cfRule type="containsText" dxfId="1" priority="6275" operator="containsText" text="리턴">
      <formula>NOT(ISERROR(SEARCH(("리턴"),(A59))))</formula>
    </cfRule>
  </conditionalFormatting>
  <conditionalFormatting sqref="A59">
    <cfRule type="containsText" dxfId="2" priority="6276" operator="containsText" text="실패">
      <formula>NOT(ISERROR(SEARCH(("실패"),(A59))))</formula>
    </cfRule>
  </conditionalFormatting>
  <conditionalFormatting sqref="A59">
    <cfRule type="containsText" dxfId="3" priority="6277" operator="containsText" text="관리">
      <formula>NOT(ISERROR(SEARCH(("관리"),(A59))))</formula>
    </cfRule>
  </conditionalFormatting>
  <conditionalFormatting sqref="A59">
    <cfRule type="containsText" dxfId="4" priority="6278" operator="containsText" text="등록">
      <formula>NOT(ISERROR(SEARCH(("등록"),(A59))))</formula>
    </cfRule>
  </conditionalFormatting>
  <conditionalFormatting sqref="A59">
    <cfRule type="containsText" dxfId="0" priority="6279" operator="containsText" text="거부">
      <formula>NOT(ISERROR(SEARCH(("거부"),(A59))))</formula>
    </cfRule>
  </conditionalFormatting>
  <conditionalFormatting sqref="A59">
    <cfRule type="containsText" dxfId="1" priority="6280" operator="containsText" text="리턴">
      <formula>NOT(ISERROR(SEARCH(("리턴"),(A59))))</formula>
    </cfRule>
  </conditionalFormatting>
  <conditionalFormatting sqref="A59">
    <cfRule type="containsText" dxfId="2" priority="6281" operator="containsText" text="실패">
      <formula>NOT(ISERROR(SEARCH(("실패"),(A59))))</formula>
    </cfRule>
  </conditionalFormatting>
  <conditionalFormatting sqref="A59">
    <cfRule type="containsText" dxfId="3" priority="6282" operator="containsText" text="관리">
      <formula>NOT(ISERROR(SEARCH(("관리"),(A59))))</formula>
    </cfRule>
  </conditionalFormatting>
  <conditionalFormatting sqref="A59">
    <cfRule type="containsText" dxfId="4" priority="6283" operator="containsText" text="등록">
      <formula>NOT(ISERROR(SEARCH(("등록"),(A59))))</formula>
    </cfRule>
  </conditionalFormatting>
  <conditionalFormatting sqref="A59">
    <cfRule type="containsText" dxfId="0" priority="6284" operator="containsText" text="거부">
      <formula>NOT(ISERROR(SEARCH(("거부"),(A59))))</formula>
    </cfRule>
  </conditionalFormatting>
  <conditionalFormatting sqref="A59">
    <cfRule type="containsText" dxfId="1" priority="6285" operator="containsText" text="리턴">
      <formula>NOT(ISERROR(SEARCH(("리턴"),(A59))))</formula>
    </cfRule>
  </conditionalFormatting>
  <conditionalFormatting sqref="A59">
    <cfRule type="containsText" dxfId="2" priority="6286" operator="containsText" text="실패">
      <formula>NOT(ISERROR(SEARCH(("실패"),(A59))))</formula>
    </cfRule>
  </conditionalFormatting>
  <conditionalFormatting sqref="A59">
    <cfRule type="containsText" dxfId="3" priority="6287" operator="containsText" text="관리">
      <formula>NOT(ISERROR(SEARCH(("관리"),(A59))))</formula>
    </cfRule>
  </conditionalFormatting>
  <conditionalFormatting sqref="A59">
    <cfRule type="containsText" dxfId="4" priority="6288" operator="containsText" text="등록">
      <formula>NOT(ISERROR(SEARCH(("등록"),(A59))))</formula>
    </cfRule>
  </conditionalFormatting>
  <conditionalFormatting sqref="A59">
    <cfRule type="containsText" dxfId="0" priority="6289" operator="containsText" text="거부">
      <formula>NOT(ISERROR(SEARCH(("거부"),(A59))))</formula>
    </cfRule>
  </conditionalFormatting>
  <conditionalFormatting sqref="A59">
    <cfRule type="containsText" dxfId="1" priority="6290" operator="containsText" text="리턴">
      <formula>NOT(ISERROR(SEARCH(("리턴"),(A59))))</formula>
    </cfRule>
  </conditionalFormatting>
  <conditionalFormatting sqref="A59">
    <cfRule type="containsText" dxfId="2" priority="6291" operator="containsText" text="실패">
      <formula>NOT(ISERROR(SEARCH(("실패"),(A59))))</formula>
    </cfRule>
  </conditionalFormatting>
  <conditionalFormatting sqref="A59">
    <cfRule type="containsText" dxfId="3" priority="6292" operator="containsText" text="관리">
      <formula>NOT(ISERROR(SEARCH(("관리"),(A59))))</formula>
    </cfRule>
  </conditionalFormatting>
  <conditionalFormatting sqref="A59">
    <cfRule type="containsText" dxfId="4" priority="6293" operator="containsText" text="등록">
      <formula>NOT(ISERROR(SEARCH(("등록"),(A59))))</formula>
    </cfRule>
  </conditionalFormatting>
  <conditionalFormatting sqref="A59">
    <cfRule type="containsText" dxfId="0" priority="6294" operator="containsText" text="거부">
      <formula>NOT(ISERROR(SEARCH(("거부"),(A59))))</formula>
    </cfRule>
  </conditionalFormatting>
  <conditionalFormatting sqref="A59">
    <cfRule type="containsText" dxfId="1" priority="6295" operator="containsText" text="리턴">
      <formula>NOT(ISERROR(SEARCH(("리턴"),(A59))))</formula>
    </cfRule>
  </conditionalFormatting>
  <conditionalFormatting sqref="A59">
    <cfRule type="containsText" dxfId="2" priority="6296" operator="containsText" text="실패">
      <formula>NOT(ISERROR(SEARCH(("실패"),(A59))))</formula>
    </cfRule>
  </conditionalFormatting>
  <conditionalFormatting sqref="A59">
    <cfRule type="containsText" dxfId="3" priority="6297" operator="containsText" text="관리">
      <formula>NOT(ISERROR(SEARCH(("관리"),(A59))))</formula>
    </cfRule>
  </conditionalFormatting>
  <conditionalFormatting sqref="A59">
    <cfRule type="containsText" dxfId="4" priority="6298" operator="containsText" text="등록">
      <formula>NOT(ISERROR(SEARCH(("등록"),(A59))))</formula>
    </cfRule>
  </conditionalFormatting>
  <conditionalFormatting sqref="A59">
    <cfRule type="containsText" dxfId="0" priority="6299" operator="containsText" text="거부">
      <formula>NOT(ISERROR(SEARCH(("거부"),(A59))))</formula>
    </cfRule>
  </conditionalFormatting>
  <conditionalFormatting sqref="A59">
    <cfRule type="containsText" dxfId="1" priority="6300" operator="containsText" text="리턴">
      <formula>NOT(ISERROR(SEARCH(("리턴"),(A59))))</formula>
    </cfRule>
  </conditionalFormatting>
  <conditionalFormatting sqref="A59">
    <cfRule type="containsText" dxfId="2" priority="6301" operator="containsText" text="실패">
      <formula>NOT(ISERROR(SEARCH(("실패"),(A59))))</formula>
    </cfRule>
  </conditionalFormatting>
  <conditionalFormatting sqref="A59">
    <cfRule type="containsText" dxfId="3" priority="6302" operator="containsText" text="관리">
      <formula>NOT(ISERROR(SEARCH(("관리"),(A59))))</formula>
    </cfRule>
  </conditionalFormatting>
  <conditionalFormatting sqref="A59">
    <cfRule type="containsText" dxfId="4" priority="6303" operator="containsText" text="등록">
      <formula>NOT(ISERROR(SEARCH(("등록"),(A59))))</formula>
    </cfRule>
  </conditionalFormatting>
  <conditionalFormatting sqref="A59">
    <cfRule type="containsText" dxfId="0" priority="6304" operator="containsText" text="거부">
      <formula>NOT(ISERROR(SEARCH(("거부"),(A59))))</formula>
    </cfRule>
  </conditionalFormatting>
  <conditionalFormatting sqref="A59">
    <cfRule type="containsText" dxfId="1" priority="6305" operator="containsText" text="리턴">
      <formula>NOT(ISERROR(SEARCH(("리턴"),(A59))))</formula>
    </cfRule>
  </conditionalFormatting>
  <conditionalFormatting sqref="A59">
    <cfRule type="containsText" dxfId="2" priority="6306" operator="containsText" text="실패">
      <formula>NOT(ISERROR(SEARCH(("실패"),(A59))))</formula>
    </cfRule>
  </conditionalFormatting>
  <conditionalFormatting sqref="A59">
    <cfRule type="containsText" dxfId="3" priority="6307" operator="containsText" text="관리">
      <formula>NOT(ISERROR(SEARCH(("관리"),(A59))))</formula>
    </cfRule>
  </conditionalFormatting>
  <conditionalFormatting sqref="A59">
    <cfRule type="containsText" dxfId="4" priority="6308" operator="containsText" text="등록">
      <formula>NOT(ISERROR(SEARCH(("등록"),(A59))))</formula>
    </cfRule>
  </conditionalFormatting>
  <conditionalFormatting sqref="D59">
    <cfRule type="containsText" dxfId="0" priority="6309" operator="containsText" text="거부">
      <formula>NOT(ISERROR(SEARCH(("거부"),(D59))))</formula>
    </cfRule>
  </conditionalFormatting>
  <conditionalFormatting sqref="D59">
    <cfRule type="containsText" dxfId="1" priority="6310" operator="containsText" text="리턴">
      <formula>NOT(ISERROR(SEARCH(("리턴"),(D59))))</formula>
    </cfRule>
  </conditionalFormatting>
  <conditionalFormatting sqref="D59">
    <cfRule type="containsText" dxfId="2" priority="6311" operator="containsText" text="실패">
      <formula>NOT(ISERROR(SEARCH(("실패"),(D59))))</formula>
    </cfRule>
  </conditionalFormatting>
  <conditionalFormatting sqref="D59">
    <cfRule type="containsText" dxfId="3" priority="6312" operator="containsText" text="관리">
      <formula>NOT(ISERROR(SEARCH(("관리"),(D59))))</formula>
    </cfRule>
  </conditionalFormatting>
  <conditionalFormatting sqref="D59">
    <cfRule type="containsText" dxfId="4" priority="6313" operator="containsText" text="등록">
      <formula>NOT(ISERROR(SEARCH(("등록"),(D59))))</formula>
    </cfRule>
  </conditionalFormatting>
  <conditionalFormatting sqref="D59">
    <cfRule type="containsText" dxfId="0" priority="6314" operator="containsText" text="거부">
      <formula>NOT(ISERROR(SEARCH(("거부"),(D59))))</formula>
    </cfRule>
  </conditionalFormatting>
  <conditionalFormatting sqref="D59">
    <cfRule type="containsText" dxfId="1" priority="6315" operator="containsText" text="리턴">
      <formula>NOT(ISERROR(SEARCH(("리턴"),(D59))))</formula>
    </cfRule>
  </conditionalFormatting>
  <conditionalFormatting sqref="D59">
    <cfRule type="containsText" dxfId="2" priority="6316" operator="containsText" text="실패">
      <formula>NOT(ISERROR(SEARCH(("실패"),(D59))))</formula>
    </cfRule>
  </conditionalFormatting>
  <conditionalFormatting sqref="D59">
    <cfRule type="containsText" dxfId="3" priority="6317" operator="containsText" text="관리">
      <formula>NOT(ISERROR(SEARCH(("관리"),(D59))))</formula>
    </cfRule>
  </conditionalFormatting>
  <conditionalFormatting sqref="D59">
    <cfRule type="containsText" dxfId="4" priority="6318" operator="containsText" text="등록">
      <formula>NOT(ISERROR(SEARCH(("등록"),(D59))))</formula>
    </cfRule>
  </conditionalFormatting>
  <conditionalFormatting sqref="D59">
    <cfRule type="containsText" dxfId="0" priority="6319" operator="containsText" text="거부">
      <formula>NOT(ISERROR(SEARCH(("거부"),(D59))))</formula>
    </cfRule>
  </conditionalFormatting>
  <conditionalFormatting sqref="D59">
    <cfRule type="containsText" dxfId="1" priority="6320" operator="containsText" text="리턴">
      <formula>NOT(ISERROR(SEARCH(("리턴"),(D59))))</formula>
    </cfRule>
  </conditionalFormatting>
  <conditionalFormatting sqref="D59">
    <cfRule type="containsText" dxfId="2" priority="6321" operator="containsText" text="실패">
      <formula>NOT(ISERROR(SEARCH(("실패"),(D59))))</formula>
    </cfRule>
  </conditionalFormatting>
  <conditionalFormatting sqref="D59">
    <cfRule type="containsText" dxfId="3" priority="6322" operator="containsText" text="관리">
      <formula>NOT(ISERROR(SEARCH(("관리"),(D59))))</formula>
    </cfRule>
  </conditionalFormatting>
  <conditionalFormatting sqref="D59">
    <cfRule type="containsText" dxfId="4" priority="6323" operator="containsText" text="등록">
      <formula>NOT(ISERROR(SEARCH(("등록"),(D59))))</formula>
    </cfRule>
  </conditionalFormatting>
  <conditionalFormatting sqref="D59">
    <cfRule type="containsText" dxfId="0" priority="6324" operator="containsText" text="거부">
      <formula>NOT(ISERROR(SEARCH(("거부"),(D59))))</formula>
    </cfRule>
  </conditionalFormatting>
  <conditionalFormatting sqref="D59">
    <cfRule type="containsText" dxfId="1" priority="6325" operator="containsText" text="리턴">
      <formula>NOT(ISERROR(SEARCH(("리턴"),(D59))))</formula>
    </cfRule>
  </conditionalFormatting>
  <conditionalFormatting sqref="D59">
    <cfRule type="containsText" dxfId="2" priority="6326" operator="containsText" text="실패">
      <formula>NOT(ISERROR(SEARCH(("실패"),(D59))))</formula>
    </cfRule>
  </conditionalFormatting>
  <conditionalFormatting sqref="D59">
    <cfRule type="containsText" dxfId="3" priority="6327" operator="containsText" text="관리">
      <formula>NOT(ISERROR(SEARCH(("관리"),(D59))))</formula>
    </cfRule>
  </conditionalFormatting>
  <conditionalFormatting sqref="D59">
    <cfRule type="containsText" dxfId="4" priority="6328" operator="containsText" text="등록">
      <formula>NOT(ISERROR(SEARCH(("등록"),(D59))))</formula>
    </cfRule>
  </conditionalFormatting>
  <conditionalFormatting sqref="E59">
    <cfRule type="containsText" dxfId="0" priority="6329" operator="containsText" text="거부">
      <formula>NOT(ISERROR(SEARCH(("거부"),(E59))))</formula>
    </cfRule>
  </conditionalFormatting>
  <conditionalFormatting sqref="E59">
    <cfRule type="containsText" dxfId="1" priority="6330" operator="containsText" text="리턴">
      <formula>NOT(ISERROR(SEARCH(("리턴"),(E59))))</formula>
    </cfRule>
  </conditionalFormatting>
  <conditionalFormatting sqref="E59">
    <cfRule type="containsText" dxfId="2" priority="6331" operator="containsText" text="실패">
      <formula>NOT(ISERROR(SEARCH(("실패"),(E59))))</formula>
    </cfRule>
  </conditionalFormatting>
  <conditionalFormatting sqref="E59">
    <cfRule type="containsText" dxfId="3" priority="6332" operator="containsText" text="관리">
      <formula>NOT(ISERROR(SEARCH(("관리"),(E59))))</formula>
    </cfRule>
  </conditionalFormatting>
  <conditionalFormatting sqref="E59">
    <cfRule type="containsText" dxfId="4" priority="6333" operator="containsText" text="등록">
      <formula>NOT(ISERROR(SEARCH(("등록"),(E59))))</formula>
    </cfRule>
  </conditionalFormatting>
  <conditionalFormatting sqref="E59">
    <cfRule type="containsText" dxfId="0" priority="6334" operator="containsText" text="거부">
      <formula>NOT(ISERROR(SEARCH(("거부"),(E59))))</formula>
    </cfRule>
  </conditionalFormatting>
  <conditionalFormatting sqref="E59">
    <cfRule type="containsText" dxfId="1" priority="6335" operator="containsText" text="리턴">
      <formula>NOT(ISERROR(SEARCH(("리턴"),(E59))))</formula>
    </cfRule>
  </conditionalFormatting>
  <conditionalFormatting sqref="E59">
    <cfRule type="containsText" dxfId="2" priority="6336" operator="containsText" text="실패">
      <formula>NOT(ISERROR(SEARCH(("실패"),(E59))))</formula>
    </cfRule>
  </conditionalFormatting>
  <conditionalFormatting sqref="E59">
    <cfRule type="containsText" dxfId="3" priority="6337" operator="containsText" text="관리">
      <formula>NOT(ISERROR(SEARCH(("관리"),(E59))))</formula>
    </cfRule>
  </conditionalFormatting>
  <conditionalFormatting sqref="E59">
    <cfRule type="containsText" dxfId="4" priority="6338" operator="containsText" text="등록">
      <formula>NOT(ISERROR(SEARCH(("등록"),(E59))))</formula>
    </cfRule>
  </conditionalFormatting>
  <conditionalFormatting sqref="A61">
    <cfRule type="containsText" dxfId="0" priority="6339" operator="containsText" text="거부">
      <formula>NOT(ISERROR(SEARCH(("거부"),(A61))))</formula>
    </cfRule>
  </conditionalFormatting>
  <conditionalFormatting sqref="A61">
    <cfRule type="containsText" dxfId="1" priority="6340" operator="containsText" text="리턴">
      <formula>NOT(ISERROR(SEARCH(("리턴"),(A61))))</formula>
    </cfRule>
  </conditionalFormatting>
  <conditionalFormatting sqref="A61">
    <cfRule type="containsText" dxfId="2" priority="6341" operator="containsText" text="실패">
      <formula>NOT(ISERROR(SEARCH(("실패"),(A61))))</formula>
    </cfRule>
  </conditionalFormatting>
  <conditionalFormatting sqref="A61">
    <cfRule type="containsText" dxfId="3" priority="6342" operator="containsText" text="관리">
      <formula>NOT(ISERROR(SEARCH(("관리"),(A61))))</formula>
    </cfRule>
  </conditionalFormatting>
  <conditionalFormatting sqref="A61">
    <cfRule type="containsText" dxfId="4" priority="6343" operator="containsText" text="등록">
      <formula>NOT(ISERROR(SEARCH(("등록"),(A61))))</formula>
    </cfRule>
  </conditionalFormatting>
  <conditionalFormatting sqref="A61">
    <cfRule type="containsText" dxfId="0" priority="6344" operator="containsText" text="거부">
      <formula>NOT(ISERROR(SEARCH(("거부"),(A61))))</formula>
    </cfRule>
  </conditionalFormatting>
  <conditionalFormatting sqref="A61">
    <cfRule type="containsText" dxfId="1" priority="6345" operator="containsText" text="리턴">
      <formula>NOT(ISERROR(SEARCH(("리턴"),(A61))))</formula>
    </cfRule>
  </conditionalFormatting>
  <conditionalFormatting sqref="A61">
    <cfRule type="containsText" dxfId="2" priority="6346" operator="containsText" text="실패">
      <formula>NOT(ISERROR(SEARCH(("실패"),(A61))))</formula>
    </cfRule>
  </conditionalFormatting>
  <conditionalFormatting sqref="A61">
    <cfRule type="containsText" dxfId="3" priority="6347" operator="containsText" text="관리">
      <formula>NOT(ISERROR(SEARCH(("관리"),(A61))))</formula>
    </cfRule>
  </conditionalFormatting>
  <conditionalFormatting sqref="A61">
    <cfRule type="containsText" dxfId="4" priority="6348" operator="containsText" text="등록">
      <formula>NOT(ISERROR(SEARCH(("등록"),(A61))))</formula>
    </cfRule>
  </conditionalFormatting>
  <conditionalFormatting sqref="A61">
    <cfRule type="containsText" dxfId="0" priority="6349" operator="containsText" text="거부">
      <formula>NOT(ISERROR(SEARCH(("거부"),(A61))))</formula>
    </cfRule>
  </conditionalFormatting>
  <conditionalFormatting sqref="A61">
    <cfRule type="containsText" dxfId="1" priority="6350" operator="containsText" text="리턴">
      <formula>NOT(ISERROR(SEARCH(("리턴"),(A61))))</formula>
    </cfRule>
  </conditionalFormatting>
  <conditionalFormatting sqref="A61">
    <cfRule type="containsText" dxfId="2" priority="6351" operator="containsText" text="실패">
      <formula>NOT(ISERROR(SEARCH(("실패"),(A61))))</formula>
    </cfRule>
  </conditionalFormatting>
  <conditionalFormatting sqref="A61">
    <cfRule type="containsText" dxfId="3" priority="6352" operator="containsText" text="관리">
      <formula>NOT(ISERROR(SEARCH(("관리"),(A61))))</formula>
    </cfRule>
  </conditionalFormatting>
  <conditionalFormatting sqref="A61">
    <cfRule type="containsText" dxfId="4" priority="6353" operator="containsText" text="등록">
      <formula>NOT(ISERROR(SEARCH(("등록"),(A61))))</formula>
    </cfRule>
  </conditionalFormatting>
  <conditionalFormatting sqref="A61">
    <cfRule type="containsText" dxfId="0" priority="6354" operator="containsText" text="거부">
      <formula>NOT(ISERROR(SEARCH(("거부"),(A61))))</formula>
    </cfRule>
  </conditionalFormatting>
  <conditionalFormatting sqref="A61">
    <cfRule type="containsText" dxfId="1" priority="6355" operator="containsText" text="리턴">
      <formula>NOT(ISERROR(SEARCH(("리턴"),(A61))))</formula>
    </cfRule>
  </conditionalFormatting>
  <conditionalFormatting sqref="A61">
    <cfRule type="containsText" dxfId="2" priority="6356" operator="containsText" text="실패">
      <formula>NOT(ISERROR(SEARCH(("실패"),(A61))))</formula>
    </cfRule>
  </conditionalFormatting>
  <conditionalFormatting sqref="A61">
    <cfRule type="containsText" dxfId="3" priority="6357" operator="containsText" text="관리">
      <formula>NOT(ISERROR(SEARCH(("관리"),(A61))))</formula>
    </cfRule>
  </conditionalFormatting>
  <conditionalFormatting sqref="A61">
    <cfRule type="containsText" dxfId="4" priority="6358" operator="containsText" text="등록">
      <formula>NOT(ISERROR(SEARCH(("등록"),(A61))))</formula>
    </cfRule>
  </conditionalFormatting>
  <conditionalFormatting sqref="A61">
    <cfRule type="containsText" dxfId="0" priority="6359" operator="containsText" text="거부">
      <formula>NOT(ISERROR(SEARCH(("거부"),(A61))))</formula>
    </cfRule>
  </conditionalFormatting>
  <conditionalFormatting sqref="A61">
    <cfRule type="containsText" dxfId="1" priority="6360" operator="containsText" text="리턴">
      <formula>NOT(ISERROR(SEARCH(("리턴"),(A61))))</formula>
    </cfRule>
  </conditionalFormatting>
  <conditionalFormatting sqref="A61">
    <cfRule type="containsText" dxfId="2" priority="6361" operator="containsText" text="실패">
      <formula>NOT(ISERROR(SEARCH(("실패"),(A61))))</formula>
    </cfRule>
  </conditionalFormatting>
  <conditionalFormatting sqref="A61">
    <cfRule type="containsText" dxfId="3" priority="6362" operator="containsText" text="관리">
      <formula>NOT(ISERROR(SEARCH(("관리"),(A61))))</formula>
    </cfRule>
  </conditionalFormatting>
  <conditionalFormatting sqref="A61">
    <cfRule type="containsText" dxfId="4" priority="6363" operator="containsText" text="등록">
      <formula>NOT(ISERROR(SEARCH(("등록"),(A61))))</formula>
    </cfRule>
  </conditionalFormatting>
  <conditionalFormatting sqref="A61">
    <cfRule type="containsText" dxfId="0" priority="6364" operator="containsText" text="거부">
      <formula>NOT(ISERROR(SEARCH(("거부"),(A61))))</formula>
    </cfRule>
  </conditionalFormatting>
  <conditionalFormatting sqref="A61">
    <cfRule type="containsText" dxfId="1" priority="6365" operator="containsText" text="리턴">
      <formula>NOT(ISERROR(SEARCH(("리턴"),(A61))))</formula>
    </cfRule>
  </conditionalFormatting>
  <conditionalFormatting sqref="A61">
    <cfRule type="containsText" dxfId="2" priority="6366" operator="containsText" text="실패">
      <formula>NOT(ISERROR(SEARCH(("실패"),(A61))))</formula>
    </cfRule>
  </conditionalFormatting>
  <conditionalFormatting sqref="A61">
    <cfRule type="containsText" dxfId="3" priority="6367" operator="containsText" text="관리">
      <formula>NOT(ISERROR(SEARCH(("관리"),(A61))))</formula>
    </cfRule>
  </conditionalFormatting>
  <conditionalFormatting sqref="A61">
    <cfRule type="containsText" dxfId="4" priority="6368" operator="containsText" text="등록">
      <formula>NOT(ISERROR(SEARCH(("등록"),(A61))))</formula>
    </cfRule>
  </conditionalFormatting>
  <conditionalFormatting sqref="A61">
    <cfRule type="containsText" dxfId="0" priority="6369" operator="containsText" text="거부">
      <formula>NOT(ISERROR(SEARCH(("거부"),(A61))))</formula>
    </cfRule>
  </conditionalFormatting>
  <conditionalFormatting sqref="A61">
    <cfRule type="containsText" dxfId="1" priority="6370" operator="containsText" text="리턴">
      <formula>NOT(ISERROR(SEARCH(("리턴"),(A61))))</formula>
    </cfRule>
  </conditionalFormatting>
  <conditionalFormatting sqref="A61">
    <cfRule type="containsText" dxfId="2" priority="6371" operator="containsText" text="실패">
      <formula>NOT(ISERROR(SEARCH(("실패"),(A61))))</formula>
    </cfRule>
  </conditionalFormatting>
  <conditionalFormatting sqref="A61">
    <cfRule type="containsText" dxfId="3" priority="6372" operator="containsText" text="관리">
      <formula>NOT(ISERROR(SEARCH(("관리"),(A61))))</formula>
    </cfRule>
  </conditionalFormatting>
  <conditionalFormatting sqref="A61">
    <cfRule type="containsText" dxfId="4" priority="6373" operator="containsText" text="등록">
      <formula>NOT(ISERROR(SEARCH(("등록"),(A61))))</formula>
    </cfRule>
  </conditionalFormatting>
  <conditionalFormatting sqref="A61">
    <cfRule type="containsText" dxfId="0" priority="6374" operator="containsText" text="거부">
      <formula>NOT(ISERROR(SEARCH(("거부"),(A61))))</formula>
    </cfRule>
  </conditionalFormatting>
  <conditionalFormatting sqref="A61">
    <cfRule type="containsText" dxfId="1" priority="6375" operator="containsText" text="리턴">
      <formula>NOT(ISERROR(SEARCH(("리턴"),(A61))))</formula>
    </cfRule>
  </conditionalFormatting>
  <conditionalFormatting sqref="A61">
    <cfRule type="containsText" dxfId="2" priority="6376" operator="containsText" text="실패">
      <formula>NOT(ISERROR(SEARCH(("실패"),(A61))))</formula>
    </cfRule>
  </conditionalFormatting>
  <conditionalFormatting sqref="A61">
    <cfRule type="containsText" dxfId="3" priority="6377" operator="containsText" text="관리">
      <formula>NOT(ISERROR(SEARCH(("관리"),(A61))))</formula>
    </cfRule>
  </conditionalFormatting>
  <conditionalFormatting sqref="A61">
    <cfRule type="containsText" dxfId="4" priority="6378" operator="containsText" text="등록">
      <formula>NOT(ISERROR(SEARCH(("등록"),(A61))))</formula>
    </cfRule>
  </conditionalFormatting>
  <conditionalFormatting sqref="A61">
    <cfRule type="containsText" dxfId="0" priority="6379" operator="containsText" text="거부">
      <formula>NOT(ISERROR(SEARCH(("거부"),(A61))))</formula>
    </cfRule>
  </conditionalFormatting>
  <conditionalFormatting sqref="A61">
    <cfRule type="containsText" dxfId="1" priority="6380" operator="containsText" text="리턴">
      <formula>NOT(ISERROR(SEARCH(("리턴"),(A61))))</formula>
    </cfRule>
  </conditionalFormatting>
  <conditionalFormatting sqref="A61">
    <cfRule type="containsText" dxfId="2" priority="6381" operator="containsText" text="실패">
      <formula>NOT(ISERROR(SEARCH(("실패"),(A61))))</formula>
    </cfRule>
  </conditionalFormatting>
  <conditionalFormatting sqref="A61">
    <cfRule type="containsText" dxfId="3" priority="6382" operator="containsText" text="관리">
      <formula>NOT(ISERROR(SEARCH(("관리"),(A61))))</formula>
    </cfRule>
  </conditionalFormatting>
  <conditionalFormatting sqref="A61">
    <cfRule type="containsText" dxfId="4" priority="6383" operator="containsText" text="등록">
      <formula>NOT(ISERROR(SEARCH(("등록"),(A61))))</formula>
    </cfRule>
  </conditionalFormatting>
  <conditionalFormatting sqref="A61">
    <cfRule type="containsText" dxfId="0" priority="6384" operator="containsText" text="거부">
      <formula>NOT(ISERROR(SEARCH(("거부"),(A61))))</formula>
    </cfRule>
  </conditionalFormatting>
  <conditionalFormatting sqref="A61">
    <cfRule type="containsText" dxfId="1" priority="6385" operator="containsText" text="리턴">
      <formula>NOT(ISERROR(SEARCH(("리턴"),(A61))))</formula>
    </cfRule>
  </conditionalFormatting>
  <conditionalFormatting sqref="A61">
    <cfRule type="containsText" dxfId="2" priority="6386" operator="containsText" text="실패">
      <formula>NOT(ISERROR(SEARCH(("실패"),(A61))))</formula>
    </cfRule>
  </conditionalFormatting>
  <conditionalFormatting sqref="A61">
    <cfRule type="containsText" dxfId="3" priority="6387" operator="containsText" text="관리">
      <formula>NOT(ISERROR(SEARCH(("관리"),(A61))))</formula>
    </cfRule>
  </conditionalFormatting>
  <conditionalFormatting sqref="A61">
    <cfRule type="containsText" dxfId="4" priority="6388" operator="containsText" text="등록">
      <formula>NOT(ISERROR(SEARCH(("등록"),(A61))))</formula>
    </cfRule>
  </conditionalFormatting>
  <conditionalFormatting sqref="A61">
    <cfRule type="containsText" dxfId="0" priority="6389" operator="containsText" text="거부">
      <formula>NOT(ISERROR(SEARCH(("거부"),(A61))))</formula>
    </cfRule>
  </conditionalFormatting>
  <conditionalFormatting sqref="A61">
    <cfRule type="containsText" dxfId="1" priority="6390" operator="containsText" text="리턴">
      <formula>NOT(ISERROR(SEARCH(("리턴"),(A61))))</formula>
    </cfRule>
  </conditionalFormatting>
  <conditionalFormatting sqref="A61">
    <cfRule type="containsText" dxfId="2" priority="6391" operator="containsText" text="실패">
      <formula>NOT(ISERROR(SEARCH(("실패"),(A61))))</formula>
    </cfRule>
  </conditionalFormatting>
  <conditionalFormatting sqref="A61">
    <cfRule type="containsText" dxfId="3" priority="6392" operator="containsText" text="관리">
      <formula>NOT(ISERROR(SEARCH(("관리"),(A61))))</formula>
    </cfRule>
  </conditionalFormatting>
  <conditionalFormatting sqref="A61">
    <cfRule type="containsText" dxfId="4" priority="6393" operator="containsText" text="등록">
      <formula>NOT(ISERROR(SEARCH(("등록"),(A61))))</formula>
    </cfRule>
  </conditionalFormatting>
  <conditionalFormatting sqref="A61">
    <cfRule type="containsText" dxfId="0" priority="6394" operator="containsText" text="거부">
      <formula>NOT(ISERROR(SEARCH(("거부"),(A61))))</formula>
    </cfRule>
  </conditionalFormatting>
  <conditionalFormatting sqref="A61">
    <cfRule type="containsText" dxfId="1" priority="6395" operator="containsText" text="리턴">
      <formula>NOT(ISERROR(SEARCH(("리턴"),(A61))))</formula>
    </cfRule>
  </conditionalFormatting>
  <conditionalFormatting sqref="A61">
    <cfRule type="containsText" dxfId="2" priority="6396" operator="containsText" text="실패">
      <formula>NOT(ISERROR(SEARCH(("실패"),(A61))))</formula>
    </cfRule>
  </conditionalFormatting>
  <conditionalFormatting sqref="A61">
    <cfRule type="containsText" dxfId="3" priority="6397" operator="containsText" text="관리">
      <formula>NOT(ISERROR(SEARCH(("관리"),(A61))))</formula>
    </cfRule>
  </conditionalFormatting>
  <conditionalFormatting sqref="A61">
    <cfRule type="containsText" dxfId="4" priority="6398" operator="containsText" text="등록">
      <formula>NOT(ISERROR(SEARCH(("등록"),(A61))))</formula>
    </cfRule>
  </conditionalFormatting>
  <conditionalFormatting sqref="A61">
    <cfRule type="containsText" dxfId="0" priority="6399" operator="containsText" text="거부">
      <formula>NOT(ISERROR(SEARCH(("거부"),(A61))))</formula>
    </cfRule>
  </conditionalFormatting>
  <conditionalFormatting sqref="A61">
    <cfRule type="containsText" dxfId="1" priority="6400" operator="containsText" text="리턴">
      <formula>NOT(ISERROR(SEARCH(("리턴"),(A61))))</formula>
    </cfRule>
  </conditionalFormatting>
  <conditionalFormatting sqref="A61">
    <cfRule type="containsText" dxfId="2" priority="6401" operator="containsText" text="실패">
      <formula>NOT(ISERROR(SEARCH(("실패"),(A61))))</formula>
    </cfRule>
  </conditionalFormatting>
  <conditionalFormatting sqref="A61">
    <cfRule type="containsText" dxfId="3" priority="6402" operator="containsText" text="관리">
      <formula>NOT(ISERROR(SEARCH(("관리"),(A61))))</formula>
    </cfRule>
  </conditionalFormatting>
  <conditionalFormatting sqref="A61">
    <cfRule type="containsText" dxfId="4" priority="6403" operator="containsText" text="등록">
      <formula>NOT(ISERROR(SEARCH(("등록"),(A61))))</formula>
    </cfRule>
  </conditionalFormatting>
  <conditionalFormatting sqref="A61">
    <cfRule type="containsText" dxfId="0" priority="6404" operator="containsText" text="거부">
      <formula>NOT(ISERROR(SEARCH(("거부"),(A61))))</formula>
    </cfRule>
  </conditionalFormatting>
  <conditionalFormatting sqref="A61">
    <cfRule type="containsText" dxfId="1" priority="6405" operator="containsText" text="리턴">
      <formula>NOT(ISERROR(SEARCH(("리턴"),(A61))))</formula>
    </cfRule>
  </conditionalFormatting>
  <conditionalFormatting sqref="A61">
    <cfRule type="containsText" dxfId="2" priority="6406" operator="containsText" text="실패">
      <formula>NOT(ISERROR(SEARCH(("실패"),(A61))))</formula>
    </cfRule>
  </conditionalFormatting>
  <conditionalFormatting sqref="A61">
    <cfRule type="containsText" dxfId="3" priority="6407" operator="containsText" text="관리">
      <formula>NOT(ISERROR(SEARCH(("관리"),(A61))))</formula>
    </cfRule>
  </conditionalFormatting>
  <conditionalFormatting sqref="A61">
    <cfRule type="containsText" dxfId="4" priority="6408" operator="containsText" text="등록">
      <formula>NOT(ISERROR(SEARCH(("등록"),(A61))))</formula>
    </cfRule>
  </conditionalFormatting>
  <conditionalFormatting sqref="A61">
    <cfRule type="containsText" dxfId="0" priority="6409" operator="containsText" text="거부">
      <formula>NOT(ISERROR(SEARCH(("거부"),(A61))))</formula>
    </cfRule>
  </conditionalFormatting>
  <conditionalFormatting sqref="A61">
    <cfRule type="containsText" dxfId="1" priority="6410" operator="containsText" text="리턴">
      <formula>NOT(ISERROR(SEARCH(("리턴"),(A61))))</formula>
    </cfRule>
  </conditionalFormatting>
  <conditionalFormatting sqref="A61">
    <cfRule type="containsText" dxfId="2" priority="6411" operator="containsText" text="실패">
      <formula>NOT(ISERROR(SEARCH(("실패"),(A61))))</formula>
    </cfRule>
  </conditionalFormatting>
  <conditionalFormatting sqref="A61">
    <cfRule type="containsText" dxfId="3" priority="6412" operator="containsText" text="관리">
      <formula>NOT(ISERROR(SEARCH(("관리"),(A61))))</formula>
    </cfRule>
  </conditionalFormatting>
  <conditionalFormatting sqref="A61">
    <cfRule type="containsText" dxfId="4" priority="6413" operator="containsText" text="등록">
      <formula>NOT(ISERROR(SEARCH(("등록"),(A61))))</formula>
    </cfRule>
  </conditionalFormatting>
  <conditionalFormatting sqref="A61">
    <cfRule type="containsText" dxfId="0" priority="6414" operator="containsText" text="거부">
      <formula>NOT(ISERROR(SEARCH(("거부"),(A61))))</formula>
    </cfRule>
  </conditionalFormatting>
  <conditionalFormatting sqref="A61">
    <cfRule type="containsText" dxfId="1" priority="6415" operator="containsText" text="리턴">
      <formula>NOT(ISERROR(SEARCH(("리턴"),(A61))))</formula>
    </cfRule>
  </conditionalFormatting>
  <conditionalFormatting sqref="A61">
    <cfRule type="containsText" dxfId="2" priority="6416" operator="containsText" text="실패">
      <formula>NOT(ISERROR(SEARCH(("실패"),(A61))))</formula>
    </cfRule>
  </conditionalFormatting>
  <conditionalFormatting sqref="A61">
    <cfRule type="containsText" dxfId="3" priority="6417" operator="containsText" text="관리">
      <formula>NOT(ISERROR(SEARCH(("관리"),(A61))))</formula>
    </cfRule>
  </conditionalFormatting>
  <conditionalFormatting sqref="A61">
    <cfRule type="containsText" dxfId="4" priority="6418" operator="containsText" text="등록">
      <formula>NOT(ISERROR(SEARCH(("등록"),(A61))))</formula>
    </cfRule>
  </conditionalFormatting>
  <conditionalFormatting sqref="A61">
    <cfRule type="containsText" dxfId="0" priority="6419" operator="containsText" text="거부">
      <formula>NOT(ISERROR(SEARCH(("거부"),(A61))))</formula>
    </cfRule>
  </conditionalFormatting>
  <conditionalFormatting sqref="A61">
    <cfRule type="containsText" dxfId="1" priority="6420" operator="containsText" text="리턴">
      <formula>NOT(ISERROR(SEARCH(("리턴"),(A61))))</formula>
    </cfRule>
  </conditionalFormatting>
  <conditionalFormatting sqref="A61">
    <cfRule type="containsText" dxfId="2" priority="6421" operator="containsText" text="실패">
      <formula>NOT(ISERROR(SEARCH(("실패"),(A61))))</formula>
    </cfRule>
  </conditionalFormatting>
  <conditionalFormatting sqref="A61">
    <cfRule type="containsText" dxfId="3" priority="6422" operator="containsText" text="관리">
      <formula>NOT(ISERROR(SEARCH(("관리"),(A61))))</formula>
    </cfRule>
  </conditionalFormatting>
  <conditionalFormatting sqref="A61">
    <cfRule type="containsText" dxfId="4" priority="6423" operator="containsText" text="등록">
      <formula>NOT(ISERROR(SEARCH(("등록"),(A61))))</formula>
    </cfRule>
  </conditionalFormatting>
  <conditionalFormatting sqref="A61">
    <cfRule type="containsText" dxfId="0" priority="6424" operator="containsText" text="거부">
      <formula>NOT(ISERROR(SEARCH(("거부"),(A61))))</formula>
    </cfRule>
  </conditionalFormatting>
  <conditionalFormatting sqref="A61">
    <cfRule type="containsText" dxfId="1" priority="6425" operator="containsText" text="리턴">
      <formula>NOT(ISERROR(SEARCH(("리턴"),(A61))))</formula>
    </cfRule>
  </conditionalFormatting>
  <conditionalFormatting sqref="A61">
    <cfRule type="containsText" dxfId="2" priority="6426" operator="containsText" text="실패">
      <formula>NOT(ISERROR(SEARCH(("실패"),(A61))))</formula>
    </cfRule>
  </conditionalFormatting>
  <conditionalFormatting sqref="A61">
    <cfRule type="containsText" dxfId="3" priority="6427" operator="containsText" text="관리">
      <formula>NOT(ISERROR(SEARCH(("관리"),(A61))))</formula>
    </cfRule>
  </conditionalFormatting>
  <conditionalFormatting sqref="A61">
    <cfRule type="containsText" dxfId="4" priority="6428" operator="containsText" text="등록">
      <formula>NOT(ISERROR(SEARCH(("등록"),(A61))))</formula>
    </cfRule>
  </conditionalFormatting>
  <conditionalFormatting sqref="A61">
    <cfRule type="containsText" dxfId="0" priority="6429" operator="containsText" text="거부">
      <formula>NOT(ISERROR(SEARCH(("거부"),(A61))))</formula>
    </cfRule>
  </conditionalFormatting>
  <conditionalFormatting sqref="A61">
    <cfRule type="containsText" dxfId="1" priority="6430" operator="containsText" text="리턴">
      <formula>NOT(ISERROR(SEARCH(("리턴"),(A61))))</formula>
    </cfRule>
  </conditionalFormatting>
  <conditionalFormatting sqref="A61">
    <cfRule type="containsText" dxfId="2" priority="6431" operator="containsText" text="실패">
      <formula>NOT(ISERROR(SEARCH(("실패"),(A61))))</formula>
    </cfRule>
  </conditionalFormatting>
  <conditionalFormatting sqref="A61">
    <cfRule type="containsText" dxfId="3" priority="6432" operator="containsText" text="관리">
      <formula>NOT(ISERROR(SEARCH(("관리"),(A61))))</formula>
    </cfRule>
  </conditionalFormatting>
  <conditionalFormatting sqref="A61">
    <cfRule type="containsText" dxfId="4" priority="6433" operator="containsText" text="등록">
      <formula>NOT(ISERROR(SEARCH(("등록"),(A61))))</formula>
    </cfRule>
  </conditionalFormatting>
  <conditionalFormatting sqref="D61">
    <cfRule type="containsText" dxfId="0" priority="6434" operator="containsText" text="거부">
      <formula>NOT(ISERROR(SEARCH(("거부"),(D61))))</formula>
    </cfRule>
  </conditionalFormatting>
  <conditionalFormatting sqref="D61">
    <cfRule type="containsText" dxfId="1" priority="6435" operator="containsText" text="리턴">
      <formula>NOT(ISERROR(SEARCH(("리턴"),(D61))))</formula>
    </cfRule>
  </conditionalFormatting>
  <conditionalFormatting sqref="D61">
    <cfRule type="containsText" dxfId="2" priority="6436" operator="containsText" text="실패">
      <formula>NOT(ISERROR(SEARCH(("실패"),(D61))))</formula>
    </cfRule>
  </conditionalFormatting>
  <conditionalFormatting sqref="D61">
    <cfRule type="containsText" dxfId="3" priority="6437" operator="containsText" text="관리">
      <formula>NOT(ISERROR(SEARCH(("관리"),(D61))))</formula>
    </cfRule>
  </conditionalFormatting>
  <conditionalFormatting sqref="D61">
    <cfRule type="containsText" dxfId="4" priority="6438" operator="containsText" text="등록">
      <formula>NOT(ISERROR(SEARCH(("등록"),(D61))))</formula>
    </cfRule>
  </conditionalFormatting>
  <conditionalFormatting sqref="D61">
    <cfRule type="containsText" dxfId="0" priority="6439" operator="containsText" text="거부">
      <formula>NOT(ISERROR(SEARCH(("거부"),(D61))))</formula>
    </cfRule>
  </conditionalFormatting>
  <conditionalFormatting sqref="D61">
    <cfRule type="containsText" dxfId="1" priority="6440" operator="containsText" text="리턴">
      <formula>NOT(ISERROR(SEARCH(("리턴"),(D61))))</formula>
    </cfRule>
  </conditionalFormatting>
  <conditionalFormatting sqref="D61">
    <cfRule type="containsText" dxfId="2" priority="6441" operator="containsText" text="실패">
      <formula>NOT(ISERROR(SEARCH(("실패"),(D61))))</formula>
    </cfRule>
  </conditionalFormatting>
  <conditionalFormatting sqref="D61">
    <cfRule type="containsText" dxfId="3" priority="6442" operator="containsText" text="관리">
      <formula>NOT(ISERROR(SEARCH(("관리"),(D61))))</formula>
    </cfRule>
  </conditionalFormatting>
  <conditionalFormatting sqref="D61">
    <cfRule type="containsText" dxfId="4" priority="6443" operator="containsText" text="등록">
      <formula>NOT(ISERROR(SEARCH(("등록"),(D61))))</formula>
    </cfRule>
  </conditionalFormatting>
  <conditionalFormatting sqref="E61">
    <cfRule type="containsText" dxfId="0" priority="6444" operator="containsText" text="거부">
      <formula>NOT(ISERROR(SEARCH(("거부"),(E61))))</formula>
    </cfRule>
  </conditionalFormatting>
  <conditionalFormatting sqref="E61">
    <cfRule type="containsText" dxfId="1" priority="6445" operator="containsText" text="리턴">
      <formula>NOT(ISERROR(SEARCH(("리턴"),(E61))))</formula>
    </cfRule>
  </conditionalFormatting>
  <conditionalFormatting sqref="E61">
    <cfRule type="containsText" dxfId="2" priority="6446" operator="containsText" text="실패">
      <formula>NOT(ISERROR(SEARCH(("실패"),(E61))))</formula>
    </cfRule>
  </conditionalFormatting>
  <conditionalFormatting sqref="E61">
    <cfRule type="containsText" dxfId="3" priority="6447" operator="containsText" text="관리">
      <formula>NOT(ISERROR(SEARCH(("관리"),(E61))))</formula>
    </cfRule>
  </conditionalFormatting>
  <conditionalFormatting sqref="E61">
    <cfRule type="containsText" dxfId="4" priority="6448" operator="containsText" text="등록">
      <formula>NOT(ISERROR(SEARCH(("등록"),(E61))))</formula>
    </cfRule>
  </conditionalFormatting>
  <conditionalFormatting sqref="J61">
    <cfRule type="containsText" dxfId="0" priority="6449" operator="containsText" text="거부">
      <formula>NOT(ISERROR(SEARCH(("거부"),(J61))))</formula>
    </cfRule>
  </conditionalFormatting>
  <conditionalFormatting sqref="J61">
    <cfRule type="containsText" dxfId="1" priority="6450" operator="containsText" text="리턴">
      <formula>NOT(ISERROR(SEARCH(("리턴"),(J61))))</formula>
    </cfRule>
  </conditionalFormatting>
  <conditionalFormatting sqref="J61">
    <cfRule type="containsText" dxfId="2" priority="6451" operator="containsText" text="실패">
      <formula>NOT(ISERROR(SEARCH(("실패"),(J61))))</formula>
    </cfRule>
  </conditionalFormatting>
  <conditionalFormatting sqref="J61">
    <cfRule type="containsText" dxfId="3" priority="6452" operator="containsText" text="관리">
      <formula>NOT(ISERROR(SEARCH(("관리"),(J61))))</formula>
    </cfRule>
  </conditionalFormatting>
  <conditionalFormatting sqref="J61">
    <cfRule type="containsText" dxfId="4" priority="6453" operator="containsText" text="등록">
      <formula>NOT(ISERROR(SEARCH(("등록"),(J61))))</formula>
    </cfRule>
  </conditionalFormatting>
  <conditionalFormatting sqref="J61">
    <cfRule type="containsText" dxfId="0" priority="6454" operator="containsText" text="거부">
      <formula>NOT(ISERROR(SEARCH(("거부"),(J61))))</formula>
    </cfRule>
  </conditionalFormatting>
  <conditionalFormatting sqref="J61">
    <cfRule type="containsText" dxfId="1" priority="6455" operator="containsText" text="리턴">
      <formula>NOT(ISERROR(SEARCH(("리턴"),(J61))))</formula>
    </cfRule>
  </conditionalFormatting>
  <conditionalFormatting sqref="J61">
    <cfRule type="containsText" dxfId="2" priority="6456" operator="containsText" text="실패">
      <formula>NOT(ISERROR(SEARCH(("실패"),(J61))))</formula>
    </cfRule>
  </conditionalFormatting>
  <conditionalFormatting sqref="J61">
    <cfRule type="containsText" dxfId="3" priority="6457" operator="containsText" text="관리">
      <formula>NOT(ISERROR(SEARCH(("관리"),(J61))))</formula>
    </cfRule>
  </conditionalFormatting>
  <conditionalFormatting sqref="J61">
    <cfRule type="containsText" dxfId="4" priority="6458" operator="containsText" text="등록">
      <formula>NOT(ISERROR(SEARCH(("등록"),(J61))))</formula>
    </cfRule>
  </conditionalFormatting>
  <conditionalFormatting sqref="E63">
    <cfRule type="containsText" dxfId="0" priority="6459" operator="containsText" text="거부">
      <formula>NOT(ISERROR(SEARCH(("거부"),(E63))))</formula>
    </cfRule>
  </conditionalFormatting>
  <conditionalFormatting sqref="E63">
    <cfRule type="containsText" dxfId="1" priority="6460" operator="containsText" text="리턴">
      <formula>NOT(ISERROR(SEARCH(("리턴"),(E63))))</formula>
    </cfRule>
  </conditionalFormatting>
  <conditionalFormatting sqref="E63">
    <cfRule type="containsText" dxfId="2" priority="6461" operator="containsText" text="실패">
      <formula>NOT(ISERROR(SEARCH(("실패"),(E63))))</formula>
    </cfRule>
  </conditionalFormatting>
  <conditionalFormatting sqref="E63">
    <cfRule type="containsText" dxfId="3" priority="6462" operator="containsText" text="관리">
      <formula>NOT(ISERROR(SEARCH(("관리"),(E63))))</formula>
    </cfRule>
  </conditionalFormatting>
  <conditionalFormatting sqref="E63">
    <cfRule type="containsText" dxfId="4" priority="6463" operator="containsText" text="등록">
      <formula>NOT(ISERROR(SEARCH(("등록"),(E63))))</formula>
    </cfRule>
  </conditionalFormatting>
  <conditionalFormatting sqref="A68">
    <cfRule type="containsText" dxfId="0" priority="6464" operator="containsText" text="거부">
      <formula>NOT(ISERROR(SEARCH(("거부"),(A68))))</formula>
    </cfRule>
  </conditionalFormatting>
  <conditionalFormatting sqref="A68">
    <cfRule type="containsText" dxfId="1" priority="6465" operator="containsText" text="리턴">
      <formula>NOT(ISERROR(SEARCH(("리턴"),(A68))))</formula>
    </cfRule>
  </conditionalFormatting>
  <conditionalFormatting sqref="A68">
    <cfRule type="containsText" dxfId="2" priority="6466" operator="containsText" text="실패">
      <formula>NOT(ISERROR(SEARCH(("실패"),(A68))))</formula>
    </cfRule>
  </conditionalFormatting>
  <conditionalFormatting sqref="A68">
    <cfRule type="containsText" dxfId="3" priority="6467" operator="containsText" text="관리">
      <formula>NOT(ISERROR(SEARCH(("관리"),(A68))))</formula>
    </cfRule>
  </conditionalFormatting>
  <conditionalFormatting sqref="A68">
    <cfRule type="containsText" dxfId="4" priority="6468" operator="containsText" text="등록">
      <formula>NOT(ISERROR(SEARCH(("등록"),(A68))))</formula>
    </cfRule>
  </conditionalFormatting>
  <conditionalFormatting sqref="A68">
    <cfRule type="containsText" dxfId="0" priority="6469" operator="containsText" text="거부">
      <formula>NOT(ISERROR(SEARCH(("거부"),(A68))))</formula>
    </cfRule>
  </conditionalFormatting>
  <conditionalFormatting sqref="A68">
    <cfRule type="containsText" dxfId="1" priority="6470" operator="containsText" text="리턴">
      <formula>NOT(ISERROR(SEARCH(("리턴"),(A68))))</formula>
    </cfRule>
  </conditionalFormatting>
  <conditionalFormatting sqref="A68">
    <cfRule type="containsText" dxfId="2" priority="6471" operator="containsText" text="실패">
      <formula>NOT(ISERROR(SEARCH(("실패"),(A68))))</formula>
    </cfRule>
  </conditionalFormatting>
  <conditionalFormatting sqref="A68">
    <cfRule type="containsText" dxfId="3" priority="6472" operator="containsText" text="관리">
      <formula>NOT(ISERROR(SEARCH(("관리"),(A68))))</formula>
    </cfRule>
  </conditionalFormatting>
  <conditionalFormatting sqref="A68">
    <cfRule type="containsText" dxfId="4" priority="6473" operator="containsText" text="등록">
      <formula>NOT(ISERROR(SEARCH(("등록"),(A68))))</formula>
    </cfRule>
  </conditionalFormatting>
  <conditionalFormatting sqref="G68">
    <cfRule type="containsText" dxfId="0" priority="6474" operator="containsText" text="거부">
      <formula>NOT(ISERROR(SEARCH(("거부"),(G68))))</formula>
    </cfRule>
  </conditionalFormatting>
  <conditionalFormatting sqref="G68">
    <cfRule type="containsText" dxfId="1" priority="6475" operator="containsText" text="리턴">
      <formula>NOT(ISERROR(SEARCH(("리턴"),(G68))))</formula>
    </cfRule>
  </conditionalFormatting>
  <conditionalFormatting sqref="G68">
    <cfRule type="containsText" dxfId="2" priority="6476" operator="containsText" text="실패">
      <formula>NOT(ISERROR(SEARCH(("실패"),(G68))))</formula>
    </cfRule>
  </conditionalFormatting>
  <conditionalFormatting sqref="G68">
    <cfRule type="containsText" dxfId="3" priority="6477" operator="containsText" text="관리">
      <formula>NOT(ISERROR(SEARCH(("관리"),(G68))))</formula>
    </cfRule>
  </conditionalFormatting>
  <conditionalFormatting sqref="G68">
    <cfRule type="containsText" dxfId="4" priority="6478" operator="containsText" text="등록">
      <formula>NOT(ISERROR(SEARCH(("등록"),(G68))))</formula>
    </cfRule>
  </conditionalFormatting>
  <conditionalFormatting sqref="A69">
    <cfRule type="containsText" dxfId="0" priority="6479" operator="containsText" text="거부">
      <formula>NOT(ISERROR(SEARCH(("거부"),(A69))))</formula>
    </cfRule>
  </conditionalFormatting>
  <conditionalFormatting sqref="A69">
    <cfRule type="containsText" dxfId="1" priority="6480" operator="containsText" text="리턴">
      <formula>NOT(ISERROR(SEARCH(("리턴"),(A69))))</formula>
    </cfRule>
  </conditionalFormatting>
  <conditionalFormatting sqref="A69">
    <cfRule type="containsText" dxfId="2" priority="6481" operator="containsText" text="실패">
      <formula>NOT(ISERROR(SEARCH(("실패"),(A69))))</formula>
    </cfRule>
  </conditionalFormatting>
  <conditionalFormatting sqref="A69">
    <cfRule type="containsText" dxfId="3" priority="6482" operator="containsText" text="관리">
      <formula>NOT(ISERROR(SEARCH(("관리"),(A69))))</formula>
    </cfRule>
  </conditionalFormatting>
  <conditionalFormatting sqref="A69">
    <cfRule type="containsText" dxfId="4" priority="6483" operator="containsText" text="등록">
      <formula>NOT(ISERROR(SEARCH(("등록"),(A69))))</formula>
    </cfRule>
  </conditionalFormatting>
  <conditionalFormatting sqref="F69">
    <cfRule type="containsText" dxfId="0" priority="6484" operator="containsText" text="거부">
      <formula>NOT(ISERROR(SEARCH(("거부"),(F69))))</formula>
    </cfRule>
  </conditionalFormatting>
  <conditionalFormatting sqref="F69">
    <cfRule type="containsText" dxfId="1" priority="6485" operator="containsText" text="리턴">
      <formula>NOT(ISERROR(SEARCH(("리턴"),(F69))))</formula>
    </cfRule>
  </conditionalFormatting>
  <conditionalFormatting sqref="F69">
    <cfRule type="containsText" dxfId="2" priority="6486" operator="containsText" text="실패">
      <formula>NOT(ISERROR(SEARCH(("실패"),(F69))))</formula>
    </cfRule>
  </conditionalFormatting>
  <conditionalFormatting sqref="F69">
    <cfRule type="containsText" dxfId="3" priority="6487" operator="containsText" text="관리">
      <formula>NOT(ISERROR(SEARCH(("관리"),(F69))))</formula>
    </cfRule>
  </conditionalFormatting>
  <conditionalFormatting sqref="F69">
    <cfRule type="containsText" dxfId="4" priority="6488" operator="containsText" text="등록">
      <formula>NOT(ISERROR(SEARCH(("등록"),(F69))))</formula>
    </cfRule>
  </conditionalFormatting>
  <conditionalFormatting sqref="D70">
    <cfRule type="containsText" dxfId="0" priority="6489" operator="containsText" text="거부">
      <formula>NOT(ISERROR(SEARCH(("거부"),(D70))))</formula>
    </cfRule>
  </conditionalFormatting>
  <conditionalFormatting sqref="D70">
    <cfRule type="containsText" dxfId="1" priority="6490" operator="containsText" text="리턴">
      <formula>NOT(ISERROR(SEARCH(("리턴"),(D70))))</formula>
    </cfRule>
  </conditionalFormatting>
  <conditionalFormatting sqref="D70">
    <cfRule type="containsText" dxfId="2" priority="6491" operator="containsText" text="실패">
      <formula>NOT(ISERROR(SEARCH(("실패"),(D70))))</formula>
    </cfRule>
  </conditionalFormatting>
  <conditionalFormatting sqref="D70">
    <cfRule type="containsText" dxfId="3" priority="6492" operator="containsText" text="관리">
      <formula>NOT(ISERROR(SEARCH(("관리"),(D70))))</formula>
    </cfRule>
  </conditionalFormatting>
  <conditionalFormatting sqref="D70">
    <cfRule type="containsText" dxfId="4" priority="6493" operator="containsText" text="등록">
      <formula>NOT(ISERROR(SEARCH(("등록"),(D70))))</formula>
    </cfRule>
  </conditionalFormatting>
  <conditionalFormatting sqref="D70">
    <cfRule type="containsText" dxfId="0" priority="6494" operator="containsText" text="거부">
      <formula>NOT(ISERROR(SEARCH(("거부"),(D70))))</formula>
    </cfRule>
  </conditionalFormatting>
  <conditionalFormatting sqref="D70">
    <cfRule type="containsText" dxfId="1" priority="6495" operator="containsText" text="리턴">
      <formula>NOT(ISERROR(SEARCH(("리턴"),(D70))))</formula>
    </cfRule>
  </conditionalFormatting>
  <conditionalFormatting sqref="D70">
    <cfRule type="containsText" dxfId="2" priority="6496" operator="containsText" text="실패">
      <formula>NOT(ISERROR(SEARCH(("실패"),(D70))))</formula>
    </cfRule>
  </conditionalFormatting>
  <conditionalFormatting sqref="D70">
    <cfRule type="containsText" dxfId="3" priority="6497" operator="containsText" text="관리">
      <formula>NOT(ISERROR(SEARCH(("관리"),(D70))))</formula>
    </cfRule>
  </conditionalFormatting>
  <conditionalFormatting sqref="D70">
    <cfRule type="containsText" dxfId="4" priority="6498" operator="containsText" text="등록">
      <formula>NOT(ISERROR(SEARCH(("등록"),(D70))))</formula>
    </cfRule>
  </conditionalFormatting>
  <conditionalFormatting sqref="E70">
    <cfRule type="containsText" dxfId="0" priority="6499" operator="containsText" text="거부">
      <formula>NOT(ISERROR(SEARCH(("거부"),(E70))))</formula>
    </cfRule>
  </conditionalFormatting>
  <conditionalFormatting sqref="E70">
    <cfRule type="containsText" dxfId="1" priority="6500" operator="containsText" text="리턴">
      <formula>NOT(ISERROR(SEARCH(("리턴"),(E70))))</formula>
    </cfRule>
  </conditionalFormatting>
  <conditionalFormatting sqref="E70">
    <cfRule type="containsText" dxfId="2" priority="6501" operator="containsText" text="실패">
      <formula>NOT(ISERROR(SEARCH(("실패"),(E70))))</formula>
    </cfRule>
  </conditionalFormatting>
  <conditionalFormatting sqref="E70">
    <cfRule type="containsText" dxfId="3" priority="6502" operator="containsText" text="관리">
      <formula>NOT(ISERROR(SEARCH(("관리"),(E70))))</formula>
    </cfRule>
  </conditionalFormatting>
  <conditionalFormatting sqref="E70">
    <cfRule type="containsText" dxfId="4" priority="6503" operator="containsText" text="등록">
      <formula>NOT(ISERROR(SEARCH(("등록"),(E70))))</formula>
    </cfRule>
  </conditionalFormatting>
  <conditionalFormatting sqref="J70">
    <cfRule type="containsText" dxfId="0" priority="6504" operator="containsText" text="거부">
      <formula>NOT(ISERROR(SEARCH(("거부"),(J70))))</formula>
    </cfRule>
  </conditionalFormatting>
  <conditionalFormatting sqref="J70">
    <cfRule type="containsText" dxfId="1" priority="6505" operator="containsText" text="리턴">
      <formula>NOT(ISERROR(SEARCH(("리턴"),(J70))))</formula>
    </cfRule>
  </conditionalFormatting>
  <conditionalFormatting sqref="J70">
    <cfRule type="containsText" dxfId="2" priority="6506" operator="containsText" text="실패">
      <formula>NOT(ISERROR(SEARCH(("실패"),(J70))))</formula>
    </cfRule>
  </conditionalFormatting>
  <conditionalFormatting sqref="J70">
    <cfRule type="containsText" dxfId="3" priority="6507" operator="containsText" text="관리">
      <formula>NOT(ISERROR(SEARCH(("관리"),(J70))))</formula>
    </cfRule>
  </conditionalFormatting>
  <conditionalFormatting sqref="J70">
    <cfRule type="containsText" dxfId="4" priority="6508" operator="containsText" text="등록">
      <formula>NOT(ISERROR(SEARCH(("등록"),(J70))))</formula>
    </cfRule>
  </conditionalFormatting>
  <conditionalFormatting sqref="A73">
    <cfRule type="containsText" dxfId="0" priority="6509" operator="containsText" text="거부">
      <formula>NOT(ISERROR(SEARCH(("거부"),(A73))))</formula>
    </cfRule>
  </conditionalFormatting>
  <conditionalFormatting sqref="A73">
    <cfRule type="containsText" dxfId="1" priority="6510" operator="containsText" text="리턴">
      <formula>NOT(ISERROR(SEARCH(("리턴"),(A73))))</formula>
    </cfRule>
  </conditionalFormatting>
  <conditionalFormatting sqref="A73">
    <cfRule type="containsText" dxfId="2" priority="6511" operator="containsText" text="실패">
      <formula>NOT(ISERROR(SEARCH(("실패"),(A73))))</formula>
    </cfRule>
  </conditionalFormatting>
  <conditionalFormatting sqref="A73">
    <cfRule type="containsText" dxfId="3" priority="6512" operator="containsText" text="관리">
      <formula>NOT(ISERROR(SEARCH(("관리"),(A73))))</formula>
    </cfRule>
  </conditionalFormatting>
  <conditionalFormatting sqref="A73">
    <cfRule type="containsText" dxfId="4" priority="6513" operator="containsText" text="등록">
      <formula>NOT(ISERROR(SEARCH(("등록"),(A73))))</formula>
    </cfRule>
  </conditionalFormatting>
  <conditionalFormatting sqref="A73">
    <cfRule type="containsText" dxfId="0" priority="6514" operator="containsText" text="거부">
      <formula>NOT(ISERROR(SEARCH(("거부"),(A73))))</formula>
    </cfRule>
  </conditionalFormatting>
  <conditionalFormatting sqref="A73">
    <cfRule type="containsText" dxfId="1" priority="6515" operator="containsText" text="리턴">
      <formula>NOT(ISERROR(SEARCH(("리턴"),(A73))))</formula>
    </cfRule>
  </conditionalFormatting>
  <conditionalFormatting sqref="A73">
    <cfRule type="containsText" dxfId="2" priority="6516" operator="containsText" text="실패">
      <formula>NOT(ISERROR(SEARCH(("실패"),(A73))))</formula>
    </cfRule>
  </conditionalFormatting>
  <conditionalFormatting sqref="A73">
    <cfRule type="containsText" dxfId="3" priority="6517" operator="containsText" text="관리">
      <formula>NOT(ISERROR(SEARCH(("관리"),(A73))))</formula>
    </cfRule>
  </conditionalFormatting>
  <conditionalFormatting sqref="A73">
    <cfRule type="containsText" dxfId="4" priority="6518" operator="containsText" text="등록">
      <formula>NOT(ISERROR(SEARCH(("등록"),(A73))))</formula>
    </cfRule>
  </conditionalFormatting>
  <conditionalFormatting sqref="D73">
    <cfRule type="containsText" dxfId="0" priority="6519" operator="containsText" text="거부">
      <formula>NOT(ISERROR(SEARCH(("거부"),(D73))))</formula>
    </cfRule>
  </conditionalFormatting>
  <conditionalFormatting sqref="D73">
    <cfRule type="containsText" dxfId="1" priority="6520" operator="containsText" text="리턴">
      <formula>NOT(ISERROR(SEARCH(("리턴"),(D73))))</formula>
    </cfRule>
  </conditionalFormatting>
  <conditionalFormatting sqref="D73">
    <cfRule type="containsText" dxfId="2" priority="6521" operator="containsText" text="실패">
      <formula>NOT(ISERROR(SEARCH(("실패"),(D73))))</formula>
    </cfRule>
  </conditionalFormatting>
  <conditionalFormatting sqref="D73">
    <cfRule type="containsText" dxfId="3" priority="6522" operator="containsText" text="관리">
      <formula>NOT(ISERROR(SEARCH(("관리"),(D73))))</formula>
    </cfRule>
  </conditionalFormatting>
  <conditionalFormatting sqref="D73">
    <cfRule type="containsText" dxfId="4" priority="6523" operator="containsText" text="등록">
      <formula>NOT(ISERROR(SEARCH(("등록"),(D73))))</formula>
    </cfRule>
  </conditionalFormatting>
  <conditionalFormatting sqref="J73">
    <cfRule type="containsText" dxfId="0" priority="6524" operator="containsText" text="거부">
      <formula>NOT(ISERROR(SEARCH(("거부"),(J73))))</formula>
    </cfRule>
  </conditionalFormatting>
  <conditionalFormatting sqref="J73">
    <cfRule type="containsText" dxfId="1" priority="6525" operator="containsText" text="리턴">
      <formula>NOT(ISERROR(SEARCH(("리턴"),(J73))))</formula>
    </cfRule>
  </conditionalFormatting>
  <conditionalFormatting sqref="J73">
    <cfRule type="containsText" dxfId="2" priority="6526" operator="containsText" text="실패">
      <formula>NOT(ISERROR(SEARCH(("실패"),(J73))))</formula>
    </cfRule>
  </conditionalFormatting>
  <conditionalFormatting sqref="J73">
    <cfRule type="containsText" dxfId="3" priority="6527" operator="containsText" text="관리">
      <formula>NOT(ISERROR(SEARCH(("관리"),(J73))))</formula>
    </cfRule>
  </conditionalFormatting>
  <conditionalFormatting sqref="J73">
    <cfRule type="containsText" dxfId="4" priority="6528" operator="containsText" text="등록">
      <formula>NOT(ISERROR(SEARCH(("등록"),(J73))))</formula>
    </cfRule>
  </conditionalFormatting>
  <conditionalFormatting sqref="J73">
    <cfRule type="containsText" dxfId="0" priority="6529" operator="containsText" text="거부">
      <formula>NOT(ISERROR(SEARCH(("거부"),(J73))))</formula>
    </cfRule>
  </conditionalFormatting>
  <conditionalFormatting sqref="J73">
    <cfRule type="containsText" dxfId="1" priority="6530" operator="containsText" text="리턴">
      <formula>NOT(ISERROR(SEARCH(("리턴"),(J73))))</formula>
    </cfRule>
  </conditionalFormatting>
  <conditionalFormatting sqref="J73">
    <cfRule type="containsText" dxfId="2" priority="6531" operator="containsText" text="실패">
      <formula>NOT(ISERROR(SEARCH(("실패"),(J73))))</formula>
    </cfRule>
  </conditionalFormatting>
  <conditionalFormatting sqref="J73">
    <cfRule type="containsText" dxfId="3" priority="6532" operator="containsText" text="관리">
      <formula>NOT(ISERROR(SEARCH(("관리"),(J73))))</formula>
    </cfRule>
  </conditionalFormatting>
  <conditionalFormatting sqref="J73">
    <cfRule type="containsText" dxfId="4" priority="6533" operator="containsText" text="등록">
      <formula>NOT(ISERROR(SEARCH(("등록"),(J73))))</formula>
    </cfRule>
  </conditionalFormatting>
  <conditionalFormatting sqref="J4">
    <cfRule type="containsText" dxfId="0" priority="6534" operator="containsText" text="거부">
      <formula>NOT(ISERROR(SEARCH(("거부"),(J4))))</formula>
    </cfRule>
  </conditionalFormatting>
  <conditionalFormatting sqref="J4">
    <cfRule type="containsText" dxfId="1" priority="6535" operator="containsText" text="리턴">
      <formula>NOT(ISERROR(SEARCH(("리턴"),(J4))))</formula>
    </cfRule>
  </conditionalFormatting>
  <conditionalFormatting sqref="J4">
    <cfRule type="containsText" dxfId="2" priority="6536" operator="containsText" text="실패">
      <formula>NOT(ISERROR(SEARCH(("실패"),(J4))))</formula>
    </cfRule>
  </conditionalFormatting>
  <conditionalFormatting sqref="J4">
    <cfRule type="containsText" dxfId="3" priority="6537" operator="containsText" text="관리">
      <formula>NOT(ISERROR(SEARCH(("관리"),(J4))))</formula>
    </cfRule>
  </conditionalFormatting>
  <conditionalFormatting sqref="J4">
    <cfRule type="containsText" dxfId="4" priority="6538" operator="containsText" text="등록">
      <formula>NOT(ISERROR(SEARCH(("등록"),(J4))))</formula>
    </cfRule>
  </conditionalFormatting>
  <conditionalFormatting sqref="J4">
    <cfRule type="containsText" dxfId="0" priority="6539" operator="containsText" text="거부">
      <formula>NOT(ISERROR(SEARCH(("거부"),(J4))))</formula>
    </cfRule>
  </conditionalFormatting>
  <conditionalFormatting sqref="J4">
    <cfRule type="containsText" dxfId="1" priority="6540" operator="containsText" text="리턴">
      <formula>NOT(ISERROR(SEARCH(("리턴"),(J4))))</formula>
    </cfRule>
  </conditionalFormatting>
  <conditionalFormatting sqref="J4">
    <cfRule type="containsText" dxfId="2" priority="6541" operator="containsText" text="실패">
      <formula>NOT(ISERROR(SEARCH(("실패"),(J4))))</formula>
    </cfRule>
  </conditionalFormatting>
  <conditionalFormatting sqref="J4">
    <cfRule type="containsText" dxfId="3" priority="6542" operator="containsText" text="관리">
      <formula>NOT(ISERROR(SEARCH(("관리"),(J4))))</formula>
    </cfRule>
  </conditionalFormatting>
  <conditionalFormatting sqref="J4">
    <cfRule type="containsText" dxfId="4" priority="6543" operator="containsText" text="등록">
      <formula>NOT(ISERROR(SEARCH(("등록"),(J4))))</formula>
    </cfRule>
  </conditionalFormatting>
  <conditionalFormatting sqref="J4">
    <cfRule type="containsText" dxfId="0" priority="6544" operator="containsText" text="거부">
      <formula>NOT(ISERROR(SEARCH(("거부"),(J4))))</formula>
    </cfRule>
  </conditionalFormatting>
  <conditionalFormatting sqref="J4">
    <cfRule type="containsText" dxfId="1" priority="6545" operator="containsText" text="리턴">
      <formula>NOT(ISERROR(SEARCH(("리턴"),(J4))))</formula>
    </cfRule>
  </conditionalFormatting>
  <conditionalFormatting sqref="J4">
    <cfRule type="containsText" dxfId="2" priority="6546" operator="containsText" text="실패">
      <formula>NOT(ISERROR(SEARCH(("실패"),(J4))))</formula>
    </cfRule>
  </conditionalFormatting>
  <conditionalFormatting sqref="J4">
    <cfRule type="containsText" dxfId="3" priority="6547" operator="containsText" text="관리">
      <formula>NOT(ISERROR(SEARCH(("관리"),(J4))))</formula>
    </cfRule>
  </conditionalFormatting>
  <conditionalFormatting sqref="J4">
    <cfRule type="containsText" dxfId="4" priority="6548" operator="containsText" text="등록">
      <formula>NOT(ISERROR(SEARCH(("등록"),(J4))))</formula>
    </cfRule>
  </conditionalFormatting>
  <conditionalFormatting sqref="E4">
    <cfRule type="containsText" dxfId="0" priority="6549" operator="containsText" text="거부">
      <formula>NOT(ISERROR(SEARCH(("거부"),(E4))))</formula>
    </cfRule>
  </conditionalFormatting>
  <conditionalFormatting sqref="E4">
    <cfRule type="containsText" dxfId="1" priority="6550" operator="containsText" text="리턴">
      <formula>NOT(ISERROR(SEARCH(("리턴"),(E4))))</formula>
    </cfRule>
  </conditionalFormatting>
  <conditionalFormatting sqref="E4">
    <cfRule type="containsText" dxfId="2" priority="6551" operator="containsText" text="실패">
      <formula>NOT(ISERROR(SEARCH(("실패"),(E4))))</formula>
    </cfRule>
  </conditionalFormatting>
  <conditionalFormatting sqref="E4">
    <cfRule type="containsText" dxfId="3" priority="6552" operator="containsText" text="관리">
      <formula>NOT(ISERROR(SEARCH(("관리"),(E4))))</formula>
    </cfRule>
  </conditionalFormatting>
  <conditionalFormatting sqref="E4">
    <cfRule type="containsText" dxfId="4" priority="6553" operator="containsText" text="등록">
      <formula>NOT(ISERROR(SEARCH(("등록"),(E4))))</formula>
    </cfRule>
  </conditionalFormatting>
  <conditionalFormatting sqref="A6:A7">
    <cfRule type="containsText" dxfId="0" priority="6554" operator="containsText" text="거부">
      <formula>NOT(ISERROR(SEARCH(("거부"),(A6))))</formula>
    </cfRule>
  </conditionalFormatting>
  <conditionalFormatting sqref="A6:A7">
    <cfRule type="containsText" dxfId="1" priority="6555" operator="containsText" text="리턴">
      <formula>NOT(ISERROR(SEARCH(("리턴"),(A6))))</formula>
    </cfRule>
  </conditionalFormatting>
  <conditionalFormatting sqref="A6:A7">
    <cfRule type="containsText" dxfId="2" priority="6556" operator="containsText" text="실패">
      <formula>NOT(ISERROR(SEARCH(("실패"),(A6))))</formula>
    </cfRule>
  </conditionalFormatting>
  <conditionalFormatting sqref="A6:A7">
    <cfRule type="containsText" dxfId="3" priority="6557" operator="containsText" text="관리">
      <formula>NOT(ISERROR(SEARCH(("관리"),(A6))))</formula>
    </cfRule>
  </conditionalFormatting>
  <conditionalFormatting sqref="A6:A7">
    <cfRule type="containsText" dxfId="4" priority="6558" operator="containsText" text="등록">
      <formula>NOT(ISERROR(SEARCH(("등록"),(A6))))</formula>
    </cfRule>
  </conditionalFormatting>
  <conditionalFormatting sqref="A6:A7">
    <cfRule type="containsText" dxfId="0" priority="6559" operator="containsText" text="거부">
      <formula>NOT(ISERROR(SEARCH(("거부"),(A6))))</formula>
    </cfRule>
  </conditionalFormatting>
  <conditionalFormatting sqref="A6:A7">
    <cfRule type="containsText" dxfId="1" priority="6560" operator="containsText" text="리턴">
      <formula>NOT(ISERROR(SEARCH(("리턴"),(A6))))</formula>
    </cfRule>
  </conditionalFormatting>
  <conditionalFormatting sqref="A6:A7">
    <cfRule type="containsText" dxfId="2" priority="6561" operator="containsText" text="실패">
      <formula>NOT(ISERROR(SEARCH(("실패"),(A6))))</formula>
    </cfRule>
  </conditionalFormatting>
  <conditionalFormatting sqref="A6:A7">
    <cfRule type="containsText" dxfId="3" priority="6562" operator="containsText" text="관리">
      <formula>NOT(ISERROR(SEARCH(("관리"),(A6))))</formula>
    </cfRule>
  </conditionalFormatting>
  <conditionalFormatting sqref="A6:A7">
    <cfRule type="containsText" dxfId="4" priority="6563" operator="containsText" text="등록">
      <formula>NOT(ISERROR(SEARCH(("등록"),(A6))))</formula>
    </cfRule>
  </conditionalFormatting>
  <conditionalFormatting sqref="A6:A7">
    <cfRule type="containsText" dxfId="0" priority="6564" operator="containsText" text="거부">
      <formula>NOT(ISERROR(SEARCH(("거부"),(A6))))</formula>
    </cfRule>
  </conditionalFormatting>
  <conditionalFormatting sqref="A6:A7">
    <cfRule type="containsText" dxfId="1" priority="6565" operator="containsText" text="리턴">
      <formula>NOT(ISERROR(SEARCH(("리턴"),(A6))))</formula>
    </cfRule>
  </conditionalFormatting>
  <conditionalFormatting sqref="A6:A7">
    <cfRule type="containsText" dxfId="2" priority="6566" operator="containsText" text="실패">
      <formula>NOT(ISERROR(SEARCH(("실패"),(A6))))</formula>
    </cfRule>
  </conditionalFormatting>
  <conditionalFormatting sqref="A6:A7">
    <cfRule type="containsText" dxfId="3" priority="6567" operator="containsText" text="관리">
      <formula>NOT(ISERROR(SEARCH(("관리"),(A6))))</formula>
    </cfRule>
  </conditionalFormatting>
  <conditionalFormatting sqref="A6:A7">
    <cfRule type="containsText" dxfId="4" priority="6568" operator="containsText" text="등록">
      <formula>NOT(ISERROR(SEARCH(("등록"),(A6))))</formula>
    </cfRule>
  </conditionalFormatting>
  <conditionalFormatting sqref="A6:A7">
    <cfRule type="containsText" dxfId="0" priority="6569" operator="containsText" text="거부">
      <formula>NOT(ISERROR(SEARCH(("거부"),(A6))))</formula>
    </cfRule>
  </conditionalFormatting>
  <conditionalFormatting sqref="A6:A7">
    <cfRule type="containsText" dxfId="1" priority="6570" operator="containsText" text="리턴">
      <formula>NOT(ISERROR(SEARCH(("리턴"),(A6))))</formula>
    </cfRule>
  </conditionalFormatting>
  <conditionalFormatting sqref="A6:A7">
    <cfRule type="containsText" dxfId="2" priority="6571" operator="containsText" text="실패">
      <formula>NOT(ISERROR(SEARCH(("실패"),(A6))))</formula>
    </cfRule>
  </conditionalFormatting>
  <conditionalFormatting sqref="A6:A7">
    <cfRule type="containsText" dxfId="3" priority="6572" operator="containsText" text="관리">
      <formula>NOT(ISERROR(SEARCH(("관리"),(A6))))</formula>
    </cfRule>
  </conditionalFormatting>
  <conditionalFormatting sqref="A6:A7">
    <cfRule type="containsText" dxfId="4" priority="6573" operator="containsText" text="등록">
      <formula>NOT(ISERROR(SEARCH(("등록"),(A6))))</formula>
    </cfRule>
  </conditionalFormatting>
  <conditionalFormatting sqref="A6:A7">
    <cfRule type="containsText" dxfId="0" priority="6574" operator="containsText" text="거부">
      <formula>NOT(ISERROR(SEARCH(("거부"),(A6))))</formula>
    </cfRule>
  </conditionalFormatting>
  <conditionalFormatting sqref="A6:A7">
    <cfRule type="containsText" dxfId="1" priority="6575" operator="containsText" text="리턴">
      <formula>NOT(ISERROR(SEARCH(("리턴"),(A6))))</formula>
    </cfRule>
  </conditionalFormatting>
  <conditionalFormatting sqref="A6:A7">
    <cfRule type="containsText" dxfId="2" priority="6576" operator="containsText" text="실패">
      <formula>NOT(ISERROR(SEARCH(("실패"),(A6))))</formula>
    </cfRule>
  </conditionalFormatting>
  <conditionalFormatting sqref="A6:A7">
    <cfRule type="containsText" dxfId="3" priority="6577" operator="containsText" text="관리">
      <formula>NOT(ISERROR(SEARCH(("관리"),(A6))))</formula>
    </cfRule>
  </conditionalFormatting>
  <conditionalFormatting sqref="A6:A7">
    <cfRule type="containsText" dxfId="4" priority="6578" operator="containsText" text="등록">
      <formula>NOT(ISERROR(SEARCH(("등록"),(A6))))</formula>
    </cfRule>
  </conditionalFormatting>
  <conditionalFormatting sqref="A6:A7">
    <cfRule type="containsText" dxfId="0" priority="6579" operator="containsText" text="거부">
      <formula>NOT(ISERROR(SEARCH(("거부"),(A6))))</formula>
    </cfRule>
  </conditionalFormatting>
  <conditionalFormatting sqref="A6:A7">
    <cfRule type="containsText" dxfId="1" priority="6580" operator="containsText" text="리턴">
      <formula>NOT(ISERROR(SEARCH(("리턴"),(A6))))</formula>
    </cfRule>
  </conditionalFormatting>
  <conditionalFormatting sqref="A6:A7">
    <cfRule type="containsText" dxfId="2" priority="6581" operator="containsText" text="실패">
      <formula>NOT(ISERROR(SEARCH(("실패"),(A6))))</formula>
    </cfRule>
  </conditionalFormatting>
  <conditionalFormatting sqref="A6:A7">
    <cfRule type="containsText" dxfId="3" priority="6582" operator="containsText" text="관리">
      <formula>NOT(ISERROR(SEARCH(("관리"),(A6))))</formula>
    </cfRule>
  </conditionalFormatting>
  <conditionalFormatting sqref="A6:A7">
    <cfRule type="containsText" dxfId="4" priority="6583" operator="containsText" text="등록">
      <formula>NOT(ISERROR(SEARCH(("등록"),(A6))))</formula>
    </cfRule>
  </conditionalFormatting>
  <conditionalFormatting sqref="A6:A7">
    <cfRule type="containsText" dxfId="0" priority="6584" operator="containsText" text="거부">
      <formula>NOT(ISERROR(SEARCH(("거부"),(A6))))</formula>
    </cfRule>
  </conditionalFormatting>
  <conditionalFormatting sqref="A6:A7">
    <cfRule type="containsText" dxfId="1" priority="6585" operator="containsText" text="리턴">
      <formula>NOT(ISERROR(SEARCH(("리턴"),(A6))))</formula>
    </cfRule>
  </conditionalFormatting>
  <conditionalFormatting sqref="A6:A7">
    <cfRule type="containsText" dxfId="2" priority="6586" operator="containsText" text="실패">
      <formula>NOT(ISERROR(SEARCH(("실패"),(A6))))</formula>
    </cfRule>
  </conditionalFormatting>
  <conditionalFormatting sqref="A6:A7">
    <cfRule type="containsText" dxfId="3" priority="6587" operator="containsText" text="관리">
      <formula>NOT(ISERROR(SEARCH(("관리"),(A6))))</formula>
    </cfRule>
  </conditionalFormatting>
  <conditionalFormatting sqref="A6:A7">
    <cfRule type="containsText" dxfId="4" priority="6588" operator="containsText" text="등록">
      <formula>NOT(ISERROR(SEARCH(("등록"),(A6))))</formula>
    </cfRule>
  </conditionalFormatting>
  <conditionalFormatting sqref="A6:A7">
    <cfRule type="containsText" dxfId="0" priority="6589" operator="containsText" text="거부">
      <formula>NOT(ISERROR(SEARCH(("거부"),(A6))))</formula>
    </cfRule>
  </conditionalFormatting>
  <conditionalFormatting sqref="A6:A7">
    <cfRule type="containsText" dxfId="1" priority="6590" operator="containsText" text="리턴">
      <formula>NOT(ISERROR(SEARCH(("리턴"),(A6))))</formula>
    </cfRule>
  </conditionalFormatting>
  <conditionalFormatting sqref="A6:A7">
    <cfRule type="containsText" dxfId="2" priority="6591" operator="containsText" text="실패">
      <formula>NOT(ISERROR(SEARCH(("실패"),(A6))))</formula>
    </cfRule>
  </conditionalFormatting>
  <conditionalFormatting sqref="A6:A7">
    <cfRule type="containsText" dxfId="3" priority="6592" operator="containsText" text="관리">
      <formula>NOT(ISERROR(SEARCH(("관리"),(A6))))</formula>
    </cfRule>
  </conditionalFormatting>
  <conditionalFormatting sqref="A6:A7">
    <cfRule type="containsText" dxfId="4" priority="6593" operator="containsText" text="등록">
      <formula>NOT(ISERROR(SEARCH(("등록"),(A6))))</formula>
    </cfRule>
  </conditionalFormatting>
  <conditionalFormatting sqref="A8">
    <cfRule type="containsText" dxfId="0" priority="6594" operator="containsText" text="거부">
      <formula>NOT(ISERROR(SEARCH(("거부"),(A8))))</formula>
    </cfRule>
  </conditionalFormatting>
  <conditionalFormatting sqref="A8">
    <cfRule type="containsText" dxfId="1" priority="6595" operator="containsText" text="리턴">
      <formula>NOT(ISERROR(SEARCH(("리턴"),(A8))))</formula>
    </cfRule>
  </conditionalFormatting>
  <conditionalFormatting sqref="A8">
    <cfRule type="containsText" dxfId="2" priority="6596" operator="containsText" text="실패">
      <formula>NOT(ISERROR(SEARCH(("실패"),(A8))))</formula>
    </cfRule>
  </conditionalFormatting>
  <conditionalFormatting sqref="A8">
    <cfRule type="containsText" dxfId="3" priority="6597" operator="containsText" text="관리">
      <formula>NOT(ISERROR(SEARCH(("관리"),(A8))))</formula>
    </cfRule>
  </conditionalFormatting>
  <conditionalFormatting sqref="A8">
    <cfRule type="containsText" dxfId="4" priority="6598" operator="containsText" text="등록">
      <formula>NOT(ISERROR(SEARCH(("등록"),(A8))))</formula>
    </cfRule>
  </conditionalFormatting>
  <conditionalFormatting sqref="A8">
    <cfRule type="containsText" dxfId="0" priority="6599" operator="containsText" text="거부">
      <formula>NOT(ISERROR(SEARCH(("거부"),(A8))))</formula>
    </cfRule>
  </conditionalFormatting>
  <conditionalFormatting sqref="A8">
    <cfRule type="containsText" dxfId="1" priority="6600" operator="containsText" text="리턴">
      <formula>NOT(ISERROR(SEARCH(("리턴"),(A8))))</formula>
    </cfRule>
  </conditionalFormatting>
  <conditionalFormatting sqref="A8">
    <cfRule type="containsText" dxfId="2" priority="6601" operator="containsText" text="실패">
      <formula>NOT(ISERROR(SEARCH(("실패"),(A8))))</formula>
    </cfRule>
  </conditionalFormatting>
  <conditionalFormatting sqref="A8">
    <cfRule type="containsText" dxfId="3" priority="6602" operator="containsText" text="관리">
      <formula>NOT(ISERROR(SEARCH(("관리"),(A8))))</formula>
    </cfRule>
  </conditionalFormatting>
  <conditionalFormatting sqref="A8">
    <cfRule type="containsText" dxfId="4" priority="6603" operator="containsText" text="등록">
      <formula>NOT(ISERROR(SEARCH(("등록"),(A8))))</formula>
    </cfRule>
  </conditionalFormatting>
  <conditionalFormatting sqref="A8">
    <cfRule type="containsText" dxfId="0" priority="6604" operator="containsText" text="거부">
      <formula>NOT(ISERROR(SEARCH(("거부"),(A8))))</formula>
    </cfRule>
  </conditionalFormatting>
  <conditionalFormatting sqref="A8">
    <cfRule type="containsText" dxfId="1" priority="6605" operator="containsText" text="리턴">
      <formula>NOT(ISERROR(SEARCH(("리턴"),(A8))))</formula>
    </cfRule>
  </conditionalFormatting>
  <conditionalFormatting sqref="A8">
    <cfRule type="containsText" dxfId="2" priority="6606" operator="containsText" text="실패">
      <formula>NOT(ISERROR(SEARCH(("실패"),(A8))))</formula>
    </cfRule>
  </conditionalFormatting>
  <conditionalFormatting sqref="A8">
    <cfRule type="containsText" dxfId="3" priority="6607" operator="containsText" text="관리">
      <formula>NOT(ISERROR(SEARCH(("관리"),(A8))))</formula>
    </cfRule>
  </conditionalFormatting>
  <conditionalFormatting sqref="A8">
    <cfRule type="containsText" dxfId="4" priority="6608" operator="containsText" text="등록">
      <formula>NOT(ISERROR(SEARCH(("등록"),(A8))))</formula>
    </cfRule>
  </conditionalFormatting>
  <conditionalFormatting sqref="A8">
    <cfRule type="containsText" dxfId="0" priority="6609" operator="containsText" text="거부">
      <formula>NOT(ISERROR(SEARCH(("거부"),(A8))))</formula>
    </cfRule>
  </conditionalFormatting>
  <conditionalFormatting sqref="A8">
    <cfRule type="containsText" dxfId="1" priority="6610" operator="containsText" text="리턴">
      <formula>NOT(ISERROR(SEARCH(("리턴"),(A8))))</formula>
    </cfRule>
  </conditionalFormatting>
  <conditionalFormatting sqref="A8">
    <cfRule type="containsText" dxfId="2" priority="6611" operator="containsText" text="실패">
      <formula>NOT(ISERROR(SEARCH(("실패"),(A8))))</formula>
    </cfRule>
  </conditionalFormatting>
  <conditionalFormatting sqref="A8">
    <cfRule type="containsText" dxfId="3" priority="6612" operator="containsText" text="관리">
      <formula>NOT(ISERROR(SEARCH(("관리"),(A8))))</formula>
    </cfRule>
  </conditionalFormatting>
  <conditionalFormatting sqref="A8">
    <cfRule type="containsText" dxfId="4" priority="6613" operator="containsText" text="등록">
      <formula>NOT(ISERROR(SEARCH(("등록"),(A8))))</formula>
    </cfRule>
  </conditionalFormatting>
  <conditionalFormatting sqref="A8">
    <cfRule type="containsText" dxfId="0" priority="6614" operator="containsText" text="거부">
      <formula>NOT(ISERROR(SEARCH(("거부"),(A8))))</formula>
    </cfRule>
  </conditionalFormatting>
  <conditionalFormatting sqref="A8">
    <cfRule type="containsText" dxfId="1" priority="6615" operator="containsText" text="리턴">
      <formula>NOT(ISERROR(SEARCH(("리턴"),(A8))))</formula>
    </cfRule>
  </conditionalFormatting>
  <conditionalFormatting sqref="A8">
    <cfRule type="containsText" dxfId="2" priority="6616" operator="containsText" text="실패">
      <formula>NOT(ISERROR(SEARCH(("실패"),(A8))))</formula>
    </cfRule>
  </conditionalFormatting>
  <conditionalFormatting sqref="A8">
    <cfRule type="containsText" dxfId="3" priority="6617" operator="containsText" text="관리">
      <formula>NOT(ISERROR(SEARCH(("관리"),(A8))))</formula>
    </cfRule>
  </conditionalFormatting>
  <conditionalFormatting sqref="A8">
    <cfRule type="containsText" dxfId="4" priority="6618" operator="containsText" text="등록">
      <formula>NOT(ISERROR(SEARCH(("등록"),(A8))))</formula>
    </cfRule>
  </conditionalFormatting>
  <conditionalFormatting sqref="A8">
    <cfRule type="containsText" dxfId="0" priority="6619" operator="containsText" text="거부">
      <formula>NOT(ISERROR(SEARCH(("거부"),(A8))))</formula>
    </cfRule>
  </conditionalFormatting>
  <conditionalFormatting sqref="A8">
    <cfRule type="containsText" dxfId="1" priority="6620" operator="containsText" text="리턴">
      <formula>NOT(ISERROR(SEARCH(("리턴"),(A8))))</formula>
    </cfRule>
  </conditionalFormatting>
  <conditionalFormatting sqref="A8">
    <cfRule type="containsText" dxfId="2" priority="6621" operator="containsText" text="실패">
      <formula>NOT(ISERROR(SEARCH(("실패"),(A8))))</formula>
    </cfRule>
  </conditionalFormatting>
  <conditionalFormatting sqref="A8">
    <cfRule type="containsText" dxfId="3" priority="6622" operator="containsText" text="관리">
      <formula>NOT(ISERROR(SEARCH(("관리"),(A8))))</formula>
    </cfRule>
  </conditionalFormatting>
  <conditionalFormatting sqref="A8">
    <cfRule type="containsText" dxfId="4" priority="6623" operator="containsText" text="등록">
      <formula>NOT(ISERROR(SEARCH(("등록"),(A8))))</formula>
    </cfRule>
  </conditionalFormatting>
  <conditionalFormatting sqref="A8">
    <cfRule type="containsText" dxfId="0" priority="6624" operator="containsText" text="거부">
      <formula>NOT(ISERROR(SEARCH(("거부"),(A8))))</formula>
    </cfRule>
  </conditionalFormatting>
  <conditionalFormatting sqref="A8">
    <cfRule type="containsText" dxfId="1" priority="6625" operator="containsText" text="리턴">
      <formula>NOT(ISERROR(SEARCH(("리턴"),(A8))))</formula>
    </cfRule>
  </conditionalFormatting>
  <conditionalFormatting sqref="A8">
    <cfRule type="containsText" dxfId="2" priority="6626" operator="containsText" text="실패">
      <formula>NOT(ISERROR(SEARCH(("실패"),(A8))))</formula>
    </cfRule>
  </conditionalFormatting>
  <conditionalFormatting sqref="A8">
    <cfRule type="containsText" dxfId="3" priority="6627" operator="containsText" text="관리">
      <formula>NOT(ISERROR(SEARCH(("관리"),(A8))))</formula>
    </cfRule>
  </conditionalFormatting>
  <conditionalFormatting sqref="A8">
    <cfRule type="containsText" dxfId="4" priority="6628" operator="containsText" text="등록">
      <formula>NOT(ISERROR(SEARCH(("등록"),(A8))))</formula>
    </cfRule>
  </conditionalFormatting>
  <conditionalFormatting sqref="A8">
    <cfRule type="containsText" dxfId="0" priority="6629" operator="containsText" text="거부">
      <formula>NOT(ISERROR(SEARCH(("거부"),(A8))))</formula>
    </cfRule>
  </conditionalFormatting>
  <conditionalFormatting sqref="A8">
    <cfRule type="containsText" dxfId="1" priority="6630" operator="containsText" text="리턴">
      <formula>NOT(ISERROR(SEARCH(("리턴"),(A8))))</formula>
    </cfRule>
  </conditionalFormatting>
  <conditionalFormatting sqref="A8">
    <cfRule type="containsText" dxfId="2" priority="6631" operator="containsText" text="실패">
      <formula>NOT(ISERROR(SEARCH(("실패"),(A8))))</formula>
    </cfRule>
  </conditionalFormatting>
  <conditionalFormatting sqref="A8">
    <cfRule type="containsText" dxfId="3" priority="6632" operator="containsText" text="관리">
      <formula>NOT(ISERROR(SEARCH(("관리"),(A8))))</formula>
    </cfRule>
  </conditionalFormatting>
  <conditionalFormatting sqref="A8">
    <cfRule type="containsText" dxfId="4" priority="6633" operator="containsText" text="등록">
      <formula>NOT(ISERROR(SEARCH(("등록"),(A8))))</formula>
    </cfRule>
  </conditionalFormatting>
  <conditionalFormatting sqref="E6">
    <cfRule type="containsText" dxfId="0" priority="6634" operator="containsText" text="거부">
      <formula>NOT(ISERROR(SEARCH(("거부"),(E6))))</formula>
    </cfRule>
  </conditionalFormatting>
  <conditionalFormatting sqref="E6">
    <cfRule type="containsText" dxfId="1" priority="6635" operator="containsText" text="리턴">
      <formula>NOT(ISERROR(SEARCH(("리턴"),(E6))))</formula>
    </cfRule>
  </conditionalFormatting>
  <conditionalFormatting sqref="E6">
    <cfRule type="containsText" dxfId="2" priority="6636" operator="containsText" text="실패">
      <formula>NOT(ISERROR(SEARCH(("실패"),(E6))))</formula>
    </cfRule>
  </conditionalFormatting>
  <conditionalFormatting sqref="E6">
    <cfRule type="containsText" dxfId="3" priority="6637" operator="containsText" text="관리">
      <formula>NOT(ISERROR(SEARCH(("관리"),(E6))))</formula>
    </cfRule>
  </conditionalFormatting>
  <conditionalFormatting sqref="E6">
    <cfRule type="containsText" dxfId="4" priority="6638" operator="containsText" text="등록">
      <formula>NOT(ISERROR(SEARCH(("등록"),(E6))))</formula>
    </cfRule>
  </conditionalFormatting>
  <conditionalFormatting sqref="E8">
    <cfRule type="containsText" dxfId="0" priority="6639" operator="containsText" text="거부">
      <formula>NOT(ISERROR(SEARCH(("거부"),(E8))))</formula>
    </cfRule>
  </conditionalFormatting>
  <conditionalFormatting sqref="E8">
    <cfRule type="containsText" dxfId="1" priority="6640" operator="containsText" text="리턴">
      <formula>NOT(ISERROR(SEARCH(("리턴"),(E8))))</formula>
    </cfRule>
  </conditionalFormatting>
  <conditionalFormatting sqref="E8">
    <cfRule type="containsText" dxfId="2" priority="6641" operator="containsText" text="실패">
      <formula>NOT(ISERROR(SEARCH(("실패"),(E8))))</formula>
    </cfRule>
  </conditionalFormatting>
  <conditionalFormatting sqref="E8">
    <cfRule type="containsText" dxfId="3" priority="6642" operator="containsText" text="관리">
      <formula>NOT(ISERROR(SEARCH(("관리"),(E8))))</formula>
    </cfRule>
  </conditionalFormatting>
  <conditionalFormatting sqref="E8">
    <cfRule type="containsText" dxfId="4" priority="6643" operator="containsText" text="등록">
      <formula>NOT(ISERROR(SEARCH(("등록"),(E8))))</formula>
    </cfRule>
  </conditionalFormatting>
  <conditionalFormatting sqref="J7">
    <cfRule type="containsText" dxfId="0" priority="6644" operator="containsText" text="거부">
      <formula>NOT(ISERROR(SEARCH(("거부"),(J7))))</formula>
    </cfRule>
  </conditionalFormatting>
  <conditionalFormatting sqref="J7">
    <cfRule type="containsText" dxfId="1" priority="6645" operator="containsText" text="리턴">
      <formula>NOT(ISERROR(SEARCH(("리턴"),(J7))))</formula>
    </cfRule>
  </conditionalFormatting>
  <conditionalFormatting sqref="J7">
    <cfRule type="containsText" dxfId="2" priority="6646" operator="containsText" text="실패">
      <formula>NOT(ISERROR(SEARCH(("실패"),(J7))))</formula>
    </cfRule>
  </conditionalFormatting>
  <conditionalFormatting sqref="J7">
    <cfRule type="containsText" dxfId="3" priority="6647" operator="containsText" text="관리">
      <formula>NOT(ISERROR(SEARCH(("관리"),(J7))))</formula>
    </cfRule>
  </conditionalFormatting>
  <conditionalFormatting sqref="J7">
    <cfRule type="containsText" dxfId="4" priority="6648" operator="containsText" text="등록">
      <formula>NOT(ISERROR(SEARCH(("등록"),(J7))))</formula>
    </cfRule>
  </conditionalFormatting>
  <conditionalFormatting sqref="J7">
    <cfRule type="containsText" dxfId="0" priority="6649" operator="containsText" text="거부">
      <formula>NOT(ISERROR(SEARCH(("거부"),(J7))))</formula>
    </cfRule>
  </conditionalFormatting>
  <conditionalFormatting sqref="J7">
    <cfRule type="containsText" dxfId="1" priority="6650" operator="containsText" text="리턴">
      <formula>NOT(ISERROR(SEARCH(("리턴"),(J7))))</formula>
    </cfRule>
  </conditionalFormatting>
  <conditionalFormatting sqref="J7">
    <cfRule type="containsText" dxfId="2" priority="6651" operator="containsText" text="실패">
      <formula>NOT(ISERROR(SEARCH(("실패"),(J7))))</formula>
    </cfRule>
  </conditionalFormatting>
  <conditionalFormatting sqref="J7">
    <cfRule type="containsText" dxfId="3" priority="6652" operator="containsText" text="관리">
      <formula>NOT(ISERROR(SEARCH(("관리"),(J7))))</formula>
    </cfRule>
  </conditionalFormatting>
  <conditionalFormatting sqref="J7">
    <cfRule type="containsText" dxfId="4" priority="6653" operator="containsText" text="등록">
      <formula>NOT(ISERROR(SEARCH(("등록"),(J7))))</formula>
    </cfRule>
  </conditionalFormatting>
  <conditionalFormatting sqref="J7">
    <cfRule type="containsText" dxfId="0" priority="6654" operator="containsText" text="거부">
      <formula>NOT(ISERROR(SEARCH(("거부"),(J7))))</formula>
    </cfRule>
  </conditionalFormatting>
  <conditionalFormatting sqref="J7">
    <cfRule type="containsText" dxfId="1" priority="6655" operator="containsText" text="리턴">
      <formula>NOT(ISERROR(SEARCH(("리턴"),(J7))))</formula>
    </cfRule>
  </conditionalFormatting>
  <conditionalFormatting sqref="J7">
    <cfRule type="containsText" dxfId="2" priority="6656" operator="containsText" text="실패">
      <formula>NOT(ISERROR(SEARCH(("실패"),(J7))))</formula>
    </cfRule>
  </conditionalFormatting>
  <conditionalFormatting sqref="J7">
    <cfRule type="containsText" dxfId="3" priority="6657" operator="containsText" text="관리">
      <formula>NOT(ISERROR(SEARCH(("관리"),(J7))))</formula>
    </cfRule>
  </conditionalFormatting>
  <conditionalFormatting sqref="J7">
    <cfRule type="containsText" dxfId="4" priority="6658" operator="containsText" text="등록">
      <formula>NOT(ISERROR(SEARCH(("등록"),(J7))))</formula>
    </cfRule>
  </conditionalFormatting>
  <conditionalFormatting sqref="J6">
    <cfRule type="containsText" dxfId="0" priority="6659" operator="containsText" text="거부">
      <formula>NOT(ISERROR(SEARCH(("거부"),(J6))))</formula>
    </cfRule>
  </conditionalFormatting>
  <conditionalFormatting sqref="J6">
    <cfRule type="containsText" dxfId="1" priority="6660" operator="containsText" text="리턴">
      <formula>NOT(ISERROR(SEARCH(("리턴"),(J6))))</formula>
    </cfRule>
  </conditionalFormatting>
  <conditionalFormatting sqref="J6">
    <cfRule type="containsText" dxfId="2" priority="6661" operator="containsText" text="실패">
      <formula>NOT(ISERROR(SEARCH(("실패"),(J6))))</formula>
    </cfRule>
  </conditionalFormatting>
  <conditionalFormatting sqref="J6">
    <cfRule type="containsText" dxfId="3" priority="6662" operator="containsText" text="관리">
      <formula>NOT(ISERROR(SEARCH(("관리"),(J6))))</formula>
    </cfRule>
  </conditionalFormatting>
  <conditionalFormatting sqref="J6">
    <cfRule type="containsText" dxfId="4" priority="6663" operator="containsText" text="등록">
      <formula>NOT(ISERROR(SEARCH(("등록"),(J6))))</formula>
    </cfRule>
  </conditionalFormatting>
  <conditionalFormatting sqref="J6">
    <cfRule type="containsText" dxfId="0" priority="6664" operator="containsText" text="거부">
      <formula>NOT(ISERROR(SEARCH(("거부"),(J6))))</formula>
    </cfRule>
  </conditionalFormatting>
  <conditionalFormatting sqref="J6">
    <cfRule type="containsText" dxfId="1" priority="6665" operator="containsText" text="리턴">
      <formula>NOT(ISERROR(SEARCH(("리턴"),(J6))))</formula>
    </cfRule>
  </conditionalFormatting>
  <conditionalFormatting sqref="J6">
    <cfRule type="containsText" dxfId="2" priority="6666" operator="containsText" text="실패">
      <formula>NOT(ISERROR(SEARCH(("실패"),(J6))))</formula>
    </cfRule>
  </conditionalFormatting>
  <conditionalFormatting sqref="J6">
    <cfRule type="containsText" dxfId="3" priority="6667" operator="containsText" text="관리">
      <formula>NOT(ISERROR(SEARCH(("관리"),(J6))))</formula>
    </cfRule>
  </conditionalFormatting>
  <conditionalFormatting sqref="J6">
    <cfRule type="containsText" dxfId="4" priority="6668" operator="containsText" text="등록">
      <formula>NOT(ISERROR(SEARCH(("등록"),(J6))))</formula>
    </cfRule>
  </conditionalFormatting>
  <conditionalFormatting sqref="J6">
    <cfRule type="containsText" dxfId="0" priority="6669" operator="containsText" text="거부">
      <formula>NOT(ISERROR(SEARCH(("거부"),(J6))))</formula>
    </cfRule>
  </conditionalFormatting>
  <conditionalFormatting sqref="J6">
    <cfRule type="containsText" dxfId="1" priority="6670" operator="containsText" text="리턴">
      <formula>NOT(ISERROR(SEARCH(("리턴"),(J6))))</formula>
    </cfRule>
  </conditionalFormatting>
  <conditionalFormatting sqref="J6">
    <cfRule type="containsText" dxfId="2" priority="6671" operator="containsText" text="실패">
      <formula>NOT(ISERROR(SEARCH(("실패"),(J6))))</formula>
    </cfRule>
  </conditionalFormatting>
  <conditionalFormatting sqref="J6">
    <cfRule type="containsText" dxfId="3" priority="6672" operator="containsText" text="관리">
      <formula>NOT(ISERROR(SEARCH(("관리"),(J6))))</formula>
    </cfRule>
  </conditionalFormatting>
  <conditionalFormatting sqref="J6">
    <cfRule type="containsText" dxfId="4" priority="6673" operator="containsText" text="등록">
      <formula>NOT(ISERROR(SEARCH(("등록"),(J6))))</formula>
    </cfRule>
  </conditionalFormatting>
  <conditionalFormatting sqref="J8">
    <cfRule type="containsText" dxfId="0" priority="6674" operator="containsText" text="거부">
      <formula>NOT(ISERROR(SEARCH(("거부"),(J8))))</formula>
    </cfRule>
  </conditionalFormatting>
  <conditionalFormatting sqref="J8">
    <cfRule type="containsText" dxfId="1" priority="6675" operator="containsText" text="리턴">
      <formula>NOT(ISERROR(SEARCH(("리턴"),(J8))))</formula>
    </cfRule>
  </conditionalFormatting>
  <conditionalFormatting sqref="J8">
    <cfRule type="containsText" dxfId="2" priority="6676" operator="containsText" text="실패">
      <formula>NOT(ISERROR(SEARCH(("실패"),(J8))))</formula>
    </cfRule>
  </conditionalFormatting>
  <conditionalFormatting sqref="J8">
    <cfRule type="containsText" dxfId="3" priority="6677" operator="containsText" text="관리">
      <formula>NOT(ISERROR(SEARCH(("관리"),(J8))))</formula>
    </cfRule>
  </conditionalFormatting>
  <conditionalFormatting sqref="J8">
    <cfRule type="containsText" dxfId="4" priority="6678" operator="containsText" text="등록">
      <formula>NOT(ISERROR(SEARCH(("등록"),(J8))))</formula>
    </cfRule>
  </conditionalFormatting>
  <conditionalFormatting sqref="J8">
    <cfRule type="containsText" dxfId="0" priority="6679" operator="containsText" text="거부">
      <formula>NOT(ISERROR(SEARCH(("거부"),(J8))))</formula>
    </cfRule>
  </conditionalFormatting>
  <conditionalFormatting sqref="J8">
    <cfRule type="containsText" dxfId="1" priority="6680" operator="containsText" text="리턴">
      <formula>NOT(ISERROR(SEARCH(("리턴"),(J8))))</formula>
    </cfRule>
  </conditionalFormatting>
  <conditionalFormatting sqref="J8">
    <cfRule type="containsText" dxfId="2" priority="6681" operator="containsText" text="실패">
      <formula>NOT(ISERROR(SEARCH(("실패"),(J8))))</formula>
    </cfRule>
  </conditionalFormatting>
  <conditionalFormatting sqref="J8">
    <cfRule type="containsText" dxfId="3" priority="6682" operator="containsText" text="관리">
      <formula>NOT(ISERROR(SEARCH(("관리"),(J8))))</formula>
    </cfRule>
  </conditionalFormatting>
  <conditionalFormatting sqref="J8">
    <cfRule type="containsText" dxfId="4" priority="6683" operator="containsText" text="등록">
      <formula>NOT(ISERROR(SEARCH(("등록"),(J8))))</formula>
    </cfRule>
  </conditionalFormatting>
  <conditionalFormatting sqref="J8">
    <cfRule type="containsText" dxfId="0" priority="6684" operator="containsText" text="거부">
      <formula>NOT(ISERROR(SEARCH(("거부"),(J8))))</formula>
    </cfRule>
  </conditionalFormatting>
  <conditionalFormatting sqref="J8">
    <cfRule type="containsText" dxfId="1" priority="6685" operator="containsText" text="리턴">
      <formula>NOT(ISERROR(SEARCH(("리턴"),(J8))))</formula>
    </cfRule>
  </conditionalFormatting>
  <conditionalFormatting sqref="J8">
    <cfRule type="containsText" dxfId="2" priority="6686" operator="containsText" text="실패">
      <formula>NOT(ISERROR(SEARCH(("실패"),(J8))))</formula>
    </cfRule>
  </conditionalFormatting>
  <conditionalFormatting sqref="J8">
    <cfRule type="containsText" dxfId="3" priority="6687" operator="containsText" text="관리">
      <formula>NOT(ISERROR(SEARCH(("관리"),(J8))))</formula>
    </cfRule>
  </conditionalFormatting>
  <conditionalFormatting sqref="J8">
    <cfRule type="containsText" dxfId="4" priority="6688" operator="containsText" text="등록">
      <formula>NOT(ISERROR(SEARCH(("등록"),(J8))))</formula>
    </cfRule>
  </conditionalFormatting>
  <conditionalFormatting sqref="E10">
    <cfRule type="containsText" dxfId="0" priority="6689" operator="containsText" text="거부">
      <formula>NOT(ISERROR(SEARCH(("거부"),(E10))))</formula>
    </cfRule>
  </conditionalFormatting>
  <conditionalFormatting sqref="E10">
    <cfRule type="containsText" dxfId="1" priority="6690" operator="containsText" text="리턴">
      <formula>NOT(ISERROR(SEARCH(("리턴"),(E10))))</formula>
    </cfRule>
  </conditionalFormatting>
  <conditionalFormatting sqref="E10">
    <cfRule type="containsText" dxfId="2" priority="6691" operator="containsText" text="실패">
      <formula>NOT(ISERROR(SEARCH(("실패"),(E10))))</formula>
    </cfRule>
  </conditionalFormatting>
  <conditionalFormatting sqref="E10">
    <cfRule type="containsText" dxfId="3" priority="6692" operator="containsText" text="관리">
      <formula>NOT(ISERROR(SEARCH(("관리"),(E10))))</formula>
    </cfRule>
  </conditionalFormatting>
  <conditionalFormatting sqref="E10">
    <cfRule type="containsText" dxfId="4" priority="6693" operator="containsText" text="등록">
      <formula>NOT(ISERROR(SEARCH(("등록"),(E10))))</formula>
    </cfRule>
  </conditionalFormatting>
  <conditionalFormatting sqref="J10">
    <cfRule type="containsText" dxfId="0" priority="6694" operator="containsText" text="거부">
      <formula>NOT(ISERROR(SEARCH(("거부"),(J10))))</formula>
    </cfRule>
  </conditionalFormatting>
  <conditionalFormatting sqref="J10">
    <cfRule type="containsText" dxfId="1" priority="6695" operator="containsText" text="리턴">
      <formula>NOT(ISERROR(SEARCH(("리턴"),(J10))))</formula>
    </cfRule>
  </conditionalFormatting>
  <conditionalFormatting sqref="J10">
    <cfRule type="containsText" dxfId="2" priority="6696" operator="containsText" text="실패">
      <formula>NOT(ISERROR(SEARCH(("실패"),(J10))))</formula>
    </cfRule>
  </conditionalFormatting>
  <conditionalFormatting sqref="J10">
    <cfRule type="containsText" dxfId="3" priority="6697" operator="containsText" text="관리">
      <formula>NOT(ISERROR(SEARCH(("관리"),(J10))))</formula>
    </cfRule>
  </conditionalFormatting>
  <conditionalFormatting sqref="J10">
    <cfRule type="containsText" dxfId="4" priority="6698" operator="containsText" text="등록">
      <formula>NOT(ISERROR(SEARCH(("등록"),(J10))))</formula>
    </cfRule>
  </conditionalFormatting>
  <conditionalFormatting sqref="A12">
    <cfRule type="containsText" dxfId="0" priority="6699" operator="containsText" text="거부">
      <formula>NOT(ISERROR(SEARCH(("거부"),(A12))))</formula>
    </cfRule>
  </conditionalFormatting>
  <conditionalFormatting sqref="A12">
    <cfRule type="containsText" dxfId="1" priority="6700" operator="containsText" text="리턴">
      <formula>NOT(ISERROR(SEARCH(("리턴"),(A12))))</formula>
    </cfRule>
  </conditionalFormatting>
  <conditionalFormatting sqref="A12">
    <cfRule type="containsText" dxfId="2" priority="6701" operator="containsText" text="실패">
      <formula>NOT(ISERROR(SEARCH(("실패"),(A12))))</formula>
    </cfRule>
  </conditionalFormatting>
  <conditionalFormatting sqref="A12">
    <cfRule type="containsText" dxfId="3" priority="6702" operator="containsText" text="관리">
      <formula>NOT(ISERROR(SEARCH(("관리"),(A12))))</formula>
    </cfRule>
  </conditionalFormatting>
  <conditionalFormatting sqref="A12">
    <cfRule type="containsText" dxfId="4" priority="6703" operator="containsText" text="등록">
      <formula>NOT(ISERROR(SEARCH(("등록"),(A12))))</formula>
    </cfRule>
  </conditionalFormatting>
  <conditionalFormatting sqref="A12">
    <cfRule type="containsText" dxfId="0" priority="6704" operator="containsText" text="거부">
      <formula>NOT(ISERROR(SEARCH(("거부"),(A12))))</formula>
    </cfRule>
  </conditionalFormatting>
  <conditionalFormatting sqref="A12">
    <cfRule type="containsText" dxfId="1" priority="6705" operator="containsText" text="리턴">
      <formula>NOT(ISERROR(SEARCH(("리턴"),(A12))))</formula>
    </cfRule>
  </conditionalFormatting>
  <conditionalFormatting sqref="A12">
    <cfRule type="containsText" dxfId="2" priority="6706" operator="containsText" text="실패">
      <formula>NOT(ISERROR(SEARCH(("실패"),(A12))))</formula>
    </cfRule>
  </conditionalFormatting>
  <conditionalFormatting sqref="A12">
    <cfRule type="containsText" dxfId="3" priority="6707" operator="containsText" text="관리">
      <formula>NOT(ISERROR(SEARCH(("관리"),(A12))))</formula>
    </cfRule>
  </conditionalFormatting>
  <conditionalFormatting sqref="A12">
    <cfRule type="containsText" dxfId="4" priority="6708" operator="containsText" text="등록">
      <formula>NOT(ISERROR(SEARCH(("등록"),(A12))))</formula>
    </cfRule>
  </conditionalFormatting>
  <conditionalFormatting sqref="A12">
    <cfRule type="containsText" dxfId="0" priority="6709" operator="containsText" text="거부">
      <formula>NOT(ISERROR(SEARCH(("거부"),(A12))))</formula>
    </cfRule>
  </conditionalFormatting>
  <conditionalFormatting sqref="A12">
    <cfRule type="containsText" dxfId="1" priority="6710" operator="containsText" text="리턴">
      <formula>NOT(ISERROR(SEARCH(("리턴"),(A12))))</formula>
    </cfRule>
  </conditionalFormatting>
  <conditionalFormatting sqref="A12">
    <cfRule type="containsText" dxfId="2" priority="6711" operator="containsText" text="실패">
      <formula>NOT(ISERROR(SEARCH(("실패"),(A12))))</formula>
    </cfRule>
  </conditionalFormatting>
  <conditionalFormatting sqref="A12">
    <cfRule type="containsText" dxfId="3" priority="6712" operator="containsText" text="관리">
      <formula>NOT(ISERROR(SEARCH(("관리"),(A12))))</formula>
    </cfRule>
  </conditionalFormatting>
  <conditionalFormatting sqref="A12">
    <cfRule type="containsText" dxfId="4" priority="6713" operator="containsText" text="등록">
      <formula>NOT(ISERROR(SEARCH(("등록"),(A12))))</formula>
    </cfRule>
  </conditionalFormatting>
  <conditionalFormatting sqref="A12">
    <cfRule type="containsText" dxfId="0" priority="6714" operator="containsText" text="거부">
      <formula>NOT(ISERROR(SEARCH(("거부"),(A12))))</formula>
    </cfRule>
  </conditionalFormatting>
  <conditionalFormatting sqref="A12">
    <cfRule type="containsText" dxfId="1" priority="6715" operator="containsText" text="리턴">
      <formula>NOT(ISERROR(SEARCH(("리턴"),(A12))))</formula>
    </cfRule>
  </conditionalFormatting>
  <conditionalFormatting sqref="A12">
    <cfRule type="containsText" dxfId="2" priority="6716" operator="containsText" text="실패">
      <formula>NOT(ISERROR(SEARCH(("실패"),(A12))))</formula>
    </cfRule>
  </conditionalFormatting>
  <conditionalFormatting sqref="A12">
    <cfRule type="containsText" dxfId="3" priority="6717" operator="containsText" text="관리">
      <formula>NOT(ISERROR(SEARCH(("관리"),(A12))))</formula>
    </cfRule>
  </conditionalFormatting>
  <conditionalFormatting sqref="A12">
    <cfRule type="containsText" dxfId="4" priority="6718" operator="containsText" text="등록">
      <formula>NOT(ISERROR(SEARCH(("등록"),(A12))))</formula>
    </cfRule>
  </conditionalFormatting>
  <conditionalFormatting sqref="G12">
    <cfRule type="containsText" dxfId="0" priority="6719" operator="containsText" text="거부">
      <formula>NOT(ISERROR(SEARCH(("거부"),(G12))))</formula>
    </cfRule>
  </conditionalFormatting>
  <conditionalFormatting sqref="G12">
    <cfRule type="containsText" dxfId="1" priority="6720" operator="containsText" text="리턴">
      <formula>NOT(ISERROR(SEARCH(("리턴"),(G12))))</formula>
    </cfRule>
  </conditionalFormatting>
  <conditionalFormatting sqref="G12">
    <cfRule type="containsText" dxfId="2" priority="6721" operator="containsText" text="실패">
      <formula>NOT(ISERROR(SEARCH(("실패"),(G12))))</formula>
    </cfRule>
  </conditionalFormatting>
  <conditionalFormatting sqref="G12">
    <cfRule type="containsText" dxfId="3" priority="6722" operator="containsText" text="관리">
      <formula>NOT(ISERROR(SEARCH(("관리"),(G12))))</formula>
    </cfRule>
  </conditionalFormatting>
  <conditionalFormatting sqref="G12">
    <cfRule type="containsText" dxfId="4" priority="6723" operator="containsText" text="등록">
      <formula>NOT(ISERROR(SEARCH(("등록"),(G12))))</formula>
    </cfRule>
  </conditionalFormatting>
  <conditionalFormatting sqref="G12">
    <cfRule type="containsText" dxfId="0" priority="6724" operator="containsText" text="거부">
      <formula>NOT(ISERROR(SEARCH(("거부"),(G12))))</formula>
    </cfRule>
  </conditionalFormatting>
  <conditionalFormatting sqref="G12">
    <cfRule type="containsText" dxfId="1" priority="6725" operator="containsText" text="리턴">
      <formula>NOT(ISERROR(SEARCH(("리턴"),(G12))))</formula>
    </cfRule>
  </conditionalFormatting>
  <conditionalFormatting sqref="G12">
    <cfRule type="containsText" dxfId="2" priority="6726" operator="containsText" text="실패">
      <formula>NOT(ISERROR(SEARCH(("실패"),(G12))))</formula>
    </cfRule>
  </conditionalFormatting>
  <conditionalFormatting sqref="G12">
    <cfRule type="containsText" dxfId="3" priority="6727" operator="containsText" text="관리">
      <formula>NOT(ISERROR(SEARCH(("관리"),(G12))))</formula>
    </cfRule>
  </conditionalFormatting>
  <conditionalFormatting sqref="G12">
    <cfRule type="containsText" dxfId="4" priority="6728" operator="containsText" text="등록">
      <formula>NOT(ISERROR(SEARCH(("등록"),(G12))))</formula>
    </cfRule>
  </conditionalFormatting>
  <conditionalFormatting sqref="J12">
    <cfRule type="containsText" dxfId="0" priority="6729" operator="containsText" text="거부">
      <formula>NOT(ISERROR(SEARCH(("거부"),(J12))))</formula>
    </cfRule>
  </conditionalFormatting>
  <conditionalFormatting sqref="J12">
    <cfRule type="containsText" dxfId="1" priority="6730" operator="containsText" text="리턴">
      <formula>NOT(ISERROR(SEARCH(("리턴"),(J12))))</formula>
    </cfRule>
  </conditionalFormatting>
  <conditionalFormatting sqref="J12">
    <cfRule type="containsText" dxfId="2" priority="6731" operator="containsText" text="실패">
      <formula>NOT(ISERROR(SEARCH(("실패"),(J12))))</formula>
    </cfRule>
  </conditionalFormatting>
  <conditionalFormatting sqref="J12">
    <cfRule type="containsText" dxfId="3" priority="6732" operator="containsText" text="관리">
      <formula>NOT(ISERROR(SEARCH(("관리"),(J12))))</formula>
    </cfRule>
  </conditionalFormatting>
  <conditionalFormatting sqref="J12">
    <cfRule type="containsText" dxfId="4" priority="6733" operator="containsText" text="등록">
      <formula>NOT(ISERROR(SEARCH(("등록"),(J12))))</formula>
    </cfRule>
  </conditionalFormatting>
  <conditionalFormatting sqref="A13">
    <cfRule type="containsText" dxfId="0" priority="6734" operator="containsText" text="거부">
      <formula>NOT(ISERROR(SEARCH(("거부"),(A13))))</formula>
    </cfRule>
  </conditionalFormatting>
  <conditionalFormatting sqref="A13">
    <cfRule type="containsText" dxfId="1" priority="6735" operator="containsText" text="리턴">
      <formula>NOT(ISERROR(SEARCH(("리턴"),(A13))))</formula>
    </cfRule>
  </conditionalFormatting>
  <conditionalFormatting sqref="A13">
    <cfRule type="containsText" dxfId="2" priority="6736" operator="containsText" text="실패">
      <formula>NOT(ISERROR(SEARCH(("실패"),(A13))))</formula>
    </cfRule>
  </conditionalFormatting>
  <conditionalFormatting sqref="A13">
    <cfRule type="containsText" dxfId="3" priority="6737" operator="containsText" text="관리">
      <formula>NOT(ISERROR(SEARCH(("관리"),(A13))))</formula>
    </cfRule>
  </conditionalFormatting>
  <conditionalFormatting sqref="A13">
    <cfRule type="containsText" dxfId="4" priority="6738" operator="containsText" text="등록">
      <formula>NOT(ISERROR(SEARCH(("등록"),(A13))))</formula>
    </cfRule>
  </conditionalFormatting>
  <conditionalFormatting sqref="A13">
    <cfRule type="containsText" dxfId="0" priority="6739" operator="containsText" text="거부">
      <formula>NOT(ISERROR(SEARCH(("거부"),(A13))))</formula>
    </cfRule>
  </conditionalFormatting>
  <conditionalFormatting sqref="A13">
    <cfRule type="containsText" dxfId="1" priority="6740" operator="containsText" text="리턴">
      <formula>NOT(ISERROR(SEARCH(("리턴"),(A13))))</formula>
    </cfRule>
  </conditionalFormatting>
  <conditionalFormatting sqref="A13">
    <cfRule type="containsText" dxfId="2" priority="6741" operator="containsText" text="실패">
      <formula>NOT(ISERROR(SEARCH(("실패"),(A13))))</formula>
    </cfRule>
  </conditionalFormatting>
  <conditionalFormatting sqref="A13">
    <cfRule type="containsText" dxfId="3" priority="6742" operator="containsText" text="관리">
      <formula>NOT(ISERROR(SEARCH(("관리"),(A13))))</formula>
    </cfRule>
  </conditionalFormatting>
  <conditionalFormatting sqref="A13">
    <cfRule type="containsText" dxfId="4" priority="6743" operator="containsText" text="등록">
      <formula>NOT(ISERROR(SEARCH(("등록"),(A13))))</formula>
    </cfRule>
  </conditionalFormatting>
  <conditionalFormatting sqref="A13">
    <cfRule type="containsText" dxfId="0" priority="6744" operator="containsText" text="거부">
      <formula>NOT(ISERROR(SEARCH(("거부"),(A13))))</formula>
    </cfRule>
  </conditionalFormatting>
  <conditionalFormatting sqref="A13">
    <cfRule type="containsText" dxfId="1" priority="6745" operator="containsText" text="리턴">
      <formula>NOT(ISERROR(SEARCH(("리턴"),(A13))))</formula>
    </cfRule>
  </conditionalFormatting>
  <conditionalFormatting sqref="A13">
    <cfRule type="containsText" dxfId="2" priority="6746" operator="containsText" text="실패">
      <formula>NOT(ISERROR(SEARCH(("실패"),(A13))))</formula>
    </cfRule>
  </conditionalFormatting>
  <conditionalFormatting sqref="A13">
    <cfRule type="containsText" dxfId="3" priority="6747" operator="containsText" text="관리">
      <formula>NOT(ISERROR(SEARCH(("관리"),(A13))))</formula>
    </cfRule>
  </conditionalFormatting>
  <conditionalFormatting sqref="A13">
    <cfRule type="containsText" dxfId="4" priority="6748" operator="containsText" text="등록">
      <formula>NOT(ISERROR(SEARCH(("등록"),(A13))))</formula>
    </cfRule>
  </conditionalFormatting>
  <conditionalFormatting sqref="A13">
    <cfRule type="containsText" dxfId="0" priority="6749" operator="containsText" text="거부">
      <formula>NOT(ISERROR(SEARCH(("거부"),(A13))))</formula>
    </cfRule>
  </conditionalFormatting>
  <conditionalFormatting sqref="A13">
    <cfRule type="containsText" dxfId="1" priority="6750" operator="containsText" text="리턴">
      <formula>NOT(ISERROR(SEARCH(("리턴"),(A13))))</formula>
    </cfRule>
  </conditionalFormatting>
  <conditionalFormatting sqref="A13">
    <cfRule type="containsText" dxfId="2" priority="6751" operator="containsText" text="실패">
      <formula>NOT(ISERROR(SEARCH(("실패"),(A13))))</formula>
    </cfRule>
  </conditionalFormatting>
  <conditionalFormatting sqref="A13">
    <cfRule type="containsText" dxfId="3" priority="6752" operator="containsText" text="관리">
      <formula>NOT(ISERROR(SEARCH(("관리"),(A13))))</formula>
    </cfRule>
  </conditionalFormatting>
  <conditionalFormatting sqref="A13">
    <cfRule type="containsText" dxfId="4" priority="6753" operator="containsText" text="등록">
      <formula>NOT(ISERROR(SEARCH(("등록"),(A13))))</formula>
    </cfRule>
  </conditionalFormatting>
  <conditionalFormatting sqref="G13">
    <cfRule type="containsText" dxfId="0" priority="6754" operator="containsText" text="거부">
      <formula>NOT(ISERROR(SEARCH(("거부"),(G13))))</formula>
    </cfRule>
  </conditionalFormatting>
  <conditionalFormatting sqref="G13">
    <cfRule type="containsText" dxfId="1" priority="6755" operator="containsText" text="리턴">
      <formula>NOT(ISERROR(SEARCH(("리턴"),(G13))))</formula>
    </cfRule>
  </conditionalFormatting>
  <conditionalFormatting sqref="G13">
    <cfRule type="containsText" dxfId="2" priority="6756" operator="containsText" text="실패">
      <formula>NOT(ISERROR(SEARCH(("실패"),(G13))))</formula>
    </cfRule>
  </conditionalFormatting>
  <conditionalFormatting sqref="G13">
    <cfRule type="containsText" dxfId="3" priority="6757" operator="containsText" text="관리">
      <formula>NOT(ISERROR(SEARCH(("관리"),(G13))))</formula>
    </cfRule>
  </conditionalFormatting>
  <conditionalFormatting sqref="G13">
    <cfRule type="containsText" dxfId="4" priority="6758" operator="containsText" text="등록">
      <formula>NOT(ISERROR(SEARCH(("등록"),(G13))))</formula>
    </cfRule>
  </conditionalFormatting>
  <conditionalFormatting sqref="G13">
    <cfRule type="containsText" dxfId="0" priority="6759" operator="containsText" text="거부">
      <formula>NOT(ISERROR(SEARCH(("거부"),(G13))))</formula>
    </cfRule>
  </conditionalFormatting>
  <conditionalFormatting sqref="G13">
    <cfRule type="containsText" dxfId="1" priority="6760" operator="containsText" text="리턴">
      <formula>NOT(ISERROR(SEARCH(("리턴"),(G13))))</formula>
    </cfRule>
  </conditionalFormatting>
  <conditionalFormatting sqref="G13">
    <cfRule type="containsText" dxfId="2" priority="6761" operator="containsText" text="실패">
      <formula>NOT(ISERROR(SEARCH(("실패"),(G13))))</formula>
    </cfRule>
  </conditionalFormatting>
  <conditionalFormatting sqref="G13">
    <cfRule type="containsText" dxfId="3" priority="6762" operator="containsText" text="관리">
      <formula>NOT(ISERROR(SEARCH(("관리"),(G13))))</formula>
    </cfRule>
  </conditionalFormatting>
  <conditionalFormatting sqref="G13">
    <cfRule type="containsText" dxfId="4" priority="6763" operator="containsText" text="등록">
      <formula>NOT(ISERROR(SEARCH(("등록"),(G13))))</formula>
    </cfRule>
  </conditionalFormatting>
  <conditionalFormatting sqref="J13">
    <cfRule type="containsText" dxfId="0" priority="6764" operator="containsText" text="거부">
      <formula>NOT(ISERROR(SEARCH(("거부"),(J13))))</formula>
    </cfRule>
  </conditionalFormatting>
  <conditionalFormatting sqref="J13">
    <cfRule type="containsText" dxfId="1" priority="6765" operator="containsText" text="리턴">
      <formula>NOT(ISERROR(SEARCH(("리턴"),(J13))))</formula>
    </cfRule>
  </conditionalFormatting>
  <conditionalFormatting sqref="J13">
    <cfRule type="containsText" dxfId="2" priority="6766" operator="containsText" text="실패">
      <formula>NOT(ISERROR(SEARCH(("실패"),(J13))))</formula>
    </cfRule>
  </conditionalFormatting>
  <conditionalFormatting sqref="J13">
    <cfRule type="containsText" dxfId="3" priority="6767" operator="containsText" text="관리">
      <formula>NOT(ISERROR(SEARCH(("관리"),(J13))))</formula>
    </cfRule>
  </conditionalFormatting>
  <conditionalFormatting sqref="J13">
    <cfRule type="containsText" dxfId="4" priority="6768" operator="containsText" text="등록">
      <formula>NOT(ISERROR(SEARCH(("등록"),(J13))))</formula>
    </cfRule>
  </conditionalFormatting>
  <conditionalFormatting sqref="J14">
    <cfRule type="containsText" dxfId="0" priority="6769" operator="containsText" text="거부">
      <formula>NOT(ISERROR(SEARCH(("거부"),(J14))))</formula>
    </cfRule>
  </conditionalFormatting>
  <conditionalFormatting sqref="J14">
    <cfRule type="containsText" dxfId="1" priority="6770" operator="containsText" text="리턴">
      <formula>NOT(ISERROR(SEARCH(("리턴"),(J14))))</formula>
    </cfRule>
  </conditionalFormatting>
  <conditionalFormatting sqref="J14">
    <cfRule type="containsText" dxfId="2" priority="6771" operator="containsText" text="실패">
      <formula>NOT(ISERROR(SEARCH(("실패"),(J14))))</formula>
    </cfRule>
  </conditionalFormatting>
  <conditionalFormatting sqref="J14">
    <cfRule type="containsText" dxfId="3" priority="6772" operator="containsText" text="관리">
      <formula>NOT(ISERROR(SEARCH(("관리"),(J14))))</formula>
    </cfRule>
  </conditionalFormatting>
  <conditionalFormatting sqref="J14">
    <cfRule type="containsText" dxfId="4" priority="6773" operator="containsText" text="등록">
      <formula>NOT(ISERROR(SEARCH(("등록"),(J14))))</formula>
    </cfRule>
  </conditionalFormatting>
  <conditionalFormatting sqref="A14">
    <cfRule type="containsText" dxfId="0" priority="6774" operator="containsText" text="거부">
      <formula>NOT(ISERROR(SEARCH(("거부"),(A14))))</formula>
    </cfRule>
  </conditionalFormatting>
  <conditionalFormatting sqref="A14">
    <cfRule type="containsText" dxfId="1" priority="6775" operator="containsText" text="리턴">
      <formula>NOT(ISERROR(SEARCH(("리턴"),(A14))))</formula>
    </cfRule>
  </conditionalFormatting>
  <conditionalFormatting sqref="A14">
    <cfRule type="containsText" dxfId="2" priority="6776" operator="containsText" text="실패">
      <formula>NOT(ISERROR(SEARCH(("실패"),(A14))))</formula>
    </cfRule>
  </conditionalFormatting>
  <conditionalFormatting sqref="A14">
    <cfRule type="containsText" dxfId="3" priority="6777" operator="containsText" text="관리">
      <formula>NOT(ISERROR(SEARCH(("관리"),(A14))))</formula>
    </cfRule>
  </conditionalFormatting>
  <conditionalFormatting sqref="A14">
    <cfRule type="containsText" dxfId="4" priority="6778" operator="containsText" text="등록">
      <formula>NOT(ISERROR(SEARCH(("등록"),(A14))))</formula>
    </cfRule>
  </conditionalFormatting>
  <conditionalFormatting sqref="A14">
    <cfRule type="containsText" dxfId="0" priority="6779" operator="containsText" text="거부">
      <formula>NOT(ISERROR(SEARCH(("거부"),(A14))))</formula>
    </cfRule>
  </conditionalFormatting>
  <conditionalFormatting sqref="A14">
    <cfRule type="containsText" dxfId="1" priority="6780" operator="containsText" text="리턴">
      <formula>NOT(ISERROR(SEARCH(("리턴"),(A14))))</formula>
    </cfRule>
  </conditionalFormatting>
  <conditionalFormatting sqref="A14">
    <cfRule type="containsText" dxfId="2" priority="6781" operator="containsText" text="실패">
      <formula>NOT(ISERROR(SEARCH(("실패"),(A14))))</formula>
    </cfRule>
  </conditionalFormatting>
  <conditionalFormatting sqref="A14">
    <cfRule type="containsText" dxfId="3" priority="6782" operator="containsText" text="관리">
      <formula>NOT(ISERROR(SEARCH(("관리"),(A14))))</formula>
    </cfRule>
  </conditionalFormatting>
  <conditionalFormatting sqref="A14">
    <cfRule type="containsText" dxfId="4" priority="6783" operator="containsText" text="등록">
      <formula>NOT(ISERROR(SEARCH(("등록"),(A14))))</formula>
    </cfRule>
  </conditionalFormatting>
  <conditionalFormatting sqref="A14">
    <cfRule type="containsText" dxfId="0" priority="6784" operator="containsText" text="거부">
      <formula>NOT(ISERROR(SEARCH(("거부"),(A14))))</formula>
    </cfRule>
  </conditionalFormatting>
  <conditionalFormatting sqref="A14">
    <cfRule type="containsText" dxfId="1" priority="6785" operator="containsText" text="리턴">
      <formula>NOT(ISERROR(SEARCH(("리턴"),(A14))))</formula>
    </cfRule>
  </conditionalFormatting>
  <conditionalFormatting sqref="A14">
    <cfRule type="containsText" dxfId="2" priority="6786" operator="containsText" text="실패">
      <formula>NOT(ISERROR(SEARCH(("실패"),(A14))))</formula>
    </cfRule>
  </conditionalFormatting>
  <conditionalFormatting sqref="A14">
    <cfRule type="containsText" dxfId="3" priority="6787" operator="containsText" text="관리">
      <formula>NOT(ISERROR(SEARCH(("관리"),(A14))))</formula>
    </cfRule>
  </conditionalFormatting>
  <conditionalFormatting sqref="A14">
    <cfRule type="containsText" dxfId="4" priority="6788" operator="containsText" text="등록">
      <formula>NOT(ISERROR(SEARCH(("등록"),(A14))))</formula>
    </cfRule>
  </conditionalFormatting>
  <conditionalFormatting sqref="A14">
    <cfRule type="containsText" dxfId="0" priority="6789" operator="containsText" text="거부">
      <formula>NOT(ISERROR(SEARCH(("거부"),(A14))))</formula>
    </cfRule>
  </conditionalFormatting>
  <conditionalFormatting sqref="A14">
    <cfRule type="containsText" dxfId="1" priority="6790" operator="containsText" text="리턴">
      <formula>NOT(ISERROR(SEARCH(("리턴"),(A14))))</formula>
    </cfRule>
  </conditionalFormatting>
  <conditionalFormatting sqref="A14">
    <cfRule type="containsText" dxfId="2" priority="6791" operator="containsText" text="실패">
      <formula>NOT(ISERROR(SEARCH(("실패"),(A14))))</formula>
    </cfRule>
  </conditionalFormatting>
  <conditionalFormatting sqref="A14">
    <cfRule type="containsText" dxfId="3" priority="6792" operator="containsText" text="관리">
      <formula>NOT(ISERROR(SEARCH(("관리"),(A14))))</formula>
    </cfRule>
  </conditionalFormatting>
  <conditionalFormatting sqref="A14">
    <cfRule type="containsText" dxfId="4" priority="6793" operator="containsText" text="등록">
      <formula>NOT(ISERROR(SEARCH(("등록"),(A14))))</formula>
    </cfRule>
  </conditionalFormatting>
  <conditionalFormatting sqref="J17">
    <cfRule type="containsText" dxfId="0" priority="6794" operator="containsText" text="거부">
      <formula>NOT(ISERROR(SEARCH(("거부"),(J17))))</formula>
    </cfRule>
  </conditionalFormatting>
  <conditionalFormatting sqref="J17">
    <cfRule type="containsText" dxfId="1" priority="6795" operator="containsText" text="리턴">
      <formula>NOT(ISERROR(SEARCH(("리턴"),(J17))))</formula>
    </cfRule>
  </conditionalFormatting>
  <conditionalFormatting sqref="J17">
    <cfRule type="containsText" dxfId="2" priority="6796" operator="containsText" text="실패">
      <formula>NOT(ISERROR(SEARCH(("실패"),(J17))))</formula>
    </cfRule>
  </conditionalFormatting>
  <conditionalFormatting sqref="J17">
    <cfRule type="containsText" dxfId="3" priority="6797" operator="containsText" text="관리">
      <formula>NOT(ISERROR(SEARCH(("관리"),(J17))))</formula>
    </cfRule>
  </conditionalFormatting>
  <conditionalFormatting sqref="J17">
    <cfRule type="containsText" dxfId="4" priority="6798" operator="containsText" text="등록">
      <formula>NOT(ISERROR(SEARCH(("등록"),(J17))))</formula>
    </cfRule>
  </conditionalFormatting>
  <conditionalFormatting sqref="J17">
    <cfRule type="containsText" dxfId="0" priority="6799" operator="containsText" text="거부">
      <formula>NOT(ISERROR(SEARCH(("거부"),(J17))))</formula>
    </cfRule>
  </conditionalFormatting>
  <conditionalFormatting sqref="J17">
    <cfRule type="containsText" dxfId="1" priority="6800" operator="containsText" text="리턴">
      <formula>NOT(ISERROR(SEARCH(("리턴"),(J17))))</formula>
    </cfRule>
  </conditionalFormatting>
  <conditionalFormatting sqref="J17">
    <cfRule type="containsText" dxfId="2" priority="6801" operator="containsText" text="실패">
      <formula>NOT(ISERROR(SEARCH(("실패"),(J17))))</formula>
    </cfRule>
  </conditionalFormatting>
  <conditionalFormatting sqref="J17">
    <cfRule type="containsText" dxfId="3" priority="6802" operator="containsText" text="관리">
      <formula>NOT(ISERROR(SEARCH(("관리"),(J17))))</formula>
    </cfRule>
  </conditionalFormatting>
  <conditionalFormatting sqref="J17">
    <cfRule type="containsText" dxfId="4" priority="6803" operator="containsText" text="등록">
      <formula>NOT(ISERROR(SEARCH(("등록"),(J17))))</formula>
    </cfRule>
  </conditionalFormatting>
  <conditionalFormatting sqref="J17">
    <cfRule type="containsText" dxfId="0" priority="6804" operator="containsText" text="거부">
      <formula>NOT(ISERROR(SEARCH(("거부"),(J17))))</formula>
    </cfRule>
  </conditionalFormatting>
  <conditionalFormatting sqref="J17">
    <cfRule type="containsText" dxfId="1" priority="6805" operator="containsText" text="리턴">
      <formula>NOT(ISERROR(SEARCH(("리턴"),(J17))))</formula>
    </cfRule>
  </conditionalFormatting>
  <conditionalFormatting sqref="J17">
    <cfRule type="containsText" dxfId="2" priority="6806" operator="containsText" text="실패">
      <formula>NOT(ISERROR(SEARCH(("실패"),(J17))))</formula>
    </cfRule>
  </conditionalFormatting>
  <conditionalFormatting sqref="J17">
    <cfRule type="containsText" dxfId="3" priority="6807" operator="containsText" text="관리">
      <formula>NOT(ISERROR(SEARCH(("관리"),(J17))))</formula>
    </cfRule>
  </conditionalFormatting>
  <conditionalFormatting sqref="J17">
    <cfRule type="containsText" dxfId="4" priority="6808" operator="containsText" text="등록">
      <formula>NOT(ISERROR(SEARCH(("등록"),(J17))))</formula>
    </cfRule>
  </conditionalFormatting>
  <conditionalFormatting sqref="J17">
    <cfRule type="containsText" dxfId="0" priority="6809" operator="containsText" text="거부">
      <formula>NOT(ISERROR(SEARCH(("거부"),(J17))))</formula>
    </cfRule>
  </conditionalFormatting>
  <conditionalFormatting sqref="J17">
    <cfRule type="containsText" dxfId="1" priority="6810" operator="containsText" text="리턴">
      <formula>NOT(ISERROR(SEARCH(("리턴"),(J17))))</formula>
    </cfRule>
  </conditionalFormatting>
  <conditionalFormatting sqref="J17">
    <cfRule type="containsText" dxfId="2" priority="6811" operator="containsText" text="실패">
      <formula>NOT(ISERROR(SEARCH(("실패"),(J17))))</formula>
    </cfRule>
  </conditionalFormatting>
  <conditionalFormatting sqref="J17">
    <cfRule type="containsText" dxfId="3" priority="6812" operator="containsText" text="관리">
      <formula>NOT(ISERROR(SEARCH(("관리"),(J17))))</formula>
    </cfRule>
  </conditionalFormatting>
  <conditionalFormatting sqref="J17">
    <cfRule type="containsText" dxfId="4" priority="6813" operator="containsText" text="등록">
      <formula>NOT(ISERROR(SEARCH(("등록"),(J17))))</formula>
    </cfRule>
  </conditionalFormatting>
  <conditionalFormatting sqref="J17">
    <cfRule type="containsText" dxfId="0" priority="6814" operator="containsText" text="거부">
      <formula>NOT(ISERROR(SEARCH(("거부"),(J17))))</formula>
    </cfRule>
  </conditionalFormatting>
  <conditionalFormatting sqref="J17">
    <cfRule type="containsText" dxfId="1" priority="6815" operator="containsText" text="리턴">
      <formula>NOT(ISERROR(SEARCH(("리턴"),(J17))))</formula>
    </cfRule>
  </conditionalFormatting>
  <conditionalFormatting sqref="J17">
    <cfRule type="containsText" dxfId="2" priority="6816" operator="containsText" text="실패">
      <formula>NOT(ISERROR(SEARCH(("실패"),(J17))))</formula>
    </cfRule>
  </conditionalFormatting>
  <conditionalFormatting sqref="J17">
    <cfRule type="containsText" dxfId="3" priority="6817" operator="containsText" text="관리">
      <formula>NOT(ISERROR(SEARCH(("관리"),(J17))))</formula>
    </cfRule>
  </conditionalFormatting>
  <conditionalFormatting sqref="J17">
    <cfRule type="containsText" dxfId="4" priority="6818" operator="containsText" text="등록">
      <formula>NOT(ISERROR(SEARCH(("등록"),(J17))))</formula>
    </cfRule>
  </conditionalFormatting>
  <conditionalFormatting sqref="J17">
    <cfRule type="containsText" dxfId="0" priority="6819" operator="containsText" text="거부">
      <formula>NOT(ISERROR(SEARCH(("거부"),(J17))))</formula>
    </cfRule>
  </conditionalFormatting>
  <conditionalFormatting sqref="J17">
    <cfRule type="containsText" dxfId="1" priority="6820" operator="containsText" text="리턴">
      <formula>NOT(ISERROR(SEARCH(("리턴"),(J17))))</formula>
    </cfRule>
  </conditionalFormatting>
  <conditionalFormatting sqref="J17">
    <cfRule type="containsText" dxfId="2" priority="6821" operator="containsText" text="실패">
      <formula>NOT(ISERROR(SEARCH(("실패"),(J17))))</formula>
    </cfRule>
  </conditionalFormatting>
  <conditionalFormatting sqref="J17">
    <cfRule type="containsText" dxfId="3" priority="6822" operator="containsText" text="관리">
      <formula>NOT(ISERROR(SEARCH(("관리"),(J17))))</formula>
    </cfRule>
  </conditionalFormatting>
  <conditionalFormatting sqref="J17">
    <cfRule type="containsText" dxfId="4" priority="6823" operator="containsText" text="등록">
      <formula>NOT(ISERROR(SEARCH(("등록"),(J17))))</formula>
    </cfRule>
  </conditionalFormatting>
  <conditionalFormatting sqref="A17">
    <cfRule type="containsText" dxfId="0" priority="6824" operator="containsText" text="거부">
      <formula>NOT(ISERROR(SEARCH(("거부"),(A17))))</formula>
    </cfRule>
  </conditionalFormatting>
  <conditionalFormatting sqref="A17">
    <cfRule type="containsText" dxfId="1" priority="6825" operator="containsText" text="리턴">
      <formula>NOT(ISERROR(SEARCH(("리턴"),(A17))))</formula>
    </cfRule>
  </conditionalFormatting>
  <conditionalFormatting sqref="A17">
    <cfRule type="containsText" dxfId="2" priority="6826" operator="containsText" text="실패">
      <formula>NOT(ISERROR(SEARCH(("실패"),(A17))))</formula>
    </cfRule>
  </conditionalFormatting>
  <conditionalFormatting sqref="A17">
    <cfRule type="containsText" dxfId="3" priority="6827" operator="containsText" text="관리">
      <formula>NOT(ISERROR(SEARCH(("관리"),(A17))))</formula>
    </cfRule>
  </conditionalFormatting>
  <conditionalFormatting sqref="A17">
    <cfRule type="containsText" dxfId="4" priority="6828" operator="containsText" text="등록">
      <formula>NOT(ISERROR(SEARCH(("등록"),(A17))))</formula>
    </cfRule>
  </conditionalFormatting>
  <conditionalFormatting sqref="A17">
    <cfRule type="containsText" dxfId="0" priority="6829" operator="containsText" text="거부">
      <formula>NOT(ISERROR(SEARCH(("거부"),(A17))))</formula>
    </cfRule>
  </conditionalFormatting>
  <conditionalFormatting sqref="A17">
    <cfRule type="containsText" dxfId="1" priority="6830" operator="containsText" text="리턴">
      <formula>NOT(ISERROR(SEARCH(("리턴"),(A17))))</formula>
    </cfRule>
  </conditionalFormatting>
  <conditionalFormatting sqref="A17">
    <cfRule type="containsText" dxfId="2" priority="6831" operator="containsText" text="실패">
      <formula>NOT(ISERROR(SEARCH(("실패"),(A17))))</formula>
    </cfRule>
  </conditionalFormatting>
  <conditionalFormatting sqref="A17">
    <cfRule type="containsText" dxfId="3" priority="6832" operator="containsText" text="관리">
      <formula>NOT(ISERROR(SEARCH(("관리"),(A17))))</formula>
    </cfRule>
  </conditionalFormatting>
  <conditionalFormatting sqref="A17">
    <cfRule type="containsText" dxfId="4" priority="6833" operator="containsText" text="등록">
      <formula>NOT(ISERROR(SEARCH(("등록"),(A17))))</formula>
    </cfRule>
  </conditionalFormatting>
  <conditionalFormatting sqref="A17">
    <cfRule type="containsText" dxfId="0" priority="6834" operator="containsText" text="거부">
      <formula>NOT(ISERROR(SEARCH(("거부"),(A17))))</formula>
    </cfRule>
  </conditionalFormatting>
  <conditionalFormatting sqref="A17">
    <cfRule type="containsText" dxfId="1" priority="6835" operator="containsText" text="리턴">
      <formula>NOT(ISERROR(SEARCH(("리턴"),(A17))))</formula>
    </cfRule>
  </conditionalFormatting>
  <conditionalFormatting sqref="A17">
    <cfRule type="containsText" dxfId="2" priority="6836" operator="containsText" text="실패">
      <formula>NOT(ISERROR(SEARCH(("실패"),(A17))))</formula>
    </cfRule>
  </conditionalFormatting>
  <conditionalFormatting sqref="A17">
    <cfRule type="containsText" dxfId="3" priority="6837" operator="containsText" text="관리">
      <formula>NOT(ISERROR(SEARCH(("관리"),(A17))))</formula>
    </cfRule>
  </conditionalFormatting>
  <conditionalFormatting sqref="A17">
    <cfRule type="containsText" dxfId="4" priority="6838" operator="containsText" text="등록">
      <formula>NOT(ISERROR(SEARCH(("등록"),(A17))))</formula>
    </cfRule>
  </conditionalFormatting>
  <conditionalFormatting sqref="A17">
    <cfRule type="containsText" dxfId="0" priority="6839" operator="containsText" text="거부">
      <formula>NOT(ISERROR(SEARCH(("거부"),(A17))))</formula>
    </cfRule>
  </conditionalFormatting>
  <conditionalFormatting sqref="A17">
    <cfRule type="containsText" dxfId="1" priority="6840" operator="containsText" text="리턴">
      <formula>NOT(ISERROR(SEARCH(("리턴"),(A17))))</formula>
    </cfRule>
  </conditionalFormatting>
  <conditionalFormatting sqref="A17">
    <cfRule type="containsText" dxfId="2" priority="6841" operator="containsText" text="실패">
      <formula>NOT(ISERROR(SEARCH(("실패"),(A17))))</formula>
    </cfRule>
  </conditionalFormatting>
  <conditionalFormatting sqref="A17">
    <cfRule type="containsText" dxfId="3" priority="6842" operator="containsText" text="관리">
      <formula>NOT(ISERROR(SEARCH(("관리"),(A17))))</formula>
    </cfRule>
  </conditionalFormatting>
  <conditionalFormatting sqref="A17">
    <cfRule type="containsText" dxfId="4" priority="6843" operator="containsText" text="등록">
      <formula>NOT(ISERROR(SEARCH(("등록"),(A17))))</formula>
    </cfRule>
  </conditionalFormatting>
  <conditionalFormatting sqref="E18">
    <cfRule type="containsText" dxfId="0" priority="6844" operator="containsText" text="거부">
      <formula>NOT(ISERROR(SEARCH(("거부"),(E18))))</formula>
    </cfRule>
  </conditionalFormatting>
  <conditionalFormatting sqref="E18">
    <cfRule type="containsText" dxfId="1" priority="6845" operator="containsText" text="리턴">
      <formula>NOT(ISERROR(SEARCH(("리턴"),(E18))))</formula>
    </cfRule>
  </conditionalFormatting>
  <conditionalFormatting sqref="E18">
    <cfRule type="containsText" dxfId="2" priority="6846" operator="containsText" text="실패">
      <formula>NOT(ISERROR(SEARCH(("실패"),(E18))))</formula>
    </cfRule>
  </conditionalFormatting>
  <conditionalFormatting sqref="E18">
    <cfRule type="containsText" dxfId="3" priority="6847" operator="containsText" text="관리">
      <formula>NOT(ISERROR(SEARCH(("관리"),(E18))))</formula>
    </cfRule>
  </conditionalFormatting>
  <conditionalFormatting sqref="E18">
    <cfRule type="containsText" dxfId="4" priority="6848" operator="containsText" text="등록">
      <formula>NOT(ISERROR(SEARCH(("등록"),(E18))))</formula>
    </cfRule>
  </conditionalFormatting>
  <conditionalFormatting sqref="E18">
    <cfRule type="containsText" dxfId="0" priority="6849" operator="containsText" text="거부">
      <formula>NOT(ISERROR(SEARCH(("거부"),(E18))))</formula>
    </cfRule>
  </conditionalFormatting>
  <conditionalFormatting sqref="E18">
    <cfRule type="containsText" dxfId="1" priority="6850" operator="containsText" text="리턴">
      <formula>NOT(ISERROR(SEARCH(("리턴"),(E18))))</formula>
    </cfRule>
  </conditionalFormatting>
  <conditionalFormatting sqref="E18">
    <cfRule type="containsText" dxfId="2" priority="6851" operator="containsText" text="실패">
      <formula>NOT(ISERROR(SEARCH(("실패"),(E18))))</formula>
    </cfRule>
  </conditionalFormatting>
  <conditionalFormatting sqref="E18">
    <cfRule type="containsText" dxfId="3" priority="6852" operator="containsText" text="관리">
      <formula>NOT(ISERROR(SEARCH(("관리"),(E18))))</formula>
    </cfRule>
  </conditionalFormatting>
  <conditionalFormatting sqref="E18">
    <cfRule type="containsText" dxfId="4" priority="6853" operator="containsText" text="등록">
      <formula>NOT(ISERROR(SEARCH(("등록"),(E18))))</formula>
    </cfRule>
  </conditionalFormatting>
  <conditionalFormatting sqref="E18">
    <cfRule type="containsText" dxfId="0" priority="6854" operator="containsText" text="거부">
      <formula>NOT(ISERROR(SEARCH(("거부"),(E18))))</formula>
    </cfRule>
  </conditionalFormatting>
  <conditionalFormatting sqref="E18">
    <cfRule type="containsText" dxfId="1" priority="6855" operator="containsText" text="리턴">
      <formula>NOT(ISERROR(SEARCH(("리턴"),(E18))))</formula>
    </cfRule>
  </conditionalFormatting>
  <conditionalFormatting sqref="E18">
    <cfRule type="containsText" dxfId="2" priority="6856" operator="containsText" text="실패">
      <formula>NOT(ISERROR(SEARCH(("실패"),(E18))))</formula>
    </cfRule>
  </conditionalFormatting>
  <conditionalFormatting sqref="E18">
    <cfRule type="containsText" dxfId="3" priority="6857" operator="containsText" text="관리">
      <formula>NOT(ISERROR(SEARCH(("관리"),(E18))))</formula>
    </cfRule>
  </conditionalFormatting>
  <conditionalFormatting sqref="E18">
    <cfRule type="containsText" dxfId="4" priority="6858" operator="containsText" text="등록">
      <formula>NOT(ISERROR(SEARCH(("등록"),(E18))))</formula>
    </cfRule>
  </conditionalFormatting>
  <conditionalFormatting sqref="E18">
    <cfRule type="containsText" dxfId="0" priority="6859" operator="containsText" text="거부">
      <formula>NOT(ISERROR(SEARCH(("거부"),(E18))))</formula>
    </cfRule>
  </conditionalFormatting>
  <conditionalFormatting sqref="E18">
    <cfRule type="containsText" dxfId="1" priority="6860" operator="containsText" text="리턴">
      <formula>NOT(ISERROR(SEARCH(("리턴"),(E18))))</formula>
    </cfRule>
  </conditionalFormatting>
  <conditionalFormatting sqref="E18">
    <cfRule type="containsText" dxfId="2" priority="6861" operator="containsText" text="실패">
      <formula>NOT(ISERROR(SEARCH(("실패"),(E18))))</formula>
    </cfRule>
  </conditionalFormatting>
  <conditionalFormatting sqref="E18">
    <cfRule type="containsText" dxfId="3" priority="6862" operator="containsText" text="관리">
      <formula>NOT(ISERROR(SEARCH(("관리"),(E18))))</formula>
    </cfRule>
  </conditionalFormatting>
  <conditionalFormatting sqref="E18">
    <cfRule type="containsText" dxfId="4" priority="6863" operator="containsText" text="등록">
      <formula>NOT(ISERROR(SEARCH(("등록"),(E18))))</formula>
    </cfRule>
  </conditionalFormatting>
  <conditionalFormatting sqref="E18">
    <cfRule type="containsText" dxfId="0" priority="6864" operator="containsText" text="거부">
      <formula>NOT(ISERROR(SEARCH(("거부"),(E18))))</formula>
    </cfRule>
  </conditionalFormatting>
  <conditionalFormatting sqref="E18">
    <cfRule type="containsText" dxfId="1" priority="6865" operator="containsText" text="리턴">
      <formula>NOT(ISERROR(SEARCH(("리턴"),(E18))))</formula>
    </cfRule>
  </conditionalFormatting>
  <conditionalFormatting sqref="E18">
    <cfRule type="containsText" dxfId="2" priority="6866" operator="containsText" text="실패">
      <formula>NOT(ISERROR(SEARCH(("실패"),(E18))))</formula>
    </cfRule>
  </conditionalFormatting>
  <conditionalFormatting sqref="E18">
    <cfRule type="containsText" dxfId="3" priority="6867" operator="containsText" text="관리">
      <formula>NOT(ISERROR(SEARCH(("관리"),(E18))))</formula>
    </cfRule>
  </conditionalFormatting>
  <conditionalFormatting sqref="E18">
    <cfRule type="containsText" dxfId="4" priority="6868" operator="containsText" text="등록">
      <formula>NOT(ISERROR(SEARCH(("등록"),(E18))))</formula>
    </cfRule>
  </conditionalFormatting>
  <conditionalFormatting sqref="E18">
    <cfRule type="containsText" dxfId="0" priority="6869" operator="containsText" text="거부">
      <formula>NOT(ISERROR(SEARCH(("거부"),(E18))))</formula>
    </cfRule>
  </conditionalFormatting>
  <conditionalFormatting sqref="E18">
    <cfRule type="containsText" dxfId="1" priority="6870" operator="containsText" text="리턴">
      <formula>NOT(ISERROR(SEARCH(("리턴"),(E18))))</formula>
    </cfRule>
  </conditionalFormatting>
  <conditionalFormatting sqref="E18">
    <cfRule type="containsText" dxfId="2" priority="6871" operator="containsText" text="실패">
      <formula>NOT(ISERROR(SEARCH(("실패"),(E18))))</formula>
    </cfRule>
  </conditionalFormatting>
  <conditionalFormatting sqref="E18">
    <cfRule type="containsText" dxfId="3" priority="6872" operator="containsText" text="관리">
      <formula>NOT(ISERROR(SEARCH(("관리"),(E18))))</formula>
    </cfRule>
  </conditionalFormatting>
  <conditionalFormatting sqref="E18">
    <cfRule type="containsText" dxfId="4" priority="6873" operator="containsText" text="등록">
      <formula>NOT(ISERROR(SEARCH(("등록"),(E18))))</formula>
    </cfRule>
  </conditionalFormatting>
  <conditionalFormatting sqref="E18">
    <cfRule type="containsText" dxfId="0" priority="6874" operator="containsText" text="거부">
      <formula>NOT(ISERROR(SEARCH(("거부"),(E18))))</formula>
    </cfRule>
  </conditionalFormatting>
  <conditionalFormatting sqref="E18">
    <cfRule type="containsText" dxfId="1" priority="6875" operator="containsText" text="리턴">
      <formula>NOT(ISERROR(SEARCH(("리턴"),(E18))))</formula>
    </cfRule>
  </conditionalFormatting>
  <conditionalFormatting sqref="E18">
    <cfRule type="containsText" dxfId="2" priority="6876" operator="containsText" text="실패">
      <formula>NOT(ISERROR(SEARCH(("실패"),(E18))))</formula>
    </cfRule>
  </conditionalFormatting>
  <conditionalFormatting sqref="E18">
    <cfRule type="containsText" dxfId="3" priority="6877" operator="containsText" text="관리">
      <formula>NOT(ISERROR(SEARCH(("관리"),(E18))))</formula>
    </cfRule>
  </conditionalFormatting>
  <conditionalFormatting sqref="E18">
    <cfRule type="containsText" dxfId="4" priority="6878" operator="containsText" text="등록">
      <formula>NOT(ISERROR(SEARCH(("등록"),(E18))))</formula>
    </cfRule>
  </conditionalFormatting>
  <conditionalFormatting sqref="E18">
    <cfRule type="containsText" dxfId="0" priority="6879" operator="containsText" text="거부">
      <formula>NOT(ISERROR(SEARCH(("거부"),(E18))))</formula>
    </cfRule>
  </conditionalFormatting>
  <conditionalFormatting sqref="E18">
    <cfRule type="containsText" dxfId="1" priority="6880" operator="containsText" text="리턴">
      <formula>NOT(ISERROR(SEARCH(("리턴"),(E18))))</formula>
    </cfRule>
  </conditionalFormatting>
  <conditionalFormatting sqref="E18">
    <cfRule type="containsText" dxfId="2" priority="6881" operator="containsText" text="실패">
      <formula>NOT(ISERROR(SEARCH(("실패"),(E18))))</formula>
    </cfRule>
  </conditionalFormatting>
  <conditionalFormatting sqref="E18">
    <cfRule type="containsText" dxfId="3" priority="6882" operator="containsText" text="관리">
      <formula>NOT(ISERROR(SEARCH(("관리"),(E18))))</formula>
    </cfRule>
  </conditionalFormatting>
  <conditionalFormatting sqref="E18">
    <cfRule type="containsText" dxfId="4" priority="6883" operator="containsText" text="등록">
      <formula>NOT(ISERROR(SEARCH(("등록"),(E18))))</formula>
    </cfRule>
  </conditionalFormatting>
  <conditionalFormatting sqref="E18">
    <cfRule type="containsText" dxfId="0" priority="6884" operator="containsText" text="거부">
      <formula>NOT(ISERROR(SEARCH(("거부"),(E18))))</formula>
    </cfRule>
  </conditionalFormatting>
  <conditionalFormatting sqref="E18">
    <cfRule type="containsText" dxfId="1" priority="6885" operator="containsText" text="리턴">
      <formula>NOT(ISERROR(SEARCH(("리턴"),(E18))))</formula>
    </cfRule>
  </conditionalFormatting>
  <conditionalFormatting sqref="E18">
    <cfRule type="containsText" dxfId="2" priority="6886" operator="containsText" text="실패">
      <formula>NOT(ISERROR(SEARCH(("실패"),(E18))))</formula>
    </cfRule>
  </conditionalFormatting>
  <conditionalFormatting sqref="E18">
    <cfRule type="containsText" dxfId="3" priority="6887" operator="containsText" text="관리">
      <formula>NOT(ISERROR(SEARCH(("관리"),(E18))))</formula>
    </cfRule>
  </conditionalFormatting>
  <conditionalFormatting sqref="E18">
    <cfRule type="containsText" dxfId="4" priority="6888" operator="containsText" text="등록">
      <formula>NOT(ISERROR(SEARCH(("등록"),(E18))))</formula>
    </cfRule>
  </conditionalFormatting>
  <conditionalFormatting sqref="E18">
    <cfRule type="containsText" dxfId="0" priority="6889" operator="containsText" text="거부">
      <formula>NOT(ISERROR(SEARCH(("거부"),(E18))))</formula>
    </cfRule>
  </conditionalFormatting>
  <conditionalFormatting sqref="E18">
    <cfRule type="containsText" dxfId="1" priority="6890" operator="containsText" text="리턴">
      <formula>NOT(ISERROR(SEARCH(("리턴"),(E18))))</formula>
    </cfRule>
  </conditionalFormatting>
  <conditionalFormatting sqref="E18">
    <cfRule type="containsText" dxfId="2" priority="6891" operator="containsText" text="실패">
      <formula>NOT(ISERROR(SEARCH(("실패"),(E18))))</formula>
    </cfRule>
  </conditionalFormatting>
  <conditionalFormatting sqref="E18">
    <cfRule type="containsText" dxfId="3" priority="6892" operator="containsText" text="관리">
      <formula>NOT(ISERROR(SEARCH(("관리"),(E18))))</formula>
    </cfRule>
  </conditionalFormatting>
  <conditionalFormatting sqref="E18">
    <cfRule type="containsText" dxfId="4" priority="6893" operator="containsText" text="등록">
      <formula>NOT(ISERROR(SEARCH(("등록"),(E18))))</formula>
    </cfRule>
  </conditionalFormatting>
  <conditionalFormatting sqref="E18">
    <cfRule type="containsText" dxfId="0" priority="6894" operator="containsText" text="거부">
      <formula>NOT(ISERROR(SEARCH(("거부"),(E18))))</formula>
    </cfRule>
  </conditionalFormatting>
  <conditionalFormatting sqref="E18">
    <cfRule type="containsText" dxfId="1" priority="6895" operator="containsText" text="리턴">
      <formula>NOT(ISERROR(SEARCH(("리턴"),(E18))))</formula>
    </cfRule>
  </conditionalFormatting>
  <conditionalFormatting sqref="E18">
    <cfRule type="containsText" dxfId="2" priority="6896" operator="containsText" text="실패">
      <formula>NOT(ISERROR(SEARCH(("실패"),(E18))))</formula>
    </cfRule>
  </conditionalFormatting>
  <conditionalFormatting sqref="E18">
    <cfRule type="containsText" dxfId="3" priority="6897" operator="containsText" text="관리">
      <formula>NOT(ISERROR(SEARCH(("관리"),(E18))))</formula>
    </cfRule>
  </conditionalFormatting>
  <conditionalFormatting sqref="E18">
    <cfRule type="containsText" dxfId="4" priority="6898" operator="containsText" text="등록">
      <formula>NOT(ISERROR(SEARCH(("등록"),(E18))))</formula>
    </cfRule>
  </conditionalFormatting>
  <conditionalFormatting sqref="E18">
    <cfRule type="containsText" dxfId="0" priority="6899" operator="containsText" text="거부">
      <formula>NOT(ISERROR(SEARCH(("거부"),(E18))))</formula>
    </cfRule>
  </conditionalFormatting>
  <conditionalFormatting sqref="E18">
    <cfRule type="containsText" dxfId="1" priority="6900" operator="containsText" text="리턴">
      <formula>NOT(ISERROR(SEARCH(("리턴"),(E18))))</formula>
    </cfRule>
  </conditionalFormatting>
  <conditionalFormatting sqref="E18">
    <cfRule type="containsText" dxfId="2" priority="6901" operator="containsText" text="실패">
      <formula>NOT(ISERROR(SEARCH(("실패"),(E18))))</formula>
    </cfRule>
  </conditionalFormatting>
  <conditionalFormatting sqref="E18">
    <cfRule type="containsText" dxfId="3" priority="6902" operator="containsText" text="관리">
      <formula>NOT(ISERROR(SEARCH(("관리"),(E18))))</formula>
    </cfRule>
  </conditionalFormatting>
  <conditionalFormatting sqref="E18">
    <cfRule type="containsText" dxfId="4" priority="6903" operator="containsText" text="등록">
      <formula>NOT(ISERROR(SEARCH(("등록"),(E18))))</formula>
    </cfRule>
  </conditionalFormatting>
  <conditionalFormatting sqref="J18">
    <cfRule type="containsText" dxfId="0" priority="6904" operator="containsText" text="거부">
      <formula>NOT(ISERROR(SEARCH(("거부"),(J18))))</formula>
    </cfRule>
  </conditionalFormatting>
  <conditionalFormatting sqref="J18">
    <cfRule type="containsText" dxfId="1" priority="6905" operator="containsText" text="리턴">
      <formula>NOT(ISERROR(SEARCH(("리턴"),(J18))))</formula>
    </cfRule>
  </conditionalFormatting>
  <conditionalFormatting sqref="J18">
    <cfRule type="containsText" dxfId="2" priority="6906" operator="containsText" text="실패">
      <formula>NOT(ISERROR(SEARCH(("실패"),(J18))))</formula>
    </cfRule>
  </conditionalFormatting>
  <conditionalFormatting sqref="J18">
    <cfRule type="containsText" dxfId="3" priority="6907" operator="containsText" text="관리">
      <formula>NOT(ISERROR(SEARCH(("관리"),(J18))))</formula>
    </cfRule>
  </conditionalFormatting>
  <conditionalFormatting sqref="J18">
    <cfRule type="containsText" dxfId="4" priority="6908" operator="containsText" text="등록">
      <formula>NOT(ISERROR(SEARCH(("등록"),(J18))))</formula>
    </cfRule>
  </conditionalFormatting>
  <conditionalFormatting sqref="J18">
    <cfRule type="containsText" dxfId="0" priority="6909" operator="containsText" text="거부">
      <formula>NOT(ISERROR(SEARCH(("거부"),(J18))))</formula>
    </cfRule>
  </conditionalFormatting>
  <conditionalFormatting sqref="J18">
    <cfRule type="containsText" dxfId="1" priority="6910" operator="containsText" text="리턴">
      <formula>NOT(ISERROR(SEARCH(("리턴"),(J18))))</formula>
    </cfRule>
  </conditionalFormatting>
  <conditionalFormatting sqref="J18">
    <cfRule type="containsText" dxfId="2" priority="6911" operator="containsText" text="실패">
      <formula>NOT(ISERROR(SEARCH(("실패"),(J18))))</formula>
    </cfRule>
  </conditionalFormatting>
  <conditionalFormatting sqref="J18">
    <cfRule type="containsText" dxfId="3" priority="6912" operator="containsText" text="관리">
      <formula>NOT(ISERROR(SEARCH(("관리"),(J18))))</formula>
    </cfRule>
  </conditionalFormatting>
  <conditionalFormatting sqref="J18">
    <cfRule type="containsText" dxfId="4" priority="6913" operator="containsText" text="등록">
      <formula>NOT(ISERROR(SEARCH(("등록"),(J18))))</formula>
    </cfRule>
  </conditionalFormatting>
  <conditionalFormatting sqref="J18">
    <cfRule type="containsText" dxfId="0" priority="6914" operator="containsText" text="거부">
      <formula>NOT(ISERROR(SEARCH(("거부"),(J18))))</formula>
    </cfRule>
  </conditionalFormatting>
  <conditionalFormatting sqref="J18">
    <cfRule type="containsText" dxfId="1" priority="6915" operator="containsText" text="리턴">
      <formula>NOT(ISERROR(SEARCH(("리턴"),(J18))))</formula>
    </cfRule>
  </conditionalFormatting>
  <conditionalFormatting sqref="J18">
    <cfRule type="containsText" dxfId="2" priority="6916" operator="containsText" text="실패">
      <formula>NOT(ISERROR(SEARCH(("실패"),(J18))))</formula>
    </cfRule>
  </conditionalFormatting>
  <conditionalFormatting sqref="J18">
    <cfRule type="containsText" dxfId="3" priority="6917" operator="containsText" text="관리">
      <formula>NOT(ISERROR(SEARCH(("관리"),(J18))))</formula>
    </cfRule>
  </conditionalFormatting>
  <conditionalFormatting sqref="J18">
    <cfRule type="containsText" dxfId="4" priority="6918" operator="containsText" text="등록">
      <formula>NOT(ISERROR(SEARCH(("등록"),(J18))))</formula>
    </cfRule>
  </conditionalFormatting>
  <conditionalFormatting sqref="J18">
    <cfRule type="containsText" dxfId="0" priority="6919" operator="containsText" text="거부">
      <formula>NOT(ISERROR(SEARCH(("거부"),(J18))))</formula>
    </cfRule>
  </conditionalFormatting>
  <conditionalFormatting sqref="J18">
    <cfRule type="containsText" dxfId="1" priority="6920" operator="containsText" text="리턴">
      <formula>NOT(ISERROR(SEARCH(("리턴"),(J18))))</formula>
    </cfRule>
  </conditionalFormatting>
  <conditionalFormatting sqref="J18">
    <cfRule type="containsText" dxfId="2" priority="6921" operator="containsText" text="실패">
      <formula>NOT(ISERROR(SEARCH(("실패"),(J18))))</formula>
    </cfRule>
  </conditionalFormatting>
  <conditionalFormatting sqref="J18">
    <cfRule type="containsText" dxfId="3" priority="6922" operator="containsText" text="관리">
      <formula>NOT(ISERROR(SEARCH(("관리"),(J18))))</formula>
    </cfRule>
  </conditionalFormatting>
  <conditionalFormatting sqref="J18">
    <cfRule type="containsText" dxfId="4" priority="6923" operator="containsText" text="등록">
      <formula>NOT(ISERROR(SEARCH(("등록"),(J18))))</formula>
    </cfRule>
  </conditionalFormatting>
  <conditionalFormatting sqref="J18">
    <cfRule type="containsText" dxfId="0" priority="6924" operator="containsText" text="거부">
      <formula>NOT(ISERROR(SEARCH(("거부"),(J18))))</formula>
    </cfRule>
  </conditionalFormatting>
  <conditionalFormatting sqref="J18">
    <cfRule type="containsText" dxfId="1" priority="6925" operator="containsText" text="리턴">
      <formula>NOT(ISERROR(SEARCH(("리턴"),(J18))))</formula>
    </cfRule>
  </conditionalFormatting>
  <conditionalFormatting sqref="J18">
    <cfRule type="containsText" dxfId="2" priority="6926" operator="containsText" text="실패">
      <formula>NOT(ISERROR(SEARCH(("실패"),(J18))))</formula>
    </cfRule>
  </conditionalFormatting>
  <conditionalFormatting sqref="J18">
    <cfRule type="containsText" dxfId="3" priority="6927" operator="containsText" text="관리">
      <formula>NOT(ISERROR(SEARCH(("관리"),(J18))))</formula>
    </cfRule>
  </conditionalFormatting>
  <conditionalFormatting sqref="J18">
    <cfRule type="containsText" dxfId="4" priority="6928" operator="containsText" text="등록">
      <formula>NOT(ISERROR(SEARCH(("등록"),(J18))))</formula>
    </cfRule>
  </conditionalFormatting>
  <conditionalFormatting sqref="J18">
    <cfRule type="containsText" dxfId="0" priority="6929" operator="containsText" text="거부">
      <formula>NOT(ISERROR(SEARCH(("거부"),(J18))))</formula>
    </cfRule>
  </conditionalFormatting>
  <conditionalFormatting sqref="J18">
    <cfRule type="containsText" dxfId="1" priority="6930" operator="containsText" text="리턴">
      <formula>NOT(ISERROR(SEARCH(("리턴"),(J18))))</formula>
    </cfRule>
  </conditionalFormatting>
  <conditionalFormatting sqref="J18">
    <cfRule type="containsText" dxfId="2" priority="6931" operator="containsText" text="실패">
      <formula>NOT(ISERROR(SEARCH(("실패"),(J18))))</formula>
    </cfRule>
  </conditionalFormatting>
  <conditionalFormatting sqref="J18">
    <cfRule type="containsText" dxfId="3" priority="6932" operator="containsText" text="관리">
      <formula>NOT(ISERROR(SEARCH(("관리"),(J18))))</formula>
    </cfRule>
  </conditionalFormatting>
  <conditionalFormatting sqref="J18">
    <cfRule type="containsText" dxfId="4" priority="6933" operator="containsText" text="등록">
      <formula>NOT(ISERROR(SEARCH(("등록"),(J18))))</formula>
    </cfRule>
  </conditionalFormatting>
  <conditionalFormatting sqref="J18">
    <cfRule type="containsText" dxfId="0" priority="6934" operator="containsText" text="거부">
      <formula>NOT(ISERROR(SEARCH(("거부"),(J18))))</formula>
    </cfRule>
  </conditionalFormatting>
  <conditionalFormatting sqref="J18">
    <cfRule type="containsText" dxfId="1" priority="6935" operator="containsText" text="리턴">
      <formula>NOT(ISERROR(SEARCH(("리턴"),(J18))))</formula>
    </cfRule>
  </conditionalFormatting>
  <conditionalFormatting sqref="J18">
    <cfRule type="containsText" dxfId="2" priority="6936" operator="containsText" text="실패">
      <formula>NOT(ISERROR(SEARCH(("실패"),(J18))))</formula>
    </cfRule>
  </conditionalFormatting>
  <conditionalFormatting sqref="J18">
    <cfRule type="containsText" dxfId="3" priority="6937" operator="containsText" text="관리">
      <formula>NOT(ISERROR(SEARCH(("관리"),(J18))))</formula>
    </cfRule>
  </conditionalFormatting>
  <conditionalFormatting sqref="J18">
    <cfRule type="containsText" dxfId="4" priority="6938" operator="containsText" text="등록">
      <formula>NOT(ISERROR(SEARCH(("등록"),(J18))))</formula>
    </cfRule>
  </conditionalFormatting>
  <conditionalFormatting sqref="J18">
    <cfRule type="containsText" dxfId="0" priority="6939" operator="containsText" text="거부">
      <formula>NOT(ISERROR(SEARCH(("거부"),(J18))))</formula>
    </cfRule>
  </conditionalFormatting>
  <conditionalFormatting sqref="J18">
    <cfRule type="containsText" dxfId="1" priority="6940" operator="containsText" text="리턴">
      <formula>NOT(ISERROR(SEARCH(("리턴"),(J18))))</formula>
    </cfRule>
  </conditionalFormatting>
  <conditionalFormatting sqref="J18">
    <cfRule type="containsText" dxfId="2" priority="6941" operator="containsText" text="실패">
      <formula>NOT(ISERROR(SEARCH(("실패"),(J18))))</formula>
    </cfRule>
  </conditionalFormatting>
  <conditionalFormatting sqref="J18">
    <cfRule type="containsText" dxfId="3" priority="6942" operator="containsText" text="관리">
      <formula>NOT(ISERROR(SEARCH(("관리"),(J18))))</formula>
    </cfRule>
  </conditionalFormatting>
  <conditionalFormatting sqref="J18">
    <cfRule type="containsText" dxfId="4" priority="6943" operator="containsText" text="등록">
      <formula>NOT(ISERROR(SEARCH(("등록"),(J18))))</formula>
    </cfRule>
  </conditionalFormatting>
  <conditionalFormatting sqref="J18">
    <cfRule type="containsText" dxfId="0" priority="6944" operator="containsText" text="거부">
      <formula>NOT(ISERROR(SEARCH(("거부"),(J18))))</formula>
    </cfRule>
  </conditionalFormatting>
  <conditionalFormatting sqref="J18">
    <cfRule type="containsText" dxfId="1" priority="6945" operator="containsText" text="리턴">
      <formula>NOT(ISERROR(SEARCH(("리턴"),(J18))))</formula>
    </cfRule>
  </conditionalFormatting>
  <conditionalFormatting sqref="J18">
    <cfRule type="containsText" dxfId="2" priority="6946" operator="containsText" text="실패">
      <formula>NOT(ISERROR(SEARCH(("실패"),(J18))))</formula>
    </cfRule>
  </conditionalFormatting>
  <conditionalFormatting sqref="J18">
    <cfRule type="containsText" dxfId="3" priority="6947" operator="containsText" text="관리">
      <formula>NOT(ISERROR(SEARCH(("관리"),(J18))))</formula>
    </cfRule>
  </conditionalFormatting>
  <conditionalFormatting sqref="J18">
    <cfRule type="containsText" dxfId="4" priority="6948" operator="containsText" text="등록">
      <formula>NOT(ISERROR(SEARCH(("등록"),(J18))))</formula>
    </cfRule>
  </conditionalFormatting>
  <conditionalFormatting sqref="J18">
    <cfRule type="containsText" dxfId="0" priority="6949" operator="containsText" text="거부">
      <formula>NOT(ISERROR(SEARCH(("거부"),(J18))))</formula>
    </cfRule>
  </conditionalFormatting>
  <conditionalFormatting sqref="J18">
    <cfRule type="containsText" dxfId="1" priority="6950" operator="containsText" text="리턴">
      <formula>NOT(ISERROR(SEARCH(("리턴"),(J18))))</formula>
    </cfRule>
  </conditionalFormatting>
  <conditionalFormatting sqref="J18">
    <cfRule type="containsText" dxfId="2" priority="6951" operator="containsText" text="실패">
      <formula>NOT(ISERROR(SEARCH(("실패"),(J18))))</formula>
    </cfRule>
  </conditionalFormatting>
  <conditionalFormatting sqref="J18">
    <cfRule type="containsText" dxfId="3" priority="6952" operator="containsText" text="관리">
      <formula>NOT(ISERROR(SEARCH(("관리"),(J18))))</formula>
    </cfRule>
  </conditionalFormatting>
  <conditionalFormatting sqref="J18">
    <cfRule type="containsText" dxfId="4" priority="6953" operator="containsText" text="등록">
      <formula>NOT(ISERROR(SEARCH(("등록"),(J18))))</formula>
    </cfRule>
  </conditionalFormatting>
  <conditionalFormatting sqref="J18">
    <cfRule type="containsText" dxfId="0" priority="6954" operator="containsText" text="거부">
      <formula>NOT(ISERROR(SEARCH(("거부"),(J18))))</formula>
    </cfRule>
  </conditionalFormatting>
  <conditionalFormatting sqref="J18">
    <cfRule type="containsText" dxfId="1" priority="6955" operator="containsText" text="리턴">
      <formula>NOT(ISERROR(SEARCH(("리턴"),(J18))))</formula>
    </cfRule>
  </conditionalFormatting>
  <conditionalFormatting sqref="J18">
    <cfRule type="containsText" dxfId="2" priority="6956" operator="containsText" text="실패">
      <formula>NOT(ISERROR(SEARCH(("실패"),(J18))))</formula>
    </cfRule>
  </conditionalFormatting>
  <conditionalFormatting sqref="J18">
    <cfRule type="containsText" dxfId="3" priority="6957" operator="containsText" text="관리">
      <formula>NOT(ISERROR(SEARCH(("관리"),(J18))))</formula>
    </cfRule>
  </conditionalFormatting>
  <conditionalFormatting sqref="J18">
    <cfRule type="containsText" dxfId="4" priority="6958" operator="containsText" text="등록">
      <formula>NOT(ISERROR(SEARCH(("등록"),(J18))))</formula>
    </cfRule>
  </conditionalFormatting>
  <conditionalFormatting sqref="J18">
    <cfRule type="containsText" dxfId="0" priority="6959" operator="containsText" text="거부">
      <formula>NOT(ISERROR(SEARCH(("거부"),(J18))))</formula>
    </cfRule>
  </conditionalFormatting>
  <conditionalFormatting sqref="J18">
    <cfRule type="containsText" dxfId="1" priority="6960" operator="containsText" text="리턴">
      <formula>NOT(ISERROR(SEARCH(("리턴"),(J18))))</formula>
    </cfRule>
  </conditionalFormatting>
  <conditionalFormatting sqref="J18">
    <cfRule type="containsText" dxfId="2" priority="6961" operator="containsText" text="실패">
      <formula>NOT(ISERROR(SEARCH(("실패"),(J18))))</formula>
    </cfRule>
  </conditionalFormatting>
  <conditionalFormatting sqref="J18">
    <cfRule type="containsText" dxfId="3" priority="6962" operator="containsText" text="관리">
      <formula>NOT(ISERROR(SEARCH(("관리"),(J18))))</formula>
    </cfRule>
  </conditionalFormatting>
  <conditionalFormatting sqref="J18">
    <cfRule type="containsText" dxfId="4" priority="6963" operator="containsText" text="등록">
      <formula>NOT(ISERROR(SEARCH(("등록"),(J18))))</formula>
    </cfRule>
  </conditionalFormatting>
  <conditionalFormatting sqref="J18">
    <cfRule type="containsText" dxfId="0" priority="6964" operator="containsText" text="거부">
      <formula>NOT(ISERROR(SEARCH(("거부"),(J18))))</formula>
    </cfRule>
  </conditionalFormatting>
  <conditionalFormatting sqref="J18">
    <cfRule type="containsText" dxfId="1" priority="6965" operator="containsText" text="리턴">
      <formula>NOT(ISERROR(SEARCH(("리턴"),(J18))))</formula>
    </cfRule>
  </conditionalFormatting>
  <conditionalFormatting sqref="J18">
    <cfRule type="containsText" dxfId="2" priority="6966" operator="containsText" text="실패">
      <formula>NOT(ISERROR(SEARCH(("실패"),(J18))))</formula>
    </cfRule>
  </conditionalFormatting>
  <conditionalFormatting sqref="J18">
    <cfRule type="containsText" dxfId="3" priority="6967" operator="containsText" text="관리">
      <formula>NOT(ISERROR(SEARCH(("관리"),(J18))))</formula>
    </cfRule>
  </conditionalFormatting>
  <conditionalFormatting sqref="J18">
    <cfRule type="containsText" dxfId="4" priority="6968" operator="containsText" text="등록">
      <formula>NOT(ISERROR(SEARCH(("등록"),(J18))))</formula>
    </cfRule>
  </conditionalFormatting>
  <conditionalFormatting sqref="J18">
    <cfRule type="containsText" dxfId="0" priority="6969" operator="containsText" text="거부">
      <formula>NOT(ISERROR(SEARCH(("거부"),(J18))))</formula>
    </cfRule>
  </conditionalFormatting>
  <conditionalFormatting sqref="J18">
    <cfRule type="containsText" dxfId="1" priority="6970" operator="containsText" text="리턴">
      <formula>NOT(ISERROR(SEARCH(("리턴"),(J18))))</formula>
    </cfRule>
  </conditionalFormatting>
  <conditionalFormatting sqref="J18">
    <cfRule type="containsText" dxfId="2" priority="6971" operator="containsText" text="실패">
      <formula>NOT(ISERROR(SEARCH(("실패"),(J18))))</formula>
    </cfRule>
  </conditionalFormatting>
  <conditionalFormatting sqref="J18">
    <cfRule type="containsText" dxfId="3" priority="6972" operator="containsText" text="관리">
      <formula>NOT(ISERROR(SEARCH(("관리"),(J18))))</formula>
    </cfRule>
  </conditionalFormatting>
  <conditionalFormatting sqref="J18">
    <cfRule type="containsText" dxfId="4" priority="6973" operator="containsText" text="등록">
      <formula>NOT(ISERROR(SEARCH(("등록"),(J18))))</formula>
    </cfRule>
  </conditionalFormatting>
  <conditionalFormatting sqref="J18">
    <cfRule type="containsText" dxfId="0" priority="6974" operator="containsText" text="거부">
      <formula>NOT(ISERROR(SEARCH(("거부"),(J18))))</formula>
    </cfRule>
  </conditionalFormatting>
  <conditionalFormatting sqref="J18">
    <cfRule type="containsText" dxfId="1" priority="6975" operator="containsText" text="리턴">
      <formula>NOT(ISERROR(SEARCH(("리턴"),(J18))))</formula>
    </cfRule>
  </conditionalFormatting>
  <conditionalFormatting sqref="J18">
    <cfRule type="containsText" dxfId="2" priority="6976" operator="containsText" text="실패">
      <formula>NOT(ISERROR(SEARCH(("실패"),(J18))))</formula>
    </cfRule>
  </conditionalFormatting>
  <conditionalFormatting sqref="J18">
    <cfRule type="containsText" dxfId="3" priority="6977" operator="containsText" text="관리">
      <formula>NOT(ISERROR(SEARCH(("관리"),(J18))))</formula>
    </cfRule>
  </conditionalFormatting>
  <conditionalFormatting sqref="J18">
    <cfRule type="containsText" dxfId="4" priority="6978" operator="containsText" text="등록">
      <formula>NOT(ISERROR(SEARCH(("등록"),(J18))))</formula>
    </cfRule>
  </conditionalFormatting>
  <conditionalFormatting sqref="J18">
    <cfRule type="containsText" dxfId="0" priority="6979" operator="containsText" text="거부">
      <formula>NOT(ISERROR(SEARCH(("거부"),(J18))))</formula>
    </cfRule>
  </conditionalFormatting>
  <conditionalFormatting sqref="J18">
    <cfRule type="containsText" dxfId="1" priority="6980" operator="containsText" text="리턴">
      <formula>NOT(ISERROR(SEARCH(("리턴"),(J18))))</formula>
    </cfRule>
  </conditionalFormatting>
  <conditionalFormatting sqref="J18">
    <cfRule type="containsText" dxfId="2" priority="6981" operator="containsText" text="실패">
      <formula>NOT(ISERROR(SEARCH(("실패"),(J18))))</formula>
    </cfRule>
  </conditionalFormatting>
  <conditionalFormatting sqref="J18">
    <cfRule type="containsText" dxfId="3" priority="6982" operator="containsText" text="관리">
      <formula>NOT(ISERROR(SEARCH(("관리"),(J18))))</formula>
    </cfRule>
  </conditionalFormatting>
  <conditionalFormatting sqref="J18">
    <cfRule type="containsText" dxfId="4" priority="6983" operator="containsText" text="등록">
      <formula>NOT(ISERROR(SEARCH(("등록"),(J18))))</formula>
    </cfRule>
  </conditionalFormatting>
  <conditionalFormatting sqref="J18">
    <cfRule type="containsText" dxfId="0" priority="6984" operator="containsText" text="거부">
      <formula>NOT(ISERROR(SEARCH(("거부"),(J18))))</formula>
    </cfRule>
  </conditionalFormatting>
  <conditionalFormatting sqref="J18">
    <cfRule type="containsText" dxfId="1" priority="6985" operator="containsText" text="리턴">
      <formula>NOT(ISERROR(SEARCH(("리턴"),(J18))))</formula>
    </cfRule>
  </conditionalFormatting>
  <conditionalFormatting sqref="J18">
    <cfRule type="containsText" dxfId="2" priority="6986" operator="containsText" text="실패">
      <formula>NOT(ISERROR(SEARCH(("실패"),(J18))))</formula>
    </cfRule>
  </conditionalFormatting>
  <conditionalFormatting sqref="J18">
    <cfRule type="containsText" dxfId="3" priority="6987" operator="containsText" text="관리">
      <formula>NOT(ISERROR(SEARCH(("관리"),(J18))))</formula>
    </cfRule>
  </conditionalFormatting>
  <conditionalFormatting sqref="J18">
    <cfRule type="containsText" dxfId="4" priority="6988" operator="containsText" text="등록">
      <formula>NOT(ISERROR(SEARCH(("등록"),(J18))))</formula>
    </cfRule>
  </conditionalFormatting>
  <conditionalFormatting sqref="J18">
    <cfRule type="containsText" dxfId="0" priority="6989" operator="containsText" text="거부">
      <formula>NOT(ISERROR(SEARCH(("거부"),(J18))))</formula>
    </cfRule>
  </conditionalFormatting>
  <conditionalFormatting sqref="J18">
    <cfRule type="containsText" dxfId="1" priority="6990" operator="containsText" text="리턴">
      <formula>NOT(ISERROR(SEARCH(("리턴"),(J18))))</formula>
    </cfRule>
  </conditionalFormatting>
  <conditionalFormatting sqref="J18">
    <cfRule type="containsText" dxfId="2" priority="6991" operator="containsText" text="실패">
      <formula>NOT(ISERROR(SEARCH(("실패"),(J18))))</formula>
    </cfRule>
  </conditionalFormatting>
  <conditionalFormatting sqref="J18">
    <cfRule type="containsText" dxfId="3" priority="6992" operator="containsText" text="관리">
      <formula>NOT(ISERROR(SEARCH(("관리"),(J18))))</formula>
    </cfRule>
  </conditionalFormatting>
  <conditionalFormatting sqref="J18">
    <cfRule type="containsText" dxfId="4" priority="6993" operator="containsText" text="등록">
      <formula>NOT(ISERROR(SEARCH(("등록"),(J18))))</formula>
    </cfRule>
  </conditionalFormatting>
  <conditionalFormatting sqref="J18">
    <cfRule type="containsText" dxfId="0" priority="6994" operator="containsText" text="거부">
      <formula>NOT(ISERROR(SEARCH(("거부"),(J18))))</formula>
    </cfRule>
  </conditionalFormatting>
  <conditionalFormatting sqref="J18">
    <cfRule type="containsText" dxfId="1" priority="6995" operator="containsText" text="리턴">
      <formula>NOT(ISERROR(SEARCH(("리턴"),(J18))))</formula>
    </cfRule>
  </conditionalFormatting>
  <conditionalFormatting sqref="J18">
    <cfRule type="containsText" dxfId="2" priority="6996" operator="containsText" text="실패">
      <formula>NOT(ISERROR(SEARCH(("실패"),(J18))))</formula>
    </cfRule>
  </conditionalFormatting>
  <conditionalFormatting sqref="J18">
    <cfRule type="containsText" dxfId="3" priority="6997" operator="containsText" text="관리">
      <formula>NOT(ISERROR(SEARCH(("관리"),(J18))))</formula>
    </cfRule>
  </conditionalFormatting>
  <conditionalFormatting sqref="J18">
    <cfRule type="containsText" dxfId="4" priority="6998" operator="containsText" text="등록">
      <formula>NOT(ISERROR(SEARCH(("등록"),(J18))))</formula>
    </cfRule>
  </conditionalFormatting>
  <conditionalFormatting sqref="J18">
    <cfRule type="containsText" dxfId="0" priority="6999" operator="containsText" text="거부">
      <formula>NOT(ISERROR(SEARCH(("거부"),(J18))))</formula>
    </cfRule>
  </conditionalFormatting>
  <conditionalFormatting sqref="J18">
    <cfRule type="containsText" dxfId="1" priority="7000" operator="containsText" text="리턴">
      <formula>NOT(ISERROR(SEARCH(("리턴"),(J18))))</formula>
    </cfRule>
  </conditionalFormatting>
  <conditionalFormatting sqref="J18">
    <cfRule type="containsText" dxfId="2" priority="7001" operator="containsText" text="실패">
      <formula>NOT(ISERROR(SEARCH(("실패"),(J18))))</formula>
    </cfRule>
  </conditionalFormatting>
  <conditionalFormatting sqref="J18">
    <cfRule type="containsText" dxfId="3" priority="7002" operator="containsText" text="관리">
      <formula>NOT(ISERROR(SEARCH(("관리"),(J18))))</formula>
    </cfRule>
  </conditionalFormatting>
  <conditionalFormatting sqref="J18">
    <cfRule type="containsText" dxfId="4" priority="7003" operator="containsText" text="등록">
      <formula>NOT(ISERROR(SEARCH(("등록"),(J18))))</formula>
    </cfRule>
  </conditionalFormatting>
  <conditionalFormatting sqref="D7">
    <cfRule type="containsText" dxfId="0" priority="7004" operator="containsText" text="거부">
      <formula>NOT(ISERROR(SEARCH(("거부"),(D7))))</formula>
    </cfRule>
  </conditionalFormatting>
  <conditionalFormatting sqref="D7">
    <cfRule type="containsText" dxfId="1" priority="7005" operator="containsText" text="리턴">
      <formula>NOT(ISERROR(SEARCH(("리턴"),(D7))))</formula>
    </cfRule>
  </conditionalFormatting>
  <conditionalFormatting sqref="D7">
    <cfRule type="containsText" dxfId="2" priority="7006" operator="containsText" text="실패">
      <formula>NOT(ISERROR(SEARCH(("실패"),(D7))))</formula>
    </cfRule>
  </conditionalFormatting>
  <conditionalFormatting sqref="D7">
    <cfRule type="containsText" dxfId="3" priority="7007" operator="containsText" text="관리">
      <formula>NOT(ISERROR(SEARCH(("관리"),(D7))))</formula>
    </cfRule>
  </conditionalFormatting>
  <conditionalFormatting sqref="D7">
    <cfRule type="containsText" dxfId="4" priority="7008" operator="containsText" text="등록">
      <formula>NOT(ISERROR(SEARCH(("등록"),(D7))))</formula>
    </cfRule>
  </conditionalFormatting>
  <conditionalFormatting sqref="D10 D12 D17">
    <cfRule type="containsText" dxfId="0" priority="7009" operator="containsText" text="거부">
      <formula>NOT(ISERROR(SEARCH(("거부"),(D10))))</formula>
    </cfRule>
  </conditionalFormatting>
  <conditionalFormatting sqref="D10 D12 D17">
    <cfRule type="containsText" dxfId="1" priority="7010" operator="containsText" text="리턴">
      <formula>NOT(ISERROR(SEARCH(("리턴"),(D10))))</formula>
    </cfRule>
  </conditionalFormatting>
  <conditionalFormatting sqref="D10 D12 D17">
    <cfRule type="containsText" dxfId="2" priority="7011" operator="containsText" text="실패">
      <formula>NOT(ISERROR(SEARCH(("실패"),(D10))))</formula>
    </cfRule>
  </conditionalFormatting>
  <conditionalFormatting sqref="D10 D12 D17">
    <cfRule type="containsText" dxfId="3" priority="7012" operator="containsText" text="관리">
      <formula>NOT(ISERROR(SEARCH(("관리"),(D10))))</formula>
    </cfRule>
  </conditionalFormatting>
  <conditionalFormatting sqref="D10 D12 D17">
    <cfRule type="containsText" dxfId="4" priority="7013" operator="containsText" text="등록">
      <formula>NOT(ISERROR(SEARCH(("등록"),(D10))))</formula>
    </cfRule>
  </conditionalFormatting>
  <conditionalFormatting sqref="E7">
    <cfRule type="containsText" dxfId="0" priority="7014" operator="containsText" text="거부">
      <formula>NOT(ISERROR(SEARCH(("거부"),(E7))))</formula>
    </cfRule>
  </conditionalFormatting>
  <conditionalFormatting sqref="E7">
    <cfRule type="containsText" dxfId="1" priority="7015" operator="containsText" text="리턴">
      <formula>NOT(ISERROR(SEARCH(("리턴"),(E7))))</formula>
    </cfRule>
  </conditionalFormatting>
  <conditionalFormatting sqref="E7">
    <cfRule type="containsText" dxfId="2" priority="7016" operator="containsText" text="실패">
      <formula>NOT(ISERROR(SEARCH(("실패"),(E7))))</formula>
    </cfRule>
  </conditionalFormatting>
  <conditionalFormatting sqref="E7">
    <cfRule type="containsText" dxfId="3" priority="7017" operator="containsText" text="관리">
      <formula>NOT(ISERROR(SEARCH(("관리"),(E7))))</formula>
    </cfRule>
  </conditionalFormatting>
  <conditionalFormatting sqref="E7">
    <cfRule type="containsText" dxfId="4" priority="7018" operator="containsText" text="등록">
      <formula>NOT(ISERROR(SEARCH(("등록"),(E7))))</formula>
    </cfRule>
  </conditionalFormatting>
  <conditionalFormatting sqref="E12">
    <cfRule type="containsText" dxfId="0" priority="7019" operator="containsText" text="거부">
      <formula>NOT(ISERROR(SEARCH(("거부"),(E12))))</formula>
    </cfRule>
  </conditionalFormatting>
  <conditionalFormatting sqref="E12">
    <cfRule type="containsText" dxfId="1" priority="7020" operator="containsText" text="리턴">
      <formula>NOT(ISERROR(SEARCH(("리턴"),(E12))))</formula>
    </cfRule>
  </conditionalFormatting>
  <conditionalFormatting sqref="E12">
    <cfRule type="containsText" dxfId="2" priority="7021" operator="containsText" text="실패">
      <formula>NOT(ISERROR(SEARCH(("실패"),(E12))))</formula>
    </cfRule>
  </conditionalFormatting>
  <conditionalFormatting sqref="E12">
    <cfRule type="containsText" dxfId="3" priority="7022" operator="containsText" text="관리">
      <formula>NOT(ISERROR(SEARCH(("관리"),(E12))))</formula>
    </cfRule>
  </conditionalFormatting>
  <conditionalFormatting sqref="E12">
    <cfRule type="containsText" dxfId="4" priority="7023" operator="containsText" text="등록">
      <formula>NOT(ISERROR(SEARCH(("등록"),(E12))))</formula>
    </cfRule>
  </conditionalFormatting>
  <conditionalFormatting sqref="E17">
    <cfRule type="containsText" dxfId="0" priority="7024" operator="containsText" text="거부">
      <formula>NOT(ISERROR(SEARCH(("거부"),(E17))))</formula>
    </cfRule>
  </conditionalFormatting>
  <conditionalFormatting sqref="E17">
    <cfRule type="containsText" dxfId="1" priority="7025" operator="containsText" text="리턴">
      <formula>NOT(ISERROR(SEARCH(("리턴"),(E17))))</formula>
    </cfRule>
  </conditionalFormatting>
  <conditionalFormatting sqref="E17">
    <cfRule type="containsText" dxfId="2" priority="7026" operator="containsText" text="실패">
      <formula>NOT(ISERROR(SEARCH(("실패"),(E17))))</formula>
    </cfRule>
  </conditionalFormatting>
  <conditionalFormatting sqref="E17">
    <cfRule type="containsText" dxfId="3" priority="7027" operator="containsText" text="관리">
      <formula>NOT(ISERROR(SEARCH(("관리"),(E17))))</formula>
    </cfRule>
  </conditionalFormatting>
  <conditionalFormatting sqref="E17">
    <cfRule type="containsText" dxfId="4" priority="7028" operator="containsText" text="등록">
      <formula>NOT(ISERROR(SEARCH(("등록"),(E17))))</formula>
    </cfRule>
  </conditionalFormatting>
  <conditionalFormatting sqref="D21">
    <cfRule type="containsText" dxfId="0" priority="7029" operator="containsText" text="거부">
      <formula>NOT(ISERROR(SEARCH(("거부"),(D21))))</formula>
    </cfRule>
  </conditionalFormatting>
  <conditionalFormatting sqref="D21">
    <cfRule type="containsText" dxfId="1" priority="7030" operator="containsText" text="리턴">
      <formula>NOT(ISERROR(SEARCH(("리턴"),(D21))))</formula>
    </cfRule>
  </conditionalFormatting>
  <conditionalFormatting sqref="D21">
    <cfRule type="containsText" dxfId="2" priority="7031" operator="containsText" text="실패">
      <formula>NOT(ISERROR(SEARCH(("실패"),(D21))))</formula>
    </cfRule>
  </conditionalFormatting>
  <conditionalFormatting sqref="D21">
    <cfRule type="containsText" dxfId="3" priority="7032" operator="containsText" text="관리">
      <formula>NOT(ISERROR(SEARCH(("관리"),(D21))))</formula>
    </cfRule>
  </conditionalFormatting>
  <conditionalFormatting sqref="D21">
    <cfRule type="containsText" dxfId="4" priority="7033" operator="containsText" text="등록">
      <formula>NOT(ISERROR(SEARCH(("등록"),(D21))))</formula>
    </cfRule>
  </conditionalFormatting>
  <conditionalFormatting sqref="D21">
    <cfRule type="containsText" dxfId="0" priority="7034" operator="containsText" text="거부">
      <formula>NOT(ISERROR(SEARCH(("거부"),(D21))))</formula>
    </cfRule>
  </conditionalFormatting>
  <conditionalFormatting sqref="D21">
    <cfRule type="containsText" dxfId="1" priority="7035" operator="containsText" text="리턴">
      <formula>NOT(ISERROR(SEARCH(("리턴"),(D21))))</formula>
    </cfRule>
  </conditionalFormatting>
  <conditionalFormatting sqref="D21">
    <cfRule type="containsText" dxfId="2" priority="7036" operator="containsText" text="실패">
      <formula>NOT(ISERROR(SEARCH(("실패"),(D21))))</formula>
    </cfRule>
  </conditionalFormatting>
  <conditionalFormatting sqref="D21">
    <cfRule type="containsText" dxfId="3" priority="7037" operator="containsText" text="관리">
      <formula>NOT(ISERROR(SEARCH(("관리"),(D21))))</formula>
    </cfRule>
  </conditionalFormatting>
  <conditionalFormatting sqref="D21">
    <cfRule type="containsText" dxfId="4" priority="7038" operator="containsText" text="등록">
      <formula>NOT(ISERROR(SEARCH(("등록"),(D21))))</formula>
    </cfRule>
  </conditionalFormatting>
  <conditionalFormatting sqref="D21">
    <cfRule type="containsText" dxfId="0" priority="7039" operator="containsText" text="거부">
      <formula>NOT(ISERROR(SEARCH(("거부"),(D21))))</formula>
    </cfRule>
  </conditionalFormatting>
  <conditionalFormatting sqref="D21">
    <cfRule type="containsText" dxfId="1" priority="7040" operator="containsText" text="리턴">
      <formula>NOT(ISERROR(SEARCH(("리턴"),(D21))))</formula>
    </cfRule>
  </conditionalFormatting>
  <conditionalFormatting sqref="D21">
    <cfRule type="containsText" dxfId="2" priority="7041" operator="containsText" text="실패">
      <formula>NOT(ISERROR(SEARCH(("실패"),(D21))))</formula>
    </cfRule>
  </conditionalFormatting>
  <conditionalFormatting sqref="D21">
    <cfRule type="containsText" dxfId="3" priority="7042" operator="containsText" text="관리">
      <formula>NOT(ISERROR(SEARCH(("관리"),(D21))))</formula>
    </cfRule>
  </conditionalFormatting>
  <conditionalFormatting sqref="D21">
    <cfRule type="containsText" dxfId="4" priority="7043" operator="containsText" text="등록">
      <formula>NOT(ISERROR(SEARCH(("등록"),(D21))))</formula>
    </cfRule>
  </conditionalFormatting>
  <conditionalFormatting sqref="D21">
    <cfRule type="containsText" dxfId="0" priority="7044" operator="containsText" text="거부">
      <formula>NOT(ISERROR(SEARCH(("거부"),(D21))))</formula>
    </cfRule>
  </conditionalFormatting>
  <conditionalFormatting sqref="D21">
    <cfRule type="containsText" dxfId="1" priority="7045" operator="containsText" text="리턴">
      <formula>NOT(ISERROR(SEARCH(("리턴"),(D21))))</formula>
    </cfRule>
  </conditionalFormatting>
  <conditionalFormatting sqref="D21">
    <cfRule type="containsText" dxfId="2" priority="7046" operator="containsText" text="실패">
      <formula>NOT(ISERROR(SEARCH(("실패"),(D21))))</formula>
    </cfRule>
  </conditionalFormatting>
  <conditionalFormatting sqref="D21">
    <cfRule type="containsText" dxfId="3" priority="7047" operator="containsText" text="관리">
      <formula>NOT(ISERROR(SEARCH(("관리"),(D21))))</formula>
    </cfRule>
  </conditionalFormatting>
  <conditionalFormatting sqref="D21">
    <cfRule type="containsText" dxfId="4" priority="7048" operator="containsText" text="등록">
      <formula>NOT(ISERROR(SEARCH(("등록"),(D21))))</formula>
    </cfRule>
  </conditionalFormatting>
  <conditionalFormatting sqref="D21">
    <cfRule type="containsText" dxfId="0" priority="7049" operator="containsText" text="거부">
      <formula>NOT(ISERROR(SEARCH(("거부"),(D21))))</formula>
    </cfRule>
  </conditionalFormatting>
  <conditionalFormatting sqref="D21">
    <cfRule type="containsText" dxfId="1" priority="7050" operator="containsText" text="리턴">
      <formula>NOT(ISERROR(SEARCH(("리턴"),(D21))))</formula>
    </cfRule>
  </conditionalFormatting>
  <conditionalFormatting sqref="D21">
    <cfRule type="containsText" dxfId="2" priority="7051" operator="containsText" text="실패">
      <formula>NOT(ISERROR(SEARCH(("실패"),(D21))))</formula>
    </cfRule>
  </conditionalFormatting>
  <conditionalFormatting sqref="D21">
    <cfRule type="containsText" dxfId="3" priority="7052" operator="containsText" text="관리">
      <formula>NOT(ISERROR(SEARCH(("관리"),(D21))))</formula>
    </cfRule>
  </conditionalFormatting>
  <conditionalFormatting sqref="D21">
    <cfRule type="containsText" dxfId="4" priority="7053" operator="containsText" text="등록">
      <formula>NOT(ISERROR(SEARCH(("등록"),(D21))))</formula>
    </cfRule>
  </conditionalFormatting>
  <conditionalFormatting sqref="D21">
    <cfRule type="containsText" dxfId="0" priority="7054" operator="containsText" text="거부">
      <formula>NOT(ISERROR(SEARCH(("거부"),(D21))))</formula>
    </cfRule>
  </conditionalFormatting>
  <conditionalFormatting sqref="D21">
    <cfRule type="containsText" dxfId="1" priority="7055" operator="containsText" text="리턴">
      <formula>NOT(ISERROR(SEARCH(("리턴"),(D21))))</formula>
    </cfRule>
  </conditionalFormatting>
  <conditionalFormatting sqref="D21">
    <cfRule type="containsText" dxfId="2" priority="7056" operator="containsText" text="실패">
      <formula>NOT(ISERROR(SEARCH(("실패"),(D21))))</formula>
    </cfRule>
  </conditionalFormatting>
  <conditionalFormatting sqref="D21">
    <cfRule type="containsText" dxfId="3" priority="7057" operator="containsText" text="관리">
      <formula>NOT(ISERROR(SEARCH(("관리"),(D21))))</formula>
    </cfRule>
  </conditionalFormatting>
  <conditionalFormatting sqref="D21">
    <cfRule type="containsText" dxfId="4" priority="7058" operator="containsText" text="등록">
      <formula>NOT(ISERROR(SEARCH(("등록"),(D21))))</formula>
    </cfRule>
  </conditionalFormatting>
  <conditionalFormatting sqref="E21">
    <cfRule type="containsText" dxfId="0" priority="7059" operator="containsText" text="거부">
      <formula>NOT(ISERROR(SEARCH(("거부"),(E21))))</formula>
    </cfRule>
  </conditionalFormatting>
  <conditionalFormatting sqref="E21">
    <cfRule type="containsText" dxfId="1" priority="7060" operator="containsText" text="리턴">
      <formula>NOT(ISERROR(SEARCH(("리턴"),(E21))))</formula>
    </cfRule>
  </conditionalFormatting>
  <conditionalFormatting sqref="E21">
    <cfRule type="containsText" dxfId="2" priority="7061" operator="containsText" text="실패">
      <formula>NOT(ISERROR(SEARCH(("실패"),(E21))))</formula>
    </cfRule>
  </conditionalFormatting>
  <conditionalFormatting sqref="E21">
    <cfRule type="containsText" dxfId="3" priority="7062" operator="containsText" text="관리">
      <formula>NOT(ISERROR(SEARCH(("관리"),(E21))))</formula>
    </cfRule>
  </conditionalFormatting>
  <conditionalFormatting sqref="E21">
    <cfRule type="containsText" dxfId="4" priority="7063" operator="containsText" text="등록">
      <formula>NOT(ISERROR(SEARCH(("등록"),(E21))))</formula>
    </cfRule>
  </conditionalFormatting>
  <conditionalFormatting sqref="E21">
    <cfRule type="containsText" dxfId="0" priority="7064" operator="containsText" text="거부">
      <formula>NOT(ISERROR(SEARCH(("거부"),(E21))))</formula>
    </cfRule>
  </conditionalFormatting>
  <conditionalFormatting sqref="E21">
    <cfRule type="containsText" dxfId="1" priority="7065" operator="containsText" text="리턴">
      <formula>NOT(ISERROR(SEARCH(("리턴"),(E21))))</formula>
    </cfRule>
  </conditionalFormatting>
  <conditionalFormatting sqref="E21">
    <cfRule type="containsText" dxfId="2" priority="7066" operator="containsText" text="실패">
      <formula>NOT(ISERROR(SEARCH(("실패"),(E21))))</formula>
    </cfRule>
  </conditionalFormatting>
  <conditionalFormatting sqref="E21">
    <cfRule type="containsText" dxfId="3" priority="7067" operator="containsText" text="관리">
      <formula>NOT(ISERROR(SEARCH(("관리"),(E21))))</formula>
    </cfRule>
  </conditionalFormatting>
  <conditionalFormatting sqref="E21">
    <cfRule type="containsText" dxfId="4" priority="7068" operator="containsText" text="등록">
      <formula>NOT(ISERROR(SEARCH(("등록"),(E21))))</formula>
    </cfRule>
  </conditionalFormatting>
  <conditionalFormatting sqref="E21">
    <cfRule type="containsText" dxfId="0" priority="7069" operator="containsText" text="거부">
      <formula>NOT(ISERROR(SEARCH(("거부"),(E21))))</formula>
    </cfRule>
  </conditionalFormatting>
  <conditionalFormatting sqref="E21">
    <cfRule type="containsText" dxfId="1" priority="7070" operator="containsText" text="리턴">
      <formula>NOT(ISERROR(SEARCH(("리턴"),(E21))))</formula>
    </cfRule>
  </conditionalFormatting>
  <conditionalFormatting sqref="E21">
    <cfRule type="containsText" dxfId="2" priority="7071" operator="containsText" text="실패">
      <formula>NOT(ISERROR(SEARCH(("실패"),(E21))))</formula>
    </cfRule>
  </conditionalFormatting>
  <conditionalFormatting sqref="E21">
    <cfRule type="containsText" dxfId="3" priority="7072" operator="containsText" text="관리">
      <formula>NOT(ISERROR(SEARCH(("관리"),(E21))))</formula>
    </cfRule>
  </conditionalFormatting>
  <conditionalFormatting sqref="E21">
    <cfRule type="containsText" dxfId="4" priority="7073" operator="containsText" text="등록">
      <formula>NOT(ISERROR(SEARCH(("등록"),(E21))))</formula>
    </cfRule>
  </conditionalFormatting>
  <conditionalFormatting sqref="E21">
    <cfRule type="containsText" dxfId="0" priority="7074" operator="containsText" text="거부">
      <formula>NOT(ISERROR(SEARCH(("거부"),(E21))))</formula>
    </cfRule>
  </conditionalFormatting>
  <conditionalFormatting sqref="E21">
    <cfRule type="containsText" dxfId="1" priority="7075" operator="containsText" text="리턴">
      <formula>NOT(ISERROR(SEARCH(("리턴"),(E21))))</formula>
    </cfRule>
  </conditionalFormatting>
  <conditionalFormatting sqref="E21">
    <cfRule type="containsText" dxfId="2" priority="7076" operator="containsText" text="실패">
      <formula>NOT(ISERROR(SEARCH(("실패"),(E21))))</formula>
    </cfRule>
  </conditionalFormatting>
  <conditionalFormatting sqref="E21">
    <cfRule type="containsText" dxfId="3" priority="7077" operator="containsText" text="관리">
      <formula>NOT(ISERROR(SEARCH(("관리"),(E21))))</formula>
    </cfRule>
  </conditionalFormatting>
  <conditionalFormatting sqref="E21">
    <cfRule type="containsText" dxfId="4" priority="7078" operator="containsText" text="등록">
      <formula>NOT(ISERROR(SEARCH(("등록"),(E21))))</formula>
    </cfRule>
  </conditionalFormatting>
  <conditionalFormatting sqref="D21">
    <cfRule type="containsText" dxfId="0" priority="7079" operator="containsText" text="거부">
      <formula>NOT(ISERROR(SEARCH(("거부"),(D21))))</formula>
    </cfRule>
  </conditionalFormatting>
  <conditionalFormatting sqref="D21">
    <cfRule type="containsText" dxfId="1" priority="7080" operator="containsText" text="리턴">
      <formula>NOT(ISERROR(SEARCH(("리턴"),(D21))))</formula>
    </cfRule>
  </conditionalFormatting>
  <conditionalFormatting sqref="D21">
    <cfRule type="containsText" dxfId="2" priority="7081" operator="containsText" text="실패">
      <formula>NOT(ISERROR(SEARCH(("실패"),(D21))))</formula>
    </cfRule>
  </conditionalFormatting>
  <conditionalFormatting sqref="D21">
    <cfRule type="containsText" dxfId="3" priority="7082" operator="containsText" text="관리">
      <formula>NOT(ISERROR(SEARCH(("관리"),(D21))))</formula>
    </cfRule>
  </conditionalFormatting>
  <conditionalFormatting sqref="D21">
    <cfRule type="containsText" dxfId="4" priority="7083" operator="containsText" text="등록">
      <formula>NOT(ISERROR(SEARCH(("등록"),(D21))))</formula>
    </cfRule>
  </conditionalFormatting>
  <conditionalFormatting sqref="D21">
    <cfRule type="containsText" dxfId="0" priority="7084" operator="containsText" text="거부">
      <formula>NOT(ISERROR(SEARCH(("거부"),(D21))))</formula>
    </cfRule>
  </conditionalFormatting>
  <conditionalFormatting sqref="D21">
    <cfRule type="containsText" dxfId="1" priority="7085" operator="containsText" text="리턴">
      <formula>NOT(ISERROR(SEARCH(("리턴"),(D21))))</formula>
    </cfRule>
  </conditionalFormatting>
  <conditionalFormatting sqref="D21">
    <cfRule type="containsText" dxfId="2" priority="7086" operator="containsText" text="실패">
      <formula>NOT(ISERROR(SEARCH(("실패"),(D21))))</formula>
    </cfRule>
  </conditionalFormatting>
  <conditionalFormatting sqref="D21">
    <cfRule type="containsText" dxfId="3" priority="7087" operator="containsText" text="관리">
      <formula>NOT(ISERROR(SEARCH(("관리"),(D21))))</formula>
    </cfRule>
  </conditionalFormatting>
  <conditionalFormatting sqref="D21">
    <cfRule type="containsText" dxfId="4" priority="7088" operator="containsText" text="등록">
      <formula>NOT(ISERROR(SEARCH(("등록"),(D21))))</formula>
    </cfRule>
  </conditionalFormatting>
  <conditionalFormatting sqref="D21">
    <cfRule type="containsText" dxfId="0" priority="7089" operator="containsText" text="거부">
      <formula>NOT(ISERROR(SEARCH(("거부"),(D21))))</formula>
    </cfRule>
  </conditionalFormatting>
  <conditionalFormatting sqref="D21">
    <cfRule type="containsText" dxfId="1" priority="7090" operator="containsText" text="리턴">
      <formula>NOT(ISERROR(SEARCH(("리턴"),(D21))))</formula>
    </cfRule>
  </conditionalFormatting>
  <conditionalFormatting sqref="D21">
    <cfRule type="containsText" dxfId="2" priority="7091" operator="containsText" text="실패">
      <formula>NOT(ISERROR(SEARCH(("실패"),(D21))))</formula>
    </cfRule>
  </conditionalFormatting>
  <conditionalFormatting sqref="D21">
    <cfRule type="containsText" dxfId="3" priority="7092" operator="containsText" text="관리">
      <formula>NOT(ISERROR(SEARCH(("관리"),(D21))))</formula>
    </cfRule>
  </conditionalFormatting>
  <conditionalFormatting sqref="D21">
    <cfRule type="containsText" dxfId="4" priority="7093" operator="containsText" text="등록">
      <formula>NOT(ISERROR(SEARCH(("등록"),(D21))))</formula>
    </cfRule>
  </conditionalFormatting>
  <conditionalFormatting sqref="D21">
    <cfRule type="containsText" dxfId="0" priority="7094" operator="containsText" text="거부">
      <formula>NOT(ISERROR(SEARCH(("거부"),(D21))))</formula>
    </cfRule>
  </conditionalFormatting>
  <conditionalFormatting sqref="D21">
    <cfRule type="containsText" dxfId="1" priority="7095" operator="containsText" text="리턴">
      <formula>NOT(ISERROR(SEARCH(("리턴"),(D21))))</formula>
    </cfRule>
  </conditionalFormatting>
  <conditionalFormatting sqref="D21">
    <cfRule type="containsText" dxfId="2" priority="7096" operator="containsText" text="실패">
      <formula>NOT(ISERROR(SEARCH(("실패"),(D21))))</formula>
    </cfRule>
  </conditionalFormatting>
  <conditionalFormatting sqref="D21">
    <cfRule type="containsText" dxfId="3" priority="7097" operator="containsText" text="관리">
      <formula>NOT(ISERROR(SEARCH(("관리"),(D21))))</formula>
    </cfRule>
  </conditionalFormatting>
  <conditionalFormatting sqref="D21">
    <cfRule type="containsText" dxfId="4" priority="7098" operator="containsText" text="등록">
      <formula>NOT(ISERROR(SEARCH(("등록"),(D21))))</formula>
    </cfRule>
  </conditionalFormatting>
  <conditionalFormatting sqref="E21">
    <cfRule type="containsText" dxfId="0" priority="7099" operator="containsText" text="거부">
      <formula>NOT(ISERROR(SEARCH(("거부"),(E21))))</formula>
    </cfRule>
  </conditionalFormatting>
  <conditionalFormatting sqref="E21">
    <cfRule type="containsText" dxfId="1" priority="7100" operator="containsText" text="리턴">
      <formula>NOT(ISERROR(SEARCH(("리턴"),(E21))))</formula>
    </cfRule>
  </conditionalFormatting>
  <conditionalFormatting sqref="E21">
    <cfRule type="containsText" dxfId="2" priority="7101" operator="containsText" text="실패">
      <formula>NOT(ISERROR(SEARCH(("실패"),(E21))))</formula>
    </cfRule>
  </conditionalFormatting>
  <conditionalFormatting sqref="E21">
    <cfRule type="containsText" dxfId="3" priority="7102" operator="containsText" text="관리">
      <formula>NOT(ISERROR(SEARCH(("관리"),(E21))))</formula>
    </cfRule>
  </conditionalFormatting>
  <conditionalFormatting sqref="E21">
    <cfRule type="containsText" dxfId="4" priority="7103" operator="containsText" text="등록">
      <formula>NOT(ISERROR(SEARCH(("등록"),(E21))))</formula>
    </cfRule>
  </conditionalFormatting>
  <conditionalFormatting sqref="E21">
    <cfRule type="containsText" dxfId="0" priority="7104" operator="containsText" text="거부">
      <formula>NOT(ISERROR(SEARCH(("거부"),(E21))))</formula>
    </cfRule>
  </conditionalFormatting>
  <conditionalFormatting sqref="E21">
    <cfRule type="containsText" dxfId="1" priority="7105" operator="containsText" text="리턴">
      <formula>NOT(ISERROR(SEARCH(("리턴"),(E21))))</formula>
    </cfRule>
  </conditionalFormatting>
  <conditionalFormatting sqref="E21">
    <cfRule type="containsText" dxfId="2" priority="7106" operator="containsText" text="실패">
      <formula>NOT(ISERROR(SEARCH(("실패"),(E21))))</formula>
    </cfRule>
  </conditionalFormatting>
  <conditionalFormatting sqref="E21">
    <cfRule type="containsText" dxfId="3" priority="7107" operator="containsText" text="관리">
      <formula>NOT(ISERROR(SEARCH(("관리"),(E21))))</formula>
    </cfRule>
  </conditionalFormatting>
  <conditionalFormatting sqref="E21">
    <cfRule type="containsText" dxfId="4" priority="7108" operator="containsText" text="등록">
      <formula>NOT(ISERROR(SEARCH(("등록"),(E21))))</formula>
    </cfRule>
  </conditionalFormatting>
  <conditionalFormatting sqref="E21">
    <cfRule type="containsText" dxfId="0" priority="7109" operator="containsText" text="거부">
      <formula>NOT(ISERROR(SEARCH(("거부"),(E21))))</formula>
    </cfRule>
  </conditionalFormatting>
  <conditionalFormatting sqref="E21">
    <cfRule type="containsText" dxfId="1" priority="7110" operator="containsText" text="리턴">
      <formula>NOT(ISERROR(SEARCH(("리턴"),(E21))))</formula>
    </cfRule>
  </conditionalFormatting>
  <conditionalFormatting sqref="E21">
    <cfRule type="containsText" dxfId="2" priority="7111" operator="containsText" text="실패">
      <formula>NOT(ISERROR(SEARCH(("실패"),(E21))))</formula>
    </cfRule>
  </conditionalFormatting>
  <conditionalFormatting sqref="E21">
    <cfRule type="containsText" dxfId="3" priority="7112" operator="containsText" text="관리">
      <formula>NOT(ISERROR(SEARCH(("관리"),(E21))))</formula>
    </cfRule>
  </conditionalFormatting>
  <conditionalFormatting sqref="E21">
    <cfRule type="containsText" dxfId="4" priority="7113" operator="containsText" text="등록">
      <formula>NOT(ISERROR(SEARCH(("등록"),(E21))))</formula>
    </cfRule>
  </conditionalFormatting>
  <conditionalFormatting sqref="E21">
    <cfRule type="containsText" dxfId="0" priority="7114" operator="containsText" text="거부">
      <formula>NOT(ISERROR(SEARCH(("거부"),(E21))))</formula>
    </cfRule>
  </conditionalFormatting>
  <conditionalFormatting sqref="E21">
    <cfRule type="containsText" dxfId="1" priority="7115" operator="containsText" text="리턴">
      <formula>NOT(ISERROR(SEARCH(("리턴"),(E21))))</formula>
    </cfRule>
  </conditionalFormatting>
  <conditionalFormatting sqref="E21">
    <cfRule type="containsText" dxfId="2" priority="7116" operator="containsText" text="실패">
      <formula>NOT(ISERROR(SEARCH(("실패"),(E21))))</formula>
    </cfRule>
  </conditionalFormatting>
  <conditionalFormatting sqref="E21">
    <cfRule type="containsText" dxfId="3" priority="7117" operator="containsText" text="관리">
      <formula>NOT(ISERROR(SEARCH(("관리"),(E21))))</formula>
    </cfRule>
  </conditionalFormatting>
  <conditionalFormatting sqref="E21">
    <cfRule type="containsText" dxfId="4" priority="7118" operator="containsText" text="등록">
      <formula>NOT(ISERROR(SEARCH(("등록"),(E21))))</formula>
    </cfRule>
  </conditionalFormatting>
  <conditionalFormatting sqref="G21">
    <cfRule type="containsText" dxfId="0" priority="7119" operator="containsText" text="거부">
      <formula>NOT(ISERROR(SEARCH(("거부"),(G21))))</formula>
    </cfRule>
  </conditionalFormatting>
  <conditionalFormatting sqref="G21">
    <cfRule type="containsText" dxfId="1" priority="7120" operator="containsText" text="리턴">
      <formula>NOT(ISERROR(SEARCH(("리턴"),(G21))))</formula>
    </cfRule>
  </conditionalFormatting>
  <conditionalFormatting sqref="G21">
    <cfRule type="containsText" dxfId="2" priority="7121" operator="containsText" text="실패">
      <formula>NOT(ISERROR(SEARCH(("실패"),(G21))))</formula>
    </cfRule>
  </conditionalFormatting>
  <conditionalFormatting sqref="G21">
    <cfRule type="containsText" dxfId="3" priority="7122" operator="containsText" text="관리">
      <formula>NOT(ISERROR(SEARCH(("관리"),(G21))))</formula>
    </cfRule>
  </conditionalFormatting>
  <conditionalFormatting sqref="G21">
    <cfRule type="containsText" dxfId="4" priority="7123" operator="containsText" text="등록">
      <formula>NOT(ISERROR(SEARCH(("등록"),(G21))))</formula>
    </cfRule>
  </conditionalFormatting>
  <conditionalFormatting sqref="J21">
    <cfRule type="containsText" dxfId="0" priority="7124" operator="containsText" text="거부">
      <formula>NOT(ISERROR(SEARCH(("거부"),(J21))))</formula>
    </cfRule>
  </conditionalFormatting>
  <conditionalFormatting sqref="J21">
    <cfRule type="containsText" dxfId="1" priority="7125" operator="containsText" text="리턴">
      <formula>NOT(ISERROR(SEARCH(("리턴"),(J21))))</formula>
    </cfRule>
  </conditionalFormatting>
  <conditionalFormatting sqref="J21">
    <cfRule type="containsText" dxfId="2" priority="7126" operator="containsText" text="실패">
      <formula>NOT(ISERROR(SEARCH(("실패"),(J21))))</formula>
    </cfRule>
  </conditionalFormatting>
  <conditionalFormatting sqref="J21">
    <cfRule type="containsText" dxfId="3" priority="7127" operator="containsText" text="관리">
      <formula>NOT(ISERROR(SEARCH(("관리"),(J21))))</formula>
    </cfRule>
  </conditionalFormatting>
  <conditionalFormatting sqref="J21">
    <cfRule type="containsText" dxfId="4" priority="7128" operator="containsText" text="등록">
      <formula>NOT(ISERROR(SEARCH(("등록"),(J21))))</formula>
    </cfRule>
  </conditionalFormatting>
  <conditionalFormatting sqref="J21">
    <cfRule type="containsText" dxfId="0" priority="7129" operator="containsText" text="거부">
      <formula>NOT(ISERROR(SEARCH(("거부"),(J21))))</formula>
    </cfRule>
  </conditionalFormatting>
  <conditionalFormatting sqref="J21">
    <cfRule type="containsText" dxfId="1" priority="7130" operator="containsText" text="리턴">
      <formula>NOT(ISERROR(SEARCH(("리턴"),(J21))))</formula>
    </cfRule>
  </conditionalFormatting>
  <conditionalFormatting sqref="J21">
    <cfRule type="containsText" dxfId="2" priority="7131" operator="containsText" text="실패">
      <formula>NOT(ISERROR(SEARCH(("실패"),(J21))))</formula>
    </cfRule>
  </conditionalFormatting>
  <conditionalFormatting sqref="J21">
    <cfRule type="containsText" dxfId="3" priority="7132" operator="containsText" text="관리">
      <formula>NOT(ISERROR(SEARCH(("관리"),(J21))))</formula>
    </cfRule>
  </conditionalFormatting>
  <conditionalFormatting sqref="J21">
    <cfRule type="containsText" dxfId="4" priority="7133" operator="containsText" text="등록">
      <formula>NOT(ISERROR(SEARCH(("등록"),(J21))))</formula>
    </cfRule>
  </conditionalFormatting>
  <conditionalFormatting sqref="J21">
    <cfRule type="containsText" dxfId="0" priority="7134" operator="containsText" text="거부">
      <formula>NOT(ISERROR(SEARCH(("거부"),(J21))))</formula>
    </cfRule>
  </conditionalFormatting>
  <conditionalFormatting sqref="J21">
    <cfRule type="containsText" dxfId="1" priority="7135" operator="containsText" text="리턴">
      <formula>NOT(ISERROR(SEARCH(("리턴"),(J21))))</formula>
    </cfRule>
  </conditionalFormatting>
  <conditionalFormatting sqref="J21">
    <cfRule type="containsText" dxfId="2" priority="7136" operator="containsText" text="실패">
      <formula>NOT(ISERROR(SEARCH(("실패"),(J21))))</formula>
    </cfRule>
  </conditionalFormatting>
  <conditionalFormatting sqref="J21">
    <cfRule type="containsText" dxfId="3" priority="7137" operator="containsText" text="관리">
      <formula>NOT(ISERROR(SEARCH(("관리"),(J21))))</formula>
    </cfRule>
  </conditionalFormatting>
  <conditionalFormatting sqref="J21">
    <cfRule type="containsText" dxfId="4" priority="7138" operator="containsText" text="등록">
      <formula>NOT(ISERROR(SEARCH(("등록"),(J21))))</formula>
    </cfRule>
  </conditionalFormatting>
  <conditionalFormatting sqref="J21">
    <cfRule type="containsText" dxfId="0" priority="7139" operator="containsText" text="거부">
      <formula>NOT(ISERROR(SEARCH(("거부"),(J21))))</formula>
    </cfRule>
  </conditionalFormatting>
  <conditionalFormatting sqref="J21">
    <cfRule type="containsText" dxfId="1" priority="7140" operator="containsText" text="리턴">
      <formula>NOT(ISERROR(SEARCH(("리턴"),(J21))))</formula>
    </cfRule>
  </conditionalFormatting>
  <conditionalFormatting sqref="J21">
    <cfRule type="containsText" dxfId="2" priority="7141" operator="containsText" text="실패">
      <formula>NOT(ISERROR(SEARCH(("실패"),(J21))))</formula>
    </cfRule>
  </conditionalFormatting>
  <conditionalFormatting sqref="J21">
    <cfRule type="containsText" dxfId="3" priority="7142" operator="containsText" text="관리">
      <formula>NOT(ISERROR(SEARCH(("관리"),(J21))))</formula>
    </cfRule>
  </conditionalFormatting>
  <conditionalFormatting sqref="J21">
    <cfRule type="containsText" dxfId="4" priority="7143" operator="containsText" text="등록">
      <formula>NOT(ISERROR(SEARCH(("등록"),(J21))))</formula>
    </cfRule>
  </conditionalFormatting>
  <conditionalFormatting sqref="J21">
    <cfRule type="containsText" dxfId="0" priority="7144" operator="containsText" text="거부">
      <formula>NOT(ISERROR(SEARCH(("거부"),(J21))))</formula>
    </cfRule>
  </conditionalFormatting>
  <conditionalFormatting sqref="J21">
    <cfRule type="containsText" dxfId="1" priority="7145" operator="containsText" text="리턴">
      <formula>NOT(ISERROR(SEARCH(("리턴"),(J21))))</formula>
    </cfRule>
  </conditionalFormatting>
  <conditionalFormatting sqref="J21">
    <cfRule type="containsText" dxfId="2" priority="7146" operator="containsText" text="실패">
      <formula>NOT(ISERROR(SEARCH(("실패"),(J21))))</formula>
    </cfRule>
  </conditionalFormatting>
  <conditionalFormatting sqref="J21">
    <cfRule type="containsText" dxfId="3" priority="7147" operator="containsText" text="관리">
      <formula>NOT(ISERROR(SEARCH(("관리"),(J21))))</formula>
    </cfRule>
  </conditionalFormatting>
  <conditionalFormatting sqref="J21">
    <cfRule type="containsText" dxfId="4" priority="7148" operator="containsText" text="등록">
      <formula>NOT(ISERROR(SEARCH(("등록"),(J21))))</formula>
    </cfRule>
  </conditionalFormatting>
  <conditionalFormatting sqref="J21">
    <cfRule type="containsText" dxfId="0" priority="7149" operator="containsText" text="거부">
      <formula>NOT(ISERROR(SEARCH(("거부"),(J21))))</formula>
    </cfRule>
  </conditionalFormatting>
  <conditionalFormatting sqref="J21">
    <cfRule type="containsText" dxfId="1" priority="7150" operator="containsText" text="리턴">
      <formula>NOT(ISERROR(SEARCH(("리턴"),(J21))))</formula>
    </cfRule>
  </conditionalFormatting>
  <conditionalFormatting sqref="J21">
    <cfRule type="containsText" dxfId="2" priority="7151" operator="containsText" text="실패">
      <formula>NOT(ISERROR(SEARCH(("실패"),(J21))))</formula>
    </cfRule>
  </conditionalFormatting>
  <conditionalFormatting sqref="J21">
    <cfRule type="containsText" dxfId="3" priority="7152" operator="containsText" text="관리">
      <formula>NOT(ISERROR(SEARCH(("관리"),(J21))))</formula>
    </cfRule>
  </conditionalFormatting>
  <conditionalFormatting sqref="J21">
    <cfRule type="containsText" dxfId="4" priority="7153" operator="containsText" text="등록">
      <formula>NOT(ISERROR(SEARCH(("등록"),(J21))))</formula>
    </cfRule>
  </conditionalFormatting>
  <conditionalFormatting sqref="J21">
    <cfRule type="containsText" dxfId="0" priority="7154" operator="containsText" text="거부">
      <formula>NOT(ISERROR(SEARCH(("거부"),(J21))))</formula>
    </cfRule>
  </conditionalFormatting>
  <conditionalFormatting sqref="J21">
    <cfRule type="containsText" dxfId="1" priority="7155" operator="containsText" text="리턴">
      <formula>NOT(ISERROR(SEARCH(("리턴"),(J21))))</formula>
    </cfRule>
  </conditionalFormatting>
  <conditionalFormatting sqref="J21">
    <cfRule type="containsText" dxfId="2" priority="7156" operator="containsText" text="실패">
      <formula>NOT(ISERROR(SEARCH(("실패"),(J21))))</formula>
    </cfRule>
  </conditionalFormatting>
  <conditionalFormatting sqref="J21">
    <cfRule type="containsText" dxfId="3" priority="7157" operator="containsText" text="관리">
      <formula>NOT(ISERROR(SEARCH(("관리"),(J21))))</formula>
    </cfRule>
  </conditionalFormatting>
  <conditionalFormatting sqref="J21">
    <cfRule type="containsText" dxfId="4" priority="7158" operator="containsText" text="등록">
      <formula>NOT(ISERROR(SEARCH(("등록"),(J21))))</formula>
    </cfRule>
  </conditionalFormatting>
  <conditionalFormatting sqref="J21">
    <cfRule type="containsText" dxfId="0" priority="7159" operator="containsText" text="거부">
      <formula>NOT(ISERROR(SEARCH(("거부"),(J21))))</formula>
    </cfRule>
  </conditionalFormatting>
  <conditionalFormatting sqref="J21">
    <cfRule type="containsText" dxfId="1" priority="7160" operator="containsText" text="리턴">
      <formula>NOT(ISERROR(SEARCH(("리턴"),(J21))))</formula>
    </cfRule>
  </conditionalFormatting>
  <conditionalFormatting sqref="J21">
    <cfRule type="containsText" dxfId="2" priority="7161" operator="containsText" text="실패">
      <formula>NOT(ISERROR(SEARCH(("실패"),(J21))))</formula>
    </cfRule>
  </conditionalFormatting>
  <conditionalFormatting sqref="J21">
    <cfRule type="containsText" dxfId="3" priority="7162" operator="containsText" text="관리">
      <formula>NOT(ISERROR(SEARCH(("관리"),(J21))))</formula>
    </cfRule>
  </conditionalFormatting>
  <conditionalFormatting sqref="J21">
    <cfRule type="containsText" dxfId="4" priority="7163" operator="containsText" text="등록">
      <formula>NOT(ISERROR(SEARCH(("등록"),(J21))))</formula>
    </cfRule>
  </conditionalFormatting>
  <conditionalFormatting sqref="J21">
    <cfRule type="containsText" dxfId="0" priority="7164" operator="containsText" text="거부">
      <formula>NOT(ISERROR(SEARCH(("거부"),(J21))))</formula>
    </cfRule>
  </conditionalFormatting>
  <conditionalFormatting sqref="J21">
    <cfRule type="containsText" dxfId="1" priority="7165" operator="containsText" text="리턴">
      <formula>NOT(ISERROR(SEARCH(("리턴"),(J21))))</formula>
    </cfRule>
  </conditionalFormatting>
  <conditionalFormatting sqref="J21">
    <cfRule type="containsText" dxfId="2" priority="7166" operator="containsText" text="실패">
      <formula>NOT(ISERROR(SEARCH(("실패"),(J21))))</formula>
    </cfRule>
  </conditionalFormatting>
  <conditionalFormatting sqref="J21">
    <cfRule type="containsText" dxfId="3" priority="7167" operator="containsText" text="관리">
      <formula>NOT(ISERROR(SEARCH(("관리"),(J21))))</formula>
    </cfRule>
  </conditionalFormatting>
  <conditionalFormatting sqref="J21">
    <cfRule type="containsText" dxfId="4" priority="7168" operator="containsText" text="등록">
      <formula>NOT(ISERROR(SEARCH(("등록"),(J21))))</formula>
    </cfRule>
  </conditionalFormatting>
  <conditionalFormatting sqref="A21">
    <cfRule type="containsText" dxfId="0" priority="7169" operator="containsText" text="거부">
      <formula>NOT(ISERROR(SEARCH(("거부"),(A21))))</formula>
    </cfRule>
  </conditionalFormatting>
  <conditionalFormatting sqref="A21">
    <cfRule type="containsText" dxfId="1" priority="7170" operator="containsText" text="리턴">
      <formula>NOT(ISERROR(SEARCH(("리턴"),(A21))))</formula>
    </cfRule>
  </conditionalFormatting>
  <conditionalFormatting sqref="A21">
    <cfRule type="containsText" dxfId="2" priority="7171" operator="containsText" text="실패">
      <formula>NOT(ISERROR(SEARCH(("실패"),(A21))))</formula>
    </cfRule>
  </conditionalFormatting>
  <conditionalFormatting sqref="A21">
    <cfRule type="containsText" dxfId="3" priority="7172" operator="containsText" text="관리">
      <formula>NOT(ISERROR(SEARCH(("관리"),(A21))))</formula>
    </cfRule>
  </conditionalFormatting>
  <conditionalFormatting sqref="A21">
    <cfRule type="containsText" dxfId="4" priority="7173" operator="containsText" text="등록">
      <formula>NOT(ISERROR(SEARCH(("등록"),(A21))))</formula>
    </cfRule>
  </conditionalFormatting>
  <conditionalFormatting sqref="A21">
    <cfRule type="containsText" dxfId="0" priority="7174" operator="containsText" text="거부">
      <formula>NOT(ISERROR(SEARCH(("거부"),(A21))))</formula>
    </cfRule>
  </conditionalFormatting>
  <conditionalFormatting sqref="A21">
    <cfRule type="containsText" dxfId="1" priority="7175" operator="containsText" text="리턴">
      <formula>NOT(ISERROR(SEARCH(("리턴"),(A21))))</formula>
    </cfRule>
  </conditionalFormatting>
  <conditionalFormatting sqref="A21">
    <cfRule type="containsText" dxfId="2" priority="7176" operator="containsText" text="실패">
      <formula>NOT(ISERROR(SEARCH(("실패"),(A21))))</formula>
    </cfRule>
  </conditionalFormatting>
  <conditionalFormatting sqref="A21">
    <cfRule type="containsText" dxfId="3" priority="7177" operator="containsText" text="관리">
      <formula>NOT(ISERROR(SEARCH(("관리"),(A21))))</formula>
    </cfRule>
  </conditionalFormatting>
  <conditionalFormatting sqref="A21">
    <cfRule type="containsText" dxfId="4" priority="7178" operator="containsText" text="등록">
      <formula>NOT(ISERROR(SEARCH(("등록"),(A21))))</formula>
    </cfRule>
  </conditionalFormatting>
  <conditionalFormatting sqref="A21">
    <cfRule type="containsText" dxfId="0" priority="7179" operator="containsText" text="거부">
      <formula>NOT(ISERROR(SEARCH(("거부"),(A21))))</formula>
    </cfRule>
  </conditionalFormatting>
  <conditionalFormatting sqref="A21">
    <cfRule type="containsText" dxfId="1" priority="7180" operator="containsText" text="리턴">
      <formula>NOT(ISERROR(SEARCH(("리턴"),(A21))))</formula>
    </cfRule>
  </conditionalFormatting>
  <conditionalFormatting sqref="A21">
    <cfRule type="containsText" dxfId="2" priority="7181" operator="containsText" text="실패">
      <formula>NOT(ISERROR(SEARCH(("실패"),(A21))))</formula>
    </cfRule>
  </conditionalFormatting>
  <conditionalFormatting sqref="A21">
    <cfRule type="containsText" dxfId="3" priority="7182" operator="containsText" text="관리">
      <formula>NOT(ISERROR(SEARCH(("관리"),(A21))))</formula>
    </cfRule>
  </conditionalFormatting>
  <conditionalFormatting sqref="A21">
    <cfRule type="containsText" dxfId="4" priority="7183" operator="containsText" text="등록">
      <formula>NOT(ISERROR(SEARCH(("등록"),(A21))))</formula>
    </cfRule>
  </conditionalFormatting>
  <conditionalFormatting sqref="A21">
    <cfRule type="containsText" dxfId="0" priority="7184" operator="containsText" text="거부">
      <formula>NOT(ISERROR(SEARCH(("거부"),(A21))))</formula>
    </cfRule>
  </conditionalFormatting>
  <conditionalFormatting sqref="A21">
    <cfRule type="containsText" dxfId="1" priority="7185" operator="containsText" text="리턴">
      <formula>NOT(ISERROR(SEARCH(("리턴"),(A21))))</formula>
    </cfRule>
  </conditionalFormatting>
  <conditionalFormatting sqref="A21">
    <cfRule type="containsText" dxfId="2" priority="7186" operator="containsText" text="실패">
      <formula>NOT(ISERROR(SEARCH(("실패"),(A21))))</formula>
    </cfRule>
  </conditionalFormatting>
  <conditionalFormatting sqref="A21">
    <cfRule type="containsText" dxfId="3" priority="7187" operator="containsText" text="관리">
      <formula>NOT(ISERROR(SEARCH(("관리"),(A21))))</formula>
    </cfRule>
  </conditionalFormatting>
  <conditionalFormatting sqref="A21">
    <cfRule type="containsText" dxfId="4" priority="7188" operator="containsText" text="등록">
      <formula>NOT(ISERROR(SEARCH(("등록"),(A21))))</formula>
    </cfRule>
  </conditionalFormatting>
  <conditionalFormatting sqref="A21">
    <cfRule type="containsText" dxfId="0" priority="7189" operator="containsText" text="거부">
      <formula>NOT(ISERROR(SEARCH(("거부"),(A21))))</formula>
    </cfRule>
  </conditionalFormatting>
  <conditionalFormatting sqref="A21">
    <cfRule type="containsText" dxfId="1" priority="7190" operator="containsText" text="리턴">
      <formula>NOT(ISERROR(SEARCH(("리턴"),(A21))))</formula>
    </cfRule>
  </conditionalFormatting>
  <conditionalFormatting sqref="A21">
    <cfRule type="containsText" dxfId="2" priority="7191" operator="containsText" text="실패">
      <formula>NOT(ISERROR(SEARCH(("실패"),(A21))))</formula>
    </cfRule>
  </conditionalFormatting>
  <conditionalFormatting sqref="A21">
    <cfRule type="containsText" dxfId="3" priority="7192" operator="containsText" text="관리">
      <formula>NOT(ISERROR(SEARCH(("관리"),(A21))))</formula>
    </cfRule>
  </conditionalFormatting>
  <conditionalFormatting sqref="A21">
    <cfRule type="containsText" dxfId="4" priority="7193" operator="containsText" text="등록">
      <formula>NOT(ISERROR(SEARCH(("등록"),(A21))))</formula>
    </cfRule>
  </conditionalFormatting>
  <conditionalFormatting sqref="A21">
    <cfRule type="containsText" dxfId="0" priority="7194" operator="containsText" text="거부">
      <formula>NOT(ISERROR(SEARCH(("거부"),(A21))))</formula>
    </cfRule>
  </conditionalFormatting>
  <conditionalFormatting sqref="A21">
    <cfRule type="containsText" dxfId="1" priority="7195" operator="containsText" text="리턴">
      <formula>NOT(ISERROR(SEARCH(("리턴"),(A21))))</formula>
    </cfRule>
  </conditionalFormatting>
  <conditionalFormatting sqref="A21">
    <cfRule type="containsText" dxfId="2" priority="7196" operator="containsText" text="실패">
      <formula>NOT(ISERROR(SEARCH(("실패"),(A21))))</formula>
    </cfRule>
  </conditionalFormatting>
  <conditionalFormatting sqref="A21">
    <cfRule type="containsText" dxfId="3" priority="7197" operator="containsText" text="관리">
      <formula>NOT(ISERROR(SEARCH(("관리"),(A21))))</formula>
    </cfRule>
  </conditionalFormatting>
  <conditionalFormatting sqref="A21">
    <cfRule type="containsText" dxfId="4" priority="7198" operator="containsText" text="등록">
      <formula>NOT(ISERROR(SEARCH(("등록"),(A21))))</formula>
    </cfRule>
  </conditionalFormatting>
  <conditionalFormatting sqref="A21">
    <cfRule type="containsText" dxfId="0" priority="7199" operator="containsText" text="거부">
      <formula>NOT(ISERROR(SEARCH(("거부"),(A21))))</formula>
    </cfRule>
  </conditionalFormatting>
  <conditionalFormatting sqref="A21">
    <cfRule type="containsText" dxfId="1" priority="7200" operator="containsText" text="리턴">
      <formula>NOT(ISERROR(SEARCH(("리턴"),(A21))))</formula>
    </cfRule>
  </conditionalFormatting>
  <conditionalFormatting sqref="A21">
    <cfRule type="containsText" dxfId="2" priority="7201" operator="containsText" text="실패">
      <formula>NOT(ISERROR(SEARCH(("실패"),(A21))))</formula>
    </cfRule>
  </conditionalFormatting>
  <conditionalFormatting sqref="A21">
    <cfRule type="containsText" dxfId="3" priority="7202" operator="containsText" text="관리">
      <formula>NOT(ISERROR(SEARCH(("관리"),(A21))))</formula>
    </cfRule>
  </conditionalFormatting>
  <conditionalFormatting sqref="A21">
    <cfRule type="containsText" dxfId="4" priority="7203" operator="containsText" text="등록">
      <formula>NOT(ISERROR(SEARCH(("등록"),(A21))))</formula>
    </cfRule>
  </conditionalFormatting>
  <conditionalFormatting sqref="A21">
    <cfRule type="containsText" dxfId="0" priority="7204" operator="containsText" text="거부">
      <formula>NOT(ISERROR(SEARCH(("거부"),(A21))))</formula>
    </cfRule>
  </conditionalFormatting>
  <conditionalFormatting sqref="A21">
    <cfRule type="containsText" dxfId="1" priority="7205" operator="containsText" text="리턴">
      <formula>NOT(ISERROR(SEARCH(("리턴"),(A21))))</formula>
    </cfRule>
  </conditionalFormatting>
  <conditionalFormatting sqref="A21">
    <cfRule type="containsText" dxfId="2" priority="7206" operator="containsText" text="실패">
      <formula>NOT(ISERROR(SEARCH(("실패"),(A21))))</formula>
    </cfRule>
  </conditionalFormatting>
  <conditionalFormatting sqref="A21">
    <cfRule type="containsText" dxfId="3" priority="7207" operator="containsText" text="관리">
      <formula>NOT(ISERROR(SEARCH(("관리"),(A21))))</formula>
    </cfRule>
  </conditionalFormatting>
  <conditionalFormatting sqref="A21">
    <cfRule type="containsText" dxfId="4" priority="7208" operator="containsText" text="등록">
      <formula>NOT(ISERROR(SEARCH(("등록"),(A21))))</formula>
    </cfRule>
  </conditionalFormatting>
  <conditionalFormatting sqref="A21">
    <cfRule type="containsText" dxfId="0" priority="7209" operator="containsText" text="거부">
      <formula>NOT(ISERROR(SEARCH(("거부"),(A21))))</formula>
    </cfRule>
  </conditionalFormatting>
  <conditionalFormatting sqref="A21">
    <cfRule type="containsText" dxfId="1" priority="7210" operator="containsText" text="리턴">
      <formula>NOT(ISERROR(SEARCH(("리턴"),(A21))))</formula>
    </cfRule>
  </conditionalFormatting>
  <conditionalFormatting sqref="A21">
    <cfRule type="containsText" dxfId="2" priority="7211" operator="containsText" text="실패">
      <formula>NOT(ISERROR(SEARCH(("실패"),(A21))))</formula>
    </cfRule>
  </conditionalFormatting>
  <conditionalFormatting sqref="A21">
    <cfRule type="containsText" dxfId="3" priority="7212" operator="containsText" text="관리">
      <formula>NOT(ISERROR(SEARCH(("관리"),(A21))))</formula>
    </cfRule>
  </conditionalFormatting>
  <conditionalFormatting sqref="A21">
    <cfRule type="containsText" dxfId="4" priority="7213" operator="containsText" text="등록">
      <formula>NOT(ISERROR(SEARCH(("등록"),(A21))))</formula>
    </cfRule>
  </conditionalFormatting>
  <conditionalFormatting sqref="A21">
    <cfRule type="containsText" dxfId="0" priority="7214" operator="containsText" text="거부">
      <formula>NOT(ISERROR(SEARCH(("거부"),(A21))))</formula>
    </cfRule>
  </conditionalFormatting>
  <conditionalFormatting sqref="A21">
    <cfRule type="containsText" dxfId="1" priority="7215" operator="containsText" text="리턴">
      <formula>NOT(ISERROR(SEARCH(("리턴"),(A21))))</formula>
    </cfRule>
  </conditionalFormatting>
  <conditionalFormatting sqref="A21">
    <cfRule type="containsText" dxfId="2" priority="7216" operator="containsText" text="실패">
      <formula>NOT(ISERROR(SEARCH(("실패"),(A21))))</formula>
    </cfRule>
  </conditionalFormatting>
  <conditionalFormatting sqref="A21">
    <cfRule type="containsText" dxfId="3" priority="7217" operator="containsText" text="관리">
      <formula>NOT(ISERROR(SEARCH(("관리"),(A21))))</formula>
    </cfRule>
  </conditionalFormatting>
  <conditionalFormatting sqref="A21">
    <cfRule type="containsText" dxfId="4" priority="7218" operator="containsText" text="등록">
      <formula>NOT(ISERROR(SEARCH(("등록"),(A21))))</formula>
    </cfRule>
  </conditionalFormatting>
  <conditionalFormatting sqref="A21">
    <cfRule type="containsText" dxfId="0" priority="7219" operator="containsText" text="거부">
      <formula>NOT(ISERROR(SEARCH(("거부"),(A21))))</formula>
    </cfRule>
  </conditionalFormatting>
  <conditionalFormatting sqref="A21">
    <cfRule type="containsText" dxfId="1" priority="7220" operator="containsText" text="리턴">
      <formula>NOT(ISERROR(SEARCH(("리턴"),(A21))))</formula>
    </cfRule>
  </conditionalFormatting>
  <conditionalFormatting sqref="A21">
    <cfRule type="containsText" dxfId="2" priority="7221" operator="containsText" text="실패">
      <formula>NOT(ISERROR(SEARCH(("실패"),(A21))))</formula>
    </cfRule>
  </conditionalFormatting>
  <conditionalFormatting sqref="A21">
    <cfRule type="containsText" dxfId="3" priority="7222" operator="containsText" text="관리">
      <formula>NOT(ISERROR(SEARCH(("관리"),(A21))))</formula>
    </cfRule>
  </conditionalFormatting>
  <conditionalFormatting sqref="A21">
    <cfRule type="containsText" dxfId="4" priority="7223" operator="containsText" text="등록">
      <formula>NOT(ISERROR(SEARCH(("등록"),(A21))))</formula>
    </cfRule>
  </conditionalFormatting>
  <conditionalFormatting sqref="A21">
    <cfRule type="containsText" dxfId="0" priority="7224" operator="containsText" text="거부">
      <formula>NOT(ISERROR(SEARCH(("거부"),(A21))))</formula>
    </cfRule>
  </conditionalFormatting>
  <conditionalFormatting sqref="A21">
    <cfRule type="containsText" dxfId="1" priority="7225" operator="containsText" text="리턴">
      <formula>NOT(ISERROR(SEARCH(("리턴"),(A21))))</formula>
    </cfRule>
  </conditionalFormatting>
  <conditionalFormatting sqref="A21">
    <cfRule type="containsText" dxfId="2" priority="7226" operator="containsText" text="실패">
      <formula>NOT(ISERROR(SEARCH(("실패"),(A21))))</formula>
    </cfRule>
  </conditionalFormatting>
  <conditionalFormatting sqref="A21">
    <cfRule type="containsText" dxfId="3" priority="7227" operator="containsText" text="관리">
      <formula>NOT(ISERROR(SEARCH(("관리"),(A21))))</formula>
    </cfRule>
  </conditionalFormatting>
  <conditionalFormatting sqref="A21">
    <cfRule type="containsText" dxfId="4" priority="7228" operator="containsText" text="등록">
      <formula>NOT(ISERROR(SEARCH(("등록"),(A21))))</formula>
    </cfRule>
  </conditionalFormatting>
  <conditionalFormatting sqref="A21">
    <cfRule type="containsText" dxfId="0" priority="7229" operator="containsText" text="거부">
      <formula>NOT(ISERROR(SEARCH(("거부"),(A21))))</formula>
    </cfRule>
  </conditionalFormatting>
  <conditionalFormatting sqref="A21">
    <cfRule type="containsText" dxfId="1" priority="7230" operator="containsText" text="리턴">
      <formula>NOT(ISERROR(SEARCH(("리턴"),(A21))))</formula>
    </cfRule>
  </conditionalFormatting>
  <conditionalFormatting sqref="A21">
    <cfRule type="containsText" dxfId="2" priority="7231" operator="containsText" text="실패">
      <formula>NOT(ISERROR(SEARCH(("실패"),(A21))))</formula>
    </cfRule>
  </conditionalFormatting>
  <conditionalFormatting sqref="A21">
    <cfRule type="containsText" dxfId="3" priority="7232" operator="containsText" text="관리">
      <formula>NOT(ISERROR(SEARCH(("관리"),(A21))))</formula>
    </cfRule>
  </conditionalFormatting>
  <conditionalFormatting sqref="A21">
    <cfRule type="containsText" dxfId="4" priority="7233" operator="containsText" text="등록">
      <formula>NOT(ISERROR(SEARCH(("등록"),(A21))))</formula>
    </cfRule>
  </conditionalFormatting>
  <conditionalFormatting sqref="A21">
    <cfRule type="containsText" dxfId="0" priority="7234" operator="containsText" text="거부">
      <formula>NOT(ISERROR(SEARCH(("거부"),(A21))))</formula>
    </cfRule>
  </conditionalFormatting>
  <conditionalFormatting sqref="A21">
    <cfRule type="containsText" dxfId="1" priority="7235" operator="containsText" text="리턴">
      <formula>NOT(ISERROR(SEARCH(("리턴"),(A21))))</formula>
    </cfRule>
  </conditionalFormatting>
  <conditionalFormatting sqref="A21">
    <cfRule type="containsText" dxfId="2" priority="7236" operator="containsText" text="실패">
      <formula>NOT(ISERROR(SEARCH(("실패"),(A21))))</formula>
    </cfRule>
  </conditionalFormatting>
  <conditionalFormatting sqref="A21">
    <cfRule type="containsText" dxfId="3" priority="7237" operator="containsText" text="관리">
      <formula>NOT(ISERROR(SEARCH(("관리"),(A21))))</formula>
    </cfRule>
  </conditionalFormatting>
  <conditionalFormatting sqref="A21">
    <cfRule type="containsText" dxfId="4" priority="7238" operator="containsText" text="등록">
      <formula>NOT(ISERROR(SEARCH(("등록"),(A21))))</formula>
    </cfRule>
  </conditionalFormatting>
  <conditionalFormatting sqref="A21">
    <cfRule type="containsText" dxfId="0" priority="7239" operator="containsText" text="거부">
      <formula>NOT(ISERROR(SEARCH(("거부"),(A21))))</formula>
    </cfRule>
  </conditionalFormatting>
  <conditionalFormatting sqref="A21">
    <cfRule type="containsText" dxfId="1" priority="7240" operator="containsText" text="리턴">
      <formula>NOT(ISERROR(SEARCH(("리턴"),(A21))))</formula>
    </cfRule>
  </conditionalFormatting>
  <conditionalFormatting sqref="A21">
    <cfRule type="containsText" dxfId="2" priority="7241" operator="containsText" text="실패">
      <formula>NOT(ISERROR(SEARCH(("실패"),(A21))))</formula>
    </cfRule>
  </conditionalFormatting>
  <conditionalFormatting sqref="A21">
    <cfRule type="containsText" dxfId="3" priority="7242" operator="containsText" text="관리">
      <formula>NOT(ISERROR(SEARCH(("관리"),(A21))))</formula>
    </cfRule>
  </conditionalFormatting>
  <conditionalFormatting sqref="A21">
    <cfRule type="containsText" dxfId="4" priority="7243" operator="containsText" text="등록">
      <formula>NOT(ISERROR(SEARCH(("등록"),(A21))))</formula>
    </cfRule>
  </conditionalFormatting>
  <conditionalFormatting sqref="A21">
    <cfRule type="containsText" dxfId="0" priority="7244" operator="containsText" text="거부">
      <formula>NOT(ISERROR(SEARCH(("거부"),(A21))))</formula>
    </cfRule>
  </conditionalFormatting>
  <conditionalFormatting sqref="A21">
    <cfRule type="containsText" dxfId="1" priority="7245" operator="containsText" text="리턴">
      <formula>NOT(ISERROR(SEARCH(("리턴"),(A21))))</formula>
    </cfRule>
  </conditionalFormatting>
  <conditionalFormatting sqref="A21">
    <cfRule type="containsText" dxfId="2" priority="7246" operator="containsText" text="실패">
      <formula>NOT(ISERROR(SEARCH(("실패"),(A21))))</formula>
    </cfRule>
  </conditionalFormatting>
  <conditionalFormatting sqref="A21">
    <cfRule type="containsText" dxfId="3" priority="7247" operator="containsText" text="관리">
      <formula>NOT(ISERROR(SEARCH(("관리"),(A21))))</formula>
    </cfRule>
  </conditionalFormatting>
  <conditionalFormatting sqref="A21">
    <cfRule type="containsText" dxfId="4" priority="7248" operator="containsText" text="등록">
      <formula>NOT(ISERROR(SEARCH(("등록"),(A21))))</formula>
    </cfRule>
  </conditionalFormatting>
  <conditionalFormatting sqref="A23">
    <cfRule type="containsText" dxfId="0" priority="7249" operator="containsText" text="거부">
      <formula>NOT(ISERROR(SEARCH(("거부"),(A23))))</formula>
    </cfRule>
  </conditionalFormatting>
  <conditionalFormatting sqref="A23">
    <cfRule type="containsText" dxfId="1" priority="7250" operator="containsText" text="리턴">
      <formula>NOT(ISERROR(SEARCH(("리턴"),(A23))))</formula>
    </cfRule>
  </conditionalFormatting>
  <conditionalFormatting sqref="A23">
    <cfRule type="containsText" dxfId="2" priority="7251" operator="containsText" text="실패">
      <formula>NOT(ISERROR(SEARCH(("실패"),(A23))))</formula>
    </cfRule>
  </conditionalFormatting>
  <conditionalFormatting sqref="A23">
    <cfRule type="containsText" dxfId="3" priority="7252" operator="containsText" text="관리">
      <formula>NOT(ISERROR(SEARCH(("관리"),(A23))))</formula>
    </cfRule>
  </conditionalFormatting>
  <conditionalFormatting sqref="A23">
    <cfRule type="containsText" dxfId="4" priority="7253" operator="containsText" text="등록">
      <formula>NOT(ISERROR(SEARCH(("등록"),(A23))))</formula>
    </cfRule>
  </conditionalFormatting>
  <conditionalFormatting sqref="A23">
    <cfRule type="containsText" dxfId="0" priority="7254" operator="containsText" text="거부">
      <formula>NOT(ISERROR(SEARCH(("거부"),(A23))))</formula>
    </cfRule>
  </conditionalFormatting>
  <conditionalFormatting sqref="A23">
    <cfRule type="containsText" dxfId="1" priority="7255" operator="containsText" text="리턴">
      <formula>NOT(ISERROR(SEARCH(("리턴"),(A23))))</formula>
    </cfRule>
  </conditionalFormatting>
  <conditionalFormatting sqref="A23">
    <cfRule type="containsText" dxfId="2" priority="7256" operator="containsText" text="실패">
      <formula>NOT(ISERROR(SEARCH(("실패"),(A23))))</formula>
    </cfRule>
  </conditionalFormatting>
  <conditionalFormatting sqref="A23">
    <cfRule type="containsText" dxfId="3" priority="7257" operator="containsText" text="관리">
      <formula>NOT(ISERROR(SEARCH(("관리"),(A23))))</formula>
    </cfRule>
  </conditionalFormatting>
  <conditionalFormatting sqref="A23">
    <cfRule type="containsText" dxfId="4" priority="7258" operator="containsText" text="등록">
      <formula>NOT(ISERROR(SEARCH(("등록"),(A23))))</formula>
    </cfRule>
  </conditionalFormatting>
  <conditionalFormatting sqref="A23">
    <cfRule type="containsText" dxfId="0" priority="7259" operator="containsText" text="거부">
      <formula>NOT(ISERROR(SEARCH(("거부"),(A23))))</formula>
    </cfRule>
  </conditionalFormatting>
  <conditionalFormatting sqref="A23">
    <cfRule type="containsText" dxfId="1" priority="7260" operator="containsText" text="리턴">
      <formula>NOT(ISERROR(SEARCH(("리턴"),(A23))))</formula>
    </cfRule>
  </conditionalFormatting>
  <conditionalFormatting sqref="A23">
    <cfRule type="containsText" dxfId="2" priority="7261" operator="containsText" text="실패">
      <formula>NOT(ISERROR(SEARCH(("실패"),(A23))))</formula>
    </cfRule>
  </conditionalFormatting>
  <conditionalFormatting sqref="A23">
    <cfRule type="containsText" dxfId="3" priority="7262" operator="containsText" text="관리">
      <formula>NOT(ISERROR(SEARCH(("관리"),(A23))))</formula>
    </cfRule>
  </conditionalFormatting>
  <conditionalFormatting sqref="A23">
    <cfRule type="containsText" dxfId="4" priority="7263" operator="containsText" text="등록">
      <formula>NOT(ISERROR(SEARCH(("등록"),(A23))))</formula>
    </cfRule>
  </conditionalFormatting>
  <conditionalFormatting sqref="A23">
    <cfRule type="containsText" dxfId="0" priority="7264" operator="containsText" text="거부">
      <formula>NOT(ISERROR(SEARCH(("거부"),(A23))))</formula>
    </cfRule>
  </conditionalFormatting>
  <conditionalFormatting sqref="A23">
    <cfRule type="containsText" dxfId="1" priority="7265" operator="containsText" text="리턴">
      <formula>NOT(ISERROR(SEARCH(("리턴"),(A23))))</formula>
    </cfRule>
  </conditionalFormatting>
  <conditionalFormatting sqref="A23">
    <cfRule type="containsText" dxfId="2" priority="7266" operator="containsText" text="실패">
      <formula>NOT(ISERROR(SEARCH(("실패"),(A23))))</formula>
    </cfRule>
  </conditionalFormatting>
  <conditionalFormatting sqref="A23">
    <cfRule type="containsText" dxfId="3" priority="7267" operator="containsText" text="관리">
      <formula>NOT(ISERROR(SEARCH(("관리"),(A23))))</formula>
    </cfRule>
  </conditionalFormatting>
  <conditionalFormatting sqref="A23">
    <cfRule type="containsText" dxfId="4" priority="7268" operator="containsText" text="등록">
      <formula>NOT(ISERROR(SEARCH(("등록"),(A23))))</formula>
    </cfRule>
  </conditionalFormatting>
  <conditionalFormatting sqref="A23">
    <cfRule type="containsText" dxfId="0" priority="7269" operator="containsText" text="거부">
      <formula>NOT(ISERROR(SEARCH(("거부"),(A23))))</formula>
    </cfRule>
  </conditionalFormatting>
  <conditionalFormatting sqref="A23">
    <cfRule type="containsText" dxfId="1" priority="7270" operator="containsText" text="리턴">
      <formula>NOT(ISERROR(SEARCH(("리턴"),(A23))))</formula>
    </cfRule>
  </conditionalFormatting>
  <conditionalFormatting sqref="A23">
    <cfRule type="containsText" dxfId="2" priority="7271" operator="containsText" text="실패">
      <formula>NOT(ISERROR(SEARCH(("실패"),(A23))))</formula>
    </cfRule>
  </conditionalFormatting>
  <conditionalFormatting sqref="A23">
    <cfRule type="containsText" dxfId="3" priority="7272" operator="containsText" text="관리">
      <formula>NOT(ISERROR(SEARCH(("관리"),(A23))))</formula>
    </cfRule>
  </conditionalFormatting>
  <conditionalFormatting sqref="A23">
    <cfRule type="containsText" dxfId="4" priority="7273" operator="containsText" text="등록">
      <formula>NOT(ISERROR(SEARCH(("등록"),(A23))))</formula>
    </cfRule>
  </conditionalFormatting>
  <conditionalFormatting sqref="A23">
    <cfRule type="containsText" dxfId="0" priority="7274" operator="containsText" text="거부">
      <formula>NOT(ISERROR(SEARCH(("거부"),(A23))))</formula>
    </cfRule>
  </conditionalFormatting>
  <conditionalFormatting sqref="A23">
    <cfRule type="containsText" dxfId="1" priority="7275" operator="containsText" text="리턴">
      <formula>NOT(ISERROR(SEARCH(("리턴"),(A23))))</formula>
    </cfRule>
  </conditionalFormatting>
  <conditionalFormatting sqref="A23">
    <cfRule type="containsText" dxfId="2" priority="7276" operator="containsText" text="실패">
      <formula>NOT(ISERROR(SEARCH(("실패"),(A23))))</formula>
    </cfRule>
  </conditionalFormatting>
  <conditionalFormatting sqref="A23">
    <cfRule type="containsText" dxfId="3" priority="7277" operator="containsText" text="관리">
      <formula>NOT(ISERROR(SEARCH(("관리"),(A23))))</formula>
    </cfRule>
  </conditionalFormatting>
  <conditionalFormatting sqref="A23">
    <cfRule type="containsText" dxfId="4" priority="7278" operator="containsText" text="등록">
      <formula>NOT(ISERROR(SEARCH(("등록"),(A23))))</formula>
    </cfRule>
  </conditionalFormatting>
  <conditionalFormatting sqref="A23">
    <cfRule type="containsText" dxfId="0" priority="7279" operator="containsText" text="거부">
      <formula>NOT(ISERROR(SEARCH(("거부"),(A23))))</formula>
    </cfRule>
  </conditionalFormatting>
  <conditionalFormatting sqref="A23">
    <cfRule type="containsText" dxfId="1" priority="7280" operator="containsText" text="리턴">
      <formula>NOT(ISERROR(SEARCH(("리턴"),(A23))))</formula>
    </cfRule>
  </conditionalFormatting>
  <conditionalFormatting sqref="A23">
    <cfRule type="containsText" dxfId="2" priority="7281" operator="containsText" text="실패">
      <formula>NOT(ISERROR(SEARCH(("실패"),(A23))))</formula>
    </cfRule>
  </conditionalFormatting>
  <conditionalFormatting sqref="A23">
    <cfRule type="containsText" dxfId="3" priority="7282" operator="containsText" text="관리">
      <formula>NOT(ISERROR(SEARCH(("관리"),(A23))))</formula>
    </cfRule>
  </conditionalFormatting>
  <conditionalFormatting sqref="A23">
    <cfRule type="containsText" dxfId="4" priority="7283" operator="containsText" text="등록">
      <formula>NOT(ISERROR(SEARCH(("등록"),(A23))))</formula>
    </cfRule>
  </conditionalFormatting>
  <conditionalFormatting sqref="A23">
    <cfRule type="containsText" dxfId="0" priority="7284" operator="containsText" text="거부">
      <formula>NOT(ISERROR(SEARCH(("거부"),(A23))))</formula>
    </cfRule>
  </conditionalFormatting>
  <conditionalFormatting sqref="A23">
    <cfRule type="containsText" dxfId="1" priority="7285" operator="containsText" text="리턴">
      <formula>NOT(ISERROR(SEARCH(("리턴"),(A23))))</formula>
    </cfRule>
  </conditionalFormatting>
  <conditionalFormatting sqref="A23">
    <cfRule type="containsText" dxfId="2" priority="7286" operator="containsText" text="실패">
      <formula>NOT(ISERROR(SEARCH(("실패"),(A23))))</formula>
    </cfRule>
  </conditionalFormatting>
  <conditionalFormatting sqref="A23">
    <cfRule type="containsText" dxfId="3" priority="7287" operator="containsText" text="관리">
      <formula>NOT(ISERROR(SEARCH(("관리"),(A23))))</formula>
    </cfRule>
  </conditionalFormatting>
  <conditionalFormatting sqref="A23">
    <cfRule type="containsText" dxfId="4" priority="7288" operator="containsText" text="등록">
      <formula>NOT(ISERROR(SEARCH(("등록"),(A23))))</formula>
    </cfRule>
  </conditionalFormatting>
  <conditionalFormatting sqref="A23">
    <cfRule type="containsText" dxfId="0" priority="7289" operator="containsText" text="거부">
      <formula>NOT(ISERROR(SEARCH(("거부"),(A23))))</formula>
    </cfRule>
  </conditionalFormatting>
  <conditionalFormatting sqref="A23">
    <cfRule type="containsText" dxfId="1" priority="7290" operator="containsText" text="리턴">
      <formula>NOT(ISERROR(SEARCH(("리턴"),(A23))))</formula>
    </cfRule>
  </conditionalFormatting>
  <conditionalFormatting sqref="A23">
    <cfRule type="containsText" dxfId="2" priority="7291" operator="containsText" text="실패">
      <formula>NOT(ISERROR(SEARCH(("실패"),(A23))))</formula>
    </cfRule>
  </conditionalFormatting>
  <conditionalFormatting sqref="A23">
    <cfRule type="containsText" dxfId="3" priority="7292" operator="containsText" text="관리">
      <formula>NOT(ISERROR(SEARCH(("관리"),(A23))))</formula>
    </cfRule>
  </conditionalFormatting>
  <conditionalFormatting sqref="A23">
    <cfRule type="containsText" dxfId="4" priority="7293" operator="containsText" text="등록">
      <formula>NOT(ISERROR(SEARCH(("등록"),(A23))))</formula>
    </cfRule>
  </conditionalFormatting>
  <conditionalFormatting sqref="A23">
    <cfRule type="containsText" dxfId="0" priority="7294" operator="containsText" text="거부">
      <formula>NOT(ISERROR(SEARCH(("거부"),(A23))))</formula>
    </cfRule>
  </conditionalFormatting>
  <conditionalFormatting sqref="A23">
    <cfRule type="containsText" dxfId="1" priority="7295" operator="containsText" text="리턴">
      <formula>NOT(ISERROR(SEARCH(("리턴"),(A23))))</formula>
    </cfRule>
  </conditionalFormatting>
  <conditionalFormatting sqref="A23">
    <cfRule type="containsText" dxfId="2" priority="7296" operator="containsText" text="실패">
      <formula>NOT(ISERROR(SEARCH(("실패"),(A23))))</formula>
    </cfRule>
  </conditionalFormatting>
  <conditionalFormatting sqref="A23">
    <cfRule type="containsText" dxfId="3" priority="7297" operator="containsText" text="관리">
      <formula>NOT(ISERROR(SEARCH(("관리"),(A23))))</formula>
    </cfRule>
  </conditionalFormatting>
  <conditionalFormatting sqref="A23">
    <cfRule type="containsText" dxfId="4" priority="7298" operator="containsText" text="등록">
      <formula>NOT(ISERROR(SEARCH(("등록"),(A23))))</formula>
    </cfRule>
  </conditionalFormatting>
  <conditionalFormatting sqref="D23">
    <cfRule type="containsText" dxfId="0" priority="7299" operator="containsText" text="거부">
      <formula>NOT(ISERROR(SEARCH(("거부"),(D23))))</formula>
    </cfRule>
  </conditionalFormatting>
  <conditionalFormatting sqref="D23">
    <cfRule type="containsText" dxfId="1" priority="7300" operator="containsText" text="리턴">
      <formula>NOT(ISERROR(SEARCH(("리턴"),(D23))))</formula>
    </cfRule>
  </conditionalFormatting>
  <conditionalFormatting sqref="D23">
    <cfRule type="containsText" dxfId="2" priority="7301" operator="containsText" text="실패">
      <formula>NOT(ISERROR(SEARCH(("실패"),(D23))))</formula>
    </cfRule>
  </conditionalFormatting>
  <conditionalFormatting sqref="D23">
    <cfRule type="containsText" dxfId="3" priority="7302" operator="containsText" text="관리">
      <formula>NOT(ISERROR(SEARCH(("관리"),(D23))))</formula>
    </cfRule>
  </conditionalFormatting>
  <conditionalFormatting sqref="D23">
    <cfRule type="containsText" dxfId="4" priority="7303" operator="containsText" text="등록">
      <formula>NOT(ISERROR(SEARCH(("등록"),(D23))))</formula>
    </cfRule>
  </conditionalFormatting>
  <conditionalFormatting sqref="D23">
    <cfRule type="containsText" dxfId="0" priority="7304" operator="containsText" text="거부">
      <formula>NOT(ISERROR(SEARCH(("거부"),(D23))))</formula>
    </cfRule>
  </conditionalFormatting>
  <conditionalFormatting sqref="D23">
    <cfRule type="containsText" dxfId="1" priority="7305" operator="containsText" text="리턴">
      <formula>NOT(ISERROR(SEARCH(("리턴"),(D23))))</formula>
    </cfRule>
  </conditionalFormatting>
  <conditionalFormatting sqref="D23">
    <cfRule type="containsText" dxfId="2" priority="7306" operator="containsText" text="실패">
      <formula>NOT(ISERROR(SEARCH(("실패"),(D23))))</formula>
    </cfRule>
  </conditionalFormatting>
  <conditionalFormatting sqref="D23">
    <cfRule type="containsText" dxfId="3" priority="7307" operator="containsText" text="관리">
      <formula>NOT(ISERROR(SEARCH(("관리"),(D23))))</formula>
    </cfRule>
  </conditionalFormatting>
  <conditionalFormatting sqref="D23">
    <cfRule type="containsText" dxfId="4" priority="7308" operator="containsText" text="등록">
      <formula>NOT(ISERROR(SEARCH(("등록"),(D23))))</formula>
    </cfRule>
  </conditionalFormatting>
  <conditionalFormatting sqref="D23">
    <cfRule type="containsText" dxfId="0" priority="7309" operator="containsText" text="거부">
      <formula>NOT(ISERROR(SEARCH(("거부"),(D23))))</formula>
    </cfRule>
  </conditionalFormatting>
  <conditionalFormatting sqref="D23">
    <cfRule type="containsText" dxfId="1" priority="7310" operator="containsText" text="리턴">
      <formula>NOT(ISERROR(SEARCH(("리턴"),(D23))))</formula>
    </cfRule>
  </conditionalFormatting>
  <conditionalFormatting sqref="D23">
    <cfRule type="containsText" dxfId="2" priority="7311" operator="containsText" text="실패">
      <formula>NOT(ISERROR(SEARCH(("실패"),(D23))))</formula>
    </cfRule>
  </conditionalFormatting>
  <conditionalFormatting sqref="D23">
    <cfRule type="containsText" dxfId="3" priority="7312" operator="containsText" text="관리">
      <formula>NOT(ISERROR(SEARCH(("관리"),(D23))))</formula>
    </cfRule>
  </conditionalFormatting>
  <conditionalFormatting sqref="D23">
    <cfRule type="containsText" dxfId="4" priority="7313" operator="containsText" text="등록">
      <formula>NOT(ISERROR(SEARCH(("등록"),(D23))))</formula>
    </cfRule>
  </conditionalFormatting>
  <conditionalFormatting sqref="D23">
    <cfRule type="containsText" dxfId="0" priority="7314" operator="containsText" text="거부">
      <formula>NOT(ISERROR(SEARCH(("거부"),(D23))))</formula>
    </cfRule>
  </conditionalFormatting>
  <conditionalFormatting sqref="D23">
    <cfRule type="containsText" dxfId="1" priority="7315" operator="containsText" text="리턴">
      <formula>NOT(ISERROR(SEARCH(("리턴"),(D23))))</formula>
    </cfRule>
  </conditionalFormatting>
  <conditionalFormatting sqref="D23">
    <cfRule type="containsText" dxfId="2" priority="7316" operator="containsText" text="실패">
      <formula>NOT(ISERROR(SEARCH(("실패"),(D23))))</formula>
    </cfRule>
  </conditionalFormatting>
  <conditionalFormatting sqref="D23">
    <cfRule type="containsText" dxfId="3" priority="7317" operator="containsText" text="관리">
      <formula>NOT(ISERROR(SEARCH(("관리"),(D23))))</formula>
    </cfRule>
  </conditionalFormatting>
  <conditionalFormatting sqref="D23">
    <cfRule type="containsText" dxfId="4" priority="7318" operator="containsText" text="등록">
      <formula>NOT(ISERROR(SEARCH(("등록"),(D23))))</formula>
    </cfRule>
  </conditionalFormatting>
  <conditionalFormatting sqref="D23">
    <cfRule type="containsText" dxfId="0" priority="7319" operator="containsText" text="거부">
      <formula>NOT(ISERROR(SEARCH(("거부"),(D23))))</formula>
    </cfRule>
  </conditionalFormatting>
  <conditionalFormatting sqref="D23">
    <cfRule type="containsText" dxfId="1" priority="7320" operator="containsText" text="리턴">
      <formula>NOT(ISERROR(SEARCH(("리턴"),(D23))))</formula>
    </cfRule>
  </conditionalFormatting>
  <conditionalFormatting sqref="D23">
    <cfRule type="containsText" dxfId="2" priority="7321" operator="containsText" text="실패">
      <formula>NOT(ISERROR(SEARCH(("실패"),(D23))))</formula>
    </cfRule>
  </conditionalFormatting>
  <conditionalFormatting sqref="D23">
    <cfRule type="containsText" dxfId="3" priority="7322" operator="containsText" text="관리">
      <formula>NOT(ISERROR(SEARCH(("관리"),(D23))))</formula>
    </cfRule>
  </conditionalFormatting>
  <conditionalFormatting sqref="D23">
    <cfRule type="containsText" dxfId="4" priority="7323" operator="containsText" text="등록">
      <formula>NOT(ISERROR(SEARCH(("등록"),(D23))))</formula>
    </cfRule>
  </conditionalFormatting>
  <conditionalFormatting sqref="D23">
    <cfRule type="containsText" dxfId="0" priority="7324" operator="containsText" text="거부">
      <formula>NOT(ISERROR(SEARCH(("거부"),(D23))))</formula>
    </cfRule>
  </conditionalFormatting>
  <conditionalFormatting sqref="D23">
    <cfRule type="containsText" dxfId="1" priority="7325" operator="containsText" text="리턴">
      <formula>NOT(ISERROR(SEARCH(("리턴"),(D23))))</formula>
    </cfRule>
  </conditionalFormatting>
  <conditionalFormatting sqref="D23">
    <cfRule type="containsText" dxfId="2" priority="7326" operator="containsText" text="실패">
      <formula>NOT(ISERROR(SEARCH(("실패"),(D23))))</formula>
    </cfRule>
  </conditionalFormatting>
  <conditionalFormatting sqref="D23">
    <cfRule type="containsText" dxfId="3" priority="7327" operator="containsText" text="관리">
      <formula>NOT(ISERROR(SEARCH(("관리"),(D23))))</formula>
    </cfRule>
  </conditionalFormatting>
  <conditionalFormatting sqref="D23">
    <cfRule type="containsText" dxfId="4" priority="7328" operator="containsText" text="등록">
      <formula>NOT(ISERROR(SEARCH(("등록"),(D23))))</formula>
    </cfRule>
  </conditionalFormatting>
  <conditionalFormatting sqref="E23">
    <cfRule type="containsText" dxfId="0" priority="7329" operator="containsText" text="거부">
      <formula>NOT(ISERROR(SEARCH(("거부"),(E23))))</formula>
    </cfRule>
  </conditionalFormatting>
  <conditionalFormatting sqref="E23">
    <cfRule type="containsText" dxfId="1" priority="7330" operator="containsText" text="리턴">
      <formula>NOT(ISERROR(SEARCH(("리턴"),(E23))))</formula>
    </cfRule>
  </conditionalFormatting>
  <conditionalFormatting sqref="E23">
    <cfRule type="containsText" dxfId="2" priority="7331" operator="containsText" text="실패">
      <formula>NOT(ISERROR(SEARCH(("실패"),(E23))))</formula>
    </cfRule>
  </conditionalFormatting>
  <conditionalFormatting sqref="E23">
    <cfRule type="containsText" dxfId="3" priority="7332" operator="containsText" text="관리">
      <formula>NOT(ISERROR(SEARCH(("관리"),(E23))))</formula>
    </cfRule>
  </conditionalFormatting>
  <conditionalFormatting sqref="E23">
    <cfRule type="containsText" dxfId="4" priority="7333" operator="containsText" text="등록">
      <formula>NOT(ISERROR(SEARCH(("등록"),(E23))))</formula>
    </cfRule>
  </conditionalFormatting>
  <conditionalFormatting sqref="G23">
    <cfRule type="containsText" dxfId="0" priority="7334" operator="containsText" text="거부">
      <formula>NOT(ISERROR(SEARCH(("거부"),(G23))))</formula>
    </cfRule>
  </conditionalFormatting>
  <conditionalFormatting sqref="G23">
    <cfRule type="containsText" dxfId="1" priority="7335" operator="containsText" text="리턴">
      <formula>NOT(ISERROR(SEARCH(("리턴"),(G23))))</formula>
    </cfRule>
  </conditionalFormatting>
  <conditionalFormatting sqref="G23">
    <cfRule type="containsText" dxfId="2" priority="7336" operator="containsText" text="실패">
      <formula>NOT(ISERROR(SEARCH(("실패"),(G23))))</formula>
    </cfRule>
  </conditionalFormatting>
  <conditionalFormatting sqref="G23">
    <cfRule type="containsText" dxfId="3" priority="7337" operator="containsText" text="관리">
      <formula>NOT(ISERROR(SEARCH(("관리"),(G23))))</formula>
    </cfRule>
  </conditionalFormatting>
  <conditionalFormatting sqref="G23">
    <cfRule type="containsText" dxfId="4" priority="7338" operator="containsText" text="등록">
      <formula>NOT(ISERROR(SEARCH(("등록"),(G23))))</formula>
    </cfRule>
  </conditionalFormatting>
  <conditionalFormatting sqref="G23">
    <cfRule type="containsText" dxfId="0" priority="7339" operator="containsText" text="거부">
      <formula>NOT(ISERROR(SEARCH(("거부"),(G23))))</formula>
    </cfRule>
  </conditionalFormatting>
  <conditionalFormatting sqref="G23">
    <cfRule type="containsText" dxfId="1" priority="7340" operator="containsText" text="리턴">
      <formula>NOT(ISERROR(SEARCH(("리턴"),(G23))))</formula>
    </cfRule>
  </conditionalFormatting>
  <conditionalFormatting sqref="G23">
    <cfRule type="containsText" dxfId="2" priority="7341" operator="containsText" text="실패">
      <formula>NOT(ISERROR(SEARCH(("실패"),(G23))))</formula>
    </cfRule>
  </conditionalFormatting>
  <conditionalFormatting sqref="G23">
    <cfRule type="containsText" dxfId="3" priority="7342" operator="containsText" text="관리">
      <formula>NOT(ISERROR(SEARCH(("관리"),(G23))))</formula>
    </cfRule>
  </conditionalFormatting>
  <conditionalFormatting sqref="G23">
    <cfRule type="containsText" dxfId="4" priority="7343" operator="containsText" text="등록">
      <formula>NOT(ISERROR(SEARCH(("등록"),(G23))))</formula>
    </cfRule>
  </conditionalFormatting>
  <conditionalFormatting sqref="G23">
    <cfRule type="containsText" dxfId="0" priority="7344" operator="containsText" text="거부">
      <formula>NOT(ISERROR(SEARCH(("거부"),(G23))))</formula>
    </cfRule>
  </conditionalFormatting>
  <conditionalFormatting sqref="G23">
    <cfRule type="containsText" dxfId="1" priority="7345" operator="containsText" text="리턴">
      <formula>NOT(ISERROR(SEARCH(("리턴"),(G23))))</formula>
    </cfRule>
  </conditionalFormatting>
  <conditionalFormatting sqref="G23">
    <cfRule type="containsText" dxfId="2" priority="7346" operator="containsText" text="실패">
      <formula>NOT(ISERROR(SEARCH(("실패"),(G23))))</formula>
    </cfRule>
  </conditionalFormatting>
  <conditionalFormatting sqref="G23">
    <cfRule type="containsText" dxfId="3" priority="7347" operator="containsText" text="관리">
      <formula>NOT(ISERROR(SEARCH(("관리"),(G23))))</formula>
    </cfRule>
  </conditionalFormatting>
  <conditionalFormatting sqref="G23">
    <cfRule type="containsText" dxfId="4" priority="7348" operator="containsText" text="등록">
      <formula>NOT(ISERROR(SEARCH(("등록"),(G23))))</formula>
    </cfRule>
  </conditionalFormatting>
  <conditionalFormatting sqref="G23">
    <cfRule type="containsText" dxfId="0" priority="7349" operator="containsText" text="거부">
      <formula>NOT(ISERROR(SEARCH(("거부"),(G23))))</formula>
    </cfRule>
  </conditionalFormatting>
  <conditionalFormatting sqref="G23">
    <cfRule type="containsText" dxfId="1" priority="7350" operator="containsText" text="리턴">
      <formula>NOT(ISERROR(SEARCH(("리턴"),(G23))))</formula>
    </cfRule>
  </conditionalFormatting>
  <conditionalFormatting sqref="G23">
    <cfRule type="containsText" dxfId="2" priority="7351" operator="containsText" text="실패">
      <formula>NOT(ISERROR(SEARCH(("실패"),(G23))))</formula>
    </cfRule>
  </conditionalFormatting>
  <conditionalFormatting sqref="G23">
    <cfRule type="containsText" dxfId="3" priority="7352" operator="containsText" text="관리">
      <formula>NOT(ISERROR(SEARCH(("관리"),(G23))))</formula>
    </cfRule>
  </conditionalFormatting>
  <conditionalFormatting sqref="G23">
    <cfRule type="containsText" dxfId="4" priority="7353" operator="containsText" text="등록">
      <formula>NOT(ISERROR(SEARCH(("등록"),(G23))))</formula>
    </cfRule>
  </conditionalFormatting>
  <conditionalFormatting sqref="J23">
    <cfRule type="containsText" dxfId="0" priority="7354" operator="containsText" text="거부">
      <formula>NOT(ISERROR(SEARCH(("거부"),(J23))))</formula>
    </cfRule>
  </conditionalFormatting>
  <conditionalFormatting sqref="J23">
    <cfRule type="containsText" dxfId="1" priority="7355" operator="containsText" text="리턴">
      <formula>NOT(ISERROR(SEARCH(("리턴"),(J23))))</formula>
    </cfRule>
  </conditionalFormatting>
  <conditionalFormatting sqref="J23">
    <cfRule type="containsText" dxfId="2" priority="7356" operator="containsText" text="실패">
      <formula>NOT(ISERROR(SEARCH(("실패"),(J23))))</formula>
    </cfRule>
  </conditionalFormatting>
  <conditionalFormatting sqref="J23">
    <cfRule type="containsText" dxfId="3" priority="7357" operator="containsText" text="관리">
      <formula>NOT(ISERROR(SEARCH(("관리"),(J23))))</formula>
    </cfRule>
  </conditionalFormatting>
  <conditionalFormatting sqref="J23">
    <cfRule type="containsText" dxfId="4" priority="7358" operator="containsText" text="등록">
      <formula>NOT(ISERROR(SEARCH(("등록"),(J23))))</formula>
    </cfRule>
  </conditionalFormatting>
  <conditionalFormatting sqref="J23">
    <cfRule type="containsText" dxfId="0" priority="7359" operator="containsText" text="거부">
      <formula>NOT(ISERROR(SEARCH(("거부"),(J23))))</formula>
    </cfRule>
  </conditionalFormatting>
  <conditionalFormatting sqref="J23">
    <cfRule type="containsText" dxfId="1" priority="7360" operator="containsText" text="리턴">
      <formula>NOT(ISERROR(SEARCH(("리턴"),(J23))))</formula>
    </cfRule>
  </conditionalFormatting>
  <conditionalFormatting sqref="J23">
    <cfRule type="containsText" dxfId="2" priority="7361" operator="containsText" text="실패">
      <formula>NOT(ISERROR(SEARCH(("실패"),(J23))))</formula>
    </cfRule>
  </conditionalFormatting>
  <conditionalFormatting sqref="J23">
    <cfRule type="containsText" dxfId="3" priority="7362" operator="containsText" text="관리">
      <formula>NOT(ISERROR(SEARCH(("관리"),(J23))))</formula>
    </cfRule>
  </conditionalFormatting>
  <conditionalFormatting sqref="J23">
    <cfRule type="containsText" dxfId="4" priority="7363" operator="containsText" text="등록">
      <formula>NOT(ISERROR(SEARCH(("등록"),(J23))))</formula>
    </cfRule>
  </conditionalFormatting>
  <conditionalFormatting sqref="J23">
    <cfRule type="containsText" dxfId="0" priority="7364" operator="containsText" text="거부">
      <formula>NOT(ISERROR(SEARCH(("거부"),(J23))))</formula>
    </cfRule>
  </conditionalFormatting>
  <conditionalFormatting sqref="J23">
    <cfRule type="containsText" dxfId="1" priority="7365" operator="containsText" text="리턴">
      <formula>NOT(ISERROR(SEARCH(("리턴"),(J23))))</formula>
    </cfRule>
  </conditionalFormatting>
  <conditionalFormatting sqref="J23">
    <cfRule type="containsText" dxfId="2" priority="7366" operator="containsText" text="실패">
      <formula>NOT(ISERROR(SEARCH(("실패"),(J23))))</formula>
    </cfRule>
  </conditionalFormatting>
  <conditionalFormatting sqref="J23">
    <cfRule type="containsText" dxfId="3" priority="7367" operator="containsText" text="관리">
      <formula>NOT(ISERROR(SEARCH(("관리"),(J23))))</formula>
    </cfRule>
  </conditionalFormatting>
  <conditionalFormatting sqref="J23">
    <cfRule type="containsText" dxfId="4" priority="7368" operator="containsText" text="등록">
      <formula>NOT(ISERROR(SEARCH(("등록"),(J23))))</formula>
    </cfRule>
  </conditionalFormatting>
  <conditionalFormatting sqref="J23">
    <cfRule type="containsText" dxfId="0" priority="7369" operator="containsText" text="거부">
      <formula>NOT(ISERROR(SEARCH(("거부"),(J23))))</formula>
    </cfRule>
  </conditionalFormatting>
  <conditionalFormatting sqref="J23">
    <cfRule type="containsText" dxfId="1" priority="7370" operator="containsText" text="리턴">
      <formula>NOT(ISERROR(SEARCH(("리턴"),(J23))))</formula>
    </cfRule>
  </conditionalFormatting>
  <conditionalFormatting sqref="J23">
    <cfRule type="containsText" dxfId="2" priority="7371" operator="containsText" text="실패">
      <formula>NOT(ISERROR(SEARCH(("실패"),(J23))))</formula>
    </cfRule>
  </conditionalFormatting>
  <conditionalFormatting sqref="J23">
    <cfRule type="containsText" dxfId="3" priority="7372" operator="containsText" text="관리">
      <formula>NOT(ISERROR(SEARCH(("관리"),(J23))))</formula>
    </cfRule>
  </conditionalFormatting>
  <conditionalFormatting sqref="J23">
    <cfRule type="containsText" dxfId="4" priority="7373" operator="containsText" text="등록">
      <formula>NOT(ISERROR(SEARCH(("등록"),(J23))))</formula>
    </cfRule>
  </conditionalFormatting>
  <conditionalFormatting sqref="J23">
    <cfRule type="containsText" dxfId="0" priority="7374" operator="containsText" text="거부">
      <formula>NOT(ISERROR(SEARCH(("거부"),(J23))))</formula>
    </cfRule>
  </conditionalFormatting>
  <conditionalFormatting sqref="J23">
    <cfRule type="containsText" dxfId="1" priority="7375" operator="containsText" text="리턴">
      <formula>NOT(ISERROR(SEARCH(("리턴"),(J23))))</formula>
    </cfRule>
  </conditionalFormatting>
  <conditionalFormatting sqref="J23">
    <cfRule type="containsText" dxfId="2" priority="7376" operator="containsText" text="실패">
      <formula>NOT(ISERROR(SEARCH(("실패"),(J23))))</formula>
    </cfRule>
  </conditionalFormatting>
  <conditionalFormatting sqref="J23">
    <cfRule type="containsText" dxfId="3" priority="7377" operator="containsText" text="관리">
      <formula>NOT(ISERROR(SEARCH(("관리"),(J23))))</formula>
    </cfRule>
  </conditionalFormatting>
  <conditionalFormatting sqref="J23">
    <cfRule type="containsText" dxfId="4" priority="7378" operator="containsText" text="등록">
      <formula>NOT(ISERROR(SEARCH(("등록"),(J23))))</formula>
    </cfRule>
  </conditionalFormatting>
  <conditionalFormatting sqref="A24">
    <cfRule type="containsText" dxfId="0" priority="7379" operator="containsText" text="거부">
      <formula>NOT(ISERROR(SEARCH(("거부"),(A24))))</formula>
    </cfRule>
  </conditionalFormatting>
  <conditionalFormatting sqref="A24">
    <cfRule type="containsText" dxfId="1" priority="7380" operator="containsText" text="리턴">
      <formula>NOT(ISERROR(SEARCH(("리턴"),(A24))))</formula>
    </cfRule>
  </conditionalFormatting>
  <conditionalFormatting sqref="A24">
    <cfRule type="containsText" dxfId="2" priority="7381" operator="containsText" text="실패">
      <formula>NOT(ISERROR(SEARCH(("실패"),(A24))))</formula>
    </cfRule>
  </conditionalFormatting>
  <conditionalFormatting sqref="A24">
    <cfRule type="containsText" dxfId="3" priority="7382" operator="containsText" text="관리">
      <formula>NOT(ISERROR(SEARCH(("관리"),(A24))))</formula>
    </cfRule>
  </conditionalFormatting>
  <conditionalFormatting sqref="A24">
    <cfRule type="containsText" dxfId="4" priority="7383" operator="containsText" text="등록">
      <formula>NOT(ISERROR(SEARCH(("등록"),(A24))))</formula>
    </cfRule>
  </conditionalFormatting>
  <conditionalFormatting sqref="A24">
    <cfRule type="containsText" dxfId="0" priority="7384" operator="containsText" text="거부">
      <formula>NOT(ISERROR(SEARCH(("거부"),(A24))))</formula>
    </cfRule>
  </conditionalFormatting>
  <conditionalFormatting sqref="A24">
    <cfRule type="containsText" dxfId="1" priority="7385" operator="containsText" text="리턴">
      <formula>NOT(ISERROR(SEARCH(("리턴"),(A24))))</formula>
    </cfRule>
  </conditionalFormatting>
  <conditionalFormatting sqref="A24">
    <cfRule type="containsText" dxfId="2" priority="7386" operator="containsText" text="실패">
      <formula>NOT(ISERROR(SEARCH(("실패"),(A24))))</formula>
    </cfRule>
  </conditionalFormatting>
  <conditionalFormatting sqref="A24">
    <cfRule type="containsText" dxfId="3" priority="7387" operator="containsText" text="관리">
      <formula>NOT(ISERROR(SEARCH(("관리"),(A24))))</formula>
    </cfRule>
  </conditionalFormatting>
  <conditionalFormatting sqref="A24">
    <cfRule type="containsText" dxfId="4" priority="7388" operator="containsText" text="등록">
      <formula>NOT(ISERROR(SEARCH(("등록"),(A24))))</formula>
    </cfRule>
  </conditionalFormatting>
  <conditionalFormatting sqref="A24">
    <cfRule type="containsText" dxfId="0" priority="7389" operator="containsText" text="거부">
      <formula>NOT(ISERROR(SEARCH(("거부"),(A24))))</formula>
    </cfRule>
  </conditionalFormatting>
  <conditionalFormatting sqref="A24">
    <cfRule type="containsText" dxfId="1" priority="7390" operator="containsText" text="리턴">
      <formula>NOT(ISERROR(SEARCH(("리턴"),(A24))))</formula>
    </cfRule>
  </conditionalFormatting>
  <conditionalFormatting sqref="A24">
    <cfRule type="containsText" dxfId="2" priority="7391" operator="containsText" text="실패">
      <formula>NOT(ISERROR(SEARCH(("실패"),(A24))))</formula>
    </cfRule>
  </conditionalFormatting>
  <conditionalFormatting sqref="A24">
    <cfRule type="containsText" dxfId="3" priority="7392" operator="containsText" text="관리">
      <formula>NOT(ISERROR(SEARCH(("관리"),(A24))))</formula>
    </cfRule>
  </conditionalFormatting>
  <conditionalFormatting sqref="A24">
    <cfRule type="containsText" dxfId="4" priority="7393" operator="containsText" text="등록">
      <formula>NOT(ISERROR(SEARCH(("등록"),(A24))))</formula>
    </cfRule>
  </conditionalFormatting>
  <conditionalFormatting sqref="A24">
    <cfRule type="containsText" dxfId="0" priority="7394" operator="containsText" text="거부">
      <formula>NOT(ISERROR(SEARCH(("거부"),(A24))))</formula>
    </cfRule>
  </conditionalFormatting>
  <conditionalFormatting sqref="A24">
    <cfRule type="containsText" dxfId="1" priority="7395" operator="containsText" text="리턴">
      <formula>NOT(ISERROR(SEARCH(("리턴"),(A24))))</formula>
    </cfRule>
  </conditionalFormatting>
  <conditionalFormatting sqref="A24">
    <cfRule type="containsText" dxfId="2" priority="7396" operator="containsText" text="실패">
      <formula>NOT(ISERROR(SEARCH(("실패"),(A24))))</formula>
    </cfRule>
  </conditionalFormatting>
  <conditionalFormatting sqref="A24">
    <cfRule type="containsText" dxfId="3" priority="7397" operator="containsText" text="관리">
      <formula>NOT(ISERROR(SEARCH(("관리"),(A24))))</formula>
    </cfRule>
  </conditionalFormatting>
  <conditionalFormatting sqref="A24">
    <cfRule type="containsText" dxfId="4" priority="7398" operator="containsText" text="등록">
      <formula>NOT(ISERROR(SEARCH(("등록"),(A24))))</formula>
    </cfRule>
  </conditionalFormatting>
  <conditionalFormatting sqref="A24">
    <cfRule type="containsText" dxfId="0" priority="7399" operator="containsText" text="거부">
      <formula>NOT(ISERROR(SEARCH(("거부"),(A24))))</formula>
    </cfRule>
  </conditionalFormatting>
  <conditionalFormatting sqref="A24">
    <cfRule type="containsText" dxfId="1" priority="7400" operator="containsText" text="리턴">
      <formula>NOT(ISERROR(SEARCH(("리턴"),(A24))))</formula>
    </cfRule>
  </conditionalFormatting>
  <conditionalFormatting sqref="A24">
    <cfRule type="containsText" dxfId="2" priority="7401" operator="containsText" text="실패">
      <formula>NOT(ISERROR(SEARCH(("실패"),(A24))))</formula>
    </cfRule>
  </conditionalFormatting>
  <conditionalFormatting sqref="A24">
    <cfRule type="containsText" dxfId="3" priority="7402" operator="containsText" text="관리">
      <formula>NOT(ISERROR(SEARCH(("관리"),(A24))))</formula>
    </cfRule>
  </conditionalFormatting>
  <conditionalFormatting sqref="A24">
    <cfRule type="containsText" dxfId="4" priority="7403" operator="containsText" text="등록">
      <formula>NOT(ISERROR(SEARCH(("등록"),(A24))))</formula>
    </cfRule>
  </conditionalFormatting>
  <conditionalFormatting sqref="A24">
    <cfRule type="containsText" dxfId="0" priority="7404" operator="containsText" text="거부">
      <formula>NOT(ISERROR(SEARCH(("거부"),(A24))))</formula>
    </cfRule>
  </conditionalFormatting>
  <conditionalFormatting sqref="A24">
    <cfRule type="containsText" dxfId="1" priority="7405" operator="containsText" text="리턴">
      <formula>NOT(ISERROR(SEARCH(("리턴"),(A24))))</formula>
    </cfRule>
  </conditionalFormatting>
  <conditionalFormatting sqref="A24">
    <cfRule type="containsText" dxfId="2" priority="7406" operator="containsText" text="실패">
      <formula>NOT(ISERROR(SEARCH(("실패"),(A24))))</formula>
    </cfRule>
  </conditionalFormatting>
  <conditionalFormatting sqref="A24">
    <cfRule type="containsText" dxfId="3" priority="7407" operator="containsText" text="관리">
      <formula>NOT(ISERROR(SEARCH(("관리"),(A24))))</formula>
    </cfRule>
  </conditionalFormatting>
  <conditionalFormatting sqref="A24">
    <cfRule type="containsText" dxfId="4" priority="7408" operator="containsText" text="등록">
      <formula>NOT(ISERROR(SEARCH(("등록"),(A24))))</formula>
    </cfRule>
  </conditionalFormatting>
  <conditionalFormatting sqref="A24">
    <cfRule type="containsText" dxfId="0" priority="7409" operator="containsText" text="거부">
      <formula>NOT(ISERROR(SEARCH(("거부"),(A24))))</formula>
    </cfRule>
  </conditionalFormatting>
  <conditionalFormatting sqref="A24">
    <cfRule type="containsText" dxfId="1" priority="7410" operator="containsText" text="리턴">
      <formula>NOT(ISERROR(SEARCH(("리턴"),(A24))))</formula>
    </cfRule>
  </conditionalFormatting>
  <conditionalFormatting sqref="A24">
    <cfRule type="containsText" dxfId="2" priority="7411" operator="containsText" text="실패">
      <formula>NOT(ISERROR(SEARCH(("실패"),(A24))))</formula>
    </cfRule>
  </conditionalFormatting>
  <conditionalFormatting sqref="A24">
    <cfRule type="containsText" dxfId="3" priority="7412" operator="containsText" text="관리">
      <formula>NOT(ISERROR(SEARCH(("관리"),(A24))))</formula>
    </cfRule>
  </conditionalFormatting>
  <conditionalFormatting sqref="A24">
    <cfRule type="containsText" dxfId="4" priority="7413" operator="containsText" text="등록">
      <formula>NOT(ISERROR(SEARCH(("등록"),(A24))))</formula>
    </cfRule>
  </conditionalFormatting>
  <conditionalFormatting sqref="A24">
    <cfRule type="containsText" dxfId="0" priority="7414" operator="containsText" text="거부">
      <formula>NOT(ISERROR(SEARCH(("거부"),(A24))))</formula>
    </cfRule>
  </conditionalFormatting>
  <conditionalFormatting sqref="A24">
    <cfRule type="containsText" dxfId="1" priority="7415" operator="containsText" text="리턴">
      <formula>NOT(ISERROR(SEARCH(("리턴"),(A24))))</formula>
    </cfRule>
  </conditionalFormatting>
  <conditionalFormatting sqref="A24">
    <cfRule type="containsText" dxfId="2" priority="7416" operator="containsText" text="실패">
      <formula>NOT(ISERROR(SEARCH(("실패"),(A24))))</formula>
    </cfRule>
  </conditionalFormatting>
  <conditionalFormatting sqref="A24">
    <cfRule type="containsText" dxfId="3" priority="7417" operator="containsText" text="관리">
      <formula>NOT(ISERROR(SEARCH(("관리"),(A24))))</formula>
    </cfRule>
  </conditionalFormatting>
  <conditionalFormatting sqref="A24">
    <cfRule type="containsText" dxfId="4" priority="7418" operator="containsText" text="등록">
      <formula>NOT(ISERROR(SEARCH(("등록"),(A24))))</formula>
    </cfRule>
  </conditionalFormatting>
  <conditionalFormatting sqref="A24">
    <cfRule type="containsText" dxfId="0" priority="7419" operator="containsText" text="거부">
      <formula>NOT(ISERROR(SEARCH(("거부"),(A24))))</formula>
    </cfRule>
  </conditionalFormatting>
  <conditionalFormatting sqref="A24">
    <cfRule type="containsText" dxfId="1" priority="7420" operator="containsText" text="리턴">
      <formula>NOT(ISERROR(SEARCH(("리턴"),(A24))))</formula>
    </cfRule>
  </conditionalFormatting>
  <conditionalFormatting sqref="A24">
    <cfRule type="containsText" dxfId="2" priority="7421" operator="containsText" text="실패">
      <formula>NOT(ISERROR(SEARCH(("실패"),(A24))))</formula>
    </cfRule>
  </conditionalFormatting>
  <conditionalFormatting sqref="A24">
    <cfRule type="containsText" dxfId="3" priority="7422" operator="containsText" text="관리">
      <formula>NOT(ISERROR(SEARCH(("관리"),(A24))))</formula>
    </cfRule>
  </conditionalFormatting>
  <conditionalFormatting sqref="A24">
    <cfRule type="containsText" dxfId="4" priority="7423" operator="containsText" text="등록">
      <formula>NOT(ISERROR(SEARCH(("등록"),(A24))))</formula>
    </cfRule>
  </conditionalFormatting>
  <conditionalFormatting sqref="A24">
    <cfRule type="containsText" dxfId="0" priority="7424" operator="containsText" text="거부">
      <formula>NOT(ISERROR(SEARCH(("거부"),(A24))))</formula>
    </cfRule>
  </conditionalFormatting>
  <conditionalFormatting sqref="A24">
    <cfRule type="containsText" dxfId="1" priority="7425" operator="containsText" text="리턴">
      <formula>NOT(ISERROR(SEARCH(("리턴"),(A24))))</formula>
    </cfRule>
  </conditionalFormatting>
  <conditionalFormatting sqref="A24">
    <cfRule type="containsText" dxfId="2" priority="7426" operator="containsText" text="실패">
      <formula>NOT(ISERROR(SEARCH(("실패"),(A24))))</formula>
    </cfRule>
  </conditionalFormatting>
  <conditionalFormatting sqref="A24">
    <cfRule type="containsText" dxfId="3" priority="7427" operator="containsText" text="관리">
      <formula>NOT(ISERROR(SEARCH(("관리"),(A24))))</formula>
    </cfRule>
  </conditionalFormatting>
  <conditionalFormatting sqref="A24">
    <cfRule type="containsText" dxfId="4" priority="7428" operator="containsText" text="등록">
      <formula>NOT(ISERROR(SEARCH(("등록"),(A24))))</formula>
    </cfRule>
  </conditionalFormatting>
  <conditionalFormatting sqref="D24">
    <cfRule type="containsText" dxfId="0" priority="7429" operator="containsText" text="거부">
      <formula>NOT(ISERROR(SEARCH(("거부"),(D24))))</formula>
    </cfRule>
  </conditionalFormatting>
  <conditionalFormatting sqref="D24">
    <cfRule type="containsText" dxfId="1" priority="7430" operator="containsText" text="리턴">
      <formula>NOT(ISERROR(SEARCH(("리턴"),(D24))))</formula>
    </cfRule>
  </conditionalFormatting>
  <conditionalFormatting sqref="D24">
    <cfRule type="containsText" dxfId="2" priority="7431" operator="containsText" text="실패">
      <formula>NOT(ISERROR(SEARCH(("실패"),(D24))))</formula>
    </cfRule>
  </conditionalFormatting>
  <conditionalFormatting sqref="D24">
    <cfRule type="containsText" dxfId="3" priority="7432" operator="containsText" text="관리">
      <formula>NOT(ISERROR(SEARCH(("관리"),(D24))))</formula>
    </cfRule>
  </conditionalFormatting>
  <conditionalFormatting sqref="D24">
    <cfRule type="containsText" dxfId="4" priority="7433" operator="containsText" text="등록">
      <formula>NOT(ISERROR(SEARCH(("등록"),(D24))))</formula>
    </cfRule>
  </conditionalFormatting>
  <conditionalFormatting sqref="D24">
    <cfRule type="containsText" dxfId="0" priority="7434" operator="containsText" text="거부">
      <formula>NOT(ISERROR(SEARCH(("거부"),(D24))))</formula>
    </cfRule>
  </conditionalFormatting>
  <conditionalFormatting sqref="D24">
    <cfRule type="containsText" dxfId="1" priority="7435" operator="containsText" text="리턴">
      <formula>NOT(ISERROR(SEARCH(("리턴"),(D24))))</formula>
    </cfRule>
  </conditionalFormatting>
  <conditionalFormatting sqref="D24">
    <cfRule type="containsText" dxfId="2" priority="7436" operator="containsText" text="실패">
      <formula>NOT(ISERROR(SEARCH(("실패"),(D24))))</formula>
    </cfRule>
  </conditionalFormatting>
  <conditionalFormatting sqref="D24">
    <cfRule type="containsText" dxfId="3" priority="7437" operator="containsText" text="관리">
      <formula>NOT(ISERROR(SEARCH(("관리"),(D24))))</formula>
    </cfRule>
  </conditionalFormatting>
  <conditionalFormatting sqref="D24">
    <cfRule type="containsText" dxfId="4" priority="7438" operator="containsText" text="등록">
      <formula>NOT(ISERROR(SEARCH(("등록"),(D24))))</formula>
    </cfRule>
  </conditionalFormatting>
  <conditionalFormatting sqref="D24">
    <cfRule type="containsText" dxfId="0" priority="7439" operator="containsText" text="거부">
      <formula>NOT(ISERROR(SEARCH(("거부"),(D24))))</formula>
    </cfRule>
  </conditionalFormatting>
  <conditionalFormatting sqref="D24">
    <cfRule type="containsText" dxfId="1" priority="7440" operator="containsText" text="리턴">
      <formula>NOT(ISERROR(SEARCH(("리턴"),(D24))))</formula>
    </cfRule>
  </conditionalFormatting>
  <conditionalFormatting sqref="D24">
    <cfRule type="containsText" dxfId="2" priority="7441" operator="containsText" text="실패">
      <formula>NOT(ISERROR(SEARCH(("실패"),(D24))))</formula>
    </cfRule>
  </conditionalFormatting>
  <conditionalFormatting sqref="D24">
    <cfRule type="containsText" dxfId="3" priority="7442" operator="containsText" text="관리">
      <formula>NOT(ISERROR(SEARCH(("관리"),(D24))))</formula>
    </cfRule>
  </conditionalFormatting>
  <conditionalFormatting sqref="D24">
    <cfRule type="containsText" dxfId="4" priority="7443" operator="containsText" text="등록">
      <formula>NOT(ISERROR(SEARCH(("등록"),(D24))))</formula>
    </cfRule>
  </conditionalFormatting>
  <conditionalFormatting sqref="D24">
    <cfRule type="containsText" dxfId="0" priority="7444" operator="containsText" text="거부">
      <formula>NOT(ISERROR(SEARCH(("거부"),(D24))))</formula>
    </cfRule>
  </conditionalFormatting>
  <conditionalFormatting sqref="D24">
    <cfRule type="containsText" dxfId="1" priority="7445" operator="containsText" text="리턴">
      <formula>NOT(ISERROR(SEARCH(("리턴"),(D24))))</formula>
    </cfRule>
  </conditionalFormatting>
  <conditionalFormatting sqref="D24">
    <cfRule type="containsText" dxfId="2" priority="7446" operator="containsText" text="실패">
      <formula>NOT(ISERROR(SEARCH(("실패"),(D24))))</formula>
    </cfRule>
  </conditionalFormatting>
  <conditionalFormatting sqref="D24">
    <cfRule type="containsText" dxfId="3" priority="7447" operator="containsText" text="관리">
      <formula>NOT(ISERROR(SEARCH(("관리"),(D24))))</formula>
    </cfRule>
  </conditionalFormatting>
  <conditionalFormatting sqref="D24">
    <cfRule type="containsText" dxfId="4" priority="7448" operator="containsText" text="등록">
      <formula>NOT(ISERROR(SEARCH(("등록"),(D24))))</formula>
    </cfRule>
  </conditionalFormatting>
  <conditionalFormatting sqref="D24">
    <cfRule type="containsText" dxfId="0" priority="7449" operator="containsText" text="거부">
      <formula>NOT(ISERROR(SEARCH(("거부"),(D24))))</formula>
    </cfRule>
  </conditionalFormatting>
  <conditionalFormatting sqref="D24">
    <cfRule type="containsText" dxfId="1" priority="7450" operator="containsText" text="리턴">
      <formula>NOT(ISERROR(SEARCH(("리턴"),(D24))))</formula>
    </cfRule>
  </conditionalFormatting>
  <conditionalFormatting sqref="D24">
    <cfRule type="containsText" dxfId="2" priority="7451" operator="containsText" text="실패">
      <formula>NOT(ISERROR(SEARCH(("실패"),(D24))))</formula>
    </cfRule>
  </conditionalFormatting>
  <conditionalFormatting sqref="D24">
    <cfRule type="containsText" dxfId="3" priority="7452" operator="containsText" text="관리">
      <formula>NOT(ISERROR(SEARCH(("관리"),(D24))))</formula>
    </cfRule>
  </conditionalFormatting>
  <conditionalFormatting sqref="D24">
    <cfRule type="containsText" dxfId="4" priority="7453" operator="containsText" text="등록">
      <formula>NOT(ISERROR(SEARCH(("등록"),(D24))))</formula>
    </cfRule>
  </conditionalFormatting>
  <conditionalFormatting sqref="D24">
    <cfRule type="containsText" dxfId="0" priority="7454" operator="containsText" text="거부">
      <formula>NOT(ISERROR(SEARCH(("거부"),(D24))))</formula>
    </cfRule>
  </conditionalFormatting>
  <conditionalFormatting sqref="D24">
    <cfRule type="containsText" dxfId="1" priority="7455" operator="containsText" text="리턴">
      <formula>NOT(ISERROR(SEARCH(("리턴"),(D24))))</formula>
    </cfRule>
  </conditionalFormatting>
  <conditionalFormatting sqref="D24">
    <cfRule type="containsText" dxfId="2" priority="7456" operator="containsText" text="실패">
      <formula>NOT(ISERROR(SEARCH(("실패"),(D24))))</formula>
    </cfRule>
  </conditionalFormatting>
  <conditionalFormatting sqref="D24">
    <cfRule type="containsText" dxfId="3" priority="7457" operator="containsText" text="관리">
      <formula>NOT(ISERROR(SEARCH(("관리"),(D24))))</formula>
    </cfRule>
  </conditionalFormatting>
  <conditionalFormatting sqref="D24">
    <cfRule type="containsText" dxfId="4" priority="7458" operator="containsText" text="등록">
      <formula>NOT(ISERROR(SEARCH(("등록"),(D24))))</formula>
    </cfRule>
  </conditionalFormatting>
  <conditionalFormatting sqref="E24">
    <cfRule type="containsText" dxfId="0" priority="7459" operator="containsText" text="거부">
      <formula>NOT(ISERROR(SEARCH(("거부"),(E24))))</formula>
    </cfRule>
  </conditionalFormatting>
  <conditionalFormatting sqref="E24">
    <cfRule type="containsText" dxfId="1" priority="7460" operator="containsText" text="리턴">
      <formula>NOT(ISERROR(SEARCH(("리턴"),(E24))))</formula>
    </cfRule>
  </conditionalFormatting>
  <conditionalFormatting sqref="E24">
    <cfRule type="containsText" dxfId="2" priority="7461" operator="containsText" text="실패">
      <formula>NOT(ISERROR(SEARCH(("실패"),(E24))))</formula>
    </cfRule>
  </conditionalFormatting>
  <conditionalFormatting sqref="E24">
    <cfRule type="containsText" dxfId="3" priority="7462" operator="containsText" text="관리">
      <formula>NOT(ISERROR(SEARCH(("관리"),(E24))))</formula>
    </cfRule>
  </conditionalFormatting>
  <conditionalFormatting sqref="E24">
    <cfRule type="containsText" dxfId="4" priority="7463" operator="containsText" text="등록">
      <formula>NOT(ISERROR(SEARCH(("등록"),(E24))))</formula>
    </cfRule>
  </conditionalFormatting>
  <conditionalFormatting sqref="G24">
    <cfRule type="containsText" dxfId="0" priority="7464" operator="containsText" text="거부">
      <formula>NOT(ISERROR(SEARCH(("거부"),(G24))))</formula>
    </cfRule>
  </conditionalFormatting>
  <conditionalFormatting sqref="G24">
    <cfRule type="containsText" dxfId="1" priority="7465" operator="containsText" text="리턴">
      <formula>NOT(ISERROR(SEARCH(("리턴"),(G24))))</formula>
    </cfRule>
  </conditionalFormatting>
  <conditionalFormatting sqref="G24">
    <cfRule type="containsText" dxfId="2" priority="7466" operator="containsText" text="실패">
      <formula>NOT(ISERROR(SEARCH(("실패"),(G24))))</formula>
    </cfRule>
  </conditionalFormatting>
  <conditionalFormatting sqref="G24">
    <cfRule type="containsText" dxfId="3" priority="7467" operator="containsText" text="관리">
      <formula>NOT(ISERROR(SEARCH(("관리"),(G24))))</formula>
    </cfRule>
  </conditionalFormatting>
  <conditionalFormatting sqref="G24">
    <cfRule type="containsText" dxfId="4" priority="7468" operator="containsText" text="등록">
      <formula>NOT(ISERROR(SEARCH(("등록"),(G24))))</formula>
    </cfRule>
  </conditionalFormatting>
  <conditionalFormatting sqref="G24">
    <cfRule type="containsText" dxfId="0" priority="7469" operator="containsText" text="거부">
      <formula>NOT(ISERROR(SEARCH(("거부"),(G24))))</formula>
    </cfRule>
  </conditionalFormatting>
  <conditionalFormatting sqref="G24">
    <cfRule type="containsText" dxfId="1" priority="7470" operator="containsText" text="리턴">
      <formula>NOT(ISERROR(SEARCH(("리턴"),(G24))))</formula>
    </cfRule>
  </conditionalFormatting>
  <conditionalFormatting sqref="G24">
    <cfRule type="containsText" dxfId="2" priority="7471" operator="containsText" text="실패">
      <formula>NOT(ISERROR(SEARCH(("실패"),(G24))))</formula>
    </cfRule>
  </conditionalFormatting>
  <conditionalFormatting sqref="G24">
    <cfRule type="containsText" dxfId="3" priority="7472" operator="containsText" text="관리">
      <formula>NOT(ISERROR(SEARCH(("관리"),(G24))))</formula>
    </cfRule>
  </conditionalFormatting>
  <conditionalFormatting sqref="G24">
    <cfRule type="containsText" dxfId="4" priority="7473" operator="containsText" text="등록">
      <formula>NOT(ISERROR(SEARCH(("등록"),(G24))))</formula>
    </cfRule>
  </conditionalFormatting>
  <conditionalFormatting sqref="G24">
    <cfRule type="containsText" dxfId="0" priority="7474" operator="containsText" text="거부">
      <formula>NOT(ISERROR(SEARCH(("거부"),(G24))))</formula>
    </cfRule>
  </conditionalFormatting>
  <conditionalFormatting sqref="G24">
    <cfRule type="containsText" dxfId="1" priority="7475" operator="containsText" text="리턴">
      <formula>NOT(ISERROR(SEARCH(("리턴"),(G24))))</formula>
    </cfRule>
  </conditionalFormatting>
  <conditionalFormatting sqref="G24">
    <cfRule type="containsText" dxfId="2" priority="7476" operator="containsText" text="실패">
      <formula>NOT(ISERROR(SEARCH(("실패"),(G24))))</formula>
    </cfRule>
  </conditionalFormatting>
  <conditionalFormatting sqref="G24">
    <cfRule type="containsText" dxfId="3" priority="7477" operator="containsText" text="관리">
      <formula>NOT(ISERROR(SEARCH(("관리"),(G24))))</formula>
    </cfRule>
  </conditionalFormatting>
  <conditionalFormatting sqref="G24">
    <cfRule type="containsText" dxfId="4" priority="7478" operator="containsText" text="등록">
      <formula>NOT(ISERROR(SEARCH(("등록"),(G24))))</formula>
    </cfRule>
  </conditionalFormatting>
  <conditionalFormatting sqref="G24">
    <cfRule type="containsText" dxfId="0" priority="7479" operator="containsText" text="거부">
      <formula>NOT(ISERROR(SEARCH(("거부"),(G24))))</formula>
    </cfRule>
  </conditionalFormatting>
  <conditionalFormatting sqref="G24">
    <cfRule type="containsText" dxfId="1" priority="7480" operator="containsText" text="리턴">
      <formula>NOT(ISERROR(SEARCH(("리턴"),(G24))))</formula>
    </cfRule>
  </conditionalFormatting>
  <conditionalFormatting sqref="G24">
    <cfRule type="containsText" dxfId="2" priority="7481" operator="containsText" text="실패">
      <formula>NOT(ISERROR(SEARCH(("실패"),(G24))))</formula>
    </cfRule>
  </conditionalFormatting>
  <conditionalFormatting sqref="G24">
    <cfRule type="containsText" dxfId="3" priority="7482" operator="containsText" text="관리">
      <formula>NOT(ISERROR(SEARCH(("관리"),(G24))))</formula>
    </cfRule>
  </conditionalFormatting>
  <conditionalFormatting sqref="G24">
    <cfRule type="containsText" dxfId="4" priority="7483" operator="containsText" text="등록">
      <formula>NOT(ISERROR(SEARCH(("등록"),(G24))))</formula>
    </cfRule>
  </conditionalFormatting>
  <conditionalFormatting sqref="J24">
    <cfRule type="containsText" dxfId="0" priority="7484" operator="containsText" text="거부">
      <formula>NOT(ISERROR(SEARCH(("거부"),(J24))))</formula>
    </cfRule>
  </conditionalFormatting>
  <conditionalFormatting sqref="J24">
    <cfRule type="containsText" dxfId="1" priority="7485" operator="containsText" text="리턴">
      <formula>NOT(ISERROR(SEARCH(("리턴"),(J24))))</formula>
    </cfRule>
  </conditionalFormatting>
  <conditionalFormatting sqref="J24">
    <cfRule type="containsText" dxfId="2" priority="7486" operator="containsText" text="실패">
      <formula>NOT(ISERROR(SEARCH(("실패"),(J24))))</formula>
    </cfRule>
  </conditionalFormatting>
  <conditionalFormatting sqref="J24">
    <cfRule type="containsText" dxfId="3" priority="7487" operator="containsText" text="관리">
      <formula>NOT(ISERROR(SEARCH(("관리"),(J24))))</formula>
    </cfRule>
  </conditionalFormatting>
  <conditionalFormatting sqref="J24">
    <cfRule type="containsText" dxfId="4" priority="7488" operator="containsText" text="등록">
      <formula>NOT(ISERROR(SEARCH(("등록"),(J24))))</formula>
    </cfRule>
  </conditionalFormatting>
  <conditionalFormatting sqref="J24">
    <cfRule type="containsText" dxfId="0" priority="7489" operator="containsText" text="거부">
      <formula>NOT(ISERROR(SEARCH(("거부"),(J24))))</formula>
    </cfRule>
  </conditionalFormatting>
  <conditionalFormatting sqref="J24">
    <cfRule type="containsText" dxfId="1" priority="7490" operator="containsText" text="리턴">
      <formula>NOT(ISERROR(SEARCH(("리턴"),(J24))))</formula>
    </cfRule>
  </conditionalFormatting>
  <conditionalFormatting sqref="J24">
    <cfRule type="containsText" dxfId="2" priority="7491" operator="containsText" text="실패">
      <formula>NOT(ISERROR(SEARCH(("실패"),(J24))))</formula>
    </cfRule>
  </conditionalFormatting>
  <conditionalFormatting sqref="J24">
    <cfRule type="containsText" dxfId="3" priority="7492" operator="containsText" text="관리">
      <formula>NOT(ISERROR(SEARCH(("관리"),(J24))))</formula>
    </cfRule>
  </conditionalFormatting>
  <conditionalFormatting sqref="J24">
    <cfRule type="containsText" dxfId="4" priority="7493" operator="containsText" text="등록">
      <formula>NOT(ISERROR(SEARCH(("등록"),(J24))))</formula>
    </cfRule>
  </conditionalFormatting>
  <conditionalFormatting sqref="J24">
    <cfRule type="containsText" dxfId="0" priority="7494" operator="containsText" text="거부">
      <formula>NOT(ISERROR(SEARCH(("거부"),(J24))))</formula>
    </cfRule>
  </conditionalFormatting>
  <conditionalFormatting sqref="J24">
    <cfRule type="containsText" dxfId="1" priority="7495" operator="containsText" text="리턴">
      <formula>NOT(ISERROR(SEARCH(("리턴"),(J24))))</formula>
    </cfRule>
  </conditionalFormatting>
  <conditionalFormatting sqref="J24">
    <cfRule type="containsText" dxfId="2" priority="7496" operator="containsText" text="실패">
      <formula>NOT(ISERROR(SEARCH(("실패"),(J24))))</formula>
    </cfRule>
  </conditionalFormatting>
  <conditionalFormatting sqref="J24">
    <cfRule type="containsText" dxfId="3" priority="7497" operator="containsText" text="관리">
      <formula>NOT(ISERROR(SEARCH(("관리"),(J24))))</formula>
    </cfRule>
  </conditionalFormatting>
  <conditionalFormatting sqref="J24">
    <cfRule type="containsText" dxfId="4" priority="7498" operator="containsText" text="등록">
      <formula>NOT(ISERROR(SEARCH(("등록"),(J24))))</formula>
    </cfRule>
  </conditionalFormatting>
  <conditionalFormatting sqref="J24">
    <cfRule type="containsText" dxfId="0" priority="7499" operator="containsText" text="거부">
      <formula>NOT(ISERROR(SEARCH(("거부"),(J24))))</formula>
    </cfRule>
  </conditionalFormatting>
  <conditionalFormatting sqref="J24">
    <cfRule type="containsText" dxfId="1" priority="7500" operator="containsText" text="리턴">
      <formula>NOT(ISERROR(SEARCH(("리턴"),(J24))))</formula>
    </cfRule>
  </conditionalFormatting>
  <conditionalFormatting sqref="J24">
    <cfRule type="containsText" dxfId="2" priority="7501" operator="containsText" text="실패">
      <formula>NOT(ISERROR(SEARCH(("실패"),(J24))))</formula>
    </cfRule>
  </conditionalFormatting>
  <conditionalFormatting sqref="J24">
    <cfRule type="containsText" dxfId="3" priority="7502" operator="containsText" text="관리">
      <formula>NOT(ISERROR(SEARCH(("관리"),(J24))))</formula>
    </cfRule>
  </conditionalFormatting>
  <conditionalFormatting sqref="J24">
    <cfRule type="containsText" dxfId="4" priority="7503" operator="containsText" text="등록">
      <formula>NOT(ISERROR(SEARCH(("등록"),(J24))))</formula>
    </cfRule>
  </conditionalFormatting>
  <conditionalFormatting sqref="J24">
    <cfRule type="containsText" dxfId="0" priority="7504" operator="containsText" text="거부">
      <formula>NOT(ISERROR(SEARCH(("거부"),(J24))))</formula>
    </cfRule>
  </conditionalFormatting>
  <conditionalFormatting sqref="J24">
    <cfRule type="containsText" dxfId="1" priority="7505" operator="containsText" text="리턴">
      <formula>NOT(ISERROR(SEARCH(("리턴"),(J24))))</formula>
    </cfRule>
  </conditionalFormatting>
  <conditionalFormatting sqref="J24">
    <cfRule type="containsText" dxfId="2" priority="7506" operator="containsText" text="실패">
      <formula>NOT(ISERROR(SEARCH(("실패"),(J24))))</formula>
    </cfRule>
  </conditionalFormatting>
  <conditionalFormatting sqref="J24">
    <cfRule type="containsText" dxfId="3" priority="7507" operator="containsText" text="관리">
      <formula>NOT(ISERROR(SEARCH(("관리"),(J24))))</formula>
    </cfRule>
  </conditionalFormatting>
  <conditionalFormatting sqref="J24">
    <cfRule type="containsText" dxfId="4" priority="7508" operator="containsText" text="등록">
      <formula>NOT(ISERROR(SEARCH(("등록"),(J24))))</formula>
    </cfRule>
  </conditionalFormatting>
  <conditionalFormatting sqref="J24">
    <cfRule type="containsText" dxfId="0" priority="7509" operator="containsText" text="거부">
      <formula>NOT(ISERROR(SEARCH(("거부"),(J24))))</formula>
    </cfRule>
  </conditionalFormatting>
  <conditionalFormatting sqref="J24">
    <cfRule type="containsText" dxfId="1" priority="7510" operator="containsText" text="리턴">
      <formula>NOT(ISERROR(SEARCH(("리턴"),(J24))))</formula>
    </cfRule>
  </conditionalFormatting>
  <conditionalFormatting sqref="J24">
    <cfRule type="containsText" dxfId="2" priority="7511" operator="containsText" text="실패">
      <formula>NOT(ISERROR(SEARCH(("실패"),(J24))))</formula>
    </cfRule>
  </conditionalFormatting>
  <conditionalFormatting sqref="J24">
    <cfRule type="containsText" dxfId="3" priority="7512" operator="containsText" text="관리">
      <formula>NOT(ISERROR(SEARCH(("관리"),(J24))))</formula>
    </cfRule>
  </conditionalFormatting>
  <conditionalFormatting sqref="J24">
    <cfRule type="containsText" dxfId="4" priority="7513" operator="containsText" text="등록">
      <formula>NOT(ISERROR(SEARCH(("등록"),(J24))))</formula>
    </cfRule>
  </conditionalFormatting>
  <conditionalFormatting sqref="J24">
    <cfRule type="containsText" dxfId="0" priority="7514" operator="containsText" text="거부">
      <formula>NOT(ISERROR(SEARCH(("거부"),(J24))))</formula>
    </cfRule>
  </conditionalFormatting>
  <conditionalFormatting sqref="J24">
    <cfRule type="containsText" dxfId="1" priority="7515" operator="containsText" text="리턴">
      <formula>NOT(ISERROR(SEARCH(("리턴"),(J24))))</formula>
    </cfRule>
  </conditionalFormatting>
  <conditionalFormatting sqref="J24">
    <cfRule type="containsText" dxfId="2" priority="7516" operator="containsText" text="실패">
      <formula>NOT(ISERROR(SEARCH(("실패"),(J24))))</formula>
    </cfRule>
  </conditionalFormatting>
  <conditionalFormatting sqref="J24">
    <cfRule type="containsText" dxfId="3" priority="7517" operator="containsText" text="관리">
      <formula>NOT(ISERROR(SEARCH(("관리"),(J24))))</formula>
    </cfRule>
  </conditionalFormatting>
  <conditionalFormatting sqref="J24">
    <cfRule type="containsText" dxfId="4" priority="7518" operator="containsText" text="등록">
      <formula>NOT(ISERROR(SEARCH(("등록"),(J24))))</formula>
    </cfRule>
  </conditionalFormatting>
  <conditionalFormatting sqref="J24">
    <cfRule type="containsText" dxfId="0" priority="7519" operator="containsText" text="거부">
      <formula>NOT(ISERROR(SEARCH(("거부"),(J24))))</formula>
    </cfRule>
  </conditionalFormatting>
  <conditionalFormatting sqref="J24">
    <cfRule type="containsText" dxfId="1" priority="7520" operator="containsText" text="리턴">
      <formula>NOT(ISERROR(SEARCH(("리턴"),(J24))))</formula>
    </cfRule>
  </conditionalFormatting>
  <conditionalFormatting sqref="J24">
    <cfRule type="containsText" dxfId="2" priority="7521" operator="containsText" text="실패">
      <formula>NOT(ISERROR(SEARCH(("실패"),(J24))))</formula>
    </cfRule>
  </conditionalFormatting>
  <conditionalFormatting sqref="J24">
    <cfRule type="containsText" dxfId="3" priority="7522" operator="containsText" text="관리">
      <formula>NOT(ISERROR(SEARCH(("관리"),(J24))))</formula>
    </cfRule>
  </conditionalFormatting>
  <conditionalFormatting sqref="J24">
    <cfRule type="containsText" dxfId="4" priority="7523" operator="containsText" text="등록">
      <formula>NOT(ISERROR(SEARCH(("등록"),(J24))))</formula>
    </cfRule>
  </conditionalFormatting>
  <conditionalFormatting sqref="J24">
    <cfRule type="containsText" dxfId="0" priority="7524" operator="containsText" text="거부">
      <formula>NOT(ISERROR(SEARCH(("거부"),(J24))))</formula>
    </cfRule>
  </conditionalFormatting>
  <conditionalFormatting sqref="J24">
    <cfRule type="containsText" dxfId="1" priority="7525" operator="containsText" text="리턴">
      <formula>NOT(ISERROR(SEARCH(("리턴"),(J24))))</formula>
    </cfRule>
  </conditionalFormatting>
  <conditionalFormatting sqref="J24">
    <cfRule type="containsText" dxfId="2" priority="7526" operator="containsText" text="실패">
      <formula>NOT(ISERROR(SEARCH(("실패"),(J24))))</formula>
    </cfRule>
  </conditionalFormatting>
  <conditionalFormatting sqref="J24">
    <cfRule type="containsText" dxfId="3" priority="7527" operator="containsText" text="관리">
      <formula>NOT(ISERROR(SEARCH(("관리"),(J24))))</formula>
    </cfRule>
  </conditionalFormatting>
  <conditionalFormatting sqref="J24">
    <cfRule type="containsText" dxfId="4" priority="7528" operator="containsText" text="등록">
      <formula>NOT(ISERROR(SEARCH(("등록"),(J24))))</formula>
    </cfRule>
  </conditionalFormatting>
  <conditionalFormatting sqref="A25">
    <cfRule type="containsText" dxfId="0" priority="7529" operator="containsText" text="거부">
      <formula>NOT(ISERROR(SEARCH(("거부"),(A25))))</formula>
    </cfRule>
  </conditionalFormatting>
  <conditionalFormatting sqref="A25">
    <cfRule type="containsText" dxfId="1" priority="7530" operator="containsText" text="리턴">
      <formula>NOT(ISERROR(SEARCH(("리턴"),(A25))))</formula>
    </cfRule>
  </conditionalFormatting>
  <conditionalFormatting sqref="A25">
    <cfRule type="containsText" dxfId="2" priority="7531" operator="containsText" text="실패">
      <formula>NOT(ISERROR(SEARCH(("실패"),(A25))))</formula>
    </cfRule>
  </conditionalFormatting>
  <conditionalFormatting sqref="A25">
    <cfRule type="containsText" dxfId="3" priority="7532" operator="containsText" text="관리">
      <formula>NOT(ISERROR(SEARCH(("관리"),(A25))))</formula>
    </cfRule>
  </conditionalFormatting>
  <conditionalFormatting sqref="A25">
    <cfRule type="containsText" dxfId="4" priority="7533" operator="containsText" text="등록">
      <formula>NOT(ISERROR(SEARCH(("등록"),(A25))))</formula>
    </cfRule>
  </conditionalFormatting>
  <conditionalFormatting sqref="A25">
    <cfRule type="containsText" dxfId="0" priority="7534" operator="containsText" text="거부">
      <formula>NOT(ISERROR(SEARCH(("거부"),(A25))))</formula>
    </cfRule>
  </conditionalFormatting>
  <conditionalFormatting sqref="A25">
    <cfRule type="containsText" dxfId="1" priority="7535" operator="containsText" text="리턴">
      <formula>NOT(ISERROR(SEARCH(("리턴"),(A25))))</formula>
    </cfRule>
  </conditionalFormatting>
  <conditionalFormatting sqref="A25">
    <cfRule type="containsText" dxfId="2" priority="7536" operator="containsText" text="실패">
      <formula>NOT(ISERROR(SEARCH(("실패"),(A25))))</formula>
    </cfRule>
  </conditionalFormatting>
  <conditionalFormatting sqref="A25">
    <cfRule type="containsText" dxfId="3" priority="7537" operator="containsText" text="관리">
      <formula>NOT(ISERROR(SEARCH(("관리"),(A25))))</formula>
    </cfRule>
  </conditionalFormatting>
  <conditionalFormatting sqref="A25">
    <cfRule type="containsText" dxfId="4" priority="7538" operator="containsText" text="등록">
      <formula>NOT(ISERROR(SEARCH(("등록"),(A25))))</formula>
    </cfRule>
  </conditionalFormatting>
  <conditionalFormatting sqref="A25">
    <cfRule type="containsText" dxfId="0" priority="7539" operator="containsText" text="거부">
      <formula>NOT(ISERROR(SEARCH(("거부"),(A25))))</formula>
    </cfRule>
  </conditionalFormatting>
  <conditionalFormatting sqref="A25">
    <cfRule type="containsText" dxfId="1" priority="7540" operator="containsText" text="리턴">
      <formula>NOT(ISERROR(SEARCH(("리턴"),(A25))))</formula>
    </cfRule>
  </conditionalFormatting>
  <conditionalFormatting sqref="A25">
    <cfRule type="containsText" dxfId="2" priority="7541" operator="containsText" text="실패">
      <formula>NOT(ISERROR(SEARCH(("실패"),(A25))))</formula>
    </cfRule>
  </conditionalFormatting>
  <conditionalFormatting sqref="A25">
    <cfRule type="containsText" dxfId="3" priority="7542" operator="containsText" text="관리">
      <formula>NOT(ISERROR(SEARCH(("관리"),(A25))))</formula>
    </cfRule>
  </conditionalFormatting>
  <conditionalFormatting sqref="A25">
    <cfRule type="containsText" dxfId="4" priority="7543" operator="containsText" text="등록">
      <formula>NOT(ISERROR(SEARCH(("등록"),(A25))))</formula>
    </cfRule>
  </conditionalFormatting>
  <conditionalFormatting sqref="A25">
    <cfRule type="containsText" dxfId="0" priority="7544" operator="containsText" text="거부">
      <formula>NOT(ISERROR(SEARCH(("거부"),(A25))))</formula>
    </cfRule>
  </conditionalFormatting>
  <conditionalFormatting sqref="A25">
    <cfRule type="containsText" dxfId="1" priority="7545" operator="containsText" text="리턴">
      <formula>NOT(ISERROR(SEARCH(("리턴"),(A25))))</formula>
    </cfRule>
  </conditionalFormatting>
  <conditionalFormatting sqref="A25">
    <cfRule type="containsText" dxfId="2" priority="7546" operator="containsText" text="실패">
      <formula>NOT(ISERROR(SEARCH(("실패"),(A25))))</formula>
    </cfRule>
  </conditionalFormatting>
  <conditionalFormatting sqref="A25">
    <cfRule type="containsText" dxfId="3" priority="7547" operator="containsText" text="관리">
      <formula>NOT(ISERROR(SEARCH(("관리"),(A25))))</formula>
    </cfRule>
  </conditionalFormatting>
  <conditionalFormatting sqref="A25">
    <cfRule type="containsText" dxfId="4" priority="7548" operator="containsText" text="등록">
      <formula>NOT(ISERROR(SEARCH(("등록"),(A25))))</formula>
    </cfRule>
  </conditionalFormatting>
  <conditionalFormatting sqref="A25">
    <cfRule type="containsText" dxfId="0" priority="7549" operator="containsText" text="거부">
      <formula>NOT(ISERROR(SEARCH(("거부"),(A25))))</formula>
    </cfRule>
  </conditionalFormatting>
  <conditionalFormatting sqref="A25">
    <cfRule type="containsText" dxfId="1" priority="7550" operator="containsText" text="리턴">
      <formula>NOT(ISERROR(SEARCH(("리턴"),(A25))))</formula>
    </cfRule>
  </conditionalFormatting>
  <conditionalFormatting sqref="A25">
    <cfRule type="containsText" dxfId="2" priority="7551" operator="containsText" text="실패">
      <formula>NOT(ISERROR(SEARCH(("실패"),(A25))))</formula>
    </cfRule>
  </conditionalFormatting>
  <conditionalFormatting sqref="A25">
    <cfRule type="containsText" dxfId="3" priority="7552" operator="containsText" text="관리">
      <formula>NOT(ISERROR(SEARCH(("관리"),(A25))))</formula>
    </cfRule>
  </conditionalFormatting>
  <conditionalFormatting sqref="A25">
    <cfRule type="containsText" dxfId="4" priority="7553" operator="containsText" text="등록">
      <formula>NOT(ISERROR(SEARCH(("등록"),(A25))))</formula>
    </cfRule>
  </conditionalFormatting>
  <conditionalFormatting sqref="A25">
    <cfRule type="containsText" dxfId="0" priority="7554" operator="containsText" text="거부">
      <formula>NOT(ISERROR(SEARCH(("거부"),(A25))))</formula>
    </cfRule>
  </conditionalFormatting>
  <conditionalFormatting sqref="A25">
    <cfRule type="containsText" dxfId="1" priority="7555" operator="containsText" text="리턴">
      <formula>NOT(ISERROR(SEARCH(("리턴"),(A25))))</formula>
    </cfRule>
  </conditionalFormatting>
  <conditionalFormatting sqref="A25">
    <cfRule type="containsText" dxfId="2" priority="7556" operator="containsText" text="실패">
      <formula>NOT(ISERROR(SEARCH(("실패"),(A25))))</formula>
    </cfRule>
  </conditionalFormatting>
  <conditionalFormatting sqref="A25">
    <cfRule type="containsText" dxfId="3" priority="7557" operator="containsText" text="관리">
      <formula>NOT(ISERROR(SEARCH(("관리"),(A25))))</formula>
    </cfRule>
  </conditionalFormatting>
  <conditionalFormatting sqref="A25">
    <cfRule type="containsText" dxfId="4" priority="7558" operator="containsText" text="등록">
      <formula>NOT(ISERROR(SEARCH(("등록"),(A25))))</formula>
    </cfRule>
  </conditionalFormatting>
  <conditionalFormatting sqref="A25">
    <cfRule type="containsText" dxfId="0" priority="7559" operator="containsText" text="거부">
      <formula>NOT(ISERROR(SEARCH(("거부"),(A25))))</formula>
    </cfRule>
  </conditionalFormatting>
  <conditionalFormatting sqref="A25">
    <cfRule type="containsText" dxfId="1" priority="7560" operator="containsText" text="리턴">
      <formula>NOT(ISERROR(SEARCH(("리턴"),(A25))))</formula>
    </cfRule>
  </conditionalFormatting>
  <conditionalFormatting sqref="A25">
    <cfRule type="containsText" dxfId="2" priority="7561" operator="containsText" text="실패">
      <formula>NOT(ISERROR(SEARCH(("실패"),(A25))))</formula>
    </cfRule>
  </conditionalFormatting>
  <conditionalFormatting sqref="A25">
    <cfRule type="containsText" dxfId="3" priority="7562" operator="containsText" text="관리">
      <formula>NOT(ISERROR(SEARCH(("관리"),(A25))))</formula>
    </cfRule>
  </conditionalFormatting>
  <conditionalFormatting sqref="A25">
    <cfRule type="containsText" dxfId="4" priority="7563" operator="containsText" text="등록">
      <formula>NOT(ISERROR(SEARCH(("등록"),(A25))))</formula>
    </cfRule>
  </conditionalFormatting>
  <conditionalFormatting sqref="A25">
    <cfRule type="containsText" dxfId="0" priority="7564" operator="containsText" text="거부">
      <formula>NOT(ISERROR(SEARCH(("거부"),(A25))))</formula>
    </cfRule>
  </conditionalFormatting>
  <conditionalFormatting sqref="A25">
    <cfRule type="containsText" dxfId="1" priority="7565" operator="containsText" text="리턴">
      <formula>NOT(ISERROR(SEARCH(("리턴"),(A25))))</formula>
    </cfRule>
  </conditionalFormatting>
  <conditionalFormatting sqref="A25">
    <cfRule type="containsText" dxfId="2" priority="7566" operator="containsText" text="실패">
      <formula>NOT(ISERROR(SEARCH(("실패"),(A25))))</formula>
    </cfRule>
  </conditionalFormatting>
  <conditionalFormatting sqref="A25">
    <cfRule type="containsText" dxfId="3" priority="7567" operator="containsText" text="관리">
      <formula>NOT(ISERROR(SEARCH(("관리"),(A25))))</formula>
    </cfRule>
  </conditionalFormatting>
  <conditionalFormatting sqref="A25">
    <cfRule type="containsText" dxfId="4" priority="7568" operator="containsText" text="등록">
      <formula>NOT(ISERROR(SEARCH(("등록"),(A25))))</formula>
    </cfRule>
  </conditionalFormatting>
  <conditionalFormatting sqref="A25">
    <cfRule type="containsText" dxfId="0" priority="7569" operator="containsText" text="거부">
      <formula>NOT(ISERROR(SEARCH(("거부"),(A25))))</formula>
    </cfRule>
  </conditionalFormatting>
  <conditionalFormatting sqref="A25">
    <cfRule type="containsText" dxfId="1" priority="7570" operator="containsText" text="리턴">
      <formula>NOT(ISERROR(SEARCH(("리턴"),(A25))))</formula>
    </cfRule>
  </conditionalFormatting>
  <conditionalFormatting sqref="A25">
    <cfRule type="containsText" dxfId="2" priority="7571" operator="containsText" text="실패">
      <formula>NOT(ISERROR(SEARCH(("실패"),(A25))))</formula>
    </cfRule>
  </conditionalFormatting>
  <conditionalFormatting sqref="A25">
    <cfRule type="containsText" dxfId="3" priority="7572" operator="containsText" text="관리">
      <formula>NOT(ISERROR(SEARCH(("관리"),(A25))))</formula>
    </cfRule>
  </conditionalFormatting>
  <conditionalFormatting sqref="A25">
    <cfRule type="containsText" dxfId="4" priority="7573" operator="containsText" text="등록">
      <formula>NOT(ISERROR(SEARCH(("등록"),(A25))))</formula>
    </cfRule>
  </conditionalFormatting>
  <conditionalFormatting sqref="A25">
    <cfRule type="containsText" dxfId="0" priority="7574" operator="containsText" text="거부">
      <formula>NOT(ISERROR(SEARCH(("거부"),(A25))))</formula>
    </cfRule>
  </conditionalFormatting>
  <conditionalFormatting sqref="A25">
    <cfRule type="containsText" dxfId="1" priority="7575" operator="containsText" text="리턴">
      <formula>NOT(ISERROR(SEARCH(("리턴"),(A25))))</formula>
    </cfRule>
  </conditionalFormatting>
  <conditionalFormatting sqref="A25">
    <cfRule type="containsText" dxfId="2" priority="7576" operator="containsText" text="실패">
      <formula>NOT(ISERROR(SEARCH(("실패"),(A25))))</formula>
    </cfRule>
  </conditionalFormatting>
  <conditionalFormatting sqref="A25">
    <cfRule type="containsText" dxfId="3" priority="7577" operator="containsText" text="관리">
      <formula>NOT(ISERROR(SEARCH(("관리"),(A25))))</formula>
    </cfRule>
  </conditionalFormatting>
  <conditionalFormatting sqref="A25">
    <cfRule type="containsText" dxfId="4" priority="7578" operator="containsText" text="등록">
      <formula>NOT(ISERROR(SEARCH(("등록"),(A25))))</formula>
    </cfRule>
  </conditionalFormatting>
  <conditionalFormatting sqref="A25">
    <cfRule type="containsText" dxfId="0" priority="7579" operator="containsText" text="거부">
      <formula>NOT(ISERROR(SEARCH(("거부"),(A25))))</formula>
    </cfRule>
  </conditionalFormatting>
  <conditionalFormatting sqref="A25">
    <cfRule type="containsText" dxfId="1" priority="7580" operator="containsText" text="리턴">
      <formula>NOT(ISERROR(SEARCH(("리턴"),(A25))))</formula>
    </cfRule>
  </conditionalFormatting>
  <conditionalFormatting sqref="A25">
    <cfRule type="containsText" dxfId="2" priority="7581" operator="containsText" text="실패">
      <formula>NOT(ISERROR(SEARCH(("실패"),(A25))))</formula>
    </cfRule>
  </conditionalFormatting>
  <conditionalFormatting sqref="A25">
    <cfRule type="containsText" dxfId="3" priority="7582" operator="containsText" text="관리">
      <formula>NOT(ISERROR(SEARCH(("관리"),(A25))))</formula>
    </cfRule>
  </conditionalFormatting>
  <conditionalFormatting sqref="A25">
    <cfRule type="containsText" dxfId="4" priority="7583" operator="containsText" text="등록">
      <formula>NOT(ISERROR(SEARCH(("등록"),(A25))))</formula>
    </cfRule>
  </conditionalFormatting>
  <conditionalFormatting sqref="A25">
    <cfRule type="containsText" dxfId="0" priority="7584" operator="containsText" text="거부">
      <formula>NOT(ISERROR(SEARCH(("거부"),(A25))))</formula>
    </cfRule>
  </conditionalFormatting>
  <conditionalFormatting sqref="A25">
    <cfRule type="containsText" dxfId="1" priority="7585" operator="containsText" text="리턴">
      <formula>NOT(ISERROR(SEARCH(("리턴"),(A25))))</formula>
    </cfRule>
  </conditionalFormatting>
  <conditionalFormatting sqref="A25">
    <cfRule type="containsText" dxfId="2" priority="7586" operator="containsText" text="실패">
      <formula>NOT(ISERROR(SEARCH(("실패"),(A25))))</formula>
    </cfRule>
  </conditionalFormatting>
  <conditionalFormatting sqref="A25">
    <cfRule type="containsText" dxfId="3" priority="7587" operator="containsText" text="관리">
      <formula>NOT(ISERROR(SEARCH(("관리"),(A25))))</formula>
    </cfRule>
  </conditionalFormatting>
  <conditionalFormatting sqref="A25">
    <cfRule type="containsText" dxfId="4" priority="7588" operator="containsText" text="등록">
      <formula>NOT(ISERROR(SEARCH(("등록"),(A25))))</formula>
    </cfRule>
  </conditionalFormatting>
  <conditionalFormatting sqref="A25">
    <cfRule type="containsText" dxfId="0" priority="7589" operator="containsText" text="거부">
      <formula>NOT(ISERROR(SEARCH(("거부"),(A25))))</formula>
    </cfRule>
  </conditionalFormatting>
  <conditionalFormatting sqref="A25">
    <cfRule type="containsText" dxfId="1" priority="7590" operator="containsText" text="리턴">
      <formula>NOT(ISERROR(SEARCH(("리턴"),(A25))))</formula>
    </cfRule>
  </conditionalFormatting>
  <conditionalFormatting sqref="A25">
    <cfRule type="containsText" dxfId="2" priority="7591" operator="containsText" text="실패">
      <formula>NOT(ISERROR(SEARCH(("실패"),(A25))))</formula>
    </cfRule>
  </conditionalFormatting>
  <conditionalFormatting sqref="A25">
    <cfRule type="containsText" dxfId="3" priority="7592" operator="containsText" text="관리">
      <formula>NOT(ISERROR(SEARCH(("관리"),(A25))))</formula>
    </cfRule>
  </conditionalFormatting>
  <conditionalFormatting sqref="A25">
    <cfRule type="containsText" dxfId="4" priority="7593" operator="containsText" text="등록">
      <formula>NOT(ISERROR(SEARCH(("등록"),(A25))))</formula>
    </cfRule>
  </conditionalFormatting>
  <conditionalFormatting sqref="A25">
    <cfRule type="containsText" dxfId="0" priority="7594" operator="containsText" text="거부">
      <formula>NOT(ISERROR(SEARCH(("거부"),(A25))))</formula>
    </cfRule>
  </conditionalFormatting>
  <conditionalFormatting sqref="A25">
    <cfRule type="containsText" dxfId="1" priority="7595" operator="containsText" text="리턴">
      <formula>NOT(ISERROR(SEARCH(("리턴"),(A25))))</formula>
    </cfRule>
  </conditionalFormatting>
  <conditionalFormatting sqref="A25">
    <cfRule type="containsText" dxfId="2" priority="7596" operator="containsText" text="실패">
      <formula>NOT(ISERROR(SEARCH(("실패"),(A25))))</formula>
    </cfRule>
  </conditionalFormatting>
  <conditionalFormatting sqref="A25">
    <cfRule type="containsText" dxfId="3" priority="7597" operator="containsText" text="관리">
      <formula>NOT(ISERROR(SEARCH(("관리"),(A25))))</formula>
    </cfRule>
  </conditionalFormatting>
  <conditionalFormatting sqref="A25">
    <cfRule type="containsText" dxfId="4" priority="7598" operator="containsText" text="등록">
      <formula>NOT(ISERROR(SEARCH(("등록"),(A25))))</formula>
    </cfRule>
  </conditionalFormatting>
  <conditionalFormatting sqref="A25">
    <cfRule type="containsText" dxfId="0" priority="7599" operator="containsText" text="거부">
      <formula>NOT(ISERROR(SEARCH(("거부"),(A25))))</formula>
    </cfRule>
  </conditionalFormatting>
  <conditionalFormatting sqref="A25">
    <cfRule type="containsText" dxfId="1" priority="7600" operator="containsText" text="리턴">
      <formula>NOT(ISERROR(SEARCH(("리턴"),(A25))))</formula>
    </cfRule>
  </conditionalFormatting>
  <conditionalFormatting sqref="A25">
    <cfRule type="containsText" dxfId="2" priority="7601" operator="containsText" text="실패">
      <formula>NOT(ISERROR(SEARCH(("실패"),(A25))))</formula>
    </cfRule>
  </conditionalFormatting>
  <conditionalFormatting sqref="A25">
    <cfRule type="containsText" dxfId="3" priority="7602" operator="containsText" text="관리">
      <formula>NOT(ISERROR(SEARCH(("관리"),(A25))))</formula>
    </cfRule>
  </conditionalFormatting>
  <conditionalFormatting sqref="A25">
    <cfRule type="containsText" dxfId="4" priority="7603" operator="containsText" text="등록">
      <formula>NOT(ISERROR(SEARCH(("등록"),(A25))))</formula>
    </cfRule>
  </conditionalFormatting>
  <conditionalFormatting sqref="A25">
    <cfRule type="containsText" dxfId="0" priority="7604" operator="containsText" text="거부">
      <formula>NOT(ISERROR(SEARCH(("거부"),(A25))))</formula>
    </cfRule>
  </conditionalFormatting>
  <conditionalFormatting sqref="A25">
    <cfRule type="containsText" dxfId="1" priority="7605" operator="containsText" text="리턴">
      <formula>NOT(ISERROR(SEARCH(("리턴"),(A25))))</formula>
    </cfRule>
  </conditionalFormatting>
  <conditionalFormatting sqref="A25">
    <cfRule type="containsText" dxfId="2" priority="7606" operator="containsText" text="실패">
      <formula>NOT(ISERROR(SEARCH(("실패"),(A25))))</formula>
    </cfRule>
  </conditionalFormatting>
  <conditionalFormatting sqref="A25">
    <cfRule type="containsText" dxfId="3" priority="7607" operator="containsText" text="관리">
      <formula>NOT(ISERROR(SEARCH(("관리"),(A25))))</formula>
    </cfRule>
  </conditionalFormatting>
  <conditionalFormatting sqref="A25">
    <cfRule type="containsText" dxfId="4" priority="7608" operator="containsText" text="등록">
      <formula>NOT(ISERROR(SEARCH(("등록"),(A25))))</formula>
    </cfRule>
  </conditionalFormatting>
  <conditionalFormatting sqref="A25">
    <cfRule type="containsText" dxfId="0" priority="7609" operator="containsText" text="거부">
      <formula>NOT(ISERROR(SEARCH(("거부"),(A25))))</formula>
    </cfRule>
  </conditionalFormatting>
  <conditionalFormatting sqref="A25">
    <cfRule type="containsText" dxfId="1" priority="7610" operator="containsText" text="리턴">
      <formula>NOT(ISERROR(SEARCH(("리턴"),(A25))))</formula>
    </cfRule>
  </conditionalFormatting>
  <conditionalFormatting sqref="A25">
    <cfRule type="containsText" dxfId="2" priority="7611" operator="containsText" text="실패">
      <formula>NOT(ISERROR(SEARCH(("실패"),(A25))))</formula>
    </cfRule>
  </conditionalFormatting>
  <conditionalFormatting sqref="A25">
    <cfRule type="containsText" dxfId="3" priority="7612" operator="containsText" text="관리">
      <formula>NOT(ISERROR(SEARCH(("관리"),(A25))))</formula>
    </cfRule>
  </conditionalFormatting>
  <conditionalFormatting sqref="A25">
    <cfRule type="containsText" dxfId="4" priority="7613" operator="containsText" text="등록">
      <formula>NOT(ISERROR(SEARCH(("등록"),(A25))))</formula>
    </cfRule>
  </conditionalFormatting>
  <conditionalFormatting sqref="A25">
    <cfRule type="containsText" dxfId="0" priority="7614" operator="containsText" text="거부">
      <formula>NOT(ISERROR(SEARCH(("거부"),(A25))))</formula>
    </cfRule>
  </conditionalFormatting>
  <conditionalFormatting sqref="A25">
    <cfRule type="containsText" dxfId="1" priority="7615" operator="containsText" text="리턴">
      <formula>NOT(ISERROR(SEARCH(("리턴"),(A25))))</formula>
    </cfRule>
  </conditionalFormatting>
  <conditionalFormatting sqref="A25">
    <cfRule type="containsText" dxfId="2" priority="7616" operator="containsText" text="실패">
      <formula>NOT(ISERROR(SEARCH(("실패"),(A25))))</formula>
    </cfRule>
  </conditionalFormatting>
  <conditionalFormatting sqref="A25">
    <cfRule type="containsText" dxfId="3" priority="7617" operator="containsText" text="관리">
      <formula>NOT(ISERROR(SEARCH(("관리"),(A25))))</formula>
    </cfRule>
  </conditionalFormatting>
  <conditionalFormatting sqref="A25">
    <cfRule type="containsText" dxfId="4" priority="7618" operator="containsText" text="등록">
      <formula>NOT(ISERROR(SEARCH(("등록"),(A25))))</formula>
    </cfRule>
  </conditionalFormatting>
  <conditionalFormatting sqref="A25">
    <cfRule type="containsText" dxfId="0" priority="7619" operator="containsText" text="거부">
      <formula>NOT(ISERROR(SEARCH(("거부"),(A25))))</formula>
    </cfRule>
  </conditionalFormatting>
  <conditionalFormatting sqref="A25">
    <cfRule type="containsText" dxfId="1" priority="7620" operator="containsText" text="리턴">
      <formula>NOT(ISERROR(SEARCH(("리턴"),(A25))))</formula>
    </cfRule>
  </conditionalFormatting>
  <conditionalFormatting sqref="A25">
    <cfRule type="containsText" dxfId="2" priority="7621" operator="containsText" text="실패">
      <formula>NOT(ISERROR(SEARCH(("실패"),(A25))))</formula>
    </cfRule>
  </conditionalFormatting>
  <conditionalFormatting sqref="A25">
    <cfRule type="containsText" dxfId="3" priority="7622" operator="containsText" text="관리">
      <formula>NOT(ISERROR(SEARCH(("관리"),(A25))))</formula>
    </cfRule>
  </conditionalFormatting>
  <conditionalFormatting sqref="A25">
    <cfRule type="containsText" dxfId="4" priority="7623" operator="containsText" text="등록">
      <formula>NOT(ISERROR(SEARCH(("등록"),(A25))))</formula>
    </cfRule>
  </conditionalFormatting>
  <conditionalFormatting sqref="A25">
    <cfRule type="containsText" dxfId="0" priority="7624" operator="containsText" text="거부">
      <formula>NOT(ISERROR(SEARCH(("거부"),(A25))))</formula>
    </cfRule>
  </conditionalFormatting>
  <conditionalFormatting sqref="A25">
    <cfRule type="containsText" dxfId="1" priority="7625" operator="containsText" text="리턴">
      <formula>NOT(ISERROR(SEARCH(("리턴"),(A25))))</formula>
    </cfRule>
  </conditionalFormatting>
  <conditionalFormatting sqref="A25">
    <cfRule type="containsText" dxfId="2" priority="7626" operator="containsText" text="실패">
      <formula>NOT(ISERROR(SEARCH(("실패"),(A25))))</formula>
    </cfRule>
  </conditionalFormatting>
  <conditionalFormatting sqref="A25">
    <cfRule type="containsText" dxfId="3" priority="7627" operator="containsText" text="관리">
      <formula>NOT(ISERROR(SEARCH(("관리"),(A25))))</formula>
    </cfRule>
  </conditionalFormatting>
  <conditionalFormatting sqref="A25">
    <cfRule type="containsText" dxfId="4" priority="7628" operator="containsText" text="등록">
      <formula>NOT(ISERROR(SEARCH(("등록"),(A25))))</formula>
    </cfRule>
  </conditionalFormatting>
  <conditionalFormatting sqref="A25">
    <cfRule type="containsText" dxfId="0" priority="7629" operator="containsText" text="거부">
      <formula>NOT(ISERROR(SEARCH(("거부"),(A25))))</formula>
    </cfRule>
  </conditionalFormatting>
  <conditionalFormatting sqref="A25">
    <cfRule type="containsText" dxfId="1" priority="7630" operator="containsText" text="리턴">
      <formula>NOT(ISERROR(SEARCH(("리턴"),(A25))))</formula>
    </cfRule>
  </conditionalFormatting>
  <conditionalFormatting sqref="A25">
    <cfRule type="containsText" dxfId="2" priority="7631" operator="containsText" text="실패">
      <formula>NOT(ISERROR(SEARCH(("실패"),(A25))))</formula>
    </cfRule>
  </conditionalFormatting>
  <conditionalFormatting sqref="A25">
    <cfRule type="containsText" dxfId="3" priority="7632" operator="containsText" text="관리">
      <formula>NOT(ISERROR(SEARCH(("관리"),(A25))))</formula>
    </cfRule>
  </conditionalFormatting>
  <conditionalFormatting sqref="A25">
    <cfRule type="containsText" dxfId="4" priority="7633" operator="containsText" text="등록">
      <formula>NOT(ISERROR(SEARCH(("등록"),(A25))))</formula>
    </cfRule>
  </conditionalFormatting>
  <conditionalFormatting sqref="A25">
    <cfRule type="containsText" dxfId="0" priority="7634" operator="containsText" text="거부">
      <formula>NOT(ISERROR(SEARCH(("거부"),(A25))))</formula>
    </cfRule>
  </conditionalFormatting>
  <conditionalFormatting sqref="A25">
    <cfRule type="containsText" dxfId="1" priority="7635" operator="containsText" text="리턴">
      <formula>NOT(ISERROR(SEARCH(("리턴"),(A25))))</formula>
    </cfRule>
  </conditionalFormatting>
  <conditionalFormatting sqref="A25">
    <cfRule type="containsText" dxfId="2" priority="7636" operator="containsText" text="실패">
      <formula>NOT(ISERROR(SEARCH(("실패"),(A25))))</formula>
    </cfRule>
  </conditionalFormatting>
  <conditionalFormatting sqref="A25">
    <cfRule type="containsText" dxfId="3" priority="7637" operator="containsText" text="관리">
      <formula>NOT(ISERROR(SEARCH(("관리"),(A25))))</formula>
    </cfRule>
  </conditionalFormatting>
  <conditionalFormatting sqref="A25">
    <cfRule type="containsText" dxfId="4" priority="7638" operator="containsText" text="등록">
      <formula>NOT(ISERROR(SEARCH(("등록"),(A25))))</formula>
    </cfRule>
  </conditionalFormatting>
  <conditionalFormatting sqref="A25">
    <cfRule type="containsText" dxfId="0" priority="7639" operator="containsText" text="거부">
      <formula>NOT(ISERROR(SEARCH(("거부"),(A25))))</formula>
    </cfRule>
  </conditionalFormatting>
  <conditionalFormatting sqref="A25">
    <cfRule type="containsText" dxfId="1" priority="7640" operator="containsText" text="리턴">
      <formula>NOT(ISERROR(SEARCH(("리턴"),(A25))))</formula>
    </cfRule>
  </conditionalFormatting>
  <conditionalFormatting sqref="A25">
    <cfRule type="containsText" dxfId="2" priority="7641" operator="containsText" text="실패">
      <formula>NOT(ISERROR(SEARCH(("실패"),(A25))))</formula>
    </cfRule>
  </conditionalFormatting>
  <conditionalFormatting sqref="A25">
    <cfRule type="containsText" dxfId="3" priority="7642" operator="containsText" text="관리">
      <formula>NOT(ISERROR(SEARCH(("관리"),(A25))))</formula>
    </cfRule>
  </conditionalFormatting>
  <conditionalFormatting sqref="A25">
    <cfRule type="containsText" dxfId="4" priority="7643" operator="containsText" text="등록">
      <formula>NOT(ISERROR(SEARCH(("등록"),(A25))))</formula>
    </cfRule>
  </conditionalFormatting>
  <conditionalFormatting sqref="A25">
    <cfRule type="containsText" dxfId="0" priority="7644" operator="containsText" text="거부">
      <formula>NOT(ISERROR(SEARCH(("거부"),(A25))))</formula>
    </cfRule>
  </conditionalFormatting>
  <conditionalFormatting sqref="A25">
    <cfRule type="containsText" dxfId="1" priority="7645" operator="containsText" text="리턴">
      <formula>NOT(ISERROR(SEARCH(("리턴"),(A25))))</formula>
    </cfRule>
  </conditionalFormatting>
  <conditionalFormatting sqref="A25">
    <cfRule type="containsText" dxfId="2" priority="7646" operator="containsText" text="실패">
      <formula>NOT(ISERROR(SEARCH(("실패"),(A25))))</formula>
    </cfRule>
  </conditionalFormatting>
  <conditionalFormatting sqref="A25">
    <cfRule type="containsText" dxfId="3" priority="7647" operator="containsText" text="관리">
      <formula>NOT(ISERROR(SEARCH(("관리"),(A25))))</formula>
    </cfRule>
  </conditionalFormatting>
  <conditionalFormatting sqref="A25">
    <cfRule type="containsText" dxfId="4" priority="7648" operator="containsText" text="등록">
      <formula>NOT(ISERROR(SEARCH(("등록"),(A25))))</formula>
    </cfRule>
  </conditionalFormatting>
  <conditionalFormatting sqref="A25">
    <cfRule type="containsText" dxfId="0" priority="7649" operator="containsText" text="거부">
      <formula>NOT(ISERROR(SEARCH(("거부"),(A25))))</formula>
    </cfRule>
  </conditionalFormatting>
  <conditionalFormatting sqref="A25">
    <cfRule type="containsText" dxfId="1" priority="7650" operator="containsText" text="리턴">
      <formula>NOT(ISERROR(SEARCH(("리턴"),(A25))))</formula>
    </cfRule>
  </conditionalFormatting>
  <conditionalFormatting sqref="A25">
    <cfRule type="containsText" dxfId="2" priority="7651" operator="containsText" text="실패">
      <formula>NOT(ISERROR(SEARCH(("실패"),(A25))))</formula>
    </cfRule>
  </conditionalFormatting>
  <conditionalFormatting sqref="A25">
    <cfRule type="containsText" dxfId="3" priority="7652" operator="containsText" text="관리">
      <formula>NOT(ISERROR(SEARCH(("관리"),(A25))))</formula>
    </cfRule>
  </conditionalFormatting>
  <conditionalFormatting sqref="A25">
    <cfRule type="containsText" dxfId="4" priority="7653" operator="containsText" text="등록">
      <formula>NOT(ISERROR(SEARCH(("등록"),(A25))))</formula>
    </cfRule>
  </conditionalFormatting>
  <conditionalFormatting sqref="A25">
    <cfRule type="containsText" dxfId="0" priority="7654" operator="containsText" text="거부">
      <formula>NOT(ISERROR(SEARCH(("거부"),(A25))))</formula>
    </cfRule>
  </conditionalFormatting>
  <conditionalFormatting sqref="A25">
    <cfRule type="containsText" dxfId="1" priority="7655" operator="containsText" text="리턴">
      <formula>NOT(ISERROR(SEARCH(("리턴"),(A25))))</formula>
    </cfRule>
  </conditionalFormatting>
  <conditionalFormatting sqref="A25">
    <cfRule type="containsText" dxfId="2" priority="7656" operator="containsText" text="실패">
      <formula>NOT(ISERROR(SEARCH(("실패"),(A25))))</formula>
    </cfRule>
  </conditionalFormatting>
  <conditionalFormatting sqref="A25">
    <cfRule type="containsText" dxfId="3" priority="7657" operator="containsText" text="관리">
      <formula>NOT(ISERROR(SEARCH(("관리"),(A25))))</formula>
    </cfRule>
  </conditionalFormatting>
  <conditionalFormatting sqref="A25">
    <cfRule type="containsText" dxfId="4" priority="7658" operator="containsText" text="등록">
      <formula>NOT(ISERROR(SEARCH(("등록"),(A25))))</formula>
    </cfRule>
  </conditionalFormatting>
  <conditionalFormatting sqref="A25">
    <cfRule type="containsText" dxfId="0" priority="7659" operator="containsText" text="거부">
      <formula>NOT(ISERROR(SEARCH(("거부"),(A25))))</formula>
    </cfRule>
  </conditionalFormatting>
  <conditionalFormatting sqref="A25">
    <cfRule type="containsText" dxfId="1" priority="7660" operator="containsText" text="리턴">
      <formula>NOT(ISERROR(SEARCH(("리턴"),(A25))))</formula>
    </cfRule>
  </conditionalFormatting>
  <conditionalFormatting sqref="A25">
    <cfRule type="containsText" dxfId="2" priority="7661" operator="containsText" text="실패">
      <formula>NOT(ISERROR(SEARCH(("실패"),(A25))))</formula>
    </cfRule>
  </conditionalFormatting>
  <conditionalFormatting sqref="A25">
    <cfRule type="containsText" dxfId="3" priority="7662" operator="containsText" text="관리">
      <formula>NOT(ISERROR(SEARCH(("관리"),(A25))))</formula>
    </cfRule>
  </conditionalFormatting>
  <conditionalFormatting sqref="A25">
    <cfRule type="containsText" dxfId="4" priority="7663" operator="containsText" text="등록">
      <formula>NOT(ISERROR(SEARCH(("등록"),(A25))))</formula>
    </cfRule>
  </conditionalFormatting>
  <conditionalFormatting sqref="A25">
    <cfRule type="containsText" dxfId="0" priority="7664" operator="containsText" text="거부">
      <formula>NOT(ISERROR(SEARCH(("거부"),(A25))))</formula>
    </cfRule>
  </conditionalFormatting>
  <conditionalFormatting sqref="A25">
    <cfRule type="containsText" dxfId="1" priority="7665" operator="containsText" text="리턴">
      <formula>NOT(ISERROR(SEARCH(("리턴"),(A25))))</formula>
    </cfRule>
  </conditionalFormatting>
  <conditionalFormatting sqref="A25">
    <cfRule type="containsText" dxfId="2" priority="7666" operator="containsText" text="실패">
      <formula>NOT(ISERROR(SEARCH(("실패"),(A25))))</formula>
    </cfRule>
  </conditionalFormatting>
  <conditionalFormatting sqref="A25">
    <cfRule type="containsText" dxfId="3" priority="7667" operator="containsText" text="관리">
      <formula>NOT(ISERROR(SEARCH(("관리"),(A25))))</formula>
    </cfRule>
  </conditionalFormatting>
  <conditionalFormatting sqref="A25">
    <cfRule type="containsText" dxfId="4" priority="7668" operator="containsText" text="등록">
      <formula>NOT(ISERROR(SEARCH(("등록"),(A25))))</formula>
    </cfRule>
  </conditionalFormatting>
  <conditionalFormatting sqref="A25">
    <cfRule type="containsText" dxfId="0" priority="7669" operator="containsText" text="거부">
      <formula>NOT(ISERROR(SEARCH(("거부"),(A25))))</formula>
    </cfRule>
  </conditionalFormatting>
  <conditionalFormatting sqref="A25">
    <cfRule type="containsText" dxfId="1" priority="7670" operator="containsText" text="리턴">
      <formula>NOT(ISERROR(SEARCH(("리턴"),(A25))))</formula>
    </cfRule>
  </conditionalFormatting>
  <conditionalFormatting sqref="A25">
    <cfRule type="containsText" dxfId="2" priority="7671" operator="containsText" text="실패">
      <formula>NOT(ISERROR(SEARCH(("실패"),(A25))))</formula>
    </cfRule>
  </conditionalFormatting>
  <conditionalFormatting sqref="A25">
    <cfRule type="containsText" dxfId="3" priority="7672" operator="containsText" text="관리">
      <formula>NOT(ISERROR(SEARCH(("관리"),(A25))))</formula>
    </cfRule>
  </conditionalFormatting>
  <conditionalFormatting sqref="A25">
    <cfRule type="containsText" dxfId="4" priority="7673" operator="containsText" text="등록">
      <formula>NOT(ISERROR(SEARCH(("등록"),(A25))))</formula>
    </cfRule>
  </conditionalFormatting>
  <conditionalFormatting sqref="A25">
    <cfRule type="containsText" dxfId="0" priority="7674" operator="containsText" text="거부">
      <formula>NOT(ISERROR(SEARCH(("거부"),(A25))))</formula>
    </cfRule>
  </conditionalFormatting>
  <conditionalFormatting sqref="A25">
    <cfRule type="containsText" dxfId="1" priority="7675" operator="containsText" text="리턴">
      <formula>NOT(ISERROR(SEARCH(("리턴"),(A25))))</formula>
    </cfRule>
  </conditionalFormatting>
  <conditionalFormatting sqref="A25">
    <cfRule type="containsText" dxfId="2" priority="7676" operator="containsText" text="실패">
      <formula>NOT(ISERROR(SEARCH(("실패"),(A25))))</formula>
    </cfRule>
  </conditionalFormatting>
  <conditionalFormatting sqref="A25">
    <cfRule type="containsText" dxfId="3" priority="7677" operator="containsText" text="관리">
      <formula>NOT(ISERROR(SEARCH(("관리"),(A25))))</formula>
    </cfRule>
  </conditionalFormatting>
  <conditionalFormatting sqref="A25">
    <cfRule type="containsText" dxfId="4" priority="7678" operator="containsText" text="등록">
      <formula>NOT(ISERROR(SEARCH(("등록"),(A25))))</formula>
    </cfRule>
  </conditionalFormatting>
  <conditionalFormatting sqref="A25">
    <cfRule type="containsText" dxfId="0" priority="7679" operator="containsText" text="거부">
      <formula>NOT(ISERROR(SEARCH(("거부"),(A25))))</formula>
    </cfRule>
  </conditionalFormatting>
  <conditionalFormatting sqref="A25">
    <cfRule type="containsText" dxfId="1" priority="7680" operator="containsText" text="리턴">
      <formula>NOT(ISERROR(SEARCH(("리턴"),(A25))))</formula>
    </cfRule>
  </conditionalFormatting>
  <conditionalFormatting sqref="A25">
    <cfRule type="containsText" dxfId="2" priority="7681" operator="containsText" text="실패">
      <formula>NOT(ISERROR(SEARCH(("실패"),(A25))))</formula>
    </cfRule>
  </conditionalFormatting>
  <conditionalFormatting sqref="A25">
    <cfRule type="containsText" dxfId="3" priority="7682" operator="containsText" text="관리">
      <formula>NOT(ISERROR(SEARCH(("관리"),(A25))))</formula>
    </cfRule>
  </conditionalFormatting>
  <conditionalFormatting sqref="A25">
    <cfRule type="containsText" dxfId="4" priority="7683" operator="containsText" text="등록">
      <formula>NOT(ISERROR(SEARCH(("등록"),(A25))))</formula>
    </cfRule>
  </conditionalFormatting>
  <conditionalFormatting sqref="A25">
    <cfRule type="containsText" dxfId="0" priority="7684" operator="containsText" text="거부">
      <formula>NOT(ISERROR(SEARCH(("거부"),(A25))))</formula>
    </cfRule>
  </conditionalFormatting>
  <conditionalFormatting sqref="A25">
    <cfRule type="containsText" dxfId="1" priority="7685" operator="containsText" text="리턴">
      <formula>NOT(ISERROR(SEARCH(("리턴"),(A25))))</formula>
    </cfRule>
  </conditionalFormatting>
  <conditionalFormatting sqref="A25">
    <cfRule type="containsText" dxfId="2" priority="7686" operator="containsText" text="실패">
      <formula>NOT(ISERROR(SEARCH(("실패"),(A25))))</formula>
    </cfRule>
  </conditionalFormatting>
  <conditionalFormatting sqref="A25">
    <cfRule type="containsText" dxfId="3" priority="7687" operator="containsText" text="관리">
      <formula>NOT(ISERROR(SEARCH(("관리"),(A25))))</formula>
    </cfRule>
  </conditionalFormatting>
  <conditionalFormatting sqref="A25">
    <cfRule type="containsText" dxfId="4" priority="7688" operator="containsText" text="등록">
      <formula>NOT(ISERROR(SEARCH(("등록"),(A25))))</formula>
    </cfRule>
  </conditionalFormatting>
  <conditionalFormatting sqref="G25">
    <cfRule type="containsText" dxfId="0" priority="7689" operator="containsText" text="거부">
      <formula>NOT(ISERROR(SEARCH(("거부"),(G25))))</formula>
    </cfRule>
  </conditionalFormatting>
  <conditionalFormatting sqref="G25">
    <cfRule type="containsText" dxfId="1" priority="7690" operator="containsText" text="리턴">
      <formula>NOT(ISERROR(SEARCH(("리턴"),(G25))))</formula>
    </cfRule>
  </conditionalFormatting>
  <conditionalFormatting sqref="G25">
    <cfRule type="containsText" dxfId="2" priority="7691" operator="containsText" text="실패">
      <formula>NOT(ISERROR(SEARCH(("실패"),(G25))))</formula>
    </cfRule>
  </conditionalFormatting>
  <conditionalFormatting sqref="G25">
    <cfRule type="containsText" dxfId="3" priority="7692" operator="containsText" text="관리">
      <formula>NOT(ISERROR(SEARCH(("관리"),(G25))))</formula>
    </cfRule>
  </conditionalFormatting>
  <conditionalFormatting sqref="G25">
    <cfRule type="containsText" dxfId="4" priority="7693" operator="containsText" text="등록">
      <formula>NOT(ISERROR(SEARCH(("등록"),(G25))))</formula>
    </cfRule>
  </conditionalFormatting>
  <conditionalFormatting sqref="G25">
    <cfRule type="containsText" dxfId="0" priority="7694" operator="containsText" text="거부">
      <formula>NOT(ISERROR(SEARCH(("거부"),(G25))))</formula>
    </cfRule>
  </conditionalFormatting>
  <conditionalFormatting sqref="G25">
    <cfRule type="containsText" dxfId="1" priority="7695" operator="containsText" text="리턴">
      <formula>NOT(ISERROR(SEARCH(("리턴"),(G25))))</formula>
    </cfRule>
  </conditionalFormatting>
  <conditionalFormatting sqref="G25">
    <cfRule type="containsText" dxfId="2" priority="7696" operator="containsText" text="실패">
      <formula>NOT(ISERROR(SEARCH(("실패"),(G25))))</formula>
    </cfRule>
  </conditionalFormatting>
  <conditionalFormatting sqref="G25">
    <cfRule type="containsText" dxfId="3" priority="7697" operator="containsText" text="관리">
      <formula>NOT(ISERROR(SEARCH(("관리"),(G25))))</formula>
    </cfRule>
  </conditionalFormatting>
  <conditionalFormatting sqref="G25">
    <cfRule type="containsText" dxfId="4" priority="7698" operator="containsText" text="등록">
      <formula>NOT(ISERROR(SEARCH(("등록"),(G25))))</formula>
    </cfRule>
  </conditionalFormatting>
  <conditionalFormatting sqref="J25">
    <cfRule type="containsText" dxfId="0" priority="7699" operator="containsText" text="거부">
      <formula>NOT(ISERROR(SEARCH(("거부"),(J25))))</formula>
    </cfRule>
  </conditionalFormatting>
  <conditionalFormatting sqref="J25">
    <cfRule type="containsText" dxfId="1" priority="7700" operator="containsText" text="리턴">
      <formula>NOT(ISERROR(SEARCH(("리턴"),(J25))))</formula>
    </cfRule>
  </conditionalFormatting>
  <conditionalFormatting sqref="J25">
    <cfRule type="containsText" dxfId="2" priority="7701" operator="containsText" text="실패">
      <formula>NOT(ISERROR(SEARCH(("실패"),(J25))))</formula>
    </cfRule>
  </conditionalFormatting>
  <conditionalFormatting sqref="J25">
    <cfRule type="containsText" dxfId="3" priority="7702" operator="containsText" text="관리">
      <formula>NOT(ISERROR(SEARCH(("관리"),(J25))))</formula>
    </cfRule>
  </conditionalFormatting>
  <conditionalFormatting sqref="J25">
    <cfRule type="containsText" dxfId="4" priority="7703" operator="containsText" text="등록">
      <formula>NOT(ISERROR(SEARCH(("등록"),(J25))))</formula>
    </cfRule>
  </conditionalFormatting>
  <conditionalFormatting sqref="J25">
    <cfRule type="containsText" dxfId="0" priority="7704" operator="containsText" text="거부">
      <formula>NOT(ISERROR(SEARCH(("거부"),(J25))))</formula>
    </cfRule>
  </conditionalFormatting>
  <conditionalFormatting sqref="J25">
    <cfRule type="containsText" dxfId="1" priority="7705" operator="containsText" text="리턴">
      <formula>NOT(ISERROR(SEARCH(("리턴"),(J25))))</formula>
    </cfRule>
  </conditionalFormatting>
  <conditionalFormatting sqref="J25">
    <cfRule type="containsText" dxfId="2" priority="7706" operator="containsText" text="실패">
      <formula>NOT(ISERROR(SEARCH(("실패"),(J25))))</formula>
    </cfRule>
  </conditionalFormatting>
  <conditionalFormatting sqref="J25">
    <cfRule type="containsText" dxfId="3" priority="7707" operator="containsText" text="관리">
      <formula>NOT(ISERROR(SEARCH(("관리"),(J25))))</formula>
    </cfRule>
  </conditionalFormatting>
  <conditionalFormatting sqref="J25">
    <cfRule type="containsText" dxfId="4" priority="7708" operator="containsText" text="등록">
      <formula>NOT(ISERROR(SEARCH(("등록"),(J25))))</formula>
    </cfRule>
  </conditionalFormatting>
  <conditionalFormatting sqref="J25">
    <cfRule type="containsText" dxfId="0" priority="7709" operator="containsText" text="거부">
      <formula>NOT(ISERROR(SEARCH(("거부"),(J25))))</formula>
    </cfRule>
  </conditionalFormatting>
  <conditionalFormatting sqref="J25">
    <cfRule type="containsText" dxfId="1" priority="7710" operator="containsText" text="리턴">
      <formula>NOT(ISERROR(SEARCH(("리턴"),(J25))))</formula>
    </cfRule>
  </conditionalFormatting>
  <conditionalFormatting sqref="J25">
    <cfRule type="containsText" dxfId="2" priority="7711" operator="containsText" text="실패">
      <formula>NOT(ISERROR(SEARCH(("실패"),(J25))))</formula>
    </cfRule>
  </conditionalFormatting>
  <conditionalFormatting sqref="J25">
    <cfRule type="containsText" dxfId="3" priority="7712" operator="containsText" text="관리">
      <formula>NOT(ISERROR(SEARCH(("관리"),(J25))))</formula>
    </cfRule>
  </conditionalFormatting>
  <conditionalFormatting sqref="J25">
    <cfRule type="containsText" dxfId="4" priority="7713" operator="containsText" text="등록">
      <formula>NOT(ISERROR(SEARCH(("등록"),(J25))))</formula>
    </cfRule>
  </conditionalFormatting>
  <conditionalFormatting sqref="J25">
    <cfRule type="containsText" dxfId="0" priority="7714" operator="containsText" text="거부">
      <formula>NOT(ISERROR(SEARCH(("거부"),(J25))))</formula>
    </cfRule>
  </conditionalFormatting>
  <conditionalFormatting sqref="J25">
    <cfRule type="containsText" dxfId="1" priority="7715" operator="containsText" text="리턴">
      <formula>NOT(ISERROR(SEARCH(("리턴"),(J25))))</formula>
    </cfRule>
  </conditionalFormatting>
  <conditionalFormatting sqref="J25">
    <cfRule type="containsText" dxfId="2" priority="7716" operator="containsText" text="실패">
      <formula>NOT(ISERROR(SEARCH(("실패"),(J25))))</formula>
    </cfRule>
  </conditionalFormatting>
  <conditionalFormatting sqref="J25">
    <cfRule type="containsText" dxfId="3" priority="7717" operator="containsText" text="관리">
      <formula>NOT(ISERROR(SEARCH(("관리"),(J25))))</formula>
    </cfRule>
  </conditionalFormatting>
  <conditionalFormatting sqref="J25">
    <cfRule type="containsText" dxfId="4" priority="7718" operator="containsText" text="등록">
      <formula>NOT(ISERROR(SEARCH(("등록"),(J25))))</formula>
    </cfRule>
  </conditionalFormatting>
  <conditionalFormatting sqref="J25">
    <cfRule type="containsText" dxfId="0" priority="7719" operator="containsText" text="거부">
      <formula>NOT(ISERROR(SEARCH(("거부"),(J25))))</formula>
    </cfRule>
  </conditionalFormatting>
  <conditionalFormatting sqref="J25">
    <cfRule type="containsText" dxfId="1" priority="7720" operator="containsText" text="리턴">
      <formula>NOT(ISERROR(SEARCH(("리턴"),(J25))))</formula>
    </cfRule>
  </conditionalFormatting>
  <conditionalFormatting sqref="J25">
    <cfRule type="containsText" dxfId="2" priority="7721" operator="containsText" text="실패">
      <formula>NOT(ISERROR(SEARCH(("실패"),(J25))))</formula>
    </cfRule>
  </conditionalFormatting>
  <conditionalFormatting sqref="J25">
    <cfRule type="containsText" dxfId="3" priority="7722" operator="containsText" text="관리">
      <formula>NOT(ISERROR(SEARCH(("관리"),(J25))))</formula>
    </cfRule>
  </conditionalFormatting>
  <conditionalFormatting sqref="J25">
    <cfRule type="containsText" dxfId="4" priority="7723" operator="containsText" text="등록">
      <formula>NOT(ISERROR(SEARCH(("등록"),(J25))))</formula>
    </cfRule>
  </conditionalFormatting>
  <conditionalFormatting sqref="J25">
    <cfRule type="containsText" dxfId="0" priority="7724" operator="containsText" text="거부">
      <formula>NOT(ISERROR(SEARCH(("거부"),(J25))))</formula>
    </cfRule>
  </conditionalFormatting>
  <conditionalFormatting sqref="J25">
    <cfRule type="containsText" dxfId="1" priority="7725" operator="containsText" text="리턴">
      <formula>NOT(ISERROR(SEARCH(("리턴"),(J25))))</formula>
    </cfRule>
  </conditionalFormatting>
  <conditionalFormatting sqref="J25">
    <cfRule type="containsText" dxfId="2" priority="7726" operator="containsText" text="실패">
      <formula>NOT(ISERROR(SEARCH(("실패"),(J25))))</formula>
    </cfRule>
  </conditionalFormatting>
  <conditionalFormatting sqref="J25">
    <cfRule type="containsText" dxfId="3" priority="7727" operator="containsText" text="관리">
      <formula>NOT(ISERROR(SEARCH(("관리"),(J25))))</formula>
    </cfRule>
  </conditionalFormatting>
  <conditionalFormatting sqref="J25">
    <cfRule type="containsText" dxfId="4" priority="7728" operator="containsText" text="등록">
      <formula>NOT(ISERROR(SEARCH(("등록"),(J25))))</formula>
    </cfRule>
  </conditionalFormatting>
  <conditionalFormatting sqref="J25">
    <cfRule type="containsText" dxfId="0" priority="7729" operator="containsText" text="거부">
      <formula>NOT(ISERROR(SEARCH(("거부"),(J25))))</formula>
    </cfRule>
  </conditionalFormatting>
  <conditionalFormatting sqref="J25">
    <cfRule type="containsText" dxfId="1" priority="7730" operator="containsText" text="리턴">
      <formula>NOT(ISERROR(SEARCH(("리턴"),(J25))))</formula>
    </cfRule>
  </conditionalFormatting>
  <conditionalFormatting sqref="J25">
    <cfRule type="containsText" dxfId="2" priority="7731" operator="containsText" text="실패">
      <formula>NOT(ISERROR(SEARCH(("실패"),(J25))))</formula>
    </cfRule>
  </conditionalFormatting>
  <conditionalFormatting sqref="J25">
    <cfRule type="containsText" dxfId="3" priority="7732" operator="containsText" text="관리">
      <formula>NOT(ISERROR(SEARCH(("관리"),(J25))))</formula>
    </cfRule>
  </conditionalFormatting>
  <conditionalFormatting sqref="J25">
    <cfRule type="containsText" dxfId="4" priority="7733" operator="containsText" text="등록">
      <formula>NOT(ISERROR(SEARCH(("등록"),(J25))))</formula>
    </cfRule>
  </conditionalFormatting>
  <conditionalFormatting sqref="J25">
    <cfRule type="containsText" dxfId="0" priority="7734" operator="containsText" text="거부">
      <formula>NOT(ISERROR(SEARCH(("거부"),(J25))))</formula>
    </cfRule>
  </conditionalFormatting>
  <conditionalFormatting sqref="J25">
    <cfRule type="containsText" dxfId="1" priority="7735" operator="containsText" text="리턴">
      <formula>NOT(ISERROR(SEARCH(("리턴"),(J25))))</formula>
    </cfRule>
  </conditionalFormatting>
  <conditionalFormatting sqref="J25">
    <cfRule type="containsText" dxfId="2" priority="7736" operator="containsText" text="실패">
      <formula>NOT(ISERROR(SEARCH(("실패"),(J25))))</formula>
    </cfRule>
  </conditionalFormatting>
  <conditionalFormatting sqref="J25">
    <cfRule type="containsText" dxfId="3" priority="7737" operator="containsText" text="관리">
      <formula>NOT(ISERROR(SEARCH(("관리"),(J25))))</formula>
    </cfRule>
  </conditionalFormatting>
  <conditionalFormatting sqref="J25">
    <cfRule type="containsText" dxfId="4" priority="7738" operator="containsText" text="등록">
      <formula>NOT(ISERROR(SEARCH(("등록"),(J25))))</formula>
    </cfRule>
  </conditionalFormatting>
  <conditionalFormatting sqref="J25">
    <cfRule type="containsText" dxfId="0" priority="7739" operator="containsText" text="거부">
      <formula>NOT(ISERROR(SEARCH(("거부"),(J25))))</formula>
    </cfRule>
  </conditionalFormatting>
  <conditionalFormatting sqref="J25">
    <cfRule type="containsText" dxfId="1" priority="7740" operator="containsText" text="리턴">
      <formula>NOT(ISERROR(SEARCH(("리턴"),(J25))))</formula>
    </cfRule>
  </conditionalFormatting>
  <conditionalFormatting sqref="J25">
    <cfRule type="containsText" dxfId="2" priority="7741" operator="containsText" text="실패">
      <formula>NOT(ISERROR(SEARCH(("실패"),(J25))))</formula>
    </cfRule>
  </conditionalFormatting>
  <conditionalFormatting sqref="J25">
    <cfRule type="containsText" dxfId="3" priority="7742" operator="containsText" text="관리">
      <formula>NOT(ISERROR(SEARCH(("관리"),(J25))))</formula>
    </cfRule>
  </conditionalFormatting>
  <conditionalFormatting sqref="J25">
    <cfRule type="containsText" dxfId="4" priority="7743" operator="containsText" text="등록">
      <formula>NOT(ISERROR(SEARCH(("등록"),(J25))))</formula>
    </cfRule>
  </conditionalFormatting>
  <conditionalFormatting sqref="J25">
    <cfRule type="containsText" dxfId="0" priority="7744" operator="containsText" text="거부">
      <formula>NOT(ISERROR(SEARCH(("거부"),(J25))))</formula>
    </cfRule>
  </conditionalFormatting>
  <conditionalFormatting sqref="J25">
    <cfRule type="containsText" dxfId="1" priority="7745" operator="containsText" text="리턴">
      <formula>NOT(ISERROR(SEARCH(("리턴"),(J25))))</formula>
    </cfRule>
  </conditionalFormatting>
  <conditionalFormatting sqref="J25">
    <cfRule type="containsText" dxfId="2" priority="7746" operator="containsText" text="실패">
      <formula>NOT(ISERROR(SEARCH(("실패"),(J25))))</formula>
    </cfRule>
  </conditionalFormatting>
  <conditionalFormatting sqref="J25">
    <cfRule type="containsText" dxfId="3" priority="7747" operator="containsText" text="관리">
      <formula>NOT(ISERROR(SEARCH(("관리"),(J25))))</formula>
    </cfRule>
  </conditionalFormatting>
  <conditionalFormatting sqref="J25">
    <cfRule type="containsText" dxfId="4" priority="7748" operator="containsText" text="등록">
      <formula>NOT(ISERROR(SEARCH(("등록"),(J25))))</formula>
    </cfRule>
  </conditionalFormatting>
  <conditionalFormatting sqref="J25">
    <cfRule type="containsText" dxfId="0" priority="7749" operator="containsText" text="거부">
      <formula>NOT(ISERROR(SEARCH(("거부"),(J25))))</formula>
    </cfRule>
  </conditionalFormatting>
  <conditionalFormatting sqref="J25">
    <cfRule type="containsText" dxfId="1" priority="7750" operator="containsText" text="리턴">
      <formula>NOT(ISERROR(SEARCH(("리턴"),(J25))))</formula>
    </cfRule>
  </conditionalFormatting>
  <conditionalFormatting sqref="J25">
    <cfRule type="containsText" dxfId="2" priority="7751" operator="containsText" text="실패">
      <formula>NOT(ISERROR(SEARCH(("실패"),(J25))))</formula>
    </cfRule>
  </conditionalFormatting>
  <conditionalFormatting sqref="J25">
    <cfRule type="containsText" dxfId="3" priority="7752" operator="containsText" text="관리">
      <formula>NOT(ISERROR(SEARCH(("관리"),(J25))))</formula>
    </cfRule>
  </conditionalFormatting>
  <conditionalFormatting sqref="J25">
    <cfRule type="containsText" dxfId="4" priority="7753" operator="containsText" text="등록">
      <formula>NOT(ISERROR(SEARCH(("등록"),(J25))))</formula>
    </cfRule>
  </conditionalFormatting>
  <conditionalFormatting sqref="J25">
    <cfRule type="containsText" dxfId="0" priority="7754" operator="containsText" text="거부">
      <formula>NOT(ISERROR(SEARCH(("거부"),(J25))))</formula>
    </cfRule>
  </conditionalFormatting>
  <conditionalFormatting sqref="J25">
    <cfRule type="containsText" dxfId="1" priority="7755" operator="containsText" text="리턴">
      <formula>NOT(ISERROR(SEARCH(("리턴"),(J25))))</formula>
    </cfRule>
  </conditionalFormatting>
  <conditionalFormatting sqref="J25">
    <cfRule type="containsText" dxfId="2" priority="7756" operator="containsText" text="실패">
      <formula>NOT(ISERROR(SEARCH(("실패"),(J25))))</formula>
    </cfRule>
  </conditionalFormatting>
  <conditionalFormatting sqref="J25">
    <cfRule type="containsText" dxfId="3" priority="7757" operator="containsText" text="관리">
      <formula>NOT(ISERROR(SEARCH(("관리"),(J25))))</formula>
    </cfRule>
  </conditionalFormatting>
  <conditionalFormatting sqref="J25">
    <cfRule type="containsText" dxfId="4" priority="7758" operator="containsText" text="등록">
      <formula>NOT(ISERROR(SEARCH(("등록"),(J25))))</formula>
    </cfRule>
  </conditionalFormatting>
  <conditionalFormatting sqref="J25">
    <cfRule type="containsText" dxfId="0" priority="7759" operator="containsText" text="거부">
      <formula>NOT(ISERROR(SEARCH(("거부"),(J25))))</formula>
    </cfRule>
  </conditionalFormatting>
  <conditionalFormatting sqref="J25">
    <cfRule type="containsText" dxfId="1" priority="7760" operator="containsText" text="리턴">
      <formula>NOT(ISERROR(SEARCH(("리턴"),(J25))))</formula>
    </cfRule>
  </conditionalFormatting>
  <conditionalFormatting sqref="J25">
    <cfRule type="containsText" dxfId="2" priority="7761" operator="containsText" text="실패">
      <formula>NOT(ISERROR(SEARCH(("실패"),(J25))))</formula>
    </cfRule>
  </conditionalFormatting>
  <conditionalFormatting sqref="J25">
    <cfRule type="containsText" dxfId="3" priority="7762" operator="containsText" text="관리">
      <formula>NOT(ISERROR(SEARCH(("관리"),(J25))))</formula>
    </cfRule>
  </conditionalFormatting>
  <conditionalFormatting sqref="J25">
    <cfRule type="containsText" dxfId="4" priority="7763" operator="containsText" text="등록">
      <formula>NOT(ISERROR(SEARCH(("등록"),(J25))))</formula>
    </cfRule>
  </conditionalFormatting>
  <conditionalFormatting sqref="J25">
    <cfRule type="containsText" dxfId="0" priority="7764" operator="containsText" text="거부">
      <formula>NOT(ISERROR(SEARCH(("거부"),(J25))))</formula>
    </cfRule>
  </conditionalFormatting>
  <conditionalFormatting sqref="J25">
    <cfRule type="containsText" dxfId="1" priority="7765" operator="containsText" text="리턴">
      <formula>NOT(ISERROR(SEARCH(("리턴"),(J25))))</formula>
    </cfRule>
  </conditionalFormatting>
  <conditionalFormatting sqref="J25">
    <cfRule type="containsText" dxfId="2" priority="7766" operator="containsText" text="실패">
      <formula>NOT(ISERROR(SEARCH(("실패"),(J25))))</formula>
    </cfRule>
  </conditionalFormatting>
  <conditionalFormatting sqref="J25">
    <cfRule type="containsText" dxfId="3" priority="7767" operator="containsText" text="관리">
      <formula>NOT(ISERROR(SEARCH(("관리"),(J25))))</formula>
    </cfRule>
  </conditionalFormatting>
  <conditionalFormatting sqref="J25">
    <cfRule type="containsText" dxfId="4" priority="7768" operator="containsText" text="등록">
      <formula>NOT(ISERROR(SEARCH(("등록"),(J25))))</formula>
    </cfRule>
  </conditionalFormatting>
  <conditionalFormatting sqref="J25">
    <cfRule type="containsText" dxfId="0" priority="7769" operator="containsText" text="거부">
      <formula>NOT(ISERROR(SEARCH(("거부"),(J25))))</formula>
    </cfRule>
  </conditionalFormatting>
  <conditionalFormatting sqref="J25">
    <cfRule type="containsText" dxfId="1" priority="7770" operator="containsText" text="리턴">
      <formula>NOT(ISERROR(SEARCH(("리턴"),(J25))))</formula>
    </cfRule>
  </conditionalFormatting>
  <conditionalFormatting sqref="J25">
    <cfRule type="containsText" dxfId="2" priority="7771" operator="containsText" text="실패">
      <formula>NOT(ISERROR(SEARCH(("실패"),(J25))))</formula>
    </cfRule>
  </conditionalFormatting>
  <conditionalFormatting sqref="J25">
    <cfRule type="containsText" dxfId="3" priority="7772" operator="containsText" text="관리">
      <formula>NOT(ISERROR(SEARCH(("관리"),(J25))))</formula>
    </cfRule>
  </conditionalFormatting>
  <conditionalFormatting sqref="J25">
    <cfRule type="containsText" dxfId="4" priority="7773" operator="containsText" text="등록">
      <formula>NOT(ISERROR(SEARCH(("등록"),(J25))))</formula>
    </cfRule>
  </conditionalFormatting>
  <conditionalFormatting sqref="J25">
    <cfRule type="containsText" dxfId="0" priority="7774" operator="containsText" text="거부">
      <formula>NOT(ISERROR(SEARCH(("거부"),(J25))))</formula>
    </cfRule>
  </conditionalFormatting>
  <conditionalFormatting sqref="J25">
    <cfRule type="containsText" dxfId="1" priority="7775" operator="containsText" text="리턴">
      <formula>NOT(ISERROR(SEARCH(("리턴"),(J25))))</formula>
    </cfRule>
  </conditionalFormatting>
  <conditionalFormatting sqref="J25">
    <cfRule type="containsText" dxfId="2" priority="7776" operator="containsText" text="실패">
      <formula>NOT(ISERROR(SEARCH(("실패"),(J25))))</formula>
    </cfRule>
  </conditionalFormatting>
  <conditionalFormatting sqref="J25">
    <cfRule type="containsText" dxfId="3" priority="7777" operator="containsText" text="관리">
      <formula>NOT(ISERROR(SEARCH(("관리"),(J25))))</formula>
    </cfRule>
  </conditionalFormatting>
  <conditionalFormatting sqref="J25">
    <cfRule type="containsText" dxfId="4" priority="7778" operator="containsText" text="등록">
      <formula>NOT(ISERROR(SEARCH(("등록"),(J25))))</formula>
    </cfRule>
  </conditionalFormatting>
  <conditionalFormatting sqref="J25">
    <cfRule type="containsText" dxfId="0" priority="7779" operator="containsText" text="거부">
      <formula>NOT(ISERROR(SEARCH(("거부"),(J25))))</formula>
    </cfRule>
  </conditionalFormatting>
  <conditionalFormatting sqref="J25">
    <cfRule type="containsText" dxfId="1" priority="7780" operator="containsText" text="리턴">
      <formula>NOT(ISERROR(SEARCH(("리턴"),(J25))))</formula>
    </cfRule>
  </conditionalFormatting>
  <conditionalFormatting sqref="J25">
    <cfRule type="containsText" dxfId="2" priority="7781" operator="containsText" text="실패">
      <formula>NOT(ISERROR(SEARCH(("실패"),(J25))))</formula>
    </cfRule>
  </conditionalFormatting>
  <conditionalFormatting sqref="J25">
    <cfRule type="containsText" dxfId="3" priority="7782" operator="containsText" text="관리">
      <formula>NOT(ISERROR(SEARCH(("관리"),(J25))))</formula>
    </cfRule>
  </conditionalFormatting>
  <conditionalFormatting sqref="J25">
    <cfRule type="containsText" dxfId="4" priority="7783" operator="containsText" text="등록">
      <formula>NOT(ISERROR(SEARCH(("등록"),(J25))))</formula>
    </cfRule>
  </conditionalFormatting>
  <conditionalFormatting sqref="J25">
    <cfRule type="containsText" dxfId="0" priority="7784" operator="containsText" text="거부">
      <formula>NOT(ISERROR(SEARCH(("거부"),(J25))))</formula>
    </cfRule>
  </conditionalFormatting>
  <conditionalFormatting sqref="J25">
    <cfRule type="containsText" dxfId="1" priority="7785" operator="containsText" text="리턴">
      <formula>NOT(ISERROR(SEARCH(("리턴"),(J25))))</formula>
    </cfRule>
  </conditionalFormatting>
  <conditionalFormatting sqref="J25">
    <cfRule type="containsText" dxfId="2" priority="7786" operator="containsText" text="실패">
      <formula>NOT(ISERROR(SEARCH(("실패"),(J25))))</formula>
    </cfRule>
  </conditionalFormatting>
  <conditionalFormatting sqref="J25">
    <cfRule type="containsText" dxfId="3" priority="7787" operator="containsText" text="관리">
      <formula>NOT(ISERROR(SEARCH(("관리"),(J25))))</formula>
    </cfRule>
  </conditionalFormatting>
  <conditionalFormatting sqref="J25">
    <cfRule type="containsText" dxfId="4" priority="7788" operator="containsText" text="등록">
      <formula>NOT(ISERROR(SEARCH(("등록"),(J25))))</formula>
    </cfRule>
  </conditionalFormatting>
  <conditionalFormatting sqref="J25">
    <cfRule type="containsText" dxfId="0" priority="7789" operator="containsText" text="거부">
      <formula>NOT(ISERROR(SEARCH(("거부"),(J25))))</formula>
    </cfRule>
  </conditionalFormatting>
  <conditionalFormatting sqref="J25">
    <cfRule type="containsText" dxfId="1" priority="7790" operator="containsText" text="리턴">
      <formula>NOT(ISERROR(SEARCH(("리턴"),(J25))))</formula>
    </cfRule>
  </conditionalFormatting>
  <conditionalFormatting sqref="J25">
    <cfRule type="containsText" dxfId="2" priority="7791" operator="containsText" text="실패">
      <formula>NOT(ISERROR(SEARCH(("실패"),(J25))))</formula>
    </cfRule>
  </conditionalFormatting>
  <conditionalFormatting sqref="J25">
    <cfRule type="containsText" dxfId="3" priority="7792" operator="containsText" text="관리">
      <formula>NOT(ISERROR(SEARCH(("관리"),(J25))))</formula>
    </cfRule>
  </conditionalFormatting>
  <conditionalFormatting sqref="J25">
    <cfRule type="containsText" dxfId="4" priority="7793" operator="containsText" text="등록">
      <formula>NOT(ISERROR(SEARCH(("등록"),(J25))))</formula>
    </cfRule>
  </conditionalFormatting>
  <conditionalFormatting sqref="J25">
    <cfRule type="containsText" dxfId="0" priority="7794" operator="containsText" text="거부">
      <formula>NOT(ISERROR(SEARCH(("거부"),(J25))))</formula>
    </cfRule>
  </conditionalFormatting>
  <conditionalFormatting sqref="J25">
    <cfRule type="containsText" dxfId="1" priority="7795" operator="containsText" text="리턴">
      <formula>NOT(ISERROR(SEARCH(("리턴"),(J25))))</formula>
    </cfRule>
  </conditionalFormatting>
  <conditionalFormatting sqref="J25">
    <cfRule type="containsText" dxfId="2" priority="7796" operator="containsText" text="실패">
      <formula>NOT(ISERROR(SEARCH(("실패"),(J25))))</formula>
    </cfRule>
  </conditionalFormatting>
  <conditionalFormatting sqref="J25">
    <cfRule type="containsText" dxfId="3" priority="7797" operator="containsText" text="관리">
      <formula>NOT(ISERROR(SEARCH(("관리"),(J25))))</formula>
    </cfRule>
  </conditionalFormatting>
  <conditionalFormatting sqref="J25">
    <cfRule type="containsText" dxfId="4" priority="7798" operator="containsText" text="등록">
      <formula>NOT(ISERROR(SEARCH(("등록"),(J25))))</formula>
    </cfRule>
  </conditionalFormatting>
  <conditionalFormatting sqref="D30">
    <cfRule type="containsText" dxfId="0" priority="7799" operator="containsText" text="거부">
      <formula>NOT(ISERROR(SEARCH(("거부"),(D30))))</formula>
    </cfRule>
  </conditionalFormatting>
  <conditionalFormatting sqref="D30">
    <cfRule type="containsText" dxfId="1" priority="7800" operator="containsText" text="리턴">
      <formula>NOT(ISERROR(SEARCH(("리턴"),(D30))))</formula>
    </cfRule>
  </conditionalFormatting>
  <conditionalFormatting sqref="D30">
    <cfRule type="containsText" dxfId="2" priority="7801" operator="containsText" text="실패">
      <formula>NOT(ISERROR(SEARCH(("실패"),(D30))))</formula>
    </cfRule>
  </conditionalFormatting>
  <conditionalFormatting sqref="D30">
    <cfRule type="containsText" dxfId="3" priority="7802" operator="containsText" text="관리">
      <formula>NOT(ISERROR(SEARCH(("관리"),(D30))))</formula>
    </cfRule>
  </conditionalFormatting>
  <conditionalFormatting sqref="D30">
    <cfRule type="containsText" dxfId="4" priority="7803" operator="containsText" text="등록">
      <formula>NOT(ISERROR(SEARCH(("등록"),(D30))))</formula>
    </cfRule>
  </conditionalFormatting>
  <conditionalFormatting sqref="D30">
    <cfRule type="containsText" dxfId="0" priority="7804" operator="containsText" text="거부">
      <formula>NOT(ISERROR(SEARCH(("거부"),(D30))))</formula>
    </cfRule>
  </conditionalFormatting>
  <conditionalFormatting sqref="D30">
    <cfRule type="containsText" dxfId="1" priority="7805" operator="containsText" text="리턴">
      <formula>NOT(ISERROR(SEARCH(("리턴"),(D30))))</formula>
    </cfRule>
  </conditionalFormatting>
  <conditionalFormatting sqref="D30">
    <cfRule type="containsText" dxfId="2" priority="7806" operator="containsText" text="실패">
      <formula>NOT(ISERROR(SEARCH(("실패"),(D30))))</formula>
    </cfRule>
  </conditionalFormatting>
  <conditionalFormatting sqref="D30">
    <cfRule type="containsText" dxfId="3" priority="7807" operator="containsText" text="관리">
      <formula>NOT(ISERROR(SEARCH(("관리"),(D30))))</formula>
    </cfRule>
  </conditionalFormatting>
  <conditionalFormatting sqref="D30">
    <cfRule type="containsText" dxfId="4" priority="7808" operator="containsText" text="등록">
      <formula>NOT(ISERROR(SEARCH(("등록"),(D30))))</formula>
    </cfRule>
  </conditionalFormatting>
  <conditionalFormatting sqref="D30">
    <cfRule type="containsText" dxfId="0" priority="7809" operator="containsText" text="거부">
      <formula>NOT(ISERROR(SEARCH(("거부"),(D30))))</formula>
    </cfRule>
  </conditionalFormatting>
  <conditionalFormatting sqref="D30">
    <cfRule type="containsText" dxfId="1" priority="7810" operator="containsText" text="리턴">
      <formula>NOT(ISERROR(SEARCH(("리턴"),(D30))))</formula>
    </cfRule>
  </conditionalFormatting>
  <conditionalFormatting sqref="D30">
    <cfRule type="containsText" dxfId="2" priority="7811" operator="containsText" text="실패">
      <formula>NOT(ISERROR(SEARCH(("실패"),(D30))))</formula>
    </cfRule>
  </conditionalFormatting>
  <conditionalFormatting sqref="D30">
    <cfRule type="containsText" dxfId="3" priority="7812" operator="containsText" text="관리">
      <formula>NOT(ISERROR(SEARCH(("관리"),(D30))))</formula>
    </cfRule>
  </conditionalFormatting>
  <conditionalFormatting sqref="D30">
    <cfRule type="containsText" dxfId="4" priority="7813" operator="containsText" text="등록">
      <formula>NOT(ISERROR(SEARCH(("등록"),(D30))))</formula>
    </cfRule>
  </conditionalFormatting>
  <conditionalFormatting sqref="D30">
    <cfRule type="containsText" dxfId="0" priority="7814" operator="containsText" text="거부">
      <formula>NOT(ISERROR(SEARCH(("거부"),(D30))))</formula>
    </cfRule>
  </conditionalFormatting>
  <conditionalFormatting sqref="D30">
    <cfRule type="containsText" dxfId="1" priority="7815" operator="containsText" text="리턴">
      <formula>NOT(ISERROR(SEARCH(("리턴"),(D30))))</formula>
    </cfRule>
  </conditionalFormatting>
  <conditionalFormatting sqref="D30">
    <cfRule type="containsText" dxfId="2" priority="7816" operator="containsText" text="실패">
      <formula>NOT(ISERROR(SEARCH(("실패"),(D30))))</formula>
    </cfRule>
  </conditionalFormatting>
  <conditionalFormatting sqref="D30">
    <cfRule type="containsText" dxfId="3" priority="7817" operator="containsText" text="관리">
      <formula>NOT(ISERROR(SEARCH(("관리"),(D30))))</formula>
    </cfRule>
  </conditionalFormatting>
  <conditionalFormatting sqref="D30">
    <cfRule type="containsText" dxfId="4" priority="7818" operator="containsText" text="등록">
      <formula>NOT(ISERROR(SEARCH(("등록"),(D30))))</formula>
    </cfRule>
  </conditionalFormatting>
  <conditionalFormatting sqref="D30">
    <cfRule type="containsText" dxfId="0" priority="7819" operator="containsText" text="거부">
      <formula>NOT(ISERROR(SEARCH(("거부"),(D30))))</formula>
    </cfRule>
  </conditionalFormatting>
  <conditionalFormatting sqref="D30">
    <cfRule type="containsText" dxfId="1" priority="7820" operator="containsText" text="리턴">
      <formula>NOT(ISERROR(SEARCH(("리턴"),(D30))))</formula>
    </cfRule>
  </conditionalFormatting>
  <conditionalFormatting sqref="D30">
    <cfRule type="containsText" dxfId="2" priority="7821" operator="containsText" text="실패">
      <formula>NOT(ISERROR(SEARCH(("실패"),(D30))))</formula>
    </cfRule>
  </conditionalFormatting>
  <conditionalFormatting sqref="D30">
    <cfRule type="containsText" dxfId="3" priority="7822" operator="containsText" text="관리">
      <formula>NOT(ISERROR(SEARCH(("관리"),(D30))))</formula>
    </cfRule>
  </conditionalFormatting>
  <conditionalFormatting sqref="D30">
    <cfRule type="containsText" dxfId="4" priority="7823" operator="containsText" text="등록">
      <formula>NOT(ISERROR(SEARCH(("등록"),(D30))))</formula>
    </cfRule>
  </conditionalFormatting>
  <conditionalFormatting sqref="D30">
    <cfRule type="containsText" dxfId="0" priority="7824" operator="containsText" text="거부">
      <formula>NOT(ISERROR(SEARCH(("거부"),(D30))))</formula>
    </cfRule>
  </conditionalFormatting>
  <conditionalFormatting sqref="D30">
    <cfRule type="containsText" dxfId="1" priority="7825" operator="containsText" text="리턴">
      <formula>NOT(ISERROR(SEARCH(("리턴"),(D30))))</formula>
    </cfRule>
  </conditionalFormatting>
  <conditionalFormatting sqref="D30">
    <cfRule type="containsText" dxfId="2" priority="7826" operator="containsText" text="실패">
      <formula>NOT(ISERROR(SEARCH(("실패"),(D30))))</formula>
    </cfRule>
  </conditionalFormatting>
  <conditionalFormatting sqref="D30">
    <cfRule type="containsText" dxfId="3" priority="7827" operator="containsText" text="관리">
      <formula>NOT(ISERROR(SEARCH(("관리"),(D30))))</formula>
    </cfRule>
  </conditionalFormatting>
  <conditionalFormatting sqref="D30">
    <cfRule type="containsText" dxfId="4" priority="7828" operator="containsText" text="등록">
      <formula>NOT(ISERROR(SEARCH(("등록"),(D30))))</formula>
    </cfRule>
  </conditionalFormatting>
  <conditionalFormatting sqref="E30">
    <cfRule type="containsText" dxfId="0" priority="7829" operator="containsText" text="거부">
      <formula>NOT(ISERROR(SEARCH(("거부"),(E30))))</formula>
    </cfRule>
  </conditionalFormatting>
  <conditionalFormatting sqref="E30">
    <cfRule type="containsText" dxfId="1" priority="7830" operator="containsText" text="리턴">
      <formula>NOT(ISERROR(SEARCH(("리턴"),(E30))))</formula>
    </cfRule>
  </conditionalFormatting>
  <conditionalFormatting sqref="E30">
    <cfRule type="containsText" dxfId="2" priority="7831" operator="containsText" text="실패">
      <formula>NOT(ISERROR(SEARCH(("실패"),(E30))))</formula>
    </cfRule>
  </conditionalFormatting>
  <conditionalFormatting sqref="E30">
    <cfRule type="containsText" dxfId="3" priority="7832" operator="containsText" text="관리">
      <formula>NOT(ISERROR(SEARCH(("관리"),(E30))))</formula>
    </cfRule>
  </conditionalFormatting>
  <conditionalFormatting sqref="E30">
    <cfRule type="containsText" dxfId="4" priority="7833" operator="containsText" text="등록">
      <formula>NOT(ISERROR(SEARCH(("등록"),(E30))))</formula>
    </cfRule>
  </conditionalFormatting>
  <conditionalFormatting sqref="G30">
    <cfRule type="containsText" dxfId="0" priority="7834" operator="containsText" text="거부">
      <formula>NOT(ISERROR(SEARCH(("거부"),(G30))))</formula>
    </cfRule>
  </conditionalFormatting>
  <conditionalFormatting sqref="G30">
    <cfRule type="containsText" dxfId="1" priority="7835" operator="containsText" text="리턴">
      <formula>NOT(ISERROR(SEARCH(("리턴"),(G30))))</formula>
    </cfRule>
  </conditionalFormatting>
  <conditionalFormatting sqref="G30">
    <cfRule type="containsText" dxfId="2" priority="7836" operator="containsText" text="실패">
      <formula>NOT(ISERROR(SEARCH(("실패"),(G30))))</formula>
    </cfRule>
  </conditionalFormatting>
  <conditionalFormatting sqref="G30">
    <cfRule type="containsText" dxfId="3" priority="7837" operator="containsText" text="관리">
      <formula>NOT(ISERROR(SEARCH(("관리"),(G30))))</formula>
    </cfRule>
  </conditionalFormatting>
  <conditionalFormatting sqref="G30">
    <cfRule type="containsText" dxfId="4" priority="7838" operator="containsText" text="등록">
      <formula>NOT(ISERROR(SEARCH(("등록"),(G30))))</formula>
    </cfRule>
  </conditionalFormatting>
  <conditionalFormatting sqref="G30">
    <cfRule type="containsText" dxfId="0" priority="7839" operator="containsText" text="거부">
      <formula>NOT(ISERROR(SEARCH(("거부"),(G30))))</formula>
    </cfRule>
  </conditionalFormatting>
  <conditionalFormatting sqref="G30">
    <cfRule type="containsText" dxfId="1" priority="7840" operator="containsText" text="리턴">
      <formula>NOT(ISERROR(SEARCH(("리턴"),(G30))))</formula>
    </cfRule>
  </conditionalFormatting>
  <conditionalFormatting sqref="G30">
    <cfRule type="containsText" dxfId="2" priority="7841" operator="containsText" text="실패">
      <formula>NOT(ISERROR(SEARCH(("실패"),(G30))))</formula>
    </cfRule>
  </conditionalFormatting>
  <conditionalFormatting sqref="G30">
    <cfRule type="containsText" dxfId="3" priority="7842" operator="containsText" text="관리">
      <formula>NOT(ISERROR(SEARCH(("관리"),(G30))))</formula>
    </cfRule>
  </conditionalFormatting>
  <conditionalFormatting sqref="G30">
    <cfRule type="containsText" dxfId="4" priority="7843" operator="containsText" text="등록">
      <formula>NOT(ISERROR(SEARCH(("등록"),(G30))))</formula>
    </cfRule>
  </conditionalFormatting>
  <conditionalFormatting sqref="G30">
    <cfRule type="containsText" dxfId="0" priority="7844" operator="containsText" text="거부">
      <formula>NOT(ISERROR(SEARCH(("거부"),(G30))))</formula>
    </cfRule>
  </conditionalFormatting>
  <conditionalFormatting sqref="G30">
    <cfRule type="containsText" dxfId="1" priority="7845" operator="containsText" text="리턴">
      <formula>NOT(ISERROR(SEARCH(("리턴"),(G30))))</formula>
    </cfRule>
  </conditionalFormatting>
  <conditionalFormatting sqref="G30">
    <cfRule type="containsText" dxfId="2" priority="7846" operator="containsText" text="실패">
      <formula>NOT(ISERROR(SEARCH(("실패"),(G30))))</formula>
    </cfRule>
  </conditionalFormatting>
  <conditionalFormatting sqref="G30">
    <cfRule type="containsText" dxfId="3" priority="7847" operator="containsText" text="관리">
      <formula>NOT(ISERROR(SEARCH(("관리"),(G30))))</formula>
    </cfRule>
  </conditionalFormatting>
  <conditionalFormatting sqref="G30">
    <cfRule type="containsText" dxfId="4" priority="7848" operator="containsText" text="등록">
      <formula>NOT(ISERROR(SEARCH(("등록"),(G30))))</formula>
    </cfRule>
  </conditionalFormatting>
  <conditionalFormatting sqref="G30">
    <cfRule type="containsText" dxfId="0" priority="7849" operator="containsText" text="거부">
      <formula>NOT(ISERROR(SEARCH(("거부"),(G30))))</formula>
    </cfRule>
  </conditionalFormatting>
  <conditionalFormatting sqref="G30">
    <cfRule type="containsText" dxfId="1" priority="7850" operator="containsText" text="리턴">
      <formula>NOT(ISERROR(SEARCH(("리턴"),(G30))))</formula>
    </cfRule>
  </conditionalFormatting>
  <conditionalFormatting sqref="G30">
    <cfRule type="containsText" dxfId="2" priority="7851" operator="containsText" text="실패">
      <formula>NOT(ISERROR(SEARCH(("실패"),(G30))))</formula>
    </cfRule>
  </conditionalFormatting>
  <conditionalFormatting sqref="G30">
    <cfRule type="containsText" dxfId="3" priority="7852" operator="containsText" text="관리">
      <formula>NOT(ISERROR(SEARCH(("관리"),(G30))))</formula>
    </cfRule>
  </conditionalFormatting>
  <conditionalFormatting sqref="G30">
    <cfRule type="containsText" dxfId="4" priority="7853" operator="containsText" text="등록">
      <formula>NOT(ISERROR(SEARCH(("등록"),(G30))))</formula>
    </cfRule>
  </conditionalFormatting>
  <conditionalFormatting sqref="J30">
    <cfRule type="containsText" dxfId="0" priority="7854" operator="containsText" text="거부">
      <formula>NOT(ISERROR(SEARCH(("거부"),(J30))))</formula>
    </cfRule>
  </conditionalFormatting>
  <conditionalFormatting sqref="J30">
    <cfRule type="containsText" dxfId="1" priority="7855" operator="containsText" text="리턴">
      <formula>NOT(ISERROR(SEARCH(("리턴"),(J30))))</formula>
    </cfRule>
  </conditionalFormatting>
  <conditionalFormatting sqref="J30">
    <cfRule type="containsText" dxfId="2" priority="7856" operator="containsText" text="실패">
      <formula>NOT(ISERROR(SEARCH(("실패"),(J30))))</formula>
    </cfRule>
  </conditionalFormatting>
  <conditionalFormatting sqref="J30">
    <cfRule type="containsText" dxfId="3" priority="7857" operator="containsText" text="관리">
      <formula>NOT(ISERROR(SEARCH(("관리"),(J30))))</formula>
    </cfRule>
  </conditionalFormatting>
  <conditionalFormatting sqref="J30">
    <cfRule type="containsText" dxfId="4" priority="7858" operator="containsText" text="등록">
      <formula>NOT(ISERROR(SEARCH(("등록"),(J30))))</formula>
    </cfRule>
  </conditionalFormatting>
  <conditionalFormatting sqref="J30">
    <cfRule type="containsText" dxfId="0" priority="7859" operator="containsText" text="거부">
      <formula>NOT(ISERROR(SEARCH(("거부"),(J30))))</formula>
    </cfRule>
  </conditionalFormatting>
  <conditionalFormatting sqref="J30">
    <cfRule type="containsText" dxfId="1" priority="7860" operator="containsText" text="리턴">
      <formula>NOT(ISERROR(SEARCH(("리턴"),(J30))))</formula>
    </cfRule>
  </conditionalFormatting>
  <conditionalFormatting sqref="J30">
    <cfRule type="containsText" dxfId="2" priority="7861" operator="containsText" text="실패">
      <formula>NOT(ISERROR(SEARCH(("실패"),(J30))))</formula>
    </cfRule>
  </conditionalFormatting>
  <conditionalFormatting sqref="J30">
    <cfRule type="containsText" dxfId="3" priority="7862" operator="containsText" text="관리">
      <formula>NOT(ISERROR(SEARCH(("관리"),(J30))))</formula>
    </cfRule>
  </conditionalFormatting>
  <conditionalFormatting sqref="J30">
    <cfRule type="containsText" dxfId="4" priority="7863" operator="containsText" text="등록">
      <formula>NOT(ISERROR(SEARCH(("등록"),(J30))))</formula>
    </cfRule>
  </conditionalFormatting>
  <conditionalFormatting sqref="J30">
    <cfRule type="containsText" dxfId="0" priority="7864" operator="containsText" text="거부">
      <formula>NOT(ISERROR(SEARCH(("거부"),(J30))))</formula>
    </cfRule>
  </conditionalFormatting>
  <conditionalFormatting sqref="J30">
    <cfRule type="containsText" dxfId="1" priority="7865" operator="containsText" text="리턴">
      <formula>NOT(ISERROR(SEARCH(("리턴"),(J30))))</formula>
    </cfRule>
  </conditionalFormatting>
  <conditionalFormatting sqref="J30">
    <cfRule type="containsText" dxfId="2" priority="7866" operator="containsText" text="실패">
      <formula>NOT(ISERROR(SEARCH(("실패"),(J30))))</formula>
    </cfRule>
  </conditionalFormatting>
  <conditionalFormatting sqref="J30">
    <cfRule type="containsText" dxfId="3" priority="7867" operator="containsText" text="관리">
      <formula>NOT(ISERROR(SEARCH(("관리"),(J30))))</formula>
    </cfRule>
  </conditionalFormatting>
  <conditionalFormatting sqref="J30">
    <cfRule type="containsText" dxfId="4" priority="7868" operator="containsText" text="등록">
      <formula>NOT(ISERROR(SEARCH(("등록"),(J30))))</formula>
    </cfRule>
  </conditionalFormatting>
  <conditionalFormatting sqref="J30">
    <cfRule type="containsText" dxfId="0" priority="7869" operator="containsText" text="거부">
      <formula>NOT(ISERROR(SEARCH(("거부"),(J30))))</formula>
    </cfRule>
  </conditionalFormatting>
  <conditionalFormatting sqref="J30">
    <cfRule type="containsText" dxfId="1" priority="7870" operator="containsText" text="리턴">
      <formula>NOT(ISERROR(SEARCH(("리턴"),(J30))))</formula>
    </cfRule>
  </conditionalFormatting>
  <conditionalFormatting sqref="J30">
    <cfRule type="containsText" dxfId="2" priority="7871" operator="containsText" text="실패">
      <formula>NOT(ISERROR(SEARCH(("실패"),(J30))))</formula>
    </cfRule>
  </conditionalFormatting>
  <conditionalFormatting sqref="J30">
    <cfRule type="containsText" dxfId="3" priority="7872" operator="containsText" text="관리">
      <formula>NOT(ISERROR(SEARCH(("관리"),(J30))))</formula>
    </cfRule>
  </conditionalFormatting>
  <conditionalFormatting sqref="J30">
    <cfRule type="containsText" dxfId="4" priority="7873" operator="containsText" text="등록">
      <formula>NOT(ISERROR(SEARCH(("등록"),(J30))))</formula>
    </cfRule>
  </conditionalFormatting>
  <conditionalFormatting sqref="J30">
    <cfRule type="containsText" dxfId="0" priority="7874" operator="containsText" text="거부">
      <formula>NOT(ISERROR(SEARCH(("거부"),(J30))))</formula>
    </cfRule>
  </conditionalFormatting>
  <conditionalFormatting sqref="J30">
    <cfRule type="containsText" dxfId="1" priority="7875" operator="containsText" text="리턴">
      <formula>NOT(ISERROR(SEARCH(("리턴"),(J30))))</formula>
    </cfRule>
  </conditionalFormatting>
  <conditionalFormatting sqref="J30">
    <cfRule type="containsText" dxfId="2" priority="7876" operator="containsText" text="실패">
      <formula>NOT(ISERROR(SEARCH(("실패"),(J30))))</formula>
    </cfRule>
  </conditionalFormatting>
  <conditionalFormatting sqref="J30">
    <cfRule type="containsText" dxfId="3" priority="7877" operator="containsText" text="관리">
      <formula>NOT(ISERROR(SEARCH(("관리"),(J30))))</formula>
    </cfRule>
  </conditionalFormatting>
  <conditionalFormatting sqref="J30">
    <cfRule type="containsText" dxfId="4" priority="7878" operator="containsText" text="등록">
      <formula>NOT(ISERROR(SEARCH(("등록"),(J30))))</formula>
    </cfRule>
  </conditionalFormatting>
  <conditionalFormatting sqref="J30">
    <cfRule type="containsText" dxfId="0" priority="7879" operator="containsText" text="거부">
      <formula>NOT(ISERROR(SEARCH(("거부"),(J30))))</formula>
    </cfRule>
  </conditionalFormatting>
  <conditionalFormatting sqref="J30">
    <cfRule type="containsText" dxfId="1" priority="7880" operator="containsText" text="리턴">
      <formula>NOT(ISERROR(SEARCH(("리턴"),(J30))))</formula>
    </cfRule>
  </conditionalFormatting>
  <conditionalFormatting sqref="J30">
    <cfRule type="containsText" dxfId="2" priority="7881" operator="containsText" text="실패">
      <formula>NOT(ISERROR(SEARCH(("실패"),(J30))))</formula>
    </cfRule>
  </conditionalFormatting>
  <conditionalFormatting sqref="J30">
    <cfRule type="containsText" dxfId="3" priority="7882" operator="containsText" text="관리">
      <formula>NOT(ISERROR(SEARCH(("관리"),(J30))))</formula>
    </cfRule>
  </conditionalFormatting>
  <conditionalFormatting sqref="J30">
    <cfRule type="containsText" dxfId="4" priority="7883" operator="containsText" text="등록">
      <formula>NOT(ISERROR(SEARCH(("등록"),(J30))))</formula>
    </cfRule>
  </conditionalFormatting>
  <conditionalFormatting sqref="J30">
    <cfRule type="containsText" dxfId="0" priority="7884" operator="containsText" text="거부">
      <formula>NOT(ISERROR(SEARCH(("거부"),(J30))))</formula>
    </cfRule>
  </conditionalFormatting>
  <conditionalFormatting sqref="J30">
    <cfRule type="containsText" dxfId="1" priority="7885" operator="containsText" text="리턴">
      <formula>NOT(ISERROR(SEARCH(("리턴"),(J30))))</formula>
    </cfRule>
  </conditionalFormatting>
  <conditionalFormatting sqref="J30">
    <cfRule type="containsText" dxfId="2" priority="7886" operator="containsText" text="실패">
      <formula>NOT(ISERROR(SEARCH(("실패"),(J30))))</formula>
    </cfRule>
  </conditionalFormatting>
  <conditionalFormatting sqref="J30">
    <cfRule type="containsText" dxfId="3" priority="7887" operator="containsText" text="관리">
      <formula>NOT(ISERROR(SEARCH(("관리"),(J30))))</formula>
    </cfRule>
  </conditionalFormatting>
  <conditionalFormatting sqref="J30">
    <cfRule type="containsText" dxfId="4" priority="7888" operator="containsText" text="등록">
      <formula>NOT(ISERROR(SEARCH(("등록"),(J30))))</formula>
    </cfRule>
  </conditionalFormatting>
  <conditionalFormatting sqref="J30">
    <cfRule type="containsText" dxfId="0" priority="7889" operator="containsText" text="거부">
      <formula>NOT(ISERROR(SEARCH(("거부"),(J30))))</formula>
    </cfRule>
  </conditionalFormatting>
  <conditionalFormatting sqref="J30">
    <cfRule type="containsText" dxfId="1" priority="7890" operator="containsText" text="리턴">
      <formula>NOT(ISERROR(SEARCH(("리턴"),(J30))))</formula>
    </cfRule>
  </conditionalFormatting>
  <conditionalFormatting sqref="J30">
    <cfRule type="containsText" dxfId="2" priority="7891" operator="containsText" text="실패">
      <formula>NOT(ISERROR(SEARCH(("실패"),(J30))))</formula>
    </cfRule>
  </conditionalFormatting>
  <conditionalFormatting sqref="J30">
    <cfRule type="containsText" dxfId="3" priority="7892" operator="containsText" text="관리">
      <formula>NOT(ISERROR(SEARCH(("관리"),(J30))))</formula>
    </cfRule>
  </conditionalFormatting>
  <conditionalFormatting sqref="J30">
    <cfRule type="containsText" dxfId="4" priority="7893" operator="containsText" text="등록">
      <formula>NOT(ISERROR(SEARCH(("등록"),(J30))))</formula>
    </cfRule>
  </conditionalFormatting>
  <conditionalFormatting sqref="J30">
    <cfRule type="containsText" dxfId="0" priority="7894" operator="containsText" text="거부">
      <formula>NOT(ISERROR(SEARCH(("거부"),(J30))))</formula>
    </cfRule>
  </conditionalFormatting>
  <conditionalFormatting sqref="J30">
    <cfRule type="containsText" dxfId="1" priority="7895" operator="containsText" text="리턴">
      <formula>NOT(ISERROR(SEARCH(("리턴"),(J30))))</formula>
    </cfRule>
  </conditionalFormatting>
  <conditionalFormatting sqref="J30">
    <cfRule type="containsText" dxfId="2" priority="7896" operator="containsText" text="실패">
      <formula>NOT(ISERROR(SEARCH(("실패"),(J30))))</formula>
    </cfRule>
  </conditionalFormatting>
  <conditionalFormatting sqref="J30">
    <cfRule type="containsText" dxfId="3" priority="7897" operator="containsText" text="관리">
      <formula>NOT(ISERROR(SEARCH(("관리"),(J30))))</formula>
    </cfRule>
  </conditionalFormatting>
  <conditionalFormatting sqref="J30">
    <cfRule type="containsText" dxfId="4" priority="7898" operator="containsText" text="등록">
      <formula>NOT(ISERROR(SEARCH(("등록"),(J30))))</formula>
    </cfRule>
  </conditionalFormatting>
  <conditionalFormatting sqref="J30">
    <cfRule type="containsText" dxfId="0" priority="7899" operator="containsText" text="거부">
      <formula>NOT(ISERROR(SEARCH(("거부"),(J30))))</formula>
    </cfRule>
  </conditionalFormatting>
  <conditionalFormatting sqref="J30">
    <cfRule type="containsText" dxfId="1" priority="7900" operator="containsText" text="리턴">
      <formula>NOT(ISERROR(SEARCH(("리턴"),(J30))))</formula>
    </cfRule>
  </conditionalFormatting>
  <conditionalFormatting sqref="J30">
    <cfRule type="containsText" dxfId="2" priority="7901" operator="containsText" text="실패">
      <formula>NOT(ISERROR(SEARCH(("실패"),(J30))))</formula>
    </cfRule>
  </conditionalFormatting>
  <conditionalFormatting sqref="J30">
    <cfRule type="containsText" dxfId="3" priority="7902" operator="containsText" text="관리">
      <formula>NOT(ISERROR(SEARCH(("관리"),(J30))))</formula>
    </cfRule>
  </conditionalFormatting>
  <conditionalFormatting sqref="J30">
    <cfRule type="containsText" dxfId="4" priority="7903" operator="containsText" text="등록">
      <formula>NOT(ISERROR(SEARCH(("등록"),(J30))))</formula>
    </cfRule>
  </conditionalFormatting>
  <conditionalFormatting sqref="J30">
    <cfRule type="containsText" dxfId="0" priority="7904" operator="containsText" text="거부">
      <formula>NOT(ISERROR(SEARCH(("거부"),(J30))))</formula>
    </cfRule>
  </conditionalFormatting>
  <conditionalFormatting sqref="J30">
    <cfRule type="containsText" dxfId="1" priority="7905" operator="containsText" text="리턴">
      <formula>NOT(ISERROR(SEARCH(("리턴"),(J30))))</formula>
    </cfRule>
  </conditionalFormatting>
  <conditionalFormatting sqref="J30">
    <cfRule type="containsText" dxfId="2" priority="7906" operator="containsText" text="실패">
      <formula>NOT(ISERROR(SEARCH(("실패"),(J30))))</formula>
    </cfRule>
  </conditionalFormatting>
  <conditionalFormatting sqref="J30">
    <cfRule type="containsText" dxfId="3" priority="7907" operator="containsText" text="관리">
      <formula>NOT(ISERROR(SEARCH(("관리"),(J30))))</formula>
    </cfRule>
  </conditionalFormatting>
  <conditionalFormatting sqref="J30">
    <cfRule type="containsText" dxfId="4" priority="7908" operator="containsText" text="등록">
      <formula>NOT(ISERROR(SEARCH(("등록"),(J30))))</formula>
    </cfRule>
  </conditionalFormatting>
  <conditionalFormatting sqref="J30">
    <cfRule type="containsText" dxfId="0" priority="7909" operator="containsText" text="거부">
      <formula>NOT(ISERROR(SEARCH(("거부"),(J30))))</formula>
    </cfRule>
  </conditionalFormatting>
  <conditionalFormatting sqref="J30">
    <cfRule type="containsText" dxfId="1" priority="7910" operator="containsText" text="리턴">
      <formula>NOT(ISERROR(SEARCH(("리턴"),(J30))))</formula>
    </cfRule>
  </conditionalFormatting>
  <conditionalFormatting sqref="J30">
    <cfRule type="containsText" dxfId="2" priority="7911" operator="containsText" text="실패">
      <formula>NOT(ISERROR(SEARCH(("실패"),(J30))))</formula>
    </cfRule>
  </conditionalFormatting>
  <conditionalFormatting sqref="J30">
    <cfRule type="containsText" dxfId="3" priority="7912" operator="containsText" text="관리">
      <formula>NOT(ISERROR(SEARCH(("관리"),(J30))))</formula>
    </cfRule>
  </conditionalFormatting>
  <conditionalFormatting sqref="J30">
    <cfRule type="containsText" dxfId="4" priority="7913" operator="containsText" text="등록">
      <formula>NOT(ISERROR(SEARCH(("등록"),(J30))))</formula>
    </cfRule>
  </conditionalFormatting>
  <conditionalFormatting sqref="A30">
    <cfRule type="containsText" dxfId="0" priority="7914" operator="containsText" text="거부">
      <formula>NOT(ISERROR(SEARCH(("거부"),(A30))))</formula>
    </cfRule>
  </conditionalFormatting>
  <conditionalFormatting sqref="A30">
    <cfRule type="containsText" dxfId="1" priority="7915" operator="containsText" text="리턴">
      <formula>NOT(ISERROR(SEARCH(("리턴"),(A30))))</formula>
    </cfRule>
  </conditionalFormatting>
  <conditionalFormatting sqref="A30">
    <cfRule type="containsText" dxfId="2" priority="7916" operator="containsText" text="실패">
      <formula>NOT(ISERROR(SEARCH(("실패"),(A30))))</formula>
    </cfRule>
  </conditionalFormatting>
  <conditionalFormatting sqref="A30">
    <cfRule type="containsText" dxfId="3" priority="7917" operator="containsText" text="관리">
      <formula>NOT(ISERROR(SEARCH(("관리"),(A30))))</formula>
    </cfRule>
  </conditionalFormatting>
  <conditionalFormatting sqref="A30">
    <cfRule type="containsText" dxfId="4" priority="7918" operator="containsText" text="등록">
      <formula>NOT(ISERROR(SEARCH(("등록"),(A30))))</formula>
    </cfRule>
  </conditionalFormatting>
  <conditionalFormatting sqref="A30">
    <cfRule type="containsText" dxfId="0" priority="7919" operator="containsText" text="거부">
      <formula>NOT(ISERROR(SEARCH(("거부"),(A30))))</formula>
    </cfRule>
  </conditionalFormatting>
  <conditionalFormatting sqref="A30">
    <cfRule type="containsText" dxfId="1" priority="7920" operator="containsText" text="리턴">
      <formula>NOT(ISERROR(SEARCH(("리턴"),(A30))))</formula>
    </cfRule>
  </conditionalFormatting>
  <conditionalFormatting sqref="A30">
    <cfRule type="containsText" dxfId="2" priority="7921" operator="containsText" text="실패">
      <formula>NOT(ISERROR(SEARCH(("실패"),(A30))))</formula>
    </cfRule>
  </conditionalFormatting>
  <conditionalFormatting sqref="A30">
    <cfRule type="containsText" dxfId="3" priority="7922" operator="containsText" text="관리">
      <formula>NOT(ISERROR(SEARCH(("관리"),(A30))))</formula>
    </cfRule>
  </conditionalFormatting>
  <conditionalFormatting sqref="A30">
    <cfRule type="containsText" dxfId="4" priority="7923" operator="containsText" text="등록">
      <formula>NOT(ISERROR(SEARCH(("등록"),(A30))))</formula>
    </cfRule>
  </conditionalFormatting>
  <conditionalFormatting sqref="A30">
    <cfRule type="containsText" dxfId="0" priority="7924" operator="containsText" text="거부">
      <formula>NOT(ISERROR(SEARCH(("거부"),(A30))))</formula>
    </cfRule>
  </conditionalFormatting>
  <conditionalFormatting sqref="A30">
    <cfRule type="containsText" dxfId="1" priority="7925" operator="containsText" text="리턴">
      <formula>NOT(ISERROR(SEARCH(("리턴"),(A30))))</formula>
    </cfRule>
  </conditionalFormatting>
  <conditionalFormatting sqref="A30">
    <cfRule type="containsText" dxfId="2" priority="7926" operator="containsText" text="실패">
      <formula>NOT(ISERROR(SEARCH(("실패"),(A30))))</formula>
    </cfRule>
  </conditionalFormatting>
  <conditionalFormatting sqref="A30">
    <cfRule type="containsText" dxfId="3" priority="7927" operator="containsText" text="관리">
      <formula>NOT(ISERROR(SEARCH(("관리"),(A30))))</formula>
    </cfRule>
  </conditionalFormatting>
  <conditionalFormatting sqref="A30">
    <cfRule type="containsText" dxfId="4" priority="7928" operator="containsText" text="등록">
      <formula>NOT(ISERROR(SEARCH(("등록"),(A30))))</formula>
    </cfRule>
  </conditionalFormatting>
  <conditionalFormatting sqref="A30">
    <cfRule type="containsText" dxfId="0" priority="7929" operator="containsText" text="거부">
      <formula>NOT(ISERROR(SEARCH(("거부"),(A30))))</formula>
    </cfRule>
  </conditionalFormatting>
  <conditionalFormatting sqref="A30">
    <cfRule type="containsText" dxfId="1" priority="7930" operator="containsText" text="리턴">
      <formula>NOT(ISERROR(SEARCH(("리턴"),(A30))))</formula>
    </cfRule>
  </conditionalFormatting>
  <conditionalFormatting sqref="A30">
    <cfRule type="containsText" dxfId="2" priority="7931" operator="containsText" text="실패">
      <formula>NOT(ISERROR(SEARCH(("실패"),(A30))))</formula>
    </cfRule>
  </conditionalFormatting>
  <conditionalFormatting sqref="A30">
    <cfRule type="containsText" dxfId="3" priority="7932" operator="containsText" text="관리">
      <formula>NOT(ISERROR(SEARCH(("관리"),(A30))))</formula>
    </cfRule>
  </conditionalFormatting>
  <conditionalFormatting sqref="A30">
    <cfRule type="containsText" dxfId="4" priority="7933" operator="containsText" text="등록">
      <formula>NOT(ISERROR(SEARCH(("등록"),(A30))))</formula>
    </cfRule>
  </conditionalFormatting>
  <conditionalFormatting sqref="A30">
    <cfRule type="containsText" dxfId="0" priority="7934" operator="containsText" text="거부">
      <formula>NOT(ISERROR(SEARCH(("거부"),(A30))))</formula>
    </cfRule>
  </conditionalFormatting>
  <conditionalFormatting sqref="A30">
    <cfRule type="containsText" dxfId="1" priority="7935" operator="containsText" text="리턴">
      <formula>NOT(ISERROR(SEARCH(("리턴"),(A30))))</formula>
    </cfRule>
  </conditionalFormatting>
  <conditionalFormatting sqref="A30">
    <cfRule type="containsText" dxfId="2" priority="7936" operator="containsText" text="실패">
      <formula>NOT(ISERROR(SEARCH(("실패"),(A30))))</formula>
    </cfRule>
  </conditionalFormatting>
  <conditionalFormatting sqref="A30">
    <cfRule type="containsText" dxfId="3" priority="7937" operator="containsText" text="관리">
      <formula>NOT(ISERROR(SEARCH(("관리"),(A30))))</formula>
    </cfRule>
  </conditionalFormatting>
  <conditionalFormatting sqref="A30">
    <cfRule type="containsText" dxfId="4" priority="7938" operator="containsText" text="등록">
      <formula>NOT(ISERROR(SEARCH(("등록"),(A30))))</formula>
    </cfRule>
  </conditionalFormatting>
  <conditionalFormatting sqref="A30">
    <cfRule type="containsText" dxfId="0" priority="7939" operator="containsText" text="거부">
      <formula>NOT(ISERROR(SEARCH(("거부"),(A30))))</formula>
    </cfRule>
  </conditionalFormatting>
  <conditionalFormatting sqref="A30">
    <cfRule type="containsText" dxfId="1" priority="7940" operator="containsText" text="리턴">
      <formula>NOT(ISERROR(SEARCH(("리턴"),(A30))))</formula>
    </cfRule>
  </conditionalFormatting>
  <conditionalFormatting sqref="A30">
    <cfRule type="containsText" dxfId="2" priority="7941" operator="containsText" text="실패">
      <formula>NOT(ISERROR(SEARCH(("실패"),(A30))))</formula>
    </cfRule>
  </conditionalFormatting>
  <conditionalFormatting sqref="A30">
    <cfRule type="containsText" dxfId="3" priority="7942" operator="containsText" text="관리">
      <formula>NOT(ISERROR(SEARCH(("관리"),(A30))))</formula>
    </cfRule>
  </conditionalFormatting>
  <conditionalFormatting sqref="A30">
    <cfRule type="containsText" dxfId="4" priority="7943" operator="containsText" text="등록">
      <formula>NOT(ISERROR(SEARCH(("등록"),(A30))))</formula>
    </cfRule>
  </conditionalFormatting>
  <conditionalFormatting sqref="A30">
    <cfRule type="containsText" dxfId="0" priority="7944" operator="containsText" text="거부">
      <formula>NOT(ISERROR(SEARCH(("거부"),(A30))))</formula>
    </cfRule>
  </conditionalFormatting>
  <conditionalFormatting sqref="A30">
    <cfRule type="containsText" dxfId="1" priority="7945" operator="containsText" text="리턴">
      <formula>NOT(ISERROR(SEARCH(("리턴"),(A30))))</formula>
    </cfRule>
  </conditionalFormatting>
  <conditionalFormatting sqref="A30">
    <cfRule type="containsText" dxfId="2" priority="7946" operator="containsText" text="실패">
      <formula>NOT(ISERROR(SEARCH(("실패"),(A30))))</formula>
    </cfRule>
  </conditionalFormatting>
  <conditionalFormatting sqref="A30">
    <cfRule type="containsText" dxfId="3" priority="7947" operator="containsText" text="관리">
      <formula>NOT(ISERROR(SEARCH(("관리"),(A30))))</formula>
    </cfRule>
  </conditionalFormatting>
  <conditionalFormatting sqref="A30">
    <cfRule type="containsText" dxfId="4" priority="7948" operator="containsText" text="등록">
      <formula>NOT(ISERROR(SEARCH(("등록"),(A30))))</formula>
    </cfRule>
  </conditionalFormatting>
  <conditionalFormatting sqref="A30">
    <cfRule type="containsText" dxfId="0" priority="7949" operator="containsText" text="거부">
      <formula>NOT(ISERROR(SEARCH(("거부"),(A30))))</formula>
    </cfRule>
  </conditionalFormatting>
  <conditionalFormatting sqref="A30">
    <cfRule type="containsText" dxfId="1" priority="7950" operator="containsText" text="리턴">
      <formula>NOT(ISERROR(SEARCH(("리턴"),(A30))))</formula>
    </cfRule>
  </conditionalFormatting>
  <conditionalFormatting sqref="A30">
    <cfRule type="containsText" dxfId="2" priority="7951" operator="containsText" text="실패">
      <formula>NOT(ISERROR(SEARCH(("실패"),(A30))))</formula>
    </cfRule>
  </conditionalFormatting>
  <conditionalFormatting sqref="A30">
    <cfRule type="containsText" dxfId="3" priority="7952" operator="containsText" text="관리">
      <formula>NOT(ISERROR(SEARCH(("관리"),(A30))))</formula>
    </cfRule>
  </conditionalFormatting>
  <conditionalFormatting sqref="A30">
    <cfRule type="containsText" dxfId="4" priority="7953" operator="containsText" text="등록">
      <formula>NOT(ISERROR(SEARCH(("등록"),(A30))))</formula>
    </cfRule>
  </conditionalFormatting>
  <conditionalFormatting sqref="A30">
    <cfRule type="containsText" dxfId="0" priority="7954" operator="containsText" text="거부">
      <formula>NOT(ISERROR(SEARCH(("거부"),(A30))))</formula>
    </cfRule>
  </conditionalFormatting>
  <conditionalFormatting sqref="A30">
    <cfRule type="containsText" dxfId="1" priority="7955" operator="containsText" text="리턴">
      <formula>NOT(ISERROR(SEARCH(("리턴"),(A30))))</formula>
    </cfRule>
  </conditionalFormatting>
  <conditionalFormatting sqref="A30">
    <cfRule type="containsText" dxfId="2" priority="7956" operator="containsText" text="실패">
      <formula>NOT(ISERROR(SEARCH(("실패"),(A30))))</formula>
    </cfRule>
  </conditionalFormatting>
  <conditionalFormatting sqref="A30">
    <cfRule type="containsText" dxfId="3" priority="7957" operator="containsText" text="관리">
      <formula>NOT(ISERROR(SEARCH(("관리"),(A30))))</formula>
    </cfRule>
  </conditionalFormatting>
  <conditionalFormatting sqref="A30">
    <cfRule type="containsText" dxfId="4" priority="7958" operator="containsText" text="등록">
      <formula>NOT(ISERROR(SEARCH(("등록"),(A30))))</formula>
    </cfRule>
  </conditionalFormatting>
  <conditionalFormatting sqref="A30">
    <cfRule type="containsText" dxfId="0" priority="7959" operator="containsText" text="거부">
      <formula>NOT(ISERROR(SEARCH(("거부"),(A30))))</formula>
    </cfRule>
  </conditionalFormatting>
  <conditionalFormatting sqref="A30">
    <cfRule type="containsText" dxfId="1" priority="7960" operator="containsText" text="리턴">
      <formula>NOT(ISERROR(SEARCH(("리턴"),(A30))))</formula>
    </cfRule>
  </conditionalFormatting>
  <conditionalFormatting sqref="A30">
    <cfRule type="containsText" dxfId="2" priority="7961" operator="containsText" text="실패">
      <formula>NOT(ISERROR(SEARCH(("실패"),(A30))))</formula>
    </cfRule>
  </conditionalFormatting>
  <conditionalFormatting sqref="A30">
    <cfRule type="containsText" dxfId="3" priority="7962" operator="containsText" text="관리">
      <formula>NOT(ISERROR(SEARCH(("관리"),(A30))))</formula>
    </cfRule>
  </conditionalFormatting>
  <conditionalFormatting sqref="A30">
    <cfRule type="containsText" dxfId="4" priority="7963" operator="containsText" text="등록">
      <formula>NOT(ISERROR(SEARCH(("등록"),(A30))))</formula>
    </cfRule>
  </conditionalFormatting>
  <conditionalFormatting sqref="G33">
    <cfRule type="containsText" dxfId="0" priority="7964" operator="containsText" text="거부">
      <formula>NOT(ISERROR(SEARCH(("거부"),(G33))))</formula>
    </cfRule>
  </conditionalFormatting>
  <conditionalFormatting sqref="G33">
    <cfRule type="containsText" dxfId="1" priority="7965" operator="containsText" text="리턴">
      <formula>NOT(ISERROR(SEARCH(("리턴"),(G33))))</formula>
    </cfRule>
  </conditionalFormatting>
  <conditionalFormatting sqref="G33">
    <cfRule type="containsText" dxfId="2" priority="7966" operator="containsText" text="실패">
      <formula>NOT(ISERROR(SEARCH(("실패"),(G33))))</formula>
    </cfRule>
  </conditionalFormatting>
  <conditionalFormatting sqref="G33">
    <cfRule type="containsText" dxfId="3" priority="7967" operator="containsText" text="관리">
      <formula>NOT(ISERROR(SEARCH(("관리"),(G33))))</formula>
    </cfRule>
  </conditionalFormatting>
  <conditionalFormatting sqref="G33">
    <cfRule type="containsText" dxfId="4" priority="7968" operator="containsText" text="등록">
      <formula>NOT(ISERROR(SEARCH(("등록"),(G33))))</formula>
    </cfRule>
  </conditionalFormatting>
  <conditionalFormatting sqref="G33">
    <cfRule type="containsText" dxfId="0" priority="7969" operator="containsText" text="거부">
      <formula>NOT(ISERROR(SEARCH(("거부"),(G33))))</formula>
    </cfRule>
  </conditionalFormatting>
  <conditionalFormatting sqref="G33">
    <cfRule type="containsText" dxfId="1" priority="7970" operator="containsText" text="리턴">
      <formula>NOT(ISERROR(SEARCH(("리턴"),(G33))))</formula>
    </cfRule>
  </conditionalFormatting>
  <conditionalFormatting sqref="G33">
    <cfRule type="containsText" dxfId="2" priority="7971" operator="containsText" text="실패">
      <formula>NOT(ISERROR(SEARCH(("실패"),(G33))))</formula>
    </cfRule>
  </conditionalFormatting>
  <conditionalFormatting sqref="G33">
    <cfRule type="containsText" dxfId="3" priority="7972" operator="containsText" text="관리">
      <formula>NOT(ISERROR(SEARCH(("관리"),(G33))))</formula>
    </cfRule>
  </conditionalFormatting>
  <conditionalFormatting sqref="G33">
    <cfRule type="containsText" dxfId="4" priority="7973" operator="containsText" text="등록">
      <formula>NOT(ISERROR(SEARCH(("등록"),(G33))))</formula>
    </cfRule>
  </conditionalFormatting>
  <conditionalFormatting sqref="G33">
    <cfRule type="containsText" dxfId="0" priority="7974" operator="containsText" text="거부">
      <formula>NOT(ISERROR(SEARCH(("거부"),(G33))))</formula>
    </cfRule>
  </conditionalFormatting>
  <conditionalFormatting sqref="G33">
    <cfRule type="containsText" dxfId="1" priority="7975" operator="containsText" text="리턴">
      <formula>NOT(ISERROR(SEARCH(("리턴"),(G33))))</formula>
    </cfRule>
  </conditionalFormatting>
  <conditionalFormatting sqref="G33">
    <cfRule type="containsText" dxfId="2" priority="7976" operator="containsText" text="실패">
      <formula>NOT(ISERROR(SEARCH(("실패"),(G33))))</formula>
    </cfRule>
  </conditionalFormatting>
  <conditionalFormatting sqref="G33">
    <cfRule type="containsText" dxfId="3" priority="7977" operator="containsText" text="관리">
      <formula>NOT(ISERROR(SEARCH(("관리"),(G33))))</formula>
    </cfRule>
  </conditionalFormatting>
  <conditionalFormatting sqref="G33">
    <cfRule type="containsText" dxfId="4" priority="7978" operator="containsText" text="등록">
      <formula>NOT(ISERROR(SEARCH(("등록"),(G33))))</formula>
    </cfRule>
  </conditionalFormatting>
  <conditionalFormatting sqref="G33">
    <cfRule type="containsText" dxfId="0" priority="7979" operator="containsText" text="거부">
      <formula>NOT(ISERROR(SEARCH(("거부"),(G33))))</formula>
    </cfRule>
  </conditionalFormatting>
  <conditionalFormatting sqref="G33">
    <cfRule type="containsText" dxfId="1" priority="7980" operator="containsText" text="리턴">
      <formula>NOT(ISERROR(SEARCH(("리턴"),(G33))))</formula>
    </cfRule>
  </conditionalFormatting>
  <conditionalFormatting sqref="G33">
    <cfRule type="containsText" dxfId="2" priority="7981" operator="containsText" text="실패">
      <formula>NOT(ISERROR(SEARCH(("실패"),(G33))))</formula>
    </cfRule>
  </conditionalFormatting>
  <conditionalFormatting sqref="G33">
    <cfRule type="containsText" dxfId="3" priority="7982" operator="containsText" text="관리">
      <formula>NOT(ISERROR(SEARCH(("관리"),(G33))))</formula>
    </cfRule>
  </conditionalFormatting>
  <conditionalFormatting sqref="G33">
    <cfRule type="containsText" dxfId="4" priority="7983" operator="containsText" text="등록">
      <formula>NOT(ISERROR(SEARCH(("등록"),(G33))))</formula>
    </cfRule>
  </conditionalFormatting>
  <conditionalFormatting sqref="G33">
    <cfRule type="containsText" dxfId="0" priority="7984" operator="containsText" text="거부">
      <formula>NOT(ISERROR(SEARCH(("거부"),(G33))))</formula>
    </cfRule>
  </conditionalFormatting>
  <conditionalFormatting sqref="G33">
    <cfRule type="containsText" dxfId="1" priority="7985" operator="containsText" text="리턴">
      <formula>NOT(ISERROR(SEARCH(("리턴"),(G33))))</formula>
    </cfRule>
  </conditionalFormatting>
  <conditionalFormatting sqref="G33">
    <cfRule type="containsText" dxfId="2" priority="7986" operator="containsText" text="실패">
      <formula>NOT(ISERROR(SEARCH(("실패"),(G33))))</formula>
    </cfRule>
  </conditionalFormatting>
  <conditionalFormatting sqref="G33">
    <cfRule type="containsText" dxfId="3" priority="7987" operator="containsText" text="관리">
      <formula>NOT(ISERROR(SEARCH(("관리"),(G33))))</formula>
    </cfRule>
  </conditionalFormatting>
  <conditionalFormatting sqref="G33">
    <cfRule type="containsText" dxfId="4" priority="7988" operator="containsText" text="등록">
      <formula>NOT(ISERROR(SEARCH(("등록"),(G33))))</formula>
    </cfRule>
  </conditionalFormatting>
  <conditionalFormatting sqref="G33">
    <cfRule type="containsText" dxfId="0" priority="7989" operator="containsText" text="거부">
      <formula>NOT(ISERROR(SEARCH(("거부"),(G33))))</formula>
    </cfRule>
  </conditionalFormatting>
  <conditionalFormatting sqref="G33">
    <cfRule type="containsText" dxfId="1" priority="7990" operator="containsText" text="리턴">
      <formula>NOT(ISERROR(SEARCH(("리턴"),(G33))))</formula>
    </cfRule>
  </conditionalFormatting>
  <conditionalFormatting sqref="G33">
    <cfRule type="containsText" dxfId="2" priority="7991" operator="containsText" text="실패">
      <formula>NOT(ISERROR(SEARCH(("실패"),(G33))))</formula>
    </cfRule>
  </conditionalFormatting>
  <conditionalFormatting sqref="G33">
    <cfRule type="containsText" dxfId="3" priority="7992" operator="containsText" text="관리">
      <formula>NOT(ISERROR(SEARCH(("관리"),(G33))))</formula>
    </cfRule>
  </conditionalFormatting>
  <conditionalFormatting sqref="G33">
    <cfRule type="containsText" dxfId="4" priority="7993" operator="containsText" text="등록">
      <formula>NOT(ISERROR(SEARCH(("등록"),(G33))))</formula>
    </cfRule>
  </conditionalFormatting>
  <conditionalFormatting sqref="G33">
    <cfRule type="containsText" dxfId="0" priority="7994" operator="containsText" text="거부">
      <formula>NOT(ISERROR(SEARCH(("거부"),(G33))))</formula>
    </cfRule>
  </conditionalFormatting>
  <conditionalFormatting sqref="G33">
    <cfRule type="containsText" dxfId="1" priority="7995" operator="containsText" text="리턴">
      <formula>NOT(ISERROR(SEARCH(("리턴"),(G33))))</formula>
    </cfRule>
  </conditionalFormatting>
  <conditionalFormatting sqref="G33">
    <cfRule type="containsText" dxfId="2" priority="7996" operator="containsText" text="실패">
      <formula>NOT(ISERROR(SEARCH(("실패"),(G33))))</formula>
    </cfRule>
  </conditionalFormatting>
  <conditionalFormatting sqref="G33">
    <cfRule type="containsText" dxfId="3" priority="7997" operator="containsText" text="관리">
      <formula>NOT(ISERROR(SEARCH(("관리"),(G33))))</formula>
    </cfRule>
  </conditionalFormatting>
  <conditionalFormatting sqref="G33">
    <cfRule type="containsText" dxfId="4" priority="7998" operator="containsText" text="등록">
      <formula>NOT(ISERROR(SEARCH(("등록"),(G33))))</formula>
    </cfRule>
  </conditionalFormatting>
  <conditionalFormatting sqref="G33">
    <cfRule type="containsText" dxfId="0" priority="7999" operator="containsText" text="거부">
      <formula>NOT(ISERROR(SEARCH(("거부"),(G33))))</formula>
    </cfRule>
  </conditionalFormatting>
  <conditionalFormatting sqref="G33">
    <cfRule type="containsText" dxfId="1" priority="8000" operator="containsText" text="리턴">
      <formula>NOT(ISERROR(SEARCH(("리턴"),(G33))))</formula>
    </cfRule>
  </conditionalFormatting>
  <conditionalFormatting sqref="G33">
    <cfRule type="containsText" dxfId="2" priority="8001" operator="containsText" text="실패">
      <formula>NOT(ISERROR(SEARCH(("실패"),(G33))))</formula>
    </cfRule>
  </conditionalFormatting>
  <conditionalFormatting sqref="G33">
    <cfRule type="containsText" dxfId="3" priority="8002" operator="containsText" text="관리">
      <formula>NOT(ISERROR(SEARCH(("관리"),(G33))))</formula>
    </cfRule>
  </conditionalFormatting>
  <conditionalFormatting sqref="G33">
    <cfRule type="containsText" dxfId="4" priority="8003" operator="containsText" text="등록">
      <formula>NOT(ISERROR(SEARCH(("등록"),(G33))))</formula>
    </cfRule>
  </conditionalFormatting>
  <conditionalFormatting sqref="G33">
    <cfRule type="containsText" dxfId="0" priority="8004" operator="containsText" text="거부">
      <formula>NOT(ISERROR(SEARCH(("거부"),(G33))))</formula>
    </cfRule>
  </conditionalFormatting>
  <conditionalFormatting sqref="G33">
    <cfRule type="containsText" dxfId="1" priority="8005" operator="containsText" text="리턴">
      <formula>NOT(ISERROR(SEARCH(("리턴"),(G33))))</formula>
    </cfRule>
  </conditionalFormatting>
  <conditionalFormatting sqref="G33">
    <cfRule type="containsText" dxfId="2" priority="8006" operator="containsText" text="실패">
      <formula>NOT(ISERROR(SEARCH(("실패"),(G33))))</formula>
    </cfRule>
  </conditionalFormatting>
  <conditionalFormatting sqref="G33">
    <cfRule type="containsText" dxfId="3" priority="8007" operator="containsText" text="관리">
      <formula>NOT(ISERROR(SEARCH(("관리"),(G33))))</formula>
    </cfRule>
  </conditionalFormatting>
  <conditionalFormatting sqref="G33">
    <cfRule type="containsText" dxfId="4" priority="8008" operator="containsText" text="등록">
      <formula>NOT(ISERROR(SEARCH(("등록"),(G33))))</formula>
    </cfRule>
  </conditionalFormatting>
  <conditionalFormatting sqref="G33">
    <cfRule type="containsText" dxfId="0" priority="8009" operator="containsText" text="거부">
      <formula>NOT(ISERROR(SEARCH(("거부"),(G33))))</formula>
    </cfRule>
  </conditionalFormatting>
  <conditionalFormatting sqref="G33">
    <cfRule type="containsText" dxfId="1" priority="8010" operator="containsText" text="리턴">
      <formula>NOT(ISERROR(SEARCH(("리턴"),(G33))))</formula>
    </cfRule>
  </conditionalFormatting>
  <conditionalFormatting sqref="G33">
    <cfRule type="containsText" dxfId="2" priority="8011" operator="containsText" text="실패">
      <formula>NOT(ISERROR(SEARCH(("실패"),(G33))))</formula>
    </cfRule>
  </conditionalFormatting>
  <conditionalFormatting sqref="G33">
    <cfRule type="containsText" dxfId="3" priority="8012" operator="containsText" text="관리">
      <formula>NOT(ISERROR(SEARCH(("관리"),(G33))))</formula>
    </cfRule>
  </conditionalFormatting>
  <conditionalFormatting sqref="G33">
    <cfRule type="containsText" dxfId="4" priority="8013" operator="containsText" text="등록">
      <formula>NOT(ISERROR(SEARCH(("등록"),(G33))))</formula>
    </cfRule>
  </conditionalFormatting>
  <conditionalFormatting sqref="G33">
    <cfRule type="containsText" dxfId="0" priority="8014" operator="containsText" text="거부">
      <formula>NOT(ISERROR(SEARCH(("거부"),(G33))))</formula>
    </cfRule>
  </conditionalFormatting>
  <conditionalFormatting sqref="G33">
    <cfRule type="containsText" dxfId="1" priority="8015" operator="containsText" text="리턴">
      <formula>NOT(ISERROR(SEARCH(("리턴"),(G33))))</formula>
    </cfRule>
  </conditionalFormatting>
  <conditionalFormatting sqref="G33">
    <cfRule type="containsText" dxfId="2" priority="8016" operator="containsText" text="실패">
      <formula>NOT(ISERROR(SEARCH(("실패"),(G33))))</formula>
    </cfRule>
  </conditionalFormatting>
  <conditionalFormatting sqref="G33">
    <cfRule type="containsText" dxfId="3" priority="8017" operator="containsText" text="관리">
      <formula>NOT(ISERROR(SEARCH(("관리"),(G33))))</formula>
    </cfRule>
  </conditionalFormatting>
  <conditionalFormatting sqref="G33">
    <cfRule type="containsText" dxfId="4" priority="8018" operator="containsText" text="등록">
      <formula>NOT(ISERROR(SEARCH(("등록"),(G33))))</formula>
    </cfRule>
  </conditionalFormatting>
  <conditionalFormatting sqref="G33">
    <cfRule type="containsText" dxfId="0" priority="8019" operator="containsText" text="거부">
      <formula>NOT(ISERROR(SEARCH(("거부"),(G33))))</formula>
    </cfRule>
  </conditionalFormatting>
  <conditionalFormatting sqref="G33">
    <cfRule type="containsText" dxfId="1" priority="8020" operator="containsText" text="리턴">
      <formula>NOT(ISERROR(SEARCH(("리턴"),(G33))))</formula>
    </cfRule>
  </conditionalFormatting>
  <conditionalFormatting sqref="G33">
    <cfRule type="containsText" dxfId="2" priority="8021" operator="containsText" text="실패">
      <formula>NOT(ISERROR(SEARCH(("실패"),(G33))))</formula>
    </cfRule>
  </conditionalFormatting>
  <conditionalFormatting sqref="G33">
    <cfRule type="containsText" dxfId="3" priority="8022" operator="containsText" text="관리">
      <formula>NOT(ISERROR(SEARCH(("관리"),(G33))))</formula>
    </cfRule>
  </conditionalFormatting>
  <conditionalFormatting sqref="G33">
    <cfRule type="containsText" dxfId="4" priority="8023" operator="containsText" text="등록">
      <formula>NOT(ISERROR(SEARCH(("등록"),(G33))))</formula>
    </cfRule>
  </conditionalFormatting>
  <conditionalFormatting sqref="G33">
    <cfRule type="containsText" dxfId="0" priority="8024" operator="containsText" text="거부">
      <formula>NOT(ISERROR(SEARCH(("거부"),(G33))))</formula>
    </cfRule>
  </conditionalFormatting>
  <conditionalFormatting sqref="G33">
    <cfRule type="containsText" dxfId="1" priority="8025" operator="containsText" text="리턴">
      <formula>NOT(ISERROR(SEARCH(("리턴"),(G33))))</formula>
    </cfRule>
  </conditionalFormatting>
  <conditionalFormatting sqref="G33">
    <cfRule type="containsText" dxfId="2" priority="8026" operator="containsText" text="실패">
      <formula>NOT(ISERROR(SEARCH(("실패"),(G33))))</formula>
    </cfRule>
  </conditionalFormatting>
  <conditionalFormatting sqref="G33">
    <cfRule type="containsText" dxfId="3" priority="8027" operator="containsText" text="관리">
      <formula>NOT(ISERROR(SEARCH(("관리"),(G33))))</formula>
    </cfRule>
  </conditionalFormatting>
  <conditionalFormatting sqref="G33">
    <cfRule type="containsText" dxfId="4" priority="8028" operator="containsText" text="등록">
      <formula>NOT(ISERROR(SEARCH(("등록"),(G33))))</formula>
    </cfRule>
  </conditionalFormatting>
  <conditionalFormatting sqref="G33">
    <cfRule type="containsText" dxfId="0" priority="8029" operator="containsText" text="거부">
      <formula>NOT(ISERROR(SEARCH(("거부"),(G33))))</formula>
    </cfRule>
  </conditionalFormatting>
  <conditionalFormatting sqref="G33">
    <cfRule type="containsText" dxfId="1" priority="8030" operator="containsText" text="리턴">
      <formula>NOT(ISERROR(SEARCH(("리턴"),(G33))))</formula>
    </cfRule>
  </conditionalFormatting>
  <conditionalFormatting sqref="G33">
    <cfRule type="containsText" dxfId="2" priority="8031" operator="containsText" text="실패">
      <formula>NOT(ISERROR(SEARCH(("실패"),(G33))))</formula>
    </cfRule>
  </conditionalFormatting>
  <conditionalFormatting sqref="G33">
    <cfRule type="containsText" dxfId="3" priority="8032" operator="containsText" text="관리">
      <formula>NOT(ISERROR(SEARCH(("관리"),(G33))))</formula>
    </cfRule>
  </conditionalFormatting>
  <conditionalFormatting sqref="G33">
    <cfRule type="containsText" dxfId="4" priority="8033" operator="containsText" text="등록">
      <formula>NOT(ISERROR(SEARCH(("등록"),(G33))))</formula>
    </cfRule>
  </conditionalFormatting>
  <conditionalFormatting sqref="G33">
    <cfRule type="containsText" dxfId="0" priority="8034" operator="containsText" text="거부">
      <formula>NOT(ISERROR(SEARCH(("거부"),(G33))))</formula>
    </cfRule>
  </conditionalFormatting>
  <conditionalFormatting sqref="G33">
    <cfRule type="containsText" dxfId="1" priority="8035" operator="containsText" text="리턴">
      <formula>NOT(ISERROR(SEARCH(("리턴"),(G33))))</formula>
    </cfRule>
  </conditionalFormatting>
  <conditionalFormatting sqref="G33">
    <cfRule type="containsText" dxfId="2" priority="8036" operator="containsText" text="실패">
      <formula>NOT(ISERROR(SEARCH(("실패"),(G33))))</formula>
    </cfRule>
  </conditionalFormatting>
  <conditionalFormatting sqref="G33">
    <cfRule type="containsText" dxfId="3" priority="8037" operator="containsText" text="관리">
      <formula>NOT(ISERROR(SEARCH(("관리"),(G33))))</formula>
    </cfRule>
  </conditionalFormatting>
  <conditionalFormatting sqref="G33">
    <cfRule type="containsText" dxfId="4" priority="8038" operator="containsText" text="등록">
      <formula>NOT(ISERROR(SEARCH(("등록"),(G33))))</formula>
    </cfRule>
  </conditionalFormatting>
  <conditionalFormatting sqref="G33">
    <cfRule type="containsText" dxfId="0" priority="8039" operator="containsText" text="거부">
      <formula>NOT(ISERROR(SEARCH(("거부"),(G33))))</formula>
    </cfRule>
  </conditionalFormatting>
  <conditionalFormatting sqref="G33">
    <cfRule type="containsText" dxfId="1" priority="8040" operator="containsText" text="리턴">
      <formula>NOT(ISERROR(SEARCH(("리턴"),(G33))))</formula>
    </cfRule>
  </conditionalFormatting>
  <conditionalFormatting sqref="G33">
    <cfRule type="containsText" dxfId="2" priority="8041" operator="containsText" text="실패">
      <formula>NOT(ISERROR(SEARCH(("실패"),(G33))))</formula>
    </cfRule>
  </conditionalFormatting>
  <conditionalFormatting sqref="G33">
    <cfRule type="containsText" dxfId="3" priority="8042" operator="containsText" text="관리">
      <formula>NOT(ISERROR(SEARCH(("관리"),(G33))))</formula>
    </cfRule>
  </conditionalFormatting>
  <conditionalFormatting sqref="G33">
    <cfRule type="containsText" dxfId="4" priority="8043" operator="containsText" text="등록">
      <formula>NOT(ISERROR(SEARCH(("등록"),(G33))))</formula>
    </cfRule>
  </conditionalFormatting>
  <conditionalFormatting sqref="G33">
    <cfRule type="containsText" dxfId="0" priority="8044" operator="containsText" text="거부">
      <formula>NOT(ISERROR(SEARCH(("거부"),(G33))))</formula>
    </cfRule>
  </conditionalFormatting>
  <conditionalFormatting sqref="G33">
    <cfRule type="containsText" dxfId="1" priority="8045" operator="containsText" text="리턴">
      <formula>NOT(ISERROR(SEARCH(("리턴"),(G33))))</formula>
    </cfRule>
  </conditionalFormatting>
  <conditionalFormatting sqref="G33">
    <cfRule type="containsText" dxfId="2" priority="8046" operator="containsText" text="실패">
      <formula>NOT(ISERROR(SEARCH(("실패"),(G33))))</formula>
    </cfRule>
  </conditionalFormatting>
  <conditionalFormatting sqref="G33">
    <cfRule type="containsText" dxfId="3" priority="8047" operator="containsText" text="관리">
      <formula>NOT(ISERROR(SEARCH(("관리"),(G33))))</formula>
    </cfRule>
  </conditionalFormatting>
  <conditionalFormatting sqref="G33">
    <cfRule type="containsText" dxfId="4" priority="8048" operator="containsText" text="등록">
      <formula>NOT(ISERROR(SEARCH(("등록"),(G33))))</formula>
    </cfRule>
  </conditionalFormatting>
  <conditionalFormatting sqref="G33">
    <cfRule type="containsText" dxfId="0" priority="8049" operator="containsText" text="거부">
      <formula>NOT(ISERROR(SEARCH(("거부"),(G33))))</formula>
    </cfRule>
  </conditionalFormatting>
  <conditionalFormatting sqref="G33">
    <cfRule type="containsText" dxfId="1" priority="8050" operator="containsText" text="리턴">
      <formula>NOT(ISERROR(SEARCH(("리턴"),(G33))))</formula>
    </cfRule>
  </conditionalFormatting>
  <conditionalFormatting sqref="G33">
    <cfRule type="containsText" dxfId="2" priority="8051" operator="containsText" text="실패">
      <formula>NOT(ISERROR(SEARCH(("실패"),(G33))))</formula>
    </cfRule>
  </conditionalFormatting>
  <conditionalFormatting sqref="G33">
    <cfRule type="containsText" dxfId="3" priority="8052" operator="containsText" text="관리">
      <formula>NOT(ISERROR(SEARCH(("관리"),(G33))))</formula>
    </cfRule>
  </conditionalFormatting>
  <conditionalFormatting sqref="G33">
    <cfRule type="containsText" dxfId="4" priority="8053" operator="containsText" text="등록">
      <formula>NOT(ISERROR(SEARCH(("등록"),(G33))))</formula>
    </cfRule>
  </conditionalFormatting>
  <conditionalFormatting sqref="G33">
    <cfRule type="containsText" dxfId="0" priority="8054" operator="containsText" text="거부">
      <formula>NOT(ISERROR(SEARCH(("거부"),(G33))))</formula>
    </cfRule>
  </conditionalFormatting>
  <conditionalFormatting sqref="G33">
    <cfRule type="containsText" dxfId="1" priority="8055" operator="containsText" text="리턴">
      <formula>NOT(ISERROR(SEARCH(("리턴"),(G33))))</formula>
    </cfRule>
  </conditionalFormatting>
  <conditionalFormatting sqref="G33">
    <cfRule type="containsText" dxfId="2" priority="8056" operator="containsText" text="실패">
      <formula>NOT(ISERROR(SEARCH(("실패"),(G33))))</formula>
    </cfRule>
  </conditionalFormatting>
  <conditionalFormatting sqref="G33">
    <cfRule type="containsText" dxfId="3" priority="8057" operator="containsText" text="관리">
      <formula>NOT(ISERROR(SEARCH(("관리"),(G33))))</formula>
    </cfRule>
  </conditionalFormatting>
  <conditionalFormatting sqref="G33">
    <cfRule type="containsText" dxfId="4" priority="8058" operator="containsText" text="등록">
      <formula>NOT(ISERROR(SEARCH(("등록"),(G33))))</formula>
    </cfRule>
  </conditionalFormatting>
  <conditionalFormatting sqref="G33">
    <cfRule type="containsText" dxfId="0" priority="8059" operator="containsText" text="거부">
      <formula>NOT(ISERROR(SEARCH(("거부"),(G33))))</formula>
    </cfRule>
  </conditionalFormatting>
  <conditionalFormatting sqref="G33">
    <cfRule type="containsText" dxfId="1" priority="8060" operator="containsText" text="리턴">
      <formula>NOT(ISERROR(SEARCH(("리턴"),(G33))))</formula>
    </cfRule>
  </conditionalFormatting>
  <conditionalFormatting sqref="G33">
    <cfRule type="containsText" dxfId="2" priority="8061" operator="containsText" text="실패">
      <formula>NOT(ISERROR(SEARCH(("실패"),(G33))))</formula>
    </cfRule>
  </conditionalFormatting>
  <conditionalFormatting sqref="G33">
    <cfRule type="containsText" dxfId="3" priority="8062" operator="containsText" text="관리">
      <formula>NOT(ISERROR(SEARCH(("관리"),(G33))))</formula>
    </cfRule>
  </conditionalFormatting>
  <conditionalFormatting sqref="G33">
    <cfRule type="containsText" dxfId="4" priority="8063" operator="containsText" text="등록">
      <formula>NOT(ISERROR(SEARCH(("등록"),(G33))))</formula>
    </cfRule>
  </conditionalFormatting>
  <conditionalFormatting sqref="G33">
    <cfRule type="containsText" dxfId="0" priority="8064" operator="containsText" text="거부">
      <formula>NOT(ISERROR(SEARCH(("거부"),(G33))))</formula>
    </cfRule>
  </conditionalFormatting>
  <conditionalFormatting sqref="G33">
    <cfRule type="containsText" dxfId="1" priority="8065" operator="containsText" text="리턴">
      <formula>NOT(ISERROR(SEARCH(("리턴"),(G33))))</formula>
    </cfRule>
  </conditionalFormatting>
  <conditionalFormatting sqref="G33">
    <cfRule type="containsText" dxfId="2" priority="8066" operator="containsText" text="실패">
      <formula>NOT(ISERROR(SEARCH(("실패"),(G33))))</formula>
    </cfRule>
  </conditionalFormatting>
  <conditionalFormatting sqref="G33">
    <cfRule type="containsText" dxfId="3" priority="8067" operator="containsText" text="관리">
      <formula>NOT(ISERROR(SEARCH(("관리"),(G33))))</formula>
    </cfRule>
  </conditionalFormatting>
  <conditionalFormatting sqref="G33">
    <cfRule type="containsText" dxfId="4" priority="8068" operator="containsText" text="등록">
      <formula>NOT(ISERROR(SEARCH(("등록"),(G33))))</formula>
    </cfRule>
  </conditionalFormatting>
  <conditionalFormatting sqref="G33">
    <cfRule type="containsText" dxfId="0" priority="8069" operator="containsText" text="거부">
      <formula>NOT(ISERROR(SEARCH(("거부"),(G33))))</formula>
    </cfRule>
  </conditionalFormatting>
  <conditionalFormatting sqref="G33">
    <cfRule type="containsText" dxfId="1" priority="8070" operator="containsText" text="리턴">
      <formula>NOT(ISERROR(SEARCH(("리턴"),(G33))))</formula>
    </cfRule>
  </conditionalFormatting>
  <conditionalFormatting sqref="G33">
    <cfRule type="containsText" dxfId="2" priority="8071" operator="containsText" text="실패">
      <formula>NOT(ISERROR(SEARCH(("실패"),(G33))))</formula>
    </cfRule>
  </conditionalFormatting>
  <conditionalFormatting sqref="G33">
    <cfRule type="containsText" dxfId="3" priority="8072" operator="containsText" text="관리">
      <formula>NOT(ISERROR(SEARCH(("관리"),(G33))))</formula>
    </cfRule>
  </conditionalFormatting>
  <conditionalFormatting sqref="G33">
    <cfRule type="containsText" dxfId="4" priority="8073" operator="containsText" text="등록">
      <formula>NOT(ISERROR(SEARCH(("등록"),(G33))))</formula>
    </cfRule>
  </conditionalFormatting>
  <conditionalFormatting sqref="A33">
    <cfRule type="containsText" dxfId="0" priority="8074" operator="containsText" text="거부">
      <formula>NOT(ISERROR(SEARCH(("거부"),(A33))))</formula>
    </cfRule>
  </conditionalFormatting>
  <conditionalFormatting sqref="A33">
    <cfRule type="containsText" dxfId="1" priority="8075" operator="containsText" text="리턴">
      <formula>NOT(ISERROR(SEARCH(("리턴"),(A33))))</formula>
    </cfRule>
  </conditionalFormatting>
  <conditionalFormatting sqref="A33">
    <cfRule type="containsText" dxfId="2" priority="8076" operator="containsText" text="실패">
      <formula>NOT(ISERROR(SEARCH(("실패"),(A33))))</formula>
    </cfRule>
  </conditionalFormatting>
  <conditionalFormatting sqref="A33">
    <cfRule type="containsText" dxfId="3" priority="8077" operator="containsText" text="관리">
      <formula>NOT(ISERROR(SEARCH(("관리"),(A33))))</formula>
    </cfRule>
  </conditionalFormatting>
  <conditionalFormatting sqref="A33">
    <cfRule type="containsText" dxfId="4" priority="8078" operator="containsText" text="등록">
      <formula>NOT(ISERROR(SEARCH(("등록"),(A33))))</formula>
    </cfRule>
  </conditionalFormatting>
  <conditionalFormatting sqref="A33">
    <cfRule type="containsText" dxfId="0" priority="8079" operator="containsText" text="거부">
      <formula>NOT(ISERROR(SEARCH(("거부"),(A33))))</formula>
    </cfRule>
  </conditionalFormatting>
  <conditionalFormatting sqref="A33">
    <cfRule type="containsText" dxfId="1" priority="8080" operator="containsText" text="리턴">
      <formula>NOT(ISERROR(SEARCH(("리턴"),(A33))))</formula>
    </cfRule>
  </conditionalFormatting>
  <conditionalFormatting sqref="A33">
    <cfRule type="containsText" dxfId="2" priority="8081" operator="containsText" text="실패">
      <formula>NOT(ISERROR(SEARCH(("실패"),(A33))))</formula>
    </cfRule>
  </conditionalFormatting>
  <conditionalFormatting sqref="A33">
    <cfRule type="containsText" dxfId="3" priority="8082" operator="containsText" text="관리">
      <formula>NOT(ISERROR(SEARCH(("관리"),(A33))))</formula>
    </cfRule>
  </conditionalFormatting>
  <conditionalFormatting sqref="A33">
    <cfRule type="containsText" dxfId="4" priority="8083" operator="containsText" text="등록">
      <formula>NOT(ISERROR(SEARCH(("등록"),(A33))))</formula>
    </cfRule>
  </conditionalFormatting>
  <conditionalFormatting sqref="A33">
    <cfRule type="containsText" dxfId="0" priority="8084" operator="containsText" text="거부">
      <formula>NOT(ISERROR(SEARCH(("거부"),(A33))))</formula>
    </cfRule>
  </conditionalFormatting>
  <conditionalFormatting sqref="A33">
    <cfRule type="containsText" dxfId="1" priority="8085" operator="containsText" text="리턴">
      <formula>NOT(ISERROR(SEARCH(("리턴"),(A33))))</formula>
    </cfRule>
  </conditionalFormatting>
  <conditionalFormatting sqref="A33">
    <cfRule type="containsText" dxfId="2" priority="8086" operator="containsText" text="실패">
      <formula>NOT(ISERROR(SEARCH(("실패"),(A33))))</formula>
    </cfRule>
  </conditionalFormatting>
  <conditionalFormatting sqref="A33">
    <cfRule type="containsText" dxfId="3" priority="8087" operator="containsText" text="관리">
      <formula>NOT(ISERROR(SEARCH(("관리"),(A33))))</formula>
    </cfRule>
  </conditionalFormatting>
  <conditionalFormatting sqref="A33">
    <cfRule type="containsText" dxfId="4" priority="8088" operator="containsText" text="등록">
      <formula>NOT(ISERROR(SEARCH(("등록"),(A33))))</formula>
    </cfRule>
  </conditionalFormatting>
  <conditionalFormatting sqref="A33">
    <cfRule type="containsText" dxfId="0" priority="8089" operator="containsText" text="거부">
      <formula>NOT(ISERROR(SEARCH(("거부"),(A33))))</formula>
    </cfRule>
  </conditionalFormatting>
  <conditionalFormatting sqref="A33">
    <cfRule type="containsText" dxfId="1" priority="8090" operator="containsText" text="리턴">
      <formula>NOT(ISERROR(SEARCH(("리턴"),(A33))))</formula>
    </cfRule>
  </conditionalFormatting>
  <conditionalFormatting sqref="A33">
    <cfRule type="containsText" dxfId="2" priority="8091" operator="containsText" text="실패">
      <formula>NOT(ISERROR(SEARCH(("실패"),(A33))))</formula>
    </cfRule>
  </conditionalFormatting>
  <conditionalFormatting sqref="A33">
    <cfRule type="containsText" dxfId="3" priority="8092" operator="containsText" text="관리">
      <formula>NOT(ISERROR(SEARCH(("관리"),(A33))))</formula>
    </cfRule>
  </conditionalFormatting>
  <conditionalFormatting sqref="A33">
    <cfRule type="containsText" dxfId="4" priority="8093" operator="containsText" text="등록">
      <formula>NOT(ISERROR(SEARCH(("등록"),(A33))))</formula>
    </cfRule>
  </conditionalFormatting>
  <conditionalFormatting sqref="A33">
    <cfRule type="containsText" dxfId="0" priority="8094" operator="containsText" text="거부">
      <formula>NOT(ISERROR(SEARCH(("거부"),(A33))))</formula>
    </cfRule>
  </conditionalFormatting>
  <conditionalFormatting sqref="A33">
    <cfRule type="containsText" dxfId="1" priority="8095" operator="containsText" text="리턴">
      <formula>NOT(ISERROR(SEARCH(("리턴"),(A33))))</formula>
    </cfRule>
  </conditionalFormatting>
  <conditionalFormatting sqref="A33">
    <cfRule type="containsText" dxfId="2" priority="8096" operator="containsText" text="실패">
      <formula>NOT(ISERROR(SEARCH(("실패"),(A33))))</formula>
    </cfRule>
  </conditionalFormatting>
  <conditionalFormatting sqref="A33">
    <cfRule type="containsText" dxfId="3" priority="8097" operator="containsText" text="관리">
      <formula>NOT(ISERROR(SEARCH(("관리"),(A33))))</formula>
    </cfRule>
  </conditionalFormatting>
  <conditionalFormatting sqref="A33">
    <cfRule type="containsText" dxfId="4" priority="8098" operator="containsText" text="등록">
      <formula>NOT(ISERROR(SEARCH(("등록"),(A33))))</formula>
    </cfRule>
  </conditionalFormatting>
  <conditionalFormatting sqref="J33">
    <cfRule type="containsText" dxfId="0" priority="8099" operator="containsText" text="거부">
      <formula>NOT(ISERROR(SEARCH(("거부"),(J33))))</formula>
    </cfRule>
  </conditionalFormatting>
  <conditionalFormatting sqref="J33">
    <cfRule type="containsText" dxfId="1" priority="8100" operator="containsText" text="리턴">
      <formula>NOT(ISERROR(SEARCH(("리턴"),(J33))))</formula>
    </cfRule>
  </conditionalFormatting>
  <conditionalFormatting sqref="J33">
    <cfRule type="containsText" dxfId="2" priority="8101" operator="containsText" text="실패">
      <formula>NOT(ISERROR(SEARCH(("실패"),(J33))))</formula>
    </cfRule>
  </conditionalFormatting>
  <conditionalFormatting sqref="J33">
    <cfRule type="containsText" dxfId="3" priority="8102" operator="containsText" text="관리">
      <formula>NOT(ISERROR(SEARCH(("관리"),(J33))))</formula>
    </cfRule>
  </conditionalFormatting>
  <conditionalFormatting sqref="J33">
    <cfRule type="containsText" dxfId="4" priority="8103" operator="containsText" text="등록">
      <formula>NOT(ISERROR(SEARCH(("등록"),(J33))))</formula>
    </cfRule>
  </conditionalFormatting>
  <conditionalFormatting sqref="J33">
    <cfRule type="containsText" dxfId="0" priority="8104" operator="containsText" text="거부">
      <formula>NOT(ISERROR(SEARCH(("거부"),(J33))))</formula>
    </cfRule>
  </conditionalFormatting>
  <conditionalFormatting sqref="J33">
    <cfRule type="containsText" dxfId="1" priority="8105" operator="containsText" text="리턴">
      <formula>NOT(ISERROR(SEARCH(("리턴"),(J33))))</formula>
    </cfRule>
  </conditionalFormatting>
  <conditionalFormatting sqref="J33">
    <cfRule type="containsText" dxfId="2" priority="8106" operator="containsText" text="실패">
      <formula>NOT(ISERROR(SEARCH(("실패"),(J33))))</formula>
    </cfRule>
  </conditionalFormatting>
  <conditionalFormatting sqref="J33">
    <cfRule type="containsText" dxfId="3" priority="8107" operator="containsText" text="관리">
      <formula>NOT(ISERROR(SEARCH(("관리"),(J33))))</formula>
    </cfRule>
  </conditionalFormatting>
  <conditionalFormatting sqref="J33">
    <cfRule type="containsText" dxfId="4" priority="8108" operator="containsText" text="등록">
      <formula>NOT(ISERROR(SEARCH(("등록"),(J33))))</formula>
    </cfRule>
  </conditionalFormatting>
  <conditionalFormatting sqref="J33">
    <cfRule type="containsText" dxfId="0" priority="8109" operator="containsText" text="거부">
      <formula>NOT(ISERROR(SEARCH(("거부"),(J33))))</formula>
    </cfRule>
  </conditionalFormatting>
  <conditionalFormatting sqref="J33">
    <cfRule type="containsText" dxfId="1" priority="8110" operator="containsText" text="리턴">
      <formula>NOT(ISERROR(SEARCH(("리턴"),(J33))))</formula>
    </cfRule>
  </conditionalFormatting>
  <conditionalFormatting sqref="J33">
    <cfRule type="containsText" dxfId="2" priority="8111" operator="containsText" text="실패">
      <formula>NOT(ISERROR(SEARCH(("실패"),(J33))))</formula>
    </cfRule>
  </conditionalFormatting>
  <conditionalFormatting sqref="J33">
    <cfRule type="containsText" dxfId="3" priority="8112" operator="containsText" text="관리">
      <formula>NOT(ISERROR(SEARCH(("관리"),(J33))))</formula>
    </cfRule>
  </conditionalFormatting>
  <conditionalFormatting sqref="J33">
    <cfRule type="containsText" dxfId="4" priority="8113" operator="containsText" text="등록">
      <formula>NOT(ISERROR(SEARCH(("등록"),(J33))))</formula>
    </cfRule>
  </conditionalFormatting>
  <conditionalFormatting sqref="J33">
    <cfRule type="containsText" dxfId="0" priority="8114" operator="containsText" text="거부">
      <formula>NOT(ISERROR(SEARCH(("거부"),(J33))))</formula>
    </cfRule>
  </conditionalFormatting>
  <conditionalFormatting sqref="J33">
    <cfRule type="containsText" dxfId="1" priority="8115" operator="containsText" text="리턴">
      <formula>NOT(ISERROR(SEARCH(("리턴"),(J33))))</formula>
    </cfRule>
  </conditionalFormatting>
  <conditionalFormatting sqref="J33">
    <cfRule type="containsText" dxfId="2" priority="8116" operator="containsText" text="실패">
      <formula>NOT(ISERROR(SEARCH(("실패"),(J33))))</formula>
    </cfRule>
  </conditionalFormatting>
  <conditionalFormatting sqref="J33">
    <cfRule type="containsText" dxfId="3" priority="8117" operator="containsText" text="관리">
      <formula>NOT(ISERROR(SEARCH(("관리"),(J33))))</formula>
    </cfRule>
  </conditionalFormatting>
  <conditionalFormatting sqref="J33">
    <cfRule type="containsText" dxfId="4" priority="8118" operator="containsText" text="등록">
      <formula>NOT(ISERROR(SEARCH(("등록"),(J33))))</formula>
    </cfRule>
  </conditionalFormatting>
  <conditionalFormatting sqref="J33">
    <cfRule type="containsText" dxfId="0" priority="8119" operator="containsText" text="거부">
      <formula>NOT(ISERROR(SEARCH(("거부"),(J33))))</formula>
    </cfRule>
  </conditionalFormatting>
  <conditionalFormatting sqref="J33">
    <cfRule type="containsText" dxfId="1" priority="8120" operator="containsText" text="리턴">
      <formula>NOT(ISERROR(SEARCH(("리턴"),(J33))))</formula>
    </cfRule>
  </conditionalFormatting>
  <conditionalFormatting sqref="J33">
    <cfRule type="containsText" dxfId="2" priority="8121" operator="containsText" text="실패">
      <formula>NOT(ISERROR(SEARCH(("실패"),(J33))))</formula>
    </cfRule>
  </conditionalFormatting>
  <conditionalFormatting sqref="J33">
    <cfRule type="containsText" dxfId="3" priority="8122" operator="containsText" text="관리">
      <formula>NOT(ISERROR(SEARCH(("관리"),(J33))))</formula>
    </cfRule>
  </conditionalFormatting>
  <conditionalFormatting sqref="J33">
    <cfRule type="containsText" dxfId="4" priority="8123" operator="containsText" text="등록">
      <formula>NOT(ISERROR(SEARCH(("등록"),(J33))))</formula>
    </cfRule>
  </conditionalFormatting>
  <conditionalFormatting sqref="J33">
    <cfRule type="containsText" dxfId="0" priority="8124" operator="containsText" text="거부">
      <formula>NOT(ISERROR(SEARCH(("거부"),(J33))))</formula>
    </cfRule>
  </conditionalFormatting>
  <conditionalFormatting sqref="J33">
    <cfRule type="containsText" dxfId="1" priority="8125" operator="containsText" text="리턴">
      <formula>NOT(ISERROR(SEARCH(("리턴"),(J33))))</formula>
    </cfRule>
  </conditionalFormatting>
  <conditionalFormatting sqref="J33">
    <cfRule type="containsText" dxfId="2" priority="8126" operator="containsText" text="실패">
      <formula>NOT(ISERROR(SEARCH(("실패"),(J33))))</formula>
    </cfRule>
  </conditionalFormatting>
  <conditionalFormatting sqref="J33">
    <cfRule type="containsText" dxfId="3" priority="8127" operator="containsText" text="관리">
      <formula>NOT(ISERROR(SEARCH(("관리"),(J33))))</formula>
    </cfRule>
  </conditionalFormatting>
  <conditionalFormatting sqref="J33">
    <cfRule type="containsText" dxfId="4" priority="8128" operator="containsText" text="등록">
      <formula>NOT(ISERROR(SEARCH(("등록"),(J33))))</formula>
    </cfRule>
  </conditionalFormatting>
  <conditionalFormatting sqref="J33">
    <cfRule type="containsText" dxfId="0" priority="8129" operator="containsText" text="거부">
      <formula>NOT(ISERROR(SEARCH(("거부"),(J33))))</formula>
    </cfRule>
  </conditionalFormatting>
  <conditionalFormatting sqref="J33">
    <cfRule type="containsText" dxfId="1" priority="8130" operator="containsText" text="리턴">
      <formula>NOT(ISERROR(SEARCH(("리턴"),(J33))))</formula>
    </cfRule>
  </conditionalFormatting>
  <conditionalFormatting sqref="J33">
    <cfRule type="containsText" dxfId="2" priority="8131" operator="containsText" text="실패">
      <formula>NOT(ISERROR(SEARCH(("실패"),(J33))))</formula>
    </cfRule>
  </conditionalFormatting>
  <conditionalFormatting sqref="J33">
    <cfRule type="containsText" dxfId="3" priority="8132" operator="containsText" text="관리">
      <formula>NOT(ISERROR(SEARCH(("관리"),(J33))))</formula>
    </cfRule>
  </conditionalFormatting>
  <conditionalFormatting sqref="J33">
    <cfRule type="containsText" dxfId="4" priority="8133" operator="containsText" text="등록">
      <formula>NOT(ISERROR(SEARCH(("등록"),(J33))))</formula>
    </cfRule>
  </conditionalFormatting>
  <conditionalFormatting sqref="J33">
    <cfRule type="containsText" dxfId="0" priority="8134" operator="containsText" text="거부">
      <formula>NOT(ISERROR(SEARCH(("거부"),(J33))))</formula>
    </cfRule>
  </conditionalFormatting>
  <conditionalFormatting sqref="J33">
    <cfRule type="containsText" dxfId="1" priority="8135" operator="containsText" text="리턴">
      <formula>NOT(ISERROR(SEARCH(("리턴"),(J33))))</formula>
    </cfRule>
  </conditionalFormatting>
  <conditionalFormatting sqref="J33">
    <cfRule type="containsText" dxfId="2" priority="8136" operator="containsText" text="실패">
      <formula>NOT(ISERROR(SEARCH(("실패"),(J33))))</formula>
    </cfRule>
  </conditionalFormatting>
  <conditionalFormatting sqref="J33">
    <cfRule type="containsText" dxfId="3" priority="8137" operator="containsText" text="관리">
      <formula>NOT(ISERROR(SEARCH(("관리"),(J33))))</formula>
    </cfRule>
  </conditionalFormatting>
  <conditionalFormatting sqref="J33">
    <cfRule type="containsText" dxfId="4" priority="8138" operator="containsText" text="등록">
      <formula>NOT(ISERROR(SEARCH(("등록"),(J33))))</formula>
    </cfRule>
  </conditionalFormatting>
  <conditionalFormatting sqref="J33">
    <cfRule type="containsText" dxfId="0" priority="8139" operator="containsText" text="거부">
      <formula>NOT(ISERROR(SEARCH(("거부"),(J33))))</formula>
    </cfRule>
  </conditionalFormatting>
  <conditionalFormatting sqref="J33">
    <cfRule type="containsText" dxfId="1" priority="8140" operator="containsText" text="리턴">
      <formula>NOT(ISERROR(SEARCH(("리턴"),(J33))))</formula>
    </cfRule>
  </conditionalFormatting>
  <conditionalFormatting sqref="J33">
    <cfRule type="containsText" dxfId="2" priority="8141" operator="containsText" text="실패">
      <formula>NOT(ISERROR(SEARCH(("실패"),(J33))))</formula>
    </cfRule>
  </conditionalFormatting>
  <conditionalFormatting sqref="J33">
    <cfRule type="containsText" dxfId="3" priority="8142" operator="containsText" text="관리">
      <formula>NOT(ISERROR(SEARCH(("관리"),(J33))))</formula>
    </cfRule>
  </conditionalFormatting>
  <conditionalFormatting sqref="J33">
    <cfRule type="containsText" dxfId="4" priority="8143" operator="containsText" text="등록">
      <formula>NOT(ISERROR(SEARCH(("등록"),(J33))))</formula>
    </cfRule>
  </conditionalFormatting>
  <conditionalFormatting sqref="J33">
    <cfRule type="containsText" dxfId="0" priority="8144" operator="containsText" text="거부">
      <formula>NOT(ISERROR(SEARCH(("거부"),(J33))))</formula>
    </cfRule>
  </conditionalFormatting>
  <conditionalFormatting sqref="J33">
    <cfRule type="containsText" dxfId="1" priority="8145" operator="containsText" text="리턴">
      <formula>NOT(ISERROR(SEARCH(("리턴"),(J33))))</formula>
    </cfRule>
  </conditionalFormatting>
  <conditionalFormatting sqref="J33">
    <cfRule type="containsText" dxfId="2" priority="8146" operator="containsText" text="실패">
      <formula>NOT(ISERROR(SEARCH(("실패"),(J33))))</formula>
    </cfRule>
  </conditionalFormatting>
  <conditionalFormatting sqref="J33">
    <cfRule type="containsText" dxfId="3" priority="8147" operator="containsText" text="관리">
      <formula>NOT(ISERROR(SEARCH(("관리"),(J33))))</formula>
    </cfRule>
  </conditionalFormatting>
  <conditionalFormatting sqref="J33">
    <cfRule type="containsText" dxfId="4" priority="8148" operator="containsText" text="등록">
      <formula>NOT(ISERROR(SEARCH(("등록"),(J33))))</formula>
    </cfRule>
  </conditionalFormatting>
  <conditionalFormatting sqref="J33">
    <cfRule type="containsText" dxfId="0" priority="8149" operator="containsText" text="거부">
      <formula>NOT(ISERROR(SEARCH(("거부"),(J33))))</formula>
    </cfRule>
  </conditionalFormatting>
  <conditionalFormatting sqref="J33">
    <cfRule type="containsText" dxfId="1" priority="8150" operator="containsText" text="리턴">
      <formula>NOT(ISERROR(SEARCH(("리턴"),(J33))))</formula>
    </cfRule>
  </conditionalFormatting>
  <conditionalFormatting sqref="J33">
    <cfRule type="containsText" dxfId="2" priority="8151" operator="containsText" text="실패">
      <formula>NOT(ISERROR(SEARCH(("실패"),(J33))))</formula>
    </cfRule>
  </conditionalFormatting>
  <conditionalFormatting sqref="J33">
    <cfRule type="containsText" dxfId="3" priority="8152" operator="containsText" text="관리">
      <formula>NOT(ISERROR(SEARCH(("관리"),(J33))))</formula>
    </cfRule>
  </conditionalFormatting>
  <conditionalFormatting sqref="J33">
    <cfRule type="containsText" dxfId="4" priority="8153" operator="containsText" text="등록">
      <formula>NOT(ISERROR(SEARCH(("등록"),(J33))))</formula>
    </cfRule>
  </conditionalFormatting>
  <conditionalFormatting sqref="J33">
    <cfRule type="containsText" dxfId="0" priority="8154" operator="containsText" text="거부">
      <formula>NOT(ISERROR(SEARCH(("거부"),(J33))))</formula>
    </cfRule>
  </conditionalFormatting>
  <conditionalFormatting sqref="J33">
    <cfRule type="containsText" dxfId="1" priority="8155" operator="containsText" text="리턴">
      <formula>NOT(ISERROR(SEARCH(("리턴"),(J33))))</formula>
    </cfRule>
  </conditionalFormatting>
  <conditionalFormatting sqref="J33">
    <cfRule type="containsText" dxfId="2" priority="8156" operator="containsText" text="실패">
      <formula>NOT(ISERROR(SEARCH(("실패"),(J33))))</formula>
    </cfRule>
  </conditionalFormatting>
  <conditionalFormatting sqref="J33">
    <cfRule type="containsText" dxfId="3" priority="8157" operator="containsText" text="관리">
      <formula>NOT(ISERROR(SEARCH(("관리"),(J33))))</formula>
    </cfRule>
  </conditionalFormatting>
  <conditionalFormatting sqref="J33">
    <cfRule type="containsText" dxfId="4" priority="8158" operator="containsText" text="등록">
      <formula>NOT(ISERROR(SEARCH(("등록"),(J33))))</formula>
    </cfRule>
  </conditionalFormatting>
  <conditionalFormatting sqref="J34">
    <cfRule type="containsText" dxfId="0" priority="8159" operator="containsText" text="거부">
      <formula>NOT(ISERROR(SEARCH(("거부"),(J34))))</formula>
    </cfRule>
  </conditionalFormatting>
  <conditionalFormatting sqref="J34">
    <cfRule type="containsText" dxfId="1" priority="8160" operator="containsText" text="리턴">
      <formula>NOT(ISERROR(SEARCH(("리턴"),(J34))))</formula>
    </cfRule>
  </conditionalFormatting>
  <conditionalFormatting sqref="J34">
    <cfRule type="containsText" dxfId="2" priority="8161" operator="containsText" text="실패">
      <formula>NOT(ISERROR(SEARCH(("실패"),(J34))))</formula>
    </cfRule>
  </conditionalFormatting>
  <conditionalFormatting sqref="J34">
    <cfRule type="containsText" dxfId="3" priority="8162" operator="containsText" text="관리">
      <formula>NOT(ISERROR(SEARCH(("관리"),(J34))))</formula>
    </cfRule>
  </conditionalFormatting>
  <conditionalFormatting sqref="J34">
    <cfRule type="containsText" dxfId="4" priority="8163" operator="containsText" text="등록">
      <formula>NOT(ISERROR(SEARCH(("등록"),(J34))))</formula>
    </cfRule>
  </conditionalFormatting>
  <conditionalFormatting sqref="J34">
    <cfRule type="containsText" dxfId="0" priority="8164" operator="containsText" text="거부">
      <formula>NOT(ISERROR(SEARCH(("거부"),(J34))))</formula>
    </cfRule>
  </conditionalFormatting>
  <conditionalFormatting sqref="J34">
    <cfRule type="containsText" dxfId="1" priority="8165" operator="containsText" text="리턴">
      <formula>NOT(ISERROR(SEARCH(("리턴"),(J34))))</formula>
    </cfRule>
  </conditionalFormatting>
  <conditionalFormatting sqref="J34">
    <cfRule type="containsText" dxfId="2" priority="8166" operator="containsText" text="실패">
      <formula>NOT(ISERROR(SEARCH(("실패"),(J34))))</formula>
    </cfRule>
  </conditionalFormatting>
  <conditionalFormatting sqref="J34">
    <cfRule type="containsText" dxfId="3" priority="8167" operator="containsText" text="관리">
      <formula>NOT(ISERROR(SEARCH(("관리"),(J34))))</formula>
    </cfRule>
  </conditionalFormatting>
  <conditionalFormatting sqref="J34">
    <cfRule type="containsText" dxfId="4" priority="8168" operator="containsText" text="등록">
      <formula>NOT(ISERROR(SEARCH(("등록"),(J34))))</formula>
    </cfRule>
  </conditionalFormatting>
  <conditionalFormatting sqref="J34">
    <cfRule type="containsText" dxfId="0" priority="8169" operator="containsText" text="거부">
      <formula>NOT(ISERROR(SEARCH(("거부"),(J34))))</formula>
    </cfRule>
  </conditionalFormatting>
  <conditionalFormatting sqref="J34">
    <cfRule type="containsText" dxfId="1" priority="8170" operator="containsText" text="리턴">
      <formula>NOT(ISERROR(SEARCH(("리턴"),(J34))))</formula>
    </cfRule>
  </conditionalFormatting>
  <conditionalFormatting sqref="J34">
    <cfRule type="containsText" dxfId="2" priority="8171" operator="containsText" text="실패">
      <formula>NOT(ISERROR(SEARCH(("실패"),(J34))))</formula>
    </cfRule>
  </conditionalFormatting>
  <conditionalFormatting sqref="J34">
    <cfRule type="containsText" dxfId="3" priority="8172" operator="containsText" text="관리">
      <formula>NOT(ISERROR(SEARCH(("관리"),(J34))))</formula>
    </cfRule>
  </conditionalFormatting>
  <conditionalFormatting sqref="J34">
    <cfRule type="containsText" dxfId="4" priority="8173" operator="containsText" text="등록">
      <formula>NOT(ISERROR(SEARCH(("등록"),(J34))))</formula>
    </cfRule>
  </conditionalFormatting>
  <conditionalFormatting sqref="J34">
    <cfRule type="containsText" dxfId="0" priority="8174" operator="containsText" text="거부">
      <formula>NOT(ISERROR(SEARCH(("거부"),(J34))))</formula>
    </cfRule>
  </conditionalFormatting>
  <conditionalFormatting sqref="J34">
    <cfRule type="containsText" dxfId="1" priority="8175" operator="containsText" text="리턴">
      <formula>NOT(ISERROR(SEARCH(("리턴"),(J34))))</formula>
    </cfRule>
  </conditionalFormatting>
  <conditionalFormatting sqref="J34">
    <cfRule type="containsText" dxfId="2" priority="8176" operator="containsText" text="실패">
      <formula>NOT(ISERROR(SEARCH(("실패"),(J34))))</formula>
    </cfRule>
  </conditionalFormatting>
  <conditionalFormatting sqref="J34">
    <cfRule type="containsText" dxfId="3" priority="8177" operator="containsText" text="관리">
      <formula>NOT(ISERROR(SEARCH(("관리"),(J34))))</formula>
    </cfRule>
  </conditionalFormatting>
  <conditionalFormatting sqref="J34">
    <cfRule type="containsText" dxfId="4" priority="8178" operator="containsText" text="등록">
      <formula>NOT(ISERROR(SEARCH(("등록"),(J34))))</formula>
    </cfRule>
  </conditionalFormatting>
  <conditionalFormatting sqref="J34">
    <cfRule type="containsText" dxfId="0" priority="8179" operator="containsText" text="거부">
      <formula>NOT(ISERROR(SEARCH(("거부"),(J34))))</formula>
    </cfRule>
  </conditionalFormatting>
  <conditionalFormatting sqref="J34">
    <cfRule type="containsText" dxfId="1" priority="8180" operator="containsText" text="리턴">
      <formula>NOT(ISERROR(SEARCH(("리턴"),(J34))))</formula>
    </cfRule>
  </conditionalFormatting>
  <conditionalFormatting sqref="J34">
    <cfRule type="containsText" dxfId="2" priority="8181" operator="containsText" text="실패">
      <formula>NOT(ISERROR(SEARCH(("실패"),(J34))))</formula>
    </cfRule>
  </conditionalFormatting>
  <conditionalFormatting sqref="J34">
    <cfRule type="containsText" dxfId="3" priority="8182" operator="containsText" text="관리">
      <formula>NOT(ISERROR(SEARCH(("관리"),(J34))))</formula>
    </cfRule>
  </conditionalFormatting>
  <conditionalFormatting sqref="J34">
    <cfRule type="containsText" dxfId="4" priority="8183" operator="containsText" text="등록">
      <formula>NOT(ISERROR(SEARCH(("등록"),(J34))))</formula>
    </cfRule>
  </conditionalFormatting>
  <conditionalFormatting sqref="J34">
    <cfRule type="containsText" dxfId="0" priority="8184" operator="containsText" text="거부">
      <formula>NOT(ISERROR(SEARCH(("거부"),(J34))))</formula>
    </cfRule>
  </conditionalFormatting>
  <conditionalFormatting sqref="J34">
    <cfRule type="containsText" dxfId="1" priority="8185" operator="containsText" text="리턴">
      <formula>NOT(ISERROR(SEARCH(("리턴"),(J34))))</formula>
    </cfRule>
  </conditionalFormatting>
  <conditionalFormatting sqref="J34">
    <cfRule type="containsText" dxfId="2" priority="8186" operator="containsText" text="실패">
      <formula>NOT(ISERROR(SEARCH(("실패"),(J34))))</formula>
    </cfRule>
  </conditionalFormatting>
  <conditionalFormatting sqref="J34">
    <cfRule type="containsText" dxfId="3" priority="8187" operator="containsText" text="관리">
      <formula>NOT(ISERROR(SEARCH(("관리"),(J34))))</formula>
    </cfRule>
  </conditionalFormatting>
  <conditionalFormatting sqref="J34">
    <cfRule type="containsText" dxfId="4" priority="8188" operator="containsText" text="등록">
      <formula>NOT(ISERROR(SEARCH(("등록"),(J34))))</formula>
    </cfRule>
  </conditionalFormatting>
  <conditionalFormatting sqref="J34">
    <cfRule type="containsText" dxfId="0" priority="8189" operator="containsText" text="거부">
      <formula>NOT(ISERROR(SEARCH(("거부"),(J34))))</formula>
    </cfRule>
  </conditionalFormatting>
  <conditionalFormatting sqref="J34">
    <cfRule type="containsText" dxfId="1" priority="8190" operator="containsText" text="리턴">
      <formula>NOT(ISERROR(SEARCH(("리턴"),(J34))))</formula>
    </cfRule>
  </conditionalFormatting>
  <conditionalFormatting sqref="J34">
    <cfRule type="containsText" dxfId="2" priority="8191" operator="containsText" text="실패">
      <formula>NOT(ISERROR(SEARCH(("실패"),(J34))))</formula>
    </cfRule>
  </conditionalFormatting>
  <conditionalFormatting sqref="J34">
    <cfRule type="containsText" dxfId="3" priority="8192" operator="containsText" text="관리">
      <formula>NOT(ISERROR(SEARCH(("관리"),(J34))))</formula>
    </cfRule>
  </conditionalFormatting>
  <conditionalFormatting sqref="J34">
    <cfRule type="containsText" dxfId="4" priority="8193" operator="containsText" text="등록">
      <formula>NOT(ISERROR(SEARCH(("등록"),(J34))))</formula>
    </cfRule>
  </conditionalFormatting>
  <conditionalFormatting sqref="J34">
    <cfRule type="containsText" dxfId="0" priority="8194" operator="containsText" text="거부">
      <formula>NOT(ISERROR(SEARCH(("거부"),(J34))))</formula>
    </cfRule>
  </conditionalFormatting>
  <conditionalFormatting sqref="J34">
    <cfRule type="containsText" dxfId="1" priority="8195" operator="containsText" text="리턴">
      <formula>NOT(ISERROR(SEARCH(("리턴"),(J34))))</formula>
    </cfRule>
  </conditionalFormatting>
  <conditionalFormatting sqref="J34">
    <cfRule type="containsText" dxfId="2" priority="8196" operator="containsText" text="실패">
      <formula>NOT(ISERROR(SEARCH(("실패"),(J34))))</formula>
    </cfRule>
  </conditionalFormatting>
  <conditionalFormatting sqref="J34">
    <cfRule type="containsText" dxfId="3" priority="8197" operator="containsText" text="관리">
      <formula>NOT(ISERROR(SEARCH(("관리"),(J34))))</formula>
    </cfRule>
  </conditionalFormatting>
  <conditionalFormatting sqref="J34">
    <cfRule type="containsText" dxfId="4" priority="8198" operator="containsText" text="등록">
      <formula>NOT(ISERROR(SEARCH(("등록"),(J34))))</formula>
    </cfRule>
  </conditionalFormatting>
  <conditionalFormatting sqref="J34">
    <cfRule type="containsText" dxfId="0" priority="8199" operator="containsText" text="거부">
      <formula>NOT(ISERROR(SEARCH(("거부"),(J34))))</formula>
    </cfRule>
  </conditionalFormatting>
  <conditionalFormatting sqref="J34">
    <cfRule type="containsText" dxfId="1" priority="8200" operator="containsText" text="리턴">
      <formula>NOT(ISERROR(SEARCH(("리턴"),(J34))))</formula>
    </cfRule>
  </conditionalFormatting>
  <conditionalFormatting sqref="J34">
    <cfRule type="containsText" dxfId="2" priority="8201" operator="containsText" text="실패">
      <formula>NOT(ISERROR(SEARCH(("실패"),(J34))))</formula>
    </cfRule>
  </conditionalFormatting>
  <conditionalFormatting sqref="J34">
    <cfRule type="containsText" dxfId="3" priority="8202" operator="containsText" text="관리">
      <formula>NOT(ISERROR(SEARCH(("관리"),(J34))))</formula>
    </cfRule>
  </conditionalFormatting>
  <conditionalFormatting sqref="J34">
    <cfRule type="containsText" dxfId="4" priority="8203" operator="containsText" text="등록">
      <formula>NOT(ISERROR(SEARCH(("등록"),(J34))))</formula>
    </cfRule>
  </conditionalFormatting>
  <conditionalFormatting sqref="J34">
    <cfRule type="containsText" dxfId="0" priority="8204" operator="containsText" text="거부">
      <formula>NOT(ISERROR(SEARCH(("거부"),(J34))))</formula>
    </cfRule>
  </conditionalFormatting>
  <conditionalFormatting sqref="J34">
    <cfRule type="containsText" dxfId="1" priority="8205" operator="containsText" text="리턴">
      <formula>NOT(ISERROR(SEARCH(("리턴"),(J34))))</formula>
    </cfRule>
  </conditionalFormatting>
  <conditionalFormatting sqref="J34">
    <cfRule type="containsText" dxfId="2" priority="8206" operator="containsText" text="실패">
      <formula>NOT(ISERROR(SEARCH(("실패"),(J34))))</formula>
    </cfRule>
  </conditionalFormatting>
  <conditionalFormatting sqref="J34">
    <cfRule type="containsText" dxfId="3" priority="8207" operator="containsText" text="관리">
      <formula>NOT(ISERROR(SEARCH(("관리"),(J34))))</formula>
    </cfRule>
  </conditionalFormatting>
  <conditionalFormatting sqref="J34">
    <cfRule type="containsText" dxfId="4" priority="8208" operator="containsText" text="등록">
      <formula>NOT(ISERROR(SEARCH(("등록"),(J34))))</formula>
    </cfRule>
  </conditionalFormatting>
  <conditionalFormatting sqref="J34">
    <cfRule type="containsText" dxfId="0" priority="8209" operator="containsText" text="거부">
      <formula>NOT(ISERROR(SEARCH(("거부"),(J34))))</formula>
    </cfRule>
  </conditionalFormatting>
  <conditionalFormatting sqref="J34">
    <cfRule type="containsText" dxfId="1" priority="8210" operator="containsText" text="리턴">
      <formula>NOT(ISERROR(SEARCH(("리턴"),(J34))))</formula>
    </cfRule>
  </conditionalFormatting>
  <conditionalFormatting sqref="J34">
    <cfRule type="containsText" dxfId="2" priority="8211" operator="containsText" text="실패">
      <formula>NOT(ISERROR(SEARCH(("실패"),(J34))))</formula>
    </cfRule>
  </conditionalFormatting>
  <conditionalFormatting sqref="J34">
    <cfRule type="containsText" dxfId="3" priority="8212" operator="containsText" text="관리">
      <formula>NOT(ISERROR(SEARCH(("관리"),(J34))))</formula>
    </cfRule>
  </conditionalFormatting>
  <conditionalFormatting sqref="J34">
    <cfRule type="containsText" dxfId="4" priority="8213" operator="containsText" text="등록">
      <formula>NOT(ISERROR(SEARCH(("등록"),(J34))))</formula>
    </cfRule>
  </conditionalFormatting>
  <conditionalFormatting sqref="J34">
    <cfRule type="containsText" dxfId="0" priority="8214" operator="containsText" text="거부">
      <formula>NOT(ISERROR(SEARCH(("거부"),(J34))))</formula>
    </cfRule>
  </conditionalFormatting>
  <conditionalFormatting sqref="J34">
    <cfRule type="containsText" dxfId="1" priority="8215" operator="containsText" text="리턴">
      <formula>NOT(ISERROR(SEARCH(("리턴"),(J34))))</formula>
    </cfRule>
  </conditionalFormatting>
  <conditionalFormatting sqref="J34">
    <cfRule type="containsText" dxfId="2" priority="8216" operator="containsText" text="실패">
      <formula>NOT(ISERROR(SEARCH(("실패"),(J34))))</formula>
    </cfRule>
  </conditionalFormatting>
  <conditionalFormatting sqref="J34">
    <cfRule type="containsText" dxfId="3" priority="8217" operator="containsText" text="관리">
      <formula>NOT(ISERROR(SEARCH(("관리"),(J34))))</formula>
    </cfRule>
  </conditionalFormatting>
  <conditionalFormatting sqref="J34">
    <cfRule type="containsText" dxfId="4" priority="8218" operator="containsText" text="등록">
      <formula>NOT(ISERROR(SEARCH(("등록"),(J34))))</formula>
    </cfRule>
  </conditionalFormatting>
  <conditionalFormatting sqref="J35:J36">
    <cfRule type="containsText" dxfId="0" priority="8219" operator="containsText" text="거부">
      <formula>NOT(ISERROR(SEARCH(("거부"),(J35))))</formula>
    </cfRule>
  </conditionalFormatting>
  <conditionalFormatting sqref="J35:J36">
    <cfRule type="containsText" dxfId="1" priority="8220" operator="containsText" text="리턴">
      <formula>NOT(ISERROR(SEARCH(("리턴"),(J35))))</formula>
    </cfRule>
  </conditionalFormatting>
  <conditionalFormatting sqref="J35:J36">
    <cfRule type="containsText" dxfId="2" priority="8221" operator="containsText" text="실패">
      <formula>NOT(ISERROR(SEARCH(("실패"),(J35))))</formula>
    </cfRule>
  </conditionalFormatting>
  <conditionalFormatting sqref="J35:J36">
    <cfRule type="containsText" dxfId="3" priority="8222" operator="containsText" text="관리">
      <formula>NOT(ISERROR(SEARCH(("관리"),(J35))))</formula>
    </cfRule>
  </conditionalFormatting>
  <conditionalFormatting sqref="J35:J36">
    <cfRule type="containsText" dxfId="4" priority="8223" operator="containsText" text="등록">
      <formula>NOT(ISERROR(SEARCH(("등록"),(J35))))</formula>
    </cfRule>
  </conditionalFormatting>
  <conditionalFormatting sqref="J35:J36">
    <cfRule type="containsText" dxfId="0" priority="8224" operator="containsText" text="거부">
      <formula>NOT(ISERROR(SEARCH(("거부"),(J35))))</formula>
    </cfRule>
  </conditionalFormatting>
  <conditionalFormatting sqref="J35:J36">
    <cfRule type="containsText" dxfId="1" priority="8225" operator="containsText" text="리턴">
      <formula>NOT(ISERROR(SEARCH(("리턴"),(J35))))</formula>
    </cfRule>
  </conditionalFormatting>
  <conditionalFormatting sqref="J35:J36">
    <cfRule type="containsText" dxfId="2" priority="8226" operator="containsText" text="실패">
      <formula>NOT(ISERROR(SEARCH(("실패"),(J35))))</formula>
    </cfRule>
  </conditionalFormatting>
  <conditionalFormatting sqref="J35:J36">
    <cfRule type="containsText" dxfId="3" priority="8227" operator="containsText" text="관리">
      <formula>NOT(ISERROR(SEARCH(("관리"),(J35))))</formula>
    </cfRule>
  </conditionalFormatting>
  <conditionalFormatting sqref="J35:J36">
    <cfRule type="containsText" dxfId="4" priority="8228" operator="containsText" text="등록">
      <formula>NOT(ISERROR(SEARCH(("등록"),(J35))))</formula>
    </cfRule>
  </conditionalFormatting>
  <conditionalFormatting sqref="J35:J36">
    <cfRule type="containsText" dxfId="0" priority="8229" operator="containsText" text="거부">
      <formula>NOT(ISERROR(SEARCH(("거부"),(J35))))</formula>
    </cfRule>
  </conditionalFormatting>
  <conditionalFormatting sqref="J35:J36">
    <cfRule type="containsText" dxfId="1" priority="8230" operator="containsText" text="리턴">
      <formula>NOT(ISERROR(SEARCH(("리턴"),(J35))))</formula>
    </cfRule>
  </conditionalFormatting>
  <conditionalFormatting sqref="J35:J36">
    <cfRule type="containsText" dxfId="2" priority="8231" operator="containsText" text="실패">
      <formula>NOT(ISERROR(SEARCH(("실패"),(J35))))</formula>
    </cfRule>
  </conditionalFormatting>
  <conditionalFormatting sqref="J35:J36">
    <cfRule type="containsText" dxfId="3" priority="8232" operator="containsText" text="관리">
      <formula>NOT(ISERROR(SEARCH(("관리"),(J35))))</formula>
    </cfRule>
  </conditionalFormatting>
  <conditionalFormatting sqref="J35:J36">
    <cfRule type="containsText" dxfId="4" priority="8233" operator="containsText" text="등록">
      <formula>NOT(ISERROR(SEARCH(("등록"),(J35))))</formula>
    </cfRule>
  </conditionalFormatting>
  <conditionalFormatting sqref="J35:J36">
    <cfRule type="containsText" dxfId="0" priority="8234" operator="containsText" text="거부">
      <formula>NOT(ISERROR(SEARCH(("거부"),(J35))))</formula>
    </cfRule>
  </conditionalFormatting>
  <conditionalFormatting sqref="J35:J36">
    <cfRule type="containsText" dxfId="1" priority="8235" operator="containsText" text="리턴">
      <formula>NOT(ISERROR(SEARCH(("리턴"),(J35))))</formula>
    </cfRule>
  </conditionalFormatting>
  <conditionalFormatting sqref="J35:J36">
    <cfRule type="containsText" dxfId="2" priority="8236" operator="containsText" text="실패">
      <formula>NOT(ISERROR(SEARCH(("실패"),(J35))))</formula>
    </cfRule>
  </conditionalFormatting>
  <conditionalFormatting sqref="J35:J36">
    <cfRule type="containsText" dxfId="3" priority="8237" operator="containsText" text="관리">
      <formula>NOT(ISERROR(SEARCH(("관리"),(J35))))</formula>
    </cfRule>
  </conditionalFormatting>
  <conditionalFormatting sqref="J35:J36">
    <cfRule type="containsText" dxfId="4" priority="8238" operator="containsText" text="등록">
      <formula>NOT(ISERROR(SEARCH(("등록"),(J35))))</formula>
    </cfRule>
  </conditionalFormatting>
  <conditionalFormatting sqref="J35:J36">
    <cfRule type="containsText" dxfId="0" priority="8239" operator="containsText" text="거부">
      <formula>NOT(ISERROR(SEARCH(("거부"),(J35))))</formula>
    </cfRule>
  </conditionalFormatting>
  <conditionalFormatting sqref="J35:J36">
    <cfRule type="containsText" dxfId="1" priority="8240" operator="containsText" text="리턴">
      <formula>NOT(ISERROR(SEARCH(("리턴"),(J35))))</formula>
    </cfRule>
  </conditionalFormatting>
  <conditionalFormatting sqref="J35:J36">
    <cfRule type="containsText" dxfId="2" priority="8241" operator="containsText" text="실패">
      <formula>NOT(ISERROR(SEARCH(("실패"),(J35))))</formula>
    </cfRule>
  </conditionalFormatting>
  <conditionalFormatting sqref="J35:J36">
    <cfRule type="containsText" dxfId="3" priority="8242" operator="containsText" text="관리">
      <formula>NOT(ISERROR(SEARCH(("관리"),(J35))))</formula>
    </cfRule>
  </conditionalFormatting>
  <conditionalFormatting sqref="J35:J36">
    <cfRule type="containsText" dxfId="4" priority="8243" operator="containsText" text="등록">
      <formula>NOT(ISERROR(SEARCH(("등록"),(J35))))</formula>
    </cfRule>
  </conditionalFormatting>
  <conditionalFormatting sqref="J35:J36">
    <cfRule type="containsText" dxfId="0" priority="8244" operator="containsText" text="거부">
      <formula>NOT(ISERROR(SEARCH(("거부"),(J35))))</formula>
    </cfRule>
  </conditionalFormatting>
  <conditionalFormatting sqref="J35:J36">
    <cfRule type="containsText" dxfId="1" priority="8245" operator="containsText" text="리턴">
      <formula>NOT(ISERROR(SEARCH(("리턴"),(J35))))</formula>
    </cfRule>
  </conditionalFormatting>
  <conditionalFormatting sqref="J35:J36">
    <cfRule type="containsText" dxfId="2" priority="8246" operator="containsText" text="실패">
      <formula>NOT(ISERROR(SEARCH(("실패"),(J35))))</formula>
    </cfRule>
  </conditionalFormatting>
  <conditionalFormatting sqref="J35:J36">
    <cfRule type="containsText" dxfId="3" priority="8247" operator="containsText" text="관리">
      <formula>NOT(ISERROR(SEARCH(("관리"),(J35))))</formula>
    </cfRule>
  </conditionalFormatting>
  <conditionalFormatting sqref="J35:J36">
    <cfRule type="containsText" dxfId="4" priority="8248" operator="containsText" text="등록">
      <formula>NOT(ISERROR(SEARCH(("등록"),(J35))))</formula>
    </cfRule>
  </conditionalFormatting>
  <conditionalFormatting sqref="J35:J36">
    <cfRule type="containsText" dxfId="0" priority="8249" operator="containsText" text="거부">
      <formula>NOT(ISERROR(SEARCH(("거부"),(J35))))</formula>
    </cfRule>
  </conditionalFormatting>
  <conditionalFormatting sqref="J35:J36">
    <cfRule type="containsText" dxfId="1" priority="8250" operator="containsText" text="리턴">
      <formula>NOT(ISERROR(SEARCH(("리턴"),(J35))))</formula>
    </cfRule>
  </conditionalFormatting>
  <conditionalFormatting sqref="J35:J36">
    <cfRule type="containsText" dxfId="2" priority="8251" operator="containsText" text="실패">
      <formula>NOT(ISERROR(SEARCH(("실패"),(J35))))</formula>
    </cfRule>
  </conditionalFormatting>
  <conditionalFormatting sqref="J35:J36">
    <cfRule type="containsText" dxfId="3" priority="8252" operator="containsText" text="관리">
      <formula>NOT(ISERROR(SEARCH(("관리"),(J35))))</formula>
    </cfRule>
  </conditionalFormatting>
  <conditionalFormatting sqref="J35:J36">
    <cfRule type="containsText" dxfId="4" priority="8253" operator="containsText" text="등록">
      <formula>NOT(ISERROR(SEARCH(("등록"),(J35))))</formula>
    </cfRule>
  </conditionalFormatting>
  <conditionalFormatting sqref="J35:J36">
    <cfRule type="containsText" dxfId="0" priority="8254" operator="containsText" text="거부">
      <formula>NOT(ISERROR(SEARCH(("거부"),(J35))))</formula>
    </cfRule>
  </conditionalFormatting>
  <conditionalFormatting sqref="J35:J36">
    <cfRule type="containsText" dxfId="1" priority="8255" operator="containsText" text="리턴">
      <formula>NOT(ISERROR(SEARCH(("리턴"),(J35))))</formula>
    </cfRule>
  </conditionalFormatting>
  <conditionalFormatting sqref="J35:J36">
    <cfRule type="containsText" dxfId="2" priority="8256" operator="containsText" text="실패">
      <formula>NOT(ISERROR(SEARCH(("실패"),(J35))))</formula>
    </cfRule>
  </conditionalFormatting>
  <conditionalFormatting sqref="J35:J36">
    <cfRule type="containsText" dxfId="3" priority="8257" operator="containsText" text="관리">
      <formula>NOT(ISERROR(SEARCH(("관리"),(J35))))</formula>
    </cfRule>
  </conditionalFormatting>
  <conditionalFormatting sqref="J35:J36">
    <cfRule type="containsText" dxfId="4" priority="8258" operator="containsText" text="등록">
      <formula>NOT(ISERROR(SEARCH(("등록"),(J35))))</formula>
    </cfRule>
  </conditionalFormatting>
  <conditionalFormatting sqref="J35:J36">
    <cfRule type="containsText" dxfId="0" priority="8259" operator="containsText" text="거부">
      <formula>NOT(ISERROR(SEARCH(("거부"),(J35))))</formula>
    </cfRule>
  </conditionalFormatting>
  <conditionalFormatting sqref="J35:J36">
    <cfRule type="containsText" dxfId="1" priority="8260" operator="containsText" text="리턴">
      <formula>NOT(ISERROR(SEARCH(("리턴"),(J35))))</formula>
    </cfRule>
  </conditionalFormatting>
  <conditionalFormatting sqref="J35:J36">
    <cfRule type="containsText" dxfId="2" priority="8261" operator="containsText" text="실패">
      <formula>NOT(ISERROR(SEARCH(("실패"),(J35))))</formula>
    </cfRule>
  </conditionalFormatting>
  <conditionalFormatting sqref="J35:J36">
    <cfRule type="containsText" dxfId="3" priority="8262" operator="containsText" text="관리">
      <formula>NOT(ISERROR(SEARCH(("관리"),(J35))))</formula>
    </cfRule>
  </conditionalFormatting>
  <conditionalFormatting sqref="J35:J36">
    <cfRule type="containsText" dxfId="4" priority="8263" operator="containsText" text="등록">
      <formula>NOT(ISERROR(SEARCH(("등록"),(J35))))</formula>
    </cfRule>
  </conditionalFormatting>
  <conditionalFormatting sqref="J35:J36">
    <cfRule type="containsText" dxfId="0" priority="8264" operator="containsText" text="거부">
      <formula>NOT(ISERROR(SEARCH(("거부"),(J35))))</formula>
    </cfRule>
  </conditionalFormatting>
  <conditionalFormatting sqref="J35:J36">
    <cfRule type="containsText" dxfId="1" priority="8265" operator="containsText" text="리턴">
      <formula>NOT(ISERROR(SEARCH(("리턴"),(J35))))</formula>
    </cfRule>
  </conditionalFormatting>
  <conditionalFormatting sqref="J35:J36">
    <cfRule type="containsText" dxfId="2" priority="8266" operator="containsText" text="실패">
      <formula>NOT(ISERROR(SEARCH(("실패"),(J35))))</formula>
    </cfRule>
  </conditionalFormatting>
  <conditionalFormatting sqref="J35:J36">
    <cfRule type="containsText" dxfId="3" priority="8267" operator="containsText" text="관리">
      <formula>NOT(ISERROR(SEARCH(("관리"),(J35))))</formula>
    </cfRule>
  </conditionalFormatting>
  <conditionalFormatting sqref="J35:J36">
    <cfRule type="containsText" dxfId="4" priority="8268" operator="containsText" text="등록">
      <formula>NOT(ISERROR(SEARCH(("등록"),(J35))))</formula>
    </cfRule>
  </conditionalFormatting>
  <conditionalFormatting sqref="J35:J36">
    <cfRule type="containsText" dxfId="0" priority="8269" operator="containsText" text="거부">
      <formula>NOT(ISERROR(SEARCH(("거부"),(J35))))</formula>
    </cfRule>
  </conditionalFormatting>
  <conditionalFormatting sqref="J35:J36">
    <cfRule type="containsText" dxfId="1" priority="8270" operator="containsText" text="리턴">
      <formula>NOT(ISERROR(SEARCH(("리턴"),(J35))))</formula>
    </cfRule>
  </conditionalFormatting>
  <conditionalFormatting sqref="J35:J36">
    <cfRule type="containsText" dxfId="2" priority="8271" operator="containsText" text="실패">
      <formula>NOT(ISERROR(SEARCH(("실패"),(J35))))</formula>
    </cfRule>
  </conditionalFormatting>
  <conditionalFormatting sqref="J35:J36">
    <cfRule type="containsText" dxfId="3" priority="8272" operator="containsText" text="관리">
      <formula>NOT(ISERROR(SEARCH(("관리"),(J35))))</formula>
    </cfRule>
  </conditionalFormatting>
  <conditionalFormatting sqref="J35:J36">
    <cfRule type="containsText" dxfId="4" priority="8273" operator="containsText" text="등록">
      <formula>NOT(ISERROR(SEARCH(("등록"),(J35))))</formula>
    </cfRule>
  </conditionalFormatting>
  <conditionalFormatting sqref="J35:J36">
    <cfRule type="containsText" dxfId="0" priority="8274" operator="containsText" text="거부">
      <formula>NOT(ISERROR(SEARCH(("거부"),(J35))))</formula>
    </cfRule>
  </conditionalFormatting>
  <conditionalFormatting sqref="J35:J36">
    <cfRule type="containsText" dxfId="1" priority="8275" operator="containsText" text="리턴">
      <formula>NOT(ISERROR(SEARCH(("리턴"),(J35))))</formula>
    </cfRule>
  </conditionalFormatting>
  <conditionalFormatting sqref="J35:J36">
    <cfRule type="containsText" dxfId="2" priority="8276" operator="containsText" text="실패">
      <formula>NOT(ISERROR(SEARCH(("실패"),(J35))))</formula>
    </cfRule>
  </conditionalFormatting>
  <conditionalFormatting sqref="J35:J36">
    <cfRule type="containsText" dxfId="3" priority="8277" operator="containsText" text="관리">
      <formula>NOT(ISERROR(SEARCH(("관리"),(J35))))</formula>
    </cfRule>
  </conditionalFormatting>
  <conditionalFormatting sqref="J35:J36">
    <cfRule type="containsText" dxfId="4" priority="8278" operator="containsText" text="등록">
      <formula>NOT(ISERROR(SEARCH(("등록"),(J35))))</formula>
    </cfRule>
  </conditionalFormatting>
  <conditionalFormatting sqref="A29">
    <cfRule type="containsText" dxfId="0" priority="8279" operator="containsText" text="거부">
      <formula>NOT(ISERROR(SEARCH(("거부"),(A29))))</formula>
    </cfRule>
  </conditionalFormatting>
  <conditionalFormatting sqref="A29">
    <cfRule type="containsText" dxfId="1" priority="8280" operator="containsText" text="리턴">
      <formula>NOT(ISERROR(SEARCH(("리턴"),(A29))))</formula>
    </cfRule>
  </conditionalFormatting>
  <conditionalFormatting sqref="A29">
    <cfRule type="containsText" dxfId="2" priority="8281" operator="containsText" text="실패">
      <formula>NOT(ISERROR(SEARCH(("실패"),(A29))))</formula>
    </cfRule>
  </conditionalFormatting>
  <conditionalFormatting sqref="A29">
    <cfRule type="containsText" dxfId="3" priority="8282" operator="containsText" text="관리">
      <formula>NOT(ISERROR(SEARCH(("관리"),(A29))))</formula>
    </cfRule>
  </conditionalFormatting>
  <conditionalFormatting sqref="A29">
    <cfRule type="containsText" dxfId="4" priority="8283" operator="containsText" text="등록">
      <formula>NOT(ISERROR(SEARCH(("등록"),(A29))))</formula>
    </cfRule>
  </conditionalFormatting>
  <conditionalFormatting sqref="A29">
    <cfRule type="containsText" dxfId="0" priority="8284" operator="containsText" text="거부">
      <formula>NOT(ISERROR(SEARCH(("거부"),(A29))))</formula>
    </cfRule>
  </conditionalFormatting>
  <conditionalFormatting sqref="A29">
    <cfRule type="containsText" dxfId="1" priority="8285" operator="containsText" text="리턴">
      <formula>NOT(ISERROR(SEARCH(("리턴"),(A29))))</formula>
    </cfRule>
  </conditionalFormatting>
  <conditionalFormatting sqref="A29">
    <cfRule type="containsText" dxfId="2" priority="8286" operator="containsText" text="실패">
      <formula>NOT(ISERROR(SEARCH(("실패"),(A29))))</formula>
    </cfRule>
  </conditionalFormatting>
  <conditionalFormatting sqref="A29">
    <cfRule type="containsText" dxfId="3" priority="8287" operator="containsText" text="관리">
      <formula>NOT(ISERROR(SEARCH(("관리"),(A29))))</formula>
    </cfRule>
  </conditionalFormatting>
  <conditionalFormatting sqref="A29">
    <cfRule type="containsText" dxfId="4" priority="8288" operator="containsText" text="등록">
      <formula>NOT(ISERROR(SEARCH(("등록"),(A29))))</formula>
    </cfRule>
  </conditionalFormatting>
  <conditionalFormatting sqref="A29">
    <cfRule type="containsText" dxfId="0" priority="8289" operator="containsText" text="거부">
      <formula>NOT(ISERROR(SEARCH(("거부"),(A29))))</formula>
    </cfRule>
  </conditionalFormatting>
  <conditionalFormatting sqref="A29">
    <cfRule type="containsText" dxfId="1" priority="8290" operator="containsText" text="리턴">
      <formula>NOT(ISERROR(SEARCH(("리턴"),(A29))))</formula>
    </cfRule>
  </conditionalFormatting>
  <conditionalFormatting sqref="A29">
    <cfRule type="containsText" dxfId="2" priority="8291" operator="containsText" text="실패">
      <formula>NOT(ISERROR(SEARCH(("실패"),(A29))))</formula>
    </cfRule>
  </conditionalFormatting>
  <conditionalFormatting sqref="A29">
    <cfRule type="containsText" dxfId="3" priority="8292" operator="containsText" text="관리">
      <formula>NOT(ISERROR(SEARCH(("관리"),(A29))))</formula>
    </cfRule>
  </conditionalFormatting>
  <conditionalFormatting sqref="A29">
    <cfRule type="containsText" dxfId="4" priority="8293" operator="containsText" text="등록">
      <formula>NOT(ISERROR(SEARCH(("등록"),(A29))))</formula>
    </cfRule>
  </conditionalFormatting>
  <conditionalFormatting sqref="A29">
    <cfRule type="containsText" dxfId="0" priority="8294" operator="containsText" text="거부">
      <formula>NOT(ISERROR(SEARCH(("거부"),(A29))))</formula>
    </cfRule>
  </conditionalFormatting>
  <conditionalFormatting sqref="A29">
    <cfRule type="containsText" dxfId="1" priority="8295" operator="containsText" text="리턴">
      <formula>NOT(ISERROR(SEARCH(("리턴"),(A29))))</formula>
    </cfRule>
  </conditionalFormatting>
  <conditionalFormatting sqref="A29">
    <cfRule type="containsText" dxfId="2" priority="8296" operator="containsText" text="실패">
      <formula>NOT(ISERROR(SEARCH(("실패"),(A29))))</formula>
    </cfRule>
  </conditionalFormatting>
  <conditionalFormatting sqref="A29">
    <cfRule type="containsText" dxfId="3" priority="8297" operator="containsText" text="관리">
      <formula>NOT(ISERROR(SEARCH(("관리"),(A29))))</formula>
    </cfRule>
  </conditionalFormatting>
  <conditionalFormatting sqref="A29">
    <cfRule type="containsText" dxfId="4" priority="8298" operator="containsText" text="등록">
      <formula>NOT(ISERROR(SEARCH(("등록"),(A29))))</formula>
    </cfRule>
  </conditionalFormatting>
  <conditionalFormatting sqref="A29">
    <cfRule type="containsText" dxfId="0" priority="8299" operator="containsText" text="거부">
      <formula>NOT(ISERROR(SEARCH(("거부"),(A29))))</formula>
    </cfRule>
  </conditionalFormatting>
  <conditionalFormatting sqref="A29">
    <cfRule type="containsText" dxfId="1" priority="8300" operator="containsText" text="리턴">
      <formula>NOT(ISERROR(SEARCH(("리턴"),(A29))))</formula>
    </cfRule>
  </conditionalFormatting>
  <conditionalFormatting sqref="A29">
    <cfRule type="containsText" dxfId="2" priority="8301" operator="containsText" text="실패">
      <formula>NOT(ISERROR(SEARCH(("실패"),(A29))))</formula>
    </cfRule>
  </conditionalFormatting>
  <conditionalFormatting sqref="A29">
    <cfRule type="containsText" dxfId="3" priority="8302" operator="containsText" text="관리">
      <formula>NOT(ISERROR(SEARCH(("관리"),(A29))))</formula>
    </cfRule>
  </conditionalFormatting>
  <conditionalFormatting sqref="A29">
    <cfRule type="containsText" dxfId="4" priority="8303" operator="containsText" text="등록">
      <formula>NOT(ISERROR(SEARCH(("등록"),(A29))))</formula>
    </cfRule>
  </conditionalFormatting>
  <conditionalFormatting sqref="A29">
    <cfRule type="containsText" dxfId="0" priority="8304" operator="containsText" text="거부">
      <formula>NOT(ISERROR(SEARCH(("거부"),(A29))))</formula>
    </cfRule>
  </conditionalFormatting>
  <conditionalFormatting sqref="A29">
    <cfRule type="containsText" dxfId="1" priority="8305" operator="containsText" text="리턴">
      <formula>NOT(ISERROR(SEARCH(("리턴"),(A29))))</formula>
    </cfRule>
  </conditionalFormatting>
  <conditionalFormatting sqref="A29">
    <cfRule type="containsText" dxfId="2" priority="8306" operator="containsText" text="실패">
      <formula>NOT(ISERROR(SEARCH(("실패"),(A29))))</formula>
    </cfRule>
  </conditionalFormatting>
  <conditionalFormatting sqref="A29">
    <cfRule type="containsText" dxfId="3" priority="8307" operator="containsText" text="관리">
      <formula>NOT(ISERROR(SEARCH(("관리"),(A29))))</formula>
    </cfRule>
  </conditionalFormatting>
  <conditionalFormatting sqref="A29">
    <cfRule type="containsText" dxfId="4" priority="8308" operator="containsText" text="등록">
      <formula>NOT(ISERROR(SEARCH(("등록"),(A29))))</formula>
    </cfRule>
  </conditionalFormatting>
  <conditionalFormatting sqref="A29">
    <cfRule type="containsText" dxfId="0" priority="8309" operator="containsText" text="거부">
      <formula>NOT(ISERROR(SEARCH(("거부"),(A29))))</formula>
    </cfRule>
  </conditionalFormatting>
  <conditionalFormatting sqref="A29">
    <cfRule type="containsText" dxfId="1" priority="8310" operator="containsText" text="리턴">
      <formula>NOT(ISERROR(SEARCH(("리턴"),(A29))))</formula>
    </cfRule>
  </conditionalFormatting>
  <conditionalFormatting sqref="A29">
    <cfRule type="containsText" dxfId="2" priority="8311" operator="containsText" text="실패">
      <formula>NOT(ISERROR(SEARCH(("실패"),(A29))))</formula>
    </cfRule>
  </conditionalFormatting>
  <conditionalFormatting sqref="A29">
    <cfRule type="containsText" dxfId="3" priority="8312" operator="containsText" text="관리">
      <formula>NOT(ISERROR(SEARCH(("관리"),(A29))))</formula>
    </cfRule>
  </conditionalFormatting>
  <conditionalFormatting sqref="A29">
    <cfRule type="containsText" dxfId="4" priority="8313" operator="containsText" text="등록">
      <formula>NOT(ISERROR(SEARCH(("등록"),(A29))))</formula>
    </cfRule>
  </conditionalFormatting>
  <conditionalFormatting sqref="A29">
    <cfRule type="containsText" dxfId="0" priority="8314" operator="containsText" text="거부">
      <formula>NOT(ISERROR(SEARCH(("거부"),(A29))))</formula>
    </cfRule>
  </conditionalFormatting>
  <conditionalFormatting sqref="A29">
    <cfRule type="containsText" dxfId="1" priority="8315" operator="containsText" text="리턴">
      <formula>NOT(ISERROR(SEARCH(("리턴"),(A29))))</formula>
    </cfRule>
  </conditionalFormatting>
  <conditionalFormatting sqref="A29">
    <cfRule type="containsText" dxfId="2" priority="8316" operator="containsText" text="실패">
      <formula>NOT(ISERROR(SEARCH(("실패"),(A29))))</formula>
    </cfRule>
  </conditionalFormatting>
  <conditionalFormatting sqref="A29">
    <cfRule type="containsText" dxfId="3" priority="8317" operator="containsText" text="관리">
      <formula>NOT(ISERROR(SEARCH(("관리"),(A29))))</formula>
    </cfRule>
  </conditionalFormatting>
  <conditionalFormatting sqref="A29">
    <cfRule type="containsText" dxfId="4" priority="8318" operator="containsText" text="등록">
      <formula>NOT(ISERROR(SEARCH(("등록"),(A29))))</formula>
    </cfRule>
  </conditionalFormatting>
  <conditionalFormatting sqref="A29">
    <cfRule type="containsText" dxfId="0" priority="8319" operator="containsText" text="거부">
      <formula>NOT(ISERROR(SEARCH(("거부"),(A29))))</formula>
    </cfRule>
  </conditionalFormatting>
  <conditionalFormatting sqref="A29">
    <cfRule type="containsText" dxfId="1" priority="8320" operator="containsText" text="리턴">
      <formula>NOT(ISERROR(SEARCH(("리턴"),(A29))))</formula>
    </cfRule>
  </conditionalFormatting>
  <conditionalFormatting sqref="A29">
    <cfRule type="containsText" dxfId="2" priority="8321" operator="containsText" text="실패">
      <formula>NOT(ISERROR(SEARCH(("실패"),(A29))))</formula>
    </cfRule>
  </conditionalFormatting>
  <conditionalFormatting sqref="A29">
    <cfRule type="containsText" dxfId="3" priority="8322" operator="containsText" text="관리">
      <formula>NOT(ISERROR(SEARCH(("관리"),(A29))))</formula>
    </cfRule>
  </conditionalFormatting>
  <conditionalFormatting sqref="A29">
    <cfRule type="containsText" dxfId="4" priority="8323" operator="containsText" text="등록">
      <formula>NOT(ISERROR(SEARCH(("등록"),(A29))))</formula>
    </cfRule>
  </conditionalFormatting>
  <conditionalFormatting sqref="A29">
    <cfRule type="containsText" dxfId="0" priority="8324" operator="containsText" text="거부">
      <formula>NOT(ISERROR(SEARCH(("거부"),(A29))))</formula>
    </cfRule>
  </conditionalFormatting>
  <conditionalFormatting sqref="A29">
    <cfRule type="containsText" dxfId="1" priority="8325" operator="containsText" text="리턴">
      <formula>NOT(ISERROR(SEARCH(("리턴"),(A29))))</formula>
    </cfRule>
  </conditionalFormatting>
  <conditionalFormatting sqref="A29">
    <cfRule type="containsText" dxfId="2" priority="8326" operator="containsText" text="실패">
      <formula>NOT(ISERROR(SEARCH(("실패"),(A29))))</formula>
    </cfRule>
  </conditionalFormatting>
  <conditionalFormatting sqref="A29">
    <cfRule type="containsText" dxfId="3" priority="8327" operator="containsText" text="관리">
      <formula>NOT(ISERROR(SEARCH(("관리"),(A29))))</formula>
    </cfRule>
  </conditionalFormatting>
  <conditionalFormatting sqref="A29">
    <cfRule type="containsText" dxfId="4" priority="8328" operator="containsText" text="등록">
      <formula>NOT(ISERROR(SEARCH(("등록"),(A29))))</formula>
    </cfRule>
  </conditionalFormatting>
  <conditionalFormatting sqref="A35">
    <cfRule type="containsText" dxfId="0" priority="8329" operator="containsText" text="거부">
      <formula>NOT(ISERROR(SEARCH(("거부"),(A35))))</formula>
    </cfRule>
  </conditionalFormatting>
  <conditionalFormatting sqref="A35">
    <cfRule type="containsText" dxfId="1" priority="8330" operator="containsText" text="리턴">
      <formula>NOT(ISERROR(SEARCH(("리턴"),(A35))))</formula>
    </cfRule>
  </conditionalFormatting>
  <conditionalFormatting sqref="A35">
    <cfRule type="containsText" dxfId="2" priority="8331" operator="containsText" text="실패">
      <formula>NOT(ISERROR(SEARCH(("실패"),(A35))))</formula>
    </cfRule>
  </conditionalFormatting>
  <conditionalFormatting sqref="A35">
    <cfRule type="containsText" dxfId="3" priority="8332" operator="containsText" text="관리">
      <formula>NOT(ISERROR(SEARCH(("관리"),(A35))))</formula>
    </cfRule>
  </conditionalFormatting>
  <conditionalFormatting sqref="A35">
    <cfRule type="containsText" dxfId="4" priority="8333" operator="containsText" text="등록">
      <formula>NOT(ISERROR(SEARCH(("등록"),(A35))))</formula>
    </cfRule>
  </conditionalFormatting>
  <conditionalFormatting sqref="A35">
    <cfRule type="containsText" dxfId="0" priority="8334" operator="containsText" text="거부">
      <formula>NOT(ISERROR(SEARCH(("거부"),(A35))))</formula>
    </cfRule>
  </conditionalFormatting>
  <conditionalFormatting sqref="A35">
    <cfRule type="containsText" dxfId="1" priority="8335" operator="containsText" text="리턴">
      <formula>NOT(ISERROR(SEARCH(("리턴"),(A35))))</formula>
    </cfRule>
  </conditionalFormatting>
  <conditionalFormatting sqref="A35">
    <cfRule type="containsText" dxfId="2" priority="8336" operator="containsText" text="실패">
      <formula>NOT(ISERROR(SEARCH(("실패"),(A35))))</formula>
    </cfRule>
  </conditionalFormatting>
  <conditionalFormatting sqref="A35">
    <cfRule type="containsText" dxfId="3" priority="8337" operator="containsText" text="관리">
      <formula>NOT(ISERROR(SEARCH(("관리"),(A35))))</formula>
    </cfRule>
  </conditionalFormatting>
  <conditionalFormatting sqref="A35">
    <cfRule type="containsText" dxfId="4" priority="8338" operator="containsText" text="등록">
      <formula>NOT(ISERROR(SEARCH(("등록"),(A35))))</formula>
    </cfRule>
  </conditionalFormatting>
  <conditionalFormatting sqref="A35">
    <cfRule type="containsText" dxfId="0" priority="8339" operator="containsText" text="거부">
      <formula>NOT(ISERROR(SEARCH(("거부"),(A35))))</formula>
    </cfRule>
  </conditionalFormatting>
  <conditionalFormatting sqref="A35">
    <cfRule type="containsText" dxfId="1" priority="8340" operator="containsText" text="리턴">
      <formula>NOT(ISERROR(SEARCH(("리턴"),(A35))))</formula>
    </cfRule>
  </conditionalFormatting>
  <conditionalFormatting sqref="A35">
    <cfRule type="containsText" dxfId="2" priority="8341" operator="containsText" text="실패">
      <formula>NOT(ISERROR(SEARCH(("실패"),(A35))))</formula>
    </cfRule>
  </conditionalFormatting>
  <conditionalFormatting sqref="A35">
    <cfRule type="containsText" dxfId="3" priority="8342" operator="containsText" text="관리">
      <formula>NOT(ISERROR(SEARCH(("관리"),(A35))))</formula>
    </cfRule>
  </conditionalFormatting>
  <conditionalFormatting sqref="A35">
    <cfRule type="containsText" dxfId="4" priority="8343" operator="containsText" text="등록">
      <formula>NOT(ISERROR(SEARCH(("등록"),(A35))))</formula>
    </cfRule>
  </conditionalFormatting>
  <conditionalFormatting sqref="A35">
    <cfRule type="containsText" dxfId="0" priority="8344" operator="containsText" text="거부">
      <formula>NOT(ISERROR(SEARCH(("거부"),(A35))))</formula>
    </cfRule>
  </conditionalFormatting>
  <conditionalFormatting sqref="A35">
    <cfRule type="containsText" dxfId="1" priority="8345" operator="containsText" text="리턴">
      <formula>NOT(ISERROR(SEARCH(("리턴"),(A35))))</formula>
    </cfRule>
  </conditionalFormatting>
  <conditionalFormatting sqref="A35">
    <cfRule type="containsText" dxfId="2" priority="8346" operator="containsText" text="실패">
      <formula>NOT(ISERROR(SEARCH(("실패"),(A35))))</formula>
    </cfRule>
  </conditionalFormatting>
  <conditionalFormatting sqref="A35">
    <cfRule type="containsText" dxfId="3" priority="8347" operator="containsText" text="관리">
      <formula>NOT(ISERROR(SEARCH(("관리"),(A35))))</formula>
    </cfRule>
  </conditionalFormatting>
  <conditionalFormatting sqref="A35">
    <cfRule type="containsText" dxfId="4" priority="8348" operator="containsText" text="등록">
      <formula>NOT(ISERROR(SEARCH(("등록"),(A35))))</formula>
    </cfRule>
  </conditionalFormatting>
  <conditionalFormatting sqref="A35">
    <cfRule type="containsText" dxfId="0" priority="8349" operator="containsText" text="거부">
      <formula>NOT(ISERROR(SEARCH(("거부"),(A35))))</formula>
    </cfRule>
  </conditionalFormatting>
  <conditionalFormatting sqref="A35">
    <cfRule type="containsText" dxfId="1" priority="8350" operator="containsText" text="리턴">
      <formula>NOT(ISERROR(SEARCH(("리턴"),(A35))))</formula>
    </cfRule>
  </conditionalFormatting>
  <conditionalFormatting sqref="A35">
    <cfRule type="containsText" dxfId="2" priority="8351" operator="containsText" text="실패">
      <formula>NOT(ISERROR(SEARCH(("실패"),(A35))))</formula>
    </cfRule>
  </conditionalFormatting>
  <conditionalFormatting sqref="A35">
    <cfRule type="containsText" dxfId="3" priority="8352" operator="containsText" text="관리">
      <formula>NOT(ISERROR(SEARCH(("관리"),(A35))))</formula>
    </cfRule>
  </conditionalFormatting>
  <conditionalFormatting sqref="A35">
    <cfRule type="containsText" dxfId="4" priority="8353" operator="containsText" text="등록">
      <formula>NOT(ISERROR(SEARCH(("등록"),(A35))))</formula>
    </cfRule>
  </conditionalFormatting>
  <conditionalFormatting sqref="A35">
    <cfRule type="containsText" dxfId="0" priority="8354" operator="containsText" text="거부">
      <formula>NOT(ISERROR(SEARCH(("거부"),(A35))))</formula>
    </cfRule>
  </conditionalFormatting>
  <conditionalFormatting sqref="A35">
    <cfRule type="containsText" dxfId="1" priority="8355" operator="containsText" text="리턴">
      <formula>NOT(ISERROR(SEARCH(("리턴"),(A35))))</formula>
    </cfRule>
  </conditionalFormatting>
  <conditionalFormatting sqref="A35">
    <cfRule type="containsText" dxfId="2" priority="8356" operator="containsText" text="실패">
      <formula>NOT(ISERROR(SEARCH(("실패"),(A35))))</formula>
    </cfRule>
  </conditionalFormatting>
  <conditionalFormatting sqref="A35">
    <cfRule type="containsText" dxfId="3" priority="8357" operator="containsText" text="관리">
      <formula>NOT(ISERROR(SEARCH(("관리"),(A35))))</formula>
    </cfRule>
  </conditionalFormatting>
  <conditionalFormatting sqref="A35">
    <cfRule type="containsText" dxfId="4" priority="8358" operator="containsText" text="등록">
      <formula>NOT(ISERROR(SEARCH(("등록"),(A35))))</formula>
    </cfRule>
  </conditionalFormatting>
  <conditionalFormatting sqref="A35">
    <cfRule type="containsText" dxfId="0" priority="8359" operator="containsText" text="거부">
      <formula>NOT(ISERROR(SEARCH(("거부"),(A35))))</formula>
    </cfRule>
  </conditionalFormatting>
  <conditionalFormatting sqref="A35">
    <cfRule type="containsText" dxfId="1" priority="8360" operator="containsText" text="리턴">
      <formula>NOT(ISERROR(SEARCH(("리턴"),(A35))))</formula>
    </cfRule>
  </conditionalFormatting>
  <conditionalFormatting sqref="A35">
    <cfRule type="containsText" dxfId="2" priority="8361" operator="containsText" text="실패">
      <formula>NOT(ISERROR(SEARCH(("실패"),(A35))))</formula>
    </cfRule>
  </conditionalFormatting>
  <conditionalFormatting sqref="A35">
    <cfRule type="containsText" dxfId="3" priority="8362" operator="containsText" text="관리">
      <formula>NOT(ISERROR(SEARCH(("관리"),(A35))))</formula>
    </cfRule>
  </conditionalFormatting>
  <conditionalFormatting sqref="A35">
    <cfRule type="containsText" dxfId="4" priority="8363" operator="containsText" text="등록">
      <formula>NOT(ISERROR(SEARCH(("등록"),(A35))))</formula>
    </cfRule>
  </conditionalFormatting>
  <conditionalFormatting sqref="A35">
    <cfRule type="containsText" dxfId="0" priority="8364" operator="containsText" text="거부">
      <formula>NOT(ISERROR(SEARCH(("거부"),(A35))))</formula>
    </cfRule>
  </conditionalFormatting>
  <conditionalFormatting sqref="A35">
    <cfRule type="containsText" dxfId="1" priority="8365" operator="containsText" text="리턴">
      <formula>NOT(ISERROR(SEARCH(("리턴"),(A35))))</formula>
    </cfRule>
  </conditionalFormatting>
  <conditionalFormatting sqref="A35">
    <cfRule type="containsText" dxfId="2" priority="8366" operator="containsText" text="실패">
      <formula>NOT(ISERROR(SEARCH(("실패"),(A35))))</formula>
    </cfRule>
  </conditionalFormatting>
  <conditionalFormatting sqref="A35">
    <cfRule type="containsText" dxfId="3" priority="8367" operator="containsText" text="관리">
      <formula>NOT(ISERROR(SEARCH(("관리"),(A35))))</formula>
    </cfRule>
  </conditionalFormatting>
  <conditionalFormatting sqref="A35">
    <cfRule type="containsText" dxfId="4" priority="8368" operator="containsText" text="등록">
      <formula>NOT(ISERROR(SEARCH(("등록"),(A35))))</formula>
    </cfRule>
  </conditionalFormatting>
  <conditionalFormatting sqref="A35">
    <cfRule type="containsText" dxfId="0" priority="8369" operator="containsText" text="거부">
      <formula>NOT(ISERROR(SEARCH(("거부"),(A35))))</formula>
    </cfRule>
  </conditionalFormatting>
  <conditionalFormatting sqref="A35">
    <cfRule type="containsText" dxfId="1" priority="8370" operator="containsText" text="리턴">
      <formula>NOT(ISERROR(SEARCH(("리턴"),(A35))))</formula>
    </cfRule>
  </conditionalFormatting>
  <conditionalFormatting sqref="A35">
    <cfRule type="containsText" dxfId="2" priority="8371" operator="containsText" text="실패">
      <formula>NOT(ISERROR(SEARCH(("실패"),(A35))))</formula>
    </cfRule>
  </conditionalFormatting>
  <conditionalFormatting sqref="A35">
    <cfRule type="containsText" dxfId="3" priority="8372" operator="containsText" text="관리">
      <formula>NOT(ISERROR(SEARCH(("관리"),(A35))))</formula>
    </cfRule>
  </conditionalFormatting>
  <conditionalFormatting sqref="A35">
    <cfRule type="containsText" dxfId="4" priority="8373" operator="containsText" text="등록">
      <formula>NOT(ISERROR(SEARCH(("등록"),(A35))))</formula>
    </cfRule>
  </conditionalFormatting>
  <conditionalFormatting sqref="A35">
    <cfRule type="containsText" dxfId="0" priority="8374" operator="containsText" text="거부">
      <formula>NOT(ISERROR(SEARCH(("거부"),(A35))))</formula>
    </cfRule>
  </conditionalFormatting>
  <conditionalFormatting sqref="A35">
    <cfRule type="containsText" dxfId="1" priority="8375" operator="containsText" text="리턴">
      <formula>NOT(ISERROR(SEARCH(("리턴"),(A35))))</formula>
    </cfRule>
  </conditionalFormatting>
  <conditionalFormatting sqref="A35">
    <cfRule type="containsText" dxfId="2" priority="8376" operator="containsText" text="실패">
      <formula>NOT(ISERROR(SEARCH(("실패"),(A35))))</formula>
    </cfRule>
  </conditionalFormatting>
  <conditionalFormatting sqref="A35">
    <cfRule type="containsText" dxfId="3" priority="8377" operator="containsText" text="관리">
      <formula>NOT(ISERROR(SEARCH(("관리"),(A35))))</formula>
    </cfRule>
  </conditionalFormatting>
  <conditionalFormatting sqref="A35">
    <cfRule type="containsText" dxfId="4" priority="8378" operator="containsText" text="등록">
      <formula>NOT(ISERROR(SEARCH(("등록"),(A35))))</formula>
    </cfRule>
  </conditionalFormatting>
  <conditionalFormatting sqref="A36">
    <cfRule type="containsText" dxfId="0" priority="8379" operator="containsText" text="거부">
      <formula>NOT(ISERROR(SEARCH(("거부"),(A36))))</formula>
    </cfRule>
  </conditionalFormatting>
  <conditionalFormatting sqref="A36">
    <cfRule type="containsText" dxfId="1" priority="8380" operator="containsText" text="리턴">
      <formula>NOT(ISERROR(SEARCH(("리턴"),(A36))))</formula>
    </cfRule>
  </conditionalFormatting>
  <conditionalFormatting sqref="A36">
    <cfRule type="containsText" dxfId="2" priority="8381" operator="containsText" text="실패">
      <formula>NOT(ISERROR(SEARCH(("실패"),(A36))))</formula>
    </cfRule>
  </conditionalFormatting>
  <conditionalFormatting sqref="A36">
    <cfRule type="containsText" dxfId="3" priority="8382" operator="containsText" text="관리">
      <formula>NOT(ISERROR(SEARCH(("관리"),(A36))))</formula>
    </cfRule>
  </conditionalFormatting>
  <conditionalFormatting sqref="A36">
    <cfRule type="containsText" dxfId="4" priority="8383" operator="containsText" text="등록">
      <formula>NOT(ISERROR(SEARCH(("등록"),(A36))))</formula>
    </cfRule>
  </conditionalFormatting>
  <conditionalFormatting sqref="A36">
    <cfRule type="containsText" dxfId="0" priority="8384" operator="containsText" text="거부">
      <formula>NOT(ISERROR(SEARCH(("거부"),(A36))))</formula>
    </cfRule>
  </conditionalFormatting>
  <conditionalFormatting sqref="A36">
    <cfRule type="containsText" dxfId="1" priority="8385" operator="containsText" text="리턴">
      <formula>NOT(ISERROR(SEARCH(("리턴"),(A36))))</formula>
    </cfRule>
  </conditionalFormatting>
  <conditionalFormatting sqref="A36">
    <cfRule type="containsText" dxfId="2" priority="8386" operator="containsText" text="실패">
      <formula>NOT(ISERROR(SEARCH(("실패"),(A36))))</formula>
    </cfRule>
  </conditionalFormatting>
  <conditionalFormatting sqref="A36">
    <cfRule type="containsText" dxfId="3" priority="8387" operator="containsText" text="관리">
      <formula>NOT(ISERROR(SEARCH(("관리"),(A36))))</formula>
    </cfRule>
  </conditionalFormatting>
  <conditionalFormatting sqref="A36">
    <cfRule type="containsText" dxfId="4" priority="8388" operator="containsText" text="등록">
      <formula>NOT(ISERROR(SEARCH(("등록"),(A36))))</formula>
    </cfRule>
  </conditionalFormatting>
  <conditionalFormatting sqref="A36">
    <cfRule type="containsText" dxfId="0" priority="8389" operator="containsText" text="거부">
      <formula>NOT(ISERROR(SEARCH(("거부"),(A36))))</formula>
    </cfRule>
  </conditionalFormatting>
  <conditionalFormatting sqref="A36">
    <cfRule type="containsText" dxfId="1" priority="8390" operator="containsText" text="리턴">
      <formula>NOT(ISERROR(SEARCH(("리턴"),(A36))))</formula>
    </cfRule>
  </conditionalFormatting>
  <conditionalFormatting sqref="A36">
    <cfRule type="containsText" dxfId="2" priority="8391" operator="containsText" text="실패">
      <formula>NOT(ISERROR(SEARCH(("실패"),(A36))))</formula>
    </cfRule>
  </conditionalFormatting>
  <conditionalFormatting sqref="A36">
    <cfRule type="containsText" dxfId="3" priority="8392" operator="containsText" text="관리">
      <formula>NOT(ISERROR(SEARCH(("관리"),(A36))))</formula>
    </cfRule>
  </conditionalFormatting>
  <conditionalFormatting sqref="A36">
    <cfRule type="containsText" dxfId="4" priority="8393" operator="containsText" text="등록">
      <formula>NOT(ISERROR(SEARCH(("등록"),(A36))))</formula>
    </cfRule>
  </conditionalFormatting>
  <conditionalFormatting sqref="A36">
    <cfRule type="containsText" dxfId="0" priority="8394" operator="containsText" text="거부">
      <formula>NOT(ISERROR(SEARCH(("거부"),(A36))))</formula>
    </cfRule>
  </conditionalFormatting>
  <conditionalFormatting sqref="A36">
    <cfRule type="containsText" dxfId="1" priority="8395" operator="containsText" text="리턴">
      <formula>NOT(ISERROR(SEARCH(("리턴"),(A36))))</formula>
    </cfRule>
  </conditionalFormatting>
  <conditionalFormatting sqref="A36">
    <cfRule type="containsText" dxfId="2" priority="8396" operator="containsText" text="실패">
      <formula>NOT(ISERROR(SEARCH(("실패"),(A36))))</formula>
    </cfRule>
  </conditionalFormatting>
  <conditionalFormatting sqref="A36">
    <cfRule type="containsText" dxfId="3" priority="8397" operator="containsText" text="관리">
      <formula>NOT(ISERROR(SEARCH(("관리"),(A36))))</formula>
    </cfRule>
  </conditionalFormatting>
  <conditionalFormatting sqref="A36">
    <cfRule type="containsText" dxfId="4" priority="8398" operator="containsText" text="등록">
      <formula>NOT(ISERROR(SEARCH(("등록"),(A36))))</formula>
    </cfRule>
  </conditionalFormatting>
  <conditionalFormatting sqref="A36">
    <cfRule type="containsText" dxfId="0" priority="8399" operator="containsText" text="거부">
      <formula>NOT(ISERROR(SEARCH(("거부"),(A36))))</formula>
    </cfRule>
  </conditionalFormatting>
  <conditionalFormatting sqref="A36">
    <cfRule type="containsText" dxfId="1" priority="8400" operator="containsText" text="리턴">
      <formula>NOT(ISERROR(SEARCH(("리턴"),(A36))))</formula>
    </cfRule>
  </conditionalFormatting>
  <conditionalFormatting sqref="A36">
    <cfRule type="containsText" dxfId="2" priority="8401" operator="containsText" text="실패">
      <formula>NOT(ISERROR(SEARCH(("실패"),(A36))))</formula>
    </cfRule>
  </conditionalFormatting>
  <conditionalFormatting sqref="A36">
    <cfRule type="containsText" dxfId="3" priority="8402" operator="containsText" text="관리">
      <formula>NOT(ISERROR(SEARCH(("관리"),(A36))))</formula>
    </cfRule>
  </conditionalFormatting>
  <conditionalFormatting sqref="A36">
    <cfRule type="containsText" dxfId="4" priority="8403" operator="containsText" text="등록">
      <formula>NOT(ISERROR(SEARCH(("등록"),(A36))))</formula>
    </cfRule>
  </conditionalFormatting>
  <conditionalFormatting sqref="A37">
    <cfRule type="containsText" dxfId="0" priority="8404" operator="containsText" text="거부">
      <formula>NOT(ISERROR(SEARCH(("거부"),(A37))))</formula>
    </cfRule>
  </conditionalFormatting>
  <conditionalFormatting sqref="A37">
    <cfRule type="containsText" dxfId="1" priority="8405" operator="containsText" text="리턴">
      <formula>NOT(ISERROR(SEARCH(("리턴"),(A37))))</formula>
    </cfRule>
  </conditionalFormatting>
  <conditionalFormatting sqref="A37">
    <cfRule type="containsText" dxfId="2" priority="8406" operator="containsText" text="실패">
      <formula>NOT(ISERROR(SEARCH(("실패"),(A37))))</formula>
    </cfRule>
  </conditionalFormatting>
  <conditionalFormatting sqref="A37">
    <cfRule type="containsText" dxfId="3" priority="8407" operator="containsText" text="관리">
      <formula>NOT(ISERROR(SEARCH(("관리"),(A37))))</formula>
    </cfRule>
  </conditionalFormatting>
  <conditionalFormatting sqref="A37">
    <cfRule type="containsText" dxfId="4" priority="8408" operator="containsText" text="등록">
      <formula>NOT(ISERROR(SEARCH(("등록"),(A37))))</formula>
    </cfRule>
  </conditionalFormatting>
  <conditionalFormatting sqref="A37">
    <cfRule type="containsText" dxfId="0" priority="8409" operator="containsText" text="거부">
      <formula>NOT(ISERROR(SEARCH(("거부"),(A37))))</formula>
    </cfRule>
  </conditionalFormatting>
  <conditionalFormatting sqref="A37">
    <cfRule type="containsText" dxfId="1" priority="8410" operator="containsText" text="리턴">
      <formula>NOT(ISERROR(SEARCH(("리턴"),(A37))))</formula>
    </cfRule>
  </conditionalFormatting>
  <conditionalFormatting sqref="A37">
    <cfRule type="containsText" dxfId="2" priority="8411" operator="containsText" text="실패">
      <formula>NOT(ISERROR(SEARCH(("실패"),(A37))))</formula>
    </cfRule>
  </conditionalFormatting>
  <conditionalFormatting sqref="A37">
    <cfRule type="containsText" dxfId="3" priority="8412" operator="containsText" text="관리">
      <formula>NOT(ISERROR(SEARCH(("관리"),(A37))))</formula>
    </cfRule>
  </conditionalFormatting>
  <conditionalFormatting sqref="A37">
    <cfRule type="containsText" dxfId="4" priority="8413" operator="containsText" text="등록">
      <formula>NOT(ISERROR(SEARCH(("등록"),(A37))))</formula>
    </cfRule>
  </conditionalFormatting>
  <conditionalFormatting sqref="A37">
    <cfRule type="containsText" dxfId="0" priority="8414" operator="containsText" text="거부">
      <formula>NOT(ISERROR(SEARCH(("거부"),(A37))))</formula>
    </cfRule>
  </conditionalFormatting>
  <conditionalFormatting sqref="A37">
    <cfRule type="containsText" dxfId="1" priority="8415" operator="containsText" text="리턴">
      <formula>NOT(ISERROR(SEARCH(("리턴"),(A37))))</formula>
    </cfRule>
  </conditionalFormatting>
  <conditionalFormatting sqref="A37">
    <cfRule type="containsText" dxfId="2" priority="8416" operator="containsText" text="실패">
      <formula>NOT(ISERROR(SEARCH(("실패"),(A37))))</formula>
    </cfRule>
  </conditionalFormatting>
  <conditionalFormatting sqref="A37">
    <cfRule type="containsText" dxfId="3" priority="8417" operator="containsText" text="관리">
      <formula>NOT(ISERROR(SEARCH(("관리"),(A37))))</formula>
    </cfRule>
  </conditionalFormatting>
  <conditionalFormatting sqref="A37">
    <cfRule type="containsText" dxfId="4" priority="8418" operator="containsText" text="등록">
      <formula>NOT(ISERROR(SEARCH(("등록"),(A37))))</formula>
    </cfRule>
  </conditionalFormatting>
  <conditionalFormatting sqref="A37">
    <cfRule type="containsText" dxfId="0" priority="8419" operator="containsText" text="거부">
      <formula>NOT(ISERROR(SEARCH(("거부"),(A37))))</formula>
    </cfRule>
  </conditionalFormatting>
  <conditionalFormatting sqref="A37">
    <cfRule type="containsText" dxfId="1" priority="8420" operator="containsText" text="리턴">
      <formula>NOT(ISERROR(SEARCH(("리턴"),(A37))))</formula>
    </cfRule>
  </conditionalFormatting>
  <conditionalFormatting sqref="A37">
    <cfRule type="containsText" dxfId="2" priority="8421" operator="containsText" text="실패">
      <formula>NOT(ISERROR(SEARCH(("실패"),(A37))))</formula>
    </cfRule>
  </conditionalFormatting>
  <conditionalFormatting sqref="A37">
    <cfRule type="containsText" dxfId="3" priority="8422" operator="containsText" text="관리">
      <formula>NOT(ISERROR(SEARCH(("관리"),(A37))))</formula>
    </cfRule>
  </conditionalFormatting>
  <conditionalFormatting sqref="A37">
    <cfRule type="containsText" dxfId="4" priority="8423" operator="containsText" text="등록">
      <formula>NOT(ISERROR(SEARCH(("등록"),(A37))))</formula>
    </cfRule>
  </conditionalFormatting>
  <conditionalFormatting sqref="A37">
    <cfRule type="containsText" dxfId="0" priority="8424" operator="containsText" text="거부">
      <formula>NOT(ISERROR(SEARCH(("거부"),(A37))))</formula>
    </cfRule>
  </conditionalFormatting>
  <conditionalFormatting sqref="A37">
    <cfRule type="containsText" dxfId="1" priority="8425" operator="containsText" text="리턴">
      <formula>NOT(ISERROR(SEARCH(("리턴"),(A37))))</formula>
    </cfRule>
  </conditionalFormatting>
  <conditionalFormatting sqref="A37">
    <cfRule type="containsText" dxfId="2" priority="8426" operator="containsText" text="실패">
      <formula>NOT(ISERROR(SEARCH(("실패"),(A37))))</formula>
    </cfRule>
  </conditionalFormatting>
  <conditionalFormatting sqref="A37">
    <cfRule type="containsText" dxfId="3" priority="8427" operator="containsText" text="관리">
      <formula>NOT(ISERROR(SEARCH(("관리"),(A37))))</formula>
    </cfRule>
  </conditionalFormatting>
  <conditionalFormatting sqref="A37">
    <cfRule type="containsText" dxfId="4" priority="8428" operator="containsText" text="등록">
      <formula>NOT(ISERROR(SEARCH(("등록"),(A37))))</formula>
    </cfRule>
  </conditionalFormatting>
  <conditionalFormatting sqref="G37">
    <cfRule type="containsText" dxfId="0" priority="8429" operator="containsText" text="거부">
      <formula>NOT(ISERROR(SEARCH(("거부"),(G37))))</formula>
    </cfRule>
  </conditionalFormatting>
  <conditionalFormatting sqref="G37">
    <cfRule type="containsText" dxfId="1" priority="8430" operator="containsText" text="리턴">
      <formula>NOT(ISERROR(SEARCH(("리턴"),(G37))))</formula>
    </cfRule>
  </conditionalFormatting>
  <conditionalFormatting sqref="G37">
    <cfRule type="containsText" dxfId="2" priority="8431" operator="containsText" text="실패">
      <formula>NOT(ISERROR(SEARCH(("실패"),(G37))))</formula>
    </cfRule>
  </conditionalFormatting>
  <conditionalFormatting sqref="G37">
    <cfRule type="containsText" dxfId="3" priority="8432" operator="containsText" text="관리">
      <formula>NOT(ISERROR(SEARCH(("관리"),(G37))))</formula>
    </cfRule>
  </conditionalFormatting>
  <conditionalFormatting sqref="G37">
    <cfRule type="containsText" dxfId="4" priority="8433" operator="containsText" text="등록">
      <formula>NOT(ISERROR(SEARCH(("등록"),(G37))))</formula>
    </cfRule>
  </conditionalFormatting>
  <conditionalFormatting sqref="G37">
    <cfRule type="containsText" dxfId="0" priority="8434" operator="containsText" text="거부">
      <formula>NOT(ISERROR(SEARCH(("거부"),(G37))))</formula>
    </cfRule>
  </conditionalFormatting>
  <conditionalFormatting sqref="G37">
    <cfRule type="containsText" dxfId="1" priority="8435" operator="containsText" text="리턴">
      <formula>NOT(ISERROR(SEARCH(("리턴"),(G37))))</formula>
    </cfRule>
  </conditionalFormatting>
  <conditionalFormatting sqref="G37">
    <cfRule type="containsText" dxfId="2" priority="8436" operator="containsText" text="실패">
      <formula>NOT(ISERROR(SEARCH(("실패"),(G37))))</formula>
    </cfRule>
  </conditionalFormatting>
  <conditionalFormatting sqref="G37">
    <cfRule type="containsText" dxfId="3" priority="8437" operator="containsText" text="관리">
      <formula>NOT(ISERROR(SEARCH(("관리"),(G37))))</formula>
    </cfRule>
  </conditionalFormatting>
  <conditionalFormatting sqref="G37">
    <cfRule type="containsText" dxfId="4" priority="8438" operator="containsText" text="등록">
      <formula>NOT(ISERROR(SEARCH(("등록"),(G37))))</formula>
    </cfRule>
  </conditionalFormatting>
  <conditionalFormatting sqref="G37">
    <cfRule type="containsText" dxfId="0" priority="8439" operator="containsText" text="거부">
      <formula>NOT(ISERROR(SEARCH(("거부"),(G37))))</formula>
    </cfRule>
  </conditionalFormatting>
  <conditionalFormatting sqref="G37">
    <cfRule type="containsText" dxfId="1" priority="8440" operator="containsText" text="리턴">
      <formula>NOT(ISERROR(SEARCH(("리턴"),(G37))))</formula>
    </cfRule>
  </conditionalFormatting>
  <conditionalFormatting sqref="G37">
    <cfRule type="containsText" dxfId="2" priority="8441" operator="containsText" text="실패">
      <formula>NOT(ISERROR(SEARCH(("실패"),(G37))))</formula>
    </cfRule>
  </conditionalFormatting>
  <conditionalFormatting sqref="G37">
    <cfRule type="containsText" dxfId="3" priority="8442" operator="containsText" text="관리">
      <formula>NOT(ISERROR(SEARCH(("관리"),(G37))))</formula>
    </cfRule>
  </conditionalFormatting>
  <conditionalFormatting sqref="G37">
    <cfRule type="containsText" dxfId="4" priority="8443" operator="containsText" text="등록">
      <formula>NOT(ISERROR(SEARCH(("등록"),(G37))))</formula>
    </cfRule>
  </conditionalFormatting>
  <conditionalFormatting sqref="J37">
    <cfRule type="containsText" dxfId="0" priority="8444" operator="containsText" text="거부">
      <formula>NOT(ISERROR(SEARCH(("거부"),(J37))))</formula>
    </cfRule>
  </conditionalFormatting>
  <conditionalFormatting sqref="J37">
    <cfRule type="containsText" dxfId="1" priority="8445" operator="containsText" text="리턴">
      <formula>NOT(ISERROR(SEARCH(("리턴"),(J37))))</formula>
    </cfRule>
  </conditionalFormatting>
  <conditionalFormatting sqref="J37">
    <cfRule type="containsText" dxfId="2" priority="8446" operator="containsText" text="실패">
      <formula>NOT(ISERROR(SEARCH(("실패"),(J37))))</formula>
    </cfRule>
  </conditionalFormatting>
  <conditionalFormatting sqref="J37">
    <cfRule type="containsText" dxfId="3" priority="8447" operator="containsText" text="관리">
      <formula>NOT(ISERROR(SEARCH(("관리"),(J37))))</formula>
    </cfRule>
  </conditionalFormatting>
  <conditionalFormatting sqref="J37">
    <cfRule type="containsText" dxfId="4" priority="8448" operator="containsText" text="등록">
      <formula>NOT(ISERROR(SEARCH(("등록"),(J37))))</formula>
    </cfRule>
  </conditionalFormatting>
  <conditionalFormatting sqref="J37">
    <cfRule type="containsText" dxfId="0" priority="8449" operator="containsText" text="거부">
      <formula>NOT(ISERROR(SEARCH(("거부"),(J37))))</formula>
    </cfRule>
  </conditionalFormatting>
  <conditionalFormatting sqref="J37">
    <cfRule type="containsText" dxfId="1" priority="8450" operator="containsText" text="리턴">
      <formula>NOT(ISERROR(SEARCH(("리턴"),(J37))))</formula>
    </cfRule>
  </conditionalFormatting>
  <conditionalFormatting sqref="J37">
    <cfRule type="containsText" dxfId="2" priority="8451" operator="containsText" text="실패">
      <formula>NOT(ISERROR(SEARCH(("실패"),(J37))))</formula>
    </cfRule>
  </conditionalFormatting>
  <conditionalFormatting sqref="J37">
    <cfRule type="containsText" dxfId="3" priority="8452" operator="containsText" text="관리">
      <formula>NOT(ISERROR(SEARCH(("관리"),(J37))))</formula>
    </cfRule>
  </conditionalFormatting>
  <conditionalFormatting sqref="J37">
    <cfRule type="containsText" dxfId="4" priority="8453" operator="containsText" text="등록">
      <formula>NOT(ISERROR(SEARCH(("등록"),(J37))))</formula>
    </cfRule>
  </conditionalFormatting>
  <conditionalFormatting sqref="J37">
    <cfRule type="containsText" dxfId="0" priority="8454" operator="containsText" text="거부">
      <formula>NOT(ISERROR(SEARCH(("거부"),(J37))))</formula>
    </cfRule>
  </conditionalFormatting>
  <conditionalFormatting sqref="J37">
    <cfRule type="containsText" dxfId="1" priority="8455" operator="containsText" text="리턴">
      <formula>NOT(ISERROR(SEARCH(("리턴"),(J37))))</formula>
    </cfRule>
  </conditionalFormatting>
  <conditionalFormatting sqref="J37">
    <cfRule type="containsText" dxfId="2" priority="8456" operator="containsText" text="실패">
      <formula>NOT(ISERROR(SEARCH(("실패"),(J37))))</formula>
    </cfRule>
  </conditionalFormatting>
  <conditionalFormatting sqref="J37">
    <cfRule type="containsText" dxfId="3" priority="8457" operator="containsText" text="관리">
      <formula>NOT(ISERROR(SEARCH(("관리"),(J37))))</formula>
    </cfRule>
  </conditionalFormatting>
  <conditionalFormatting sqref="J37">
    <cfRule type="containsText" dxfId="4" priority="8458" operator="containsText" text="등록">
      <formula>NOT(ISERROR(SEARCH(("등록"),(J37))))</formula>
    </cfRule>
  </conditionalFormatting>
  <conditionalFormatting sqref="J37">
    <cfRule type="containsText" dxfId="0" priority="8459" operator="containsText" text="거부">
      <formula>NOT(ISERROR(SEARCH(("거부"),(J37))))</formula>
    </cfRule>
  </conditionalFormatting>
  <conditionalFormatting sqref="J37">
    <cfRule type="containsText" dxfId="1" priority="8460" operator="containsText" text="리턴">
      <formula>NOT(ISERROR(SEARCH(("리턴"),(J37))))</formula>
    </cfRule>
  </conditionalFormatting>
  <conditionalFormatting sqref="J37">
    <cfRule type="containsText" dxfId="2" priority="8461" operator="containsText" text="실패">
      <formula>NOT(ISERROR(SEARCH(("실패"),(J37))))</formula>
    </cfRule>
  </conditionalFormatting>
  <conditionalFormatting sqref="J37">
    <cfRule type="containsText" dxfId="3" priority="8462" operator="containsText" text="관리">
      <formula>NOT(ISERROR(SEARCH(("관리"),(J37))))</formula>
    </cfRule>
  </conditionalFormatting>
  <conditionalFormatting sqref="J37">
    <cfRule type="containsText" dxfId="4" priority="8463" operator="containsText" text="등록">
      <formula>NOT(ISERROR(SEARCH(("등록"),(J37))))</formula>
    </cfRule>
  </conditionalFormatting>
  <conditionalFormatting sqref="J37">
    <cfRule type="containsText" dxfId="0" priority="8464" operator="containsText" text="거부">
      <formula>NOT(ISERROR(SEARCH(("거부"),(J37))))</formula>
    </cfRule>
  </conditionalFormatting>
  <conditionalFormatting sqref="J37">
    <cfRule type="containsText" dxfId="1" priority="8465" operator="containsText" text="리턴">
      <formula>NOT(ISERROR(SEARCH(("리턴"),(J37))))</formula>
    </cfRule>
  </conditionalFormatting>
  <conditionalFormatting sqref="J37">
    <cfRule type="containsText" dxfId="2" priority="8466" operator="containsText" text="실패">
      <formula>NOT(ISERROR(SEARCH(("실패"),(J37))))</formula>
    </cfRule>
  </conditionalFormatting>
  <conditionalFormatting sqref="J37">
    <cfRule type="containsText" dxfId="3" priority="8467" operator="containsText" text="관리">
      <formula>NOT(ISERROR(SEARCH(("관리"),(J37))))</formula>
    </cfRule>
  </conditionalFormatting>
  <conditionalFormatting sqref="J37">
    <cfRule type="containsText" dxfId="4" priority="8468" operator="containsText" text="등록">
      <formula>NOT(ISERROR(SEARCH(("등록"),(J37))))</formula>
    </cfRule>
  </conditionalFormatting>
  <conditionalFormatting sqref="J37">
    <cfRule type="containsText" dxfId="0" priority="8469" operator="containsText" text="거부">
      <formula>NOT(ISERROR(SEARCH(("거부"),(J37))))</formula>
    </cfRule>
  </conditionalFormatting>
  <conditionalFormatting sqref="J37">
    <cfRule type="containsText" dxfId="1" priority="8470" operator="containsText" text="리턴">
      <formula>NOT(ISERROR(SEARCH(("리턴"),(J37))))</formula>
    </cfRule>
  </conditionalFormatting>
  <conditionalFormatting sqref="J37">
    <cfRule type="containsText" dxfId="2" priority="8471" operator="containsText" text="실패">
      <formula>NOT(ISERROR(SEARCH(("실패"),(J37))))</formula>
    </cfRule>
  </conditionalFormatting>
  <conditionalFormatting sqref="J37">
    <cfRule type="containsText" dxfId="3" priority="8472" operator="containsText" text="관리">
      <formula>NOT(ISERROR(SEARCH(("관리"),(J37))))</formula>
    </cfRule>
  </conditionalFormatting>
  <conditionalFormatting sqref="J37">
    <cfRule type="containsText" dxfId="4" priority="8473" operator="containsText" text="등록">
      <formula>NOT(ISERROR(SEARCH(("등록"),(J37))))</formula>
    </cfRule>
  </conditionalFormatting>
  <conditionalFormatting sqref="J37">
    <cfRule type="containsText" dxfId="0" priority="8474" operator="containsText" text="거부">
      <formula>NOT(ISERROR(SEARCH(("거부"),(J37))))</formula>
    </cfRule>
  </conditionalFormatting>
  <conditionalFormatting sqref="J37">
    <cfRule type="containsText" dxfId="1" priority="8475" operator="containsText" text="리턴">
      <formula>NOT(ISERROR(SEARCH(("리턴"),(J37))))</formula>
    </cfRule>
  </conditionalFormatting>
  <conditionalFormatting sqref="J37">
    <cfRule type="containsText" dxfId="2" priority="8476" operator="containsText" text="실패">
      <formula>NOT(ISERROR(SEARCH(("실패"),(J37))))</formula>
    </cfRule>
  </conditionalFormatting>
  <conditionalFormatting sqref="J37">
    <cfRule type="containsText" dxfId="3" priority="8477" operator="containsText" text="관리">
      <formula>NOT(ISERROR(SEARCH(("관리"),(J37))))</formula>
    </cfRule>
  </conditionalFormatting>
  <conditionalFormatting sqref="J37">
    <cfRule type="containsText" dxfId="4" priority="8478" operator="containsText" text="등록">
      <formula>NOT(ISERROR(SEARCH(("등록"),(J37))))</formula>
    </cfRule>
  </conditionalFormatting>
  <conditionalFormatting sqref="J37">
    <cfRule type="containsText" dxfId="0" priority="8479" operator="containsText" text="거부">
      <formula>NOT(ISERROR(SEARCH(("거부"),(J37))))</formula>
    </cfRule>
  </conditionalFormatting>
  <conditionalFormatting sqref="J37">
    <cfRule type="containsText" dxfId="1" priority="8480" operator="containsText" text="리턴">
      <formula>NOT(ISERROR(SEARCH(("리턴"),(J37))))</formula>
    </cfRule>
  </conditionalFormatting>
  <conditionalFormatting sqref="J37">
    <cfRule type="containsText" dxfId="2" priority="8481" operator="containsText" text="실패">
      <formula>NOT(ISERROR(SEARCH(("실패"),(J37))))</formula>
    </cfRule>
  </conditionalFormatting>
  <conditionalFormatting sqref="J37">
    <cfRule type="containsText" dxfId="3" priority="8482" operator="containsText" text="관리">
      <formula>NOT(ISERROR(SEARCH(("관리"),(J37))))</formula>
    </cfRule>
  </conditionalFormatting>
  <conditionalFormatting sqref="J37">
    <cfRule type="containsText" dxfId="4" priority="8483" operator="containsText" text="등록">
      <formula>NOT(ISERROR(SEARCH(("등록"),(J37))))</formula>
    </cfRule>
  </conditionalFormatting>
  <conditionalFormatting sqref="J37">
    <cfRule type="containsText" dxfId="0" priority="8484" operator="containsText" text="거부">
      <formula>NOT(ISERROR(SEARCH(("거부"),(J37))))</formula>
    </cfRule>
  </conditionalFormatting>
  <conditionalFormatting sqref="J37">
    <cfRule type="containsText" dxfId="1" priority="8485" operator="containsText" text="리턴">
      <formula>NOT(ISERROR(SEARCH(("리턴"),(J37))))</formula>
    </cfRule>
  </conditionalFormatting>
  <conditionalFormatting sqref="J37">
    <cfRule type="containsText" dxfId="2" priority="8486" operator="containsText" text="실패">
      <formula>NOT(ISERROR(SEARCH(("실패"),(J37))))</formula>
    </cfRule>
  </conditionalFormatting>
  <conditionalFormatting sqref="J37">
    <cfRule type="containsText" dxfId="3" priority="8487" operator="containsText" text="관리">
      <formula>NOT(ISERROR(SEARCH(("관리"),(J37))))</formula>
    </cfRule>
  </conditionalFormatting>
  <conditionalFormatting sqref="J37">
    <cfRule type="containsText" dxfId="4" priority="8488" operator="containsText" text="등록">
      <formula>NOT(ISERROR(SEARCH(("등록"),(J37))))</formula>
    </cfRule>
  </conditionalFormatting>
  <conditionalFormatting sqref="J37">
    <cfRule type="containsText" dxfId="0" priority="8489" operator="containsText" text="거부">
      <formula>NOT(ISERROR(SEARCH(("거부"),(J37))))</formula>
    </cfRule>
  </conditionalFormatting>
  <conditionalFormatting sqref="J37">
    <cfRule type="containsText" dxfId="1" priority="8490" operator="containsText" text="리턴">
      <formula>NOT(ISERROR(SEARCH(("리턴"),(J37))))</formula>
    </cfRule>
  </conditionalFormatting>
  <conditionalFormatting sqref="J37">
    <cfRule type="containsText" dxfId="2" priority="8491" operator="containsText" text="실패">
      <formula>NOT(ISERROR(SEARCH(("실패"),(J37))))</formula>
    </cfRule>
  </conditionalFormatting>
  <conditionalFormatting sqref="J37">
    <cfRule type="containsText" dxfId="3" priority="8492" operator="containsText" text="관리">
      <formula>NOT(ISERROR(SEARCH(("관리"),(J37))))</formula>
    </cfRule>
  </conditionalFormatting>
  <conditionalFormatting sqref="J37">
    <cfRule type="containsText" dxfId="4" priority="8493" operator="containsText" text="등록">
      <formula>NOT(ISERROR(SEARCH(("등록"),(J37))))</formula>
    </cfRule>
  </conditionalFormatting>
  <conditionalFormatting sqref="J37">
    <cfRule type="containsText" dxfId="0" priority="8494" operator="containsText" text="거부">
      <formula>NOT(ISERROR(SEARCH(("거부"),(J37))))</formula>
    </cfRule>
  </conditionalFormatting>
  <conditionalFormatting sqref="J37">
    <cfRule type="containsText" dxfId="1" priority="8495" operator="containsText" text="리턴">
      <formula>NOT(ISERROR(SEARCH(("리턴"),(J37))))</formula>
    </cfRule>
  </conditionalFormatting>
  <conditionalFormatting sqref="J37">
    <cfRule type="containsText" dxfId="2" priority="8496" operator="containsText" text="실패">
      <formula>NOT(ISERROR(SEARCH(("실패"),(J37))))</formula>
    </cfRule>
  </conditionalFormatting>
  <conditionalFormatting sqref="J37">
    <cfRule type="containsText" dxfId="3" priority="8497" operator="containsText" text="관리">
      <formula>NOT(ISERROR(SEARCH(("관리"),(J37))))</formula>
    </cfRule>
  </conditionalFormatting>
  <conditionalFormatting sqref="J37">
    <cfRule type="containsText" dxfId="4" priority="8498" operator="containsText" text="등록">
      <formula>NOT(ISERROR(SEARCH(("등록"),(J37))))</formula>
    </cfRule>
  </conditionalFormatting>
  <conditionalFormatting sqref="J37">
    <cfRule type="containsText" dxfId="0" priority="8499" operator="containsText" text="거부">
      <formula>NOT(ISERROR(SEARCH(("거부"),(J37))))</formula>
    </cfRule>
  </conditionalFormatting>
  <conditionalFormatting sqref="J37">
    <cfRule type="containsText" dxfId="1" priority="8500" operator="containsText" text="리턴">
      <formula>NOT(ISERROR(SEARCH(("리턴"),(J37))))</formula>
    </cfRule>
  </conditionalFormatting>
  <conditionalFormatting sqref="J37">
    <cfRule type="containsText" dxfId="2" priority="8501" operator="containsText" text="실패">
      <formula>NOT(ISERROR(SEARCH(("실패"),(J37))))</formula>
    </cfRule>
  </conditionalFormatting>
  <conditionalFormatting sqref="J37">
    <cfRule type="containsText" dxfId="3" priority="8502" operator="containsText" text="관리">
      <formula>NOT(ISERROR(SEARCH(("관리"),(J37))))</formula>
    </cfRule>
  </conditionalFormatting>
  <conditionalFormatting sqref="J37">
    <cfRule type="containsText" dxfId="4" priority="8503" operator="containsText" text="등록">
      <formula>NOT(ISERROR(SEARCH(("등록"),(J37))))</formula>
    </cfRule>
  </conditionalFormatting>
  <conditionalFormatting sqref="A38">
    <cfRule type="containsText" dxfId="0" priority="8504" operator="containsText" text="거부">
      <formula>NOT(ISERROR(SEARCH(("거부"),(A38))))</formula>
    </cfRule>
  </conditionalFormatting>
  <conditionalFormatting sqref="A38">
    <cfRule type="containsText" dxfId="1" priority="8505" operator="containsText" text="리턴">
      <formula>NOT(ISERROR(SEARCH(("리턴"),(A38))))</formula>
    </cfRule>
  </conditionalFormatting>
  <conditionalFormatting sqref="A38">
    <cfRule type="containsText" dxfId="2" priority="8506" operator="containsText" text="실패">
      <formula>NOT(ISERROR(SEARCH(("실패"),(A38))))</formula>
    </cfRule>
  </conditionalFormatting>
  <conditionalFormatting sqref="A38">
    <cfRule type="containsText" dxfId="3" priority="8507" operator="containsText" text="관리">
      <formula>NOT(ISERROR(SEARCH(("관리"),(A38))))</formula>
    </cfRule>
  </conditionalFormatting>
  <conditionalFormatting sqref="A38">
    <cfRule type="containsText" dxfId="4" priority="8508" operator="containsText" text="등록">
      <formula>NOT(ISERROR(SEARCH(("등록"),(A38))))</formula>
    </cfRule>
  </conditionalFormatting>
  <conditionalFormatting sqref="A38">
    <cfRule type="containsText" dxfId="0" priority="8509" operator="containsText" text="거부">
      <formula>NOT(ISERROR(SEARCH(("거부"),(A38))))</formula>
    </cfRule>
  </conditionalFormatting>
  <conditionalFormatting sqref="A38">
    <cfRule type="containsText" dxfId="1" priority="8510" operator="containsText" text="리턴">
      <formula>NOT(ISERROR(SEARCH(("리턴"),(A38))))</formula>
    </cfRule>
  </conditionalFormatting>
  <conditionalFormatting sqref="A38">
    <cfRule type="containsText" dxfId="2" priority="8511" operator="containsText" text="실패">
      <formula>NOT(ISERROR(SEARCH(("실패"),(A38))))</formula>
    </cfRule>
  </conditionalFormatting>
  <conditionalFormatting sqref="A38">
    <cfRule type="containsText" dxfId="3" priority="8512" operator="containsText" text="관리">
      <formula>NOT(ISERROR(SEARCH(("관리"),(A38))))</formula>
    </cfRule>
  </conditionalFormatting>
  <conditionalFormatting sqref="A38">
    <cfRule type="containsText" dxfId="4" priority="8513" operator="containsText" text="등록">
      <formula>NOT(ISERROR(SEARCH(("등록"),(A38))))</formula>
    </cfRule>
  </conditionalFormatting>
  <conditionalFormatting sqref="A38">
    <cfRule type="containsText" dxfId="0" priority="8514" operator="containsText" text="거부">
      <formula>NOT(ISERROR(SEARCH(("거부"),(A38))))</formula>
    </cfRule>
  </conditionalFormatting>
  <conditionalFormatting sqref="A38">
    <cfRule type="containsText" dxfId="1" priority="8515" operator="containsText" text="리턴">
      <formula>NOT(ISERROR(SEARCH(("리턴"),(A38))))</formula>
    </cfRule>
  </conditionalFormatting>
  <conditionalFormatting sqref="A38">
    <cfRule type="containsText" dxfId="2" priority="8516" operator="containsText" text="실패">
      <formula>NOT(ISERROR(SEARCH(("실패"),(A38))))</formula>
    </cfRule>
  </conditionalFormatting>
  <conditionalFormatting sqref="A38">
    <cfRule type="containsText" dxfId="3" priority="8517" operator="containsText" text="관리">
      <formula>NOT(ISERROR(SEARCH(("관리"),(A38))))</formula>
    </cfRule>
  </conditionalFormatting>
  <conditionalFormatting sqref="A38">
    <cfRule type="containsText" dxfId="4" priority="8518" operator="containsText" text="등록">
      <formula>NOT(ISERROR(SEARCH(("등록"),(A38))))</formula>
    </cfRule>
  </conditionalFormatting>
  <conditionalFormatting sqref="A38">
    <cfRule type="containsText" dxfId="0" priority="8519" operator="containsText" text="거부">
      <formula>NOT(ISERROR(SEARCH(("거부"),(A38))))</formula>
    </cfRule>
  </conditionalFormatting>
  <conditionalFormatting sqref="A38">
    <cfRule type="containsText" dxfId="1" priority="8520" operator="containsText" text="리턴">
      <formula>NOT(ISERROR(SEARCH(("리턴"),(A38))))</formula>
    </cfRule>
  </conditionalFormatting>
  <conditionalFormatting sqref="A38">
    <cfRule type="containsText" dxfId="2" priority="8521" operator="containsText" text="실패">
      <formula>NOT(ISERROR(SEARCH(("실패"),(A38))))</formula>
    </cfRule>
  </conditionalFormatting>
  <conditionalFormatting sqref="A38">
    <cfRule type="containsText" dxfId="3" priority="8522" operator="containsText" text="관리">
      <formula>NOT(ISERROR(SEARCH(("관리"),(A38))))</formula>
    </cfRule>
  </conditionalFormatting>
  <conditionalFormatting sqref="A38">
    <cfRule type="containsText" dxfId="4" priority="8523" operator="containsText" text="등록">
      <formula>NOT(ISERROR(SEARCH(("등록"),(A38))))</formula>
    </cfRule>
  </conditionalFormatting>
  <conditionalFormatting sqref="A38">
    <cfRule type="containsText" dxfId="0" priority="8524" operator="containsText" text="거부">
      <formula>NOT(ISERROR(SEARCH(("거부"),(A38))))</formula>
    </cfRule>
  </conditionalFormatting>
  <conditionalFormatting sqref="A38">
    <cfRule type="containsText" dxfId="1" priority="8525" operator="containsText" text="리턴">
      <formula>NOT(ISERROR(SEARCH(("리턴"),(A38))))</formula>
    </cfRule>
  </conditionalFormatting>
  <conditionalFormatting sqref="A38">
    <cfRule type="containsText" dxfId="2" priority="8526" operator="containsText" text="실패">
      <formula>NOT(ISERROR(SEARCH(("실패"),(A38))))</formula>
    </cfRule>
  </conditionalFormatting>
  <conditionalFormatting sqref="A38">
    <cfRule type="containsText" dxfId="3" priority="8527" operator="containsText" text="관리">
      <formula>NOT(ISERROR(SEARCH(("관리"),(A38))))</formula>
    </cfRule>
  </conditionalFormatting>
  <conditionalFormatting sqref="A38">
    <cfRule type="containsText" dxfId="4" priority="8528" operator="containsText" text="등록">
      <formula>NOT(ISERROR(SEARCH(("등록"),(A38))))</formula>
    </cfRule>
  </conditionalFormatting>
  <conditionalFormatting sqref="J38">
    <cfRule type="containsText" dxfId="0" priority="8529" operator="containsText" text="거부">
      <formula>NOT(ISERROR(SEARCH(("거부"),(J38))))</formula>
    </cfRule>
  </conditionalFormatting>
  <conditionalFormatting sqref="J38">
    <cfRule type="containsText" dxfId="1" priority="8530" operator="containsText" text="리턴">
      <formula>NOT(ISERROR(SEARCH(("리턴"),(J38))))</formula>
    </cfRule>
  </conditionalFormatting>
  <conditionalFormatting sqref="J38">
    <cfRule type="containsText" dxfId="2" priority="8531" operator="containsText" text="실패">
      <formula>NOT(ISERROR(SEARCH(("실패"),(J38))))</formula>
    </cfRule>
  </conditionalFormatting>
  <conditionalFormatting sqref="J38">
    <cfRule type="containsText" dxfId="3" priority="8532" operator="containsText" text="관리">
      <formula>NOT(ISERROR(SEARCH(("관리"),(J38))))</formula>
    </cfRule>
  </conditionalFormatting>
  <conditionalFormatting sqref="J38">
    <cfRule type="containsText" dxfId="4" priority="8533" operator="containsText" text="등록">
      <formula>NOT(ISERROR(SEARCH(("등록"),(J38))))</formula>
    </cfRule>
  </conditionalFormatting>
  <conditionalFormatting sqref="J38">
    <cfRule type="containsText" dxfId="0" priority="8534" operator="containsText" text="거부">
      <formula>NOT(ISERROR(SEARCH(("거부"),(J38))))</formula>
    </cfRule>
  </conditionalFormatting>
  <conditionalFormatting sqref="J38">
    <cfRule type="containsText" dxfId="1" priority="8535" operator="containsText" text="리턴">
      <formula>NOT(ISERROR(SEARCH(("리턴"),(J38))))</formula>
    </cfRule>
  </conditionalFormatting>
  <conditionalFormatting sqref="J38">
    <cfRule type="containsText" dxfId="2" priority="8536" operator="containsText" text="실패">
      <formula>NOT(ISERROR(SEARCH(("실패"),(J38))))</formula>
    </cfRule>
  </conditionalFormatting>
  <conditionalFormatting sqref="J38">
    <cfRule type="containsText" dxfId="3" priority="8537" operator="containsText" text="관리">
      <formula>NOT(ISERROR(SEARCH(("관리"),(J38))))</formula>
    </cfRule>
  </conditionalFormatting>
  <conditionalFormatting sqref="J38">
    <cfRule type="containsText" dxfId="4" priority="8538" operator="containsText" text="등록">
      <formula>NOT(ISERROR(SEARCH(("등록"),(J38))))</formula>
    </cfRule>
  </conditionalFormatting>
  <conditionalFormatting sqref="J38">
    <cfRule type="containsText" dxfId="0" priority="8539" operator="containsText" text="거부">
      <formula>NOT(ISERROR(SEARCH(("거부"),(J38))))</formula>
    </cfRule>
  </conditionalFormatting>
  <conditionalFormatting sqref="J38">
    <cfRule type="containsText" dxfId="1" priority="8540" operator="containsText" text="리턴">
      <formula>NOT(ISERROR(SEARCH(("리턴"),(J38))))</formula>
    </cfRule>
  </conditionalFormatting>
  <conditionalFormatting sqref="J38">
    <cfRule type="containsText" dxfId="2" priority="8541" operator="containsText" text="실패">
      <formula>NOT(ISERROR(SEARCH(("실패"),(J38))))</formula>
    </cfRule>
  </conditionalFormatting>
  <conditionalFormatting sqref="J38">
    <cfRule type="containsText" dxfId="3" priority="8542" operator="containsText" text="관리">
      <formula>NOT(ISERROR(SEARCH(("관리"),(J38))))</formula>
    </cfRule>
  </conditionalFormatting>
  <conditionalFormatting sqref="J38">
    <cfRule type="containsText" dxfId="4" priority="8543" operator="containsText" text="등록">
      <formula>NOT(ISERROR(SEARCH(("등록"),(J38))))</formula>
    </cfRule>
  </conditionalFormatting>
  <conditionalFormatting sqref="J38">
    <cfRule type="containsText" dxfId="0" priority="8544" operator="containsText" text="거부">
      <formula>NOT(ISERROR(SEARCH(("거부"),(J38))))</formula>
    </cfRule>
  </conditionalFormatting>
  <conditionalFormatting sqref="J38">
    <cfRule type="containsText" dxfId="1" priority="8545" operator="containsText" text="리턴">
      <formula>NOT(ISERROR(SEARCH(("리턴"),(J38))))</formula>
    </cfRule>
  </conditionalFormatting>
  <conditionalFormatting sqref="J38">
    <cfRule type="containsText" dxfId="2" priority="8546" operator="containsText" text="실패">
      <formula>NOT(ISERROR(SEARCH(("실패"),(J38))))</formula>
    </cfRule>
  </conditionalFormatting>
  <conditionalFormatting sqref="J38">
    <cfRule type="containsText" dxfId="3" priority="8547" operator="containsText" text="관리">
      <formula>NOT(ISERROR(SEARCH(("관리"),(J38))))</formula>
    </cfRule>
  </conditionalFormatting>
  <conditionalFormatting sqref="J38">
    <cfRule type="containsText" dxfId="4" priority="8548" operator="containsText" text="등록">
      <formula>NOT(ISERROR(SEARCH(("등록"),(J38))))</formula>
    </cfRule>
  </conditionalFormatting>
  <conditionalFormatting sqref="J38">
    <cfRule type="containsText" dxfId="0" priority="8549" operator="containsText" text="거부">
      <formula>NOT(ISERROR(SEARCH(("거부"),(J38))))</formula>
    </cfRule>
  </conditionalFormatting>
  <conditionalFormatting sqref="J38">
    <cfRule type="containsText" dxfId="1" priority="8550" operator="containsText" text="리턴">
      <formula>NOT(ISERROR(SEARCH(("리턴"),(J38))))</formula>
    </cfRule>
  </conditionalFormatting>
  <conditionalFormatting sqref="J38">
    <cfRule type="containsText" dxfId="2" priority="8551" operator="containsText" text="실패">
      <formula>NOT(ISERROR(SEARCH(("실패"),(J38))))</formula>
    </cfRule>
  </conditionalFormatting>
  <conditionalFormatting sqref="J38">
    <cfRule type="containsText" dxfId="3" priority="8552" operator="containsText" text="관리">
      <formula>NOT(ISERROR(SEARCH(("관리"),(J38))))</formula>
    </cfRule>
  </conditionalFormatting>
  <conditionalFormatting sqref="J38">
    <cfRule type="containsText" dxfId="4" priority="8553" operator="containsText" text="등록">
      <formula>NOT(ISERROR(SEARCH(("등록"),(J38))))</formula>
    </cfRule>
  </conditionalFormatting>
  <conditionalFormatting sqref="J38">
    <cfRule type="containsText" dxfId="0" priority="8554" operator="containsText" text="거부">
      <formula>NOT(ISERROR(SEARCH(("거부"),(J38))))</formula>
    </cfRule>
  </conditionalFormatting>
  <conditionalFormatting sqref="J38">
    <cfRule type="containsText" dxfId="1" priority="8555" operator="containsText" text="리턴">
      <formula>NOT(ISERROR(SEARCH(("리턴"),(J38))))</formula>
    </cfRule>
  </conditionalFormatting>
  <conditionalFormatting sqref="J38">
    <cfRule type="containsText" dxfId="2" priority="8556" operator="containsText" text="실패">
      <formula>NOT(ISERROR(SEARCH(("실패"),(J38))))</formula>
    </cfRule>
  </conditionalFormatting>
  <conditionalFormatting sqref="J38">
    <cfRule type="containsText" dxfId="3" priority="8557" operator="containsText" text="관리">
      <formula>NOT(ISERROR(SEARCH(("관리"),(J38))))</formula>
    </cfRule>
  </conditionalFormatting>
  <conditionalFormatting sqref="J38">
    <cfRule type="containsText" dxfId="4" priority="8558" operator="containsText" text="등록">
      <formula>NOT(ISERROR(SEARCH(("등록"),(J38))))</formula>
    </cfRule>
  </conditionalFormatting>
  <conditionalFormatting sqref="J38">
    <cfRule type="containsText" dxfId="0" priority="8559" operator="containsText" text="거부">
      <formula>NOT(ISERROR(SEARCH(("거부"),(J38))))</formula>
    </cfRule>
  </conditionalFormatting>
  <conditionalFormatting sqref="J38">
    <cfRule type="containsText" dxfId="1" priority="8560" operator="containsText" text="리턴">
      <formula>NOT(ISERROR(SEARCH(("리턴"),(J38))))</formula>
    </cfRule>
  </conditionalFormatting>
  <conditionalFormatting sqref="J38">
    <cfRule type="containsText" dxfId="2" priority="8561" operator="containsText" text="실패">
      <formula>NOT(ISERROR(SEARCH(("실패"),(J38))))</formula>
    </cfRule>
  </conditionalFormatting>
  <conditionalFormatting sqref="J38">
    <cfRule type="containsText" dxfId="3" priority="8562" operator="containsText" text="관리">
      <formula>NOT(ISERROR(SEARCH(("관리"),(J38))))</formula>
    </cfRule>
  </conditionalFormatting>
  <conditionalFormatting sqref="J38">
    <cfRule type="containsText" dxfId="4" priority="8563" operator="containsText" text="등록">
      <formula>NOT(ISERROR(SEARCH(("등록"),(J38))))</formula>
    </cfRule>
  </conditionalFormatting>
  <conditionalFormatting sqref="J38">
    <cfRule type="containsText" dxfId="0" priority="8564" operator="containsText" text="거부">
      <formula>NOT(ISERROR(SEARCH(("거부"),(J38))))</formula>
    </cfRule>
  </conditionalFormatting>
  <conditionalFormatting sqref="J38">
    <cfRule type="containsText" dxfId="1" priority="8565" operator="containsText" text="리턴">
      <formula>NOT(ISERROR(SEARCH(("리턴"),(J38))))</formula>
    </cfRule>
  </conditionalFormatting>
  <conditionalFormatting sqref="J38">
    <cfRule type="containsText" dxfId="2" priority="8566" operator="containsText" text="실패">
      <formula>NOT(ISERROR(SEARCH(("실패"),(J38))))</formula>
    </cfRule>
  </conditionalFormatting>
  <conditionalFormatting sqref="J38">
    <cfRule type="containsText" dxfId="3" priority="8567" operator="containsText" text="관리">
      <formula>NOT(ISERROR(SEARCH(("관리"),(J38))))</formula>
    </cfRule>
  </conditionalFormatting>
  <conditionalFormatting sqref="J38">
    <cfRule type="containsText" dxfId="4" priority="8568" operator="containsText" text="등록">
      <formula>NOT(ISERROR(SEARCH(("등록"),(J38))))</formula>
    </cfRule>
  </conditionalFormatting>
  <conditionalFormatting sqref="J38">
    <cfRule type="containsText" dxfId="0" priority="8569" operator="containsText" text="거부">
      <formula>NOT(ISERROR(SEARCH(("거부"),(J38))))</formula>
    </cfRule>
  </conditionalFormatting>
  <conditionalFormatting sqref="J38">
    <cfRule type="containsText" dxfId="1" priority="8570" operator="containsText" text="리턴">
      <formula>NOT(ISERROR(SEARCH(("리턴"),(J38))))</formula>
    </cfRule>
  </conditionalFormatting>
  <conditionalFormatting sqref="J38">
    <cfRule type="containsText" dxfId="2" priority="8571" operator="containsText" text="실패">
      <formula>NOT(ISERROR(SEARCH(("실패"),(J38))))</formula>
    </cfRule>
  </conditionalFormatting>
  <conditionalFormatting sqref="J38">
    <cfRule type="containsText" dxfId="3" priority="8572" operator="containsText" text="관리">
      <formula>NOT(ISERROR(SEARCH(("관리"),(J38))))</formula>
    </cfRule>
  </conditionalFormatting>
  <conditionalFormatting sqref="J38">
    <cfRule type="containsText" dxfId="4" priority="8573" operator="containsText" text="등록">
      <formula>NOT(ISERROR(SEARCH(("등록"),(J38))))</formula>
    </cfRule>
  </conditionalFormatting>
  <conditionalFormatting sqref="J38">
    <cfRule type="containsText" dxfId="0" priority="8574" operator="containsText" text="거부">
      <formula>NOT(ISERROR(SEARCH(("거부"),(J38))))</formula>
    </cfRule>
  </conditionalFormatting>
  <conditionalFormatting sqref="J38">
    <cfRule type="containsText" dxfId="1" priority="8575" operator="containsText" text="리턴">
      <formula>NOT(ISERROR(SEARCH(("리턴"),(J38))))</formula>
    </cfRule>
  </conditionalFormatting>
  <conditionalFormatting sqref="J38">
    <cfRule type="containsText" dxfId="2" priority="8576" operator="containsText" text="실패">
      <formula>NOT(ISERROR(SEARCH(("실패"),(J38))))</formula>
    </cfRule>
  </conditionalFormatting>
  <conditionalFormatting sqref="J38">
    <cfRule type="containsText" dxfId="3" priority="8577" operator="containsText" text="관리">
      <formula>NOT(ISERROR(SEARCH(("관리"),(J38))))</formula>
    </cfRule>
  </conditionalFormatting>
  <conditionalFormatting sqref="J38">
    <cfRule type="containsText" dxfId="4" priority="8578" operator="containsText" text="등록">
      <formula>NOT(ISERROR(SEARCH(("등록"),(J38))))</formula>
    </cfRule>
  </conditionalFormatting>
  <conditionalFormatting sqref="J38">
    <cfRule type="containsText" dxfId="0" priority="8579" operator="containsText" text="거부">
      <formula>NOT(ISERROR(SEARCH(("거부"),(J38))))</formula>
    </cfRule>
  </conditionalFormatting>
  <conditionalFormatting sqref="J38">
    <cfRule type="containsText" dxfId="1" priority="8580" operator="containsText" text="리턴">
      <formula>NOT(ISERROR(SEARCH(("리턴"),(J38))))</formula>
    </cfRule>
  </conditionalFormatting>
  <conditionalFormatting sqref="J38">
    <cfRule type="containsText" dxfId="2" priority="8581" operator="containsText" text="실패">
      <formula>NOT(ISERROR(SEARCH(("실패"),(J38))))</formula>
    </cfRule>
  </conditionalFormatting>
  <conditionalFormatting sqref="J38">
    <cfRule type="containsText" dxfId="3" priority="8582" operator="containsText" text="관리">
      <formula>NOT(ISERROR(SEARCH(("관리"),(J38))))</formula>
    </cfRule>
  </conditionalFormatting>
  <conditionalFormatting sqref="J38">
    <cfRule type="containsText" dxfId="4" priority="8583" operator="containsText" text="등록">
      <formula>NOT(ISERROR(SEARCH(("등록"),(J38))))</formula>
    </cfRule>
  </conditionalFormatting>
  <conditionalFormatting sqref="J38">
    <cfRule type="containsText" dxfId="0" priority="8584" operator="containsText" text="거부">
      <formula>NOT(ISERROR(SEARCH(("거부"),(J38))))</formula>
    </cfRule>
  </conditionalFormatting>
  <conditionalFormatting sqref="J38">
    <cfRule type="containsText" dxfId="1" priority="8585" operator="containsText" text="리턴">
      <formula>NOT(ISERROR(SEARCH(("리턴"),(J38))))</formula>
    </cfRule>
  </conditionalFormatting>
  <conditionalFormatting sqref="J38">
    <cfRule type="containsText" dxfId="2" priority="8586" operator="containsText" text="실패">
      <formula>NOT(ISERROR(SEARCH(("실패"),(J38))))</formula>
    </cfRule>
  </conditionalFormatting>
  <conditionalFormatting sqref="J38">
    <cfRule type="containsText" dxfId="3" priority="8587" operator="containsText" text="관리">
      <formula>NOT(ISERROR(SEARCH(("관리"),(J38))))</formula>
    </cfRule>
  </conditionalFormatting>
  <conditionalFormatting sqref="J38">
    <cfRule type="containsText" dxfId="4" priority="8588" operator="containsText" text="등록">
      <formula>NOT(ISERROR(SEARCH(("등록"),(J38))))</formula>
    </cfRule>
  </conditionalFormatting>
  <conditionalFormatting sqref="A40">
    <cfRule type="containsText" dxfId="0" priority="8589" operator="containsText" text="거부">
      <formula>NOT(ISERROR(SEARCH(("거부"),(A40))))</formula>
    </cfRule>
  </conditionalFormatting>
  <conditionalFormatting sqref="A40">
    <cfRule type="containsText" dxfId="1" priority="8590" operator="containsText" text="리턴">
      <formula>NOT(ISERROR(SEARCH(("리턴"),(A40))))</formula>
    </cfRule>
  </conditionalFormatting>
  <conditionalFormatting sqref="A40">
    <cfRule type="containsText" dxfId="2" priority="8591" operator="containsText" text="실패">
      <formula>NOT(ISERROR(SEARCH(("실패"),(A40))))</formula>
    </cfRule>
  </conditionalFormatting>
  <conditionalFormatting sqref="A40">
    <cfRule type="containsText" dxfId="3" priority="8592" operator="containsText" text="관리">
      <formula>NOT(ISERROR(SEARCH(("관리"),(A40))))</formula>
    </cfRule>
  </conditionalFormatting>
  <conditionalFormatting sqref="A40">
    <cfRule type="containsText" dxfId="4" priority="8593" operator="containsText" text="등록">
      <formula>NOT(ISERROR(SEARCH(("등록"),(A40))))</formula>
    </cfRule>
  </conditionalFormatting>
  <conditionalFormatting sqref="A40">
    <cfRule type="containsText" dxfId="0" priority="8594" operator="containsText" text="거부">
      <formula>NOT(ISERROR(SEARCH(("거부"),(A40))))</formula>
    </cfRule>
  </conditionalFormatting>
  <conditionalFormatting sqref="A40">
    <cfRule type="containsText" dxfId="1" priority="8595" operator="containsText" text="리턴">
      <formula>NOT(ISERROR(SEARCH(("리턴"),(A40))))</formula>
    </cfRule>
  </conditionalFormatting>
  <conditionalFormatting sqref="A40">
    <cfRule type="containsText" dxfId="2" priority="8596" operator="containsText" text="실패">
      <formula>NOT(ISERROR(SEARCH(("실패"),(A40))))</formula>
    </cfRule>
  </conditionalFormatting>
  <conditionalFormatting sqref="A40">
    <cfRule type="containsText" dxfId="3" priority="8597" operator="containsText" text="관리">
      <formula>NOT(ISERROR(SEARCH(("관리"),(A40))))</formula>
    </cfRule>
  </conditionalFormatting>
  <conditionalFormatting sqref="A40">
    <cfRule type="containsText" dxfId="4" priority="8598" operator="containsText" text="등록">
      <formula>NOT(ISERROR(SEARCH(("등록"),(A40))))</formula>
    </cfRule>
  </conditionalFormatting>
  <conditionalFormatting sqref="A40">
    <cfRule type="containsText" dxfId="0" priority="8599" operator="containsText" text="거부">
      <formula>NOT(ISERROR(SEARCH(("거부"),(A40))))</formula>
    </cfRule>
  </conditionalFormatting>
  <conditionalFormatting sqref="A40">
    <cfRule type="containsText" dxfId="1" priority="8600" operator="containsText" text="리턴">
      <formula>NOT(ISERROR(SEARCH(("리턴"),(A40))))</formula>
    </cfRule>
  </conditionalFormatting>
  <conditionalFormatting sqref="A40">
    <cfRule type="containsText" dxfId="2" priority="8601" operator="containsText" text="실패">
      <formula>NOT(ISERROR(SEARCH(("실패"),(A40))))</formula>
    </cfRule>
  </conditionalFormatting>
  <conditionalFormatting sqref="A40">
    <cfRule type="containsText" dxfId="3" priority="8602" operator="containsText" text="관리">
      <formula>NOT(ISERROR(SEARCH(("관리"),(A40))))</formula>
    </cfRule>
  </conditionalFormatting>
  <conditionalFormatting sqref="A40">
    <cfRule type="containsText" dxfId="4" priority="8603" operator="containsText" text="등록">
      <formula>NOT(ISERROR(SEARCH(("등록"),(A40))))</formula>
    </cfRule>
  </conditionalFormatting>
  <conditionalFormatting sqref="A40">
    <cfRule type="containsText" dxfId="0" priority="8604" operator="containsText" text="거부">
      <formula>NOT(ISERROR(SEARCH(("거부"),(A40))))</formula>
    </cfRule>
  </conditionalFormatting>
  <conditionalFormatting sqref="A40">
    <cfRule type="containsText" dxfId="1" priority="8605" operator="containsText" text="리턴">
      <formula>NOT(ISERROR(SEARCH(("리턴"),(A40))))</formula>
    </cfRule>
  </conditionalFormatting>
  <conditionalFormatting sqref="A40">
    <cfRule type="containsText" dxfId="2" priority="8606" operator="containsText" text="실패">
      <formula>NOT(ISERROR(SEARCH(("실패"),(A40))))</formula>
    </cfRule>
  </conditionalFormatting>
  <conditionalFormatting sqref="A40">
    <cfRule type="containsText" dxfId="3" priority="8607" operator="containsText" text="관리">
      <formula>NOT(ISERROR(SEARCH(("관리"),(A40))))</formula>
    </cfRule>
  </conditionalFormatting>
  <conditionalFormatting sqref="A40">
    <cfRule type="containsText" dxfId="4" priority="8608" operator="containsText" text="등록">
      <formula>NOT(ISERROR(SEARCH(("등록"),(A40))))</formula>
    </cfRule>
  </conditionalFormatting>
  <conditionalFormatting sqref="A40">
    <cfRule type="containsText" dxfId="0" priority="8609" operator="containsText" text="거부">
      <formula>NOT(ISERROR(SEARCH(("거부"),(A40))))</formula>
    </cfRule>
  </conditionalFormatting>
  <conditionalFormatting sqref="A40">
    <cfRule type="containsText" dxfId="1" priority="8610" operator="containsText" text="리턴">
      <formula>NOT(ISERROR(SEARCH(("리턴"),(A40))))</formula>
    </cfRule>
  </conditionalFormatting>
  <conditionalFormatting sqref="A40">
    <cfRule type="containsText" dxfId="2" priority="8611" operator="containsText" text="실패">
      <formula>NOT(ISERROR(SEARCH(("실패"),(A40))))</formula>
    </cfRule>
  </conditionalFormatting>
  <conditionalFormatting sqref="A40">
    <cfRule type="containsText" dxfId="3" priority="8612" operator="containsText" text="관리">
      <formula>NOT(ISERROR(SEARCH(("관리"),(A40))))</formula>
    </cfRule>
  </conditionalFormatting>
  <conditionalFormatting sqref="A40">
    <cfRule type="containsText" dxfId="4" priority="8613" operator="containsText" text="등록">
      <formula>NOT(ISERROR(SEARCH(("등록"),(A40))))</formula>
    </cfRule>
  </conditionalFormatting>
  <conditionalFormatting sqref="D40">
    <cfRule type="containsText" dxfId="0" priority="8614" operator="containsText" text="거부">
      <formula>NOT(ISERROR(SEARCH(("거부"),(D40))))</formula>
    </cfRule>
  </conditionalFormatting>
  <conditionalFormatting sqref="D40">
    <cfRule type="containsText" dxfId="1" priority="8615" operator="containsText" text="리턴">
      <formula>NOT(ISERROR(SEARCH(("리턴"),(D40))))</formula>
    </cfRule>
  </conditionalFormatting>
  <conditionalFormatting sqref="D40">
    <cfRule type="containsText" dxfId="2" priority="8616" operator="containsText" text="실패">
      <formula>NOT(ISERROR(SEARCH(("실패"),(D40))))</formula>
    </cfRule>
  </conditionalFormatting>
  <conditionalFormatting sqref="D40">
    <cfRule type="containsText" dxfId="3" priority="8617" operator="containsText" text="관리">
      <formula>NOT(ISERROR(SEARCH(("관리"),(D40))))</formula>
    </cfRule>
  </conditionalFormatting>
  <conditionalFormatting sqref="D40">
    <cfRule type="containsText" dxfId="4" priority="8618" operator="containsText" text="등록">
      <formula>NOT(ISERROR(SEARCH(("등록"),(D40))))</formula>
    </cfRule>
  </conditionalFormatting>
  <conditionalFormatting sqref="D40">
    <cfRule type="containsText" dxfId="0" priority="8619" operator="containsText" text="거부">
      <formula>NOT(ISERROR(SEARCH(("거부"),(D40))))</formula>
    </cfRule>
  </conditionalFormatting>
  <conditionalFormatting sqref="D40">
    <cfRule type="containsText" dxfId="1" priority="8620" operator="containsText" text="리턴">
      <formula>NOT(ISERROR(SEARCH(("리턴"),(D40))))</formula>
    </cfRule>
  </conditionalFormatting>
  <conditionalFormatting sqref="D40">
    <cfRule type="containsText" dxfId="2" priority="8621" operator="containsText" text="실패">
      <formula>NOT(ISERROR(SEARCH(("실패"),(D40))))</formula>
    </cfRule>
  </conditionalFormatting>
  <conditionalFormatting sqref="D40">
    <cfRule type="containsText" dxfId="3" priority="8622" operator="containsText" text="관리">
      <formula>NOT(ISERROR(SEARCH(("관리"),(D40))))</formula>
    </cfRule>
  </conditionalFormatting>
  <conditionalFormatting sqref="D40">
    <cfRule type="containsText" dxfId="4" priority="8623" operator="containsText" text="등록">
      <formula>NOT(ISERROR(SEARCH(("등록"),(D40))))</formula>
    </cfRule>
  </conditionalFormatting>
  <conditionalFormatting sqref="D40">
    <cfRule type="containsText" dxfId="0" priority="8624" operator="containsText" text="거부">
      <formula>NOT(ISERROR(SEARCH(("거부"),(D40))))</formula>
    </cfRule>
  </conditionalFormatting>
  <conditionalFormatting sqref="D40">
    <cfRule type="containsText" dxfId="1" priority="8625" operator="containsText" text="리턴">
      <formula>NOT(ISERROR(SEARCH(("리턴"),(D40))))</formula>
    </cfRule>
  </conditionalFormatting>
  <conditionalFormatting sqref="D40">
    <cfRule type="containsText" dxfId="2" priority="8626" operator="containsText" text="실패">
      <formula>NOT(ISERROR(SEARCH(("실패"),(D40))))</formula>
    </cfRule>
  </conditionalFormatting>
  <conditionalFormatting sqref="D40">
    <cfRule type="containsText" dxfId="3" priority="8627" operator="containsText" text="관리">
      <formula>NOT(ISERROR(SEARCH(("관리"),(D40))))</formula>
    </cfRule>
  </conditionalFormatting>
  <conditionalFormatting sqref="D40">
    <cfRule type="containsText" dxfId="4" priority="8628" operator="containsText" text="등록">
      <formula>NOT(ISERROR(SEARCH(("등록"),(D40))))</formula>
    </cfRule>
  </conditionalFormatting>
  <conditionalFormatting sqref="D40">
    <cfRule type="containsText" dxfId="0" priority="8629" operator="containsText" text="거부">
      <formula>NOT(ISERROR(SEARCH(("거부"),(D40))))</formula>
    </cfRule>
  </conditionalFormatting>
  <conditionalFormatting sqref="D40">
    <cfRule type="containsText" dxfId="1" priority="8630" operator="containsText" text="리턴">
      <formula>NOT(ISERROR(SEARCH(("리턴"),(D40))))</formula>
    </cfRule>
  </conditionalFormatting>
  <conditionalFormatting sqref="D40">
    <cfRule type="containsText" dxfId="2" priority="8631" operator="containsText" text="실패">
      <formula>NOT(ISERROR(SEARCH(("실패"),(D40))))</formula>
    </cfRule>
  </conditionalFormatting>
  <conditionalFormatting sqref="D40">
    <cfRule type="containsText" dxfId="3" priority="8632" operator="containsText" text="관리">
      <formula>NOT(ISERROR(SEARCH(("관리"),(D40))))</formula>
    </cfRule>
  </conditionalFormatting>
  <conditionalFormatting sqref="D40">
    <cfRule type="containsText" dxfId="4" priority="8633" operator="containsText" text="등록">
      <formula>NOT(ISERROR(SEARCH(("등록"),(D40))))</formula>
    </cfRule>
  </conditionalFormatting>
  <conditionalFormatting sqref="D40">
    <cfRule type="containsText" dxfId="0" priority="8634" operator="containsText" text="거부">
      <formula>NOT(ISERROR(SEARCH(("거부"),(D40))))</formula>
    </cfRule>
  </conditionalFormatting>
  <conditionalFormatting sqref="D40">
    <cfRule type="containsText" dxfId="1" priority="8635" operator="containsText" text="리턴">
      <formula>NOT(ISERROR(SEARCH(("리턴"),(D40))))</formula>
    </cfRule>
  </conditionalFormatting>
  <conditionalFormatting sqref="D40">
    <cfRule type="containsText" dxfId="2" priority="8636" operator="containsText" text="실패">
      <formula>NOT(ISERROR(SEARCH(("실패"),(D40))))</formula>
    </cfRule>
  </conditionalFormatting>
  <conditionalFormatting sqref="D40">
    <cfRule type="containsText" dxfId="3" priority="8637" operator="containsText" text="관리">
      <formula>NOT(ISERROR(SEARCH(("관리"),(D40))))</formula>
    </cfRule>
  </conditionalFormatting>
  <conditionalFormatting sqref="D40">
    <cfRule type="containsText" dxfId="4" priority="8638" operator="containsText" text="등록">
      <formula>NOT(ISERROR(SEARCH(("등록"),(D40))))</formula>
    </cfRule>
  </conditionalFormatting>
  <conditionalFormatting sqref="D40">
    <cfRule type="containsText" dxfId="0" priority="8639" operator="containsText" text="거부">
      <formula>NOT(ISERROR(SEARCH(("거부"),(D40))))</formula>
    </cfRule>
  </conditionalFormatting>
  <conditionalFormatting sqref="D40">
    <cfRule type="containsText" dxfId="1" priority="8640" operator="containsText" text="리턴">
      <formula>NOT(ISERROR(SEARCH(("리턴"),(D40))))</formula>
    </cfRule>
  </conditionalFormatting>
  <conditionalFormatting sqref="D40">
    <cfRule type="containsText" dxfId="2" priority="8641" operator="containsText" text="실패">
      <formula>NOT(ISERROR(SEARCH(("실패"),(D40))))</formula>
    </cfRule>
  </conditionalFormatting>
  <conditionalFormatting sqref="D40">
    <cfRule type="containsText" dxfId="3" priority="8642" operator="containsText" text="관리">
      <formula>NOT(ISERROR(SEARCH(("관리"),(D40))))</formula>
    </cfRule>
  </conditionalFormatting>
  <conditionalFormatting sqref="D40">
    <cfRule type="containsText" dxfId="4" priority="8643" operator="containsText" text="등록">
      <formula>NOT(ISERROR(SEARCH(("등록"),(D40))))</formula>
    </cfRule>
  </conditionalFormatting>
  <conditionalFormatting sqref="D40">
    <cfRule type="containsText" dxfId="0" priority="8644" operator="containsText" text="거부">
      <formula>NOT(ISERROR(SEARCH(("거부"),(D40))))</formula>
    </cfRule>
  </conditionalFormatting>
  <conditionalFormatting sqref="D40">
    <cfRule type="containsText" dxfId="1" priority="8645" operator="containsText" text="리턴">
      <formula>NOT(ISERROR(SEARCH(("리턴"),(D40))))</formula>
    </cfRule>
  </conditionalFormatting>
  <conditionalFormatting sqref="D40">
    <cfRule type="containsText" dxfId="2" priority="8646" operator="containsText" text="실패">
      <formula>NOT(ISERROR(SEARCH(("실패"),(D40))))</formula>
    </cfRule>
  </conditionalFormatting>
  <conditionalFormatting sqref="D40">
    <cfRule type="containsText" dxfId="3" priority="8647" operator="containsText" text="관리">
      <formula>NOT(ISERROR(SEARCH(("관리"),(D40))))</formula>
    </cfRule>
  </conditionalFormatting>
  <conditionalFormatting sqref="D40">
    <cfRule type="containsText" dxfId="4" priority="8648" operator="containsText" text="등록">
      <formula>NOT(ISERROR(SEARCH(("등록"),(D40))))</formula>
    </cfRule>
  </conditionalFormatting>
  <conditionalFormatting sqref="D40">
    <cfRule type="containsText" dxfId="0" priority="8649" operator="containsText" text="거부">
      <formula>NOT(ISERROR(SEARCH(("거부"),(D40))))</formula>
    </cfRule>
  </conditionalFormatting>
  <conditionalFormatting sqref="D40">
    <cfRule type="containsText" dxfId="1" priority="8650" operator="containsText" text="리턴">
      <formula>NOT(ISERROR(SEARCH(("리턴"),(D40))))</formula>
    </cfRule>
  </conditionalFormatting>
  <conditionalFormatting sqref="D40">
    <cfRule type="containsText" dxfId="2" priority="8651" operator="containsText" text="실패">
      <formula>NOT(ISERROR(SEARCH(("실패"),(D40))))</formula>
    </cfRule>
  </conditionalFormatting>
  <conditionalFormatting sqref="D40">
    <cfRule type="containsText" dxfId="3" priority="8652" operator="containsText" text="관리">
      <formula>NOT(ISERROR(SEARCH(("관리"),(D40))))</formula>
    </cfRule>
  </conditionalFormatting>
  <conditionalFormatting sqref="D40">
    <cfRule type="containsText" dxfId="4" priority="8653" operator="containsText" text="등록">
      <formula>NOT(ISERROR(SEARCH(("등록"),(D40))))</formula>
    </cfRule>
  </conditionalFormatting>
  <conditionalFormatting sqref="D40">
    <cfRule type="containsText" dxfId="0" priority="8654" operator="containsText" text="거부">
      <formula>NOT(ISERROR(SEARCH(("거부"),(D40))))</formula>
    </cfRule>
  </conditionalFormatting>
  <conditionalFormatting sqref="D40">
    <cfRule type="containsText" dxfId="1" priority="8655" operator="containsText" text="리턴">
      <formula>NOT(ISERROR(SEARCH(("리턴"),(D40))))</formula>
    </cfRule>
  </conditionalFormatting>
  <conditionalFormatting sqref="D40">
    <cfRule type="containsText" dxfId="2" priority="8656" operator="containsText" text="실패">
      <formula>NOT(ISERROR(SEARCH(("실패"),(D40))))</formula>
    </cfRule>
  </conditionalFormatting>
  <conditionalFormatting sqref="D40">
    <cfRule type="containsText" dxfId="3" priority="8657" operator="containsText" text="관리">
      <formula>NOT(ISERROR(SEARCH(("관리"),(D40))))</formula>
    </cfRule>
  </conditionalFormatting>
  <conditionalFormatting sqref="D40">
    <cfRule type="containsText" dxfId="4" priority="8658" operator="containsText" text="등록">
      <formula>NOT(ISERROR(SEARCH(("등록"),(D40))))</formula>
    </cfRule>
  </conditionalFormatting>
  <conditionalFormatting sqref="D40">
    <cfRule type="containsText" dxfId="0" priority="8659" operator="containsText" text="거부">
      <formula>NOT(ISERROR(SEARCH(("거부"),(D40))))</formula>
    </cfRule>
  </conditionalFormatting>
  <conditionalFormatting sqref="D40">
    <cfRule type="containsText" dxfId="1" priority="8660" operator="containsText" text="리턴">
      <formula>NOT(ISERROR(SEARCH(("리턴"),(D40))))</formula>
    </cfRule>
  </conditionalFormatting>
  <conditionalFormatting sqref="D40">
    <cfRule type="containsText" dxfId="2" priority="8661" operator="containsText" text="실패">
      <formula>NOT(ISERROR(SEARCH(("실패"),(D40))))</formula>
    </cfRule>
  </conditionalFormatting>
  <conditionalFormatting sqref="D40">
    <cfRule type="containsText" dxfId="3" priority="8662" operator="containsText" text="관리">
      <formula>NOT(ISERROR(SEARCH(("관리"),(D40))))</formula>
    </cfRule>
  </conditionalFormatting>
  <conditionalFormatting sqref="D40">
    <cfRule type="containsText" dxfId="4" priority="8663" operator="containsText" text="등록">
      <formula>NOT(ISERROR(SEARCH(("등록"),(D40))))</formula>
    </cfRule>
  </conditionalFormatting>
  <conditionalFormatting sqref="D40">
    <cfRule type="containsText" dxfId="0" priority="8664" operator="containsText" text="거부">
      <formula>NOT(ISERROR(SEARCH(("거부"),(D40))))</formula>
    </cfRule>
  </conditionalFormatting>
  <conditionalFormatting sqref="D40">
    <cfRule type="containsText" dxfId="1" priority="8665" operator="containsText" text="리턴">
      <formula>NOT(ISERROR(SEARCH(("리턴"),(D40))))</formula>
    </cfRule>
  </conditionalFormatting>
  <conditionalFormatting sqref="D40">
    <cfRule type="containsText" dxfId="2" priority="8666" operator="containsText" text="실패">
      <formula>NOT(ISERROR(SEARCH(("실패"),(D40))))</formula>
    </cfRule>
  </conditionalFormatting>
  <conditionalFormatting sqref="D40">
    <cfRule type="containsText" dxfId="3" priority="8667" operator="containsText" text="관리">
      <formula>NOT(ISERROR(SEARCH(("관리"),(D40))))</formula>
    </cfRule>
  </conditionalFormatting>
  <conditionalFormatting sqref="D40">
    <cfRule type="containsText" dxfId="4" priority="8668" operator="containsText" text="등록">
      <formula>NOT(ISERROR(SEARCH(("등록"),(D40))))</formula>
    </cfRule>
  </conditionalFormatting>
  <conditionalFormatting sqref="D40">
    <cfRule type="containsText" dxfId="0" priority="8669" operator="containsText" text="거부">
      <formula>NOT(ISERROR(SEARCH(("거부"),(D40))))</formula>
    </cfRule>
  </conditionalFormatting>
  <conditionalFormatting sqref="D40">
    <cfRule type="containsText" dxfId="1" priority="8670" operator="containsText" text="리턴">
      <formula>NOT(ISERROR(SEARCH(("리턴"),(D40))))</formula>
    </cfRule>
  </conditionalFormatting>
  <conditionalFormatting sqref="D40">
    <cfRule type="containsText" dxfId="2" priority="8671" operator="containsText" text="실패">
      <formula>NOT(ISERROR(SEARCH(("실패"),(D40))))</formula>
    </cfRule>
  </conditionalFormatting>
  <conditionalFormatting sqref="D40">
    <cfRule type="containsText" dxfId="3" priority="8672" operator="containsText" text="관리">
      <formula>NOT(ISERROR(SEARCH(("관리"),(D40))))</formula>
    </cfRule>
  </conditionalFormatting>
  <conditionalFormatting sqref="D40">
    <cfRule type="containsText" dxfId="4" priority="8673" operator="containsText" text="등록">
      <formula>NOT(ISERROR(SEARCH(("등록"),(D40))))</formula>
    </cfRule>
  </conditionalFormatting>
  <conditionalFormatting sqref="D40">
    <cfRule type="containsText" dxfId="0" priority="8674" operator="containsText" text="거부">
      <formula>NOT(ISERROR(SEARCH(("거부"),(D40))))</formula>
    </cfRule>
  </conditionalFormatting>
  <conditionalFormatting sqref="D40">
    <cfRule type="containsText" dxfId="1" priority="8675" operator="containsText" text="리턴">
      <formula>NOT(ISERROR(SEARCH(("리턴"),(D40))))</formula>
    </cfRule>
  </conditionalFormatting>
  <conditionalFormatting sqref="D40">
    <cfRule type="containsText" dxfId="2" priority="8676" operator="containsText" text="실패">
      <formula>NOT(ISERROR(SEARCH(("실패"),(D40))))</formula>
    </cfRule>
  </conditionalFormatting>
  <conditionalFormatting sqref="D40">
    <cfRule type="containsText" dxfId="3" priority="8677" operator="containsText" text="관리">
      <formula>NOT(ISERROR(SEARCH(("관리"),(D40))))</formula>
    </cfRule>
  </conditionalFormatting>
  <conditionalFormatting sqref="D40">
    <cfRule type="containsText" dxfId="4" priority="8678" operator="containsText" text="등록">
      <formula>NOT(ISERROR(SEARCH(("등록"),(D40))))</formula>
    </cfRule>
  </conditionalFormatting>
  <conditionalFormatting sqref="D40">
    <cfRule type="containsText" dxfId="0" priority="8679" operator="containsText" text="거부">
      <formula>NOT(ISERROR(SEARCH(("거부"),(D40))))</formula>
    </cfRule>
  </conditionalFormatting>
  <conditionalFormatting sqref="D40">
    <cfRule type="containsText" dxfId="1" priority="8680" operator="containsText" text="리턴">
      <formula>NOT(ISERROR(SEARCH(("리턴"),(D40))))</formula>
    </cfRule>
  </conditionalFormatting>
  <conditionalFormatting sqref="D40">
    <cfRule type="containsText" dxfId="2" priority="8681" operator="containsText" text="실패">
      <formula>NOT(ISERROR(SEARCH(("실패"),(D40))))</formula>
    </cfRule>
  </conditionalFormatting>
  <conditionalFormatting sqref="D40">
    <cfRule type="containsText" dxfId="3" priority="8682" operator="containsText" text="관리">
      <formula>NOT(ISERROR(SEARCH(("관리"),(D40))))</formula>
    </cfRule>
  </conditionalFormatting>
  <conditionalFormatting sqref="D40">
    <cfRule type="containsText" dxfId="4" priority="8683" operator="containsText" text="등록">
      <formula>NOT(ISERROR(SEARCH(("등록"),(D40))))</formula>
    </cfRule>
  </conditionalFormatting>
  <conditionalFormatting sqref="D40">
    <cfRule type="containsText" dxfId="0" priority="8684" operator="containsText" text="거부">
      <formula>NOT(ISERROR(SEARCH(("거부"),(D40))))</formula>
    </cfRule>
  </conditionalFormatting>
  <conditionalFormatting sqref="D40">
    <cfRule type="containsText" dxfId="1" priority="8685" operator="containsText" text="리턴">
      <formula>NOT(ISERROR(SEARCH(("리턴"),(D40))))</formula>
    </cfRule>
  </conditionalFormatting>
  <conditionalFormatting sqref="D40">
    <cfRule type="containsText" dxfId="2" priority="8686" operator="containsText" text="실패">
      <formula>NOT(ISERROR(SEARCH(("실패"),(D40))))</formula>
    </cfRule>
  </conditionalFormatting>
  <conditionalFormatting sqref="D40">
    <cfRule type="containsText" dxfId="3" priority="8687" operator="containsText" text="관리">
      <formula>NOT(ISERROR(SEARCH(("관리"),(D40))))</formula>
    </cfRule>
  </conditionalFormatting>
  <conditionalFormatting sqref="D40">
    <cfRule type="containsText" dxfId="4" priority="8688" operator="containsText" text="등록">
      <formula>NOT(ISERROR(SEARCH(("등록"),(D40))))</formula>
    </cfRule>
  </conditionalFormatting>
  <conditionalFormatting sqref="D40">
    <cfRule type="containsText" dxfId="0" priority="8689" operator="containsText" text="거부">
      <formula>NOT(ISERROR(SEARCH(("거부"),(D40))))</formula>
    </cfRule>
  </conditionalFormatting>
  <conditionalFormatting sqref="D40">
    <cfRule type="containsText" dxfId="1" priority="8690" operator="containsText" text="리턴">
      <formula>NOT(ISERROR(SEARCH(("리턴"),(D40))))</formula>
    </cfRule>
  </conditionalFormatting>
  <conditionalFormatting sqref="D40">
    <cfRule type="containsText" dxfId="2" priority="8691" operator="containsText" text="실패">
      <formula>NOT(ISERROR(SEARCH(("실패"),(D40))))</formula>
    </cfRule>
  </conditionalFormatting>
  <conditionalFormatting sqref="D40">
    <cfRule type="containsText" dxfId="3" priority="8692" operator="containsText" text="관리">
      <formula>NOT(ISERROR(SEARCH(("관리"),(D40))))</formula>
    </cfRule>
  </conditionalFormatting>
  <conditionalFormatting sqref="D40">
    <cfRule type="containsText" dxfId="4" priority="8693" operator="containsText" text="등록">
      <formula>NOT(ISERROR(SEARCH(("등록"),(D40))))</formula>
    </cfRule>
  </conditionalFormatting>
  <conditionalFormatting sqref="D40">
    <cfRule type="containsText" dxfId="0" priority="8694" operator="containsText" text="거부">
      <formula>NOT(ISERROR(SEARCH(("거부"),(D40))))</formula>
    </cfRule>
  </conditionalFormatting>
  <conditionalFormatting sqref="D40">
    <cfRule type="containsText" dxfId="1" priority="8695" operator="containsText" text="리턴">
      <formula>NOT(ISERROR(SEARCH(("리턴"),(D40))))</formula>
    </cfRule>
  </conditionalFormatting>
  <conditionalFormatting sqref="D40">
    <cfRule type="containsText" dxfId="2" priority="8696" operator="containsText" text="실패">
      <formula>NOT(ISERROR(SEARCH(("실패"),(D40))))</formula>
    </cfRule>
  </conditionalFormatting>
  <conditionalFormatting sqref="D40">
    <cfRule type="containsText" dxfId="3" priority="8697" operator="containsText" text="관리">
      <formula>NOT(ISERROR(SEARCH(("관리"),(D40))))</formula>
    </cfRule>
  </conditionalFormatting>
  <conditionalFormatting sqref="D40">
    <cfRule type="containsText" dxfId="4" priority="8698" operator="containsText" text="등록">
      <formula>NOT(ISERROR(SEARCH(("등록"),(D40))))</formula>
    </cfRule>
  </conditionalFormatting>
  <conditionalFormatting sqref="D40">
    <cfRule type="containsText" dxfId="0" priority="8699" operator="containsText" text="거부">
      <formula>NOT(ISERROR(SEARCH(("거부"),(D40))))</formula>
    </cfRule>
  </conditionalFormatting>
  <conditionalFormatting sqref="D40">
    <cfRule type="containsText" dxfId="1" priority="8700" operator="containsText" text="리턴">
      <formula>NOT(ISERROR(SEARCH(("리턴"),(D40))))</formula>
    </cfRule>
  </conditionalFormatting>
  <conditionalFormatting sqref="D40">
    <cfRule type="containsText" dxfId="2" priority="8701" operator="containsText" text="실패">
      <formula>NOT(ISERROR(SEARCH(("실패"),(D40))))</formula>
    </cfRule>
  </conditionalFormatting>
  <conditionalFormatting sqref="D40">
    <cfRule type="containsText" dxfId="3" priority="8702" operator="containsText" text="관리">
      <formula>NOT(ISERROR(SEARCH(("관리"),(D40))))</formula>
    </cfRule>
  </conditionalFormatting>
  <conditionalFormatting sqref="D40">
    <cfRule type="containsText" dxfId="4" priority="8703" operator="containsText" text="등록">
      <formula>NOT(ISERROR(SEARCH(("등록"),(D40))))</formula>
    </cfRule>
  </conditionalFormatting>
  <conditionalFormatting sqref="D40">
    <cfRule type="containsText" dxfId="0" priority="8704" operator="containsText" text="거부">
      <formula>NOT(ISERROR(SEARCH(("거부"),(D40))))</formula>
    </cfRule>
  </conditionalFormatting>
  <conditionalFormatting sqref="D40">
    <cfRule type="containsText" dxfId="1" priority="8705" operator="containsText" text="리턴">
      <formula>NOT(ISERROR(SEARCH(("리턴"),(D40))))</formula>
    </cfRule>
  </conditionalFormatting>
  <conditionalFormatting sqref="D40">
    <cfRule type="containsText" dxfId="2" priority="8706" operator="containsText" text="실패">
      <formula>NOT(ISERROR(SEARCH(("실패"),(D40))))</formula>
    </cfRule>
  </conditionalFormatting>
  <conditionalFormatting sqref="D40">
    <cfRule type="containsText" dxfId="3" priority="8707" operator="containsText" text="관리">
      <formula>NOT(ISERROR(SEARCH(("관리"),(D40))))</formula>
    </cfRule>
  </conditionalFormatting>
  <conditionalFormatting sqref="D40">
    <cfRule type="containsText" dxfId="4" priority="8708" operator="containsText" text="등록">
      <formula>NOT(ISERROR(SEARCH(("등록"),(D40))))</formula>
    </cfRule>
  </conditionalFormatting>
  <conditionalFormatting sqref="D40">
    <cfRule type="containsText" dxfId="0" priority="8709" operator="containsText" text="거부">
      <formula>NOT(ISERROR(SEARCH(("거부"),(D40))))</formula>
    </cfRule>
  </conditionalFormatting>
  <conditionalFormatting sqref="D40">
    <cfRule type="containsText" dxfId="1" priority="8710" operator="containsText" text="리턴">
      <formula>NOT(ISERROR(SEARCH(("리턴"),(D40))))</formula>
    </cfRule>
  </conditionalFormatting>
  <conditionalFormatting sqref="D40">
    <cfRule type="containsText" dxfId="2" priority="8711" operator="containsText" text="실패">
      <formula>NOT(ISERROR(SEARCH(("실패"),(D40))))</formula>
    </cfRule>
  </conditionalFormatting>
  <conditionalFormatting sqref="D40">
    <cfRule type="containsText" dxfId="3" priority="8712" operator="containsText" text="관리">
      <formula>NOT(ISERROR(SEARCH(("관리"),(D40))))</formula>
    </cfRule>
  </conditionalFormatting>
  <conditionalFormatting sqref="D40">
    <cfRule type="containsText" dxfId="4" priority="8713" operator="containsText" text="등록">
      <formula>NOT(ISERROR(SEARCH(("등록"),(D40))))</formula>
    </cfRule>
  </conditionalFormatting>
  <conditionalFormatting sqref="D40">
    <cfRule type="containsText" dxfId="0" priority="8714" operator="containsText" text="거부">
      <formula>NOT(ISERROR(SEARCH(("거부"),(D40))))</formula>
    </cfRule>
  </conditionalFormatting>
  <conditionalFormatting sqref="D40">
    <cfRule type="containsText" dxfId="1" priority="8715" operator="containsText" text="리턴">
      <formula>NOT(ISERROR(SEARCH(("리턴"),(D40))))</formula>
    </cfRule>
  </conditionalFormatting>
  <conditionalFormatting sqref="D40">
    <cfRule type="containsText" dxfId="2" priority="8716" operator="containsText" text="실패">
      <formula>NOT(ISERROR(SEARCH(("실패"),(D40))))</formula>
    </cfRule>
  </conditionalFormatting>
  <conditionalFormatting sqref="D40">
    <cfRule type="containsText" dxfId="3" priority="8717" operator="containsText" text="관리">
      <formula>NOT(ISERROR(SEARCH(("관리"),(D40))))</formula>
    </cfRule>
  </conditionalFormatting>
  <conditionalFormatting sqref="D40">
    <cfRule type="containsText" dxfId="4" priority="8718" operator="containsText" text="등록">
      <formula>NOT(ISERROR(SEARCH(("등록"),(D40))))</formula>
    </cfRule>
  </conditionalFormatting>
  <conditionalFormatting sqref="D40">
    <cfRule type="containsText" dxfId="0" priority="8719" operator="containsText" text="거부">
      <formula>NOT(ISERROR(SEARCH(("거부"),(D40))))</formula>
    </cfRule>
  </conditionalFormatting>
  <conditionalFormatting sqref="D40">
    <cfRule type="containsText" dxfId="1" priority="8720" operator="containsText" text="리턴">
      <formula>NOT(ISERROR(SEARCH(("리턴"),(D40))))</formula>
    </cfRule>
  </conditionalFormatting>
  <conditionalFormatting sqref="D40">
    <cfRule type="containsText" dxfId="2" priority="8721" operator="containsText" text="실패">
      <formula>NOT(ISERROR(SEARCH(("실패"),(D40))))</formula>
    </cfRule>
  </conditionalFormatting>
  <conditionalFormatting sqref="D40">
    <cfRule type="containsText" dxfId="3" priority="8722" operator="containsText" text="관리">
      <formula>NOT(ISERROR(SEARCH(("관리"),(D40))))</formula>
    </cfRule>
  </conditionalFormatting>
  <conditionalFormatting sqref="D40">
    <cfRule type="containsText" dxfId="4" priority="8723" operator="containsText" text="등록">
      <formula>NOT(ISERROR(SEARCH(("등록"),(D40))))</formula>
    </cfRule>
  </conditionalFormatting>
  <conditionalFormatting sqref="D40">
    <cfRule type="containsText" dxfId="0" priority="8724" operator="containsText" text="거부">
      <formula>NOT(ISERROR(SEARCH(("거부"),(D40))))</formula>
    </cfRule>
  </conditionalFormatting>
  <conditionalFormatting sqref="D40">
    <cfRule type="containsText" dxfId="1" priority="8725" operator="containsText" text="리턴">
      <formula>NOT(ISERROR(SEARCH(("리턴"),(D40))))</formula>
    </cfRule>
  </conditionalFormatting>
  <conditionalFormatting sqref="D40">
    <cfRule type="containsText" dxfId="2" priority="8726" operator="containsText" text="실패">
      <formula>NOT(ISERROR(SEARCH(("실패"),(D40))))</formula>
    </cfRule>
  </conditionalFormatting>
  <conditionalFormatting sqref="D40">
    <cfRule type="containsText" dxfId="3" priority="8727" operator="containsText" text="관리">
      <formula>NOT(ISERROR(SEARCH(("관리"),(D40))))</formula>
    </cfRule>
  </conditionalFormatting>
  <conditionalFormatting sqref="D40">
    <cfRule type="containsText" dxfId="4" priority="8728" operator="containsText" text="등록">
      <formula>NOT(ISERROR(SEARCH(("등록"),(D40))))</formula>
    </cfRule>
  </conditionalFormatting>
  <conditionalFormatting sqref="D40">
    <cfRule type="containsText" dxfId="0" priority="8729" operator="containsText" text="거부">
      <formula>NOT(ISERROR(SEARCH(("거부"),(D40))))</formula>
    </cfRule>
  </conditionalFormatting>
  <conditionalFormatting sqref="D40">
    <cfRule type="containsText" dxfId="1" priority="8730" operator="containsText" text="리턴">
      <formula>NOT(ISERROR(SEARCH(("리턴"),(D40))))</formula>
    </cfRule>
  </conditionalFormatting>
  <conditionalFormatting sqref="D40">
    <cfRule type="containsText" dxfId="2" priority="8731" operator="containsText" text="실패">
      <formula>NOT(ISERROR(SEARCH(("실패"),(D40))))</formula>
    </cfRule>
  </conditionalFormatting>
  <conditionalFormatting sqref="D40">
    <cfRule type="containsText" dxfId="3" priority="8732" operator="containsText" text="관리">
      <formula>NOT(ISERROR(SEARCH(("관리"),(D40))))</formula>
    </cfRule>
  </conditionalFormatting>
  <conditionalFormatting sqref="D40">
    <cfRule type="containsText" dxfId="4" priority="8733" operator="containsText" text="등록">
      <formula>NOT(ISERROR(SEARCH(("등록"),(D40))))</formula>
    </cfRule>
  </conditionalFormatting>
  <conditionalFormatting sqref="G40">
    <cfRule type="containsText" dxfId="0" priority="8734" operator="containsText" text="거부">
      <formula>NOT(ISERROR(SEARCH(("거부"),(G40))))</formula>
    </cfRule>
  </conditionalFormatting>
  <conditionalFormatting sqref="G40">
    <cfRule type="containsText" dxfId="1" priority="8735" operator="containsText" text="리턴">
      <formula>NOT(ISERROR(SEARCH(("리턴"),(G40))))</formula>
    </cfRule>
  </conditionalFormatting>
  <conditionalFormatting sqref="G40">
    <cfRule type="containsText" dxfId="2" priority="8736" operator="containsText" text="실패">
      <formula>NOT(ISERROR(SEARCH(("실패"),(G40))))</formula>
    </cfRule>
  </conditionalFormatting>
  <conditionalFormatting sqref="G40">
    <cfRule type="containsText" dxfId="3" priority="8737" operator="containsText" text="관리">
      <formula>NOT(ISERROR(SEARCH(("관리"),(G40))))</formula>
    </cfRule>
  </conditionalFormatting>
  <conditionalFormatting sqref="G40">
    <cfRule type="containsText" dxfId="4" priority="8738" operator="containsText" text="등록">
      <formula>NOT(ISERROR(SEARCH(("등록"),(G40))))</formula>
    </cfRule>
  </conditionalFormatting>
  <conditionalFormatting sqref="G40">
    <cfRule type="containsText" dxfId="0" priority="8739" operator="containsText" text="거부">
      <formula>NOT(ISERROR(SEARCH(("거부"),(G40))))</formula>
    </cfRule>
  </conditionalFormatting>
  <conditionalFormatting sqref="G40">
    <cfRule type="containsText" dxfId="1" priority="8740" operator="containsText" text="리턴">
      <formula>NOT(ISERROR(SEARCH(("리턴"),(G40))))</formula>
    </cfRule>
  </conditionalFormatting>
  <conditionalFormatting sqref="G40">
    <cfRule type="containsText" dxfId="2" priority="8741" operator="containsText" text="실패">
      <formula>NOT(ISERROR(SEARCH(("실패"),(G40))))</formula>
    </cfRule>
  </conditionalFormatting>
  <conditionalFormatting sqref="G40">
    <cfRule type="containsText" dxfId="3" priority="8742" operator="containsText" text="관리">
      <formula>NOT(ISERROR(SEARCH(("관리"),(G40))))</formula>
    </cfRule>
  </conditionalFormatting>
  <conditionalFormatting sqref="G40">
    <cfRule type="containsText" dxfId="4" priority="8743" operator="containsText" text="등록">
      <formula>NOT(ISERROR(SEARCH(("등록"),(G40))))</formula>
    </cfRule>
  </conditionalFormatting>
  <conditionalFormatting sqref="G40">
    <cfRule type="containsText" dxfId="0" priority="8744" operator="containsText" text="거부">
      <formula>NOT(ISERROR(SEARCH(("거부"),(G40))))</formula>
    </cfRule>
  </conditionalFormatting>
  <conditionalFormatting sqref="G40">
    <cfRule type="containsText" dxfId="1" priority="8745" operator="containsText" text="리턴">
      <formula>NOT(ISERROR(SEARCH(("리턴"),(G40))))</formula>
    </cfRule>
  </conditionalFormatting>
  <conditionalFormatting sqref="G40">
    <cfRule type="containsText" dxfId="2" priority="8746" operator="containsText" text="실패">
      <formula>NOT(ISERROR(SEARCH(("실패"),(G40))))</formula>
    </cfRule>
  </conditionalFormatting>
  <conditionalFormatting sqref="G40">
    <cfRule type="containsText" dxfId="3" priority="8747" operator="containsText" text="관리">
      <formula>NOT(ISERROR(SEARCH(("관리"),(G40))))</formula>
    </cfRule>
  </conditionalFormatting>
  <conditionalFormatting sqref="G40">
    <cfRule type="containsText" dxfId="4" priority="8748" operator="containsText" text="등록">
      <formula>NOT(ISERROR(SEARCH(("등록"),(G40))))</formula>
    </cfRule>
  </conditionalFormatting>
  <conditionalFormatting sqref="J40">
    <cfRule type="containsText" dxfId="0" priority="8749" operator="containsText" text="거부">
      <formula>NOT(ISERROR(SEARCH(("거부"),(J40))))</formula>
    </cfRule>
  </conditionalFormatting>
  <conditionalFormatting sqref="J40">
    <cfRule type="containsText" dxfId="1" priority="8750" operator="containsText" text="리턴">
      <formula>NOT(ISERROR(SEARCH(("리턴"),(J40))))</formula>
    </cfRule>
  </conditionalFormatting>
  <conditionalFormatting sqref="J40">
    <cfRule type="containsText" dxfId="2" priority="8751" operator="containsText" text="실패">
      <formula>NOT(ISERROR(SEARCH(("실패"),(J40))))</formula>
    </cfRule>
  </conditionalFormatting>
  <conditionalFormatting sqref="J40">
    <cfRule type="containsText" dxfId="3" priority="8752" operator="containsText" text="관리">
      <formula>NOT(ISERROR(SEARCH(("관리"),(J40))))</formula>
    </cfRule>
  </conditionalFormatting>
  <conditionalFormatting sqref="J40">
    <cfRule type="containsText" dxfId="4" priority="8753" operator="containsText" text="등록">
      <formula>NOT(ISERROR(SEARCH(("등록"),(J40))))</formula>
    </cfRule>
  </conditionalFormatting>
  <conditionalFormatting sqref="J40">
    <cfRule type="containsText" dxfId="0" priority="8754" operator="containsText" text="거부">
      <formula>NOT(ISERROR(SEARCH(("거부"),(J40))))</formula>
    </cfRule>
  </conditionalFormatting>
  <conditionalFormatting sqref="J40">
    <cfRule type="containsText" dxfId="1" priority="8755" operator="containsText" text="리턴">
      <formula>NOT(ISERROR(SEARCH(("리턴"),(J40))))</formula>
    </cfRule>
  </conditionalFormatting>
  <conditionalFormatting sqref="J40">
    <cfRule type="containsText" dxfId="2" priority="8756" operator="containsText" text="실패">
      <formula>NOT(ISERROR(SEARCH(("실패"),(J40))))</formula>
    </cfRule>
  </conditionalFormatting>
  <conditionalFormatting sqref="J40">
    <cfRule type="containsText" dxfId="3" priority="8757" operator="containsText" text="관리">
      <formula>NOT(ISERROR(SEARCH(("관리"),(J40))))</formula>
    </cfRule>
  </conditionalFormatting>
  <conditionalFormatting sqref="J40">
    <cfRule type="containsText" dxfId="4" priority="8758" operator="containsText" text="등록">
      <formula>NOT(ISERROR(SEARCH(("등록"),(J40))))</formula>
    </cfRule>
  </conditionalFormatting>
  <conditionalFormatting sqref="J40">
    <cfRule type="containsText" dxfId="0" priority="8759" operator="containsText" text="거부">
      <formula>NOT(ISERROR(SEARCH(("거부"),(J40))))</formula>
    </cfRule>
  </conditionalFormatting>
  <conditionalFormatting sqref="J40">
    <cfRule type="containsText" dxfId="1" priority="8760" operator="containsText" text="리턴">
      <formula>NOT(ISERROR(SEARCH(("리턴"),(J40))))</formula>
    </cfRule>
  </conditionalFormatting>
  <conditionalFormatting sqref="J40">
    <cfRule type="containsText" dxfId="2" priority="8761" operator="containsText" text="실패">
      <formula>NOT(ISERROR(SEARCH(("실패"),(J40))))</formula>
    </cfRule>
  </conditionalFormatting>
  <conditionalFormatting sqref="J40">
    <cfRule type="containsText" dxfId="3" priority="8762" operator="containsText" text="관리">
      <formula>NOT(ISERROR(SEARCH(("관리"),(J40))))</formula>
    </cfRule>
  </conditionalFormatting>
  <conditionalFormatting sqref="J40">
    <cfRule type="containsText" dxfId="4" priority="8763" operator="containsText" text="등록">
      <formula>NOT(ISERROR(SEARCH(("등록"),(J40))))</formula>
    </cfRule>
  </conditionalFormatting>
  <conditionalFormatting sqref="J40">
    <cfRule type="containsText" dxfId="0" priority="8764" operator="containsText" text="거부">
      <formula>NOT(ISERROR(SEARCH(("거부"),(J40))))</formula>
    </cfRule>
  </conditionalFormatting>
  <conditionalFormatting sqref="J40">
    <cfRule type="containsText" dxfId="1" priority="8765" operator="containsText" text="리턴">
      <formula>NOT(ISERROR(SEARCH(("리턴"),(J40))))</formula>
    </cfRule>
  </conditionalFormatting>
  <conditionalFormatting sqref="J40">
    <cfRule type="containsText" dxfId="2" priority="8766" operator="containsText" text="실패">
      <formula>NOT(ISERROR(SEARCH(("실패"),(J40))))</formula>
    </cfRule>
  </conditionalFormatting>
  <conditionalFormatting sqref="J40">
    <cfRule type="containsText" dxfId="3" priority="8767" operator="containsText" text="관리">
      <formula>NOT(ISERROR(SEARCH(("관리"),(J40))))</formula>
    </cfRule>
  </conditionalFormatting>
  <conditionalFormatting sqref="J40">
    <cfRule type="containsText" dxfId="4" priority="8768" operator="containsText" text="등록">
      <formula>NOT(ISERROR(SEARCH(("등록"),(J40))))</formula>
    </cfRule>
  </conditionalFormatting>
  <conditionalFormatting sqref="J40">
    <cfRule type="containsText" dxfId="0" priority="8769" operator="containsText" text="거부">
      <formula>NOT(ISERROR(SEARCH(("거부"),(J40))))</formula>
    </cfRule>
  </conditionalFormatting>
  <conditionalFormatting sqref="J40">
    <cfRule type="containsText" dxfId="1" priority="8770" operator="containsText" text="리턴">
      <formula>NOT(ISERROR(SEARCH(("리턴"),(J40))))</formula>
    </cfRule>
  </conditionalFormatting>
  <conditionalFormatting sqref="J40">
    <cfRule type="containsText" dxfId="2" priority="8771" operator="containsText" text="실패">
      <formula>NOT(ISERROR(SEARCH(("실패"),(J40))))</formula>
    </cfRule>
  </conditionalFormatting>
  <conditionalFormatting sqref="J40">
    <cfRule type="containsText" dxfId="3" priority="8772" operator="containsText" text="관리">
      <formula>NOT(ISERROR(SEARCH(("관리"),(J40))))</formula>
    </cfRule>
  </conditionalFormatting>
  <conditionalFormatting sqref="J40">
    <cfRule type="containsText" dxfId="4" priority="8773" operator="containsText" text="등록">
      <formula>NOT(ISERROR(SEARCH(("등록"),(J40))))</formula>
    </cfRule>
  </conditionalFormatting>
  <conditionalFormatting sqref="J40">
    <cfRule type="containsText" dxfId="0" priority="8774" operator="containsText" text="거부">
      <formula>NOT(ISERROR(SEARCH(("거부"),(J40))))</formula>
    </cfRule>
  </conditionalFormatting>
  <conditionalFormatting sqref="J40">
    <cfRule type="containsText" dxfId="1" priority="8775" operator="containsText" text="리턴">
      <formula>NOT(ISERROR(SEARCH(("리턴"),(J40))))</formula>
    </cfRule>
  </conditionalFormatting>
  <conditionalFormatting sqref="J40">
    <cfRule type="containsText" dxfId="2" priority="8776" operator="containsText" text="실패">
      <formula>NOT(ISERROR(SEARCH(("실패"),(J40))))</formula>
    </cfRule>
  </conditionalFormatting>
  <conditionalFormatting sqref="J40">
    <cfRule type="containsText" dxfId="3" priority="8777" operator="containsText" text="관리">
      <formula>NOT(ISERROR(SEARCH(("관리"),(J40))))</formula>
    </cfRule>
  </conditionalFormatting>
  <conditionalFormatting sqref="J40">
    <cfRule type="containsText" dxfId="4" priority="8778" operator="containsText" text="등록">
      <formula>NOT(ISERROR(SEARCH(("등록"),(J40))))</formula>
    </cfRule>
  </conditionalFormatting>
  <conditionalFormatting sqref="A41">
    <cfRule type="containsText" dxfId="0" priority="8779" operator="containsText" text="거부">
      <formula>NOT(ISERROR(SEARCH(("거부"),(A41))))</formula>
    </cfRule>
  </conditionalFormatting>
  <conditionalFormatting sqref="A41">
    <cfRule type="containsText" dxfId="1" priority="8780" operator="containsText" text="리턴">
      <formula>NOT(ISERROR(SEARCH(("리턴"),(A41))))</formula>
    </cfRule>
  </conditionalFormatting>
  <conditionalFormatting sqref="A41">
    <cfRule type="containsText" dxfId="2" priority="8781" operator="containsText" text="실패">
      <formula>NOT(ISERROR(SEARCH(("실패"),(A41))))</formula>
    </cfRule>
  </conditionalFormatting>
  <conditionalFormatting sqref="A41">
    <cfRule type="containsText" dxfId="3" priority="8782" operator="containsText" text="관리">
      <formula>NOT(ISERROR(SEARCH(("관리"),(A41))))</formula>
    </cfRule>
  </conditionalFormatting>
  <conditionalFormatting sqref="A41">
    <cfRule type="containsText" dxfId="4" priority="8783" operator="containsText" text="등록">
      <formula>NOT(ISERROR(SEARCH(("등록"),(A41))))</formula>
    </cfRule>
  </conditionalFormatting>
  <conditionalFormatting sqref="A41">
    <cfRule type="containsText" dxfId="0" priority="8784" operator="containsText" text="거부">
      <formula>NOT(ISERROR(SEARCH(("거부"),(A41))))</formula>
    </cfRule>
  </conditionalFormatting>
  <conditionalFormatting sqref="A41">
    <cfRule type="containsText" dxfId="1" priority="8785" operator="containsText" text="리턴">
      <formula>NOT(ISERROR(SEARCH(("리턴"),(A41))))</formula>
    </cfRule>
  </conditionalFormatting>
  <conditionalFormatting sqref="A41">
    <cfRule type="containsText" dxfId="2" priority="8786" operator="containsText" text="실패">
      <formula>NOT(ISERROR(SEARCH(("실패"),(A41))))</formula>
    </cfRule>
  </conditionalFormatting>
  <conditionalFormatting sqref="A41">
    <cfRule type="containsText" dxfId="3" priority="8787" operator="containsText" text="관리">
      <formula>NOT(ISERROR(SEARCH(("관리"),(A41))))</formula>
    </cfRule>
  </conditionalFormatting>
  <conditionalFormatting sqref="A41">
    <cfRule type="containsText" dxfId="4" priority="8788" operator="containsText" text="등록">
      <formula>NOT(ISERROR(SEARCH(("등록"),(A41))))</formula>
    </cfRule>
  </conditionalFormatting>
  <conditionalFormatting sqref="A41">
    <cfRule type="containsText" dxfId="0" priority="8789" operator="containsText" text="거부">
      <formula>NOT(ISERROR(SEARCH(("거부"),(A41))))</formula>
    </cfRule>
  </conditionalFormatting>
  <conditionalFormatting sqref="A41">
    <cfRule type="containsText" dxfId="1" priority="8790" operator="containsText" text="리턴">
      <formula>NOT(ISERROR(SEARCH(("리턴"),(A41))))</formula>
    </cfRule>
  </conditionalFormatting>
  <conditionalFormatting sqref="A41">
    <cfRule type="containsText" dxfId="2" priority="8791" operator="containsText" text="실패">
      <formula>NOT(ISERROR(SEARCH(("실패"),(A41))))</formula>
    </cfRule>
  </conditionalFormatting>
  <conditionalFormatting sqref="A41">
    <cfRule type="containsText" dxfId="3" priority="8792" operator="containsText" text="관리">
      <formula>NOT(ISERROR(SEARCH(("관리"),(A41))))</formula>
    </cfRule>
  </conditionalFormatting>
  <conditionalFormatting sqref="A41">
    <cfRule type="containsText" dxfId="4" priority="8793" operator="containsText" text="등록">
      <formula>NOT(ISERROR(SEARCH(("등록"),(A41))))</formula>
    </cfRule>
  </conditionalFormatting>
  <conditionalFormatting sqref="A41">
    <cfRule type="containsText" dxfId="0" priority="8794" operator="containsText" text="거부">
      <formula>NOT(ISERROR(SEARCH(("거부"),(A41))))</formula>
    </cfRule>
  </conditionalFormatting>
  <conditionalFormatting sqref="A41">
    <cfRule type="containsText" dxfId="1" priority="8795" operator="containsText" text="리턴">
      <formula>NOT(ISERROR(SEARCH(("리턴"),(A41))))</formula>
    </cfRule>
  </conditionalFormatting>
  <conditionalFormatting sqref="A41">
    <cfRule type="containsText" dxfId="2" priority="8796" operator="containsText" text="실패">
      <formula>NOT(ISERROR(SEARCH(("실패"),(A41))))</formula>
    </cfRule>
  </conditionalFormatting>
  <conditionalFormatting sqref="A41">
    <cfRule type="containsText" dxfId="3" priority="8797" operator="containsText" text="관리">
      <formula>NOT(ISERROR(SEARCH(("관리"),(A41))))</formula>
    </cfRule>
  </conditionalFormatting>
  <conditionalFormatting sqref="A41">
    <cfRule type="containsText" dxfId="4" priority="8798" operator="containsText" text="등록">
      <formula>NOT(ISERROR(SEARCH(("등록"),(A41))))</formula>
    </cfRule>
  </conditionalFormatting>
  <conditionalFormatting sqref="A41">
    <cfRule type="containsText" dxfId="0" priority="8799" operator="containsText" text="거부">
      <formula>NOT(ISERROR(SEARCH(("거부"),(A41))))</formula>
    </cfRule>
  </conditionalFormatting>
  <conditionalFormatting sqref="A41">
    <cfRule type="containsText" dxfId="1" priority="8800" operator="containsText" text="리턴">
      <formula>NOT(ISERROR(SEARCH(("리턴"),(A41))))</formula>
    </cfRule>
  </conditionalFormatting>
  <conditionalFormatting sqref="A41">
    <cfRule type="containsText" dxfId="2" priority="8801" operator="containsText" text="실패">
      <formula>NOT(ISERROR(SEARCH(("실패"),(A41))))</formula>
    </cfRule>
  </conditionalFormatting>
  <conditionalFormatting sqref="A41">
    <cfRule type="containsText" dxfId="3" priority="8802" operator="containsText" text="관리">
      <formula>NOT(ISERROR(SEARCH(("관리"),(A41))))</formula>
    </cfRule>
  </conditionalFormatting>
  <conditionalFormatting sqref="A41">
    <cfRule type="containsText" dxfId="4" priority="8803" operator="containsText" text="등록">
      <formula>NOT(ISERROR(SEARCH(("등록"),(A41))))</formula>
    </cfRule>
  </conditionalFormatting>
  <conditionalFormatting sqref="G41">
    <cfRule type="containsText" dxfId="0" priority="8804" operator="containsText" text="거부">
      <formula>NOT(ISERROR(SEARCH(("거부"),(G41))))</formula>
    </cfRule>
  </conditionalFormatting>
  <conditionalFormatting sqref="G41">
    <cfRule type="containsText" dxfId="1" priority="8805" operator="containsText" text="리턴">
      <formula>NOT(ISERROR(SEARCH(("리턴"),(G41))))</formula>
    </cfRule>
  </conditionalFormatting>
  <conditionalFormatting sqref="G41">
    <cfRule type="containsText" dxfId="2" priority="8806" operator="containsText" text="실패">
      <formula>NOT(ISERROR(SEARCH(("실패"),(G41))))</formula>
    </cfRule>
  </conditionalFormatting>
  <conditionalFormatting sqref="G41">
    <cfRule type="containsText" dxfId="3" priority="8807" operator="containsText" text="관리">
      <formula>NOT(ISERROR(SEARCH(("관리"),(G41))))</formula>
    </cfRule>
  </conditionalFormatting>
  <conditionalFormatting sqref="G41">
    <cfRule type="containsText" dxfId="4" priority="8808" operator="containsText" text="등록">
      <formula>NOT(ISERROR(SEARCH(("등록"),(G41))))</formula>
    </cfRule>
  </conditionalFormatting>
  <conditionalFormatting sqref="G41">
    <cfRule type="containsText" dxfId="0" priority="8809" operator="containsText" text="거부">
      <formula>NOT(ISERROR(SEARCH(("거부"),(G41))))</formula>
    </cfRule>
  </conditionalFormatting>
  <conditionalFormatting sqref="G41">
    <cfRule type="containsText" dxfId="1" priority="8810" operator="containsText" text="리턴">
      <formula>NOT(ISERROR(SEARCH(("리턴"),(G41))))</formula>
    </cfRule>
  </conditionalFormatting>
  <conditionalFormatting sqref="G41">
    <cfRule type="containsText" dxfId="2" priority="8811" operator="containsText" text="실패">
      <formula>NOT(ISERROR(SEARCH(("실패"),(G41))))</formula>
    </cfRule>
  </conditionalFormatting>
  <conditionalFormatting sqref="G41">
    <cfRule type="containsText" dxfId="3" priority="8812" operator="containsText" text="관리">
      <formula>NOT(ISERROR(SEARCH(("관리"),(G41))))</formula>
    </cfRule>
  </conditionalFormatting>
  <conditionalFormatting sqref="G41">
    <cfRule type="containsText" dxfId="4" priority="8813" operator="containsText" text="등록">
      <formula>NOT(ISERROR(SEARCH(("등록"),(G41))))</formula>
    </cfRule>
  </conditionalFormatting>
  <conditionalFormatting sqref="G41">
    <cfRule type="containsText" dxfId="0" priority="8814" operator="containsText" text="거부">
      <formula>NOT(ISERROR(SEARCH(("거부"),(G41))))</formula>
    </cfRule>
  </conditionalFormatting>
  <conditionalFormatting sqref="G41">
    <cfRule type="containsText" dxfId="1" priority="8815" operator="containsText" text="리턴">
      <formula>NOT(ISERROR(SEARCH(("리턴"),(G41))))</formula>
    </cfRule>
  </conditionalFormatting>
  <conditionalFormatting sqref="G41">
    <cfRule type="containsText" dxfId="2" priority="8816" operator="containsText" text="실패">
      <formula>NOT(ISERROR(SEARCH(("실패"),(G41))))</formula>
    </cfRule>
  </conditionalFormatting>
  <conditionalFormatting sqref="G41">
    <cfRule type="containsText" dxfId="3" priority="8817" operator="containsText" text="관리">
      <formula>NOT(ISERROR(SEARCH(("관리"),(G41))))</formula>
    </cfRule>
  </conditionalFormatting>
  <conditionalFormatting sqref="G41">
    <cfRule type="containsText" dxfId="4" priority="8818" operator="containsText" text="등록">
      <formula>NOT(ISERROR(SEARCH(("등록"),(G41))))</formula>
    </cfRule>
  </conditionalFormatting>
  <conditionalFormatting sqref="J41">
    <cfRule type="containsText" dxfId="0" priority="8819" operator="containsText" text="거부">
      <formula>NOT(ISERROR(SEARCH(("거부"),(J41))))</formula>
    </cfRule>
  </conditionalFormatting>
  <conditionalFormatting sqref="J41">
    <cfRule type="containsText" dxfId="1" priority="8820" operator="containsText" text="리턴">
      <formula>NOT(ISERROR(SEARCH(("리턴"),(J41))))</formula>
    </cfRule>
  </conditionalFormatting>
  <conditionalFormatting sqref="J41">
    <cfRule type="containsText" dxfId="2" priority="8821" operator="containsText" text="실패">
      <formula>NOT(ISERROR(SEARCH(("실패"),(J41))))</formula>
    </cfRule>
  </conditionalFormatting>
  <conditionalFormatting sqref="J41">
    <cfRule type="containsText" dxfId="3" priority="8822" operator="containsText" text="관리">
      <formula>NOT(ISERROR(SEARCH(("관리"),(J41))))</formula>
    </cfRule>
  </conditionalFormatting>
  <conditionalFormatting sqref="J41">
    <cfRule type="containsText" dxfId="4" priority="8823" operator="containsText" text="등록">
      <formula>NOT(ISERROR(SEARCH(("등록"),(J41))))</formula>
    </cfRule>
  </conditionalFormatting>
  <conditionalFormatting sqref="J41">
    <cfRule type="containsText" dxfId="0" priority="8824" operator="containsText" text="거부">
      <formula>NOT(ISERROR(SEARCH(("거부"),(J41))))</formula>
    </cfRule>
  </conditionalFormatting>
  <conditionalFormatting sqref="J41">
    <cfRule type="containsText" dxfId="1" priority="8825" operator="containsText" text="리턴">
      <formula>NOT(ISERROR(SEARCH(("리턴"),(J41))))</formula>
    </cfRule>
  </conditionalFormatting>
  <conditionalFormatting sqref="J41">
    <cfRule type="containsText" dxfId="2" priority="8826" operator="containsText" text="실패">
      <formula>NOT(ISERROR(SEARCH(("실패"),(J41))))</formula>
    </cfRule>
  </conditionalFormatting>
  <conditionalFormatting sqref="J41">
    <cfRule type="containsText" dxfId="3" priority="8827" operator="containsText" text="관리">
      <formula>NOT(ISERROR(SEARCH(("관리"),(J41))))</formula>
    </cfRule>
  </conditionalFormatting>
  <conditionalFormatting sqref="J41">
    <cfRule type="containsText" dxfId="4" priority="8828" operator="containsText" text="등록">
      <formula>NOT(ISERROR(SEARCH(("등록"),(J41))))</formula>
    </cfRule>
  </conditionalFormatting>
  <conditionalFormatting sqref="J41">
    <cfRule type="containsText" dxfId="0" priority="8829" operator="containsText" text="거부">
      <formula>NOT(ISERROR(SEARCH(("거부"),(J41))))</formula>
    </cfRule>
  </conditionalFormatting>
  <conditionalFormatting sqref="J41">
    <cfRule type="containsText" dxfId="1" priority="8830" operator="containsText" text="리턴">
      <formula>NOT(ISERROR(SEARCH(("리턴"),(J41))))</formula>
    </cfRule>
  </conditionalFormatting>
  <conditionalFormatting sqref="J41">
    <cfRule type="containsText" dxfId="2" priority="8831" operator="containsText" text="실패">
      <formula>NOT(ISERROR(SEARCH(("실패"),(J41))))</formula>
    </cfRule>
  </conditionalFormatting>
  <conditionalFormatting sqref="J41">
    <cfRule type="containsText" dxfId="3" priority="8832" operator="containsText" text="관리">
      <formula>NOT(ISERROR(SEARCH(("관리"),(J41))))</formula>
    </cfRule>
  </conditionalFormatting>
  <conditionalFormatting sqref="J41">
    <cfRule type="containsText" dxfId="4" priority="8833" operator="containsText" text="등록">
      <formula>NOT(ISERROR(SEARCH(("등록"),(J41))))</formula>
    </cfRule>
  </conditionalFormatting>
  <conditionalFormatting sqref="J41">
    <cfRule type="containsText" dxfId="0" priority="8834" operator="containsText" text="거부">
      <formula>NOT(ISERROR(SEARCH(("거부"),(J41))))</formula>
    </cfRule>
  </conditionalFormatting>
  <conditionalFormatting sqref="J41">
    <cfRule type="containsText" dxfId="1" priority="8835" operator="containsText" text="리턴">
      <formula>NOT(ISERROR(SEARCH(("리턴"),(J41))))</formula>
    </cfRule>
  </conditionalFormatting>
  <conditionalFormatting sqref="J41">
    <cfRule type="containsText" dxfId="2" priority="8836" operator="containsText" text="실패">
      <formula>NOT(ISERROR(SEARCH(("실패"),(J41))))</formula>
    </cfRule>
  </conditionalFormatting>
  <conditionalFormatting sqref="J41">
    <cfRule type="containsText" dxfId="3" priority="8837" operator="containsText" text="관리">
      <formula>NOT(ISERROR(SEARCH(("관리"),(J41))))</formula>
    </cfRule>
  </conditionalFormatting>
  <conditionalFormatting sqref="J41">
    <cfRule type="containsText" dxfId="4" priority="8838" operator="containsText" text="등록">
      <formula>NOT(ISERROR(SEARCH(("등록"),(J41))))</formula>
    </cfRule>
  </conditionalFormatting>
  <conditionalFormatting sqref="J41">
    <cfRule type="containsText" dxfId="0" priority="8839" operator="containsText" text="거부">
      <formula>NOT(ISERROR(SEARCH(("거부"),(J41))))</formula>
    </cfRule>
  </conditionalFormatting>
  <conditionalFormatting sqref="J41">
    <cfRule type="containsText" dxfId="1" priority="8840" operator="containsText" text="리턴">
      <formula>NOT(ISERROR(SEARCH(("리턴"),(J41))))</formula>
    </cfRule>
  </conditionalFormatting>
  <conditionalFormatting sqref="J41">
    <cfRule type="containsText" dxfId="2" priority="8841" operator="containsText" text="실패">
      <formula>NOT(ISERROR(SEARCH(("실패"),(J41))))</formula>
    </cfRule>
  </conditionalFormatting>
  <conditionalFormatting sqref="J41">
    <cfRule type="containsText" dxfId="3" priority="8842" operator="containsText" text="관리">
      <formula>NOT(ISERROR(SEARCH(("관리"),(J41))))</formula>
    </cfRule>
  </conditionalFormatting>
  <conditionalFormatting sqref="J41">
    <cfRule type="containsText" dxfId="4" priority="8843" operator="containsText" text="등록">
      <formula>NOT(ISERROR(SEARCH(("등록"),(J41))))</formula>
    </cfRule>
  </conditionalFormatting>
  <conditionalFormatting sqref="J41">
    <cfRule type="containsText" dxfId="0" priority="8844" operator="containsText" text="거부">
      <formula>NOT(ISERROR(SEARCH(("거부"),(J41))))</formula>
    </cfRule>
  </conditionalFormatting>
  <conditionalFormatting sqref="J41">
    <cfRule type="containsText" dxfId="1" priority="8845" operator="containsText" text="리턴">
      <formula>NOT(ISERROR(SEARCH(("리턴"),(J41))))</formula>
    </cfRule>
  </conditionalFormatting>
  <conditionalFormatting sqref="J41">
    <cfRule type="containsText" dxfId="2" priority="8846" operator="containsText" text="실패">
      <formula>NOT(ISERROR(SEARCH(("실패"),(J41))))</formula>
    </cfRule>
  </conditionalFormatting>
  <conditionalFormatting sqref="J41">
    <cfRule type="containsText" dxfId="3" priority="8847" operator="containsText" text="관리">
      <formula>NOT(ISERROR(SEARCH(("관리"),(J41))))</formula>
    </cfRule>
  </conditionalFormatting>
  <conditionalFormatting sqref="J41">
    <cfRule type="containsText" dxfId="4" priority="8848" operator="containsText" text="등록">
      <formula>NOT(ISERROR(SEARCH(("등록"),(J41))))</formula>
    </cfRule>
  </conditionalFormatting>
  <conditionalFormatting sqref="D41">
    <cfRule type="containsText" dxfId="0" priority="8849" operator="containsText" text="거부">
      <formula>NOT(ISERROR(SEARCH(("거부"),(D41))))</formula>
    </cfRule>
  </conditionalFormatting>
  <conditionalFormatting sqref="D41">
    <cfRule type="containsText" dxfId="1" priority="8850" operator="containsText" text="리턴">
      <formula>NOT(ISERROR(SEARCH(("리턴"),(D41))))</formula>
    </cfRule>
  </conditionalFormatting>
  <conditionalFormatting sqref="D41">
    <cfRule type="containsText" dxfId="2" priority="8851" operator="containsText" text="실패">
      <formula>NOT(ISERROR(SEARCH(("실패"),(D41))))</formula>
    </cfRule>
  </conditionalFormatting>
  <conditionalFormatting sqref="D41">
    <cfRule type="containsText" dxfId="3" priority="8852" operator="containsText" text="관리">
      <formula>NOT(ISERROR(SEARCH(("관리"),(D41))))</formula>
    </cfRule>
  </conditionalFormatting>
  <conditionalFormatting sqref="D41">
    <cfRule type="containsText" dxfId="4" priority="8853" operator="containsText" text="등록">
      <formula>NOT(ISERROR(SEARCH(("등록"),(D41))))</formula>
    </cfRule>
  </conditionalFormatting>
  <conditionalFormatting sqref="D41">
    <cfRule type="containsText" dxfId="0" priority="8854" operator="containsText" text="거부">
      <formula>NOT(ISERROR(SEARCH(("거부"),(D41))))</formula>
    </cfRule>
  </conditionalFormatting>
  <conditionalFormatting sqref="D41">
    <cfRule type="containsText" dxfId="1" priority="8855" operator="containsText" text="리턴">
      <formula>NOT(ISERROR(SEARCH(("리턴"),(D41))))</formula>
    </cfRule>
  </conditionalFormatting>
  <conditionalFormatting sqref="D41">
    <cfRule type="containsText" dxfId="2" priority="8856" operator="containsText" text="실패">
      <formula>NOT(ISERROR(SEARCH(("실패"),(D41))))</formula>
    </cfRule>
  </conditionalFormatting>
  <conditionalFormatting sqref="D41">
    <cfRule type="containsText" dxfId="3" priority="8857" operator="containsText" text="관리">
      <formula>NOT(ISERROR(SEARCH(("관리"),(D41))))</formula>
    </cfRule>
  </conditionalFormatting>
  <conditionalFormatting sqref="D41">
    <cfRule type="containsText" dxfId="4" priority="8858" operator="containsText" text="등록">
      <formula>NOT(ISERROR(SEARCH(("등록"),(D41))))</formula>
    </cfRule>
  </conditionalFormatting>
  <conditionalFormatting sqref="D41">
    <cfRule type="containsText" dxfId="0" priority="8859" operator="containsText" text="거부">
      <formula>NOT(ISERROR(SEARCH(("거부"),(D41))))</formula>
    </cfRule>
  </conditionalFormatting>
  <conditionalFormatting sqref="D41">
    <cfRule type="containsText" dxfId="1" priority="8860" operator="containsText" text="리턴">
      <formula>NOT(ISERROR(SEARCH(("리턴"),(D41))))</formula>
    </cfRule>
  </conditionalFormatting>
  <conditionalFormatting sqref="D41">
    <cfRule type="containsText" dxfId="2" priority="8861" operator="containsText" text="실패">
      <formula>NOT(ISERROR(SEARCH(("실패"),(D41))))</formula>
    </cfRule>
  </conditionalFormatting>
  <conditionalFormatting sqref="D41">
    <cfRule type="containsText" dxfId="3" priority="8862" operator="containsText" text="관리">
      <formula>NOT(ISERROR(SEARCH(("관리"),(D41))))</formula>
    </cfRule>
  </conditionalFormatting>
  <conditionalFormatting sqref="D41">
    <cfRule type="containsText" dxfId="4" priority="8863" operator="containsText" text="등록">
      <formula>NOT(ISERROR(SEARCH(("등록"),(D41))))</formula>
    </cfRule>
  </conditionalFormatting>
  <conditionalFormatting sqref="D41">
    <cfRule type="containsText" dxfId="0" priority="8864" operator="containsText" text="거부">
      <formula>NOT(ISERROR(SEARCH(("거부"),(D41))))</formula>
    </cfRule>
  </conditionalFormatting>
  <conditionalFormatting sqref="D41">
    <cfRule type="containsText" dxfId="1" priority="8865" operator="containsText" text="리턴">
      <formula>NOT(ISERROR(SEARCH(("리턴"),(D41))))</formula>
    </cfRule>
  </conditionalFormatting>
  <conditionalFormatting sqref="D41">
    <cfRule type="containsText" dxfId="2" priority="8866" operator="containsText" text="실패">
      <formula>NOT(ISERROR(SEARCH(("실패"),(D41))))</formula>
    </cfRule>
  </conditionalFormatting>
  <conditionalFormatting sqref="D41">
    <cfRule type="containsText" dxfId="3" priority="8867" operator="containsText" text="관리">
      <formula>NOT(ISERROR(SEARCH(("관리"),(D41))))</formula>
    </cfRule>
  </conditionalFormatting>
  <conditionalFormatting sqref="D41">
    <cfRule type="containsText" dxfId="4" priority="8868" operator="containsText" text="등록">
      <formula>NOT(ISERROR(SEARCH(("등록"),(D41))))</formula>
    </cfRule>
  </conditionalFormatting>
  <conditionalFormatting sqref="D41">
    <cfRule type="containsText" dxfId="0" priority="8869" operator="containsText" text="거부">
      <formula>NOT(ISERROR(SEARCH(("거부"),(D41))))</formula>
    </cfRule>
  </conditionalFormatting>
  <conditionalFormatting sqref="D41">
    <cfRule type="containsText" dxfId="1" priority="8870" operator="containsText" text="리턴">
      <formula>NOT(ISERROR(SEARCH(("리턴"),(D41))))</formula>
    </cfRule>
  </conditionalFormatting>
  <conditionalFormatting sqref="D41">
    <cfRule type="containsText" dxfId="2" priority="8871" operator="containsText" text="실패">
      <formula>NOT(ISERROR(SEARCH(("실패"),(D41))))</formula>
    </cfRule>
  </conditionalFormatting>
  <conditionalFormatting sqref="D41">
    <cfRule type="containsText" dxfId="3" priority="8872" operator="containsText" text="관리">
      <formula>NOT(ISERROR(SEARCH(("관리"),(D41))))</formula>
    </cfRule>
  </conditionalFormatting>
  <conditionalFormatting sqref="D41">
    <cfRule type="containsText" dxfId="4" priority="8873" operator="containsText" text="등록">
      <formula>NOT(ISERROR(SEARCH(("등록"),(D41))))</formula>
    </cfRule>
  </conditionalFormatting>
  <conditionalFormatting sqref="D41">
    <cfRule type="containsText" dxfId="0" priority="8874" operator="containsText" text="거부">
      <formula>NOT(ISERROR(SEARCH(("거부"),(D41))))</formula>
    </cfRule>
  </conditionalFormatting>
  <conditionalFormatting sqref="D41">
    <cfRule type="containsText" dxfId="1" priority="8875" operator="containsText" text="리턴">
      <formula>NOT(ISERROR(SEARCH(("리턴"),(D41))))</formula>
    </cfRule>
  </conditionalFormatting>
  <conditionalFormatting sqref="D41">
    <cfRule type="containsText" dxfId="2" priority="8876" operator="containsText" text="실패">
      <formula>NOT(ISERROR(SEARCH(("실패"),(D41))))</formula>
    </cfRule>
  </conditionalFormatting>
  <conditionalFormatting sqref="D41">
    <cfRule type="containsText" dxfId="3" priority="8877" operator="containsText" text="관리">
      <formula>NOT(ISERROR(SEARCH(("관리"),(D41))))</formula>
    </cfRule>
  </conditionalFormatting>
  <conditionalFormatting sqref="D41">
    <cfRule type="containsText" dxfId="4" priority="8878" operator="containsText" text="등록">
      <formula>NOT(ISERROR(SEARCH(("등록"),(D41))))</formula>
    </cfRule>
  </conditionalFormatting>
  <conditionalFormatting sqref="D41">
    <cfRule type="containsText" dxfId="0" priority="8879" operator="containsText" text="거부">
      <formula>NOT(ISERROR(SEARCH(("거부"),(D41))))</formula>
    </cfRule>
  </conditionalFormatting>
  <conditionalFormatting sqref="D41">
    <cfRule type="containsText" dxfId="1" priority="8880" operator="containsText" text="리턴">
      <formula>NOT(ISERROR(SEARCH(("리턴"),(D41))))</formula>
    </cfRule>
  </conditionalFormatting>
  <conditionalFormatting sqref="D41">
    <cfRule type="containsText" dxfId="2" priority="8881" operator="containsText" text="실패">
      <formula>NOT(ISERROR(SEARCH(("실패"),(D41))))</formula>
    </cfRule>
  </conditionalFormatting>
  <conditionalFormatting sqref="D41">
    <cfRule type="containsText" dxfId="3" priority="8882" operator="containsText" text="관리">
      <formula>NOT(ISERROR(SEARCH(("관리"),(D41))))</formula>
    </cfRule>
  </conditionalFormatting>
  <conditionalFormatting sqref="D41">
    <cfRule type="containsText" dxfId="4" priority="8883" operator="containsText" text="등록">
      <formula>NOT(ISERROR(SEARCH(("등록"),(D41))))</formula>
    </cfRule>
  </conditionalFormatting>
  <conditionalFormatting sqref="D41">
    <cfRule type="containsText" dxfId="0" priority="8884" operator="containsText" text="거부">
      <formula>NOT(ISERROR(SEARCH(("거부"),(D41))))</formula>
    </cfRule>
  </conditionalFormatting>
  <conditionalFormatting sqref="D41">
    <cfRule type="containsText" dxfId="1" priority="8885" operator="containsText" text="리턴">
      <formula>NOT(ISERROR(SEARCH(("리턴"),(D41))))</formula>
    </cfRule>
  </conditionalFormatting>
  <conditionalFormatting sqref="D41">
    <cfRule type="containsText" dxfId="2" priority="8886" operator="containsText" text="실패">
      <formula>NOT(ISERROR(SEARCH(("실패"),(D41))))</formula>
    </cfRule>
  </conditionalFormatting>
  <conditionalFormatting sqref="D41">
    <cfRule type="containsText" dxfId="3" priority="8887" operator="containsText" text="관리">
      <formula>NOT(ISERROR(SEARCH(("관리"),(D41))))</formula>
    </cfRule>
  </conditionalFormatting>
  <conditionalFormatting sqref="D41">
    <cfRule type="containsText" dxfId="4" priority="8888" operator="containsText" text="등록">
      <formula>NOT(ISERROR(SEARCH(("등록"),(D41))))</formula>
    </cfRule>
  </conditionalFormatting>
  <conditionalFormatting sqref="D41">
    <cfRule type="containsText" dxfId="0" priority="8889" operator="containsText" text="거부">
      <formula>NOT(ISERROR(SEARCH(("거부"),(D41))))</formula>
    </cfRule>
  </conditionalFormatting>
  <conditionalFormatting sqref="D41">
    <cfRule type="containsText" dxfId="1" priority="8890" operator="containsText" text="리턴">
      <formula>NOT(ISERROR(SEARCH(("리턴"),(D41))))</formula>
    </cfRule>
  </conditionalFormatting>
  <conditionalFormatting sqref="D41">
    <cfRule type="containsText" dxfId="2" priority="8891" operator="containsText" text="실패">
      <formula>NOT(ISERROR(SEARCH(("실패"),(D41))))</formula>
    </cfRule>
  </conditionalFormatting>
  <conditionalFormatting sqref="D41">
    <cfRule type="containsText" dxfId="3" priority="8892" operator="containsText" text="관리">
      <formula>NOT(ISERROR(SEARCH(("관리"),(D41))))</formula>
    </cfRule>
  </conditionalFormatting>
  <conditionalFormatting sqref="D41">
    <cfRule type="containsText" dxfId="4" priority="8893" operator="containsText" text="등록">
      <formula>NOT(ISERROR(SEARCH(("등록"),(D41))))</formula>
    </cfRule>
  </conditionalFormatting>
  <conditionalFormatting sqref="D41">
    <cfRule type="containsText" dxfId="0" priority="8894" operator="containsText" text="거부">
      <formula>NOT(ISERROR(SEARCH(("거부"),(D41))))</formula>
    </cfRule>
  </conditionalFormatting>
  <conditionalFormatting sqref="D41">
    <cfRule type="containsText" dxfId="1" priority="8895" operator="containsText" text="리턴">
      <formula>NOT(ISERROR(SEARCH(("리턴"),(D41))))</formula>
    </cfRule>
  </conditionalFormatting>
  <conditionalFormatting sqref="D41">
    <cfRule type="containsText" dxfId="2" priority="8896" operator="containsText" text="실패">
      <formula>NOT(ISERROR(SEARCH(("실패"),(D41))))</formula>
    </cfRule>
  </conditionalFormatting>
  <conditionalFormatting sqref="D41">
    <cfRule type="containsText" dxfId="3" priority="8897" operator="containsText" text="관리">
      <formula>NOT(ISERROR(SEARCH(("관리"),(D41))))</formula>
    </cfRule>
  </conditionalFormatting>
  <conditionalFormatting sqref="D41">
    <cfRule type="containsText" dxfId="4" priority="8898" operator="containsText" text="등록">
      <formula>NOT(ISERROR(SEARCH(("등록"),(D41))))</formula>
    </cfRule>
  </conditionalFormatting>
  <conditionalFormatting sqref="D41">
    <cfRule type="containsText" dxfId="0" priority="8899" operator="containsText" text="거부">
      <formula>NOT(ISERROR(SEARCH(("거부"),(D41))))</formula>
    </cfRule>
  </conditionalFormatting>
  <conditionalFormatting sqref="D41">
    <cfRule type="containsText" dxfId="1" priority="8900" operator="containsText" text="리턴">
      <formula>NOT(ISERROR(SEARCH(("리턴"),(D41))))</formula>
    </cfRule>
  </conditionalFormatting>
  <conditionalFormatting sqref="D41">
    <cfRule type="containsText" dxfId="2" priority="8901" operator="containsText" text="실패">
      <formula>NOT(ISERROR(SEARCH(("실패"),(D41))))</formula>
    </cfRule>
  </conditionalFormatting>
  <conditionalFormatting sqref="D41">
    <cfRule type="containsText" dxfId="3" priority="8902" operator="containsText" text="관리">
      <formula>NOT(ISERROR(SEARCH(("관리"),(D41))))</formula>
    </cfRule>
  </conditionalFormatting>
  <conditionalFormatting sqref="D41">
    <cfRule type="containsText" dxfId="4" priority="8903" operator="containsText" text="등록">
      <formula>NOT(ISERROR(SEARCH(("등록"),(D41))))</formula>
    </cfRule>
  </conditionalFormatting>
  <conditionalFormatting sqref="D41">
    <cfRule type="containsText" dxfId="0" priority="8904" operator="containsText" text="거부">
      <formula>NOT(ISERROR(SEARCH(("거부"),(D41))))</formula>
    </cfRule>
  </conditionalFormatting>
  <conditionalFormatting sqref="D41">
    <cfRule type="containsText" dxfId="1" priority="8905" operator="containsText" text="리턴">
      <formula>NOT(ISERROR(SEARCH(("리턴"),(D41))))</formula>
    </cfRule>
  </conditionalFormatting>
  <conditionalFormatting sqref="D41">
    <cfRule type="containsText" dxfId="2" priority="8906" operator="containsText" text="실패">
      <formula>NOT(ISERROR(SEARCH(("실패"),(D41))))</formula>
    </cfRule>
  </conditionalFormatting>
  <conditionalFormatting sqref="D41">
    <cfRule type="containsText" dxfId="3" priority="8907" operator="containsText" text="관리">
      <formula>NOT(ISERROR(SEARCH(("관리"),(D41))))</formula>
    </cfRule>
  </conditionalFormatting>
  <conditionalFormatting sqref="D41">
    <cfRule type="containsText" dxfId="4" priority="8908" operator="containsText" text="등록">
      <formula>NOT(ISERROR(SEARCH(("등록"),(D41))))</formula>
    </cfRule>
  </conditionalFormatting>
  <conditionalFormatting sqref="D41">
    <cfRule type="containsText" dxfId="0" priority="8909" operator="containsText" text="거부">
      <formula>NOT(ISERROR(SEARCH(("거부"),(D41))))</formula>
    </cfRule>
  </conditionalFormatting>
  <conditionalFormatting sqref="D41">
    <cfRule type="containsText" dxfId="1" priority="8910" operator="containsText" text="리턴">
      <formula>NOT(ISERROR(SEARCH(("리턴"),(D41))))</formula>
    </cfRule>
  </conditionalFormatting>
  <conditionalFormatting sqref="D41">
    <cfRule type="containsText" dxfId="2" priority="8911" operator="containsText" text="실패">
      <formula>NOT(ISERROR(SEARCH(("실패"),(D41))))</formula>
    </cfRule>
  </conditionalFormatting>
  <conditionalFormatting sqref="D41">
    <cfRule type="containsText" dxfId="3" priority="8912" operator="containsText" text="관리">
      <formula>NOT(ISERROR(SEARCH(("관리"),(D41))))</formula>
    </cfRule>
  </conditionalFormatting>
  <conditionalFormatting sqref="D41">
    <cfRule type="containsText" dxfId="4" priority="8913" operator="containsText" text="등록">
      <formula>NOT(ISERROR(SEARCH(("등록"),(D41))))</formula>
    </cfRule>
  </conditionalFormatting>
  <conditionalFormatting sqref="D41">
    <cfRule type="containsText" dxfId="0" priority="8914" operator="containsText" text="거부">
      <formula>NOT(ISERROR(SEARCH(("거부"),(D41))))</formula>
    </cfRule>
  </conditionalFormatting>
  <conditionalFormatting sqref="D41">
    <cfRule type="containsText" dxfId="1" priority="8915" operator="containsText" text="리턴">
      <formula>NOT(ISERROR(SEARCH(("리턴"),(D41))))</formula>
    </cfRule>
  </conditionalFormatting>
  <conditionalFormatting sqref="D41">
    <cfRule type="containsText" dxfId="2" priority="8916" operator="containsText" text="실패">
      <formula>NOT(ISERROR(SEARCH(("실패"),(D41))))</formula>
    </cfRule>
  </conditionalFormatting>
  <conditionalFormatting sqref="D41">
    <cfRule type="containsText" dxfId="3" priority="8917" operator="containsText" text="관리">
      <formula>NOT(ISERROR(SEARCH(("관리"),(D41))))</formula>
    </cfRule>
  </conditionalFormatting>
  <conditionalFormatting sqref="D41">
    <cfRule type="containsText" dxfId="4" priority="8918" operator="containsText" text="등록">
      <formula>NOT(ISERROR(SEARCH(("등록"),(D41))))</formula>
    </cfRule>
  </conditionalFormatting>
  <conditionalFormatting sqref="D41">
    <cfRule type="containsText" dxfId="0" priority="8919" operator="containsText" text="거부">
      <formula>NOT(ISERROR(SEARCH(("거부"),(D41))))</formula>
    </cfRule>
  </conditionalFormatting>
  <conditionalFormatting sqref="D41">
    <cfRule type="containsText" dxfId="1" priority="8920" operator="containsText" text="리턴">
      <formula>NOT(ISERROR(SEARCH(("리턴"),(D41))))</formula>
    </cfRule>
  </conditionalFormatting>
  <conditionalFormatting sqref="D41">
    <cfRule type="containsText" dxfId="2" priority="8921" operator="containsText" text="실패">
      <formula>NOT(ISERROR(SEARCH(("실패"),(D41))))</formula>
    </cfRule>
  </conditionalFormatting>
  <conditionalFormatting sqref="D41">
    <cfRule type="containsText" dxfId="3" priority="8922" operator="containsText" text="관리">
      <formula>NOT(ISERROR(SEARCH(("관리"),(D41))))</formula>
    </cfRule>
  </conditionalFormatting>
  <conditionalFormatting sqref="D41">
    <cfRule type="containsText" dxfId="4" priority="8923" operator="containsText" text="등록">
      <formula>NOT(ISERROR(SEARCH(("등록"),(D41))))</formula>
    </cfRule>
  </conditionalFormatting>
  <conditionalFormatting sqref="D41">
    <cfRule type="containsText" dxfId="0" priority="8924" operator="containsText" text="거부">
      <formula>NOT(ISERROR(SEARCH(("거부"),(D41))))</formula>
    </cfRule>
  </conditionalFormatting>
  <conditionalFormatting sqref="D41">
    <cfRule type="containsText" dxfId="1" priority="8925" operator="containsText" text="리턴">
      <formula>NOT(ISERROR(SEARCH(("리턴"),(D41))))</formula>
    </cfRule>
  </conditionalFormatting>
  <conditionalFormatting sqref="D41">
    <cfRule type="containsText" dxfId="2" priority="8926" operator="containsText" text="실패">
      <formula>NOT(ISERROR(SEARCH(("실패"),(D41))))</formula>
    </cfRule>
  </conditionalFormatting>
  <conditionalFormatting sqref="D41">
    <cfRule type="containsText" dxfId="3" priority="8927" operator="containsText" text="관리">
      <formula>NOT(ISERROR(SEARCH(("관리"),(D41))))</formula>
    </cfRule>
  </conditionalFormatting>
  <conditionalFormatting sqref="D41">
    <cfRule type="containsText" dxfId="4" priority="8928" operator="containsText" text="등록">
      <formula>NOT(ISERROR(SEARCH(("등록"),(D41))))</formula>
    </cfRule>
  </conditionalFormatting>
  <conditionalFormatting sqref="D41">
    <cfRule type="containsText" dxfId="0" priority="8929" operator="containsText" text="거부">
      <formula>NOT(ISERROR(SEARCH(("거부"),(D41))))</formula>
    </cfRule>
  </conditionalFormatting>
  <conditionalFormatting sqref="D41">
    <cfRule type="containsText" dxfId="1" priority="8930" operator="containsText" text="리턴">
      <formula>NOT(ISERROR(SEARCH(("리턴"),(D41))))</formula>
    </cfRule>
  </conditionalFormatting>
  <conditionalFormatting sqref="D41">
    <cfRule type="containsText" dxfId="2" priority="8931" operator="containsText" text="실패">
      <formula>NOT(ISERROR(SEARCH(("실패"),(D41))))</formula>
    </cfRule>
  </conditionalFormatting>
  <conditionalFormatting sqref="D41">
    <cfRule type="containsText" dxfId="3" priority="8932" operator="containsText" text="관리">
      <formula>NOT(ISERROR(SEARCH(("관리"),(D41))))</formula>
    </cfRule>
  </conditionalFormatting>
  <conditionalFormatting sqref="D41">
    <cfRule type="containsText" dxfId="4" priority="8933" operator="containsText" text="등록">
      <formula>NOT(ISERROR(SEARCH(("등록"),(D41))))</formula>
    </cfRule>
  </conditionalFormatting>
  <conditionalFormatting sqref="D41">
    <cfRule type="containsText" dxfId="0" priority="8934" operator="containsText" text="거부">
      <formula>NOT(ISERROR(SEARCH(("거부"),(D41))))</formula>
    </cfRule>
  </conditionalFormatting>
  <conditionalFormatting sqref="D41">
    <cfRule type="containsText" dxfId="1" priority="8935" operator="containsText" text="리턴">
      <formula>NOT(ISERROR(SEARCH(("리턴"),(D41))))</formula>
    </cfRule>
  </conditionalFormatting>
  <conditionalFormatting sqref="D41">
    <cfRule type="containsText" dxfId="2" priority="8936" operator="containsText" text="실패">
      <formula>NOT(ISERROR(SEARCH(("실패"),(D41))))</formula>
    </cfRule>
  </conditionalFormatting>
  <conditionalFormatting sqref="D41">
    <cfRule type="containsText" dxfId="3" priority="8937" operator="containsText" text="관리">
      <formula>NOT(ISERROR(SEARCH(("관리"),(D41))))</formula>
    </cfRule>
  </conditionalFormatting>
  <conditionalFormatting sqref="D41">
    <cfRule type="containsText" dxfId="4" priority="8938" operator="containsText" text="등록">
      <formula>NOT(ISERROR(SEARCH(("등록"),(D41))))</formula>
    </cfRule>
  </conditionalFormatting>
  <conditionalFormatting sqref="D41">
    <cfRule type="containsText" dxfId="0" priority="8939" operator="containsText" text="거부">
      <formula>NOT(ISERROR(SEARCH(("거부"),(D41))))</formula>
    </cfRule>
  </conditionalFormatting>
  <conditionalFormatting sqref="D41">
    <cfRule type="containsText" dxfId="1" priority="8940" operator="containsText" text="리턴">
      <formula>NOT(ISERROR(SEARCH(("리턴"),(D41))))</formula>
    </cfRule>
  </conditionalFormatting>
  <conditionalFormatting sqref="D41">
    <cfRule type="containsText" dxfId="2" priority="8941" operator="containsText" text="실패">
      <formula>NOT(ISERROR(SEARCH(("실패"),(D41))))</formula>
    </cfRule>
  </conditionalFormatting>
  <conditionalFormatting sqref="D41">
    <cfRule type="containsText" dxfId="3" priority="8942" operator="containsText" text="관리">
      <formula>NOT(ISERROR(SEARCH(("관리"),(D41))))</formula>
    </cfRule>
  </conditionalFormatting>
  <conditionalFormatting sqref="D41">
    <cfRule type="containsText" dxfId="4" priority="8943" operator="containsText" text="등록">
      <formula>NOT(ISERROR(SEARCH(("등록"),(D41))))</formula>
    </cfRule>
  </conditionalFormatting>
  <conditionalFormatting sqref="D41">
    <cfRule type="containsText" dxfId="0" priority="8944" operator="containsText" text="거부">
      <formula>NOT(ISERROR(SEARCH(("거부"),(D41))))</formula>
    </cfRule>
  </conditionalFormatting>
  <conditionalFormatting sqref="D41">
    <cfRule type="containsText" dxfId="1" priority="8945" operator="containsText" text="리턴">
      <formula>NOT(ISERROR(SEARCH(("리턴"),(D41))))</formula>
    </cfRule>
  </conditionalFormatting>
  <conditionalFormatting sqref="D41">
    <cfRule type="containsText" dxfId="2" priority="8946" operator="containsText" text="실패">
      <formula>NOT(ISERROR(SEARCH(("실패"),(D41))))</formula>
    </cfRule>
  </conditionalFormatting>
  <conditionalFormatting sqref="D41">
    <cfRule type="containsText" dxfId="3" priority="8947" operator="containsText" text="관리">
      <formula>NOT(ISERROR(SEARCH(("관리"),(D41))))</formula>
    </cfRule>
  </conditionalFormatting>
  <conditionalFormatting sqref="D41">
    <cfRule type="containsText" dxfId="4" priority="8948" operator="containsText" text="등록">
      <formula>NOT(ISERROR(SEARCH(("등록"),(D41))))</formula>
    </cfRule>
  </conditionalFormatting>
  <conditionalFormatting sqref="D41">
    <cfRule type="containsText" dxfId="0" priority="8949" operator="containsText" text="거부">
      <formula>NOT(ISERROR(SEARCH(("거부"),(D41))))</formula>
    </cfRule>
  </conditionalFormatting>
  <conditionalFormatting sqref="D41">
    <cfRule type="containsText" dxfId="1" priority="8950" operator="containsText" text="리턴">
      <formula>NOT(ISERROR(SEARCH(("리턴"),(D41))))</formula>
    </cfRule>
  </conditionalFormatting>
  <conditionalFormatting sqref="D41">
    <cfRule type="containsText" dxfId="2" priority="8951" operator="containsText" text="실패">
      <formula>NOT(ISERROR(SEARCH(("실패"),(D41))))</formula>
    </cfRule>
  </conditionalFormatting>
  <conditionalFormatting sqref="D41">
    <cfRule type="containsText" dxfId="3" priority="8952" operator="containsText" text="관리">
      <formula>NOT(ISERROR(SEARCH(("관리"),(D41))))</formula>
    </cfRule>
  </conditionalFormatting>
  <conditionalFormatting sqref="D41">
    <cfRule type="containsText" dxfId="4" priority="8953" operator="containsText" text="등록">
      <formula>NOT(ISERROR(SEARCH(("등록"),(D41))))</formula>
    </cfRule>
  </conditionalFormatting>
  <conditionalFormatting sqref="D41">
    <cfRule type="containsText" dxfId="0" priority="8954" operator="containsText" text="거부">
      <formula>NOT(ISERROR(SEARCH(("거부"),(D41))))</formula>
    </cfRule>
  </conditionalFormatting>
  <conditionalFormatting sqref="D41">
    <cfRule type="containsText" dxfId="1" priority="8955" operator="containsText" text="리턴">
      <formula>NOT(ISERROR(SEARCH(("리턴"),(D41))))</formula>
    </cfRule>
  </conditionalFormatting>
  <conditionalFormatting sqref="D41">
    <cfRule type="containsText" dxfId="2" priority="8956" operator="containsText" text="실패">
      <formula>NOT(ISERROR(SEARCH(("실패"),(D41))))</formula>
    </cfRule>
  </conditionalFormatting>
  <conditionalFormatting sqref="D41">
    <cfRule type="containsText" dxfId="3" priority="8957" operator="containsText" text="관리">
      <formula>NOT(ISERROR(SEARCH(("관리"),(D41))))</formula>
    </cfRule>
  </conditionalFormatting>
  <conditionalFormatting sqref="D41">
    <cfRule type="containsText" dxfId="4" priority="8958" operator="containsText" text="등록">
      <formula>NOT(ISERROR(SEARCH(("등록"),(D41))))</formula>
    </cfRule>
  </conditionalFormatting>
  <conditionalFormatting sqref="D41">
    <cfRule type="containsText" dxfId="0" priority="8959" operator="containsText" text="거부">
      <formula>NOT(ISERROR(SEARCH(("거부"),(D41))))</formula>
    </cfRule>
  </conditionalFormatting>
  <conditionalFormatting sqref="D41">
    <cfRule type="containsText" dxfId="1" priority="8960" operator="containsText" text="리턴">
      <formula>NOT(ISERROR(SEARCH(("리턴"),(D41))))</formula>
    </cfRule>
  </conditionalFormatting>
  <conditionalFormatting sqref="D41">
    <cfRule type="containsText" dxfId="2" priority="8961" operator="containsText" text="실패">
      <formula>NOT(ISERROR(SEARCH(("실패"),(D41))))</formula>
    </cfRule>
  </conditionalFormatting>
  <conditionalFormatting sqref="D41">
    <cfRule type="containsText" dxfId="3" priority="8962" operator="containsText" text="관리">
      <formula>NOT(ISERROR(SEARCH(("관리"),(D41))))</formula>
    </cfRule>
  </conditionalFormatting>
  <conditionalFormatting sqref="D41">
    <cfRule type="containsText" dxfId="4" priority="8963" operator="containsText" text="등록">
      <formula>NOT(ISERROR(SEARCH(("등록"),(D41))))</formula>
    </cfRule>
  </conditionalFormatting>
  <conditionalFormatting sqref="D41">
    <cfRule type="containsText" dxfId="0" priority="8964" operator="containsText" text="거부">
      <formula>NOT(ISERROR(SEARCH(("거부"),(D41))))</formula>
    </cfRule>
  </conditionalFormatting>
  <conditionalFormatting sqref="D41">
    <cfRule type="containsText" dxfId="1" priority="8965" operator="containsText" text="리턴">
      <formula>NOT(ISERROR(SEARCH(("리턴"),(D41))))</formula>
    </cfRule>
  </conditionalFormatting>
  <conditionalFormatting sqref="D41">
    <cfRule type="containsText" dxfId="2" priority="8966" operator="containsText" text="실패">
      <formula>NOT(ISERROR(SEARCH(("실패"),(D41))))</formula>
    </cfRule>
  </conditionalFormatting>
  <conditionalFormatting sqref="D41">
    <cfRule type="containsText" dxfId="3" priority="8967" operator="containsText" text="관리">
      <formula>NOT(ISERROR(SEARCH(("관리"),(D41))))</formula>
    </cfRule>
  </conditionalFormatting>
  <conditionalFormatting sqref="D41">
    <cfRule type="containsText" dxfId="4" priority="8968" operator="containsText" text="등록">
      <formula>NOT(ISERROR(SEARCH(("등록"),(D41))))</formula>
    </cfRule>
  </conditionalFormatting>
  <conditionalFormatting sqref="D42">
    <cfRule type="containsText" dxfId="0" priority="8969" operator="containsText" text="거부">
      <formula>NOT(ISERROR(SEARCH(("거부"),(D42))))</formula>
    </cfRule>
  </conditionalFormatting>
  <conditionalFormatting sqref="D42">
    <cfRule type="containsText" dxfId="1" priority="8970" operator="containsText" text="리턴">
      <formula>NOT(ISERROR(SEARCH(("리턴"),(D42))))</formula>
    </cfRule>
  </conditionalFormatting>
  <conditionalFormatting sqref="D42">
    <cfRule type="containsText" dxfId="2" priority="8971" operator="containsText" text="실패">
      <formula>NOT(ISERROR(SEARCH(("실패"),(D42))))</formula>
    </cfRule>
  </conditionalFormatting>
  <conditionalFormatting sqref="D42">
    <cfRule type="containsText" dxfId="3" priority="8972" operator="containsText" text="관리">
      <formula>NOT(ISERROR(SEARCH(("관리"),(D42))))</formula>
    </cfRule>
  </conditionalFormatting>
  <conditionalFormatting sqref="D42">
    <cfRule type="containsText" dxfId="4" priority="8973" operator="containsText" text="등록">
      <formula>NOT(ISERROR(SEARCH(("등록"),(D42))))</formula>
    </cfRule>
  </conditionalFormatting>
  <conditionalFormatting sqref="D42">
    <cfRule type="containsText" dxfId="0" priority="8974" operator="containsText" text="거부">
      <formula>NOT(ISERROR(SEARCH(("거부"),(D42))))</formula>
    </cfRule>
  </conditionalFormatting>
  <conditionalFormatting sqref="D42">
    <cfRule type="containsText" dxfId="1" priority="8975" operator="containsText" text="리턴">
      <formula>NOT(ISERROR(SEARCH(("리턴"),(D42))))</formula>
    </cfRule>
  </conditionalFormatting>
  <conditionalFormatting sqref="D42">
    <cfRule type="containsText" dxfId="2" priority="8976" operator="containsText" text="실패">
      <formula>NOT(ISERROR(SEARCH(("실패"),(D42))))</formula>
    </cfRule>
  </conditionalFormatting>
  <conditionalFormatting sqref="D42">
    <cfRule type="containsText" dxfId="3" priority="8977" operator="containsText" text="관리">
      <formula>NOT(ISERROR(SEARCH(("관리"),(D42))))</formula>
    </cfRule>
  </conditionalFormatting>
  <conditionalFormatting sqref="D42">
    <cfRule type="containsText" dxfId="4" priority="8978" operator="containsText" text="등록">
      <formula>NOT(ISERROR(SEARCH(("등록"),(D42))))</formula>
    </cfRule>
  </conditionalFormatting>
  <conditionalFormatting sqref="D42">
    <cfRule type="containsText" dxfId="0" priority="8979" operator="containsText" text="거부">
      <formula>NOT(ISERROR(SEARCH(("거부"),(D42))))</formula>
    </cfRule>
  </conditionalFormatting>
  <conditionalFormatting sqref="D42">
    <cfRule type="containsText" dxfId="1" priority="8980" operator="containsText" text="리턴">
      <formula>NOT(ISERROR(SEARCH(("리턴"),(D42))))</formula>
    </cfRule>
  </conditionalFormatting>
  <conditionalFormatting sqref="D42">
    <cfRule type="containsText" dxfId="2" priority="8981" operator="containsText" text="실패">
      <formula>NOT(ISERROR(SEARCH(("실패"),(D42))))</formula>
    </cfRule>
  </conditionalFormatting>
  <conditionalFormatting sqref="D42">
    <cfRule type="containsText" dxfId="3" priority="8982" operator="containsText" text="관리">
      <formula>NOT(ISERROR(SEARCH(("관리"),(D42))))</formula>
    </cfRule>
  </conditionalFormatting>
  <conditionalFormatting sqref="D42">
    <cfRule type="containsText" dxfId="4" priority="8983" operator="containsText" text="등록">
      <formula>NOT(ISERROR(SEARCH(("등록"),(D42))))</formula>
    </cfRule>
  </conditionalFormatting>
  <conditionalFormatting sqref="D42">
    <cfRule type="containsText" dxfId="0" priority="8984" operator="containsText" text="거부">
      <formula>NOT(ISERROR(SEARCH(("거부"),(D42))))</formula>
    </cfRule>
  </conditionalFormatting>
  <conditionalFormatting sqref="D42">
    <cfRule type="containsText" dxfId="1" priority="8985" operator="containsText" text="리턴">
      <formula>NOT(ISERROR(SEARCH(("리턴"),(D42))))</formula>
    </cfRule>
  </conditionalFormatting>
  <conditionalFormatting sqref="D42">
    <cfRule type="containsText" dxfId="2" priority="8986" operator="containsText" text="실패">
      <formula>NOT(ISERROR(SEARCH(("실패"),(D42))))</formula>
    </cfRule>
  </conditionalFormatting>
  <conditionalFormatting sqref="D42">
    <cfRule type="containsText" dxfId="3" priority="8987" operator="containsText" text="관리">
      <formula>NOT(ISERROR(SEARCH(("관리"),(D42))))</formula>
    </cfRule>
  </conditionalFormatting>
  <conditionalFormatting sqref="D42">
    <cfRule type="containsText" dxfId="4" priority="8988" operator="containsText" text="등록">
      <formula>NOT(ISERROR(SEARCH(("등록"),(D42))))</formula>
    </cfRule>
  </conditionalFormatting>
  <conditionalFormatting sqref="D42">
    <cfRule type="containsText" dxfId="0" priority="8989" operator="containsText" text="거부">
      <formula>NOT(ISERROR(SEARCH(("거부"),(D42))))</formula>
    </cfRule>
  </conditionalFormatting>
  <conditionalFormatting sqref="D42">
    <cfRule type="containsText" dxfId="1" priority="8990" operator="containsText" text="리턴">
      <formula>NOT(ISERROR(SEARCH(("리턴"),(D42))))</formula>
    </cfRule>
  </conditionalFormatting>
  <conditionalFormatting sqref="D42">
    <cfRule type="containsText" dxfId="2" priority="8991" operator="containsText" text="실패">
      <formula>NOT(ISERROR(SEARCH(("실패"),(D42))))</formula>
    </cfRule>
  </conditionalFormatting>
  <conditionalFormatting sqref="D42">
    <cfRule type="containsText" dxfId="3" priority="8992" operator="containsText" text="관리">
      <formula>NOT(ISERROR(SEARCH(("관리"),(D42))))</formula>
    </cfRule>
  </conditionalFormatting>
  <conditionalFormatting sqref="D42">
    <cfRule type="containsText" dxfId="4" priority="8993" operator="containsText" text="등록">
      <formula>NOT(ISERROR(SEARCH(("등록"),(D42))))</formula>
    </cfRule>
  </conditionalFormatting>
  <conditionalFormatting sqref="D42">
    <cfRule type="containsText" dxfId="0" priority="8994" operator="containsText" text="거부">
      <formula>NOT(ISERROR(SEARCH(("거부"),(D42))))</formula>
    </cfRule>
  </conditionalFormatting>
  <conditionalFormatting sqref="D42">
    <cfRule type="containsText" dxfId="1" priority="8995" operator="containsText" text="리턴">
      <formula>NOT(ISERROR(SEARCH(("리턴"),(D42))))</formula>
    </cfRule>
  </conditionalFormatting>
  <conditionalFormatting sqref="D42">
    <cfRule type="containsText" dxfId="2" priority="8996" operator="containsText" text="실패">
      <formula>NOT(ISERROR(SEARCH(("실패"),(D42))))</formula>
    </cfRule>
  </conditionalFormatting>
  <conditionalFormatting sqref="D42">
    <cfRule type="containsText" dxfId="3" priority="8997" operator="containsText" text="관리">
      <formula>NOT(ISERROR(SEARCH(("관리"),(D42))))</formula>
    </cfRule>
  </conditionalFormatting>
  <conditionalFormatting sqref="D42">
    <cfRule type="containsText" dxfId="4" priority="8998" operator="containsText" text="등록">
      <formula>NOT(ISERROR(SEARCH(("등록"),(D42))))</formula>
    </cfRule>
  </conditionalFormatting>
  <conditionalFormatting sqref="D42">
    <cfRule type="containsText" dxfId="0" priority="8999" operator="containsText" text="거부">
      <formula>NOT(ISERROR(SEARCH(("거부"),(D42))))</formula>
    </cfRule>
  </conditionalFormatting>
  <conditionalFormatting sqref="D42">
    <cfRule type="containsText" dxfId="1" priority="9000" operator="containsText" text="리턴">
      <formula>NOT(ISERROR(SEARCH(("리턴"),(D42))))</formula>
    </cfRule>
  </conditionalFormatting>
  <conditionalFormatting sqref="D42">
    <cfRule type="containsText" dxfId="2" priority="9001" operator="containsText" text="실패">
      <formula>NOT(ISERROR(SEARCH(("실패"),(D42))))</formula>
    </cfRule>
  </conditionalFormatting>
  <conditionalFormatting sqref="D42">
    <cfRule type="containsText" dxfId="3" priority="9002" operator="containsText" text="관리">
      <formula>NOT(ISERROR(SEARCH(("관리"),(D42))))</formula>
    </cfRule>
  </conditionalFormatting>
  <conditionalFormatting sqref="D42">
    <cfRule type="containsText" dxfId="4" priority="9003" operator="containsText" text="등록">
      <formula>NOT(ISERROR(SEARCH(("등록"),(D42))))</formula>
    </cfRule>
  </conditionalFormatting>
  <conditionalFormatting sqref="D42">
    <cfRule type="containsText" dxfId="0" priority="9004" operator="containsText" text="거부">
      <formula>NOT(ISERROR(SEARCH(("거부"),(D42))))</formula>
    </cfRule>
  </conditionalFormatting>
  <conditionalFormatting sqref="D42">
    <cfRule type="containsText" dxfId="1" priority="9005" operator="containsText" text="리턴">
      <formula>NOT(ISERROR(SEARCH(("리턴"),(D42))))</formula>
    </cfRule>
  </conditionalFormatting>
  <conditionalFormatting sqref="D42">
    <cfRule type="containsText" dxfId="2" priority="9006" operator="containsText" text="실패">
      <formula>NOT(ISERROR(SEARCH(("실패"),(D42))))</formula>
    </cfRule>
  </conditionalFormatting>
  <conditionalFormatting sqref="D42">
    <cfRule type="containsText" dxfId="3" priority="9007" operator="containsText" text="관리">
      <formula>NOT(ISERROR(SEARCH(("관리"),(D42))))</formula>
    </cfRule>
  </conditionalFormatting>
  <conditionalFormatting sqref="D42">
    <cfRule type="containsText" dxfId="4" priority="9008" operator="containsText" text="등록">
      <formula>NOT(ISERROR(SEARCH(("등록"),(D42))))</formula>
    </cfRule>
  </conditionalFormatting>
  <conditionalFormatting sqref="D42">
    <cfRule type="containsText" dxfId="0" priority="9009" operator="containsText" text="거부">
      <formula>NOT(ISERROR(SEARCH(("거부"),(D42))))</formula>
    </cfRule>
  </conditionalFormatting>
  <conditionalFormatting sqref="D42">
    <cfRule type="containsText" dxfId="1" priority="9010" operator="containsText" text="리턴">
      <formula>NOT(ISERROR(SEARCH(("리턴"),(D42))))</formula>
    </cfRule>
  </conditionalFormatting>
  <conditionalFormatting sqref="D42">
    <cfRule type="containsText" dxfId="2" priority="9011" operator="containsText" text="실패">
      <formula>NOT(ISERROR(SEARCH(("실패"),(D42))))</formula>
    </cfRule>
  </conditionalFormatting>
  <conditionalFormatting sqref="D42">
    <cfRule type="containsText" dxfId="3" priority="9012" operator="containsText" text="관리">
      <formula>NOT(ISERROR(SEARCH(("관리"),(D42))))</formula>
    </cfRule>
  </conditionalFormatting>
  <conditionalFormatting sqref="D42">
    <cfRule type="containsText" dxfId="4" priority="9013" operator="containsText" text="등록">
      <formula>NOT(ISERROR(SEARCH(("등록"),(D42))))</formula>
    </cfRule>
  </conditionalFormatting>
  <conditionalFormatting sqref="D42">
    <cfRule type="containsText" dxfId="0" priority="9014" operator="containsText" text="거부">
      <formula>NOT(ISERROR(SEARCH(("거부"),(D42))))</formula>
    </cfRule>
  </conditionalFormatting>
  <conditionalFormatting sqref="D42">
    <cfRule type="containsText" dxfId="1" priority="9015" operator="containsText" text="리턴">
      <formula>NOT(ISERROR(SEARCH(("리턴"),(D42))))</formula>
    </cfRule>
  </conditionalFormatting>
  <conditionalFormatting sqref="D42">
    <cfRule type="containsText" dxfId="2" priority="9016" operator="containsText" text="실패">
      <formula>NOT(ISERROR(SEARCH(("실패"),(D42))))</formula>
    </cfRule>
  </conditionalFormatting>
  <conditionalFormatting sqref="D42">
    <cfRule type="containsText" dxfId="3" priority="9017" operator="containsText" text="관리">
      <formula>NOT(ISERROR(SEARCH(("관리"),(D42))))</formula>
    </cfRule>
  </conditionalFormatting>
  <conditionalFormatting sqref="D42">
    <cfRule type="containsText" dxfId="4" priority="9018" operator="containsText" text="등록">
      <formula>NOT(ISERROR(SEARCH(("등록"),(D42))))</formula>
    </cfRule>
  </conditionalFormatting>
  <conditionalFormatting sqref="D42">
    <cfRule type="containsText" dxfId="0" priority="9019" operator="containsText" text="거부">
      <formula>NOT(ISERROR(SEARCH(("거부"),(D42))))</formula>
    </cfRule>
  </conditionalFormatting>
  <conditionalFormatting sqref="D42">
    <cfRule type="containsText" dxfId="1" priority="9020" operator="containsText" text="리턴">
      <formula>NOT(ISERROR(SEARCH(("리턴"),(D42))))</formula>
    </cfRule>
  </conditionalFormatting>
  <conditionalFormatting sqref="D42">
    <cfRule type="containsText" dxfId="2" priority="9021" operator="containsText" text="실패">
      <formula>NOT(ISERROR(SEARCH(("실패"),(D42))))</formula>
    </cfRule>
  </conditionalFormatting>
  <conditionalFormatting sqref="D42">
    <cfRule type="containsText" dxfId="3" priority="9022" operator="containsText" text="관리">
      <formula>NOT(ISERROR(SEARCH(("관리"),(D42))))</formula>
    </cfRule>
  </conditionalFormatting>
  <conditionalFormatting sqref="D42">
    <cfRule type="containsText" dxfId="4" priority="9023" operator="containsText" text="등록">
      <formula>NOT(ISERROR(SEARCH(("등록"),(D42))))</formula>
    </cfRule>
  </conditionalFormatting>
  <conditionalFormatting sqref="D42">
    <cfRule type="containsText" dxfId="0" priority="9024" operator="containsText" text="거부">
      <formula>NOT(ISERROR(SEARCH(("거부"),(D42))))</formula>
    </cfRule>
  </conditionalFormatting>
  <conditionalFormatting sqref="D42">
    <cfRule type="containsText" dxfId="1" priority="9025" operator="containsText" text="리턴">
      <formula>NOT(ISERROR(SEARCH(("리턴"),(D42))))</formula>
    </cfRule>
  </conditionalFormatting>
  <conditionalFormatting sqref="D42">
    <cfRule type="containsText" dxfId="2" priority="9026" operator="containsText" text="실패">
      <formula>NOT(ISERROR(SEARCH(("실패"),(D42))))</formula>
    </cfRule>
  </conditionalFormatting>
  <conditionalFormatting sqref="D42">
    <cfRule type="containsText" dxfId="3" priority="9027" operator="containsText" text="관리">
      <formula>NOT(ISERROR(SEARCH(("관리"),(D42))))</formula>
    </cfRule>
  </conditionalFormatting>
  <conditionalFormatting sqref="D42">
    <cfRule type="containsText" dxfId="4" priority="9028" operator="containsText" text="등록">
      <formula>NOT(ISERROR(SEARCH(("등록"),(D42))))</formula>
    </cfRule>
  </conditionalFormatting>
  <conditionalFormatting sqref="D42">
    <cfRule type="containsText" dxfId="0" priority="9029" operator="containsText" text="거부">
      <formula>NOT(ISERROR(SEARCH(("거부"),(D42))))</formula>
    </cfRule>
  </conditionalFormatting>
  <conditionalFormatting sqref="D42">
    <cfRule type="containsText" dxfId="1" priority="9030" operator="containsText" text="리턴">
      <formula>NOT(ISERROR(SEARCH(("리턴"),(D42))))</formula>
    </cfRule>
  </conditionalFormatting>
  <conditionalFormatting sqref="D42">
    <cfRule type="containsText" dxfId="2" priority="9031" operator="containsText" text="실패">
      <formula>NOT(ISERROR(SEARCH(("실패"),(D42))))</formula>
    </cfRule>
  </conditionalFormatting>
  <conditionalFormatting sqref="D42">
    <cfRule type="containsText" dxfId="3" priority="9032" operator="containsText" text="관리">
      <formula>NOT(ISERROR(SEARCH(("관리"),(D42))))</formula>
    </cfRule>
  </conditionalFormatting>
  <conditionalFormatting sqref="D42">
    <cfRule type="containsText" dxfId="4" priority="9033" operator="containsText" text="등록">
      <formula>NOT(ISERROR(SEARCH(("등록"),(D42))))</formula>
    </cfRule>
  </conditionalFormatting>
  <conditionalFormatting sqref="D42">
    <cfRule type="containsText" dxfId="0" priority="9034" operator="containsText" text="거부">
      <formula>NOT(ISERROR(SEARCH(("거부"),(D42))))</formula>
    </cfRule>
  </conditionalFormatting>
  <conditionalFormatting sqref="D42">
    <cfRule type="containsText" dxfId="1" priority="9035" operator="containsText" text="리턴">
      <formula>NOT(ISERROR(SEARCH(("리턴"),(D42))))</formula>
    </cfRule>
  </conditionalFormatting>
  <conditionalFormatting sqref="D42">
    <cfRule type="containsText" dxfId="2" priority="9036" operator="containsText" text="실패">
      <formula>NOT(ISERROR(SEARCH(("실패"),(D42))))</formula>
    </cfRule>
  </conditionalFormatting>
  <conditionalFormatting sqref="D42">
    <cfRule type="containsText" dxfId="3" priority="9037" operator="containsText" text="관리">
      <formula>NOT(ISERROR(SEARCH(("관리"),(D42))))</formula>
    </cfRule>
  </conditionalFormatting>
  <conditionalFormatting sqref="D42">
    <cfRule type="containsText" dxfId="4" priority="9038" operator="containsText" text="등록">
      <formula>NOT(ISERROR(SEARCH(("등록"),(D42))))</formula>
    </cfRule>
  </conditionalFormatting>
  <conditionalFormatting sqref="D42">
    <cfRule type="containsText" dxfId="0" priority="9039" operator="containsText" text="거부">
      <formula>NOT(ISERROR(SEARCH(("거부"),(D42))))</formula>
    </cfRule>
  </conditionalFormatting>
  <conditionalFormatting sqref="D42">
    <cfRule type="containsText" dxfId="1" priority="9040" operator="containsText" text="리턴">
      <formula>NOT(ISERROR(SEARCH(("리턴"),(D42))))</formula>
    </cfRule>
  </conditionalFormatting>
  <conditionalFormatting sqref="D42">
    <cfRule type="containsText" dxfId="2" priority="9041" operator="containsText" text="실패">
      <formula>NOT(ISERROR(SEARCH(("실패"),(D42))))</formula>
    </cfRule>
  </conditionalFormatting>
  <conditionalFormatting sqref="D42">
    <cfRule type="containsText" dxfId="3" priority="9042" operator="containsText" text="관리">
      <formula>NOT(ISERROR(SEARCH(("관리"),(D42))))</formula>
    </cfRule>
  </conditionalFormatting>
  <conditionalFormatting sqref="D42">
    <cfRule type="containsText" dxfId="4" priority="9043" operator="containsText" text="등록">
      <formula>NOT(ISERROR(SEARCH(("등록"),(D42))))</formula>
    </cfRule>
  </conditionalFormatting>
  <conditionalFormatting sqref="D42">
    <cfRule type="containsText" dxfId="0" priority="9044" operator="containsText" text="거부">
      <formula>NOT(ISERROR(SEARCH(("거부"),(D42))))</formula>
    </cfRule>
  </conditionalFormatting>
  <conditionalFormatting sqref="D42">
    <cfRule type="containsText" dxfId="1" priority="9045" operator="containsText" text="리턴">
      <formula>NOT(ISERROR(SEARCH(("리턴"),(D42))))</formula>
    </cfRule>
  </conditionalFormatting>
  <conditionalFormatting sqref="D42">
    <cfRule type="containsText" dxfId="2" priority="9046" operator="containsText" text="실패">
      <formula>NOT(ISERROR(SEARCH(("실패"),(D42))))</formula>
    </cfRule>
  </conditionalFormatting>
  <conditionalFormatting sqref="D42">
    <cfRule type="containsText" dxfId="3" priority="9047" operator="containsText" text="관리">
      <formula>NOT(ISERROR(SEARCH(("관리"),(D42))))</formula>
    </cfRule>
  </conditionalFormatting>
  <conditionalFormatting sqref="D42">
    <cfRule type="containsText" dxfId="4" priority="9048" operator="containsText" text="등록">
      <formula>NOT(ISERROR(SEARCH(("등록"),(D42))))</formula>
    </cfRule>
  </conditionalFormatting>
  <conditionalFormatting sqref="D42">
    <cfRule type="containsText" dxfId="0" priority="9049" operator="containsText" text="거부">
      <formula>NOT(ISERROR(SEARCH(("거부"),(D42))))</formula>
    </cfRule>
  </conditionalFormatting>
  <conditionalFormatting sqref="D42">
    <cfRule type="containsText" dxfId="1" priority="9050" operator="containsText" text="리턴">
      <formula>NOT(ISERROR(SEARCH(("리턴"),(D42))))</formula>
    </cfRule>
  </conditionalFormatting>
  <conditionalFormatting sqref="D42">
    <cfRule type="containsText" dxfId="2" priority="9051" operator="containsText" text="실패">
      <formula>NOT(ISERROR(SEARCH(("실패"),(D42))))</formula>
    </cfRule>
  </conditionalFormatting>
  <conditionalFormatting sqref="D42">
    <cfRule type="containsText" dxfId="3" priority="9052" operator="containsText" text="관리">
      <formula>NOT(ISERROR(SEARCH(("관리"),(D42))))</formula>
    </cfRule>
  </conditionalFormatting>
  <conditionalFormatting sqref="D42">
    <cfRule type="containsText" dxfId="4" priority="9053" operator="containsText" text="등록">
      <formula>NOT(ISERROR(SEARCH(("등록"),(D42))))</formula>
    </cfRule>
  </conditionalFormatting>
  <conditionalFormatting sqref="D42">
    <cfRule type="containsText" dxfId="0" priority="9054" operator="containsText" text="거부">
      <formula>NOT(ISERROR(SEARCH(("거부"),(D42))))</formula>
    </cfRule>
  </conditionalFormatting>
  <conditionalFormatting sqref="D42">
    <cfRule type="containsText" dxfId="1" priority="9055" operator="containsText" text="리턴">
      <formula>NOT(ISERROR(SEARCH(("리턴"),(D42))))</formula>
    </cfRule>
  </conditionalFormatting>
  <conditionalFormatting sqref="D42">
    <cfRule type="containsText" dxfId="2" priority="9056" operator="containsText" text="실패">
      <formula>NOT(ISERROR(SEARCH(("실패"),(D42))))</formula>
    </cfRule>
  </conditionalFormatting>
  <conditionalFormatting sqref="D42">
    <cfRule type="containsText" dxfId="3" priority="9057" operator="containsText" text="관리">
      <formula>NOT(ISERROR(SEARCH(("관리"),(D42))))</formula>
    </cfRule>
  </conditionalFormatting>
  <conditionalFormatting sqref="D42">
    <cfRule type="containsText" dxfId="4" priority="9058" operator="containsText" text="등록">
      <formula>NOT(ISERROR(SEARCH(("등록"),(D42))))</formula>
    </cfRule>
  </conditionalFormatting>
  <conditionalFormatting sqref="D42">
    <cfRule type="containsText" dxfId="0" priority="9059" operator="containsText" text="거부">
      <formula>NOT(ISERROR(SEARCH(("거부"),(D42))))</formula>
    </cfRule>
  </conditionalFormatting>
  <conditionalFormatting sqref="D42">
    <cfRule type="containsText" dxfId="1" priority="9060" operator="containsText" text="리턴">
      <formula>NOT(ISERROR(SEARCH(("리턴"),(D42))))</formula>
    </cfRule>
  </conditionalFormatting>
  <conditionalFormatting sqref="D42">
    <cfRule type="containsText" dxfId="2" priority="9061" operator="containsText" text="실패">
      <formula>NOT(ISERROR(SEARCH(("실패"),(D42))))</formula>
    </cfRule>
  </conditionalFormatting>
  <conditionalFormatting sqref="D42">
    <cfRule type="containsText" dxfId="3" priority="9062" operator="containsText" text="관리">
      <formula>NOT(ISERROR(SEARCH(("관리"),(D42))))</formula>
    </cfRule>
  </conditionalFormatting>
  <conditionalFormatting sqref="D42">
    <cfRule type="containsText" dxfId="4" priority="9063" operator="containsText" text="등록">
      <formula>NOT(ISERROR(SEARCH(("등록"),(D42))))</formula>
    </cfRule>
  </conditionalFormatting>
  <conditionalFormatting sqref="D42">
    <cfRule type="containsText" dxfId="0" priority="9064" operator="containsText" text="거부">
      <formula>NOT(ISERROR(SEARCH(("거부"),(D42))))</formula>
    </cfRule>
  </conditionalFormatting>
  <conditionalFormatting sqref="D42">
    <cfRule type="containsText" dxfId="1" priority="9065" operator="containsText" text="리턴">
      <formula>NOT(ISERROR(SEARCH(("리턴"),(D42))))</formula>
    </cfRule>
  </conditionalFormatting>
  <conditionalFormatting sqref="D42">
    <cfRule type="containsText" dxfId="2" priority="9066" operator="containsText" text="실패">
      <formula>NOT(ISERROR(SEARCH(("실패"),(D42))))</formula>
    </cfRule>
  </conditionalFormatting>
  <conditionalFormatting sqref="D42">
    <cfRule type="containsText" dxfId="3" priority="9067" operator="containsText" text="관리">
      <formula>NOT(ISERROR(SEARCH(("관리"),(D42))))</formula>
    </cfRule>
  </conditionalFormatting>
  <conditionalFormatting sqref="D42">
    <cfRule type="containsText" dxfId="4" priority="9068" operator="containsText" text="등록">
      <formula>NOT(ISERROR(SEARCH(("등록"),(D42))))</formula>
    </cfRule>
  </conditionalFormatting>
  <conditionalFormatting sqref="D42">
    <cfRule type="containsText" dxfId="0" priority="9069" operator="containsText" text="거부">
      <formula>NOT(ISERROR(SEARCH(("거부"),(D42))))</formula>
    </cfRule>
  </conditionalFormatting>
  <conditionalFormatting sqref="D42">
    <cfRule type="containsText" dxfId="1" priority="9070" operator="containsText" text="리턴">
      <formula>NOT(ISERROR(SEARCH(("리턴"),(D42))))</formula>
    </cfRule>
  </conditionalFormatting>
  <conditionalFormatting sqref="D42">
    <cfRule type="containsText" dxfId="2" priority="9071" operator="containsText" text="실패">
      <formula>NOT(ISERROR(SEARCH(("실패"),(D42))))</formula>
    </cfRule>
  </conditionalFormatting>
  <conditionalFormatting sqref="D42">
    <cfRule type="containsText" dxfId="3" priority="9072" operator="containsText" text="관리">
      <formula>NOT(ISERROR(SEARCH(("관리"),(D42))))</formula>
    </cfRule>
  </conditionalFormatting>
  <conditionalFormatting sqref="D42">
    <cfRule type="containsText" dxfId="4" priority="9073" operator="containsText" text="등록">
      <formula>NOT(ISERROR(SEARCH(("등록"),(D42))))</formula>
    </cfRule>
  </conditionalFormatting>
  <conditionalFormatting sqref="D42">
    <cfRule type="containsText" dxfId="0" priority="9074" operator="containsText" text="거부">
      <formula>NOT(ISERROR(SEARCH(("거부"),(D42))))</formula>
    </cfRule>
  </conditionalFormatting>
  <conditionalFormatting sqref="D42">
    <cfRule type="containsText" dxfId="1" priority="9075" operator="containsText" text="리턴">
      <formula>NOT(ISERROR(SEARCH(("리턴"),(D42))))</formula>
    </cfRule>
  </conditionalFormatting>
  <conditionalFormatting sqref="D42">
    <cfRule type="containsText" dxfId="2" priority="9076" operator="containsText" text="실패">
      <formula>NOT(ISERROR(SEARCH(("실패"),(D42))))</formula>
    </cfRule>
  </conditionalFormatting>
  <conditionalFormatting sqref="D42">
    <cfRule type="containsText" dxfId="3" priority="9077" operator="containsText" text="관리">
      <formula>NOT(ISERROR(SEARCH(("관리"),(D42))))</formula>
    </cfRule>
  </conditionalFormatting>
  <conditionalFormatting sqref="D42">
    <cfRule type="containsText" dxfId="4" priority="9078" operator="containsText" text="등록">
      <formula>NOT(ISERROR(SEARCH(("등록"),(D42))))</formula>
    </cfRule>
  </conditionalFormatting>
  <conditionalFormatting sqref="D42">
    <cfRule type="containsText" dxfId="0" priority="9079" operator="containsText" text="거부">
      <formula>NOT(ISERROR(SEARCH(("거부"),(D42))))</formula>
    </cfRule>
  </conditionalFormatting>
  <conditionalFormatting sqref="D42">
    <cfRule type="containsText" dxfId="1" priority="9080" operator="containsText" text="리턴">
      <formula>NOT(ISERROR(SEARCH(("리턴"),(D42))))</formula>
    </cfRule>
  </conditionalFormatting>
  <conditionalFormatting sqref="D42">
    <cfRule type="containsText" dxfId="2" priority="9081" operator="containsText" text="실패">
      <formula>NOT(ISERROR(SEARCH(("실패"),(D42))))</formula>
    </cfRule>
  </conditionalFormatting>
  <conditionalFormatting sqref="D42">
    <cfRule type="containsText" dxfId="3" priority="9082" operator="containsText" text="관리">
      <formula>NOT(ISERROR(SEARCH(("관리"),(D42))))</formula>
    </cfRule>
  </conditionalFormatting>
  <conditionalFormatting sqref="D42">
    <cfRule type="containsText" dxfId="4" priority="9083" operator="containsText" text="등록">
      <formula>NOT(ISERROR(SEARCH(("등록"),(D42))))</formula>
    </cfRule>
  </conditionalFormatting>
  <conditionalFormatting sqref="D42">
    <cfRule type="containsText" dxfId="0" priority="9084" operator="containsText" text="거부">
      <formula>NOT(ISERROR(SEARCH(("거부"),(D42))))</formula>
    </cfRule>
  </conditionalFormatting>
  <conditionalFormatting sqref="D42">
    <cfRule type="containsText" dxfId="1" priority="9085" operator="containsText" text="리턴">
      <formula>NOT(ISERROR(SEARCH(("리턴"),(D42))))</formula>
    </cfRule>
  </conditionalFormatting>
  <conditionalFormatting sqref="D42">
    <cfRule type="containsText" dxfId="2" priority="9086" operator="containsText" text="실패">
      <formula>NOT(ISERROR(SEARCH(("실패"),(D42))))</formula>
    </cfRule>
  </conditionalFormatting>
  <conditionalFormatting sqref="D42">
    <cfRule type="containsText" dxfId="3" priority="9087" operator="containsText" text="관리">
      <formula>NOT(ISERROR(SEARCH(("관리"),(D42))))</formula>
    </cfRule>
  </conditionalFormatting>
  <conditionalFormatting sqref="D42">
    <cfRule type="containsText" dxfId="4" priority="9088" operator="containsText" text="등록">
      <formula>NOT(ISERROR(SEARCH(("등록"),(D42))))</formula>
    </cfRule>
  </conditionalFormatting>
  <conditionalFormatting sqref="J42">
    <cfRule type="containsText" dxfId="0" priority="9089" operator="containsText" text="거부">
      <formula>NOT(ISERROR(SEARCH(("거부"),(J42))))</formula>
    </cfRule>
  </conditionalFormatting>
  <conditionalFormatting sqref="J42">
    <cfRule type="containsText" dxfId="1" priority="9090" operator="containsText" text="리턴">
      <formula>NOT(ISERROR(SEARCH(("리턴"),(J42))))</formula>
    </cfRule>
  </conditionalFormatting>
  <conditionalFormatting sqref="J42">
    <cfRule type="containsText" dxfId="2" priority="9091" operator="containsText" text="실패">
      <formula>NOT(ISERROR(SEARCH(("실패"),(J42))))</formula>
    </cfRule>
  </conditionalFormatting>
  <conditionalFormatting sqref="J42">
    <cfRule type="containsText" dxfId="3" priority="9092" operator="containsText" text="관리">
      <formula>NOT(ISERROR(SEARCH(("관리"),(J42))))</formula>
    </cfRule>
  </conditionalFormatting>
  <conditionalFormatting sqref="J42">
    <cfRule type="containsText" dxfId="4" priority="9093" operator="containsText" text="등록">
      <formula>NOT(ISERROR(SEARCH(("등록"),(J42))))</formula>
    </cfRule>
  </conditionalFormatting>
  <conditionalFormatting sqref="J42">
    <cfRule type="containsText" dxfId="0" priority="9094" operator="containsText" text="거부">
      <formula>NOT(ISERROR(SEARCH(("거부"),(J42))))</formula>
    </cfRule>
  </conditionalFormatting>
  <conditionalFormatting sqref="J42">
    <cfRule type="containsText" dxfId="1" priority="9095" operator="containsText" text="리턴">
      <formula>NOT(ISERROR(SEARCH(("리턴"),(J42))))</formula>
    </cfRule>
  </conditionalFormatting>
  <conditionalFormatting sqref="J42">
    <cfRule type="containsText" dxfId="2" priority="9096" operator="containsText" text="실패">
      <formula>NOT(ISERROR(SEARCH(("실패"),(J42))))</formula>
    </cfRule>
  </conditionalFormatting>
  <conditionalFormatting sqref="J42">
    <cfRule type="containsText" dxfId="3" priority="9097" operator="containsText" text="관리">
      <formula>NOT(ISERROR(SEARCH(("관리"),(J42))))</formula>
    </cfRule>
  </conditionalFormatting>
  <conditionalFormatting sqref="J42">
    <cfRule type="containsText" dxfId="4" priority="9098" operator="containsText" text="등록">
      <formula>NOT(ISERROR(SEARCH(("등록"),(J42))))</formula>
    </cfRule>
  </conditionalFormatting>
  <conditionalFormatting sqref="J42">
    <cfRule type="containsText" dxfId="0" priority="9099" operator="containsText" text="거부">
      <formula>NOT(ISERROR(SEARCH(("거부"),(J42))))</formula>
    </cfRule>
  </conditionalFormatting>
  <conditionalFormatting sqref="J42">
    <cfRule type="containsText" dxfId="1" priority="9100" operator="containsText" text="리턴">
      <formula>NOT(ISERROR(SEARCH(("리턴"),(J42))))</formula>
    </cfRule>
  </conditionalFormatting>
  <conditionalFormatting sqref="J42">
    <cfRule type="containsText" dxfId="2" priority="9101" operator="containsText" text="실패">
      <formula>NOT(ISERROR(SEARCH(("실패"),(J42))))</formula>
    </cfRule>
  </conditionalFormatting>
  <conditionalFormatting sqref="J42">
    <cfRule type="containsText" dxfId="3" priority="9102" operator="containsText" text="관리">
      <formula>NOT(ISERROR(SEARCH(("관리"),(J42))))</formula>
    </cfRule>
  </conditionalFormatting>
  <conditionalFormatting sqref="J42">
    <cfRule type="containsText" dxfId="4" priority="9103" operator="containsText" text="등록">
      <formula>NOT(ISERROR(SEARCH(("등록"),(J42))))</formula>
    </cfRule>
  </conditionalFormatting>
  <conditionalFormatting sqref="J42">
    <cfRule type="containsText" dxfId="0" priority="9104" operator="containsText" text="거부">
      <formula>NOT(ISERROR(SEARCH(("거부"),(J42))))</formula>
    </cfRule>
  </conditionalFormatting>
  <conditionalFormatting sqref="J42">
    <cfRule type="containsText" dxfId="1" priority="9105" operator="containsText" text="리턴">
      <formula>NOT(ISERROR(SEARCH(("리턴"),(J42))))</formula>
    </cfRule>
  </conditionalFormatting>
  <conditionalFormatting sqref="J42">
    <cfRule type="containsText" dxfId="2" priority="9106" operator="containsText" text="실패">
      <formula>NOT(ISERROR(SEARCH(("실패"),(J42))))</formula>
    </cfRule>
  </conditionalFormatting>
  <conditionalFormatting sqref="J42">
    <cfRule type="containsText" dxfId="3" priority="9107" operator="containsText" text="관리">
      <formula>NOT(ISERROR(SEARCH(("관리"),(J42))))</formula>
    </cfRule>
  </conditionalFormatting>
  <conditionalFormatting sqref="J42">
    <cfRule type="containsText" dxfId="4" priority="9108" operator="containsText" text="등록">
      <formula>NOT(ISERROR(SEARCH(("등록"),(J42))))</formula>
    </cfRule>
  </conditionalFormatting>
  <conditionalFormatting sqref="J42">
    <cfRule type="containsText" dxfId="0" priority="9109" operator="containsText" text="거부">
      <formula>NOT(ISERROR(SEARCH(("거부"),(J42))))</formula>
    </cfRule>
  </conditionalFormatting>
  <conditionalFormatting sqref="J42">
    <cfRule type="containsText" dxfId="1" priority="9110" operator="containsText" text="리턴">
      <formula>NOT(ISERROR(SEARCH(("리턴"),(J42))))</formula>
    </cfRule>
  </conditionalFormatting>
  <conditionalFormatting sqref="J42">
    <cfRule type="containsText" dxfId="2" priority="9111" operator="containsText" text="실패">
      <formula>NOT(ISERROR(SEARCH(("실패"),(J42))))</formula>
    </cfRule>
  </conditionalFormatting>
  <conditionalFormatting sqref="J42">
    <cfRule type="containsText" dxfId="3" priority="9112" operator="containsText" text="관리">
      <formula>NOT(ISERROR(SEARCH(("관리"),(J42))))</formula>
    </cfRule>
  </conditionalFormatting>
  <conditionalFormatting sqref="J42">
    <cfRule type="containsText" dxfId="4" priority="9113" operator="containsText" text="등록">
      <formula>NOT(ISERROR(SEARCH(("등록"),(J42))))</formula>
    </cfRule>
  </conditionalFormatting>
  <conditionalFormatting sqref="J42">
    <cfRule type="containsText" dxfId="0" priority="9114" operator="containsText" text="거부">
      <formula>NOT(ISERROR(SEARCH(("거부"),(J42))))</formula>
    </cfRule>
  </conditionalFormatting>
  <conditionalFormatting sqref="J42">
    <cfRule type="containsText" dxfId="1" priority="9115" operator="containsText" text="리턴">
      <formula>NOT(ISERROR(SEARCH(("리턴"),(J42))))</formula>
    </cfRule>
  </conditionalFormatting>
  <conditionalFormatting sqref="J42">
    <cfRule type="containsText" dxfId="2" priority="9116" operator="containsText" text="실패">
      <formula>NOT(ISERROR(SEARCH(("실패"),(J42))))</formula>
    </cfRule>
  </conditionalFormatting>
  <conditionalFormatting sqref="J42">
    <cfRule type="containsText" dxfId="3" priority="9117" operator="containsText" text="관리">
      <formula>NOT(ISERROR(SEARCH(("관리"),(J42))))</formula>
    </cfRule>
  </conditionalFormatting>
  <conditionalFormatting sqref="J42">
    <cfRule type="containsText" dxfId="4" priority="9118" operator="containsText" text="등록">
      <formula>NOT(ISERROR(SEARCH(("등록"),(J42))))</formula>
    </cfRule>
  </conditionalFormatting>
  <conditionalFormatting sqref="A43:A44">
    <cfRule type="containsText" dxfId="0" priority="9119" operator="containsText" text="거부">
      <formula>NOT(ISERROR(SEARCH(("거부"),(A43))))</formula>
    </cfRule>
  </conditionalFormatting>
  <conditionalFormatting sqref="A43:A44">
    <cfRule type="containsText" dxfId="1" priority="9120" operator="containsText" text="리턴">
      <formula>NOT(ISERROR(SEARCH(("리턴"),(A43))))</formula>
    </cfRule>
  </conditionalFormatting>
  <conditionalFormatting sqref="A43:A44">
    <cfRule type="containsText" dxfId="2" priority="9121" operator="containsText" text="실패">
      <formula>NOT(ISERROR(SEARCH(("실패"),(A43))))</formula>
    </cfRule>
  </conditionalFormatting>
  <conditionalFormatting sqref="A43:A44">
    <cfRule type="containsText" dxfId="3" priority="9122" operator="containsText" text="관리">
      <formula>NOT(ISERROR(SEARCH(("관리"),(A43))))</formula>
    </cfRule>
  </conditionalFormatting>
  <conditionalFormatting sqref="A43:A44">
    <cfRule type="containsText" dxfId="4" priority="9123" operator="containsText" text="등록">
      <formula>NOT(ISERROR(SEARCH(("등록"),(A43))))</formula>
    </cfRule>
  </conditionalFormatting>
  <conditionalFormatting sqref="A43:A44">
    <cfRule type="containsText" dxfId="0" priority="9124" operator="containsText" text="거부">
      <formula>NOT(ISERROR(SEARCH(("거부"),(A43))))</formula>
    </cfRule>
  </conditionalFormatting>
  <conditionalFormatting sqref="A43:A44">
    <cfRule type="containsText" dxfId="1" priority="9125" operator="containsText" text="리턴">
      <formula>NOT(ISERROR(SEARCH(("리턴"),(A43))))</formula>
    </cfRule>
  </conditionalFormatting>
  <conditionalFormatting sqref="A43:A44">
    <cfRule type="containsText" dxfId="2" priority="9126" operator="containsText" text="실패">
      <formula>NOT(ISERROR(SEARCH(("실패"),(A43))))</formula>
    </cfRule>
  </conditionalFormatting>
  <conditionalFormatting sqref="A43:A44">
    <cfRule type="containsText" dxfId="3" priority="9127" operator="containsText" text="관리">
      <formula>NOT(ISERROR(SEARCH(("관리"),(A43))))</formula>
    </cfRule>
  </conditionalFormatting>
  <conditionalFormatting sqref="A43:A44">
    <cfRule type="containsText" dxfId="4" priority="9128" operator="containsText" text="등록">
      <formula>NOT(ISERROR(SEARCH(("등록"),(A43))))</formula>
    </cfRule>
  </conditionalFormatting>
  <conditionalFormatting sqref="A43:A44">
    <cfRule type="containsText" dxfId="0" priority="9129" operator="containsText" text="거부">
      <formula>NOT(ISERROR(SEARCH(("거부"),(A43))))</formula>
    </cfRule>
  </conditionalFormatting>
  <conditionalFormatting sqref="A43:A44">
    <cfRule type="containsText" dxfId="1" priority="9130" operator="containsText" text="리턴">
      <formula>NOT(ISERROR(SEARCH(("리턴"),(A43))))</formula>
    </cfRule>
  </conditionalFormatting>
  <conditionalFormatting sqref="A43:A44">
    <cfRule type="containsText" dxfId="2" priority="9131" operator="containsText" text="실패">
      <formula>NOT(ISERROR(SEARCH(("실패"),(A43))))</formula>
    </cfRule>
  </conditionalFormatting>
  <conditionalFormatting sqref="A43:A44">
    <cfRule type="containsText" dxfId="3" priority="9132" operator="containsText" text="관리">
      <formula>NOT(ISERROR(SEARCH(("관리"),(A43))))</formula>
    </cfRule>
  </conditionalFormatting>
  <conditionalFormatting sqref="A43:A44">
    <cfRule type="containsText" dxfId="4" priority="9133" operator="containsText" text="등록">
      <formula>NOT(ISERROR(SEARCH(("등록"),(A43))))</formula>
    </cfRule>
  </conditionalFormatting>
  <conditionalFormatting sqref="A43:A44">
    <cfRule type="containsText" dxfId="0" priority="9134" operator="containsText" text="거부">
      <formula>NOT(ISERROR(SEARCH(("거부"),(A43))))</formula>
    </cfRule>
  </conditionalFormatting>
  <conditionalFormatting sqref="A43:A44">
    <cfRule type="containsText" dxfId="1" priority="9135" operator="containsText" text="리턴">
      <formula>NOT(ISERROR(SEARCH(("리턴"),(A43))))</formula>
    </cfRule>
  </conditionalFormatting>
  <conditionalFormatting sqref="A43:A44">
    <cfRule type="containsText" dxfId="2" priority="9136" operator="containsText" text="실패">
      <formula>NOT(ISERROR(SEARCH(("실패"),(A43))))</formula>
    </cfRule>
  </conditionalFormatting>
  <conditionalFormatting sqref="A43:A44">
    <cfRule type="containsText" dxfId="3" priority="9137" operator="containsText" text="관리">
      <formula>NOT(ISERROR(SEARCH(("관리"),(A43))))</formula>
    </cfRule>
  </conditionalFormatting>
  <conditionalFormatting sqref="A43:A44">
    <cfRule type="containsText" dxfId="4" priority="9138" operator="containsText" text="등록">
      <formula>NOT(ISERROR(SEARCH(("등록"),(A43))))</formula>
    </cfRule>
  </conditionalFormatting>
  <conditionalFormatting sqref="A43:A44">
    <cfRule type="containsText" dxfId="0" priority="9139" operator="containsText" text="거부">
      <formula>NOT(ISERROR(SEARCH(("거부"),(A43))))</formula>
    </cfRule>
  </conditionalFormatting>
  <conditionalFormatting sqref="A43:A44">
    <cfRule type="containsText" dxfId="1" priority="9140" operator="containsText" text="리턴">
      <formula>NOT(ISERROR(SEARCH(("리턴"),(A43))))</formula>
    </cfRule>
  </conditionalFormatting>
  <conditionalFormatting sqref="A43:A44">
    <cfRule type="containsText" dxfId="2" priority="9141" operator="containsText" text="실패">
      <formula>NOT(ISERROR(SEARCH(("실패"),(A43))))</formula>
    </cfRule>
  </conditionalFormatting>
  <conditionalFormatting sqref="A43:A44">
    <cfRule type="containsText" dxfId="3" priority="9142" operator="containsText" text="관리">
      <formula>NOT(ISERROR(SEARCH(("관리"),(A43))))</formula>
    </cfRule>
  </conditionalFormatting>
  <conditionalFormatting sqref="A43:A44">
    <cfRule type="containsText" dxfId="4" priority="9143" operator="containsText" text="등록">
      <formula>NOT(ISERROR(SEARCH(("등록"),(A43))))</formula>
    </cfRule>
  </conditionalFormatting>
  <conditionalFormatting sqref="D44">
    <cfRule type="containsText" dxfId="0" priority="9144" operator="containsText" text="거부">
      <formula>NOT(ISERROR(SEARCH(("거부"),(D44))))</formula>
    </cfRule>
  </conditionalFormatting>
  <conditionalFormatting sqref="D44">
    <cfRule type="containsText" dxfId="1" priority="9145" operator="containsText" text="리턴">
      <formula>NOT(ISERROR(SEARCH(("리턴"),(D44))))</formula>
    </cfRule>
  </conditionalFormatting>
  <conditionalFormatting sqref="D44">
    <cfRule type="containsText" dxfId="2" priority="9146" operator="containsText" text="실패">
      <formula>NOT(ISERROR(SEARCH(("실패"),(D44))))</formula>
    </cfRule>
  </conditionalFormatting>
  <conditionalFormatting sqref="D44">
    <cfRule type="containsText" dxfId="3" priority="9147" operator="containsText" text="관리">
      <formula>NOT(ISERROR(SEARCH(("관리"),(D44))))</formula>
    </cfRule>
  </conditionalFormatting>
  <conditionalFormatting sqref="D44">
    <cfRule type="containsText" dxfId="4" priority="9148" operator="containsText" text="등록">
      <formula>NOT(ISERROR(SEARCH(("등록"),(D44))))</formula>
    </cfRule>
  </conditionalFormatting>
  <conditionalFormatting sqref="E44">
    <cfRule type="containsText" dxfId="0" priority="9149" operator="containsText" text="거부">
      <formula>NOT(ISERROR(SEARCH(("거부"),(E44))))</formula>
    </cfRule>
  </conditionalFormatting>
  <conditionalFormatting sqref="E44">
    <cfRule type="containsText" dxfId="1" priority="9150" operator="containsText" text="리턴">
      <formula>NOT(ISERROR(SEARCH(("리턴"),(E44))))</formula>
    </cfRule>
  </conditionalFormatting>
  <conditionalFormatting sqref="E44">
    <cfRule type="containsText" dxfId="2" priority="9151" operator="containsText" text="실패">
      <formula>NOT(ISERROR(SEARCH(("실패"),(E44))))</formula>
    </cfRule>
  </conditionalFormatting>
  <conditionalFormatting sqref="E44">
    <cfRule type="containsText" dxfId="3" priority="9152" operator="containsText" text="관리">
      <formula>NOT(ISERROR(SEARCH(("관리"),(E44))))</formula>
    </cfRule>
  </conditionalFormatting>
  <conditionalFormatting sqref="E44">
    <cfRule type="containsText" dxfId="4" priority="9153" operator="containsText" text="등록">
      <formula>NOT(ISERROR(SEARCH(("등록"),(E44))))</formula>
    </cfRule>
  </conditionalFormatting>
  <conditionalFormatting sqref="E44">
    <cfRule type="containsText" dxfId="0" priority="9154" operator="containsText" text="거부">
      <formula>NOT(ISERROR(SEARCH(("거부"),(E44))))</formula>
    </cfRule>
  </conditionalFormatting>
  <conditionalFormatting sqref="E44">
    <cfRule type="containsText" dxfId="1" priority="9155" operator="containsText" text="리턴">
      <formula>NOT(ISERROR(SEARCH(("리턴"),(E44))))</formula>
    </cfRule>
  </conditionalFormatting>
  <conditionalFormatting sqref="E44">
    <cfRule type="containsText" dxfId="2" priority="9156" operator="containsText" text="실패">
      <formula>NOT(ISERROR(SEARCH(("실패"),(E44))))</formula>
    </cfRule>
  </conditionalFormatting>
  <conditionalFormatting sqref="E44">
    <cfRule type="containsText" dxfId="3" priority="9157" operator="containsText" text="관리">
      <formula>NOT(ISERROR(SEARCH(("관리"),(E44))))</formula>
    </cfRule>
  </conditionalFormatting>
  <conditionalFormatting sqref="E44">
    <cfRule type="containsText" dxfId="4" priority="9158" operator="containsText" text="등록">
      <formula>NOT(ISERROR(SEARCH(("등록"),(E44))))</formula>
    </cfRule>
  </conditionalFormatting>
  <conditionalFormatting sqref="G43:G44">
    <cfRule type="containsText" dxfId="0" priority="9159" operator="containsText" text="거부">
      <formula>NOT(ISERROR(SEARCH(("거부"),(G43))))</formula>
    </cfRule>
  </conditionalFormatting>
  <conditionalFormatting sqref="G43:G44">
    <cfRule type="containsText" dxfId="1" priority="9160" operator="containsText" text="리턴">
      <formula>NOT(ISERROR(SEARCH(("리턴"),(G43))))</formula>
    </cfRule>
  </conditionalFormatting>
  <conditionalFormatting sqref="G43:G44">
    <cfRule type="containsText" dxfId="2" priority="9161" operator="containsText" text="실패">
      <formula>NOT(ISERROR(SEARCH(("실패"),(G43))))</formula>
    </cfRule>
  </conditionalFormatting>
  <conditionalFormatting sqref="G43:G44">
    <cfRule type="containsText" dxfId="3" priority="9162" operator="containsText" text="관리">
      <formula>NOT(ISERROR(SEARCH(("관리"),(G43))))</formula>
    </cfRule>
  </conditionalFormatting>
  <conditionalFormatting sqref="G43:G44">
    <cfRule type="containsText" dxfId="4" priority="9163" operator="containsText" text="등록">
      <formula>NOT(ISERROR(SEARCH(("등록"),(G43))))</formula>
    </cfRule>
  </conditionalFormatting>
  <conditionalFormatting sqref="G43:G44">
    <cfRule type="containsText" dxfId="0" priority="9164" operator="containsText" text="거부">
      <formula>NOT(ISERROR(SEARCH(("거부"),(G43))))</formula>
    </cfRule>
  </conditionalFormatting>
  <conditionalFormatting sqref="G43:G44">
    <cfRule type="containsText" dxfId="1" priority="9165" operator="containsText" text="리턴">
      <formula>NOT(ISERROR(SEARCH(("리턴"),(G43))))</formula>
    </cfRule>
  </conditionalFormatting>
  <conditionalFormatting sqref="G43:G44">
    <cfRule type="containsText" dxfId="2" priority="9166" operator="containsText" text="실패">
      <formula>NOT(ISERROR(SEARCH(("실패"),(G43))))</formula>
    </cfRule>
  </conditionalFormatting>
  <conditionalFormatting sqref="G43:G44">
    <cfRule type="containsText" dxfId="3" priority="9167" operator="containsText" text="관리">
      <formula>NOT(ISERROR(SEARCH(("관리"),(G43))))</formula>
    </cfRule>
  </conditionalFormatting>
  <conditionalFormatting sqref="G43:G44">
    <cfRule type="containsText" dxfId="4" priority="9168" operator="containsText" text="등록">
      <formula>NOT(ISERROR(SEARCH(("등록"),(G43))))</formula>
    </cfRule>
  </conditionalFormatting>
  <conditionalFormatting sqref="G43:G44">
    <cfRule type="containsText" dxfId="0" priority="9169" operator="containsText" text="거부">
      <formula>NOT(ISERROR(SEARCH(("거부"),(G43))))</formula>
    </cfRule>
  </conditionalFormatting>
  <conditionalFormatting sqref="G43:G44">
    <cfRule type="containsText" dxfId="1" priority="9170" operator="containsText" text="리턴">
      <formula>NOT(ISERROR(SEARCH(("리턴"),(G43))))</formula>
    </cfRule>
  </conditionalFormatting>
  <conditionalFormatting sqref="G43:G44">
    <cfRule type="containsText" dxfId="2" priority="9171" operator="containsText" text="실패">
      <formula>NOT(ISERROR(SEARCH(("실패"),(G43))))</formula>
    </cfRule>
  </conditionalFormatting>
  <conditionalFormatting sqref="G43:G44">
    <cfRule type="containsText" dxfId="3" priority="9172" operator="containsText" text="관리">
      <formula>NOT(ISERROR(SEARCH(("관리"),(G43))))</formula>
    </cfRule>
  </conditionalFormatting>
  <conditionalFormatting sqref="G43:G44">
    <cfRule type="containsText" dxfId="4" priority="9173" operator="containsText" text="등록">
      <formula>NOT(ISERROR(SEARCH(("등록"),(G43))))</formula>
    </cfRule>
  </conditionalFormatting>
  <conditionalFormatting sqref="J43:J44">
    <cfRule type="containsText" dxfId="0" priority="9174" operator="containsText" text="거부">
      <formula>NOT(ISERROR(SEARCH(("거부"),(J43))))</formula>
    </cfRule>
  </conditionalFormatting>
  <conditionalFormatting sqref="J43:J44">
    <cfRule type="containsText" dxfId="1" priority="9175" operator="containsText" text="리턴">
      <formula>NOT(ISERROR(SEARCH(("리턴"),(J43))))</formula>
    </cfRule>
  </conditionalFormatting>
  <conditionalFormatting sqref="J43:J44">
    <cfRule type="containsText" dxfId="2" priority="9176" operator="containsText" text="실패">
      <formula>NOT(ISERROR(SEARCH(("실패"),(J43))))</formula>
    </cfRule>
  </conditionalFormatting>
  <conditionalFormatting sqref="J43:J44">
    <cfRule type="containsText" dxfId="3" priority="9177" operator="containsText" text="관리">
      <formula>NOT(ISERROR(SEARCH(("관리"),(J43))))</formula>
    </cfRule>
  </conditionalFormatting>
  <conditionalFormatting sqref="J43:J44">
    <cfRule type="containsText" dxfId="4" priority="9178" operator="containsText" text="등록">
      <formula>NOT(ISERROR(SEARCH(("등록"),(J43))))</formula>
    </cfRule>
  </conditionalFormatting>
  <conditionalFormatting sqref="J43:J44">
    <cfRule type="containsText" dxfId="0" priority="9179" operator="containsText" text="거부">
      <formula>NOT(ISERROR(SEARCH(("거부"),(J43))))</formula>
    </cfRule>
  </conditionalFormatting>
  <conditionalFormatting sqref="J43:J44">
    <cfRule type="containsText" dxfId="1" priority="9180" operator="containsText" text="리턴">
      <formula>NOT(ISERROR(SEARCH(("리턴"),(J43))))</formula>
    </cfRule>
  </conditionalFormatting>
  <conditionalFormatting sqref="J43:J44">
    <cfRule type="containsText" dxfId="2" priority="9181" operator="containsText" text="실패">
      <formula>NOT(ISERROR(SEARCH(("실패"),(J43))))</formula>
    </cfRule>
  </conditionalFormatting>
  <conditionalFormatting sqref="J43:J44">
    <cfRule type="containsText" dxfId="3" priority="9182" operator="containsText" text="관리">
      <formula>NOT(ISERROR(SEARCH(("관리"),(J43))))</formula>
    </cfRule>
  </conditionalFormatting>
  <conditionalFormatting sqref="J43:J44">
    <cfRule type="containsText" dxfId="4" priority="9183" operator="containsText" text="등록">
      <formula>NOT(ISERROR(SEARCH(("등록"),(J43))))</formula>
    </cfRule>
  </conditionalFormatting>
  <conditionalFormatting sqref="J43:J44">
    <cfRule type="containsText" dxfId="0" priority="9184" operator="containsText" text="거부">
      <formula>NOT(ISERROR(SEARCH(("거부"),(J43))))</formula>
    </cfRule>
  </conditionalFormatting>
  <conditionalFormatting sqref="J43:J44">
    <cfRule type="containsText" dxfId="1" priority="9185" operator="containsText" text="리턴">
      <formula>NOT(ISERROR(SEARCH(("리턴"),(J43))))</formula>
    </cfRule>
  </conditionalFormatting>
  <conditionalFormatting sqref="J43:J44">
    <cfRule type="containsText" dxfId="2" priority="9186" operator="containsText" text="실패">
      <formula>NOT(ISERROR(SEARCH(("실패"),(J43))))</formula>
    </cfRule>
  </conditionalFormatting>
  <conditionalFormatting sqref="J43:J44">
    <cfRule type="containsText" dxfId="3" priority="9187" operator="containsText" text="관리">
      <formula>NOT(ISERROR(SEARCH(("관리"),(J43))))</formula>
    </cfRule>
  </conditionalFormatting>
  <conditionalFormatting sqref="J43:J44">
    <cfRule type="containsText" dxfId="4" priority="9188" operator="containsText" text="등록">
      <formula>NOT(ISERROR(SEARCH(("등록"),(J43))))</formula>
    </cfRule>
  </conditionalFormatting>
  <conditionalFormatting sqref="J43:J44">
    <cfRule type="containsText" dxfId="0" priority="9189" operator="containsText" text="거부">
      <formula>NOT(ISERROR(SEARCH(("거부"),(J43))))</formula>
    </cfRule>
  </conditionalFormatting>
  <conditionalFormatting sqref="J43:J44">
    <cfRule type="containsText" dxfId="1" priority="9190" operator="containsText" text="리턴">
      <formula>NOT(ISERROR(SEARCH(("리턴"),(J43))))</formula>
    </cfRule>
  </conditionalFormatting>
  <conditionalFormatting sqref="J43:J44">
    <cfRule type="containsText" dxfId="2" priority="9191" operator="containsText" text="실패">
      <formula>NOT(ISERROR(SEARCH(("실패"),(J43))))</formula>
    </cfRule>
  </conditionalFormatting>
  <conditionalFormatting sqref="J43:J44">
    <cfRule type="containsText" dxfId="3" priority="9192" operator="containsText" text="관리">
      <formula>NOT(ISERROR(SEARCH(("관리"),(J43))))</formula>
    </cfRule>
  </conditionalFormatting>
  <conditionalFormatting sqref="J43:J44">
    <cfRule type="containsText" dxfId="4" priority="9193" operator="containsText" text="등록">
      <formula>NOT(ISERROR(SEARCH(("등록"),(J43))))</formula>
    </cfRule>
  </conditionalFormatting>
  <conditionalFormatting sqref="J43:J44">
    <cfRule type="containsText" dxfId="0" priority="9194" operator="containsText" text="거부">
      <formula>NOT(ISERROR(SEARCH(("거부"),(J43))))</formula>
    </cfRule>
  </conditionalFormatting>
  <conditionalFormatting sqref="J43:J44">
    <cfRule type="containsText" dxfId="1" priority="9195" operator="containsText" text="리턴">
      <formula>NOT(ISERROR(SEARCH(("리턴"),(J43))))</formula>
    </cfRule>
  </conditionalFormatting>
  <conditionalFormatting sqref="J43:J44">
    <cfRule type="containsText" dxfId="2" priority="9196" operator="containsText" text="실패">
      <formula>NOT(ISERROR(SEARCH(("실패"),(J43))))</formula>
    </cfRule>
  </conditionalFormatting>
  <conditionalFormatting sqref="J43:J44">
    <cfRule type="containsText" dxfId="3" priority="9197" operator="containsText" text="관리">
      <formula>NOT(ISERROR(SEARCH(("관리"),(J43))))</formula>
    </cfRule>
  </conditionalFormatting>
  <conditionalFormatting sqref="J43:J44">
    <cfRule type="containsText" dxfId="4" priority="9198" operator="containsText" text="등록">
      <formula>NOT(ISERROR(SEARCH(("등록"),(J43))))</formula>
    </cfRule>
  </conditionalFormatting>
  <conditionalFormatting sqref="J43:J44">
    <cfRule type="containsText" dxfId="0" priority="9199" operator="containsText" text="거부">
      <formula>NOT(ISERROR(SEARCH(("거부"),(J43))))</formula>
    </cfRule>
  </conditionalFormatting>
  <conditionalFormatting sqref="J43:J44">
    <cfRule type="containsText" dxfId="1" priority="9200" operator="containsText" text="리턴">
      <formula>NOT(ISERROR(SEARCH(("리턴"),(J43))))</formula>
    </cfRule>
  </conditionalFormatting>
  <conditionalFormatting sqref="J43:J44">
    <cfRule type="containsText" dxfId="2" priority="9201" operator="containsText" text="실패">
      <formula>NOT(ISERROR(SEARCH(("실패"),(J43))))</formula>
    </cfRule>
  </conditionalFormatting>
  <conditionalFormatting sqref="J43:J44">
    <cfRule type="containsText" dxfId="3" priority="9202" operator="containsText" text="관리">
      <formula>NOT(ISERROR(SEARCH(("관리"),(J43))))</formula>
    </cfRule>
  </conditionalFormatting>
  <conditionalFormatting sqref="J43:J44">
    <cfRule type="containsText" dxfId="4" priority="9203" operator="containsText" text="등록">
      <formula>NOT(ISERROR(SEARCH(("등록"),(J43))))</formula>
    </cfRule>
  </conditionalFormatting>
  <conditionalFormatting sqref="A45">
    <cfRule type="containsText" dxfId="0" priority="9204" operator="containsText" text="거부">
      <formula>NOT(ISERROR(SEARCH(("거부"),(A45))))</formula>
    </cfRule>
  </conditionalFormatting>
  <conditionalFormatting sqref="A45">
    <cfRule type="containsText" dxfId="1" priority="9205" operator="containsText" text="리턴">
      <formula>NOT(ISERROR(SEARCH(("리턴"),(A45))))</formula>
    </cfRule>
  </conditionalFormatting>
  <conditionalFormatting sqref="A45">
    <cfRule type="containsText" dxfId="2" priority="9206" operator="containsText" text="실패">
      <formula>NOT(ISERROR(SEARCH(("실패"),(A45))))</formula>
    </cfRule>
  </conditionalFormatting>
  <conditionalFormatting sqref="A45">
    <cfRule type="containsText" dxfId="3" priority="9207" operator="containsText" text="관리">
      <formula>NOT(ISERROR(SEARCH(("관리"),(A45))))</formula>
    </cfRule>
  </conditionalFormatting>
  <conditionalFormatting sqref="A45">
    <cfRule type="containsText" dxfId="4" priority="9208" operator="containsText" text="등록">
      <formula>NOT(ISERROR(SEARCH(("등록"),(A45))))</formula>
    </cfRule>
  </conditionalFormatting>
  <conditionalFormatting sqref="A45">
    <cfRule type="containsText" dxfId="0" priority="9209" operator="containsText" text="거부">
      <formula>NOT(ISERROR(SEARCH(("거부"),(A45))))</formula>
    </cfRule>
  </conditionalFormatting>
  <conditionalFormatting sqref="A45">
    <cfRule type="containsText" dxfId="1" priority="9210" operator="containsText" text="리턴">
      <formula>NOT(ISERROR(SEARCH(("리턴"),(A45))))</formula>
    </cfRule>
  </conditionalFormatting>
  <conditionalFormatting sqref="A45">
    <cfRule type="containsText" dxfId="2" priority="9211" operator="containsText" text="실패">
      <formula>NOT(ISERROR(SEARCH(("실패"),(A45))))</formula>
    </cfRule>
  </conditionalFormatting>
  <conditionalFormatting sqref="A45">
    <cfRule type="containsText" dxfId="3" priority="9212" operator="containsText" text="관리">
      <formula>NOT(ISERROR(SEARCH(("관리"),(A45))))</formula>
    </cfRule>
  </conditionalFormatting>
  <conditionalFormatting sqref="A45">
    <cfRule type="containsText" dxfId="4" priority="9213" operator="containsText" text="등록">
      <formula>NOT(ISERROR(SEARCH(("등록"),(A45))))</formula>
    </cfRule>
  </conditionalFormatting>
  <conditionalFormatting sqref="A45">
    <cfRule type="containsText" dxfId="0" priority="9214" operator="containsText" text="거부">
      <formula>NOT(ISERROR(SEARCH(("거부"),(A45))))</formula>
    </cfRule>
  </conditionalFormatting>
  <conditionalFormatting sqref="A45">
    <cfRule type="containsText" dxfId="1" priority="9215" operator="containsText" text="리턴">
      <formula>NOT(ISERROR(SEARCH(("리턴"),(A45))))</formula>
    </cfRule>
  </conditionalFormatting>
  <conditionalFormatting sqref="A45">
    <cfRule type="containsText" dxfId="2" priority="9216" operator="containsText" text="실패">
      <formula>NOT(ISERROR(SEARCH(("실패"),(A45))))</formula>
    </cfRule>
  </conditionalFormatting>
  <conditionalFormatting sqref="A45">
    <cfRule type="containsText" dxfId="3" priority="9217" operator="containsText" text="관리">
      <formula>NOT(ISERROR(SEARCH(("관리"),(A45))))</formula>
    </cfRule>
  </conditionalFormatting>
  <conditionalFormatting sqref="A45">
    <cfRule type="containsText" dxfId="4" priority="9218" operator="containsText" text="등록">
      <formula>NOT(ISERROR(SEARCH(("등록"),(A45))))</formula>
    </cfRule>
  </conditionalFormatting>
  <conditionalFormatting sqref="A45">
    <cfRule type="containsText" dxfId="0" priority="9219" operator="containsText" text="거부">
      <formula>NOT(ISERROR(SEARCH(("거부"),(A45))))</formula>
    </cfRule>
  </conditionalFormatting>
  <conditionalFormatting sqref="A45">
    <cfRule type="containsText" dxfId="1" priority="9220" operator="containsText" text="리턴">
      <formula>NOT(ISERROR(SEARCH(("리턴"),(A45))))</formula>
    </cfRule>
  </conditionalFormatting>
  <conditionalFormatting sqref="A45">
    <cfRule type="containsText" dxfId="2" priority="9221" operator="containsText" text="실패">
      <formula>NOT(ISERROR(SEARCH(("실패"),(A45))))</formula>
    </cfRule>
  </conditionalFormatting>
  <conditionalFormatting sqref="A45">
    <cfRule type="containsText" dxfId="3" priority="9222" operator="containsText" text="관리">
      <formula>NOT(ISERROR(SEARCH(("관리"),(A45))))</formula>
    </cfRule>
  </conditionalFormatting>
  <conditionalFormatting sqref="A45">
    <cfRule type="containsText" dxfId="4" priority="9223" operator="containsText" text="등록">
      <formula>NOT(ISERROR(SEARCH(("등록"),(A45))))</formula>
    </cfRule>
  </conditionalFormatting>
  <conditionalFormatting sqref="A45">
    <cfRule type="containsText" dxfId="0" priority="9224" operator="containsText" text="거부">
      <formula>NOT(ISERROR(SEARCH(("거부"),(A45))))</formula>
    </cfRule>
  </conditionalFormatting>
  <conditionalFormatting sqref="A45">
    <cfRule type="containsText" dxfId="1" priority="9225" operator="containsText" text="리턴">
      <formula>NOT(ISERROR(SEARCH(("리턴"),(A45))))</formula>
    </cfRule>
  </conditionalFormatting>
  <conditionalFormatting sqref="A45">
    <cfRule type="containsText" dxfId="2" priority="9226" operator="containsText" text="실패">
      <formula>NOT(ISERROR(SEARCH(("실패"),(A45))))</formula>
    </cfRule>
  </conditionalFormatting>
  <conditionalFormatting sqref="A45">
    <cfRule type="containsText" dxfId="3" priority="9227" operator="containsText" text="관리">
      <formula>NOT(ISERROR(SEARCH(("관리"),(A45))))</formula>
    </cfRule>
  </conditionalFormatting>
  <conditionalFormatting sqref="A45">
    <cfRule type="containsText" dxfId="4" priority="9228" operator="containsText" text="등록">
      <formula>NOT(ISERROR(SEARCH(("등록"),(A45))))</formula>
    </cfRule>
  </conditionalFormatting>
  <conditionalFormatting sqref="D45">
    <cfRule type="containsText" dxfId="0" priority="9229" operator="containsText" text="거부">
      <formula>NOT(ISERROR(SEARCH(("거부"),(D45))))</formula>
    </cfRule>
  </conditionalFormatting>
  <conditionalFormatting sqref="D45">
    <cfRule type="containsText" dxfId="1" priority="9230" operator="containsText" text="리턴">
      <formula>NOT(ISERROR(SEARCH(("리턴"),(D45))))</formula>
    </cfRule>
  </conditionalFormatting>
  <conditionalFormatting sqref="D45">
    <cfRule type="containsText" dxfId="2" priority="9231" operator="containsText" text="실패">
      <formula>NOT(ISERROR(SEARCH(("실패"),(D45))))</formula>
    </cfRule>
  </conditionalFormatting>
  <conditionalFormatting sqref="D45">
    <cfRule type="containsText" dxfId="3" priority="9232" operator="containsText" text="관리">
      <formula>NOT(ISERROR(SEARCH(("관리"),(D45))))</formula>
    </cfRule>
  </conditionalFormatting>
  <conditionalFormatting sqref="D45">
    <cfRule type="containsText" dxfId="4" priority="9233" operator="containsText" text="등록">
      <formula>NOT(ISERROR(SEARCH(("등록"),(D45))))</formula>
    </cfRule>
  </conditionalFormatting>
  <conditionalFormatting sqref="D45">
    <cfRule type="containsText" dxfId="0" priority="9234" operator="containsText" text="거부">
      <formula>NOT(ISERROR(SEARCH(("거부"),(D45))))</formula>
    </cfRule>
  </conditionalFormatting>
  <conditionalFormatting sqref="D45">
    <cfRule type="containsText" dxfId="1" priority="9235" operator="containsText" text="리턴">
      <formula>NOT(ISERROR(SEARCH(("리턴"),(D45))))</formula>
    </cfRule>
  </conditionalFormatting>
  <conditionalFormatting sqref="D45">
    <cfRule type="containsText" dxfId="2" priority="9236" operator="containsText" text="실패">
      <formula>NOT(ISERROR(SEARCH(("실패"),(D45))))</formula>
    </cfRule>
  </conditionalFormatting>
  <conditionalFormatting sqref="D45">
    <cfRule type="containsText" dxfId="3" priority="9237" operator="containsText" text="관리">
      <formula>NOT(ISERROR(SEARCH(("관리"),(D45))))</formula>
    </cfRule>
  </conditionalFormatting>
  <conditionalFormatting sqref="D45">
    <cfRule type="containsText" dxfId="4" priority="9238" operator="containsText" text="등록">
      <formula>NOT(ISERROR(SEARCH(("등록"),(D45))))</formula>
    </cfRule>
  </conditionalFormatting>
  <conditionalFormatting sqref="D45">
    <cfRule type="containsText" dxfId="0" priority="9239" operator="containsText" text="거부">
      <formula>NOT(ISERROR(SEARCH(("거부"),(D45))))</formula>
    </cfRule>
  </conditionalFormatting>
  <conditionalFormatting sqref="D45">
    <cfRule type="containsText" dxfId="1" priority="9240" operator="containsText" text="리턴">
      <formula>NOT(ISERROR(SEARCH(("리턴"),(D45))))</formula>
    </cfRule>
  </conditionalFormatting>
  <conditionalFormatting sqref="D45">
    <cfRule type="containsText" dxfId="2" priority="9241" operator="containsText" text="실패">
      <formula>NOT(ISERROR(SEARCH(("실패"),(D45))))</formula>
    </cfRule>
  </conditionalFormatting>
  <conditionalFormatting sqref="D45">
    <cfRule type="containsText" dxfId="3" priority="9242" operator="containsText" text="관리">
      <formula>NOT(ISERROR(SEARCH(("관리"),(D45))))</formula>
    </cfRule>
  </conditionalFormatting>
  <conditionalFormatting sqref="D45">
    <cfRule type="containsText" dxfId="4" priority="9243" operator="containsText" text="등록">
      <formula>NOT(ISERROR(SEARCH(("등록"),(D45))))</formula>
    </cfRule>
  </conditionalFormatting>
  <conditionalFormatting sqref="D45">
    <cfRule type="containsText" dxfId="0" priority="9244" operator="containsText" text="거부">
      <formula>NOT(ISERROR(SEARCH(("거부"),(D45))))</formula>
    </cfRule>
  </conditionalFormatting>
  <conditionalFormatting sqref="D45">
    <cfRule type="containsText" dxfId="1" priority="9245" operator="containsText" text="리턴">
      <formula>NOT(ISERROR(SEARCH(("리턴"),(D45))))</formula>
    </cfRule>
  </conditionalFormatting>
  <conditionalFormatting sqref="D45">
    <cfRule type="containsText" dxfId="2" priority="9246" operator="containsText" text="실패">
      <formula>NOT(ISERROR(SEARCH(("실패"),(D45))))</formula>
    </cfRule>
  </conditionalFormatting>
  <conditionalFormatting sqref="D45">
    <cfRule type="containsText" dxfId="3" priority="9247" operator="containsText" text="관리">
      <formula>NOT(ISERROR(SEARCH(("관리"),(D45))))</formula>
    </cfRule>
  </conditionalFormatting>
  <conditionalFormatting sqref="D45">
    <cfRule type="containsText" dxfId="4" priority="9248" operator="containsText" text="등록">
      <formula>NOT(ISERROR(SEARCH(("등록"),(D45))))</formula>
    </cfRule>
  </conditionalFormatting>
  <conditionalFormatting sqref="D45">
    <cfRule type="containsText" dxfId="0" priority="9249" operator="containsText" text="거부">
      <formula>NOT(ISERROR(SEARCH(("거부"),(D45))))</formula>
    </cfRule>
  </conditionalFormatting>
  <conditionalFormatting sqref="D45">
    <cfRule type="containsText" dxfId="1" priority="9250" operator="containsText" text="리턴">
      <formula>NOT(ISERROR(SEARCH(("리턴"),(D45))))</formula>
    </cfRule>
  </conditionalFormatting>
  <conditionalFormatting sqref="D45">
    <cfRule type="containsText" dxfId="2" priority="9251" operator="containsText" text="실패">
      <formula>NOT(ISERROR(SEARCH(("실패"),(D45))))</formula>
    </cfRule>
  </conditionalFormatting>
  <conditionalFormatting sqref="D45">
    <cfRule type="containsText" dxfId="3" priority="9252" operator="containsText" text="관리">
      <formula>NOT(ISERROR(SEARCH(("관리"),(D45))))</formula>
    </cfRule>
  </conditionalFormatting>
  <conditionalFormatting sqref="D45">
    <cfRule type="containsText" dxfId="4" priority="9253" operator="containsText" text="등록">
      <formula>NOT(ISERROR(SEARCH(("등록"),(D45))))</formula>
    </cfRule>
  </conditionalFormatting>
  <conditionalFormatting sqref="D45">
    <cfRule type="containsText" dxfId="0" priority="9254" operator="containsText" text="거부">
      <formula>NOT(ISERROR(SEARCH(("거부"),(D45))))</formula>
    </cfRule>
  </conditionalFormatting>
  <conditionalFormatting sqref="D45">
    <cfRule type="containsText" dxfId="1" priority="9255" operator="containsText" text="리턴">
      <formula>NOT(ISERROR(SEARCH(("리턴"),(D45))))</formula>
    </cfRule>
  </conditionalFormatting>
  <conditionalFormatting sqref="D45">
    <cfRule type="containsText" dxfId="2" priority="9256" operator="containsText" text="실패">
      <formula>NOT(ISERROR(SEARCH(("실패"),(D45))))</formula>
    </cfRule>
  </conditionalFormatting>
  <conditionalFormatting sqref="D45">
    <cfRule type="containsText" dxfId="3" priority="9257" operator="containsText" text="관리">
      <formula>NOT(ISERROR(SEARCH(("관리"),(D45))))</formula>
    </cfRule>
  </conditionalFormatting>
  <conditionalFormatting sqref="D45">
    <cfRule type="containsText" dxfId="4" priority="9258" operator="containsText" text="등록">
      <formula>NOT(ISERROR(SEARCH(("등록"),(D45))))</formula>
    </cfRule>
  </conditionalFormatting>
  <conditionalFormatting sqref="D45">
    <cfRule type="containsText" dxfId="0" priority="9259" operator="containsText" text="거부">
      <formula>NOT(ISERROR(SEARCH(("거부"),(D45))))</formula>
    </cfRule>
  </conditionalFormatting>
  <conditionalFormatting sqref="D45">
    <cfRule type="containsText" dxfId="1" priority="9260" operator="containsText" text="리턴">
      <formula>NOT(ISERROR(SEARCH(("리턴"),(D45))))</formula>
    </cfRule>
  </conditionalFormatting>
  <conditionalFormatting sqref="D45">
    <cfRule type="containsText" dxfId="2" priority="9261" operator="containsText" text="실패">
      <formula>NOT(ISERROR(SEARCH(("실패"),(D45))))</formula>
    </cfRule>
  </conditionalFormatting>
  <conditionalFormatting sqref="D45">
    <cfRule type="containsText" dxfId="3" priority="9262" operator="containsText" text="관리">
      <formula>NOT(ISERROR(SEARCH(("관리"),(D45))))</formula>
    </cfRule>
  </conditionalFormatting>
  <conditionalFormatting sqref="D45">
    <cfRule type="containsText" dxfId="4" priority="9263" operator="containsText" text="등록">
      <formula>NOT(ISERROR(SEARCH(("등록"),(D45))))</formula>
    </cfRule>
  </conditionalFormatting>
  <conditionalFormatting sqref="D45">
    <cfRule type="containsText" dxfId="0" priority="9264" operator="containsText" text="거부">
      <formula>NOT(ISERROR(SEARCH(("거부"),(D45))))</formula>
    </cfRule>
  </conditionalFormatting>
  <conditionalFormatting sqref="D45">
    <cfRule type="containsText" dxfId="1" priority="9265" operator="containsText" text="리턴">
      <formula>NOT(ISERROR(SEARCH(("리턴"),(D45))))</formula>
    </cfRule>
  </conditionalFormatting>
  <conditionalFormatting sqref="D45">
    <cfRule type="containsText" dxfId="2" priority="9266" operator="containsText" text="실패">
      <formula>NOT(ISERROR(SEARCH(("실패"),(D45))))</formula>
    </cfRule>
  </conditionalFormatting>
  <conditionalFormatting sqref="D45">
    <cfRule type="containsText" dxfId="3" priority="9267" operator="containsText" text="관리">
      <formula>NOT(ISERROR(SEARCH(("관리"),(D45))))</formula>
    </cfRule>
  </conditionalFormatting>
  <conditionalFormatting sqref="D45">
    <cfRule type="containsText" dxfId="4" priority="9268" operator="containsText" text="등록">
      <formula>NOT(ISERROR(SEARCH(("등록"),(D45))))</formula>
    </cfRule>
  </conditionalFormatting>
  <conditionalFormatting sqref="D45">
    <cfRule type="containsText" dxfId="0" priority="9269" operator="containsText" text="거부">
      <formula>NOT(ISERROR(SEARCH(("거부"),(D45))))</formula>
    </cfRule>
  </conditionalFormatting>
  <conditionalFormatting sqref="D45">
    <cfRule type="containsText" dxfId="1" priority="9270" operator="containsText" text="리턴">
      <formula>NOT(ISERROR(SEARCH(("리턴"),(D45))))</formula>
    </cfRule>
  </conditionalFormatting>
  <conditionalFormatting sqref="D45">
    <cfRule type="containsText" dxfId="2" priority="9271" operator="containsText" text="실패">
      <formula>NOT(ISERROR(SEARCH(("실패"),(D45))))</formula>
    </cfRule>
  </conditionalFormatting>
  <conditionalFormatting sqref="D45">
    <cfRule type="containsText" dxfId="3" priority="9272" operator="containsText" text="관리">
      <formula>NOT(ISERROR(SEARCH(("관리"),(D45))))</formula>
    </cfRule>
  </conditionalFormatting>
  <conditionalFormatting sqref="D45">
    <cfRule type="containsText" dxfId="4" priority="9273" operator="containsText" text="등록">
      <formula>NOT(ISERROR(SEARCH(("등록"),(D45))))</formula>
    </cfRule>
  </conditionalFormatting>
  <conditionalFormatting sqref="D45">
    <cfRule type="containsText" dxfId="0" priority="9274" operator="containsText" text="거부">
      <formula>NOT(ISERROR(SEARCH(("거부"),(D45))))</formula>
    </cfRule>
  </conditionalFormatting>
  <conditionalFormatting sqref="D45">
    <cfRule type="containsText" dxfId="1" priority="9275" operator="containsText" text="리턴">
      <formula>NOT(ISERROR(SEARCH(("리턴"),(D45))))</formula>
    </cfRule>
  </conditionalFormatting>
  <conditionalFormatting sqref="D45">
    <cfRule type="containsText" dxfId="2" priority="9276" operator="containsText" text="실패">
      <formula>NOT(ISERROR(SEARCH(("실패"),(D45))))</formula>
    </cfRule>
  </conditionalFormatting>
  <conditionalFormatting sqref="D45">
    <cfRule type="containsText" dxfId="3" priority="9277" operator="containsText" text="관리">
      <formula>NOT(ISERROR(SEARCH(("관리"),(D45))))</formula>
    </cfRule>
  </conditionalFormatting>
  <conditionalFormatting sqref="D45">
    <cfRule type="containsText" dxfId="4" priority="9278" operator="containsText" text="등록">
      <formula>NOT(ISERROR(SEARCH(("등록"),(D45))))</formula>
    </cfRule>
  </conditionalFormatting>
  <conditionalFormatting sqref="D45">
    <cfRule type="containsText" dxfId="0" priority="9279" operator="containsText" text="거부">
      <formula>NOT(ISERROR(SEARCH(("거부"),(D45))))</formula>
    </cfRule>
  </conditionalFormatting>
  <conditionalFormatting sqref="D45">
    <cfRule type="containsText" dxfId="1" priority="9280" operator="containsText" text="리턴">
      <formula>NOT(ISERROR(SEARCH(("리턴"),(D45))))</formula>
    </cfRule>
  </conditionalFormatting>
  <conditionalFormatting sqref="D45">
    <cfRule type="containsText" dxfId="2" priority="9281" operator="containsText" text="실패">
      <formula>NOT(ISERROR(SEARCH(("실패"),(D45))))</formula>
    </cfRule>
  </conditionalFormatting>
  <conditionalFormatting sqref="D45">
    <cfRule type="containsText" dxfId="3" priority="9282" operator="containsText" text="관리">
      <formula>NOT(ISERROR(SEARCH(("관리"),(D45))))</formula>
    </cfRule>
  </conditionalFormatting>
  <conditionalFormatting sqref="D45">
    <cfRule type="containsText" dxfId="4" priority="9283" operator="containsText" text="등록">
      <formula>NOT(ISERROR(SEARCH(("등록"),(D45))))</formula>
    </cfRule>
  </conditionalFormatting>
  <conditionalFormatting sqref="D45">
    <cfRule type="containsText" dxfId="0" priority="9284" operator="containsText" text="거부">
      <formula>NOT(ISERROR(SEARCH(("거부"),(D45))))</formula>
    </cfRule>
  </conditionalFormatting>
  <conditionalFormatting sqref="D45">
    <cfRule type="containsText" dxfId="1" priority="9285" operator="containsText" text="리턴">
      <formula>NOT(ISERROR(SEARCH(("리턴"),(D45))))</formula>
    </cfRule>
  </conditionalFormatting>
  <conditionalFormatting sqref="D45">
    <cfRule type="containsText" dxfId="2" priority="9286" operator="containsText" text="실패">
      <formula>NOT(ISERROR(SEARCH(("실패"),(D45))))</formula>
    </cfRule>
  </conditionalFormatting>
  <conditionalFormatting sqref="D45">
    <cfRule type="containsText" dxfId="3" priority="9287" operator="containsText" text="관리">
      <formula>NOT(ISERROR(SEARCH(("관리"),(D45))))</formula>
    </cfRule>
  </conditionalFormatting>
  <conditionalFormatting sqref="D45">
    <cfRule type="containsText" dxfId="4" priority="9288" operator="containsText" text="등록">
      <formula>NOT(ISERROR(SEARCH(("등록"),(D45))))</formula>
    </cfRule>
  </conditionalFormatting>
  <conditionalFormatting sqref="D45">
    <cfRule type="containsText" dxfId="0" priority="9289" operator="containsText" text="거부">
      <formula>NOT(ISERROR(SEARCH(("거부"),(D45))))</formula>
    </cfRule>
  </conditionalFormatting>
  <conditionalFormatting sqref="D45">
    <cfRule type="containsText" dxfId="1" priority="9290" operator="containsText" text="리턴">
      <formula>NOT(ISERROR(SEARCH(("리턴"),(D45))))</formula>
    </cfRule>
  </conditionalFormatting>
  <conditionalFormatting sqref="D45">
    <cfRule type="containsText" dxfId="2" priority="9291" operator="containsText" text="실패">
      <formula>NOT(ISERROR(SEARCH(("실패"),(D45))))</formula>
    </cfRule>
  </conditionalFormatting>
  <conditionalFormatting sqref="D45">
    <cfRule type="containsText" dxfId="3" priority="9292" operator="containsText" text="관리">
      <formula>NOT(ISERROR(SEARCH(("관리"),(D45))))</formula>
    </cfRule>
  </conditionalFormatting>
  <conditionalFormatting sqref="D45">
    <cfRule type="containsText" dxfId="4" priority="9293" operator="containsText" text="등록">
      <formula>NOT(ISERROR(SEARCH(("등록"),(D45))))</formula>
    </cfRule>
  </conditionalFormatting>
  <conditionalFormatting sqref="D45">
    <cfRule type="containsText" dxfId="0" priority="9294" operator="containsText" text="거부">
      <formula>NOT(ISERROR(SEARCH(("거부"),(D45))))</formula>
    </cfRule>
  </conditionalFormatting>
  <conditionalFormatting sqref="D45">
    <cfRule type="containsText" dxfId="1" priority="9295" operator="containsText" text="리턴">
      <formula>NOT(ISERROR(SEARCH(("리턴"),(D45))))</formula>
    </cfRule>
  </conditionalFormatting>
  <conditionalFormatting sqref="D45">
    <cfRule type="containsText" dxfId="2" priority="9296" operator="containsText" text="실패">
      <formula>NOT(ISERROR(SEARCH(("실패"),(D45))))</formula>
    </cfRule>
  </conditionalFormatting>
  <conditionalFormatting sqref="D45">
    <cfRule type="containsText" dxfId="3" priority="9297" operator="containsText" text="관리">
      <formula>NOT(ISERROR(SEARCH(("관리"),(D45))))</formula>
    </cfRule>
  </conditionalFormatting>
  <conditionalFormatting sqref="D45">
    <cfRule type="containsText" dxfId="4" priority="9298" operator="containsText" text="등록">
      <formula>NOT(ISERROR(SEARCH(("등록"),(D45))))</formula>
    </cfRule>
  </conditionalFormatting>
  <conditionalFormatting sqref="D45">
    <cfRule type="containsText" dxfId="0" priority="9299" operator="containsText" text="거부">
      <formula>NOT(ISERROR(SEARCH(("거부"),(D45))))</formula>
    </cfRule>
  </conditionalFormatting>
  <conditionalFormatting sqref="D45">
    <cfRule type="containsText" dxfId="1" priority="9300" operator="containsText" text="리턴">
      <formula>NOT(ISERROR(SEARCH(("리턴"),(D45))))</formula>
    </cfRule>
  </conditionalFormatting>
  <conditionalFormatting sqref="D45">
    <cfRule type="containsText" dxfId="2" priority="9301" operator="containsText" text="실패">
      <formula>NOT(ISERROR(SEARCH(("실패"),(D45))))</formula>
    </cfRule>
  </conditionalFormatting>
  <conditionalFormatting sqref="D45">
    <cfRule type="containsText" dxfId="3" priority="9302" operator="containsText" text="관리">
      <formula>NOT(ISERROR(SEARCH(("관리"),(D45))))</formula>
    </cfRule>
  </conditionalFormatting>
  <conditionalFormatting sqref="D45">
    <cfRule type="containsText" dxfId="4" priority="9303" operator="containsText" text="등록">
      <formula>NOT(ISERROR(SEARCH(("등록"),(D45))))</formula>
    </cfRule>
  </conditionalFormatting>
  <conditionalFormatting sqref="D45">
    <cfRule type="containsText" dxfId="0" priority="9304" operator="containsText" text="거부">
      <formula>NOT(ISERROR(SEARCH(("거부"),(D45))))</formula>
    </cfRule>
  </conditionalFormatting>
  <conditionalFormatting sqref="D45">
    <cfRule type="containsText" dxfId="1" priority="9305" operator="containsText" text="리턴">
      <formula>NOT(ISERROR(SEARCH(("리턴"),(D45))))</formula>
    </cfRule>
  </conditionalFormatting>
  <conditionalFormatting sqref="D45">
    <cfRule type="containsText" dxfId="2" priority="9306" operator="containsText" text="실패">
      <formula>NOT(ISERROR(SEARCH(("실패"),(D45))))</formula>
    </cfRule>
  </conditionalFormatting>
  <conditionalFormatting sqref="D45">
    <cfRule type="containsText" dxfId="3" priority="9307" operator="containsText" text="관리">
      <formula>NOT(ISERROR(SEARCH(("관리"),(D45))))</formula>
    </cfRule>
  </conditionalFormatting>
  <conditionalFormatting sqref="D45">
    <cfRule type="containsText" dxfId="4" priority="9308" operator="containsText" text="등록">
      <formula>NOT(ISERROR(SEARCH(("등록"),(D45))))</formula>
    </cfRule>
  </conditionalFormatting>
  <conditionalFormatting sqref="D45">
    <cfRule type="containsText" dxfId="0" priority="9309" operator="containsText" text="거부">
      <formula>NOT(ISERROR(SEARCH(("거부"),(D45))))</formula>
    </cfRule>
  </conditionalFormatting>
  <conditionalFormatting sqref="D45">
    <cfRule type="containsText" dxfId="1" priority="9310" operator="containsText" text="리턴">
      <formula>NOT(ISERROR(SEARCH(("리턴"),(D45))))</formula>
    </cfRule>
  </conditionalFormatting>
  <conditionalFormatting sqref="D45">
    <cfRule type="containsText" dxfId="2" priority="9311" operator="containsText" text="실패">
      <formula>NOT(ISERROR(SEARCH(("실패"),(D45))))</formula>
    </cfRule>
  </conditionalFormatting>
  <conditionalFormatting sqref="D45">
    <cfRule type="containsText" dxfId="3" priority="9312" operator="containsText" text="관리">
      <formula>NOT(ISERROR(SEARCH(("관리"),(D45))))</formula>
    </cfRule>
  </conditionalFormatting>
  <conditionalFormatting sqref="D45">
    <cfRule type="containsText" dxfId="4" priority="9313" operator="containsText" text="등록">
      <formula>NOT(ISERROR(SEARCH(("등록"),(D45))))</formula>
    </cfRule>
  </conditionalFormatting>
  <conditionalFormatting sqref="D45">
    <cfRule type="containsText" dxfId="0" priority="9314" operator="containsText" text="거부">
      <formula>NOT(ISERROR(SEARCH(("거부"),(D45))))</formula>
    </cfRule>
  </conditionalFormatting>
  <conditionalFormatting sqref="D45">
    <cfRule type="containsText" dxfId="1" priority="9315" operator="containsText" text="리턴">
      <formula>NOT(ISERROR(SEARCH(("리턴"),(D45))))</formula>
    </cfRule>
  </conditionalFormatting>
  <conditionalFormatting sqref="D45">
    <cfRule type="containsText" dxfId="2" priority="9316" operator="containsText" text="실패">
      <formula>NOT(ISERROR(SEARCH(("실패"),(D45))))</formula>
    </cfRule>
  </conditionalFormatting>
  <conditionalFormatting sqref="D45">
    <cfRule type="containsText" dxfId="3" priority="9317" operator="containsText" text="관리">
      <formula>NOT(ISERROR(SEARCH(("관리"),(D45))))</formula>
    </cfRule>
  </conditionalFormatting>
  <conditionalFormatting sqref="D45">
    <cfRule type="containsText" dxfId="4" priority="9318" operator="containsText" text="등록">
      <formula>NOT(ISERROR(SEARCH(("등록"),(D45))))</formula>
    </cfRule>
  </conditionalFormatting>
  <conditionalFormatting sqref="D45">
    <cfRule type="containsText" dxfId="0" priority="9319" operator="containsText" text="거부">
      <formula>NOT(ISERROR(SEARCH(("거부"),(D45))))</formula>
    </cfRule>
  </conditionalFormatting>
  <conditionalFormatting sqref="D45">
    <cfRule type="containsText" dxfId="1" priority="9320" operator="containsText" text="리턴">
      <formula>NOT(ISERROR(SEARCH(("리턴"),(D45))))</formula>
    </cfRule>
  </conditionalFormatting>
  <conditionalFormatting sqref="D45">
    <cfRule type="containsText" dxfId="2" priority="9321" operator="containsText" text="실패">
      <formula>NOT(ISERROR(SEARCH(("실패"),(D45))))</formula>
    </cfRule>
  </conditionalFormatting>
  <conditionalFormatting sqref="D45">
    <cfRule type="containsText" dxfId="3" priority="9322" operator="containsText" text="관리">
      <formula>NOT(ISERROR(SEARCH(("관리"),(D45))))</formula>
    </cfRule>
  </conditionalFormatting>
  <conditionalFormatting sqref="D45">
    <cfRule type="containsText" dxfId="4" priority="9323" operator="containsText" text="등록">
      <formula>NOT(ISERROR(SEARCH(("등록"),(D45))))</formula>
    </cfRule>
  </conditionalFormatting>
  <conditionalFormatting sqref="D45">
    <cfRule type="containsText" dxfId="0" priority="9324" operator="containsText" text="거부">
      <formula>NOT(ISERROR(SEARCH(("거부"),(D45))))</formula>
    </cfRule>
  </conditionalFormatting>
  <conditionalFormatting sqref="D45">
    <cfRule type="containsText" dxfId="1" priority="9325" operator="containsText" text="리턴">
      <formula>NOT(ISERROR(SEARCH(("리턴"),(D45))))</formula>
    </cfRule>
  </conditionalFormatting>
  <conditionalFormatting sqref="D45">
    <cfRule type="containsText" dxfId="2" priority="9326" operator="containsText" text="실패">
      <formula>NOT(ISERROR(SEARCH(("실패"),(D45))))</formula>
    </cfRule>
  </conditionalFormatting>
  <conditionalFormatting sqref="D45">
    <cfRule type="containsText" dxfId="3" priority="9327" operator="containsText" text="관리">
      <formula>NOT(ISERROR(SEARCH(("관리"),(D45))))</formula>
    </cfRule>
  </conditionalFormatting>
  <conditionalFormatting sqref="D45">
    <cfRule type="containsText" dxfId="4" priority="9328" operator="containsText" text="등록">
      <formula>NOT(ISERROR(SEARCH(("등록"),(D45))))</formula>
    </cfRule>
  </conditionalFormatting>
  <conditionalFormatting sqref="D45">
    <cfRule type="containsText" dxfId="0" priority="9329" operator="containsText" text="거부">
      <formula>NOT(ISERROR(SEARCH(("거부"),(D45))))</formula>
    </cfRule>
  </conditionalFormatting>
  <conditionalFormatting sqref="D45">
    <cfRule type="containsText" dxfId="1" priority="9330" operator="containsText" text="리턴">
      <formula>NOT(ISERROR(SEARCH(("리턴"),(D45))))</formula>
    </cfRule>
  </conditionalFormatting>
  <conditionalFormatting sqref="D45">
    <cfRule type="containsText" dxfId="2" priority="9331" operator="containsText" text="실패">
      <formula>NOT(ISERROR(SEARCH(("실패"),(D45))))</formula>
    </cfRule>
  </conditionalFormatting>
  <conditionalFormatting sqref="D45">
    <cfRule type="containsText" dxfId="3" priority="9332" operator="containsText" text="관리">
      <formula>NOT(ISERROR(SEARCH(("관리"),(D45))))</formula>
    </cfRule>
  </conditionalFormatting>
  <conditionalFormatting sqref="D45">
    <cfRule type="containsText" dxfId="4" priority="9333" operator="containsText" text="등록">
      <formula>NOT(ISERROR(SEARCH(("등록"),(D45))))</formula>
    </cfRule>
  </conditionalFormatting>
  <conditionalFormatting sqref="D45">
    <cfRule type="containsText" dxfId="0" priority="9334" operator="containsText" text="거부">
      <formula>NOT(ISERROR(SEARCH(("거부"),(D45))))</formula>
    </cfRule>
  </conditionalFormatting>
  <conditionalFormatting sqref="D45">
    <cfRule type="containsText" dxfId="1" priority="9335" operator="containsText" text="리턴">
      <formula>NOT(ISERROR(SEARCH(("리턴"),(D45))))</formula>
    </cfRule>
  </conditionalFormatting>
  <conditionalFormatting sqref="D45">
    <cfRule type="containsText" dxfId="2" priority="9336" operator="containsText" text="실패">
      <formula>NOT(ISERROR(SEARCH(("실패"),(D45))))</formula>
    </cfRule>
  </conditionalFormatting>
  <conditionalFormatting sqref="D45">
    <cfRule type="containsText" dxfId="3" priority="9337" operator="containsText" text="관리">
      <formula>NOT(ISERROR(SEARCH(("관리"),(D45))))</formula>
    </cfRule>
  </conditionalFormatting>
  <conditionalFormatting sqref="D45">
    <cfRule type="containsText" dxfId="4" priority="9338" operator="containsText" text="등록">
      <formula>NOT(ISERROR(SEARCH(("등록"),(D45))))</formula>
    </cfRule>
  </conditionalFormatting>
  <conditionalFormatting sqref="D45">
    <cfRule type="containsText" dxfId="0" priority="9339" operator="containsText" text="거부">
      <formula>NOT(ISERROR(SEARCH(("거부"),(D45))))</formula>
    </cfRule>
  </conditionalFormatting>
  <conditionalFormatting sqref="D45">
    <cfRule type="containsText" dxfId="1" priority="9340" operator="containsText" text="리턴">
      <formula>NOT(ISERROR(SEARCH(("리턴"),(D45))))</formula>
    </cfRule>
  </conditionalFormatting>
  <conditionalFormatting sqref="D45">
    <cfRule type="containsText" dxfId="2" priority="9341" operator="containsText" text="실패">
      <formula>NOT(ISERROR(SEARCH(("실패"),(D45))))</formula>
    </cfRule>
  </conditionalFormatting>
  <conditionalFormatting sqref="D45">
    <cfRule type="containsText" dxfId="3" priority="9342" operator="containsText" text="관리">
      <formula>NOT(ISERROR(SEARCH(("관리"),(D45))))</formula>
    </cfRule>
  </conditionalFormatting>
  <conditionalFormatting sqref="D45">
    <cfRule type="containsText" dxfId="4" priority="9343" operator="containsText" text="등록">
      <formula>NOT(ISERROR(SEARCH(("등록"),(D45))))</formula>
    </cfRule>
  </conditionalFormatting>
  <conditionalFormatting sqref="D45">
    <cfRule type="containsText" dxfId="0" priority="9344" operator="containsText" text="거부">
      <formula>NOT(ISERROR(SEARCH(("거부"),(D45))))</formula>
    </cfRule>
  </conditionalFormatting>
  <conditionalFormatting sqref="D45">
    <cfRule type="containsText" dxfId="1" priority="9345" operator="containsText" text="리턴">
      <formula>NOT(ISERROR(SEARCH(("리턴"),(D45))))</formula>
    </cfRule>
  </conditionalFormatting>
  <conditionalFormatting sqref="D45">
    <cfRule type="containsText" dxfId="2" priority="9346" operator="containsText" text="실패">
      <formula>NOT(ISERROR(SEARCH(("실패"),(D45))))</formula>
    </cfRule>
  </conditionalFormatting>
  <conditionalFormatting sqref="D45">
    <cfRule type="containsText" dxfId="3" priority="9347" operator="containsText" text="관리">
      <formula>NOT(ISERROR(SEARCH(("관리"),(D45))))</formula>
    </cfRule>
  </conditionalFormatting>
  <conditionalFormatting sqref="D45">
    <cfRule type="containsText" dxfId="4" priority="9348" operator="containsText" text="등록">
      <formula>NOT(ISERROR(SEARCH(("등록"),(D45))))</formula>
    </cfRule>
  </conditionalFormatting>
  <conditionalFormatting sqref="G45">
    <cfRule type="containsText" dxfId="0" priority="9349" operator="containsText" text="거부">
      <formula>NOT(ISERROR(SEARCH(("거부"),(G45))))</formula>
    </cfRule>
  </conditionalFormatting>
  <conditionalFormatting sqref="G45">
    <cfRule type="containsText" dxfId="1" priority="9350" operator="containsText" text="리턴">
      <formula>NOT(ISERROR(SEARCH(("리턴"),(G45))))</formula>
    </cfRule>
  </conditionalFormatting>
  <conditionalFormatting sqref="G45">
    <cfRule type="containsText" dxfId="2" priority="9351" operator="containsText" text="실패">
      <formula>NOT(ISERROR(SEARCH(("실패"),(G45))))</formula>
    </cfRule>
  </conditionalFormatting>
  <conditionalFormatting sqref="G45">
    <cfRule type="containsText" dxfId="3" priority="9352" operator="containsText" text="관리">
      <formula>NOT(ISERROR(SEARCH(("관리"),(G45))))</formula>
    </cfRule>
  </conditionalFormatting>
  <conditionalFormatting sqref="G45">
    <cfRule type="containsText" dxfId="4" priority="9353" operator="containsText" text="등록">
      <formula>NOT(ISERROR(SEARCH(("등록"),(G45))))</formula>
    </cfRule>
  </conditionalFormatting>
  <conditionalFormatting sqref="G45">
    <cfRule type="containsText" dxfId="0" priority="9354" operator="containsText" text="거부">
      <formula>NOT(ISERROR(SEARCH(("거부"),(G45))))</formula>
    </cfRule>
  </conditionalFormatting>
  <conditionalFormatting sqref="G45">
    <cfRule type="containsText" dxfId="1" priority="9355" operator="containsText" text="리턴">
      <formula>NOT(ISERROR(SEARCH(("리턴"),(G45))))</formula>
    </cfRule>
  </conditionalFormatting>
  <conditionalFormatting sqref="G45">
    <cfRule type="containsText" dxfId="2" priority="9356" operator="containsText" text="실패">
      <formula>NOT(ISERROR(SEARCH(("실패"),(G45))))</formula>
    </cfRule>
  </conditionalFormatting>
  <conditionalFormatting sqref="G45">
    <cfRule type="containsText" dxfId="3" priority="9357" operator="containsText" text="관리">
      <formula>NOT(ISERROR(SEARCH(("관리"),(G45))))</formula>
    </cfRule>
  </conditionalFormatting>
  <conditionalFormatting sqref="G45">
    <cfRule type="containsText" dxfId="4" priority="9358" operator="containsText" text="등록">
      <formula>NOT(ISERROR(SEARCH(("등록"),(G45))))</formula>
    </cfRule>
  </conditionalFormatting>
  <conditionalFormatting sqref="G45">
    <cfRule type="containsText" dxfId="0" priority="9359" operator="containsText" text="거부">
      <formula>NOT(ISERROR(SEARCH(("거부"),(G45))))</formula>
    </cfRule>
  </conditionalFormatting>
  <conditionalFormatting sqref="G45">
    <cfRule type="containsText" dxfId="1" priority="9360" operator="containsText" text="리턴">
      <formula>NOT(ISERROR(SEARCH(("리턴"),(G45))))</formula>
    </cfRule>
  </conditionalFormatting>
  <conditionalFormatting sqref="G45">
    <cfRule type="containsText" dxfId="2" priority="9361" operator="containsText" text="실패">
      <formula>NOT(ISERROR(SEARCH(("실패"),(G45))))</formula>
    </cfRule>
  </conditionalFormatting>
  <conditionalFormatting sqref="G45">
    <cfRule type="containsText" dxfId="3" priority="9362" operator="containsText" text="관리">
      <formula>NOT(ISERROR(SEARCH(("관리"),(G45))))</formula>
    </cfRule>
  </conditionalFormatting>
  <conditionalFormatting sqref="G45">
    <cfRule type="containsText" dxfId="4" priority="9363" operator="containsText" text="등록">
      <formula>NOT(ISERROR(SEARCH(("등록"),(G45))))</formula>
    </cfRule>
  </conditionalFormatting>
  <conditionalFormatting sqref="J45">
    <cfRule type="containsText" dxfId="0" priority="9364" operator="containsText" text="거부">
      <formula>NOT(ISERROR(SEARCH(("거부"),(J45))))</formula>
    </cfRule>
  </conditionalFormatting>
  <conditionalFormatting sqref="J45">
    <cfRule type="containsText" dxfId="1" priority="9365" operator="containsText" text="리턴">
      <formula>NOT(ISERROR(SEARCH(("리턴"),(J45))))</formula>
    </cfRule>
  </conditionalFormatting>
  <conditionalFormatting sqref="J45">
    <cfRule type="containsText" dxfId="2" priority="9366" operator="containsText" text="실패">
      <formula>NOT(ISERROR(SEARCH(("실패"),(J45))))</formula>
    </cfRule>
  </conditionalFormatting>
  <conditionalFormatting sqref="J45">
    <cfRule type="containsText" dxfId="3" priority="9367" operator="containsText" text="관리">
      <formula>NOT(ISERROR(SEARCH(("관리"),(J45))))</formula>
    </cfRule>
  </conditionalFormatting>
  <conditionalFormatting sqref="J45">
    <cfRule type="containsText" dxfId="4" priority="9368" operator="containsText" text="등록">
      <formula>NOT(ISERROR(SEARCH(("등록"),(J45))))</formula>
    </cfRule>
  </conditionalFormatting>
  <conditionalFormatting sqref="J45">
    <cfRule type="containsText" dxfId="0" priority="9369" operator="containsText" text="거부">
      <formula>NOT(ISERROR(SEARCH(("거부"),(J45))))</formula>
    </cfRule>
  </conditionalFormatting>
  <conditionalFormatting sqref="J45">
    <cfRule type="containsText" dxfId="1" priority="9370" operator="containsText" text="리턴">
      <formula>NOT(ISERROR(SEARCH(("리턴"),(J45))))</formula>
    </cfRule>
  </conditionalFormatting>
  <conditionalFormatting sqref="J45">
    <cfRule type="containsText" dxfId="2" priority="9371" operator="containsText" text="실패">
      <formula>NOT(ISERROR(SEARCH(("실패"),(J45))))</formula>
    </cfRule>
  </conditionalFormatting>
  <conditionalFormatting sqref="J45">
    <cfRule type="containsText" dxfId="3" priority="9372" operator="containsText" text="관리">
      <formula>NOT(ISERROR(SEARCH(("관리"),(J45))))</formula>
    </cfRule>
  </conditionalFormatting>
  <conditionalFormatting sqref="J45">
    <cfRule type="containsText" dxfId="4" priority="9373" operator="containsText" text="등록">
      <formula>NOT(ISERROR(SEARCH(("등록"),(J45))))</formula>
    </cfRule>
  </conditionalFormatting>
  <conditionalFormatting sqref="J45">
    <cfRule type="containsText" dxfId="0" priority="9374" operator="containsText" text="거부">
      <formula>NOT(ISERROR(SEARCH(("거부"),(J45))))</formula>
    </cfRule>
  </conditionalFormatting>
  <conditionalFormatting sqref="J45">
    <cfRule type="containsText" dxfId="1" priority="9375" operator="containsText" text="리턴">
      <formula>NOT(ISERROR(SEARCH(("리턴"),(J45))))</formula>
    </cfRule>
  </conditionalFormatting>
  <conditionalFormatting sqref="J45">
    <cfRule type="containsText" dxfId="2" priority="9376" operator="containsText" text="실패">
      <formula>NOT(ISERROR(SEARCH(("실패"),(J45))))</formula>
    </cfRule>
  </conditionalFormatting>
  <conditionalFormatting sqref="J45">
    <cfRule type="containsText" dxfId="3" priority="9377" operator="containsText" text="관리">
      <formula>NOT(ISERROR(SEARCH(("관리"),(J45))))</formula>
    </cfRule>
  </conditionalFormatting>
  <conditionalFormatting sqref="J45">
    <cfRule type="containsText" dxfId="4" priority="9378" operator="containsText" text="등록">
      <formula>NOT(ISERROR(SEARCH(("등록"),(J45))))</formula>
    </cfRule>
  </conditionalFormatting>
  <conditionalFormatting sqref="J45">
    <cfRule type="containsText" dxfId="0" priority="9379" operator="containsText" text="거부">
      <formula>NOT(ISERROR(SEARCH(("거부"),(J45))))</formula>
    </cfRule>
  </conditionalFormatting>
  <conditionalFormatting sqref="J45">
    <cfRule type="containsText" dxfId="1" priority="9380" operator="containsText" text="리턴">
      <formula>NOT(ISERROR(SEARCH(("리턴"),(J45))))</formula>
    </cfRule>
  </conditionalFormatting>
  <conditionalFormatting sqref="J45">
    <cfRule type="containsText" dxfId="2" priority="9381" operator="containsText" text="실패">
      <formula>NOT(ISERROR(SEARCH(("실패"),(J45))))</formula>
    </cfRule>
  </conditionalFormatting>
  <conditionalFormatting sqref="J45">
    <cfRule type="containsText" dxfId="3" priority="9382" operator="containsText" text="관리">
      <formula>NOT(ISERROR(SEARCH(("관리"),(J45))))</formula>
    </cfRule>
  </conditionalFormatting>
  <conditionalFormatting sqref="J45">
    <cfRule type="containsText" dxfId="4" priority="9383" operator="containsText" text="등록">
      <formula>NOT(ISERROR(SEARCH(("등록"),(J45))))</formula>
    </cfRule>
  </conditionalFormatting>
  <conditionalFormatting sqref="J45">
    <cfRule type="containsText" dxfId="0" priority="9384" operator="containsText" text="거부">
      <formula>NOT(ISERROR(SEARCH(("거부"),(J45))))</formula>
    </cfRule>
  </conditionalFormatting>
  <conditionalFormatting sqref="J45">
    <cfRule type="containsText" dxfId="1" priority="9385" operator="containsText" text="리턴">
      <formula>NOT(ISERROR(SEARCH(("리턴"),(J45))))</formula>
    </cfRule>
  </conditionalFormatting>
  <conditionalFormatting sqref="J45">
    <cfRule type="containsText" dxfId="2" priority="9386" operator="containsText" text="실패">
      <formula>NOT(ISERROR(SEARCH(("실패"),(J45))))</formula>
    </cfRule>
  </conditionalFormatting>
  <conditionalFormatting sqref="J45">
    <cfRule type="containsText" dxfId="3" priority="9387" operator="containsText" text="관리">
      <formula>NOT(ISERROR(SEARCH(("관리"),(J45))))</formula>
    </cfRule>
  </conditionalFormatting>
  <conditionalFormatting sqref="J45">
    <cfRule type="containsText" dxfId="4" priority="9388" operator="containsText" text="등록">
      <formula>NOT(ISERROR(SEARCH(("등록"),(J45))))</formula>
    </cfRule>
  </conditionalFormatting>
  <conditionalFormatting sqref="J45">
    <cfRule type="containsText" dxfId="0" priority="9389" operator="containsText" text="거부">
      <formula>NOT(ISERROR(SEARCH(("거부"),(J45))))</formula>
    </cfRule>
  </conditionalFormatting>
  <conditionalFormatting sqref="J45">
    <cfRule type="containsText" dxfId="1" priority="9390" operator="containsText" text="리턴">
      <formula>NOT(ISERROR(SEARCH(("리턴"),(J45))))</formula>
    </cfRule>
  </conditionalFormatting>
  <conditionalFormatting sqref="J45">
    <cfRule type="containsText" dxfId="2" priority="9391" operator="containsText" text="실패">
      <formula>NOT(ISERROR(SEARCH(("실패"),(J45))))</formula>
    </cfRule>
  </conditionalFormatting>
  <conditionalFormatting sqref="J45">
    <cfRule type="containsText" dxfId="3" priority="9392" operator="containsText" text="관리">
      <formula>NOT(ISERROR(SEARCH(("관리"),(J45))))</formula>
    </cfRule>
  </conditionalFormatting>
  <conditionalFormatting sqref="J45">
    <cfRule type="containsText" dxfId="4" priority="9393" operator="containsText" text="등록">
      <formula>NOT(ISERROR(SEARCH(("등록"),(J45))))</formula>
    </cfRule>
  </conditionalFormatting>
  <conditionalFormatting sqref="J51">
    <cfRule type="containsText" dxfId="0" priority="9394" operator="containsText" text="거부">
      <formula>NOT(ISERROR(SEARCH(("거부"),(J51))))</formula>
    </cfRule>
  </conditionalFormatting>
  <conditionalFormatting sqref="J51">
    <cfRule type="containsText" dxfId="1" priority="9395" operator="containsText" text="리턴">
      <formula>NOT(ISERROR(SEARCH(("리턴"),(J51))))</formula>
    </cfRule>
  </conditionalFormatting>
  <conditionalFormatting sqref="J51">
    <cfRule type="containsText" dxfId="2" priority="9396" operator="containsText" text="실패">
      <formula>NOT(ISERROR(SEARCH(("실패"),(J51))))</formula>
    </cfRule>
  </conditionalFormatting>
  <conditionalFormatting sqref="J51">
    <cfRule type="containsText" dxfId="3" priority="9397" operator="containsText" text="관리">
      <formula>NOT(ISERROR(SEARCH(("관리"),(J51))))</formula>
    </cfRule>
  </conditionalFormatting>
  <conditionalFormatting sqref="J51">
    <cfRule type="containsText" dxfId="4" priority="9398" operator="containsText" text="등록">
      <formula>NOT(ISERROR(SEARCH(("등록"),(J51))))</formula>
    </cfRule>
  </conditionalFormatting>
  <conditionalFormatting sqref="J51">
    <cfRule type="containsText" dxfId="0" priority="9399" operator="containsText" text="거부">
      <formula>NOT(ISERROR(SEARCH(("거부"),(J51))))</formula>
    </cfRule>
  </conditionalFormatting>
  <conditionalFormatting sqref="J51">
    <cfRule type="containsText" dxfId="1" priority="9400" operator="containsText" text="리턴">
      <formula>NOT(ISERROR(SEARCH(("리턴"),(J51))))</formula>
    </cfRule>
  </conditionalFormatting>
  <conditionalFormatting sqref="J51">
    <cfRule type="containsText" dxfId="2" priority="9401" operator="containsText" text="실패">
      <formula>NOT(ISERROR(SEARCH(("실패"),(J51))))</formula>
    </cfRule>
  </conditionalFormatting>
  <conditionalFormatting sqref="J51">
    <cfRule type="containsText" dxfId="3" priority="9402" operator="containsText" text="관리">
      <formula>NOT(ISERROR(SEARCH(("관리"),(J51))))</formula>
    </cfRule>
  </conditionalFormatting>
  <conditionalFormatting sqref="J51">
    <cfRule type="containsText" dxfId="4" priority="9403" operator="containsText" text="등록">
      <formula>NOT(ISERROR(SEARCH(("등록"),(J51))))</formula>
    </cfRule>
  </conditionalFormatting>
  <conditionalFormatting sqref="J51">
    <cfRule type="containsText" dxfId="0" priority="9404" operator="containsText" text="거부">
      <formula>NOT(ISERROR(SEARCH(("거부"),(J51))))</formula>
    </cfRule>
  </conditionalFormatting>
  <conditionalFormatting sqref="J51">
    <cfRule type="containsText" dxfId="1" priority="9405" operator="containsText" text="리턴">
      <formula>NOT(ISERROR(SEARCH(("리턴"),(J51))))</formula>
    </cfRule>
  </conditionalFormatting>
  <conditionalFormatting sqref="J51">
    <cfRule type="containsText" dxfId="2" priority="9406" operator="containsText" text="실패">
      <formula>NOT(ISERROR(SEARCH(("실패"),(J51))))</formula>
    </cfRule>
  </conditionalFormatting>
  <conditionalFormatting sqref="J51">
    <cfRule type="containsText" dxfId="3" priority="9407" operator="containsText" text="관리">
      <formula>NOT(ISERROR(SEARCH(("관리"),(J51))))</formula>
    </cfRule>
  </conditionalFormatting>
  <conditionalFormatting sqref="J51">
    <cfRule type="containsText" dxfId="4" priority="9408" operator="containsText" text="등록">
      <formula>NOT(ISERROR(SEARCH(("등록"),(J51))))</formula>
    </cfRule>
  </conditionalFormatting>
  <conditionalFormatting sqref="J51">
    <cfRule type="containsText" dxfId="0" priority="9409" operator="containsText" text="거부">
      <formula>NOT(ISERROR(SEARCH(("거부"),(J51))))</formula>
    </cfRule>
  </conditionalFormatting>
  <conditionalFormatting sqref="J51">
    <cfRule type="containsText" dxfId="1" priority="9410" operator="containsText" text="리턴">
      <formula>NOT(ISERROR(SEARCH(("리턴"),(J51))))</formula>
    </cfRule>
  </conditionalFormatting>
  <conditionalFormatting sqref="J51">
    <cfRule type="containsText" dxfId="2" priority="9411" operator="containsText" text="실패">
      <formula>NOT(ISERROR(SEARCH(("실패"),(J51))))</formula>
    </cfRule>
  </conditionalFormatting>
  <conditionalFormatting sqref="J51">
    <cfRule type="containsText" dxfId="3" priority="9412" operator="containsText" text="관리">
      <formula>NOT(ISERROR(SEARCH(("관리"),(J51))))</formula>
    </cfRule>
  </conditionalFormatting>
  <conditionalFormatting sqref="J51">
    <cfRule type="containsText" dxfId="4" priority="9413" operator="containsText" text="등록">
      <formula>NOT(ISERROR(SEARCH(("등록"),(J51))))</formula>
    </cfRule>
  </conditionalFormatting>
  <conditionalFormatting sqref="J51">
    <cfRule type="containsText" dxfId="0" priority="9414" operator="containsText" text="거부">
      <formula>NOT(ISERROR(SEARCH(("거부"),(J51))))</formula>
    </cfRule>
  </conditionalFormatting>
  <conditionalFormatting sqref="J51">
    <cfRule type="containsText" dxfId="1" priority="9415" operator="containsText" text="리턴">
      <formula>NOT(ISERROR(SEARCH(("리턴"),(J51))))</formula>
    </cfRule>
  </conditionalFormatting>
  <conditionalFormatting sqref="J51">
    <cfRule type="containsText" dxfId="2" priority="9416" operator="containsText" text="실패">
      <formula>NOT(ISERROR(SEARCH(("실패"),(J51))))</formula>
    </cfRule>
  </conditionalFormatting>
  <conditionalFormatting sqref="J51">
    <cfRule type="containsText" dxfId="3" priority="9417" operator="containsText" text="관리">
      <formula>NOT(ISERROR(SEARCH(("관리"),(J51))))</formula>
    </cfRule>
  </conditionalFormatting>
  <conditionalFormatting sqref="J51">
    <cfRule type="containsText" dxfId="4" priority="9418" operator="containsText" text="등록">
      <formula>NOT(ISERROR(SEARCH(("등록"),(J51))))</formula>
    </cfRule>
  </conditionalFormatting>
  <conditionalFormatting sqref="J51">
    <cfRule type="containsText" dxfId="0" priority="9419" operator="containsText" text="거부">
      <formula>NOT(ISERROR(SEARCH(("거부"),(J51))))</formula>
    </cfRule>
  </conditionalFormatting>
  <conditionalFormatting sqref="J51">
    <cfRule type="containsText" dxfId="1" priority="9420" operator="containsText" text="리턴">
      <formula>NOT(ISERROR(SEARCH(("리턴"),(J51))))</formula>
    </cfRule>
  </conditionalFormatting>
  <conditionalFormatting sqref="J51">
    <cfRule type="containsText" dxfId="2" priority="9421" operator="containsText" text="실패">
      <formula>NOT(ISERROR(SEARCH(("실패"),(J51))))</formula>
    </cfRule>
  </conditionalFormatting>
  <conditionalFormatting sqref="J51">
    <cfRule type="containsText" dxfId="3" priority="9422" operator="containsText" text="관리">
      <formula>NOT(ISERROR(SEARCH(("관리"),(J51))))</formula>
    </cfRule>
  </conditionalFormatting>
  <conditionalFormatting sqref="J51">
    <cfRule type="containsText" dxfId="4" priority="9423" operator="containsText" text="등록">
      <formula>NOT(ISERROR(SEARCH(("등록"),(J51))))</formula>
    </cfRule>
  </conditionalFormatting>
  <conditionalFormatting sqref="J51">
    <cfRule type="containsText" dxfId="0" priority="9424" operator="containsText" text="거부">
      <formula>NOT(ISERROR(SEARCH(("거부"),(J51))))</formula>
    </cfRule>
  </conditionalFormatting>
  <conditionalFormatting sqref="J51">
    <cfRule type="containsText" dxfId="1" priority="9425" operator="containsText" text="리턴">
      <formula>NOT(ISERROR(SEARCH(("리턴"),(J51))))</formula>
    </cfRule>
  </conditionalFormatting>
  <conditionalFormatting sqref="J51">
    <cfRule type="containsText" dxfId="2" priority="9426" operator="containsText" text="실패">
      <formula>NOT(ISERROR(SEARCH(("실패"),(J51))))</formula>
    </cfRule>
  </conditionalFormatting>
  <conditionalFormatting sqref="J51">
    <cfRule type="containsText" dxfId="3" priority="9427" operator="containsText" text="관리">
      <formula>NOT(ISERROR(SEARCH(("관리"),(J51))))</formula>
    </cfRule>
  </conditionalFormatting>
  <conditionalFormatting sqref="J51">
    <cfRule type="containsText" dxfId="4" priority="9428" operator="containsText" text="등록">
      <formula>NOT(ISERROR(SEARCH(("등록"),(J51))))</formula>
    </cfRule>
  </conditionalFormatting>
  <conditionalFormatting sqref="J51">
    <cfRule type="containsText" dxfId="0" priority="9429" operator="containsText" text="거부">
      <formula>NOT(ISERROR(SEARCH(("거부"),(J51))))</formula>
    </cfRule>
  </conditionalFormatting>
  <conditionalFormatting sqref="J51">
    <cfRule type="containsText" dxfId="1" priority="9430" operator="containsText" text="리턴">
      <formula>NOT(ISERROR(SEARCH(("리턴"),(J51))))</formula>
    </cfRule>
  </conditionalFormatting>
  <conditionalFormatting sqref="J51">
    <cfRule type="containsText" dxfId="2" priority="9431" operator="containsText" text="실패">
      <formula>NOT(ISERROR(SEARCH(("실패"),(J51))))</formula>
    </cfRule>
  </conditionalFormatting>
  <conditionalFormatting sqref="J51">
    <cfRule type="containsText" dxfId="3" priority="9432" operator="containsText" text="관리">
      <formula>NOT(ISERROR(SEARCH(("관리"),(J51))))</formula>
    </cfRule>
  </conditionalFormatting>
  <conditionalFormatting sqref="J51">
    <cfRule type="containsText" dxfId="4" priority="9433" operator="containsText" text="등록">
      <formula>NOT(ISERROR(SEARCH(("등록"),(J51))))</formula>
    </cfRule>
  </conditionalFormatting>
  <conditionalFormatting sqref="J51">
    <cfRule type="containsText" dxfId="0" priority="9434" operator="containsText" text="거부">
      <formula>NOT(ISERROR(SEARCH(("거부"),(J51))))</formula>
    </cfRule>
  </conditionalFormatting>
  <conditionalFormatting sqref="J51">
    <cfRule type="containsText" dxfId="1" priority="9435" operator="containsText" text="리턴">
      <formula>NOT(ISERROR(SEARCH(("리턴"),(J51))))</formula>
    </cfRule>
  </conditionalFormatting>
  <conditionalFormatting sqref="J51">
    <cfRule type="containsText" dxfId="2" priority="9436" operator="containsText" text="실패">
      <formula>NOT(ISERROR(SEARCH(("실패"),(J51))))</formula>
    </cfRule>
  </conditionalFormatting>
  <conditionalFormatting sqref="J51">
    <cfRule type="containsText" dxfId="3" priority="9437" operator="containsText" text="관리">
      <formula>NOT(ISERROR(SEARCH(("관리"),(J51))))</formula>
    </cfRule>
  </conditionalFormatting>
  <conditionalFormatting sqref="J51">
    <cfRule type="containsText" dxfId="4" priority="9438" operator="containsText" text="등록">
      <formula>NOT(ISERROR(SEARCH(("등록"),(J51))))</formula>
    </cfRule>
  </conditionalFormatting>
  <conditionalFormatting sqref="J51">
    <cfRule type="containsText" dxfId="0" priority="9439" operator="containsText" text="거부">
      <formula>NOT(ISERROR(SEARCH(("거부"),(J51))))</formula>
    </cfRule>
  </conditionalFormatting>
  <conditionalFormatting sqref="J51">
    <cfRule type="containsText" dxfId="1" priority="9440" operator="containsText" text="리턴">
      <formula>NOT(ISERROR(SEARCH(("리턴"),(J51))))</formula>
    </cfRule>
  </conditionalFormatting>
  <conditionalFormatting sqref="J51">
    <cfRule type="containsText" dxfId="2" priority="9441" operator="containsText" text="실패">
      <formula>NOT(ISERROR(SEARCH(("실패"),(J51))))</formula>
    </cfRule>
  </conditionalFormatting>
  <conditionalFormatting sqref="J51">
    <cfRule type="containsText" dxfId="3" priority="9442" operator="containsText" text="관리">
      <formula>NOT(ISERROR(SEARCH(("관리"),(J51))))</formula>
    </cfRule>
  </conditionalFormatting>
  <conditionalFormatting sqref="J51">
    <cfRule type="containsText" dxfId="4" priority="9443" operator="containsText" text="등록">
      <formula>NOT(ISERROR(SEARCH(("등록"),(J51))))</formula>
    </cfRule>
  </conditionalFormatting>
  <conditionalFormatting sqref="J51">
    <cfRule type="containsText" dxfId="0" priority="9444" operator="containsText" text="거부">
      <formula>NOT(ISERROR(SEARCH(("거부"),(J51))))</formula>
    </cfRule>
  </conditionalFormatting>
  <conditionalFormatting sqref="J51">
    <cfRule type="containsText" dxfId="1" priority="9445" operator="containsText" text="리턴">
      <formula>NOT(ISERROR(SEARCH(("리턴"),(J51))))</formula>
    </cfRule>
  </conditionalFormatting>
  <conditionalFormatting sqref="J51">
    <cfRule type="containsText" dxfId="2" priority="9446" operator="containsText" text="실패">
      <formula>NOT(ISERROR(SEARCH(("실패"),(J51))))</formula>
    </cfRule>
  </conditionalFormatting>
  <conditionalFormatting sqref="J51">
    <cfRule type="containsText" dxfId="3" priority="9447" operator="containsText" text="관리">
      <formula>NOT(ISERROR(SEARCH(("관리"),(J51))))</formula>
    </cfRule>
  </conditionalFormatting>
  <conditionalFormatting sqref="J51">
    <cfRule type="containsText" dxfId="4" priority="9448" operator="containsText" text="등록">
      <formula>NOT(ISERROR(SEARCH(("등록"),(J51))))</formula>
    </cfRule>
  </conditionalFormatting>
  <conditionalFormatting sqref="J51">
    <cfRule type="containsText" dxfId="0" priority="9449" operator="containsText" text="거부">
      <formula>NOT(ISERROR(SEARCH(("거부"),(J51))))</formula>
    </cfRule>
  </conditionalFormatting>
  <conditionalFormatting sqref="J51">
    <cfRule type="containsText" dxfId="1" priority="9450" operator="containsText" text="리턴">
      <formula>NOT(ISERROR(SEARCH(("리턴"),(J51))))</formula>
    </cfRule>
  </conditionalFormatting>
  <conditionalFormatting sqref="J51">
    <cfRule type="containsText" dxfId="2" priority="9451" operator="containsText" text="실패">
      <formula>NOT(ISERROR(SEARCH(("실패"),(J51))))</formula>
    </cfRule>
  </conditionalFormatting>
  <conditionalFormatting sqref="J51">
    <cfRule type="containsText" dxfId="3" priority="9452" operator="containsText" text="관리">
      <formula>NOT(ISERROR(SEARCH(("관리"),(J51))))</formula>
    </cfRule>
  </conditionalFormatting>
  <conditionalFormatting sqref="J51">
    <cfRule type="containsText" dxfId="4" priority="9453" operator="containsText" text="등록">
      <formula>NOT(ISERROR(SEARCH(("등록"),(J51))))</formula>
    </cfRule>
  </conditionalFormatting>
  <conditionalFormatting sqref="J51">
    <cfRule type="containsText" dxfId="0" priority="9454" operator="containsText" text="거부">
      <formula>NOT(ISERROR(SEARCH(("거부"),(J51))))</formula>
    </cfRule>
  </conditionalFormatting>
  <conditionalFormatting sqref="J51">
    <cfRule type="containsText" dxfId="1" priority="9455" operator="containsText" text="리턴">
      <formula>NOT(ISERROR(SEARCH(("리턴"),(J51))))</formula>
    </cfRule>
  </conditionalFormatting>
  <conditionalFormatting sqref="J51">
    <cfRule type="containsText" dxfId="2" priority="9456" operator="containsText" text="실패">
      <formula>NOT(ISERROR(SEARCH(("실패"),(J51))))</formula>
    </cfRule>
  </conditionalFormatting>
  <conditionalFormatting sqref="J51">
    <cfRule type="containsText" dxfId="3" priority="9457" operator="containsText" text="관리">
      <formula>NOT(ISERROR(SEARCH(("관리"),(J51))))</formula>
    </cfRule>
  </conditionalFormatting>
  <conditionalFormatting sqref="J51">
    <cfRule type="containsText" dxfId="4" priority="9458" operator="containsText" text="등록">
      <formula>NOT(ISERROR(SEARCH(("등록"),(J51))))</formula>
    </cfRule>
  </conditionalFormatting>
  <conditionalFormatting sqref="J51">
    <cfRule type="containsText" dxfId="0" priority="9459" operator="containsText" text="거부">
      <formula>NOT(ISERROR(SEARCH(("거부"),(J51))))</formula>
    </cfRule>
  </conditionalFormatting>
  <conditionalFormatting sqref="J51">
    <cfRule type="containsText" dxfId="1" priority="9460" operator="containsText" text="리턴">
      <formula>NOT(ISERROR(SEARCH(("리턴"),(J51))))</formula>
    </cfRule>
  </conditionalFormatting>
  <conditionalFormatting sqref="J51">
    <cfRule type="containsText" dxfId="2" priority="9461" operator="containsText" text="실패">
      <formula>NOT(ISERROR(SEARCH(("실패"),(J51))))</formula>
    </cfRule>
  </conditionalFormatting>
  <conditionalFormatting sqref="J51">
    <cfRule type="containsText" dxfId="3" priority="9462" operator="containsText" text="관리">
      <formula>NOT(ISERROR(SEARCH(("관리"),(J51))))</formula>
    </cfRule>
  </conditionalFormatting>
  <conditionalFormatting sqref="J51">
    <cfRule type="containsText" dxfId="4" priority="9463" operator="containsText" text="등록">
      <formula>NOT(ISERROR(SEARCH(("등록"),(J51))))</formula>
    </cfRule>
  </conditionalFormatting>
  <conditionalFormatting sqref="J51">
    <cfRule type="containsText" dxfId="0" priority="9464" operator="containsText" text="거부">
      <formula>NOT(ISERROR(SEARCH(("거부"),(J51))))</formula>
    </cfRule>
  </conditionalFormatting>
  <conditionalFormatting sqref="J51">
    <cfRule type="containsText" dxfId="1" priority="9465" operator="containsText" text="리턴">
      <formula>NOT(ISERROR(SEARCH(("리턴"),(J51))))</formula>
    </cfRule>
  </conditionalFormatting>
  <conditionalFormatting sqref="J51">
    <cfRule type="containsText" dxfId="2" priority="9466" operator="containsText" text="실패">
      <formula>NOT(ISERROR(SEARCH(("실패"),(J51))))</formula>
    </cfRule>
  </conditionalFormatting>
  <conditionalFormatting sqref="J51">
    <cfRule type="containsText" dxfId="3" priority="9467" operator="containsText" text="관리">
      <formula>NOT(ISERROR(SEARCH(("관리"),(J51))))</formula>
    </cfRule>
  </conditionalFormatting>
  <conditionalFormatting sqref="J51">
    <cfRule type="containsText" dxfId="4" priority="9468" operator="containsText" text="등록">
      <formula>NOT(ISERROR(SEARCH(("등록"),(J51))))</formula>
    </cfRule>
  </conditionalFormatting>
  <conditionalFormatting sqref="A51">
    <cfRule type="containsText" dxfId="0" priority="9469" operator="containsText" text="거부">
      <formula>NOT(ISERROR(SEARCH(("거부"),(A51))))</formula>
    </cfRule>
  </conditionalFormatting>
  <conditionalFormatting sqref="A51">
    <cfRule type="containsText" dxfId="1" priority="9470" operator="containsText" text="리턴">
      <formula>NOT(ISERROR(SEARCH(("리턴"),(A51))))</formula>
    </cfRule>
  </conditionalFormatting>
  <conditionalFormatting sqref="A51">
    <cfRule type="containsText" dxfId="2" priority="9471" operator="containsText" text="실패">
      <formula>NOT(ISERROR(SEARCH(("실패"),(A51))))</formula>
    </cfRule>
  </conditionalFormatting>
  <conditionalFormatting sqref="A51">
    <cfRule type="containsText" dxfId="3" priority="9472" operator="containsText" text="관리">
      <formula>NOT(ISERROR(SEARCH(("관리"),(A51))))</formula>
    </cfRule>
  </conditionalFormatting>
  <conditionalFormatting sqref="A51">
    <cfRule type="containsText" dxfId="4" priority="9473" operator="containsText" text="등록">
      <formula>NOT(ISERROR(SEARCH(("등록"),(A51))))</formula>
    </cfRule>
  </conditionalFormatting>
  <conditionalFormatting sqref="A51">
    <cfRule type="containsText" dxfId="0" priority="9474" operator="containsText" text="거부">
      <formula>NOT(ISERROR(SEARCH(("거부"),(A51))))</formula>
    </cfRule>
  </conditionalFormatting>
  <conditionalFormatting sqref="A51">
    <cfRule type="containsText" dxfId="1" priority="9475" operator="containsText" text="리턴">
      <formula>NOT(ISERROR(SEARCH(("리턴"),(A51))))</formula>
    </cfRule>
  </conditionalFormatting>
  <conditionalFormatting sqref="A51">
    <cfRule type="containsText" dxfId="2" priority="9476" operator="containsText" text="실패">
      <formula>NOT(ISERROR(SEARCH(("실패"),(A51))))</formula>
    </cfRule>
  </conditionalFormatting>
  <conditionalFormatting sqref="A51">
    <cfRule type="containsText" dxfId="3" priority="9477" operator="containsText" text="관리">
      <formula>NOT(ISERROR(SEARCH(("관리"),(A51))))</formula>
    </cfRule>
  </conditionalFormatting>
  <conditionalFormatting sqref="A51">
    <cfRule type="containsText" dxfId="4" priority="9478" operator="containsText" text="등록">
      <formula>NOT(ISERROR(SEARCH(("등록"),(A51))))</formula>
    </cfRule>
  </conditionalFormatting>
  <conditionalFormatting sqref="A51">
    <cfRule type="containsText" dxfId="0" priority="9479" operator="containsText" text="거부">
      <formula>NOT(ISERROR(SEARCH(("거부"),(A51))))</formula>
    </cfRule>
  </conditionalFormatting>
  <conditionalFormatting sqref="A51">
    <cfRule type="containsText" dxfId="1" priority="9480" operator="containsText" text="리턴">
      <formula>NOT(ISERROR(SEARCH(("리턴"),(A51))))</formula>
    </cfRule>
  </conditionalFormatting>
  <conditionalFormatting sqref="A51">
    <cfRule type="containsText" dxfId="2" priority="9481" operator="containsText" text="실패">
      <formula>NOT(ISERROR(SEARCH(("실패"),(A51))))</formula>
    </cfRule>
  </conditionalFormatting>
  <conditionalFormatting sqref="A51">
    <cfRule type="containsText" dxfId="3" priority="9482" operator="containsText" text="관리">
      <formula>NOT(ISERROR(SEARCH(("관리"),(A51))))</formula>
    </cfRule>
  </conditionalFormatting>
  <conditionalFormatting sqref="A51">
    <cfRule type="containsText" dxfId="4" priority="9483" operator="containsText" text="등록">
      <formula>NOT(ISERROR(SEARCH(("등록"),(A51))))</formula>
    </cfRule>
  </conditionalFormatting>
  <conditionalFormatting sqref="A51">
    <cfRule type="containsText" dxfId="0" priority="9484" operator="containsText" text="거부">
      <formula>NOT(ISERROR(SEARCH(("거부"),(A51))))</formula>
    </cfRule>
  </conditionalFormatting>
  <conditionalFormatting sqref="A51">
    <cfRule type="containsText" dxfId="1" priority="9485" operator="containsText" text="리턴">
      <formula>NOT(ISERROR(SEARCH(("리턴"),(A51))))</formula>
    </cfRule>
  </conditionalFormatting>
  <conditionalFormatting sqref="A51">
    <cfRule type="containsText" dxfId="2" priority="9486" operator="containsText" text="실패">
      <formula>NOT(ISERROR(SEARCH(("실패"),(A51))))</formula>
    </cfRule>
  </conditionalFormatting>
  <conditionalFormatting sqref="A51">
    <cfRule type="containsText" dxfId="3" priority="9487" operator="containsText" text="관리">
      <formula>NOT(ISERROR(SEARCH(("관리"),(A51))))</formula>
    </cfRule>
  </conditionalFormatting>
  <conditionalFormatting sqref="A51">
    <cfRule type="containsText" dxfId="4" priority="9488" operator="containsText" text="등록">
      <formula>NOT(ISERROR(SEARCH(("등록"),(A51))))</formula>
    </cfRule>
  </conditionalFormatting>
  <conditionalFormatting sqref="A51">
    <cfRule type="containsText" dxfId="0" priority="9489" operator="containsText" text="거부">
      <formula>NOT(ISERROR(SEARCH(("거부"),(A51))))</formula>
    </cfRule>
  </conditionalFormatting>
  <conditionalFormatting sqref="A51">
    <cfRule type="containsText" dxfId="1" priority="9490" operator="containsText" text="리턴">
      <formula>NOT(ISERROR(SEARCH(("리턴"),(A51))))</formula>
    </cfRule>
  </conditionalFormatting>
  <conditionalFormatting sqref="A51">
    <cfRule type="containsText" dxfId="2" priority="9491" operator="containsText" text="실패">
      <formula>NOT(ISERROR(SEARCH(("실패"),(A51))))</formula>
    </cfRule>
  </conditionalFormatting>
  <conditionalFormatting sqref="A51">
    <cfRule type="containsText" dxfId="3" priority="9492" operator="containsText" text="관리">
      <formula>NOT(ISERROR(SEARCH(("관리"),(A51))))</formula>
    </cfRule>
  </conditionalFormatting>
  <conditionalFormatting sqref="A51">
    <cfRule type="containsText" dxfId="4" priority="9493" operator="containsText" text="등록">
      <formula>NOT(ISERROR(SEARCH(("등록"),(A51))))</formula>
    </cfRule>
  </conditionalFormatting>
  <conditionalFormatting sqref="A51">
    <cfRule type="containsText" dxfId="0" priority="9494" operator="containsText" text="거부">
      <formula>NOT(ISERROR(SEARCH(("거부"),(A51))))</formula>
    </cfRule>
  </conditionalFormatting>
  <conditionalFormatting sqref="A51">
    <cfRule type="containsText" dxfId="1" priority="9495" operator="containsText" text="리턴">
      <formula>NOT(ISERROR(SEARCH(("리턴"),(A51))))</formula>
    </cfRule>
  </conditionalFormatting>
  <conditionalFormatting sqref="A51">
    <cfRule type="containsText" dxfId="2" priority="9496" operator="containsText" text="실패">
      <formula>NOT(ISERROR(SEARCH(("실패"),(A51))))</formula>
    </cfRule>
  </conditionalFormatting>
  <conditionalFormatting sqref="A51">
    <cfRule type="containsText" dxfId="3" priority="9497" operator="containsText" text="관리">
      <formula>NOT(ISERROR(SEARCH(("관리"),(A51))))</formula>
    </cfRule>
  </conditionalFormatting>
  <conditionalFormatting sqref="A51">
    <cfRule type="containsText" dxfId="4" priority="9498" operator="containsText" text="등록">
      <formula>NOT(ISERROR(SEARCH(("등록"),(A51))))</formula>
    </cfRule>
  </conditionalFormatting>
  <conditionalFormatting sqref="A51">
    <cfRule type="containsText" dxfId="0" priority="9499" operator="containsText" text="거부">
      <formula>NOT(ISERROR(SEARCH(("거부"),(A51))))</formula>
    </cfRule>
  </conditionalFormatting>
  <conditionalFormatting sqref="A51">
    <cfRule type="containsText" dxfId="1" priority="9500" operator="containsText" text="리턴">
      <formula>NOT(ISERROR(SEARCH(("리턴"),(A51))))</formula>
    </cfRule>
  </conditionalFormatting>
  <conditionalFormatting sqref="A51">
    <cfRule type="containsText" dxfId="2" priority="9501" operator="containsText" text="실패">
      <formula>NOT(ISERROR(SEARCH(("실패"),(A51))))</formula>
    </cfRule>
  </conditionalFormatting>
  <conditionalFormatting sqref="A51">
    <cfRule type="containsText" dxfId="3" priority="9502" operator="containsText" text="관리">
      <formula>NOT(ISERROR(SEARCH(("관리"),(A51))))</formula>
    </cfRule>
  </conditionalFormatting>
  <conditionalFormatting sqref="A51">
    <cfRule type="containsText" dxfId="4" priority="9503" operator="containsText" text="등록">
      <formula>NOT(ISERROR(SEARCH(("등록"),(A51))))</formula>
    </cfRule>
  </conditionalFormatting>
  <conditionalFormatting sqref="A51">
    <cfRule type="containsText" dxfId="0" priority="9504" operator="containsText" text="거부">
      <formula>NOT(ISERROR(SEARCH(("거부"),(A51))))</formula>
    </cfRule>
  </conditionalFormatting>
  <conditionalFormatting sqref="A51">
    <cfRule type="containsText" dxfId="1" priority="9505" operator="containsText" text="리턴">
      <formula>NOT(ISERROR(SEARCH(("리턴"),(A51))))</formula>
    </cfRule>
  </conditionalFormatting>
  <conditionalFormatting sqref="A51">
    <cfRule type="containsText" dxfId="2" priority="9506" operator="containsText" text="실패">
      <formula>NOT(ISERROR(SEARCH(("실패"),(A51))))</formula>
    </cfRule>
  </conditionalFormatting>
  <conditionalFormatting sqref="A51">
    <cfRule type="containsText" dxfId="3" priority="9507" operator="containsText" text="관리">
      <formula>NOT(ISERROR(SEARCH(("관리"),(A51))))</formula>
    </cfRule>
  </conditionalFormatting>
  <conditionalFormatting sqref="A51">
    <cfRule type="containsText" dxfId="4" priority="9508" operator="containsText" text="등록">
      <formula>NOT(ISERROR(SEARCH(("등록"),(A51))))</formula>
    </cfRule>
  </conditionalFormatting>
  <conditionalFormatting sqref="A51">
    <cfRule type="containsText" dxfId="0" priority="9509" operator="containsText" text="거부">
      <formula>NOT(ISERROR(SEARCH(("거부"),(A51))))</formula>
    </cfRule>
  </conditionalFormatting>
  <conditionalFormatting sqref="A51">
    <cfRule type="containsText" dxfId="1" priority="9510" operator="containsText" text="리턴">
      <formula>NOT(ISERROR(SEARCH(("리턴"),(A51))))</formula>
    </cfRule>
  </conditionalFormatting>
  <conditionalFormatting sqref="A51">
    <cfRule type="containsText" dxfId="2" priority="9511" operator="containsText" text="실패">
      <formula>NOT(ISERROR(SEARCH(("실패"),(A51))))</formula>
    </cfRule>
  </conditionalFormatting>
  <conditionalFormatting sqref="A51">
    <cfRule type="containsText" dxfId="3" priority="9512" operator="containsText" text="관리">
      <formula>NOT(ISERROR(SEARCH(("관리"),(A51))))</formula>
    </cfRule>
  </conditionalFormatting>
  <conditionalFormatting sqref="A51">
    <cfRule type="containsText" dxfId="4" priority="9513" operator="containsText" text="등록">
      <formula>NOT(ISERROR(SEARCH(("등록"),(A51))))</formula>
    </cfRule>
  </conditionalFormatting>
  <conditionalFormatting sqref="A51">
    <cfRule type="containsText" dxfId="0" priority="9514" operator="containsText" text="거부">
      <formula>NOT(ISERROR(SEARCH(("거부"),(A51))))</formula>
    </cfRule>
  </conditionalFormatting>
  <conditionalFormatting sqref="A51">
    <cfRule type="containsText" dxfId="1" priority="9515" operator="containsText" text="리턴">
      <formula>NOT(ISERROR(SEARCH(("리턴"),(A51))))</formula>
    </cfRule>
  </conditionalFormatting>
  <conditionalFormatting sqref="A51">
    <cfRule type="containsText" dxfId="2" priority="9516" operator="containsText" text="실패">
      <formula>NOT(ISERROR(SEARCH(("실패"),(A51))))</formula>
    </cfRule>
  </conditionalFormatting>
  <conditionalFormatting sqref="A51">
    <cfRule type="containsText" dxfId="3" priority="9517" operator="containsText" text="관리">
      <formula>NOT(ISERROR(SEARCH(("관리"),(A51))))</formula>
    </cfRule>
  </conditionalFormatting>
  <conditionalFormatting sqref="A51">
    <cfRule type="containsText" dxfId="4" priority="9518" operator="containsText" text="등록">
      <formula>NOT(ISERROR(SEARCH(("등록"),(A51))))</formula>
    </cfRule>
  </conditionalFormatting>
  <conditionalFormatting sqref="D51">
    <cfRule type="containsText" dxfId="0" priority="9519" operator="containsText" text="거부">
      <formula>NOT(ISERROR(SEARCH(("거부"),(D51))))</formula>
    </cfRule>
  </conditionalFormatting>
  <conditionalFormatting sqref="D51">
    <cfRule type="containsText" dxfId="1" priority="9520" operator="containsText" text="리턴">
      <formula>NOT(ISERROR(SEARCH(("리턴"),(D51))))</formula>
    </cfRule>
  </conditionalFormatting>
  <conditionalFormatting sqref="D51">
    <cfRule type="containsText" dxfId="2" priority="9521" operator="containsText" text="실패">
      <formula>NOT(ISERROR(SEARCH(("실패"),(D51))))</formula>
    </cfRule>
  </conditionalFormatting>
  <conditionalFormatting sqref="D51">
    <cfRule type="containsText" dxfId="3" priority="9522" operator="containsText" text="관리">
      <formula>NOT(ISERROR(SEARCH(("관리"),(D51))))</formula>
    </cfRule>
  </conditionalFormatting>
  <conditionalFormatting sqref="D51">
    <cfRule type="containsText" dxfId="4" priority="9523" operator="containsText" text="등록">
      <formula>NOT(ISERROR(SEARCH(("등록"),(D51))))</formula>
    </cfRule>
  </conditionalFormatting>
  <conditionalFormatting sqref="D51">
    <cfRule type="containsText" dxfId="0" priority="9524" operator="containsText" text="거부">
      <formula>NOT(ISERROR(SEARCH(("거부"),(D51))))</formula>
    </cfRule>
  </conditionalFormatting>
  <conditionalFormatting sqref="D51">
    <cfRule type="containsText" dxfId="1" priority="9525" operator="containsText" text="리턴">
      <formula>NOT(ISERROR(SEARCH(("리턴"),(D51))))</formula>
    </cfRule>
  </conditionalFormatting>
  <conditionalFormatting sqref="D51">
    <cfRule type="containsText" dxfId="2" priority="9526" operator="containsText" text="실패">
      <formula>NOT(ISERROR(SEARCH(("실패"),(D51))))</formula>
    </cfRule>
  </conditionalFormatting>
  <conditionalFormatting sqref="D51">
    <cfRule type="containsText" dxfId="3" priority="9527" operator="containsText" text="관리">
      <formula>NOT(ISERROR(SEARCH(("관리"),(D51))))</formula>
    </cfRule>
  </conditionalFormatting>
  <conditionalFormatting sqref="D51">
    <cfRule type="containsText" dxfId="4" priority="9528" operator="containsText" text="등록">
      <formula>NOT(ISERROR(SEARCH(("등록"),(D51))))</formula>
    </cfRule>
  </conditionalFormatting>
  <conditionalFormatting sqref="D51">
    <cfRule type="containsText" dxfId="0" priority="9529" operator="containsText" text="거부">
      <formula>NOT(ISERROR(SEARCH(("거부"),(D51))))</formula>
    </cfRule>
  </conditionalFormatting>
  <conditionalFormatting sqref="D51">
    <cfRule type="containsText" dxfId="1" priority="9530" operator="containsText" text="리턴">
      <formula>NOT(ISERROR(SEARCH(("리턴"),(D51))))</formula>
    </cfRule>
  </conditionalFormatting>
  <conditionalFormatting sqref="D51">
    <cfRule type="containsText" dxfId="2" priority="9531" operator="containsText" text="실패">
      <formula>NOT(ISERROR(SEARCH(("실패"),(D51))))</formula>
    </cfRule>
  </conditionalFormatting>
  <conditionalFormatting sqref="D51">
    <cfRule type="containsText" dxfId="3" priority="9532" operator="containsText" text="관리">
      <formula>NOT(ISERROR(SEARCH(("관리"),(D51))))</formula>
    </cfRule>
  </conditionalFormatting>
  <conditionalFormatting sqref="D51">
    <cfRule type="containsText" dxfId="4" priority="9533" operator="containsText" text="등록">
      <formula>NOT(ISERROR(SEARCH(("등록"),(D51))))</formula>
    </cfRule>
  </conditionalFormatting>
  <conditionalFormatting sqref="D51">
    <cfRule type="containsText" dxfId="0" priority="9534" operator="containsText" text="거부">
      <formula>NOT(ISERROR(SEARCH(("거부"),(D51))))</formula>
    </cfRule>
  </conditionalFormatting>
  <conditionalFormatting sqref="D51">
    <cfRule type="containsText" dxfId="1" priority="9535" operator="containsText" text="리턴">
      <formula>NOT(ISERROR(SEARCH(("리턴"),(D51))))</formula>
    </cfRule>
  </conditionalFormatting>
  <conditionalFormatting sqref="D51">
    <cfRule type="containsText" dxfId="2" priority="9536" operator="containsText" text="실패">
      <formula>NOT(ISERROR(SEARCH(("실패"),(D51))))</formula>
    </cfRule>
  </conditionalFormatting>
  <conditionalFormatting sqref="D51">
    <cfRule type="containsText" dxfId="3" priority="9537" operator="containsText" text="관리">
      <formula>NOT(ISERROR(SEARCH(("관리"),(D51))))</formula>
    </cfRule>
  </conditionalFormatting>
  <conditionalFormatting sqref="D51">
    <cfRule type="containsText" dxfId="4" priority="9538" operator="containsText" text="등록">
      <formula>NOT(ISERROR(SEARCH(("등록"),(D51))))</formula>
    </cfRule>
  </conditionalFormatting>
  <conditionalFormatting sqref="D51">
    <cfRule type="containsText" dxfId="0" priority="9539" operator="containsText" text="거부">
      <formula>NOT(ISERROR(SEARCH(("거부"),(D51))))</formula>
    </cfRule>
  </conditionalFormatting>
  <conditionalFormatting sqref="D51">
    <cfRule type="containsText" dxfId="1" priority="9540" operator="containsText" text="리턴">
      <formula>NOT(ISERROR(SEARCH(("리턴"),(D51))))</formula>
    </cfRule>
  </conditionalFormatting>
  <conditionalFormatting sqref="D51">
    <cfRule type="containsText" dxfId="2" priority="9541" operator="containsText" text="실패">
      <formula>NOT(ISERROR(SEARCH(("실패"),(D51))))</formula>
    </cfRule>
  </conditionalFormatting>
  <conditionalFormatting sqref="D51">
    <cfRule type="containsText" dxfId="3" priority="9542" operator="containsText" text="관리">
      <formula>NOT(ISERROR(SEARCH(("관리"),(D51))))</formula>
    </cfRule>
  </conditionalFormatting>
  <conditionalFormatting sqref="D51">
    <cfRule type="containsText" dxfId="4" priority="9543" operator="containsText" text="등록">
      <formula>NOT(ISERROR(SEARCH(("등록"),(D51))))</formula>
    </cfRule>
  </conditionalFormatting>
  <conditionalFormatting sqref="A52">
    <cfRule type="containsText" dxfId="0" priority="9544" operator="containsText" text="거부">
      <formula>NOT(ISERROR(SEARCH(("거부"),(A52))))</formula>
    </cfRule>
  </conditionalFormatting>
  <conditionalFormatting sqref="A52">
    <cfRule type="containsText" dxfId="1" priority="9545" operator="containsText" text="리턴">
      <formula>NOT(ISERROR(SEARCH(("리턴"),(A52))))</formula>
    </cfRule>
  </conditionalFormatting>
  <conditionalFormatting sqref="A52">
    <cfRule type="containsText" dxfId="2" priority="9546" operator="containsText" text="실패">
      <formula>NOT(ISERROR(SEARCH(("실패"),(A52))))</formula>
    </cfRule>
  </conditionalFormatting>
  <conditionalFormatting sqref="A52">
    <cfRule type="containsText" dxfId="3" priority="9547" operator="containsText" text="관리">
      <formula>NOT(ISERROR(SEARCH(("관리"),(A52))))</formula>
    </cfRule>
  </conditionalFormatting>
  <conditionalFormatting sqref="A52">
    <cfRule type="containsText" dxfId="4" priority="9548" operator="containsText" text="등록">
      <formula>NOT(ISERROR(SEARCH(("등록"),(A52))))</formula>
    </cfRule>
  </conditionalFormatting>
  <conditionalFormatting sqref="A52">
    <cfRule type="containsText" dxfId="0" priority="9549" operator="containsText" text="거부">
      <formula>NOT(ISERROR(SEARCH(("거부"),(A52))))</formula>
    </cfRule>
  </conditionalFormatting>
  <conditionalFormatting sqref="A52">
    <cfRule type="containsText" dxfId="1" priority="9550" operator="containsText" text="리턴">
      <formula>NOT(ISERROR(SEARCH(("리턴"),(A52))))</formula>
    </cfRule>
  </conditionalFormatting>
  <conditionalFormatting sqref="A52">
    <cfRule type="containsText" dxfId="2" priority="9551" operator="containsText" text="실패">
      <formula>NOT(ISERROR(SEARCH(("실패"),(A52))))</formula>
    </cfRule>
  </conditionalFormatting>
  <conditionalFormatting sqref="A52">
    <cfRule type="containsText" dxfId="3" priority="9552" operator="containsText" text="관리">
      <formula>NOT(ISERROR(SEARCH(("관리"),(A52))))</formula>
    </cfRule>
  </conditionalFormatting>
  <conditionalFormatting sqref="A52">
    <cfRule type="containsText" dxfId="4" priority="9553" operator="containsText" text="등록">
      <formula>NOT(ISERROR(SEARCH(("등록"),(A52))))</formula>
    </cfRule>
  </conditionalFormatting>
  <conditionalFormatting sqref="A52">
    <cfRule type="containsText" dxfId="0" priority="9554" operator="containsText" text="거부">
      <formula>NOT(ISERROR(SEARCH(("거부"),(A52))))</formula>
    </cfRule>
  </conditionalFormatting>
  <conditionalFormatting sqref="A52">
    <cfRule type="containsText" dxfId="1" priority="9555" operator="containsText" text="리턴">
      <formula>NOT(ISERROR(SEARCH(("리턴"),(A52))))</formula>
    </cfRule>
  </conditionalFormatting>
  <conditionalFormatting sqref="A52">
    <cfRule type="containsText" dxfId="2" priority="9556" operator="containsText" text="실패">
      <formula>NOT(ISERROR(SEARCH(("실패"),(A52))))</formula>
    </cfRule>
  </conditionalFormatting>
  <conditionalFormatting sqref="A52">
    <cfRule type="containsText" dxfId="3" priority="9557" operator="containsText" text="관리">
      <formula>NOT(ISERROR(SEARCH(("관리"),(A52))))</formula>
    </cfRule>
  </conditionalFormatting>
  <conditionalFormatting sqref="A52">
    <cfRule type="containsText" dxfId="4" priority="9558" operator="containsText" text="등록">
      <formula>NOT(ISERROR(SEARCH(("등록"),(A52))))</formula>
    </cfRule>
  </conditionalFormatting>
  <conditionalFormatting sqref="A52">
    <cfRule type="containsText" dxfId="0" priority="9559" operator="containsText" text="거부">
      <formula>NOT(ISERROR(SEARCH(("거부"),(A52))))</formula>
    </cfRule>
  </conditionalFormatting>
  <conditionalFormatting sqref="A52">
    <cfRule type="containsText" dxfId="1" priority="9560" operator="containsText" text="리턴">
      <formula>NOT(ISERROR(SEARCH(("리턴"),(A52))))</formula>
    </cfRule>
  </conditionalFormatting>
  <conditionalFormatting sqref="A52">
    <cfRule type="containsText" dxfId="2" priority="9561" operator="containsText" text="실패">
      <formula>NOT(ISERROR(SEARCH(("실패"),(A52))))</formula>
    </cfRule>
  </conditionalFormatting>
  <conditionalFormatting sqref="A52">
    <cfRule type="containsText" dxfId="3" priority="9562" operator="containsText" text="관리">
      <formula>NOT(ISERROR(SEARCH(("관리"),(A52))))</formula>
    </cfRule>
  </conditionalFormatting>
  <conditionalFormatting sqref="A52">
    <cfRule type="containsText" dxfId="4" priority="9563" operator="containsText" text="등록">
      <formula>NOT(ISERROR(SEARCH(("등록"),(A52))))</formula>
    </cfRule>
  </conditionalFormatting>
  <conditionalFormatting sqref="A52">
    <cfRule type="containsText" dxfId="0" priority="9564" operator="containsText" text="거부">
      <formula>NOT(ISERROR(SEARCH(("거부"),(A52))))</formula>
    </cfRule>
  </conditionalFormatting>
  <conditionalFormatting sqref="A52">
    <cfRule type="containsText" dxfId="1" priority="9565" operator="containsText" text="리턴">
      <formula>NOT(ISERROR(SEARCH(("리턴"),(A52))))</formula>
    </cfRule>
  </conditionalFormatting>
  <conditionalFormatting sqref="A52">
    <cfRule type="containsText" dxfId="2" priority="9566" operator="containsText" text="실패">
      <formula>NOT(ISERROR(SEARCH(("실패"),(A52))))</formula>
    </cfRule>
  </conditionalFormatting>
  <conditionalFormatting sqref="A52">
    <cfRule type="containsText" dxfId="3" priority="9567" operator="containsText" text="관리">
      <formula>NOT(ISERROR(SEARCH(("관리"),(A52))))</formula>
    </cfRule>
  </conditionalFormatting>
  <conditionalFormatting sqref="A52">
    <cfRule type="containsText" dxfId="4" priority="9568" operator="containsText" text="등록">
      <formula>NOT(ISERROR(SEARCH(("등록"),(A52))))</formula>
    </cfRule>
  </conditionalFormatting>
  <conditionalFormatting sqref="A52">
    <cfRule type="containsText" dxfId="0" priority="9569" operator="containsText" text="거부">
      <formula>NOT(ISERROR(SEARCH(("거부"),(A52))))</formula>
    </cfRule>
  </conditionalFormatting>
  <conditionalFormatting sqref="A52">
    <cfRule type="containsText" dxfId="1" priority="9570" operator="containsText" text="리턴">
      <formula>NOT(ISERROR(SEARCH(("리턴"),(A52))))</formula>
    </cfRule>
  </conditionalFormatting>
  <conditionalFormatting sqref="A52">
    <cfRule type="containsText" dxfId="2" priority="9571" operator="containsText" text="실패">
      <formula>NOT(ISERROR(SEARCH(("실패"),(A52))))</formula>
    </cfRule>
  </conditionalFormatting>
  <conditionalFormatting sqref="A52">
    <cfRule type="containsText" dxfId="3" priority="9572" operator="containsText" text="관리">
      <formula>NOT(ISERROR(SEARCH(("관리"),(A52))))</formula>
    </cfRule>
  </conditionalFormatting>
  <conditionalFormatting sqref="A52">
    <cfRule type="containsText" dxfId="4" priority="9573" operator="containsText" text="등록">
      <formula>NOT(ISERROR(SEARCH(("등록"),(A52))))</formula>
    </cfRule>
  </conditionalFormatting>
  <conditionalFormatting sqref="A52">
    <cfRule type="containsText" dxfId="0" priority="9574" operator="containsText" text="거부">
      <formula>NOT(ISERROR(SEARCH(("거부"),(A52))))</formula>
    </cfRule>
  </conditionalFormatting>
  <conditionalFormatting sqref="A52">
    <cfRule type="containsText" dxfId="1" priority="9575" operator="containsText" text="리턴">
      <formula>NOT(ISERROR(SEARCH(("리턴"),(A52))))</formula>
    </cfRule>
  </conditionalFormatting>
  <conditionalFormatting sqref="A52">
    <cfRule type="containsText" dxfId="2" priority="9576" operator="containsText" text="실패">
      <formula>NOT(ISERROR(SEARCH(("실패"),(A52))))</formula>
    </cfRule>
  </conditionalFormatting>
  <conditionalFormatting sqref="A52">
    <cfRule type="containsText" dxfId="3" priority="9577" operator="containsText" text="관리">
      <formula>NOT(ISERROR(SEARCH(("관리"),(A52))))</formula>
    </cfRule>
  </conditionalFormatting>
  <conditionalFormatting sqref="A52">
    <cfRule type="containsText" dxfId="4" priority="9578" operator="containsText" text="등록">
      <formula>NOT(ISERROR(SEARCH(("등록"),(A52))))</formula>
    </cfRule>
  </conditionalFormatting>
  <conditionalFormatting sqref="A52">
    <cfRule type="containsText" dxfId="0" priority="9579" operator="containsText" text="거부">
      <formula>NOT(ISERROR(SEARCH(("거부"),(A52))))</formula>
    </cfRule>
  </conditionalFormatting>
  <conditionalFormatting sqref="A52">
    <cfRule type="containsText" dxfId="1" priority="9580" operator="containsText" text="리턴">
      <formula>NOT(ISERROR(SEARCH(("리턴"),(A52))))</formula>
    </cfRule>
  </conditionalFormatting>
  <conditionalFormatting sqref="A52">
    <cfRule type="containsText" dxfId="2" priority="9581" operator="containsText" text="실패">
      <formula>NOT(ISERROR(SEARCH(("실패"),(A52))))</formula>
    </cfRule>
  </conditionalFormatting>
  <conditionalFormatting sqref="A52">
    <cfRule type="containsText" dxfId="3" priority="9582" operator="containsText" text="관리">
      <formula>NOT(ISERROR(SEARCH(("관리"),(A52))))</formula>
    </cfRule>
  </conditionalFormatting>
  <conditionalFormatting sqref="A52">
    <cfRule type="containsText" dxfId="4" priority="9583" operator="containsText" text="등록">
      <formula>NOT(ISERROR(SEARCH(("등록"),(A52))))</formula>
    </cfRule>
  </conditionalFormatting>
  <conditionalFormatting sqref="A52">
    <cfRule type="containsText" dxfId="0" priority="9584" operator="containsText" text="거부">
      <formula>NOT(ISERROR(SEARCH(("거부"),(A52))))</formula>
    </cfRule>
  </conditionalFormatting>
  <conditionalFormatting sqref="A52">
    <cfRule type="containsText" dxfId="1" priority="9585" operator="containsText" text="리턴">
      <formula>NOT(ISERROR(SEARCH(("리턴"),(A52))))</formula>
    </cfRule>
  </conditionalFormatting>
  <conditionalFormatting sqref="A52">
    <cfRule type="containsText" dxfId="2" priority="9586" operator="containsText" text="실패">
      <formula>NOT(ISERROR(SEARCH(("실패"),(A52))))</formula>
    </cfRule>
  </conditionalFormatting>
  <conditionalFormatting sqref="A52">
    <cfRule type="containsText" dxfId="3" priority="9587" operator="containsText" text="관리">
      <formula>NOT(ISERROR(SEARCH(("관리"),(A52))))</formula>
    </cfRule>
  </conditionalFormatting>
  <conditionalFormatting sqref="A52">
    <cfRule type="containsText" dxfId="4" priority="9588" operator="containsText" text="등록">
      <formula>NOT(ISERROR(SEARCH(("등록"),(A52))))</formula>
    </cfRule>
  </conditionalFormatting>
  <conditionalFormatting sqref="A52">
    <cfRule type="containsText" dxfId="0" priority="9589" operator="containsText" text="거부">
      <formula>NOT(ISERROR(SEARCH(("거부"),(A52))))</formula>
    </cfRule>
  </conditionalFormatting>
  <conditionalFormatting sqref="A52">
    <cfRule type="containsText" dxfId="1" priority="9590" operator="containsText" text="리턴">
      <formula>NOT(ISERROR(SEARCH(("리턴"),(A52))))</formula>
    </cfRule>
  </conditionalFormatting>
  <conditionalFormatting sqref="A52">
    <cfRule type="containsText" dxfId="2" priority="9591" operator="containsText" text="실패">
      <formula>NOT(ISERROR(SEARCH(("실패"),(A52))))</formula>
    </cfRule>
  </conditionalFormatting>
  <conditionalFormatting sqref="A52">
    <cfRule type="containsText" dxfId="3" priority="9592" operator="containsText" text="관리">
      <formula>NOT(ISERROR(SEARCH(("관리"),(A52))))</formula>
    </cfRule>
  </conditionalFormatting>
  <conditionalFormatting sqref="A52">
    <cfRule type="containsText" dxfId="4" priority="9593" operator="containsText" text="등록">
      <formula>NOT(ISERROR(SEARCH(("등록"),(A52))))</formula>
    </cfRule>
  </conditionalFormatting>
  <conditionalFormatting sqref="D52">
    <cfRule type="containsText" dxfId="0" priority="9594" operator="containsText" text="거부">
      <formula>NOT(ISERROR(SEARCH(("거부"),(D52))))</formula>
    </cfRule>
  </conditionalFormatting>
  <conditionalFormatting sqref="D52">
    <cfRule type="containsText" dxfId="1" priority="9595" operator="containsText" text="리턴">
      <formula>NOT(ISERROR(SEARCH(("리턴"),(D52))))</formula>
    </cfRule>
  </conditionalFormatting>
  <conditionalFormatting sqref="D52">
    <cfRule type="containsText" dxfId="2" priority="9596" operator="containsText" text="실패">
      <formula>NOT(ISERROR(SEARCH(("실패"),(D52))))</formula>
    </cfRule>
  </conditionalFormatting>
  <conditionalFormatting sqref="D52">
    <cfRule type="containsText" dxfId="3" priority="9597" operator="containsText" text="관리">
      <formula>NOT(ISERROR(SEARCH(("관리"),(D52))))</formula>
    </cfRule>
  </conditionalFormatting>
  <conditionalFormatting sqref="D52">
    <cfRule type="containsText" dxfId="4" priority="9598" operator="containsText" text="등록">
      <formula>NOT(ISERROR(SEARCH(("등록"),(D52))))</formula>
    </cfRule>
  </conditionalFormatting>
  <conditionalFormatting sqref="D52">
    <cfRule type="containsText" dxfId="0" priority="9599" operator="containsText" text="거부">
      <formula>NOT(ISERROR(SEARCH(("거부"),(D52))))</formula>
    </cfRule>
  </conditionalFormatting>
  <conditionalFormatting sqref="D52">
    <cfRule type="containsText" dxfId="1" priority="9600" operator="containsText" text="리턴">
      <formula>NOT(ISERROR(SEARCH(("리턴"),(D52))))</formula>
    </cfRule>
  </conditionalFormatting>
  <conditionalFormatting sqref="D52">
    <cfRule type="containsText" dxfId="2" priority="9601" operator="containsText" text="실패">
      <formula>NOT(ISERROR(SEARCH(("실패"),(D52))))</formula>
    </cfRule>
  </conditionalFormatting>
  <conditionalFormatting sqref="D52">
    <cfRule type="containsText" dxfId="3" priority="9602" operator="containsText" text="관리">
      <formula>NOT(ISERROR(SEARCH(("관리"),(D52))))</formula>
    </cfRule>
  </conditionalFormatting>
  <conditionalFormatting sqref="D52">
    <cfRule type="containsText" dxfId="4" priority="9603" operator="containsText" text="등록">
      <formula>NOT(ISERROR(SEARCH(("등록"),(D52))))</formula>
    </cfRule>
  </conditionalFormatting>
  <conditionalFormatting sqref="D52">
    <cfRule type="containsText" dxfId="0" priority="9604" operator="containsText" text="거부">
      <formula>NOT(ISERROR(SEARCH(("거부"),(D52))))</formula>
    </cfRule>
  </conditionalFormatting>
  <conditionalFormatting sqref="D52">
    <cfRule type="containsText" dxfId="1" priority="9605" operator="containsText" text="리턴">
      <formula>NOT(ISERROR(SEARCH(("리턴"),(D52))))</formula>
    </cfRule>
  </conditionalFormatting>
  <conditionalFormatting sqref="D52">
    <cfRule type="containsText" dxfId="2" priority="9606" operator="containsText" text="실패">
      <formula>NOT(ISERROR(SEARCH(("실패"),(D52))))</formula>
    </cfRule>
  </conditionalFormatting>
  <conditionalFormatting sqref="D52">
    <cfRule type="containsText" dxfId="3" priority="9607" operator="containsText" text="관리">
      <formula>NOT(ISERROR(SEARCH(("관리"),(D52))))</formula>
    </cfRule>
  </conditionalFormatting>
  <conditionalFormatting sqref="D52">
    <cfRule type="containsText" dxfId="4" priority="9608" operator="containsText" text="등록">
      <formula>NOT(ISERROR(SEARCH(("등록"),(D52))))</formula>
    </cfRule>
  </conditionalFormatting>
  <conditionalFormatting sqref="D52">
    <cfRule type="containsText" dxfId="0" priority="9609" operator="containsText" text="거부">
      <formula>NOT(ISERROR(SEARCH(("거부"),(D52))))</formula>
    </cfRule>
  </conditionalFormatting>
  <conditionalFormatting sqref="D52">
    <cfRule type="containsText" dxfId="1" priority="9610" operator="containsText" text="리턴">
      <formula>NOT(ISERROR(SEARCH(("리턴"),(D52))))</formula>
    </cfRule>
  </conditionalFormatting>
  <conditionalFormatting sqref="D52">
    <cfRule type="containsText" dxfId="2" priority="9611" operator="containsText" text="실패">
      <formula>NOT(ISERROR(SEARCH(("실패"),(D52))))</formula>
    </cfRule>
  </conditionalFormatting>
  <conditionalFormatting sqref="D52">
    <cfRule type="containsText" dxfId="3" priority="9612" operator="containsText" text="관리">
      <formula>NOT(ISERROR(SEARCH(("관리"),(D52))))</formula>
    </cfRule>
  </conditionalFormatting>
  <conditionalFormatting sqref="D52">
    <cfRule type="containsText" dxfId="4" priority="9613" operator="containsText" text="등록">
      <formula>NOT(ISERROR(SEARCH(("등록"),(D52))))</formula>
    </cfRule>
  </conditionalFormatting>
  <conditionalFormatting sqref="D52">
    <cfRule type="containsText" dxfId="0" priority="9614" operator="containsText" text="거부">
      <formula>NOT(ISERROR(SEARCH(("거부"),(D52))))</formula>
    </cfRule>
  </conditionalFormatting>
  <conditionalFormatting sqref="D52">
    <cfRule type="containsText" dxfId="1" priority="9615" operator="containsText" text="리턴">
      <formula>NOT(ISERROR(SEARCH(("리턴"),(D52))))</formula>
    </cfRule>
  </conditionalFormatting>
  <conditionalFormatting sqref="D52">
    <cfRule type="containsText" dxfId="2" priority="9616" operator="containsText" text="실패">
      <formula>NOT(ISERROR(SEARCH(("실패"),(D52))))</formula>
    </cfRule>
  </conditionalFormatting>
  <conditionalFormatting sqref="D52">
    <cfRule type="containsText" dxfId="3" priority="9617" operator="containsText" text="관리">
      <formula>NOT(ISERROR(SEARCH(("관리"),(D52))))</formula>
    </cfRule>
  </conditionalFormatting>
  <conditionalFormatting sqref="D52">
    <cfRule type="containsText" dxfId="4" priority="9618" operator="containsText" text="등록">
      <formula>NOT(ISERROR(SEARCH(("등록"),(D52))))</formula>
    </cfRule>
  </conditionalFormatting>
  <conditionalFormatting sqref="J52">
    <cfRule type="containsText" dxfId="0" priority="9619" operator="containsText" text="거부">
      <formula>NOT(ISERROR(SEARCH(("거부"),(J52))))</formula>
    </cfRule>
  </conditionalFormatting>
  <conditionalFormatting sqref="J52">
    <cfRule type="containsText" dxfId="1" priority="9620" operator="containsText" text="리턴">
      <formula>NOT(ISERROR(SEARCH(("리턴"),(J52))))</formula>
    </cfRule>
  </conditionalFormatting>
  <conditionalFormatting sqref="J52">
    <cfRule type="containsText" dxfId="2" priority="9621" operator="containsText" text="실패">
      <formula>NOT(ISERROR(SEARCH(("실패"),(J52))))</formula>
    </cfRule>
  </conditionalFormatting>
  <conditionalFormatting sqref="J52">
    <cfRule type="containsText" dxfId="3" priority="9622" operator="containsText" text="관리">
      <formula>NOT(ISERROR(SEARCH(("관리"),(J52))))</formula>
    </cfRule>
  </conditionalFormatting>
  <conditionalFormatting sqref="J52">
    <cfRule type="containsText" dxfId="4" priority="9623" operator="containsText" text="등록">
      <formula>NOT(ISERROR(SEARCH(("등록"),(J52))))</formula>
    </cfRule>
  </conditionalFormatting>
  <conditionalFormatting sqref="J52">
    <cfRule type="containsText" dxfId="0" priority="9624" operator="containsText" text="거부">
      <formula>NOT(ISERROR(SEARCH(("거부"),(J52))))</formula>
    </cfRule>
  </conditionalFormatting>
  <conditionalFormatting sqref="J52">
    <cfRule type="containsText" dxfId="1" priority="9625" operator="containsText" text="리턴">
      <formula>NOT(ISERROR(SEARCH(("리턴"),(J52))))</formula>
    </cfRule>
  </conditionalFormatting>
  <conditionalFormatting sqref="J52">
    <cfRule type="containsText" dxfId="2" priority="9626" operator="containsText" text="실패">
      <formula>NOT(ISERROR(SEARCH(("실패"),(J52))))</formula>
    </cfRule>
  </conditionalFormatting>
  <conditionalFormatting sqref="J52">
    <cfRule type="containsText" dxfId="3" priority="9627" operator="containsText" text="관리">
      <formula>NOT(ISERROR(SEARCH(("관리"),(J52))))</formula>
    </cfRule>
  </conditionalFormatting>
  <conditionalFormatting sqref="J52">
    <cfRule type="containsText" dxfId="4" priority="9628" operator="containsText" text="등록">
      <formula>NOT(ISERROR(SEARCH(("등록"),(J52))))</formula>
    </cfRule>
  </conditionalFormatting>
  <conditionalFormatting sqref="J52">
    <cfRule type="containsText" dxfId="0" priority="9629" operator="containsText" text="거부">
      <formula>NOT(ISERROR(SEARCH(("거부"),(J52))))</formula>
    </cfRule>
  </conditionalFormatting>
  <conditionalFormatting sqref="J52">
    <cfRule type="containsText" dxfId="1" priority="9630" operator="containsText" text="리턴">
      <formula>NOT(ISERROR(SEARCH(("리턴"),(J52))))</formula>
    </cfRule>
  </conditionalFormatting>
  <conditionalFormatting sqref="J52">
    <cfRule type="containsText" dxfId="2" priority="9631" operator="containsText" text="실패">
      <formula>NOT(ISERROR(SEARCH(("실패"),(J52))))</formula>
    </cfRule>
  </conditionalFormatting>
  <conditionalFormatting sqref="J52">
    <cfRule type="containsText" dxfId="3" priority="9632" operator="containsText" text="관리">
      <formula>NOT(ISERROR(SEARCH(("관리"),(J52))))</formula>
    </cfRule>
  </conditionalFormatting>
  <conditionalFormatting sqref="J52">
    <cfRule type="containsText" dxfId="4" priority="9633" operator="containsText" text="등록">
      <formula>NOT(ISERROR(SEARCH(("등록"),(J52))))</formula>
    </cfRule>
  </conditionalFormatting>
  <conditionalFormatting sqref="J52">
    <cfRule type="containsText" dxfId="0" priority="9634" operator="containsText" text="거부">
      <formula>NOT(ISERROR(SEARCH(("거부"),(J52))))</formula>
    </cfRule>
  </conditionalFormatting>
  <conditionalFormatting sqref="J52">
    <cfRule type="containsText" dxfId="1" priority="9635" operator="containsText" text="리턴">
      <formula>NOT(ISERROR(SEARCH(("리턴"),(J52))))</formula>
    </cfRule>
  </conditionalFormatting>
  <conditionalFormatting sqref="J52">
    <cfRule type="containsText" dxfId="2" priority="9636" operator="containsText" text="실패">
      <formula>NOT(ISERROR(SEARCH(("실패"),(J52))))</formula>
    </cfRule>
  </conditionalFormatting>
  <conditionalFormatting sqref="J52">
    <cfRule type="containsText" dxfId="3" priority="9637" operator="containsText" text="관리">
      <formula>NOT(ISERROR(SEARCH(("관리"),(J52))))</formula>
    </cfRule>
  </conditionalFormatting>
  <conditionalFormatting sqref="J52">
    <cfRule type="containsText" dxfId="4" priority="9638" operator="containsText" text="등록">
      <formula>NOT(ISERROR(SEARCH(("등록"),(J52))))</formula>
    </cfRule>
  </conditionalFormatting>
  <conditionalFormatting sqref="J52">
    <cfRule type="containsText" dxfId="0" priority="9639" operator="containsText" text="거부">
      <formula>NOT(ISERROR(SEARCH(("거부"),(J52))))</formula>
    </cfRule>
  </conditionalFormatting>
  <conditionalFormatting sqref="J52">
    <cfRule type="containsText" dxfId="1" priority="9640" operator="containsText" text="리턴">
      <formula>NOT(ISERROR(SEARCH(("리턴"),(J52))))</formula>
    </cfRule>
  </conditionalFormatting>
  <conditionalFormatting sqref="J52">
    <cfRule type="containsText" dxfId="2" priority="9641" operator="containsText" text="실패">
      <formula>NOT(ISERROR(SEARCH(("실패"),(J52))))</formula>
    </cfRule>
  </conditionalFormatting>
  <conditionalFormatting sqref="J52">
    <cfRule type="containsText" dxfId="3" priority="9642" operator="containsText" text="관리">
      <formula>NOT(ISERROR(SEARCH(("관리"),(J52))))</formula>
    </cfRule>
  </conditionalFormatting>
  <conditionalFormatting sqref="J52">
    <cfRule type="containsText" dxfId="4" priority="9643" operator="containsText" text="등록">
      <formula>NOT(ISERROR(SEARCH(("등록"),(J52))))</formula>
    </cfRule>
  </conditionalFormatting>
  <conditionalFormatting sqref="J52">
    <cfRule type="containsText" dxfId="0" priority="9644" operator="containsText" text="거부">
      <formula>NOT(ISERROR(SEARCH(("거부"),(J52))))</formula>
    </cfRule>
  </conditionalFormatting>
  <conditionalFormatting sqref="J52">
    <cfRule type="containsText" dxfId="1" priority="9645" operator="containsText" text="리턴">
      <formula>NOT(ISERROR(SEARCH(("리턴"),(J52))))</formula>
    </cfRule>
  </conditionalFormatting>
  <conditionalFormatting sqref="J52">
    <cfRule type="containsText" dxfId="2" priority="9646" operator="containsText" text="실패">
      <formula>NOT(ISERROR(SEARCH(("실패"),(J52))))</formula>
    </cfRule>
  </conditionalFormatting>
  <conditionalFormatting sqref="J52">
    <cfRule type="containsText" dxfId="3" priority="9647" operator="containsText" text="관리">
      <formula>NOT(ISERROR(SEARCH(("관리"),(J52))))</formula>
    </cfRule>
  </conditionalFormatting>
  <conditionalFormatting sqref="J52">
    <cfRule type="containsText" dxfId="4" priority="9648" operator="containsText" text="등록">
      <formula>NOT(ISERROR(SEARCH(("등록"),(J52))))</formula>
    </cfRule>
  </conditionalFormatting>
  <conditionalFormatting sqref="J52">
    <cfRule type="containsText" dxfId="0" priority="9649" operator="containsText" text="거부">
      <formula>NOT(ISERROR(SEARCH(("거부"),(J52))))</formula>
    </cfRule>
  </conditionalFormatting>
  <conditionalFormatting sqref="J52">
    <cfRule type="containsText" dxfId="1" priority="9650" operator="containsText" text="리턴">
      <formula>NOT(ISERROR(SEARCH(("리턴"),(J52))))</formula>
    </cfRule>
  </conditionalFormatting>
  <conditionalFormatting sqref="J52">
    <cfRule type="containsText" dxfId="2" priority="9651" operator="containsText" text="실패">
      <formula>NOT(ISERROR(SEARCH(("실패"),(J52))))</formula>
    </cfRule>
  </conditionalFormatting>
  <conditionalFormatting sqref="J52">
    <cfRule type="containsText" dxfId="3" priority="9652" operator="containsText" text="관리">
      <formula>NOT(ISERROR(SEARCH(("관리"),(J52))))</formula>
    </cfRule>
  </conditionalFormatting>
  <conditionalFormatting sqref="J52">
    <cfRule type="containsText" dxfId="4" priority="9653" operator="containsText" text="등록">
      <formula>NOT(ISERROR(SEARCH(("등록"),(J52))))</formula>
    </cfRule>
  </conditionalFormatting>
  <conditionalFormatting sqref="J52">
    <cfRule type="containsText" dxfId="0" priority="9654" operator="containsText" text="거부">
      <formula>NOT(ISERROR(SEARCH(("거부"),(J52))))</formula>
    </cfRule>
  </conditionalFormatting>
  <conditionalFormatting sqref="J52">
    <cfRule type="containsText" dxfId="1" priority="9655" operator="containsText" text="리턴">
      <formula>NOT(ISERROR(SEARCH(("리턴"),(J52))))</formula>
    </cfRule>
  </conditionalFormatting>
  <conditionalFormatting sqref="J52">
    <cfRule type="containsText" dxfId="2" priority="9656" operator="containsText" text="실패">
      <formula>NOT(ISERROR(SEARCH(("실패"),(J52))))</formula>
    </cfRule>
  </conditionalFormatting>
  <conditionalFormatting sqref="J52">
    <cfRule type="containsText" dxfId="3" priority="9657" operator="containsText" text="관리">
      <formula>NOT(ISERROR(SEARCH(("관리"),(J52))))</formula>
    </cfRule>
  </conditionalFormatting>
  <conditionalFormatting sqref="J52">
    <cfRule type="containsText" dxfId="4" priority="9658" operator="containsText" text="등록">
      <formula>NOT(ISERROR(SEARCH(("등록"),(J52))))</formula>
    </cfRule>
  </conditionalFormatting>
  <conditionalFormatting sqref="J52">
    <cfRule type="containsText" dxfId="0" priority="9659" operator="containsText" text="거부">
      <formula>NOT(ISERROR(SEARCH(("거부"),(J52))))</formula>
    </cfRule>
  </conditionalFormatting>
  <conditionalFormatting sqref="J52">
    <cfRule type="containsText" dxfId="1" priority="9660" operator="containsText" text="리턴">
      <formula>NOT(ISERROR(SEARCH(("리턴"),(J52))))</formula>
    </cfRule>
  </conditionalFormatting>
  <conditionalFormatting sqref="J52">
    <cfRule type="containsText" dxfId="2" priority="9661" operator="containsText" text="실패">
      <formula>NOT(ISERROR(SEARCH(("실패"),(J52))))</formula>
    </cfRule>
  </conditionalFormatting>
  <conditionalFormatting sqref="J52">
    <cfRule type="containsText" dxfId="3" priority="9662" operator="containsText" text="관리">
      <formula>NOT(ISERROR(SEARCH(("관리"),(J52))))</formula>
    </cfRule>
  </conditionalFormatting>
  <conditionalFormatting sqref="J52">
    <cfRule type="containsText" dxfId="4" priority="9663" operator="containsText" text="등록">
      <formula>NOT(ISERROR(SEARCH(("등록"),(J52))))</formula>
    </cfRule>
  </conditionalFormatting>
  <conditionalFormatting sqref="J52">
    <cfRule type="containsText" dxfId="0" priority="9664" operator="containsText" text="거부">
      <formula>NOT(ISERROR(SEARCH(("거부"),(J52))))</formula>
    </cfRule>
  </conditionalFormatting>
  <conditionalFormatting sqref="J52">
    <cfRule type="containsText" dxfId="1" priority="9665" operator="containsText" text="리턴">
      <formula>NOT(ISERROR(SEARCH(("리턴"),(J52))))</formula>
    </cfRule>
  </conditionalFormatting>
  <conditionalFormatting sqref="J52">
    <cfRule type="containsText" dxfId="2" priority="9666" operator="containsText" text="실패">
      <formula>NOT(ISERROR(SEARCH(("실패"),(J52))))</formula>
    </cfRule>
  </conditionalFormatting>
  <conditionalFormatting sqref="J52">
    <cfRule type="containsText" dxfId="3" priority="9667" operator="containsText" text="관리">
      <formula>NOT(ISERROR(SEARCH(("관리"),(J52))))</formula>
    </cfRule>
  </conditionalFormatting>
  <conditionalFormatting sqref="J52">
    <cfRule type="containsText" dxfId="4" priority="9668" operator="containsText" text="등록">
      <formula>NOT(ISERROR(SEARCH(("등록"),(J52))))</formula>
    </cfRule>
  </conditionalFormatting>
  <conditionalFormatting sqref="J52">
    <cfRule type="containsText" dxfId="0" priority="9669" operator="containsText" text="거부">
      <formula>NOT(ISERROR(SEARCH(("거부"),(J52))))</formula>
    </cfRule>
  </conditionalFormatting>
  <conditionalFormatting sqref="J52">
    <cfRule type="containsText" dxfId="1" priority="9670" operator="containsText" text="리턴">
      <formula>NOT(ISERROR(SEARCH(("리턴"),(J52))))</formula>
    </cfRule>
  </conditionalFormatting>
  <conditionalFormatting sqref="J52">
    <cfRule type="containsText" dxfId="2" priority="9671" operator="containsText" text="실패">
      <formula>NOT(ISERROR(SEARCH(("실패"),(J52))))</formula>
    </cfRule>
  </conditionalFormatting>
  <conditionalFormatting sqref="J52">
    <cfRule type="containsText" dxfId="3" priority="9672" operator="containsText" text="관리">
      <formula>NOT(ISERROR(SEARCH(("관리"),(J52))))</formula>
    </cfRule>
  </conditionalFormatting>
  <conditionalFormatting sqref="J52">
    <cfRule type="containsText" dxfId="4" priority="9673" operator="containsText" text="등록">
      <formula>NOT(ISERROR(SEARCH(("등록"),(J52))))</formula>
    </cfRule>
  </conditionalFormatting>
  <conditionalFormatting sqref="J52">
    <cfRule type="containsText" dxfId="0" priority="9674" operator="containsText" text="거부">
      <formula>NOT(ISERROR(SEARCH(("거부"),(J52))))</formula>
    </cfRule>
  </conditionalFormatting>
  <conditionalFormatting sqref="J52">
    <cfRule type="containsText" dxfId="1" priority="9675" operator="containsText" text="리턴">
      <formula>NOT(ISERROR(SEARCH(("리턴"),(J52))))</formula>
    </cfRule>
  </conditionalFormatting>
  <conditionalFormatting sqref="J52">
    <cfRule type="containsText" dxfId="2" priority="9676" operator="containsText" text="실패">
      <formula>NOT(ISERROR(SEARCH(("실패"),(J52))))</formula>
    </cfRule>
  </conditionalFormatting>
  <conditionalFormatting sqref="J52">
    <cfRule type="containsText" dxfId="3" priority="9677" operator="containsText" text="관리">
      <formula>NOT(ISERROR(SEARCH(("관리"),(J52))))</formula>
    </cfRule>
  </conditionalFormatting>
  <conditionalFormatting sqref="J52">
    <cfRule type="containsText" dxfId="4" priority="9678" operator="containsText" text="등록">
      <formula>NOT(ISERROR(SEARCH(("등록"),(J52))))</formula>
    </cfRule>
  </conditionalFormatting>
  <conditionalFormatting sqref="J52">
    <cfRule type="containsText" dxfId="0" priority="9679" operator="containsText" text="거부">
      <formula>NOT(ISERROR(SEARCH(("거부"),(J52))))</formula>
    </cfRule>
  </conditionalFormatting>
  <conditionalFormatting sqref="J52">
    <cfRule type="containsText" dxfId="1" priority="9680" operator="containsText" text="리턴">
      <formula>NOT(ISERROR(SEARCH(("리턴"),(J52))))</formula>
    </cfRule>
  </conditionalFormatting>
  <conditionalFormatting sqref="J52">
    <cfRule type="containsText" dxfId="2" priority="9681" operator="containsText" text="실패">
      <formula>NOT(ISERROR(SEARCH(("실패"),(J52))))</formula>
    </cfRule>
  </conditionalFormatting>
  <conditionalFormatting sqref="J52">
    <cfRule type="containsText" dxfId="3" priority="9682" operator="containsText" text="관리">
      <formula>NOT(ISERROR(SEARCH(("관리"),(J52))))</formula>
    </cfRule>
  </conditionalFormatting>
  <conditionalFormatting sqref="J52">
    <cfRule type="containsText" dxfId="4" priority="9683" operator="containsText" text="등록">
      <formula>NOT(ISERROR(SEARCH(("등록"),(J52))))</formula>
    </cfRule>
  </conditionalFormatting>
  <conditionalFormatting sqref="J52">
    <cfRule type="containsText" dxfId="0" priority="9684" operator="containsText" text="거부">
      <formula>NOT(ISERROR(SEARCH(("거부"),(J52))))</formula>
    </cfRule>
  </conditionalFormatting>
  <conditionalFormatting sqref="J52">
    <cfRule type="containsText" dxfId="1" priority="9685" operator="containsText" text="리턴">
      <formula>NOT(ISERROR(SEARCH(("리턴"),(J52))))</formula>
    </cfRule>
  </conditionalFormatting>
  <conditionalFormatting sqref="J52">
    <cfRule type="containsText" dxfId="2" priority="9686" operator="containsText" text="실패">
      <formula>NOT(ISERROR(SEARCH(("실패"),(J52))))</formula>
    </cfRule>
  </conditionalFormatting>
  <conditionalFormatting sqref="J52">
    <cfRule type="containsText" dxfId="3" priority="9687" operator="containsText" text="관리">
      <formula>NOT(ISERROR(SEARCH(("관리"),(J52))))</formula>
    </cfRule>
  </conditionalFormatting>
  <conditionalFormatting sqref="J52">
    <cfRule type="containsText" dxfId="4" priority="9688" operator="containsText" text="등록">
      <formula>NOT(ISERROR(SEARCH(("등록"),(J52))))</formula>
    </cfRule>
  </conditionalFormatting>
  <conditionalFormatting sqref="J52">
    <cfRule type="containsText" dxfId="0" priority="9689" operator="containsText" text="거부">
      <formula>NOT(ISERROR(SEARCH(("거부"),(J52))))</formula>
    </cfRule>
  </conditionalFormatting>
  <conditionalFormatting sqref="J52">
    <cfRule type="containsText" dxfId="1" priority="9690" operator="containsText" text="리턴">
      <formula>NOT(ISERROR(SEARCH(("리턴"),(J52))))</formula>
    </cfRule>
  </conditionalFormatting>
  <conditionalFormatting sqref="J52">
    <cfRule type="containsText" dxfId="2" priority="9691" operator="containsText" text="실패">
      <formula>NOT(ISERROR(SEARCH(("실패"),(J52))))</formula>
    </cfRule>
  </conditionalFormatting>
  <conditionalFormatting sqref="J52">
    <cfRule type="containsText" dxfId="3" priority="9692" operator="containsText" text="관리">
      <formula>NOT(ISERROR(SEARCH(("관리"),(J52))))</formula>
    </cfRule>
  </conditionalFormatting>
  <conditionalFormatting sqref="J52">
    <cfRule type="containsText" dxfId="4" priority="9693" operator="containsText" text="등록">
      <formula>NOT(ISERROR(SEARCH(("등록"),(J52))))</formula>
    </cfRule>
  </conditionalFormatting>
  <conditionalFormatting sqref="A53">
    <cfRule type="containsText" dxfId="0" priority="9694" operator="containsText" text="거부">
      <formula>NOT(ISERROR(SEARCH(("거부"),(A53))))</formula>
    </cfRule>
  </conditionalFormatting>
  <conditionalFormatting sqref="A53">
    <cfRule type="containsText" dxfId="1" priority="9695" operator="containsText" text="리턴">
      <formula>NOT(ISERROR(SEARCH(("리턴"),(A53))))</formula>
    </cfRule>
  </conditionalFormatting>
  <conditionalFormatting sqref="A53">
    <cfRule type="containsText" dxfId="2" priority="9696" operator="containsText" text="실패">
      <formula>NOT(ISERROR(SEARCH(("실패"),(A53))))</formula>
    </cfRule>
  </conditionalFormatting>
  <conditionalFormatting sqref="A53">
    <cfRule type="containsText" dxfId="3" priority="9697" operator="containsText" text="관리">
      <formula>NOT(ISERROR(SEARCH(("관리"),(A53))))</formula>
    </cfRule>
  </conditionalFormatting>
  <conditionalFormatting sqref="A53">
    <cfRule type="containsText" dxfId="4" priority="9698" operator="containsText" text="등록">
      <formula>NOT(ISERROR(SEARCH(("등록"),(A53))))</formula>
    </cfRule>
  </conditionalFormatting>
  <conditionalFormatting sqref="A53">
    <cfRule type="containsText" dxfId="0" priority="9699" operator="containsText" text="거부">
      <formula>NOT(ISERROR(SEARCH(("거부"),(A53))))</formula>
    </cfRule>
  </conditionalFormatting>
  <conditionalFormatting sqref="A53">
    <cfRule type="containsText" dxfId="1" priority="9700" operator="containsText" text="리턴">
      <formula>NOT(ISERROR(SEARCH(("리턴"),(A53))))</formula>
    </cfRule>
  </conditionalFormatting>
  <conditionalFormatting sqref="A53">
    <cfRule type="containsText" dxfId="2" priority="9701" operator="containsText" text="실패">
      <formula>NOT(ISERROR(SEARCH(("실패"),(A53))))</formula>
    </cfRule>
  </conditionalFormatting>
  <conditionalFormatting sqref="A53">
    <cfRule type="containsText" dxfId="3" priority="9702" operator="containsText" text="관리">
      <formula>NOT(ISERROR(SEARCH(("관리"),(A53))))</formula>
    </cfRule>
  </conditionalFormatting>
  <conditionalFormatting sqref="A53">
    <cfRule type="containsText" dxfId="4" priority="9703" operator="containsText" text="등록">
      <formula>NOT(ISERROR(SEARCH(("등록"),(A53))))</formula>
    </cfRule>
  </conditionalFormatting>
  <conditionalFormatting sqref="A53">
    <cfRule type="containsText" dxfId="0" priority="9704" operator="containsText" text="거부">
      <formula>NOT(ISERROR(SEARCH(("거부"),(A53))))</formula>
    </cfRule>
  </conditionalFormatting>
  <conditionalFormatting sqref="A53">
    <cfRule type="containsText" dxfId="1" priority="9705" operator="containsText" text="리턴">
      <formula>NOT(ISERROR(SEARCH(("리턴"),(A53))))</formula>
    </cfRule>
  </conditionalFormatting>
  <conditionalFormatting sqref="A53">
    <cfRule type="containsText" dxfId="2" priority="9706" operator="containsText" text="실패">
      <formula>NOT(ISERROR(SEARCH(("실패"),(A53))))</formula>
    </cfRule>
  </conditionalFormatting>
  <conditionalFormatting sqref="A53">
    <cfRule type="containsText" dxfId="3" priority="9707" operator="containsText" text="관리">
      <formula>NOT(ISERROR(SEARCH(("관리"),(A53))))</formula>
    </cfRule>
  </conditionalFormatting>
  <conditionalFormatting sqref="A53">
    <cfRule type="containsText" dxfId="4" priority="9708" operator="containsText" text="등록">
      <formula>NOT(ISERROR(SEARCH(("등록"),(A53))))</formula>
    </cfRule>
  </conditionalFormatting>
  <conditionalFormatting sqref="A53">
    <cfRule type="containsText" dxfId="0" priority="9709" operator="containsText" text="거부">
      <formula>NOT(ISERROR(SEARCH(("거부"),(A53))))</formula>
    </cfRule>
  </conditionalFormatting>
  <conditionalFormatting sqref="A53">
    <cfRule type="containsText" dxfId="1" priority="9710" operator="containsText" text="리턴">
      <formula>NOT(ISERROR(SEARCH(("리턴"),(A53))))</formula>
    </cfRule>
  </conditionalFormatting>
  <conditionalFormatting sqref="A53">
    <cfRule type="containsText" dxfId="2" priority="9711" operator="containsText" text="실패">
      <formula>NOT(ISERROR(SEARCH(("실패"),(A53))))</formula>
    </cfRule>
  </conditionalFormatting>
  <conditionalFormatting sqref="A53">
    <cfRule type="containsText" dxfId="3" priority="9712" operator="containsText" text="관리">
      <formula>NOT(ISERROR(SEARCH(("관리"),(A53))))</formula>
    </cfRule>
  </conditionalFormatting>
  <conditionalFormatting sqref="A53">
    <cfRule type="containsText" dxfId="4" priority="9713" operator="containsText" text="등록">
      <formula>NOT(ISERROR(SEARCH(("등록"),(A53))))</formula>
    </cfRule>
  </conditionalFormatting>
  <conditionalFormatting sqref="A53">
    <cfRule type="containsText" dxfId="0" priority="9714" operator="containsText" text="거부">
      <formula>NOT(ISERROR(SEARCH(("거부"),(A53))))</formula>
    </cfRule>
  </conditionalFormatting>
  <conditionalFormatting sqref="A53">
    <cfRule type="containsText" dxfId="1" priority="9715" operator="containsText" text="리턴">
      <formula>NOT(ISERROR(SEARCH(("리턴"),(A53))))</formula>
    </cfRule>
  </conditionalFormatting>
  <conditionalFormatting sqref="A53">
    <cfRule type="containsText" dxfId="2" priority="9716" operator="containsText" text="실패">
      <formula>NOT(ISERROR(SEARCH(("실패"),(A53))))</formula>
    </cfRule>
  </conditionalFormatting>
  <conditionalFormatting sqref="A53">
    <cfRule type="containsText" dxfId="3" priority="9717" operator="containsText" text="관리">
      <formula>NOT(ISERROR(SEARCH(("관리"),(A53))))</formula>
    </cfRule>
  </conditionalFormatting>
  <conditionalFormatting sqref="A53">
    <cfRule type="containsText" dxfId="4" priority="9718" operator="containsText" text="등록">
      <formula>NOT(ISERROR(SEARCH(("등록"),(A53))))</formula>
    </cfRule>
  </conditionalFormatting>
  <conditionalFormatting sqref="A53">
    <cfRule type="containsText" dxfId="0" priority="9719" operator="containsText" text="거부">
      <formula>NOT(ISERROR(SEARCH(("거부"),(A53))))</formula>
    </cfRule>
  </conditionalFormatting>
  <conditionalFormatting sqref="A53">
    <cfRule type="containsText" dxfId="1" priority="9720" operator="containsText" text="리턴">
      <formula>NOT(ISERROR(SEARCH(("리턴"),(A53))))</formula>
    </cfRule>
  </conditionalFormatting>
  <conditionalFormatting sqref="A53">
    <cfRule type="containsText" dxfId="2" priority="9721" operator="containsText" text="실패">
      <formula>NOT(ISERROR(SEARCH(("실패"),(A53))))</formula>
    </cfRule>
  </conditionalFormatting>
  <conditionalFormatting sqref="A53">
    <cfRule type="containsText" dxfId="3" priority="9722" operator="containsText" text="관리">
      <formula>NOT(ISERROR(SEARCH(("관리"),(A53))))</formula>
    </cfRule>
  </conditionalFormatting>
  <conditionalFormatting sqref="A53">
    <cfRule type="containsText" dxfId="4" priority="9723" operator="containsText" text="등록">
      <formula>NOT(ISERROR(SEARCH(("등록"),(A53))))</formula>
    </cfRule>
  </conditionalFormatting>
  <conditionalFormatting sqref="A53">
    <cfRule type="containsText" dxfId="0" priority="9724" operator="containsText" text="거부">
      <formula>NOT(ISERROR(SEARCH(("거부"),(A53))))</formula>
    </cfRule>
  </conditionalFormatting>
  <conditionalFormatting sqref="A53">
    <cfRule type="containsText" dxfId="1" priority="9725" operator="containsText" text="리턴">
      <formula>NOT(ISERROR(SEARCH(("리턴"),(A53))))</formula>
    </cfRule>
  </conditionalFormatting>
  <conditionalFormatting sqref="A53">
    <cfRule type="containsText" dxfId="2" priority="9726" operator="containsText" text="실패">
      <formula>NOT(ISERROR(SEARCH(("실패"),(A53))))</formula>
    </cfRule>
  </conditionalFormatting>
  <conditionalFormatting sqref="A53">
    <cfRule type="containsText" dxfId="3" priority="9727" operator="containsText" text="관리">
      <formula>NOT(ISERROR(SEARCH(("관리"),(A53))))</formula>
    </cfRule>
  </conditionalFormatting>
  <conditionalFormatting sqref="A53">
    <cfRule type="containsText" dxfId="4" priority="9728" operator="containsText" text="등록">
      <formula>NOT(ISERROR(SEARCH(("등록"),(A53))))</formula>
    </cfRule>
  </conditionalFormatting>
  <conditionalFormatting sqref="A53">
    <cfRule type="containsText" dxfId="0" priority="9729" operator="containsText" text="거부">
      <formula>NOT(ISERROR(SEARCH(("거부"),(A53))))</formula>
    </cfRule>
  </conditionalFormatting>
  <conditionalFormatting sqref="A53">
    <cfRule type="containsText" dxfId="1" priority="9730" operator="containsText" text="리턴">
      <formula>NOT(ISERROR(SEARCH(("리턴"),(A53))))</formula>
    </cfRule>
  </conditionalFormatting>
  <conditionalFormatting sqref="A53">
    <cfRule type="containsText" dxfId="2" priority="9731" operator="containsText" text="실패">
      <formula>NOT(ISERROR(SEARCH(("실패"),(A53))))</formula>
    </cfRule>
  </conditionalFormatting>
  <conditionalFormatting sqref="A53">
    <cfRule type="containsText" dxfId="3" priority="9732" operator="containsText" text="관리">
      <formula>NOT(ISERROR(SEARCH(("관리"),(A53))))</formula>
    </cfRule>
  </conditionalFormatting>
  <conditionalFormatting sqref="A53">
    <cfRule type="containsText" dxfId="4" priority="9733" operator="containsText" text="등록">
      <formula>NOT(ISERROR(SEARCH(("등록"),(A53))))</formula>
    </cfRule>
  </conditionalFormatting>
  <conditionalFormatting sqref="A53">
    <cfRule type="containsText" dxfId="0" priority="9734" operator="containsText" text="거부">
      <formula>NOT(ISERROR(SEARCH(("거부"),(A53))))</formula>
    </cfRule>
  </conditionalFormatting>
  <conditionalFormatting sqref="A53">
    <cfRule type="containsText" dxfId="1" priority="9735" operator="containsText" text="리턴">
      <formula>NOT(ISERROR(SEARCH(("리턴"),(A53))))</formula>
    </cfRule>
  </conditionalFormatting>
  <conditionalFormatting sqref="A53">
    <cfRule type="containsText" dxfId="2" priority="9736" operator="containsText" text="실패">
      <formula>NOT(ISERROR(SEARCH(("실패"),(A53))))</formula>
    </cfRule>
  </conditionalFormatting>
  <conditionalFormatting sqref="A53">
    <cfRule type="containsText" dxfId="3" priority="9737" operator="containsText" text="관리">
      <formula>NOT(ISERROR(SEARCH(("관리"),(A53))))</formula>
    </cfRule>
  </conditionalFormatting>
  <conditionalFormatting sqref="A53">
    <cfRule type="containsText" dxfId="4" priority="9738" operator="containsText" text="등록">
      <formula>NOT(ISERROR(SEARCH(("등록"),(A53))))</formula>
    </cfRule>
  </conditionalFormatting>
  <conditionalFormatting sqref="A53">
    <cfRule type="containsText" dxfId="0" priority="9739" operator="containsText" text="거부">
      <formula>NOT(ISERROR(SEARCH(("거부"),(A53))))</formula>
    </cfRule>
  </conditionalFormatting>
  <conditionalFormatting sqref="A53">
    <cfRule type="containsText" dxfId="1" priority="9740" operator="containsText" text="리턴">
      <formula>NOT(ISERROR(SEARCH(("리턴"),(A53))))</formula>
    </cfRule>
  </conditionalFormatting>
  <conditionalFormatting sqref="A53">
    <cfRule type="containsText" dxfId="2" priority="9741" operator="containsText" text="실패">
      <formula>NOT(ISERROR(SEARCH(("실패"),(A53))))</formula>
    </cfRule>
  </conditionalFormatting>
  <conditionalFormatting sqref="A53">
    <cfRule type="containsText" dxfId="3" priority="9742" operator="containsText" text="관리">
      <formula>NOT(ISERROR(SEARCH(("관리"),(A53))))</formula>
    </cfRule>
  </conditionalFormatting>
  <conditionalFormatting sqref="A53">
    <cfRule type="containsText" dxfId="4" priority="9743" operator="containsText" text="등록">
      <formula>NOT(ISERROR(SEARCH(("등록"),(A53))))</formula>
    </cfRule>
  </conditionalFormatting>
  <conditionalFormatting sqref="A54">
    <cfRule type="containsText" dxfId="0" priority="9744" operator="containsText" text="거부">
      <formula>NOT(ISERROR(SEARCH(("거부"),(A54))))</formula>
    </cfRule>
  </conditionalFormatting>
  <conditionalFormatting sqref="A54">
    <cfRule type="containsText" dxfId="1" priority="9745" operator="containsText" text="리턴">
      <formula>NOT(ISERROR(SEARCH(("리턴"),(A54))))</formula>
    </cfRule>
  </conditionalFormatting>
  <conditionalFormatting sqref="A54">
    <cfRule type="containsText" dxfId="2" priority="9746" operator="containsText" text="실패">
      <formula>NOT(ISERROR(SEARCH(("실패"),(A54))))</formula>
    </cfRule>
  </conditionalFormatting>
  <conditionalFormatting sqref="A54">
    <cfRule type="containsText" dxfId="3" priority="9747" operator="containsText" text="관리">
      <formula>NOT(ISERROR(SEARCH(("관리"),(A54))))</formula>
    </cfRule>
  </conditionalFormatting>
  <conditionalFormatting sqref="A54">
    <cfRule type="containsText" dxfId="4" priority="9748" operator="containsText" text="등록">
      <formula>NOT(ISERROR(SEARCH(("등록"),(A54))))</formula>
    </cfRule>
  </conditionalFormatting>
  <conditionalFormatting sqref="A54">
    <cfRule type="containsText" dxfId="0" priority="9749" operator="containsText" text="거부">
      <formula>NOT(ISERROR(SEARCH(("거부"),(A54))))</formula>
    </cfRule>
  </conditionalFormatting>
  <conditionalFormatting sqref="A54">
    <cfRule type="containsText" dxfId="1" priority="9750" operator="containsText" text="리턴">
      <formula>NOT(ISERROR(SEARCH(("리턴"),(A54))))</formula>
    </cfRule>
  </conditionalFormatting>
  <conditionalFormatting sqref="A54">
    <cfRule type="containsText" dxfId="2" priority="9751" operator="containsText" text="실패">
      <formula>NOT(ISERROR(SEARCH(("실패"),(A54))))</formula>
    </cfRule>
  </conditionalFormatting>
  <conditionalFormatting sqref="A54">
    <cfRule type="containsText" dxfId="3" priority="9752" operator="containsText" text="관리">
      <formula>NOT(ISERROR(SEARCH(("관리"),(A54))))</formula>
    </cfRule>
  </conditionalFormatting>
  <conditionalFormatting sqref="A54">
    <cfRule type="containsText" dxfId="4" priority="9753" operator="containsText" text="등록">
      <formula>NOT(ISERROR(SEARCH(("등록"),(A54))))</formula>
    </cfRule>
  </conditionalFormatting>
  <conditionalFormatting sqref="A54">
    <cfRule type="containsText" dxfId="0" priority="9754" operator="containsText" text="거부">
      <formula>NOT(ISERROR(SEARCH(("거부"),(A54))))</formula>
    </cfRule>
  </conditionalFormatting>
  <conditionalFormatting sqref="A54">
    <cfRule type="containsText" dxfId="1" priority="9755" operator="containsText" text="리턴">
      <formula>NOT(ISERROR(SEARCH(("리턴"),(A54))))</formula>
    </cfRule>
  </conditionalFormatting>
  <conditionalFormatting sqref="A54">
    <cfRule type="containsText" dxfId="2" priority="9756" operator="containsText" text="실패">
      <formula>NOT(ISERROR(SEARCH(("실패"),(A54))))</formula>
    </cfRule>
  </conditionalFormatting>
  <conditionalFormatting sqref="A54">
    <cfRule type="containsText" dxfId="3" priority="9757" operator="containsText" text="관리">
      <formula>NOT(ISERROR(SEARCH(("관리"),(A54))))</formula>
    </cfRule>
  </conditionalFormatting>
  <conditionalFormatting sqref="A54">
    <cfRule type="containsText" dxfId="4" priority="9758" operator="containsText" text="등록">
      <formula>NOT(ISERROR(SEARCH(("등록"),(A54))))</formula>
    </cfRule>
  </conditionalFormatting>
  <conditionalFormatting sqref="A54">
    <cfRule type="containsText" dxfId="0" priority="9759" operator="containsText" text="거부">
      <formula>NOT(ISERROR(SEARCH(("거부"),(A54))))</formula>
    </cfRule>
  </conditionalFormatting>
  <conditionalFormatting sqref="A54">
    <cfRule type="containsText" dxfId="1" priority="9760" operator="containsText" text="리턴">
      <formula>NOT(ISERROR(SEARCH(("리턴"),(A54))))</formula>
    </cfRule>
  </conditionalFormatting>
  <conditionalFormatting sqref="A54">
    <cfRule type="containsText" dxfId="2" priority="9761" operator="containsText" text="실패">
      <formula>NOT(ISERROR(SEARCH(("실패"),(A54))))</formula>
    </cfRule>
  </conditionalFormatting>
  <conditionalFormatting sqref="A54">
    <cfRule type="containsText" dxfId="3" priority="9762" operator="containsText" text="관리">
      <formula>NOT(ISERROR(SEARCH(("관리"),(A54))))</formula>
    </cfRule>
  </conditionalFormatting>
  <conditionalFormatting sqref="A54">
    <cfRule type="containsText" dxfId="4" priority="9763" operator="containsText" text="등록">
      <formula>NOT(ISERROR(SEARCH(("등록"),(A54))))</formula>
    </cfRule>
  </conditionalFormatting>
  <conditionalFormatting sqref="A54">
    <cfRule type="containsText" dxfId="0" priority="9764" operator="containsText" text="거부">
      <formula>NOT(ISERROR(SEARCH(("거부"),(A54))))</formula>
    </cfRule>
  </conditionalFormatting>
  <conditionalFormatting sqref="A54">
    <cfRule type="containsText" dxfId="1" priority="9765" operator="containsText" text="리턴">
      <formula>NOT(ISERROR(SEARCH(("리턴"),(A54))))</formula>
    </cfRule>
  </conditionalFormatting>
  <conditionalFormatting sqref="A54">
    <cfRule type="containsText" dxfId="2" priority="9766" operator="containsText" text="실패">
      <formula>NOT(ISERROR(SEARCH(("실패"),(A54))))</formula>
    </cfRule>
  </conditionalFormatting>
  <conditionalFormatting sqref="A54">
    <cfRule type="containsText" dxfId="3" priority="9767" operator="containsText" text="관리">
      <formula>NOT(ISERROR(SEARCH(("관리"),(A54))))</formula>
    </cfRule>
  </conditionalFormatting>
  <conditionalFormatting sqref="A54">
    <cfRule type="containsText" dxfId="4" priority="9768" operator="containsText" text="등록">
      <formula>NOT(ISERROR(SEARCH(("등록"),(A54))))</formula>
    </cfRule>
  </conditionalFormatting>
  <conditionalFormatting sqref="A54">
    <cfRule type="containsText" dxfId="0" priority="9769" operator="containsText" text="거부">
      <formula>NOT(ISERROR(SEARCH(("거부"),(A54))))</formula>
    </cfRule>
  </conditionalFormatting>
  <conditionalFormatting sqref="A54">
    <cfRule type="containsText" dxfId="1" priority="9770" operator="containsText" text="리턴">
      <formula>NOT(ISERROR(SEARCH(("리턴"),(A54))))</formula>
    </cfRule>
  </conditionalFormatting>
  <conditionalFormatting sqref="A54">
    <cfRule type="containsText" dxfId="2" priority="9771" operator="containsText" text="실패">
      <formula>NOT(ISERROR(SEARCH(("실패"),(A54))))</formula>
    </cfRule>
  </conditionalFormatting>
  <conditionalFormatting sqref="A54">
    <cfRule type="containsText" dxfId="3" priority="9772" operator="containsText" text="관리">
      <formula>NOT(ISERROR(SEARCH(("관리"),(A54))))</formula>
    </cfRule>
  </conditionalFormatting>
  <conditionalFormatting sqref="A54">
    <cfRule type="containsText" dxfId="4" priority="9773" operator="containsText" text="등록">
      <formula>NOT(ISERROR(SEARCH(("등록"),(A54))))</formula>
    </cfRule>
  </conditionalFormatting>
  <conditionalFormatting sqref="A54">
    <cfRule type="containsText" dxfId="0" priority="9774" operator="containsText" text="거부">
      <formula>NOT(ISERROR(SEARCH(("거부"),(A54))))</formula>
    </cfRule>
  </conditionalFormatting>
  <conditionalFormatting sqref="A54">
    <cfRule type="containsText" dxfId="1" priority="9775" operator="containsText" text="리턴">
      <formula>NOT(ISERROR(SEARCH(("리턴"),(A54))))</formula>
    </cfRule>
  </conditionalFormatting>
  <conditionalFormatting sqref="A54">
    <cfRule type="containsText" dxfId="2" priority="9776" operator="containsText" text="실패">
      <formula>NOT(ISERROR(SEARCH(("실패"),(A54))))</formula>
    </cfRule>
  </conditionalFormatting>
  <conditionalFormatting sqref="A54">
    <cfRule type="containsText" dxfId="3" priority="9777" operator="containsText" text="관리">
      <formula>NOT(ISERROR(SEARCH(("관리"),(A54))))</formula>
    </cfRule>
  </conditionalFormatting>
  <conditionalFormatting sqref="A54">
    <cfRule type="containsText" dxfId="4" priority="9778" operator="containsText" text="등록">
      <formula>NOT(ISERROR(SEARCH(("등록"),(A54))))</formula>
    </cfRule>
  </conditionalFormatting>
  <conditionalFormatting sqref="A54">
    <cfRule type="containsText" dxfId="0" priority="9779" operator="containsText" text="거부">
      <formula>NOT(ISERROR(SEARCH(("거부"),(A54))))</formula>
    </cfRule>
  </conditionalFormatting>
  <conditionalFormatting sqref="A54">
    <cfRule type="containsText" dxfId="1" priority="9780" operator="containsText" text="리턴">
      <formula>NOT(ISERROR(SEARCH(("리턴"),(A54))))</formula>
    </cfRule>
  </conditionalFormatting>
  <conditionalFormatting sqref="A54">
    <cfRule type="containsText" dxfId="2" priority="9781" operator="containsText" text="실패">
      <formula>NOT(ISERROR(SEARCH(("실패"),(A54))))</formula>
    </cfRule>
  </conditionalFormatting>
  <conditionalFormatting sqref="A54">
    <cfRule type="containsText" dxfId="3" priority="9782" operator="containsText" text="관리">
      <formula>NOT(ISERROR(SEARCH(("관리"),(A54))))</formula>
    </cfRule>
  </conditionalFormatting>
  <conditionalFormatting sqref="A54">
    <cfRule type="containsText" dxfId="4" priority="9783" operator="containsText" text="등록">
      <formula>NOT(ISERROR(SEARCH(("등록"),(A54))))</formula>
    </cfRule>
  </conditionalFormatting>
  <conditionalFormatting sqref="A54">
    <cfRule type="containsText" dxfId="0" priority="9784" operator="containsText" text="거부">
      <formula>NOT(ISERROR(SEARCH(("거부"),(A54))))</formula>
    </cfRule>
  </conditionalFormatting>
  <conditionalFormatting sqref="A54">
    <cfRule type="containsText" dxfId="1" priority="9785" operator="containsText" text="리턴">
      <formula>NOT(ISERROR(SEARCH(("리턴"),(A54))))</formula>
    </cfRule>
  </conditionalFormatting>
  <conditionalFormatting sqref="A54">
    <cfRule type="containsText" dxfId="2" priority="9786" operator="containsText" text="실패">
      <formula>NOT(ISERROR(SEARCH(("실패"),(A54))))</formula>
    </cfRule>
  </conditionalFormatting>
  <conditionalFormatting sqref="A54">
    <cfRule type="containsText" dxfId="3" priority="9787" operator="containsText" text="관리">
      <formula>NOT(ISERROR(SEARCH(("관리"),(A54))))</formula>
    </cfRule>
  </conditionalFormatting>
  <conditionalFormatting sqref="A54">
    <cfRule type="containsText" dxfId="4" priority="9788" operator="containsText" text="등록">
      <formula>NOT(ISERROR(SEARCH(("등록"),(A54))))</formula>
    </cfRule>
  </conditionalFormatting>
  <conditionalFormatting sqref="A54">
    <cfRule type="containsText" dxfId="0" priority="9789" operator="containsText" text="거부">
      <formula>NOT(ISERROR(SEARCH(("거부"),(A54))))</formula>
    </cfRule>
  </conditionalFormatting>
  <conditionalFormatting sqref="A54">
    <cfRule type="containsText" dxfId="1" priority="9790" operator="containsText" text="리턴">
      <formula>NOT(ISERROR(SEARCH(("리턴"),(A54))))</formula>
    </cfRule>
  </conditionalFormatting>
  <conditionalFormatting sqref="A54">
    <cfRule type="containsText" dxfId="2" priority="9791" operator="containsText" text="실패">
      <formula>NOT(ISERROR(SEARCH(("실패"),(A54))))</formula>
    </cfRule>
  </conditionalFormatting>
  <conditionalFormatting sqref="A54">
    <cfRule type="containsText" dxfId="3" priority="9792" operator="containsText" text="관리">
      <formula>NOT(ISERROR(SEARCH(("관리"),(A54))))</formula>
    </cfRule>
  </conditionalFormatting>
  <conditionalFormatting sqref="A54">
    <cfRule type="containsText" dxfId="4" priority="9793" operator="containsText" text="등록">
      <formula>NOT(ISERROR(SEARCH(("등록"),(A54))))</formula>
    </cfRule>
  </conditionalFormatting>
  <conditionalFormatting sqref="D53">
    <cfRule type="containsText" dxfId="0" priority="9794" operator="containsText" text="거부">
      <formula>NOT(ISERROR(SEARCH(("거부"),(D53))))</formula>
    </cfRule>
  </conditionalFormatting>
  <conditionalFormatting sqref="D53">
    <cfRule type="containsText" dxfId="1" priority="9795" operator="containsText" text="리턴">
      <formula>NOT(ISERROR(SEARCH(("리턴"),(D53))))</formula>
    </cfRule>
  </conditionalFormatting>
  <conditionalFormatting sqref="D53">
    <cfRule type="containsText" dxfId="2" priority="9796" operator="containsText" text="실패">
      <formula>NOT(ISERROR(SEARCH(("실패"),(D53))))</formula>
    </cfRule>
  </conditionalFormatting>
  <conditionalFormatting sqref="D53">
    <cfRule type="containsText" dxfId="3" priority="9797" operator="containsText" text="관리">
      <formula>NOT(ISERROR(SEARCH(("관리"),(D53))))</formula>
    </cfRule>
  </conditionalFormatting>
  <conditionalFormatting sqref="D53">
    <cfRule type="containsText" dxfId="4" priority="9798" operator="containsText" text="등록">
      <formula>NOT(ISERROR(SEARCH(("등록"),(D53))))</formula>
    </cfRule>
  </conditionalFormatting>
  <conditionalFormatting sqref="D53">
    <cfRule type="containsText" dxfId="0" priority="9799" operator="containsText" text="거부">
      <formula>NOT(ISERROR(SEARCH(("거부"),(D53))))</formula>
    </cfRule>
  </conditionalFormatting>
  <conditionalFormatting sqref="D53">
    <cfRule type="containsText" dxfId="1" priority="9800" operator="containsText" text="리턴">
      <formula>NOT(ISERROR(SEARCH(("리턴"),(D53))))</formula>
    </cfRule>
  </conditionalFormatting>
  <conditionalFormatting sqref="D53">
    <cfRule type="containsText" dxfId="2" priority="9801" operator="containsText" text="실패">
      <formula>NOT(ISERROR(SEARCH(("실패"),(D53))))</formula>
    </cfRule>
  </conditionalFormatting>
  <conditionalFormatting sqref="D53">
    <cfRule type="containsText" dxfId="3" priority="9802" operator="containsText" text="관리">
      <formula>NOT(ISERROR(SEARCH(("관리"),(D53))))</formula>
    </cfRule>
  </conditionalFormatting>
  <conditionalFormatting sqref="D53">
    <cfRule type="containsText" dxfId="4" priority="9803" operator="containsText" text="등록">
      <formula>NOT(ISERROR(SEARCH(("등록"),(D53))))</formula>
    </cfRule>
  </conditionalFormatting>
  <conditionalFormatting sqref="D53">
    <cfRule type="containsText" dxfId="0" priority="9804" operator="containsText" text="거부">
      <formula>NOT(ISERROR(SEARCH(("거부"),(D53))))</formula>
    </cfRule>
  </conditionalFormatting>
  <conditionalFormatting sqref="D53">
    <cfRule type="containsText" dxfId="1" priority="9805" operator="containsText" text="리턴">
      <formula>NOT(ISERROR(SEARCH(("리턴"),(D53))))</formula>
    </cfRule>
  </conditionalFormatting>
  <conditionalFormatting sqref="D53">
    <cfRule type="containsText" dxfId="2" priority="9806" operator="containsText" text="실패">
      <formula>NOT(ISERROR(SEARCH(("실패"),(D53))))</formula>
    </cfRule>
  </conditionalFormatting>
  <conditionalFormatting sqref="D53">
    <cfRule type="containsText" dxfId="3" priority="9807" operator="containsText" text="관리">
      <formula>NOT(ISERROR(SEARCH(("관리"),(D53))))</formula>
    </cfRule>
  </conditionalFormatting>
  <conditionalFormatting sqref="D53">
    <cfRule type="containsText" dxfId="4" priority="9808" operator="containsText" text="등록">
      <formula>NOT(ISERROR(SEARCH(("등록"),(D53))))</formula>
    </cfRule>
  </conditionalFormatting>
  <conditionalFormatting sqref="D53">
    <cfRule type="containsText" dxfId="0" priority="9809" operator="containsText" text="거부">
      <formula>NOT(ISERROR(SEARCH(("거부"),(D53))))</formula>
    </cfRule>
  </conditionalFormatting>
  <conditionalFormatting sqref="D53">
    <cfRule type="containsText" dxfId="1" priority="9810" operator="containsText" text="리턴">
      <formula>NOT(ISERROR(SEARCH(("리턴"),(D53))))</formula>
    </cfRule>
  </conditionalFormatting>
  <conditionalFormatting sqref="D53">
    <cfRule type="containsText" dxfId="2" priority="9811" operator="containsText" text="실패">
      <formula>NOT(ISERROR(SEARCH(("실패"),(D53))))</formula>
    </cfRule>
  </conditionalFormatting>
  <conditionalFormatting sqref="D53">
    <cfRule type="containsText" dxfId="3" priority="9812" operator="containsText" text="관리">
      <formula>NOT(ISERROR(SEARCH(("관리"),(D53))))</formula>
    </cfRule>
  </conditionalFormatting>
  <conditionalFormatting sqref="D53">
    <cfRule type="containsText" dxfId="4" priority="9813" operator="containsText" text="등록">
      <formula>NOT(ISERROR(SEARCH(("등록"),(D53))))</formula>
    </cfRule>
  </conditionalFormatting>
  <conditionalFormatting sqref="D53">
    <cfRule type="containsText" dxfId="0" priority="9814" operator="containsText" text="거부">
      <formula>NOT(ISERROR(SEARCH(("거부"),(D53))))</formula>
    </cfRule>
  </conditionalFormatting>
  <conditionalFormatting sqref="D53">
    <cfRule type="containsText" dxfId="1" priority="9815" operator="containsText" text="리턴">
      <formula>NOT(ISERROR(SEARCH(("리턴"),(D53))))</formula>
    </cfRule>
  </conditionalFormatting>
  <conditionalFormatting sqref="D53">
    <cfRule type="containsText" dxfId="2" priority="9816" operator="containsText" text="실패">
      <formula>NOT(ISERROR(SEARCH(("실패"),(D53))))</formula>
    </cfRule>
  </conditionalFormatting>
  <conditionalFormatting sqref="D53">
    <cfRule type="containsText" dxfId="3" priority="9817" operator="containsText" text="관리">
      <formula>NOT(ISERROR(SEARCH(("관리"),(D53))))</formula>
    </cfRule>
  </conditionalFormatting>
  <conditionalFormatting sqref="D53">
    <cfRule type="containsText" dxfId="4" priority="9818" operator="containsText" text="등록">
      <formula>NOT(ISERROR(SEARCH(("등록"),(D53))))</formula>
    </cfRule>
  </conditionalFormatting>
  <conditionalFormatting sqref="D54">
    <cfRule type="containsText" dxfId="0" priority="9819" operator="containsText" text="거부">
      <formula>NOT(ISERROR(SEARCH(("거부"),(D54))))</formula>
    </cfRule>
  </conditionalFormatting>
  <conditionalFormatting sqref="D54">
    <cfRule type="containsText" dxfId="1" priority="9820" operator="containsText" text="리턴">
      <formula>NOT(ISERROR(SEARCH(("리턴"),(D54))))</formula>
    </cfRule>
  </conditionalFormatting>
  <conditionalFormatting sqref="D54">
    <cfRule type="containsText" dxfId="2" priority="9821" operator="containsText" text="실패">
      <formula>NOT(ISERROR(SEARCH(("실패"),(D54))))</formula>
    </cfRule>
  </conditionalFormatting>
  <conditionalFormatting sqref="D54">
    <cfRule type="containsText" dxfId="3" priority="9822" operator="containsText" text="관리">
      <formula>NOT(ISERROR(SEARCH(("관리"),(D54))))</formula>
    </cfRule>
  </conditionalFormatting>
  <conditionalFormatting sqref="D54">
    <cfRule type="containsText" dxfId="4" priority="9823" operator="containsText" text="등록">
      <formula>NOT(ISERROR(SEARCH(("등록"),(D54))))</formula>
    </cfRule>
  </conditionalFormatting>
  <conditionalFormatting sqref="D54">
    <cfRule type="containsText" dxfId="0" priority="9824" operator="containsText" text="거부">
      <formula>NOT(ISERROR(SEARCH(("거부"),(D54))))</formula>
    </cfRule>
  </conditionalFormatting>
  <conditionalFormatting sqref="D54">
    <cfRule type="containsText" dxfId="1" priority="9825" operator="containsText" text="리턴">
      <formula>NOT(ISERROR(SEARCH(("리턴"),(D54))))</formula>
    </cfRule>
  </conditionalFormatting>
  <conditionalFormatting sqref="D54">
    <cfRule type="containsText" dxfId="2" priority="9826" operator="containsText" text="실패">
      <formula>NOT(ISERROR(SEARCH(("실패"),(D54))))</formula>
    </cfRule>
  </conditionalFormatting>
  <conditionalFormatting sqref="D54">
    <cfRule type="containsText" dxfId="3" priority="9827" operator="containsText" text="관리">
      <formula>NOT(ISERROR(SEARCH(("관리"),(D54))))</formula>
    </cfRule>
  </conditionalFormatting>
  <conditionalFormatting sqref="D54">
    <cfRule type="containsText" dxfId="4" priority="9828" operator="containsText" text="등록">
      <formula>NOT(ISERROR(SEARCH(("등록"),(D54))))</formula>
    </cfRule>
  </conditionalFormatting>
  <conditionalFormatting sqref="D54">
    <cfRule type="containsText" dxfId="0" priority="9829" operator="containsText" text="거부">
      <formula>NOT(ISERROR(SEARCH(("거부"),(D54))))</formula>
    </cfRule>
  </conditionalFormatting>
  <conditionalFormatting sqref="D54">
    <cfRule type="containsText" dxfId="1" priority="9830" operator="containsText" text="리턴">
      <formula>NOT(ISERROR(SEARCH(("리턴"),(D54))))</formula>
    </cfRule>
  </conditionalFormatting>
  <conditionalFormatting sqref="D54">
    <cfRule type="containsText" dxfId="2" priority="9831" operator="containsText" text="실패">
      <formula>NOT(ISERROR(SEARCH(("실패"),(D54))))</formula>
    </cfRule>
  </conditionalFormatting>
  <conditionalFormatting sqref="D54">
    <cfRule type="containsText" dxfId="3" priority="9832" operator="containsText" text="관리">
      <formula>NOT(ISERROR(SEARCH(("관리"),(D54))))</formula>
    </cfRule>
  </conditionalFormatting>
  <conditionalFormatting sqref="D54">
    <cfRule type="containsText" dxfId="4" priority="9833" operator="containsText" text="등록">
      <formula>NOT(ISERROR(SEARCH(("등록"),(D54))))</formula>
    </cfRule>
  </conditionalFormatting>
  <conditionalFormatting sqref="D54">
    <cfRule type="containsText" dxfId="0" priority="9834" operator="containsText" text="거부">
      <formula>NOT(ISERROR(SEARCH(("거부"),(D54))))</formula>
    </cfRule>
  </conditionalFormatting>
  <conditionalFormatting sqref="D54">
    <cfRule type="containsText" dxfId="1" priority="9835" operator="containsText" text="리턴">
      <formula>NOT(ISERROR(SEARCH(("리턴"),(D54))))</formula>
    </cfRule>
  </conditionalFormatting>
  <conditionalFormatting sqref="D54">
    <cfRule type="containsText" dxfId="2" priority="9836" operator="containsText" text="실패">
      <formula>NOT(ISERROR(SEARCH(("실패"),(D54))))</formula>
    </cfRule>
  </conditionalFormatting>
  <conditionalFormatting sqref="D54">
    <cfRule type="containsText" dxfId="3" priority="9837" operator="containsText" text="관리">
      <formula>NOT(ISERROR(SEARCH(("관리"),(D54))))</formula>
    </cfRule>
  </conditionalFormatting>
  <conditionalFormatting sqref="D54">
    <cfRule type="containsText" dxfId="4" priority="9838" operator="containsText" text="등록">
      <formula>NOT(ISERROR(SEARCH(("등록"),(D54))))</formula>
    </cfRule>
  </conditionalFormatting>
  <conditionalFormatting sqref="D54">
    <cfRule type="containsText" dxfId="0" priority="9839" operator="containsText" text="거부">
      <formula>NOT(ISERROR(SEARCH(("거부"),(D54))))</formula>
    </cfRule>
  </conditionalFormatting>
  <conditionalFormatting sqref="D54">
    <cfRule type="containsText" dxfId="1" priority="9840" operator="containsText" text="리턴">
      <formula>NOT(ISERROR(SEARCH(("리턴"),(D54))))</formula>
    </cfRule>
  </conditionalFormatting>
  <conditionalFormatting sqref="D54">
    <cfRule type="containsText" dxfId="2" priority="9841" operator="containsText" text="실패">
      <formula>NOT(ISERROR(SEARCH(("실패"),(D54))))</formula>
    </cfRule>
  </conditionalFormatting>
  <conditionalFormatting sqref="D54">
    <cfRule type="containsText" dxfId="3" priority="9842" operator="containsText" text="관리">
      <formula>NOT(ISERROR(SEARCH(("관리"),(D54))))</formula>
    </cfRule>
  </conditionalFormatting>
  <conditionalFormatting sqref="D54">
    <cfRule type="containsText" dxfId="4" priority="9843" operator="containsText" text="등록">
      <formula>NOT(ISERROR(SEARCH(("등록"),(D54))))</formula>
    </cfRule>
  </conditionalFormatting>
  <conditionalFormatting sqref="J53">
    <cfRule type="containsText" dxfId="0" priority="9844" operator="containsText" text="거부">
      <formula>NOT(ISERROR(SEARCH(("거부"),(J53))))</formula>
    </cfRule>
  </conditionalFormatting>
  <conditionalFormatting sqref="J53">
    <cfRule type="containsText" dxfId="1" priority="9845" operator="containsText" text="리턴">
      <formula>NOT(ISERROR(SEARCH(("리턴"),(J53))))</formula>
    </cfRule>
  </conditionalFormatting>
  <conditionalFormatting sqref="J53">
    <cfRule type="containsText" dxfId="2" priority="9846" operator="containsText" text="실패">
      <formula>NOT(ISERROR(SEARCH(("실패"),(J53))))</formula>
    </cfRule>
  </conditionalFormatting>
  <conditionalFormatting sqref="J53">
    <cfRule type="containsText" dxfId="3" priority="9847" operator="containsText" text="관리">
      <formula>NOT(ISERROR(SEARCH(("관리"),(J53))))</formula>
    </cfRule>
  </conditionalFormatting>
  <conditionalFormatting sqref="J53">
    <cfRule type="containsText" dxfId="4" priority="9848" operator="containsText" text="등록">
      <formula>NOT(ISERROR(SEARCH(("등록"),(J53))))</formula>
    </cfRule>
  </conditionalFormatting>
  <conditionalFormatting sqref="J53">
    <cfRule type="containsText" dxfId="0" priority="9849" operator="containsText" text="거부">
      <formula>NOT(ISERROR(SEARCH(("거부"),(J53))))</formula>
    </cfRule>
  </conditionalFormatting>
  <conditionalFormatting sqref="J53">
    <cfRule type="containsText" dxfId="1" priority="9850" operator="containsText" text="리턴">
      <formula>NOT(ISERROR(SEARCH(("리턴"),(J53))))</formula>
    </cfRule>
  </conditionalFormatting>
  <conditionalFormatting sqref="J53">
    <cfRule type="containsText" dxfId="2" priority="9851" operator="containsText" text="실패">
      <formula>NOT(ISERROR(SEARCH(("실패"),(J53))))</formula>
    </cfRule>
  </conditionalFormatting>
  <conditionalFormatting sqref="J53">
    <cfRule type="containsText" dxfId="3" priority="9852" operator="containsText" text="관리">
      <formula>NOT(ISERROR(SEARCH(("관리"),(J53))))</formula>
    </cfRule>
  </conditionalFormatting>
  <conditionalFormatting sqref="J53">
    <cfRule type="containsText" dxfId="4" priority="9853" operator="containsText" text="등록">
      <formula>NOT(ISERROR(SEARCH(("등록"),(J53))))</formula>
    </cfRule>
  </conditionalFormatting>
  <conditionalFormatting sqref="J53">
    <cfRule type="containsText" dxfId="0" priority="9854" operator="containsText" text="거부">
      <formula>NOT(ISERROR(SEARCH(("거부"),(J53))))</formula>
    </cfRule>
  </conditionalFormatting>
  <conditionalFormatting sqref="J53">
    <cfRule type="containsText" dxfId="1" priority="9855" operator="containsText" text="리턴">
      <formula>NOT(ISERROR(SEARCH(("리턴"),(J53))))</formula>
    </cfRule>
  </conditionalFormatting>
  <conditionalFormatting sqref="J53">
    <cfRule type="containsText" dxfId="2" priority="9856" operator="containsText" text="실패">
      <formula>NOT(ISERROR(SEARCH(("실패"),(J53))))</formula>
    </cfRule>
  </conditionalFormatting>
  <conditionalFormatting sqref="J53">
    <cfRule type="containsText" dxfId="3" priority="9857" operator="containsText" text="관리">
      <formula>NOT(ISERROR(SEARCH(("관리"),(J53))))</formula>
    </cfRule>
  </conditionalFormatting>
  <conditionalFormatting sqref="J53">
    <cfRule type="containsText" dxfId="4" priority="9858" operator="containsText" text="등록">
      <formula>NOT(ISERROR(SEARCH(("등록"),(J53))))</formula>
    </cfRule>
  </conditionalFormatting>
  <conditionalFormatting sqref="J53">
    <cfRule type="containsText" dxfId="0" priority="9859" operator="containsText" text="거부">
      <formula>NOT(ISERROR(SEARCH(("거부"),(J53))))</formula>
    </cfRule>
  </conditionalFormatting>
  <conditionalFormatting sqref="J53">
    <cfRule type="containsText" dxfId="1" priority="9860" operator="containsText" text="리턴">
      <formula>NOT(ISERROR(SEARCH(("리턴"),(J53))))</formula>
    </cfRule>
  </conditionalFormatting>
  <conditionalFormatting sqref="J53">
    <cfRule type="containsText" dxfId="2" priority="9861" operator="containsText" text="실패">
      <formula>NOT(ISERROR(SEARCH(("실패"),(J53))))</formula>
    </cfRule>
  </conditionalFormatting>
  <conditionalFormatting sqref="J53">
    <cfRule type="containsText" dxfId="3" priority="9862" operator="containsText" text="관리">
      <formula>NOT(ISERROR(SEARCH(("관리"),(J53))))</formula>
    </cfRule>
  </conditionalFormatting>
  <conditionalFormatting sqref="J53">
    <cfRule type="containsText" dxfId="4" priority="9863" operator="containsText" text="등록">
      <formula>NOT(ISERROR(SEARCH(("등록"),(J53))))</formula>
    </cfRule>
  </conditionalFormatting>
  <conditionalFormatting sqref="J53">
    <cfRule type="containsText" dxfId="0" priority="9864" operator="containsText" text="거부">
      <formula>NOT(ISERROR(SEARCH(("거부"),(J53))))</formula>
    </cfRule>
  </conditionalFormatting>
  <conditionalFormatting sqref="J53">
    <cfRule type="containsText" dxfId="1" priority="9865" operator="containsText" text="리턴">
      <formula>NOT(ISERROR(SEARCH(("리턴"),(J53))))</formula>
    </cfRule>
  </conditionalFormatting>
  <conditionalFormatting sqref="J53">
    <cfRule type="containsText" dxfId="2" priority="9866" operator="containsText" text="실패">
      <formula>NOT(ISERROR(SEARCH(("실패"),(J53))))</formula>
    </cfRule>
  </conditionalFormatting>
  <conditionalFormatting sqref="J53">
    <cfRule type="containsText" dxfId="3" priority="9867" operator="containsText" text="관리">
      <formula>NOT(ISERROR(SEARCH(("관리"),(J53))))</formula>
    </cfRule>
  </conditionalFormatting>
  <conditionalFormatting sqref="J53">
    <cfRule type="containsText" dxfId="4" priority="9868" operator="containsText" text="등록">
      <formula>NOT(ISERROR(SEARCH(("등록"),(J53))))</formula>
    </cfRule>
  </conditionalFormatting>
  <conditionalFormatting sqref="J53">
    <cfRule type="containsText" dxfId="0" priority="9869" operator="containsText" text="거부">
      <formula>NOT(ISERROR(SEARCH(("거부"),(J53))))</formula>
    </cfRule>
  </conditionalFormatting>
  <conditionalFormatting sqref="J53">
    <cfRule type="containsText" dxfId="1" priority="9870" operator="containsText" text="리턴">
      <formula>NOT(ISERROR(SEARCH(("리턴"),(J53))))</formula>
    </cfRule>
  </conditionalFormatting>
  <conditionalFormatting sqref="J53">
    <cfRule type="containsText" dxfId="2" priority="9871" operator="containsText" text="실패">
      <formula>NOT(ISERROR(SEARCH(("실패"),(J53))))</formula>
    </cfRule>
  </conditionalFormatting>
  <conditionalFormatting sqref="J53">
    <cfRule type="containsText" dxfId="3" priority="9872" operator="containsText" text="관리">
      <formula>NOT(ISERROR(SEARCH(("관리"),(J53))))</formula>
    </cfRule>
  </conditionalFormatting>
  <conditionalFormatting sqref="J53">
    <cfRule type="containsText" dxfId="4" priority="9873" operator="containsText" text="등록">
      <formula>NOT(ISERROR(SEARCH(("등록"),(J53))))</formula>
    </cfRule>
  </conditionalFormatting>
  <conditionalFormatting sqref="J53">
    <cfRule type="containsText" dxfId="0" priority="9874" operator="containsText" text="거부">
      <formula>NOT(ISERROR(SEARCH(("거부"),(J53))))</formula>
    </cfRule>
  </conditionalFormatting>
  <conditionalFormatting sqref="J53">
    <cfRule type="containsText" dxfId="1" priority="9875" operator="containsText" text="리턴">
      <formula>NOT(ISERROR(SEARCH(("리턴"),(J53))))</formula>
    </cfRule>
  </conditionalFormatting>
  <conditionalFormatting sqref="J53">
    <cfRule type="containsText" dxfId="2" priority="9876" operator="containsText" text="실패">
      <formula>NOT(ISERROR(SEARCH(("실패"),(J53))))</formula>
    </cfRule>
  </conditionalFormatting>
  <conditionalFormatting sqref="J53">
    <cfRule type="containsText" dxfId="3" priority="9877" operator="containsText" text="관리">
      <formula>NOT(ISERROR(SEARCH(("관리"),(J53))))</formula>
    </cfRule>
  </conditionalFormatting>
  <conditionalFormatting sqref="J53">
    <cfRule type="containsText" dxfId="4" priority="9878" operator="containsText" text="등록">
      <formula>NOT(ISERROR(SEARCH(("등록"),(J53))))</formula>
    </cfRule>
  </conditionalFormatting>
  <conditionalFormatting sqref="J53">
    <cfRule type="containsText" dxfId="0" priority="9879" operator="containsText" text="거부">
      <formula>NOT(ISERROR(SEARCH(("거부"),(J53))))</formula>
    </cfRule>
  </conditionalFormatting>
  <conditionalFormatting sqref="J53">
    <cfRule type="containsText" dxfId="1" priority="9880" operator="containsText" text="리턴">
      <formula>NOT(ISERROR(SEARCH(("리턴"),(J53))))</formula>
    </cfRule>
  </conditionalFormatting>
  <conditionalFormatting sqref="J53">
    <cfRule type="containsText" dxfId="2" priority="9881" operator="containsText" text="실패">
      <formula>NOT(ISERROR(SEARCH(("실패"),(J53))))</formula>
    </cfRule>
  </conditionalFormatting>
  <conditionalFormatting sqref="J53">
    <cfRule type="containsText" dxfId="3" priority="9882" operator="containsText" text="관리">
      <formula>NOT(ISERROR(SEARCH(("관리"),(J53))))</formula>
    </cfRule>
  </conditionalFormatting>
  <conditionalFormatting sqref="J53">
    <cfRule type="containsText" dxfId="4" priority="9883" operator="containsText" text="등록">
      <formula>NOT(ISERROR(SEARCH(("등록"),(J53))))</formula>
    </cfRule>
  </conditionalFormatting>
  <conditionalFormatting sqref="J53">
    <cfRule type="containsText" dxfId="0" priority="9884" operator="containsText" text="거부">
      <formula>NOT(ISERROR(SEARCH(("거부"),(J53))))</formula>
    </cfRule>
  </conditionalFormatting>
  <conditionalFormatting sqref="J53">
    <cfRule type="containsText" dxfId="1" priority="9885" operator="containsText" text="리턴">
      <formula>NOT(ISERROR(SEARCH(("리턴"),(J53))))</formula>
    </cfRule>
  </conditionalFormatting>
  <conditionalFormatting sqref="J53">
    <cfRule type="containsText" dxfId="2" priority="9886" operator="containsText" text="실패">
      <formula>NOT(ISERROR(SEARCH(("실패"),(J53))))</formula>
    </cfRule>
  </conditionalFormatting>
  <conditionalFormatting sqref="J53">
    <cfRule type="containsText" dxfId="3" priority="9887" operator="containsText" text="관리">
      <formula>NOT(ISERROR(SEARCH(("관리"),(J53))))</formula>
    </cfRule>
  </conditionalFormatting>
  <conditionalFormatting sqref="J53">
    <cfRule type="containsText" dxfId="4" priority="9888" operator="containsText" text="등록">
      <formula>NOT(ISERROR(SEARCH(("등록"),(J53))))</formula>
    </cfRule>
  </conditionalFormatting>
  <conditionalFormatting sqref="J53">
    <cfRule type="containsText" dxfId="0" priority="9889" operator="containsText" text="거부">
      <formula>NOT(ISERROR(SEARCH(("거부"),(J53))))</formula>
    </cfRule>
  </conditionalFormatting>
  <conditionalFormatting sqref="J53">
    <cfRule type="containsText" dxfId="1" priority="9890" operator="containsText" text="리턴">
      <formula>NOT(ISERROR(SEARCH(("리턴"),(J53))))</formula>
    </cfRule>
  </conditionalFormatting>
  <conditionalFormatting sqref="J53">
    <cfRule type="containsText" dxfId="2" priority="9891" operator="containsText" text="실패">
      <formula>NOT(ISERROR(SEARCH(("실패"),(J53))))</formula>
    </cfRule>
  </conditionalFormatting>
  <conditionalFormatting sqref="J53">
    <cfRule type="containsText" dxfId="3" priority="9892" operator="containsText" text="관리">
      <formula>NOT(ISERROR(SEARCH(("관리"),(J53))))</formula>
    </cfRule>
  </conditionalFormatting>
  <conditionalFormatting sqref="J53">
    <cfRule type="containsText" dxfId="4" priority="9893" operator="containsText" text="등록">
      <formula>NOT(ISERROR(SEARCH(("등록"),(J53))))</formula>
    </cfRule>
  </conditionalFormatting>
  <conditionalFormatting sqref="J53">
    <cfRule type="containsText" dxfId="0" priority="9894" operator="containsText" text="거부">
      <formula>NOT(ISERROR(SEARCH(("거부"),(J53))))</formula>
    </cfRule>
  </conditionalFormatting>
  <conditionalFormatting sqref="J53">
    <cfRule type="containsText" dxfId="1" priority="9895" operator="containsText" text="리턴">
      <formula>NOT(ISERROR(SEARCH(("리턴"),(J53))))</formula>
    </cfRule>
  </conditionalFormatting>
  <conditionalFormatting sqref="J53">
    <cfRule type="containsText" dxfId="2" priority="9896" operator="containsText" text="실패">
      <formula>NOT(ISERROR(SEARCH(("실패"),(J53))))</formula>
    </cfRule>
  </conditionalFormatting>
  <conditionalFormatting sqref="J53">
    <cfRule type="containsText" dxfId="3" priority="9897" operator="containsText" text="관리">
      <formula>NOT(ISERROR(SEARCH(("관리"),(J53))))</formula>
    </cfRule>
  </conditionalFormatting>
  <conditionalFormatting sqref="J53">
    <cfRule type="containsText" dxfId="4" priority="9898" operator="containsText" text="등록">
      <formula>NOT(ISERROR(SEARCH(("등록"),(J53))))</formula>
    </cfRule>
  </conditionalFormatting>
  <conditionalFormatting sqref="J53">
    <cfRule type="containsText" dxfId="0" priority="9899" operator="containsText" text="거부">
      <formula>NOT(ISERROR(SEARCH(("거부"),(J53))))</formula>
    </cfRule>
  </conditionalFormatting>
  <conditionalFormatting sqref="J53">
    <cfRule type="containsText" dxfId="1" priority="9900" operator="containsText" text="리턴">
      <formula>NOT(ISERROR(SEARCH(("리턴"),(J53))))</formula>
    </cfRule>
  </conditionalFormatting>
  <conditionalFormatting sqref="J53">
    <cfRule type="containsText" dxfId="2" priority="9901" operator="containsText" text="실패">
      <formula>NOT(ISERROR(SEARCH(("실패"),(J53))))</formula>
    </cfRule>
  </conditionalFormatting>
  <conditionalFormatting sqref="J53">
    <cfRule type="containsText" dxfId="3" priority="9902" operator="containsText" text="관리">
      <formula>NOT(ISERROR(SEARCH(("관리"),(J53))))</formula>
    </cfRule>
  </conditionalFormatting>
  <conditionalFormatting sqref="J53">
    <cfRule type="containsText" dxfId="4" priority="9903" operator="containsText" text="등록">
      <formula>NOT(ISERROR(SEARCH(("등록"),(J53))))</formula>
    </cfRule>
  </conditionalFormatting>
  <conditionalFormatting sqref="J53">
    <cfRule type="containsText" dxfId="0" priority="9904" operator="containsText" text="거부">
      <formula>NOT(ISERROR(SEARCH(("거부"),(J53))))</formula>
    </cfRule>
  </conditionalFormatting>
  <conditionalFormatting sqref="J53">
    <cfRule type="containsText" dxfId="1" priority="9905" operator="containsText" text="리턴">
      <formula>NOT(ISERROR(SEARCH(("리턴"),(J53))))</formula>
    </cfRule>
  </conditionalFormatting>
  <conditionalFormatting sqref="J53">
    <cfRule type="containsText" dxfId="2" priority="9906" operator="containsText" text="실패">
      <formula>NOT(ISERROR(SEARCH(("실패"),(J53))))</formula>
    </cfRule>
  </conditionalFormatting>
  <conditionalFormatting sqref="J53">
    <cfRule type="containsText" dxfId="3" priority="9907" operator="containsText" text="관리">
      <formula>NOT(ISERROR(SEARCH(("관리"),(J53))))</formula>
    </cfRule>
  </conditionalFormatting>
  <conditionalFormatting sqref="J53">
    <cfRule type="containsText" dxfId="4" priority="9908" operator="containsText" text="등록">
      <formula>NOT(ISERROR(SEARCH(("등록"),(J53))))</formula>
    </cfRule>
  </conditionalFormatting>
  <conditionalFormatting sqref="J53">
    <cfRule type="containsText" dxfId="0" priority="9909" operator="containsText" text="거부">
      <formula>NOT(ISERROR(SEARCH(("거부"),(J53))))</formula>
    </cfRule>
  </conditionalFormatting>
  <conditionalFormatting sqref="J53">
    <cfRule type="containsText" dxfId="1" priority="9910" operator="containsText" text="리턴">
      <formula>NOT(ISERROR(SEARCH(("리턴"),(J53))))</formula>
    </cfRule>
  </conditionalFormatting>
  <conditionalFormatting sqref="J53">
    <cfRule type="containsText" dxfId="2" priority="9911" operator="containsText" text="실패">
      <formula>NOT(ISERROR(SEARCH(("실패"),(J53))))</formula>
    </cfRule>
  </conditionalFormatting>
  <conditionalFormatting sqref="J53">
    <cfRule type="containsText" dxfId="3" priority="9912" operator="containsText" text="관리">
      <formula>NOT(ISERROR(SEARCH(("관리"),(J53))))</formula>
    </cfRule>
  </conditionalFormatting>
  <conditionalFormatting sqref="J53">
    <cfRule type="containsText" dxfId="4" priority="9913" operator="containsText" text="등록">
      <formula>NOT(ISERROR(SEARCH(("등록"),(J53))))</formula>
    </cfRule>
  </conditionalFormatting>
  <conditionalFormatting sqref="J53">
    <cfRule type="containsText" dxfId="0" priority="9914" operator="containsText" text="거부">
      <formula>NOT(ISERROR(SEARCH(("거부"),(J53))))</formula>
    </cfRule>
  </conditionalFormatting>
  <conditionalFormatting sqref="J53">
    <cfRule type="containsText" dxfId="1" priority="9915" operator="containsText" text="리턴">
      <formula>NOT(ISERROR(SEARCH(("리턴"),(J53))))</formula>
    </cfRule>
  </conditionalFormatting>
  <conditionalFormatting sqref="J53">
    <cfRule type="containsText" dxfId="2" priority="9916" operator="containsText" text="실패">
      <formula>NOT(ISERROR(SEARCH(("실패"),(J53))))</formula>
    </cfRule>
  </conditionalFormatting>
  <conditionalFormatting sqref="J53">
    <cfRule type="containsText" dxfId="3" priority="9917" operator="containsText" text="관리">
      <formula>NOT(ISERROR(SEARCH(("관리"),(J53))))</formula>
    </cfRule>
  </conditionalFormatting>
  <conditionalFormatting sqref="J53">
    <cfRule type="containsText" dxfId="4" priority="9918" operator="containsText" text="등록">
      <formula>NOT(ISERROR(SEARCH(("등록"),(J53))))</formula>
    </cfRule>
  </conditionalFormatting>
  <conditionalFormatting sqref="J54">
    <cfRule type="containsText" dxfId="0" priority="9919" operator="containsText" text="거부">
      <formula>NOT(ISERROR(SEARCH(("거부"),(J54))))</formula>
    </cfRule>
  </conditionalFormatting>
  <conditionalFormatting sqref="J54">
    <cfRule type="containsText" dxfId="1" priority="9920" operator="containsText" text="리턴">
      <formula>NOT(ISERROR(SEARCH(("리턴"),(J54))))</formula>
    </cfRule>
  </conditionalFormatting>
  <conditionalFormatting sqref="J54">
    <cfRule type="containsText" dxfId="2" priority="9921" operator="containsText" text="실패">
      <formula>NOT(ISERROR(SEARCH(("실패"),(J54))))</formula>
    </cfRule>
  </conditionalFormatting>
  <conditionalFormatting sqref="J54">
    <cfRule type="containsText" dxfId="3" priority="9922" operator="containsText" text="관리">
      <formula>NOT(ISERROR(SEARCH(("관리"),(J54))))</formula>
    </cfRule>
  </conditionalFormatting>
  <conditionalFormatting sqref="J54">
    <cfRule type="containsText" dxfId="4" priority="9923" operator="containsText" text="등록">
      <formula>NOT(ISERROR(SEARCH(("등록"),(J54))))</formula>
    </cfRule>
  </conditionalFormatting>
  <conditionalFormatting sqref="J54">
    <cfRule type="containsText" dxfId="0" priority="9924" operator="containsText" text="거부">
      <formula>NOT(ISERROR(SEARCH(("거부"),(J54))))</formula>
    </cfRule>
  </conditionalFormatting>
  <conditionalFormatting sqref="J54">
    <cfRule type="containsText" dxfId="1" priority="9925" operator="containsText" text="리턴">
      <formula>NOT(ISERROR(SEARCH(("리턴"),(J54))))</formula>
    </cfRule>
  </conditionalFormatting>
  <conditionalFormatting sqref="J54">
    <cfRule type="containsText" dxfId="2" priority="9926" operator="containsText" text="실패">
      <formula>NOT(ISERROR(SEARCH(("실패"),(J54))))</formula>
    </cfRule>
  </conditionalFormatting>
  <conditionalFormatting sqref="J54">
    <cfRule type="containsText" dxfId="3" priority="9927" operator="containsText" text="관리">
      <formula>NOT(ISERROR(SEARCH(("관리"),(J54))))</formula>
    </cfRule>
  </conditionalFormatting>
  <conditionalFormatting sqref="J54">
    <cfRule type="containsText" dxfId="4" priority="9928" operator="containsText" text="등록">
      <formula>NOT(ISERROR(SEARCH(("등록"),(J54))))</formula>
    </cfRule>
  </conditionalFormatting>
  <conditionalFormatting sqref="J54">
    <cfRule type="containsText" dxfId="0" priority="9929" operator="containsText" text="거부">
      <formula>NOT(ISERROR(SEARCH(("거부"),(J54))))</formula>
    </cfRule>
  </conditionalFormatting>
  <conditionalFormatting sqref="J54">
    <cfRule type="containsText" dxfId="1" priority="9930" operator="containsText" text="리턴">
      <formula>NOT(ISERROR(SEARCH(("리턴"),(J54))))</formula>
    </cfRule>
  </conditionalFormatting>
  <conditionalFormatting sqref="J54">
    <cfRule type="containsText" dxfId="2" priority="9931" operator="containsText" text="실패">
      <formula>NOT(ISERROR(SEARCH(("실패"),(J54))))</formula>
    </cfRule>
  </conditionalFormatting>
  <conditionalFormatting sqref="J54">
    <cfRule type="containsText" dxfId="3" priority="9932" operator="containsText" text="관리">
      <formula>NOT(ISERROR(SEARCH(("관리"),(J54))))</formula>
    </cfRule>
  </conditionalFormatting>
  <conditionalFormatting sqref="J54">
    <cfRule type="containsText" dxfId="4" priority="9933" operator="containsText" text="등록">
      <formula>NOT(ISERROR(SEARCH(("등록"),(J54))))</formula>
    </cfRule>
  </conditionalFormatting>
  <conditionalFormatting sqref="J54">
    <cfRule type="containsText" dxfId="0" priority="9934" operator="containsText" text="거부">
      <formula>NOT(ISERROR(SEARCH(("거부"),(J54))))</formula>
    </cfRule>
  </conditionalFormatting>
  <conditionalFormatting sqref="J54">
    <cfRule type="containsText" dxfId="1" priority="9935" operator="containsText" text="리턴">
      <formula>NOT(ISERROR(SEARCH(("리턴"),(J54))))</formula>
    </cfRule>
  </conditionalFormatting>
  <conditionalFormatting sqref="J54">
    <cfRule type="containsText" dxfId="2" priority="9936" operator="containsText" text="실패">
      <formula>NOT(ISERROR(SEARCH(("실패"),(J54))))</formula>
    </cfRule>
  </conditionalFormatting>
  <conditionalFormatting sqref="J54">
    <cfRule type="containsText" dxfId="3" priority="9937" operator="containsText" text="관리">
      <formula>NOT(ISERROR(SEARCH(("관리"),(J54))))</formula>
    </cfRule>
  </conditionalFormatting>
  <conditionalFormatting sqref="J54">
    <cfRule type="containsText" dxfId="4" priority="9938" operator="containsText" text="등록">
      <formula>NOT(ISERROR(SEARCH(("등록"),(J54))))</formula>
    </cfRule>
  </conditionalFormatting>
  <conditionalFormatting sqref="J54">
    <cfRule type="containsText" dxfId="0" priority="9939" operator="containsText" text="거부">
      <formula>NOT(ISERROR(SEARCH(("거부"),(J54))))</formula>
    </cfRule>
  </conditionalFormatting>
  <conditionalFormatting sqref="J54">
    <cfRule type="containsText" dxfId="1" priority="9940" operator="containsText" text="리턴">
      <formula>NOT(ISERROR(SEARCH(("리턴"),(J54))))</formula>
    </cfRule>
  </conditionalFormatting>
  <conditionalFormatting sqref="J54">
    <cfRule type="containsText" dxfId="2" priority="9941" operator="containsText" text="실패">
      <formula>NOT(ISERROR(SEARCH(("실패"),(J54))))</formula>
    </cfRule>
  </conditionalFormatting>
  <conditionalFormatting sqref="J54">
    <cfRule type="containsText" dxfId="3" priority="9942" operator="containsText" text="관리">
      <formula>NOT(ISERROR(SEARCH(("관리"),(J54))))</formula>
    </cfRule>
  </conditionalFormatting>
  <conditionalFormatting sqref="J54">
    <cfRule type="containsText" dxfId="4" priority="9943" operator="containsText" text="등록">
      <formula>NOT(ISERROR(SEARCH(("등록"),(J54))))</formula>
    </cfRule>
  </conditionalFormatting>
  <conditionalFormatting sqref="J54">
    <cfRule type="containsText" dxfId="0" priority="9944" operator="containsText" text="거부">
      <formula>NOT(ISERROR(SEARCH(("거부"),(J54))))</formula>
    </cfRule>
  </conditionalFormatting>
  <conditionalFormatting sqref="J54">
    <cfRule type="containsText" dxfId="1" priority="9945" operator="containsText" text="리턴">
      <formula>NOT(ISERROR(SEARCH(("리턴"),(J54))))</formula>
    </cfRule>
  </conditionalFormatting>
  <conditionalFormatting sqref="J54">
    <cfRule type="containsText" dxfId="2" priority="9946" operator="containsText" text="실패">
      <formula>NOT(ISERROR(SEARCH(("실패"),(J54))))</formula>
    </cfRule>
  </conditionalFormatting>
  <conditionalFormatting sqref="J54">
    <cfRule type="containsText" dxfId="3" priority="9947" operator="containsText" text="관리">
      <formula>NOT(ISERROR(SEARCH(("관리"),(J54))))</formula>
    </cfRule>
  </conditionalFormatting>
  <conditionalFormatting sqref="J54">
    <cfRule type="containsText" dxfId="4" priority="9948" operator="containsText" text="등록">
      <formula>NOT(ISERROR(SEARCH(("등록"),(J54))))</formula>
    </cfRule>
  </conditionalFormatting>
  <conditionalFormatting sqref="J54">
    <cfRule type="containsText" dxfId="0" priority="9949" operator="containsText" text="거부">
      <formula>NOT(ISERROR(SEARCH(("거부"),(J54))))</formula>
    </cfRule>
  </conditionalFormatting>
  <conditionalFormatting sqref="J54">
    <cfRule type="containsText" dxfId="1" priority="9950" operator="containsText" text="리턴">
      <formula>NOT(ISERROR(SEARCH(("리턴"),(J54))))</formula>
    </cfRule>
  </conditionalFormatting>
  <conditionalFormatting sqref="J54">
    <cfRule type="containsText" dxfId="2" priority="9951" operator="containsText" text="실패">
      <formula>NOT(ISERROR(SEARCH(("실패"),(J54))))</formula>
    </cfRule>
  </conditionalFormatting>
  <conditionalFormatting sqref="J54">
    <cfRule type="containsText" dxfId="3" priority="9952" operator="containsText" text="관리">
      <formula>NOT(ISERROR(SEARCH(("관리"),(J54))))</formula>
    </cfRule>
  </conditionalFormatting>
  <conditionalFormatting sqref="J54">
    <cfRule type="containsText" dxfId="4" priority="9953" operator="containsText" text="등록">
      <formula>NOT(ISERROR(SEARCH(("등록"),(J54))))</formula>
    </cfRule>
  </conditionalFormatting>
  <conditionalFormatting sqref="J54">
    <cfRule type="containsText" dxfId="0" priority="9954" operator="containsText" text="거부">
      <formula>NOT(ISERROR(SEARCH(("거부"),(J54))))</formula>
    </cfRule>
  </conditionalFormatting>
  <conditionalFormatting sqref="J54">
    <cfRule type="containsText" dxfId="1" priority="9955" operator="containsText" text="리턴">
      <formula>NOT(ISERROR(SEARCH(("리턴"),(J54))))</formula>
    </cfRule>
  </conditionalFormatting>
  <conditionalFormatting sqref="J54">
    <cfRule type="containsText" dxfId="2" priority="9956" operator="containsText" text="실패">
      <formula>NOT(ISERROR(SEARCH(("실패"),(J54))))</formula>
    </cfRule>
  </conditionalFormatting>
  <conditionalFormatting sqref="J54">
    <cfRule type="containsText" dxfId="3" priority="9957" operator="containsText" text="관리">
      <formula>NOT(ISERROR(SEARCH(("관리"),(J54))))</formula>
    </cfRule>
  </conditionalFormatting>
  <conditionalFormatting sqref="J54">
    <cfRule type="containsText" dxfId="4" priority="9958" operator="containsText" text="등록">
      <formula>NOT(ISERROR(SEARCH(("등록"),(J54))))</formula>
    </cfRule>
  </conditionalFormatting>
  <conditionalFormatting sqref="J54">
    <cfRule type="containsText" dxfId="0" priority="9959" operator="containsText" text="거부">
      <formula>NOT(ISERROR(SEARCH(("거부"),(J54))))</formula>
    </cfRule>
  </conditionalFormatting>
  <conditionalFormatting sqref="J54">
    <cfRule type="containsText" dxfId="1" priority="9960" operator="containsText" text="리턴">
      <formula>NOT(ISERROR(SEARCH(("리턴"),(J54))))</formula>
    </cfRule>
  </conditionalFormatting>
  <conditionalFormatting sqref="J54">
    <cfRule type="containsText" dxfId="2" priority="9961" operator="containsText" text="실패">
      <formula>NOT(ISERROR(SEARCH(("실패"),(J54))))</formula>
    </cfRule>
  </conditionalFormatting>
  <conditionalFormatting sqref="J54">
    <cfRule type="containsText" dxfId="3" priority="9962" operator="containsText" text="관리">
      <formula>NOT(ISERROR(SEARCH(("관리"),(J54))))</formula>
    </cfRule>
  </conditionalFormatting>
  <conditionalFormatting sqref="J54">
    <cfRule type="containsText" dxfId="4" priority="9963" operator="containsText" text="등록">
      <formula>NOT(ISERROR(SEARCH(("등록"),(J54))))</formula>
    </cfRule>
  </conditionalFormatting>
  <conditionalFormatting sqref="J54">
    <cfRule type="containsText" dxfId="0" priority="9964" operator="containsText" text="거부">
      <formula>NOT(ISERROR(SEARCH(("거부"),(J54))))</formula>
    </cfRule>
  </conditionalFormatting>
  <conditionalFormatting sqref="J54">
    <cfRule type="containsText" dxfId="1" priority="9965" operator="containsText" text="리턴">
      <formula>NOT(ISERROR(SEARCH(("리턴"),(J54))))</formula>
    </cfRule>
  </conditionalFormatting>
  <conditionalFormatting sqref="J54">
    <cfRule type="containsText" dxfId="2" priority="9966" operator="containsText" text="실패">
      <formula>NOT(ISERROR(SEARCH(("실패"),(J54))))</formula>
    </cfRule>
  </conditionalFormatting>
  <conditionalFormatting sqref="J54">
    <cfRule type="containsText" dxfId="3" priority="9967" operator="containsText" text="관리">
      <formula>NOT(ISERROR(SEARCH(("관리"),(J54))))</formula>
    </cfRule>
  </conditionalFormatting>
  <conditionalFormatting sqref="J54">
    <cfRule type="containsText" dxfId="4" priority="9968" operator="containsText" text="등록">
      <formula>NOT(ISERROR(SEARCH(("등록"),(J54))))</formula>
    </cfRule>
  </conditionalFormatting>
  <conditionalFormatting sqref="J54">
    <cfRule type="containsText" dxfId="0" priority="9969" operator="containsText" text="거부">
      <formula>NOT(ISERROR(SEARCH(("거부"),(J54))))</formula>
    </cfRule>
  </conditionalFormatting>
  <conditionalFormatting sqref="J54">
    <cfRule type="containsText" dxfId="1" priority="9970" operator="containsText" text="리턴">
      <formula>NOT(ISERROR(SEARCH(("리턴"),(J54))))</formula>
    </cfRule>
  </conditionalFormatting>
  <conditionalFormatting sqref="J54">
    <cfRule type="containsText" dxfId="2" priority="9971" operator="containsText" text="실패">
      <formula>NOT(ISERROR(SEARCH(("실패"),(J54))))</formula>
    </cfRule>
  </conditionalFormatting>
  <conditionalFormatting sqref="J54">
    <cfRule type="containsText" dxfId="3" priority="9972" operator="containsText" text="관리">
      <formula>NOT(ISERROR(SEARCH(("관리"),(J54))))</formula>
    </cfRule>
  </conditionalFormatting>
  <conditionalFormatting sqref="J54">
    <cfRule type="containsText" dxfId="4" priority="9973" operator="containsText" text="등록">
      <formula>NOT(ISERROR(SEARCH(("등록"),(J54))))</formula>
    </cfRule>
  </conditionalFormatting>
  <conditionalFormatting sqref="J54">
    <cfRule type="containsText" dxfId="0" priority="9974" operator="containsText" text="거부">
      <formula>NOT(ISERROR(SEARCH(("거부"),(J54))))</formula>
    </cfRule>
  </conditionalFormatting>
  <conditionalFormatting sqref="J54">
    <cfRule type="containsText" dxfId="1" priority="9975" operator="containsText" text="리턴">
      <formula>NOT(ISERROR(SEARCH(("리턴"),(J54))))</formula>
    </cfRule>
  </conditionalFormatting>
  <conditionalFormatting sqref="J54">
    <cfRule type="containsText" dxfId="2" priority="9976" operator="containsText" text="실패">
      <formula>NOT(ISERROR(SEARCH(("실패"),(J54))))</formula>
    </cfRule>
  </conditionalFormatting>
  <conditionalFormatting sqref="J54">
    <cfRule type="containsText" dxfId="3" priority="9977" operator="containsText" text="관리">
      <formula>NOT(ISERROR(SEARCH(("관리"),(J54))))</formula>
    </cfRule>
  </conditionalFormatting>
  <conditionalFormatting sqref="J54">
    <cfRule type="containsText" dxfId="4" priority="9978" operator="containsText" text="등록">
      <formula>NOT(ISERROR(SEARCH(("등록"),(J54))))</formula>
    </cfRule>
  </conditionalFormatting>
  <conditionalFormatting sqref="J54">
    <cfRule type="containsText" dxfId="0" priority="9979" operator="containsText" text="거부">
      <formula>NOT(ISERROR(SEARCH(("거부"),(J54))))</formula>
    </cfRule>
  </conditionalFormatting>
  <conditionalFormatting sqref="J54">
    <cfRule type="containsText" dxfId="1" priority="9980" operator="containsText" text="리턴">
      <formula>NOT(ISERROR(SEARCH(("리턴"),(J54))))</formula>
    </cfRule>
  </conditionalFormatting>
  <conditionalFormatting sqref="J54">
    <cfRule type="containsText" dxfId="2" priority="9981" operator="containsText" text="실패">
      <formula>NOT(ISERROR(SEARCH(("실패"),(J54))))</formula>
    </cfRule>
  </conditionalFormatting>
  <conditionalFormatting sqref="J54">
    <cfRule type="containsText" dxfId="3" priority="9982" operator="containsText" text="관리">
      <formula>NOT(ISERROR(SEARCH(("관리"),(J54))))</formula>
    </cfRule>
  </conditionalFormatting>
  <conditionalFormatting sqref="J54">
    <cfRule type="containsText" dxfId="4" priority="9983" operator="containsText" text="등록">
      <formula>NOT(ISERROR(SEARCH(("등록"),(J54))))</formula>
    </cfRule>
  </conditionalFormatting>
  <conditionalFormatting sqref="J54">
    <cfRule type="containsText" dxfId="0" priority="9984" operator="containsText" text="거부">
      <formula>NOT(ISERROR(SEARCH(("거부"),(J54))))</formula>
    </cfRule>
  </conditionalFormatting>
  <conditionalFormatting sqref="J54">
    <cfRule type="containsText" dxfId="1" priority="9985" operator="containsText" text="리턴">
      <formula>NOT(ISERROR(SEARCH(("리턴"),(J54))))</formula>
    </cfRule>
  </conditionalFormatting>
  <conditionalFormatting sqref="J54">
    <cfRule type="containsText" dxfId="2" priority="9986" operator="containsText" text="실패">
      <formula>NOT(ISERROR(SEARCH(("실패"),(J54))))</formula>
    </cfRule>
  </conditionalFormatting>
  <conditionalFormatting sqref="J54">
    <cfRule type="containsText" dxfId="3" priority="9987" operator="containsText" text="관리">
      <formula>NOT(ISERROR(SEARCH(("관리"),(J54))))</formula>
    </cfRule>
  </conditionalFormatting>
  <conditionalFormatting sqref="J54">
    <cfRule type="containsText" dxfId="4" priority="9988" operator="containsText" text="등록">
      <formula>NOT(ISERROR(SEARCH(("등록"),(J54))))</formula>
    </cfRule>
  </conditionalFormatting>
  <conditionalFormatting sqref="J54">
    <cfRule type="containsText" dxfId="0" priority="9989" operator="containsText" text="거부">
      <formula>NOT(ISERROR(SEARCH(("거부"),(J54))))</formula>
    </cfRule>
  </conditionalFormatting>
  <conditionalFormatting sqref="J54">
    <cfRule type="containsText" dxfId="1" priority="9990" operator="containsText" text="리턴">
      <formula>NOT(ISERROR(SEARCH(("리턴"),(J54))))</formula>
    </cfRule>
  </conditionalFormatting>
  <conditionalFormatting sqref="J54">
    <cfRule type="containsText" dxfId="2" priority="9991" operator="containsText" text="실패">
      <formula>NOT(ISERROR(SEARCH(("실패"),(J54))))</formula>
    </cfRule>
  </conditionalFormatting>
  <conditionalFormatting sqref="J54">
    <cfRule type="containsText" dxfId="3" priority="9992" operator="containsText" text="관리">
      <formula>NOT(ISERROR(SEARCH(("관리"),(J54))))</formula>
    </cfRule>
  </conditionalFormatting>
  <conditionalFormatting sqref="J54">
    <cfRule type="containsText" dxfId="4" priority="9993" operator="containsText" text="등록">
      <formula>NOT(ISERROR(SEARCH(("등록"),(J54))))</formula>
    </cfRule>
  </conditionalFormatting>
  <conditionalFormatting sqref="A57">
    <cfRule type="containsText" dxfId="0" priority="9994" operator="containsText" text="거부">
      <formula>NOT(ISERROR(SEARCH(("거부"),(A57))))</formula>
    </cfRule>
  </conditionalFormatting>
  <conditionalFormatting sqref="A57">
    <cfRule type="containsText" dxfId="1" priority="9995" operator="containsText" text="리턴">
      <formula>NOT(ISERROR(SEARCH(("리턴"),(A57))))</formula>
    </cfRule>
  </conditionalFormatting>
  <conditionalFormatting sqref="A57">
    <cfRule type="containsText" dxfId="2" priority="9996" operator="containsText" text="실패">
      <formula>NOT(ISERROR(SEARCH(("실패"),(A57))))</formula>
    </cfRule>
  </conditionalFormatting>
  <conditionalFormatting sqref="A57">
    <cfRule type="containsText" dxfId="3" priority="9997" operator="containsText" text="관리">
      <formula>NOT(ISERROR(SEARCH(("관리"),(A57))))</formula>
    </cfRule>
  </conditionalFormatting>
  <conditionalFormatting sqref="A57">
    <cfRule type="containsText" dxfId="4" priority="9998" operator="containsText" text="등록">
      <formula>NOT(ISERROR(SEARCH(("등록"),(A57))))</formula>
    </cfRule>
  </conditionalFormatting>
  <conditionalFormatting sqref="A57">
    <cfRule type="containsText" dxfId="0" priority="9999" operator="containsText" text="거부">
      <formula>NOT(ISERROR(SEARCH(("거부"),(A57))))</formula>
    </cfRule>
  </conditionalFormatting>
  <conditionalFormatting sqref="A57">
    <cfRule type="containsText" dxfId="1" priority="10000" operator="containsText" text="리턴">
      <formula>NOT(ISERROR(SEARCH(("리턴"),(A57))))</formula>
    </cfRule>
  </conditionalFormatting>
  <conditionalFormatting sqref="A57">
    <cfRule type="containsText" dxfId="2" priority="10001" operator="containsText" text="실패">
      <formula>NOT(ISERROR(SEARCH(("실패"),(A57))))</formula>
    </cfRule>
  </conditionalFormatting>
  <conditionalFormatting sqref="A57">
    <cfRule type="containsText" dxfId="3" priority="10002" operator="containsText" text="관리">
      <formula>NOT(ISERROR(SEARCH(("관리"),(A57))))</formula>
    </cfRule>
  </conditionalFormatting>
  <conditionalFormatting sqref="A57">
    <cfRule type="containsText" dxfId="4" priority="10003" operator="containsText" text="등록">
      <formula>NOT(ISERROR(SEARCH(("등록"),(A57))))</formula>
    </cfRule>
  </conditionalFormatting>
  <conditionalFormatting sqref="A57">
    <cfRule type="containsText" dxfId="0" priority="10004" operator="containsText" text="거부">
      <formula>NOT(ISERROR(SEARCH(("거부"),(A57))))</formula>
    </cfRule>
  </conditionalFormatting>
  <conditionalFormatting sqref="A57">
    <cfRule type="containsText" dxfId="1" priority="10005" operator="containsText" text="리턴">
      <formula>NOT(ISERROR(SEARCH(("리턴"),(A57))))</formula>
    </cfRule>
  </conditionalFormatting>
  <conditionalFormatting sqref="A57">
    <cfRule type="containsText" dxfId="2" priority="10006" operator="containsText" text="실패">
      <formula>NOT(ISERROR(SEARCH(("실패"),(A57))))</formula>
    </cfRule>
  </conditionalFormatting>
  <conditionalFormatting sqref="A57">
    <cfRule type="containsText" dxfId="3" priority="10007" operator="containsText" text="관리">
      <formula>NOT(ISERROR(SEARCH(("관리"),(A57))))</formula>
    </cfRule>
  </conditionalFormatting>
  <conditionalFormatting sqref="A57">
    <cfRule type="containsText" dxfId="4" priority="10008" operator="containsText" text="등록">
      <formula>NOT(ISERROR(SEARCH(("등록"),(A57))))</formula>
    </cfRule>
  </conditionalFormatting>
  <conditionalFormatting sqref="A57">
    <cfRule type="containsText" dxfId="0" priority="10009" operator="containsText" text="거부">
      <formula>NOT(ISERROR(SEARCH(("거부"),(A57))))</formula>
    </cfRule>
  </conditionalFormatting>
  <conditionalFormatting sqref="A57">
    <cfRule type="containsText" dxfId="1" priority="10010" operator="containsText" text="리턴">
      <formula>NOT(ISERROR(SEARCH(("리턴"),(A57))))</formula>
    </cfRule>
  </conditionalFormatting>
  <conditionalFormatting sqref="A57">
    <cfRule type="containsText" dxfId="2" priority="10011" operator="containsText" text="실패">
      <formula>NOT(ISERROR(SEARCH(("실패"),(A57))))</formula>
    </cfRule>
  </conditionalFormatting>
  <conditionalFormatting sqref="A57">
    <cfRule type="containsText" dxfId="3" priority="10012" operator="containsText" text="관리">
      <formula>NOT(ISERROR(SEARCH(("관리"),(A57))))</formula>
    </cfRule>
  </conditionalFormatting>
  <conditionalFormatting sqref="A57">
    <cfRule type="containsText" dxfId="4" priority="10013" operator="containsText" text="등록">
      <formula>NOT(ISERROR(SEARCH(("등록"),(A57))))</formula>
    </cfRule>
  </conditionalFormatting>
  <conditionalFormatting sqref="A57">
    <cfRule type="containsText" dxfId="0" priority="10014" operator="containsText" text="거부">
      <formula>NOT(ISERROR(SEARCH(("거부"),(A57))))</formula>
    </cfRule>
  </conditionalFormatting>
  <conditionalFormatting sqref="A57">
    <cfRule type="containsText" dxfId="1" priority="10015" operator="containsText" text="리턴">
      <formula>NOT(ISERROR(SEARCH(("리턴"),(A57))))</formula>
    </cfRule>
  </conditionalFormatting>
  <conditionalFormatting sqref="A57">
    <cfRule type="containsText" dxfId="2" priority="10016" operator="containsText" text="실패">
      <formula>NOT(ISERROR(SEARCH(("실패"),(A57))))</formula>
    </cfRule>
  </conditionalFormatting>
  <conditionalFormatting sqref="A57">
    <cfRule type="containsText" dxfId="3" priority="10017" operator="containsText" text="관리">
      <formula>NOT(ISERROR(SEARCH(("관리"),(A57))))</formula>
    </cfRule>
  </conditionalFormatting>
  <conditionalFormatting sqref="A57">
    <cfRule type="containsText" dxfId="4" priority="10018" operator="containsText" text="등록">
      <formula>NOT(ISERROR(SEARCH(("등록"),(A57))))</formula>
    </cfRule>
  </conditionalFormatting>
  <conditionalFormatting sqref="A57">
    <cfRule type="containsText" dxfId="0" priority="10019" operator="containsText" text="거부">
      <formula>NOT(ISERROR(SEARCH(("거부"),(A57))))</formula>
    </cfRule>
  </conditionalFormatting>
  <conditionalFormatting sqref="A57">
    <cfRule type="containsText" dxfId="1" priority="10020" operator="containsText" text="리턴">
      <formula>NOT(ISERROR(SEARCH(("리턴"),(A57))))</formula>
    </cfRule>
  </conditionalFormatting>
  <conditionalFormatting sqref="A57">
    <cfRule type="containsText" dxfId="2" priority="10021" operator="containsText" text="실패">
      <formula>NOT(ISERROR(SEARCH(("실패"),(A57))))</formula>
    </cfRule>
  </conditionalFormatting>
  <conditionalFormatting sqref="A57">
    <cfRule type="containsText" dxfId="3" priority="10022" operator="containsText" text="관리">
      <formula>NOT(ISERROR(SEARCH(("관리"),(A57))))</formula>
    </cfRule>
  </conditionalFormatting>
  <conditionalFormatting sqref="A57">
    <cfRule type="containsText" dxfId="4" priority="10023" operator="containsText" text="등록">
      <formula>NOT(ISERROR(SEARCH(("등록"),(A57))))</formula>
    </cfRule>
  </conditionalFormatting>
  <conditionalFormatting sqref="A57">
    <cfRule type="containsText" dxfId="0" priority="10024" operator="containsText" text="거부">
      <formula>NOT(ISERROR(SEARCH(("거부"),(A57))))</formula>
    </cfRule>
  </conditionalFormatting>
  <conditionalFormatting sqref="A57">
    <cfRule type="containsText" dxfId="1" priority="10025" operator="containsText" text="리턴">
      <formula>NOT(ISERROR(SEARCH(("리턴"),(A57))))</formula>
    </cfRule>
  </conditionalFormatting>
  <conditionalFormatting sqref="A57">
    <cfRule type="containsText" dxfId="2" priority="10026" operator="containsText" text="실패">
      <formula>NOT(ISERROR(SEARCH(("실패"),(A57))))</formula>
    </cfRule>
  </conditionalFormatting>
  <conditionalFormatting sqref="A57">
    <cfRule type="containsText" dxfId="3" priority="10027" operator="containsText" text="관리">
      <formula>NOT(ISERROR(SEARCH(("관리"),(A57))))</formula>
    </cfRule>
  </conditionalFormatting>
  <conditionalFormatting sqref="A57">
    <cfRule type="containsText" dxfId="4" priority="10028" operator="containsText" text="등록">
      <formula>NOT(ISERROR(SEARCH(("등록"),(A57))))</formula>
    </cfRule>
  </conditionalFormatting>
  <conditionalFormatting sqref="A57">
    <cfRule type="containsText" dxfId="0" priority="10029" operator="containsText" text="거부">
      <formula>NOT(ISERROR(SEARCH(("거부"),(A57))))</formula>
    </cfRule>
  </conditionalFormatting>
  <conditionalFormatting sqref="A57">
    <cfRule type="containsText" dxfId="1" priority="10030" operator="containsText" text="리턴">
      <formula>NOT(ISERROR(SEARCH(("리턴"),(A57))))</formula>
    </cfRule>
  </conditionalFormatting>
  <conditionalFormatting sqref="A57">
    <cfRule type="containsText" dxfId="2" priority="10031" operator="containsText" text="실패">
      <formula>NOT(ISERROR(SEARCH(("실패"),(A57))))</formula>
    </cfRule>
  </conditionalFormatting>
  <conditionalFormatting sqref="A57">
    <cfRule type="containsText" dxfId="3" priority="10032" operator="containsText" text="관리">
      <formula>NOT(ISERROR(SEARCH(("관리"),(A57))))</formula>
    </cfRule>
  </conditionalFormatting>
  <conditionalFormatting sqref="A57">
    <cfRule type="containsText" dxfId="4" priority="10033" operator="containsText" text="등록">
      <formula>NOT(ISERROR(SEARCH(("등록"),(A57))))</formula>
    </cfRule>
  </conditionalFormatting>
  <conditionalFormatting sqref="A57">
    <cfRule type="containsText" dxfId="0" priority="10034" operator="containsText" text="거부">
      <formula>NOT(ISERROR(SEARCH(("거부"),(A57))))</formula>
    </cfRule>
  </conditionalFormatting>
  <conditionalFormatting sqref="A57">
    <cfRule type="containsText" dxfId="1" priority="10035" operator="containsText" text="리턴">
      <formula>NOT(ISERROR(SEARCH(("리턴"),(A57))))</formula>
    </cfRule>
  </conditionalFormatting>
  <conditionalFormatting sqref="A57">
    <cfRule type="containsText" dxfId="2" priority="10036" operator="containsText" text="실패">
      <formula>NOT(ISERROR(SEARCH(("실패"),(A57))))</formula>
    </cfRule>
  </conditionalFormatting>
  <conditionalFormatting sqref="A57">
    <cfRule type="containsText" dxfId="3" priority="10037" operator="containsText" text="관리">
      <formula>NOT(ISERROR(SEARCH(("관리"),(A57))))</formula>
    </cfRule>
  </conditionalFormatting>
  <conditionalFormatting sqref="A57">
    <cfRule type="containsText" dxfId="4" priority="10038" operator="containsText" text="등록">
      <formula>NOT(ISERROR(SEARCH(("등록"),(A57))))</formula>
    </cfRule>
  </conditionalFormatting>
  <conditionalFormatting sqref="A57">
    <cfRule type="containsText" dxfId="0" priority="10039" operator="containsText" text="거부">
      <formula>NOT(ISERROR(SEARCH(("거부"),(A57))))</formula>
    </cfRule>
  </conditionalFormatting>
  <conditionalFormatting sqref="A57">
    <cfRule type="containsText" dxfId="1" priority="10040" operator="containsText" text="리턴">
      <formula>NOT(ISERROR(SEARCH(("리턴"),(A57))))</formula>
    </cfRule>
  </conditionalFormatting>
  <conditionalFormatting sqref="A57">
    <cfRule type="containsText" dxfId="2" priority="10041" operator="containsText" text="실패">
      <formula>NOT(ISERROR(SEARCH(("실패"),(A57))))</formula>
    </cfRule>
  </conditionalFormatting>
  <conditionalFormatting sqref="A57">
    <cfRule type="containsText" dxfId="3" priority="10042" operator="containsText" text="관리">
      <formula>NOT(ISERROR(SEARCH(("관리"),(A57))))</formula>
    </cfRule>
  </conditionalFormatting>
  <conditionalFormatting sqref="A57">
    <cfRule type="containsText" dxfId="4" priority="10043" operator="containsText" text="등록">
      <formula>NOT(ISERROR(SEARCH(("등록"),(A57))))</formula>
    </cfRule>
  </conditionalFormatting>
  <conditionalFormatting sqref="D57">
    <cfRule type="containsText" dxfId="0" priority="10044" operator="containsText" text="거부">
      <formula>NOT(ISERROR(SEARCH(("거부"),(D57))))</formula>
    </cfRule>
  </conditionalFormatting>
  <conditionalFormatting sqref="D57">
    <cfRule type="containsText" dxfId="1" priority="10045" operator="containsText" text="리턴">
      <formula>NOT(ISERROR(SEARCH(("리턴"),(D57))))</formula>
    </cfRule>
  </conditionalFormatting>
  <conditionalFormatting sqref="D57">
    <cfRule type="containsText" dxfId="2" priority="10046" operator="containsText" text="실패">
      <formula>NOT(ISERROR(SEARCH(("실패"),(D57))))</formula>
    </cfRule>
  </conditionalFormatting>
  <conditionalFormatting sqref="D57">
    <cfRule type="containsText" dxfId="3" priority="10047" operator="containsText" text="관리">
      <formula>NOT(ISERROR(SEARCH(("관리"),(D57))))</formula>
    </cfRule>
  </conditionalFormatting>
  <conditionalFormatting sqref="D57">
    <cfRule type="containsText" dxfId="4" priority="10048" operator="containsText" text="등록">
      <formula>NOT(ISERROR(SEARCH(("등록"),(D57))))</formula>
    </cfRule>
  </conditionalFormatting>
  <conditionalFormatting sqref="D57">
    <cfRule type="containsText" dxfId="0" priority="10049" operator="containsText" text="거부">
      <formula>NOT(ISERROR(SEARCH(("거부"),(D57))))</formula>
    </cfRule>
  </conditionalFormatting>
  <conditionalFormatting sqref="D57">
    <cfRule type="containsText" dxfId="1" priority="10050" operator="containsText" text="리턴">
      <formula>NOT(ISERROR(SEARCH(("리턴"),(D57))))</formula>
    </cfRule>
  </conditionalFormatting>
  <conditionalFormatting sqref="D57">
    <cfRule type="containsText" dxfId="2" priority="10051" operator="containsText" text="실패">
      <formula>NOT(ISERROR(SEARCH(("실패"),(D57))))</formula>
    </cfRule>
  </conditionalFormatting>
  <conditionalFormatting sqref="D57">
    <cfRule type="containsText" dxfId="3" priority="10052" operator="containsText" text="관리">
      <formula>NOT(ISERROR(SEARCH(("관리"),(D57))))</formula>
    </cfRule>
  </conditionalFormatting>
  <conditionalFormatting sqref="D57">
    <cfRule type="containsText" dxfId="4" priority="10053" operator="containsText" text="등록">
      <formula>NOT(ISERROR(SEARCH(("등록"),(D57))))</formula>
    </cfRule>
  </conditionalFormatting>
  <conditionalFormatting sqref="D57">
    <cfRule type="containsText" dxfId="0" priority="10054" operator="containsText" text="거부">
      <formula>NOT(ISERROR(SEARCH(("거부"),(D57))))</formula>
    </cfRule>
  </conditionalFormatting>
  <conditionalFormatting sqref="D57">
    <cfRule type="containsText" dxfId="1" priority="10055" operator="containsText" text="리턴">
      <formula>NOT(ISERROR(SEARCH(("리턴"),(D57))))</formula>
    </cfRule>
  </conditionalFormatting>
  <conditionalFormatting sqref="D57">
    <cfRule type="containsText" dxfId="2" priority="10056" operator="containsText" text="실패">
      <formula>NOT(ISERROR(SEARCH(("실패"),(D57))))</formula>
    </cfRule>
  </conditionalFormatting>
  <conditionalFormatting sqref="D57">
    <cfRule type="containsText" dxfId="3" priority="10057" operator="containsText" text="관리">
      <formula>NOT(ISERROR(SEARCH(("관리"),(D57))))</formula>
    </cfRule>
  </conditionalFormatting>
  <conditionalFormatting sqref="D57">
    <cfRule type="containsText" dxfId="4" priority="10058" operator="containsText" text="등록">
      <formula>NOT(ISERROR(SEARCH(("등록"),(D57))))</formula>
    </cfRule>
  </conditionalFormatting>
  <conditionalFormatting sqref="D57">
    <cfRule type="containsText" dxfId="0" priority="10059" operator="containsText" text="거부">
      <formula>NOT(ISERROR(SEARCH(("거부"),(D57))))</formula>
    </cfRule>
  </conditionalFormatting>
  <conditionalFormatting sqref="D57">
    <cfRule type="containsText" dxfId="1" priority="10060" operator="containsText" text="리턴">
      <formula>NOT(ISERROR(SEARCH(("리턴"),(D57))))</formula>
    </cfRule>
  </conditionalFormatting>
  <conditionalFormatting sqref="D57">
    <cfRule type="containsText" dxfId="2" priority="10061" operator="containsText" text="실패">
      <formula>NOT(ISERROR(SEARCH(("실패"),(D57))))</formula>
    </cfRule>
  </conditionalFormatting>
  <conditionalFormatting sqref="D57">
    <cfRule type="containsText" dxfId="3" priority="10062" operator="containsText" text="관리">
      <formula>NOT(ISERROR(SEARCH(("관리"),(D57))))</formula>
    </cfRule>
  </conditionalFormatting>
  <conditionalFormatting sqref="D57">
    <cfRule type="containsText" dxfId="4" priority="10063" operator="containsText" text="등록">
      <formula>NOT(ISERROR(SEARCH(("등록"),(D57))))</formula>
    </cfRule>
  </conditionalFormatting>
  <conditionalFormatting sqref="D57">
    <cfRule type="containsText" dxfId="0" priority="10064" operator="containsText" text="거부">
      <formula>NOT(ISERROR(SEARCH(("거부"),(D57))))</formula>
    </cfRule>
  </conditionalFormatting>
  <conditionalFormatting sqref="D57">
    <cfRule type="containsText" dxfId="1" priority="10065" operator="containsText" text="리턴">
      <formula>NOT(ISERROR(SEARCH(("리턴"),(D57))))</formula>
    </cfRule>
  </conditionalFormatting>
  <conditionalFormatting sqref="D57">
    <cfRule type="containsText" dxfId="2" priority="10066" operator="containsText" text="실패">
      <formula>NOT(ISERROR(SEARCH(("실패"),(D57))))</formula>
    </cfRule>
  </conditionalFormatting>
  <conditionalFormatting sqref="D57">
    <cfRule type="containsText" dxfId="3" priority="10067" operator="containsText" text="관리">
      <formula>NOT(ISERROR(SEARCH(("관리"),(D57))))</formula>
    </cfRule>
  </conditionalFormatting>
  <conditionalFormatting sqref="D57">
    <cfRule type="containsText" dxfId="4" priority="10068" operator="containsText" text="등록">
      <formula>NOT(ISERROR(SEARCH(("등록"),(D57))))</formula>
    </cfRule>
  </conditionalFormatting>
  <conditionalFormatting sqref="A58">
    <cfRule type="containsText" dxfId="0" priority="10069" operator="containsText" text="거부">
      <formula>NOT(ISERROR(SEARCH(("거부"),(A58))))</formula>
    </cfRule>
  </conditionalFormatting>
  <conditionalFormatting sqref="A58">
    <cfRule type="containsText" dxfId="1" priority="10070" operator="containsText" text="리턴">
      <formula>NOT(ISERROR(SEARCH(("리턴"),(A58))))</formula>
    </cfRule>
  </conditionalFormatting>
  <conditionalFormatting sqref="A58">
    <cfRule type="containsText" dxfId="2" priority="10071" operator="containsText" text="실패">
      <formula>NOT(ISERROR(SEARCH(("실패"),(A58))))</formula>
    </cfRule>
  </conditionalFormatting>
  <conditionalFormatting sqref="A58">
    <cfRule type="containsText" dxfId="3" priority="10072" operator="containsText" text="관리">
      <formula>NOT(ISERROR(SEARCH(("관리"),(A58))))</formula>
    </cfRule>
  </conditionalFormatting>
  <conditionalFormatting sqref="A58">
    <cfRule type="containsText" dxfId="4" priority="10073" operator="containsText" text="등록">
      <formula>NOT(ISERROR(SEARCH(("등록"),(A58))))</formula>
    </cfRule>
  </conditionalFormatting>
  <conditionalFormatting sqref="A58">
    <cfRule type="containsText" dxfId="0" priority="10074" operator="containsText" text="거부">
      <formula>NOT(ISERROR(SEARCH(("거부"),(A58))))</formula>
    </cfRule>
  </conditionalFormatting>
  <conditionalFormatting sqref="A58">
    <cfRule type="containsText" dxfId="1" priority="10075" operator="containsText" text="리턴">
      <formula>NOT(ISERROR(SEARCH(("리턴"),(A58))))</formula>
    </cfRule>
  </conditionalFormatting>
  <conditionalFormatting sqref="A58">
    <cfRule type="containsText" dxfId="2" priority="10076" operator="containsText" text="실패">
      <formula>NOT(ISERROR(SEARCH(("실패"),(A58))))</formula>
    </cfRule>
  </conditionalFormatting>
  <conditionalFormatting sqref="A58">
    <cfRule type="containsText" dxfId="3" priority="10077" operator="containsText" text="관리">
      <formula>NOT(ISERROR(SEARCH(("관리"),(A58))))</formula>
    </cfRule>
  </conditionalFormatting>
  <conditionalFormatting sqref="A58">
    <cfRule type="containsText" dxfId="4" priority="10078" operator="containsText" text="등록">
      <formula>NOT(ISERROR(SEARCH(("등록"),(A58))))</formula>
    </cfRule>
  </conditionalFormatting>
  <conditionalFormatting sqref="A58">
    <cfRule type="containsText" dxfId="0" priority="10079" operator="containsText" text="거부">
      <formula>NOT(ISERROR(SEARCH(("거부"),(A58))))</formula>
    </cfRule>
  </conditionalFormatting>
  <conditionalFormatting sqref="A58">
    <cfRule type="containsText" dxfId="1" priority="10080" operator="containsText" text="리턴">
      <formula>NOT(ISERROR(SEARCH(("리턴"),(A58))))</formula>
    </cfRule>
  </conditionalFormatting>
  <conditionalFormatting sqref="A58">
    <cfRule type="containsText" dxfId="2" priority="10081" operator="containsText" text="실패">
      <formula>NOT(ISERROR(SEARCH(("실패"),(A58))))</formula>
    </cfRule>
  </conditionalFormatting>
  <conditionalFormatting sqref="A58">
    <cfRule type="containsText" dxfId="3" priority="10082" operator="containsText" text="관리">
      <formula>NOT(ISERROR(SEARCH(("관리"),(A58))))</formula>
    </cfRule>
  </conditionalFormatting>
  <conditionalFormatting sqref="A58">
    <cfRule type="containsText" dxfId="4" priority="10083" operator="containsText" text="등록">
      <formula>NOT(ISERROR(SEARCH(("등록"),(A58))))</formula>
    </cfRule>
  </conditionalFormatting>
  <conditionalFormatting sqref="D58">
    <cfRule type="containsText" dxfId="0" priority="10084" operator="containsText" text="거부">
      <formula>NOT(ISERROR(SEARCH(("거부"),(D58))))</formula>
    </cfRule>
  </conditionalFormatting>
  <conditionalFormatting sqref="D58">
    <cfRule type="containsText" dxfId="1" priority="10085" operator="containsText" text="리턴">
      <formula>NOT(ISERROR(SEARCH(("리턴"),(D58))))</formula>
    </cfRule>
  </conditionalFormatting>
  <conditionalFormatting sqref="D58">
    <cfRule type="containsText" dxfId="2" priority="10086" operator="containsText" text="실패">
      <formula>NOT(ISERROR(SEARCH(("실패"),(D58))))</formula>
    </cfRule>
  </conditionalFormatting>
  <conditionalFormatting sqref="D58">
    <cfRule type="containsText" dxfId="3" priority="10087" operator="containsText" text="관리">
      <formula>NOT(ISERROR(SEARCH(("관리"),(D58))))</formula>
    </cfRule>
  </conditionalFormatting>
  <conditionalFormatting sqref="D58">
    <cfRule type="containsText" dxfId="4" priority="10088" operator="containsText" text="등록">
      <formula>NOT(ISERROR(SEARCH(("등록"),(D58))))</formula>
    </cfRule>
  </conditionalFormatting>
  <conditionalFormatting sqref="D58">
    <cfRule type="containsText" dxfId="0" priority="10089" operator="containsText" text="거부">
      <formula>NOT(ISERROR(SEARCH(("거부"),(D58))))</formula>
    </cfRule>
  </conditionalFormatting>
  <conditionalFormatting sqref="D58">
    <cfRule type="containsText" dxfId="1" priority="10090" operator="containsText" text="리턴">
      <formula>NOT(ISERROR(SEARCH(("리턴"),(D58))))</formula>
    </cfRule>
  </conditionalFormatting>
  <conditionalFormatting sqref="D58">
    <cfRule type="containsText" dxfId="2" priority="10091" operator="containsText" text="실패">
      <formula>NOT(ISERROR(SEARCH(("실패"),(D58))))</formula>
    </cfRule>
  </conditionalFormatting>
  <conditionalFormatting sqref="D58">
    <cfRule type="containsText" dxfId="3" priority="10092" operator="containsText" text="관리">
      <formula>NOT(ISERROR(SEARCH(("관리"),(D58))))</formula>
    </cfRule>
  </conditionalFormatting>
  <conditionalFormatting sqref="D58">
    <cfRule type="containsText" dxfId="4" priority="10093" operator="containsText" text="등록">
      <formula>NOT(ISERROR(SEARCH(("등록"),(D58))))</formula>
    </cfRule>
  </conditionalFormatting>
  <conditionalFormatting sqref="D58">
    <cfRule type="containsText" dxfId="0" priority="10094" operator="containsText" text="거부">
      <formula>NOT(ISERROR(SEARCH(("거부"),(D58))))</formula>
    </cfRule>
  </conditionalFormatting>
  <conditionalFormatting sqref="D58">
    <cfRule type="containsText" dxfId="1" priority="10095" operator="containsText" text="리턴">
      <formula>NOT(ISERROR(SEARCH(("리턴"),(D58))))</formula>
    </cfRule>
  </conditionalFormatting>
  <conditionalFormatting sqref="D58">
    <cfRule type="containsText" dxfId="2" priority="10096" operator="containsText" text="실패">
      <formula>NOT(ISERROR(SEARCH(("실패"),(D58))))</formula>
    </cfRule>
  </conditionalFormatting>
  <conditionalFormatting sqref="D58">
    <cfRule type="containsText" dxfId="3" priority="10097" operator="containsText" text="관리">
      <formula>NOT(ISERROR(SEARCH(("관리"),(D58))))</formula>
    </cfRule>
  </conditionalFormatting>
  <conditionalFormatting sqref="D58">
    <cfRule type="containsText" dxfId="4" priority="10098" operator="containsText" text="등록">
      <formula>NOT(ISERROR(SEARCH(("등록"),(D58))))</formula>
    </cfRule>
  </conditionalFormatting>
  <conditionalFormatting sqref="D58">
    <cfRule type="containsText" dxfId="0" priority="10099" operator="containsText" text="거부">
      <formula>NOT(ISERROR(SEARCH(("거부"),(D58))))</formula>
    </cfRule>
  </conditionalFormatting>
  <conditionalFormatting sqref="D58">
    <cfRule type="containsText" dxfId="1" priority="10100" operator="containsText" text="리턴">
      <formula>NOT(ISERROR(SEARCH(("리턴"),(D58))))</formula>
    </cfRule>
  </conditionalFormatting>
  <conditionalFormatting sqref="D58">
    <cfRule type="containsText" dxfId="2" priority="10101" operator="containsText" text="실패">
      <formula>NOT(ISERROR(SEARCH(("실패"),(D58))))</formula>
    </cfRule>
  </conditionalFormatting>
  <conditionalFormatting sqref="D58">
    <cfRule type="containsText" dxfId="3" priority="10102" operator="containsText" text="관리">
      <formula>NOT(ISERROR(SEARCH(("관리"),(D58))))</formula>
    </cfRule>
  </conditionalFormatting>
  <conditionalFormatting sqref="D58">
    <cfRule type="containsText" dxfId="4" priority="10103" operator="containsText" text="등록">
      <formula>NOT(ISERROR(SEARCH(("등록"),(D58))))</formula>
    </cfRule>
  </conditionalFormatting>
  <conditionalFormatting sqref="D58">
    <cfRule type="containsText" dxfId="0" priority="10104" operator="containsText" text="거부">
      <formula>NOT(ISERROR(SEARCH(("거부"),(D58))))</formula>
    </cfRule>
  </conditionalFormatting>
  <conditionalFormatting sqref="D58">
    <cfRule type="containsText" dxfId="1" priority="10105" operator="containsText" text="리턴">
      <formula>NOT(ISERROR(SEARCH(("리턴"),(D58))))</formula>
    </cfRule>
  </conditionalFormatting>
  <conditionalFormatting sqref="D58">
    <cfRule type="containsText" dxfId="2" priority="10106" operator="containsText" text="실패">
      <formula>NOT(ISERROR(SEARCH(("실패"),(D58))))</formula>
    </cfRule>
  </conditionalFormatting>
  <conditionalFormatting sqref="D58">
    <cfRule type="containsText" dxfId="3" priority="10107" operator="containsText" text="관리">
      <formula>NOT(ISERROR(SEARCH(("관리"),(D58))))</formula>
    </cfRule>
  </conditionalFormatting>
  <conditionalFormatting sqref="D58">
    <cfRule type="containsText" dxfId="4" priority="10108" operator="containsText" text="등록">
      <formula>NOT(ISERROR(SEARCH(("등록"),(D58))))</formula>
    </cfRule>
  </conditionalFormatting>
  <conditionalFormatting sqref="D58">
    <cfRule type="containsText" dxfId="0" priority="10109" operator="containsText" text="거부">
      <formula>NOT(ISERROR(SEARCH(("거부"),(D58))))</formula>
    </cfRule>
  </conditionalFormatting>
  <conditionalFormatting sqref="D58">
    <cfRule type="containsText" dxfId="1" priority="10110" operator="containsText" text="리턴">
      <formula>NOT(ISERROR(SEARCH(("리턴"),(D58))))</formula>
    </cfRule>
  </conditionalFormatting>
  <conditionalFormatting sqref="D58">
    <cfRule type="containsText" dxfId="2" priority="10111" operator="containsText" text="실패">
      <formula>NOT(ISERROR(SEARCH(("실패"),(D58))))</formula>
    </cfRule>
  </conditionalFormatting>
  <conditionalFormatting sqref="D58">
    <cfRule type="containsText" dxfId="3" priority="10112" operator="containsText" text="관리">
      <formula>NOT(ISERROR(SEARCH(("관리"),(D58))))</formula>
    </cfRule>
  </conditionalFormatting>
  <conditionalFormatting sqref="D58">
    <cfRule type="containsText" dxfId="4" priority="10113" operator="containsText" text="등록">
      <formula>NOT(ISERROR(SEARCH(("등록"),(D58))))</formula>
    </cfRule>
  </conditionalFormatting>
  <conditionalFormatting sqref="J58">
    <cfRule type="containsText" dxfId="0" priority="10114" operator="containsText" text="거부">
      <formula>NOT(ISERROR(SEARCH(("거부"),(J58))))</formula>
    </cfRule>
  </conditionalFormatting>
  <conditionalFormatting sqref="J58">
    <cfRule type="containsText" dxfId="1" priority="10115" operator="containsText" text="리턴">
      <formula>NOT(ISERROR(SEARCH(("리턴"),(J58))))</formula>
    </cfRule>
  </conditionalFormatting>
  <conditionalFormatting sqref="J58">
    <cfRule type="containsText" dxfId="2" priority="10116" operator="containsText" text="실패">
      <formula>NOT(ISERROR(SEARCH(("실패"),(J58))))</formula>
    </cfRule>
  </conditionalFormatting>
  <conditionalFormatting sqref="J58">
    <cfRule type="containsText" dxfId="3" priority="10117" operator="containsText" text="관리">
      <formula>NOT(ISERROR(SEARCH(("관리"),(J58))))</formula>
    </cfRule>
  </conditionalFormatting>
  <conditionalFormatting sqref="J58">
    <cfRule type="containsText" dxfId="4" priority="10118" operator="containsText" text="등록">
      <formula>NOT(ISERROR(SEARCH(("등록"),(J58))))</formula>
    </cfRule>
  </conditionalFormatting>
  <conditionalFormatting sqref="J58">
    <cfRule type="containsText" dxfId="0" priority="10119" operator="containsText" text="거부">
      <formula>NOT(ISERROR(SEARCH(("거부"),(J58))))</formula>
    </cfRule>
  </conditionalFormatting>
  <conditionalFormatting sqref="J58">
    <cfRule type="containsText" dxfId="1" priority="10120" operator="containsText" text="리턴">
      <formula>NOT(ISERROR(SEARCH(("리턴"),(J58))))</formula>
    </cfRule>
  </conditionalFormatting>
  <conditionalFormatting sqref="J58">
    <cfRule type="containsText" dxfId="2" priority="10121" operator="containsText" text="실패">
      <formula>NOT(ISERROR(SEARCH(("실패"),(J58))))</formula>
    </cfRule>
  </conditionalFormatting>
  <conditionalFormatting sqref="J58">
    <cfRule type="containsText" dxfId="3" priority="10122" operator="containsText" text="관리">
      <formula>NOT(ISERROR(SEARCH(("관리"),(J58))))</formula>
    </cfRule>
  </conditionalFormatting>
  <conditionalFormatting sqref="J58">
    <cfRule type="containsText" dxfId="4" priority="10123" operator="containsText" text="등록">
      <formula>NOT(ISERROR(SEARCH(("등록"),(J58))))</formula>
    </cfRule>
  </conditionalFormatting>
  <conditionalFormatting sqref="H58">
    <cfRule type="containsText" dxfId="0" priority="10124" operator="containsText" text="거부">
      <formula>NOT(ISERROR(SEARCH(("거부"),(H58))))</formula>
    </cfRule>
  </conditionalFormatting>
  <conditionalFormatting sqref="H58">
    <cfRule type="containsText" dxfId="1" priority="10125" operator="containsText" text="리턴">
      <formula>NOT(ISERROR(SEARCH(("리턴"),(H58))))</formula>
    </cfRule>
  </conditionalFormatting>
  <conditionalFormatting sqref="H58">
    <cfRule type="containsText" dxfId="2" priority="10126" operator="containsText" text="실패">
      <formula>NOT(ISERROR(SEARCH(("실패"),(H58))))</formula>
    </cfRule>
  </conditionalFormatting>
  <conditionalFormatting sqref="H58">
    <cfRule type="containsText" dxfId="3" priority="10127" operator="containsText" text="관리">
      <formula>NOT(ISERROR(SEARCH(("관리"),(H58))))</formula>
    </cfRule>
  </conditionalFormatting>
  <conditionalFormatting sqref="H58">
    <cfRule type="containsText" dxfId="4" priority="10128" operator="containsText" text="등록">
      <formula>NOT(ISERROR(SEARCH(("등록"),(H58))))</formula>
    </cfRule>
  </conditionalFormatting>
  <conditionalFormatting sqref="F60">
    <cfRule type="containsText" dxfId="0" priority="10129" operator="containsText" text="거부">
      <formula>NOT(ISERROR(SEARCH(("거부"),(F60))))</formula>
    </cfRule>
  </conditionalFormatting>
  <conditionalFormatting sqref="F60">
    <cfRule type="containsText" dxfId="1" priority="10130" operator="containsText" text="리턴">
      <formula>NOT(ISERROR(SEARCH(("리턴"),(F60))))</formula>
    </cfRule>
  </conditionalFormatting>
  <conditionalFormatting sqref="F60">
    <cfRule type="containsText" dxfId="2" priority="10131" operator="containsText" text="실패">
      <formula>NOT(ISERROR(SEARCH(("실패"),(F60))))</formula>
    </cfRule>
  </conditionalFormatting>
  <conditionalFormatting sqref="F60">
    <cfRule type="containsText" dxfId="3" priority="10132" operator="containsText" text="관리">
      <formula>NOT(ISERROR(SEARCH(("관리"),(F60))))</formula>
    </cfRule>
  </conditionalFormatting>
  <conditionalFormatting sqref="F60">
    <cfRule type="containsText" dxfId="4" priority="10133" operator="containsText" text="등록">
      <formula>NOT(ISERROR(SEARCH(("등록"),(F60))))</formula>
    </cfRule>
  </conditionalFormatting>
  <conditionalFormatting sqref="H60">
    <cfRule type="containsText" dxfId="0" priority="10134" operator="containsText" text="거부">
      <formula>NOT(ISERROR(SEARCH(("거부"),(H60))))</formula>
    </cfRule>
  </conditionalFormatting>
  <conditionalFormatting sqref="H60">
    <cfRule type="containsText" dxfId="1" priority="10135" operator="containsText" text="리턴">
      <formula>NOT(ISERROR(SEARCH(("리턴"),(H60))))</formula>
    </cfRule>
  </conditionalFormatting>
  <conditionalFormatting sqref="H60">
    <cfRule type="containsText" dxfId="2" priority="10136" operator="containsText" text="실패">
      <formula>NOT(ISERROR(SEARCH(("실패"),(H60))))</formula>
    </cfRule>
  </conditionalFormatting>
  <conditionalFormatting sqref="H60">
    <cfRule type="containsText" dxfId="3" priority="10137" operator="containsText" text="관리">
      <formula>NOT(ISERROR(SEARCH(("관리"),(H60))))</formula>
    </cfRule>
  </conditionalFormatting>
  <conditionalFormatting sqref="H60">
    <cfRule type="containsText" dxfId="4" priority="10138" operator="containsText" text="등록">
      <formula>NOT(ISERROR(SEARCH(("등록"),(H60))))</formula>
    </cfRule>
  </conditionalFormatting>
  <conditionalFormatting sqref="A55">
    <cfRule type="containsText" dxfId="0" priority="10139" operator="containsText" text="거부">
      <formula>NOT(ISERROR(SEARCH(("거부"),(A55))))</formula>
    </cfRule>
  </conditionalFormatting>
  <conditionalFormatting sqref="A55">
    <cfRule type="containsText" dxfId="1" priority="10140" operator="containsText" text="리턴">
      <formula>NOT(ISERROR(SEARCH(("리턴"),(A55))))</formula>
    </cfRule>
  </conditionalFormatting>
  <conditionalFormatting sqref="A55">
    <cfRule type="containsText" dxfId="2" priority="10141" operator="containsText" text="실패">
      <formula>NOT(ISERROR(SEARCH(("실패"),(A55))))</formula>
    </cfRule>
  </conditionalFormatting>
  <conditionalFormatting sqref="A55">
    <cfRule type="containsText" dxfId="3" priority="10142" operator="containsText" text="관리">
      <formula>NOT(ISERROR(SEARCH(("관리"),(A55))))</formula>
    </cfRule>
  </conditionalFormatting>
  <conditionalFormatting sqref="A55">
    <cfRule type="containsText" dxfId="4" priority="10143" operator="containsText" text="등록">
      <formula>NOT(ISERROR(SEARCH(("등록"),(A55))))</formula>
    </cfRule>
  </conditionalFormatting>
  <conditionalFormatting sqref="A55">
    <cfRule type="containsText" dxfId="0" priority="10144" operator="containsText" text="거부">
      <formula>NOT(ISERROR(SEARCH(("거부"),(A55))))</formula>
    </cfRule>
  </conditionalFormatting>
  <conditionalFormatting sqref="A55">
    <cfRule type="containsText" dxfId="1" priority="10145" operator="containsText" text="리턴">
      <formula>NOT(ISERROR(SEARCH(("리턴"),(A55))))</formula>
    </cfRule>
  </conditionalFormatting>
  <conditionalFormatting sqref="A55">
    <cfRule type="containsText" dxfId="2" priority="10146" operator="containsText" text="실패">
      <formula>NOT(ISERROR(SEARCH(("실패"),(A55))))</formula>
    </cfRule>
  </conditionalFormatting>
  <conditionalFormatting sqref="A55">
    <cfRule type="containsText" dxfId="3" priority="10147" operator="containsText" text="관리">
      <formula>NOT(ISERROR(SEARCH(("관리"),(A55))))</formula>
    </cfRule>
  </conditionalFormatting>
  <conditionalFormatting sqref="A55">
    <cfRule type="containsText" dxfId="4" priority="10148" operator="containsText" text="등록">
      <formula>NOT(ISERROR(SEARCH(("등록"),(A55))))</formula>
    </cfRule>
  </conditionalFormatting>
  <conditionalFormatting sqref="A55">
    <cfRule type="containsText" dxfId="0" priority="10149" operator="containsText" text="거부">
      <formula>NOT(ISERROR(SEARCH(("거부"),(A55))))</formula>
    </cfRule>
  </conditionalFormatting>
  <conditionalFormatting sqref="A55">
    <cfRule type="containsText" dxfId="1" priority="10150" operator="containsText" text="리턴">
      <formula>NOT(ISERROR(SEARCH(("리턴"),(A55))))</formula>
    </cfRule>
  </conditionalFormatting>
  <conditionalFormatting sqref="A55">
    <cfRule type="containsText" dxfId="2" priority="10151" operator="containsText" text="실패">
      <formula>NOT(ISERROR(SEARCH(("실패"),(A55))))</formula>
    </cfRule>
  </conditionalFormatting>
  <conditionalFormatting sqref="A55">
    <cfRule type="containsText" dxfId="3" priority="10152" operator="containsText" text="관리">
      <formula>NOT(ISERROR(SEARCH(("관리"),(A55))))</formula>
    </cfRule>
  </conditionalFormatting>
  <conditionalFormatting sqref="A55">
    <cfRule type="containsText" dxfId="4" priority="10153" operator="containsText" text="등록">
      <formula>NOT(ISERROR(SEARCH(("등록"),(A55))))</formula>
    </cfRule>
  </conditionalFormatting>
  <conditionalFormatting sqref="D55">
    <cfRule type="containsText" dxfId="0" priority="10154" operator="containsText" text="거부">
      <formula>NOT(ISERROR(SEARCH(("거부"),(D55))))</formula>
    </cfRule>
  </conditionalFormatting>
  <conditionalFormatting sqref="D55">
    <cfRule type="containsText" dxfId="1" priority="10155" operator="containsText" text="리턴">
      <formula>NOT(ISERROR(SEARCH(("리턴"),(D55))))</formula>
    </cfRule>
  </conditionalFormatting>
  <conditionalFormatting sqref="D55">
    <cfRule type="containsText" dxfId="2" priority="10156" operator="containsText" text="실패">
      <formula>NOT(ISERROR(SEARCH(("실패"),(D55))))</formula>
    </cfRule>
  </conditionalFormatting>
  <conditionalFormatting sqref="D55">
    <cfRule type="containsText" dxfId="3" priority="10157" operator="containsText" text="관리">
      <formula>NOT(ISERROR(SEARCH(("관리"),(D55))))</formula>
    </cfRule>
  </conditionalFormatting>
  <conditionalFormatting sqref="D55">
    <cfRule type="containsText" dxfId="4" priority="10158" operator="containsText" text="등록">
      <formula>NOT(ISERROR(SEARCH(("등록"),(D55))))</formula>
    </cfRule>
  </conditionalFormatting>
  <conditionalFormatting sqref="D55">
    <cfRule type="containsText" dxfId="0" priority="10159" operator="containsText" text="거부">
      <formula>NOT(ISERROR(SEARCH(("거부"),(D55))))</formula>
    </cfRule>
  </conditionalFormatting>
  <conditionalFormatting sqref="D55">
    <cfRule type="containsText" dxfId="1" priority="10160" operator="containsText" text="리턴">
      <formula>NOT(ISERROR(SEARCH(("리턴"),(D55))))</formula>
    </cfRule>
  </conditionalFormatting>
  <conditionalFormatting sqref="D55">
    <cfRule type="containsText" dxfId="2" priority="10161" operator="containsText" text="실패">
      <formula>NOT(ISERROR(SEARCH(("실패"),(D55))))</formula>
    </cfRule>
  </conditionalFormatting>
  <conditionalFormatting sqref="D55">
    <cfRule type="containsText" dxfId="3" priority="10162" operator="containsText" text="관리">
      <formula>NOT(ISERROR(SEARCH(("관리"),(D55))))</formula>
    </cfRule>
  </conditionalFormatting>
  <conditionalFormatting sqref="D55">
    <cfRule type="containsText" dxfId="4" priority="10163" operator="containsText" text="등록">
      <formula>NOT(ISERROR(SEARCH(("등록"),(D55))))</formula>
    </cfRule>
  </conditionalFormatting>
  <conditionalFormatting sqref="J58">
    <cfRule type="containsText" dxfId="0" priority="10164" operator="containsText" text="거부">
      <formula>NOT(ISERROR(SEARCH(("거부"),(J58))))</formula>
    </cfRule>
  </conditionalFormatting>
  <conditionalFormatting sqref="J58">
    <cfRule type="containsText" dxfId="1" priority="10165" operator="containsText" text="리턴">
      <formula>NOT(ISERROR(SEARCH(("리턴"),(J58))))</formula>
    </cfRule>
  </conditionalFormatting>
  <conditionalFormatting sqref="J58">
    <cfRule type="containsText" dxfId="2" priority="10166" operator="containsText" text="실패">
      <formula>NOT(ISERROR(SEARCH(("실패"),(J58))))</formula>
    </cfRule>
  </conditionalFormatting>
  <conditionalFormatting sqref="J58">
    <cfRule type="containsText" dxfId="3" priority="10167" operator="containsText" text="관리">
      <formula>NOT(ISERROR(SEARCH(("관리"),(J58))))</formula>
    </cfRule>
  </conditionalFormatting>
  <conditionalFormatting sqref="J58">
    <cfRule type="containsText" dxfId="4" priority="10168" operator="containsText" text="등록">
      <formula>NOT(ISERROR(SEARCH(("등록"),(J58))))</formula>
    </cfRule>
  </conditionalFormatting>
  <conditionalFormatting sqref="J58">
    <cfRule type="containsText" dxfId="0" priority="10169" operator="containsText" text="거부">
      <formula>NOT(ISERROR(SEARCH(("거부"),(J58))))</formula>
    </cfRule>
  </conditionalFormatting>
  <conditionalFormatting sqref="J58">
    <cfRule type="containsText" dxfId="1" priority="10170" operator="containsText" text="리턴">
      <formula>NOT(ISERROR(SEARCH(("리턴"),(J58))))</formula>
    </cfRule>
  </conditionalFormatting>
  <conditionalFormatting sqref="J58">
    <cfRule type="containsText" dxfId="2" priority="10171" operator="containsText" text="실패">
      <formula>NOT(ISERROR(SEARCH(("실패"),(J58))))</formula>
    </cfRule>
  </conditionalFormatting>
  <conditionalFormatting sqref="J58">
    <cfRule type="containsText" dxfId="3" priority="10172" operator="containsText" text="관리">
      <formula>NOT(ISERROR(SEARCH(("관리"),(J58))))</formula>
    </cfRule>
  </conditionalFormatting>
  <conditionalFormatting sqref="J58">
    <cfRule type="containsText" dxfId="4" priority="10173" operator="containsText" text="등록">
      <formula>NOT(ISERROR(SEARCH(("등록"),(J58))))</formula>
    </cfRule>
  </conditionalFormatting>
  <conditionalFormatting sqref="F59">
    <cfRule type="containsText" dxfId="0" priority="10174" operator="containsText" text="거부">
      <formula>NOT(ISERROR(SEARCH(("거부"),(F59))))</formula>
    </cfRule>
  </conditionalFormatting>
  <conditionalFormatting sqref="F59">
    <cfRule type="containsText" dxfId="1" priority="10175" operator="containsText" text="리턴">
      <formula>NOT(ISERROR(SEARCH(("리턴"),(F59))))</formula>
    </cfRule>
  </conditionalFormatting>
  <conditionalFormatting sqref="F59">
    <cfRule type="containsText" dxfId="2" priority="10176" operator="containsText" text="실패">
      <formula>NOT(ISERROR(SEARCH(("실패"),(F59))))</formula>
    </cfRule>
  </conditionalFormatting>
  <conditionalFormatting sqref="F59">
    <cfRule type="containsText" dxfId="3" priority="10177" operator="containsText" text="관리">
      <formula>NOT(ISERROR(SEARCH(("관리"),(F59))))</formula>
    </cfRule>
  </conditionalFormatting>
  <conditionalFormatting sqref="F59">
    <cfRule type="containsText" dxfId="4" priority="10178" operator="containsText" text="등록">
      <formula>NOT(ISERROR(SEARCH(("등록"),(F59))))</formula>
    </cfRule>
  </conditionalFormatting>
  <conditionalFormatting sqref="G59">
    <cfRule type="containsText" dxfId="0" priority="10179" operator="containsText" text="거부">
      <formula>NOT(ISERROR(SEARCH(("거부"),(G59))))</formula>
    </cfRule>
  </conditionalFormatting>
  <conditionalFormatting sqref="G59">
    <cfRule type="containsText" dxfId="1" priority="10180" operator="containsText" text="리턴">
      <formula>NOT(ISERROR(SEARCH(("리턴"),(G59))))</formula>
    </cfRule>
  </conditionalFormatting>
  <conditionalFormatting sqref="G59">
    <cfRule type="containsText" dxfId="2" priority="10181" operator="containsText" text="실패">
      <formula>NOT(ISERROR(SEARCH(("실패"),(G59))))</formula>
    </cfRule>
  </conditionalFormatting>
  <conditionalFormatting sqref="G59">
    <cfRule type="containsText" dxfId="3" priority="10182" operator="containsText" text="관리">
      <formula>NOT(ISERROR(SEARCH(("관리"),(G59))))</formula>
    </cfRule>
  </conditionalFormatting>
  <conditionalFormatting sqref="G59">
    <cfRule type="containsText" dxfId="4" priority="10183" operator="containsText" text="등록">
      <formula>NOT(ISERROR(SEARCH(("등록"),(G59))))</formula>
    </cfRule>
  </conditionalFormatting>
  <conditionalFormatting sqref="H59">
    <cfRule type="containsText" dxfId="0" priority="10184" operator="containsText" text="거부">
      <formula>NOT(ISERROR(SEARCH(("거부"),(H59))))</formula>
    </cfRule>
  </conditionalFormatting>
  <conditionalFormatting sqref="H59">
    <cfRule type="containsText" dxfId="1" priority="10185" operator="containsText" text="리턴">
      <formula>NOT(ISERROR(SEARCH(("리턴"),(H59))))</formula>
    </cfRule>
  </conditionalFormatting>
  <conditionalFormatting sqref="H59">
    <cfRule type="containsText" dxfId="2" priority="10186" operator="containsText" text="실패">
      <formula>NOT(ISERROR(SEARCH(("실패"),(H59))))</formula>
    </cfRule>
  </conditionalFormatting>
  <conditionalFormatting sqref="H59">
    <cfRule type="containsText" dxfId="3" priority="10187" operator="containsText" text="관리">
      <formula>NOT(ISERROR(SEARCH(("관리"),(H59))))</formula>
    </cfRule>
  </conditionalFormatting>
  <conditionalFormatting sqref="H59">
    <cfRule type="containsText" dxfId="4" priority="10188" operator="containsText" text="등록">
      <formula>NOT(ISERROR(SEARCH(("등록"),(H59))))</formula>
    </cfRule>
  </conditionalFormatting>
  <conditionalFormatting sqref="A59">
    <cfRule type="containsText" dxfId="0" priority="10189" operator="containsText" text="거부">
      <formula>NOT(ISERROR(SEARCH(("거부"),(A59))))</formula>
    </cfRule>
  </conditionalFormatting>
  <conditionalFormatting sqref="A59">
    <cfRule type="containsText" dxfId="1" priority="10190" operator="containsText" text="리턴">
      <formula>NOT(ISERROR(SEARCH(("리턴"),(A59))))</formula>
    </cfRule>
  </conditionalFormatting>
  <conditionalFormatting sqref="A59">
    <cfRule type="containsText" dxfId="2" priority="10191" operator="containsText" text="실패">
      <formula>NOT(ISERROR(SEARCH(("실패"),(A59))))</formula>
    </cfRule>
  </conditionalFormatting>
  <conditionalFormatting sqref="A59">
    <cfRule type="containsText" dxfId="3" priority="10192" operator="containsText" text="관리">
      <formula>NOT(ISERROR(SEARCH(("관리"),(A59))))</formula>
    </cfRule>
  </conditionalFormatting>
  <conditionalFormatting sqref="A59">
    <cfRule type="containsText" dxfId="4" priority="10193" operator="containsText" text="등록">
      <formula>NOT(ISERROR(SEARCH(("등록"),(A59))))</formula>
    </cfRule>
  </conditionalFormatting>
  <conditionalFormatting sqref="E59">
    <cfRule type="containsText" dxfId="0" priority="10194" operator="containsText" text="거부">
      <formula>NOT(ISERROR(SEARCH(("거부"),(E59))))</formula>
    </cfRule>
  </conditionalFormatting>
  <conditionalFormatting sqref="E59">
    <cfRule type="containsText" dxfId="1" priority="10195" operator="containsText" text="리턴">
      <formula>NOT(ISERROR(SEARCH(("리턴"),(E59))))</formula>
    </cfRule>
  </conditionalFormatting>
  <conditionalFormatting sqref="E59">
    <cfRule type="containsText" dxfId="2" priority="10196" operator="containsText" text="실패">
      <formula>NOT(ISERROR(SEARCH(("실패"),(E59))))</formula>
    </cfRule>
  </conditionalFormatting>
  <conditionalFormatting sqref="E59">
    <cfRule type="containsText" dxfId="3" priority="10197" operator="containsText" text="관리">
      <formula>NOT(ISERROR(SEARCH(("관리"),(E59))))</formula>
    </cfRule>
  </conditionalFormatting>
  <conditionalFormatting sqref="E59">
    <cfRule type="containsText" dxfId="4" priority="10198" operator="containsText" text="등록">
      <formula>NOT(ISERROR(SEARCH(("등록"),(E59))))</formula>
    </cfRule>
  </conditionalFormatting>
  <conditionalFormatting sqref="J59">
    <cfRule type="containsText" dxfId="0" priority="10199" operator="containsText" text="거부">
      <formula>NOT(ISERROR(SEARCH(("거부"),(J59))))</formula>
    </cfRule>
  </conditionalFormatting>
  <conditionalFormatting sqref="J59">
    <cfRule type="containsText" dxfId="1" priority="10200" operator="containsText" text="리턴">
      <formula>NOT(ISERROR(SEARCH(("리턴"),(J59))))</formula>
    </cfRule>
  </conditionalFormatting>
  <conditionalFormatting sqref="J59">
    <cfRule type="containsText" dxfId="2" priority="10201" operator="containsText" text="실패">
      <formula>NOT(ISERROR(SEARCH(("실패"),(J59))))</formula>
    </cfRule>
  </conditionalFormatting>
  <conditionalFormatting sqref="J59">
    <cfRule type="containsText" dxfId="3" priority="10202" operator="containsText" text="관리">
      <formula>NOT(ISERROR(SEARCH(("관리"),(J59))))</formula>
    </cfRule>
  </conditionalFormatting>
  <conditionalFormatting sqref="J59">
    <cfRule type="containsText" dxfId="4" priority="10203" operator="containsText" text="등록">
      <formula>NOT(ISERROR(SEARCH(("등록"),(J59))))</formula>
    </cfRule>
  </conditionalFormatting>
  <conditionalFormatting sqref="J59">
    <cfRule type="containsText" dxfId="0" priority="10204" operator="containsText" text="거부">
      <formula>NOT(ISERROR(SEARCH(("거부"),(J59))))</formula>
    </cfRule>
  </conditionalFormatting>
  <conditionalFormatting sqref="J59">
    <cfRule type="containsText" dxfId="1" priority="10205" operator="containsText" text="리턴">
      <formula>NOT(ISERROR(SEARCH(("리턴"),(J59))))</formula>
    </cfRule>
  </conditionalFormatting>
  <conditionalFormatting sqref="J59">
    <cfRule type="containsText" dxfId="2" priority="10206" operator="containsText" text="실패">
      <formula>NOT(ISERROR(SEARCH(("실패"),(J59))))</formula>
    </cfRule>
  </conditionalFormatting>
  <conditionalFormatting sqref="J59">
    <cfRule type="containsText" dxfId="3" priority="10207" operator="containsText" text="관리">
      <formula>NOT(ISERROR(SEARCH(("관리"),(J59))))</formula>
    </cfRule>
  </conditionalFormatting>
  <conditionalFormatting sqref="J59">
    <cfRule type="containsText" dxfId="4" priority="10208" operator="containsText" text="등록">
      <formula>NOT(ISERROR(SEARCH(("등록"),(J59))))</formula>
    </cfRule>
  </conditionalFormatting>
  <conditionalFormatting sqref="D59">
    <cfRule type="containsText" dxfId="0" priority="10209" operator="containsText" text="거부">
      <formula>NOT(ISERROR(SEARCH(("거부"),(D59))))</formula>
    </cfRule>
  </conditionalFormatting>
  <conditionalFormatting sqref="D59">
    <cfRule type="containsText" dxfId="1" priority="10210" operator="containsText" text="리턴">
      <formula>NOT(ISERROR(SEARCH(("리턴"),(D59))))</formula>
    </cfRule>
  </conditionalFormatting>
  <conditionalFormatting sqref="D59">
    <cfRule type="containsText" dxfId="2" priority="10211" operator="containsText" text="실패">
      <formula>NOT(ISERROR(SEARCH(("실패"),(D59))))</formula>
    </cfRule>
  </conditionalFormatting>
  <conditionalFormatting sqref="D59">
    <cfRule type="containsText" dxfId="3" priority="10212" operator="containsText" text="관리">
      <formula>NOT(ISERROR(SEARCH(("관리"),(D59))))</formula>
    </cfRule>
  </conditionalFormatting>
  <conditionalFormatting sqref="D59">
    <cfRule type="containsText" dxfId="4" priority="10213" operator="containsText" text="등록">
      <formula>NOT(ISERROR(SEARCH(("등록"),(D59))))</formula>
    </cfRule>
  </conditionalFormatting>
  <conditionalFormatting sqref="D59">
    <cfRule type="containsText" dxfId="0" priority="10214" operator="containsText" text="거부">
      <formula>NOT(ISERROR(SEARCH(("거부"),(D59))))</formula>
    </cfRule>
  </conditionalFormatting>
  <conditionalFormatting sqref="D59">
    <cfRule type="containsText" dxfId="1" priority="10215" operator="containsText" text="리턴">
      <formula>NOT(ISERROR(SEARCH(("리턴"),(D59))))</formula>
    </cfRule>
  </conditionalFormatting>
  <conditionalFormatting sqref="D59">
    <cfRule type="containsText" dxfId="2" priority="10216" operator="containsText" text="실패">
      <formula>NOT(ISERROR(SEARCH(("실패"),(D59))))</formula>
    </cfRule>
  </conditionalFormatting>
  <conditionalFormatting sqref="D59">
    <cfRule type="containsText" dxfId="3" priority="10217" operator="containsText" text="관리">
      <formula>NOT(ISERROR(SEARCH(("관리"),(D59))))</formula>
    </cfRule>
  </conditionalFormatting>
  <conditionalFormatting sqref="D59">
    <cfRule type="containsText" dxfId="4" priority="10218" operator="containsText" text="등록">
      <formula>NOT(ISERROR(SEARCH(("등록"),(D59))))</formula>
    </cfRule>
  </conditionalFormatting>
  <conditionalFormatting sqref="A54">
    <cfRule type="containsText" dxfId="0" priority="10219" operator="containsText" text="거부">
      <formula>NOT(ISERROR(SEARCH(("거부"),(A54))))</formula>
    </cfRule>
  </conditionalFormatting>
  <conditionalFormatting sqref="A54">
    <cfRule type="containsText" dxfId="1" priority="10220" operator="containsText" text="리턴">
      <formula>NOT(ISERROR(SEARCH(("리턴"),(A54))))</formula>
    </cfRule>
  </conditionalFormatting>
  <conditionalFormatting sqref="A54">
    <cfRule type="containsText" dxfId="2" priority="10221" operator="containsText" text="실패">
      <formula>NOT(ISERROR(SEARCH(("실패"),(A54))))</formula>
    </cfRule>
  </conditionalFormatting>
  <conditionalFormatting sqref="A54">
    <cfRule type="containsText" dxfId="3" priority="10222" operator="containsText" text="관리">
      <formula>NOT(ISERROR(SEARCH(("관리"),(A54))))</formula>
    </cfRule>
  </conditionalFormatting>
  <conditionalFormatting sqref="A54">
    <cfRule type="containsText" dxfId="4" priority="10223" operator="containsText" text="등록">
      <formula>NOT(ISERROR(SEARCH(("등록"),(A54))))</formula>
    </cfRule>
  </conditionalFormatting>
  <conditionalFormatting sqref="A54">
    <cfRule type="containsText" dxfId="0" priority="10224" operator="containsText" text="거부">
      <formula>NOT(ISERROR(SEARCH(("거부"),(A54))))</formula>
    </cfRule>
  </conditionalFormatting>
  <conditionalFormatting sqref="A54">
    <cfRule type="containsText" dxfId="1" priority="10225" operator="containsText" text="리턴">
      <formula>NOT(ISERROR(SEARCH(("리턴"),(A54))))</formula>
    </cfRule>
  </conditionalFormatting>
  <conditionalFormatting sqref="A54">
    <cfRule type="containsText" dxfId="2" priority="10226" operator="containsText" text="실패">
      <formula>NOT(ISERROR(SEARCH(("실패"),(A54))))</formula>
    </cfRule>
  </conditionalFormatting>
  <conditionalFormatting sqref="A54">
    <cfRule type="containsText" dxfId="3" priority="10227" operator="containsText" text="관리">
      <formula>NOT(ISERROR(SEARCH(("관리"),(A54))))</formula>
    </cfRule>
  </conditionalFormatting>
  <conditionalFormatting sqref="A54">
    <cfRule type="containsText" dxfId="4" priority="10228" operator="containsText" text="등록">
      <formula>NOT(ISERROR(SEARCH(("등록"),(A54))))</formula>
    </cfRule>
  </conditionalFormatting>
  <conditionalFormatting sqref="A54">
    <cfRule type="containsText" dxfId="0" priority="10229" operator="containsText" text="거부">
      <formula>NOT(ISERROR(SEARCH(("거부"),(A54))))</formula>
    </cfRule>
  </conditionalFormatting>
  <conditionalFormatting sqref="A54">
    <cfRule type="containsText" dxfId="1" priority="10230" operator="containsText" text="리턴">
      <formula>NOT(ISERROR(SEARCH(("리턴"),(A54))))</formula>
    </cfRule>
  </conditionalFormatting>
  <conditionalFormatting sqref="A54">
    <cfRule type="containsText" dxfId="2" priority="10231" operator="containsText" text="실패">
      <formula>NOT(ISERROR(SEARCH(("실패"),(A54))))</formula>
    </cfRule>
  </conditionalFormatting>
  <conditionalFormatting sqref="A54">
    <cfRule type="containsText" dxfId="3" priority="10232" operator="containsText" text="관리">
      <formula>NOT(ISERROR(SEARCH(("관리"),(A54))))</formula>
    </cfRule>
  </conditionalFormatting>
  <conditionalFormatting sqref="A54">
    <cfRule type="containsText" dxfId="4" priority="10233" operator="containsText" text="등록">
      <formula>NOT(ISERROR(SEARCH(("등록"),(A54))))</formula>
    </cfRule>
  </conditionalFormatting>
  <conditionalFormatting sqref="A54">
    <cfRule type="containsText" dxfId="0" priority="10234" operator="containsText" text="거부">
      <formula>NOT(ISERROR(SEARCH(("거부"),(A54))))</formula>
    </cfRule>
  </conditionalFormatting>
  <conditionalFormatting sqref="A54">
    <cfRule type="containsText" dxfId="1" priority="10235" operator="containsText" text="리턴">
      <formula>NOT(ISERROR(SEARCH(("리턴"),(A54))))</formula>
    </cfRule>
  </conditionalFormatting>
  <conditionalFormatting sqref="A54">
    <cfRule type="containsText" dxfId="2" priority="10236" operator="containsText" text="실패">
      <formula>NOT(ISERROR(SEARCH(("실패"),(A54))))</formula>
    </cfRule>
  </conditionalFormatting>
  <conditionalFormatting sqref="A54">
    <cfRule type="containsText" dxfId="3" priority="10237" operator="containsText" text="관리">
      <formula>NOT(ISERROR(SEARCH(("관리"),(A54))))</formula>
    </cfRule>
  </conditionalFormatting>
  <conditionalFormatting sqref="A54">
    <cfRule type="containsText" dxfId="4" priority="10238" operator="containsText" text="등록">
      <formula>NOT(ISERROR(SEARCH(("등록"),(A54))))</formula>
    </cfRule>
  </conditionalFormatting>
  <conditionalFormatting sqref="A54">
    <cfRule type="containsText" dxfId="0" priority="10239" operator="containsText" text="거부">
      <formula>NOT(ISERROR(SEARCH(("거부"),(A54))))</formula>
    </cfRule>
  </conditionalFormatting>
  <conditionalFormatting sqref="A54">
    <cfRule type="containsText" dxfId="1" priority="10240" operator="containsText" text="리턴">
      <formula>NOT(ISERROR(SEARCH(("리턴"),(A54))))</formula>
    </cfRule>
  </conditionalFormatting>
  <conditionalFormatting sqref="A54">
    <cfRule type="containsText" dxfId="2" priority="10241" operator="containsText" text="실패">
      <formula>NOT(ISERROR(SEARCH(("실패"),(A54))))</formula>
    </cfRule>
  </conditionalFormatting>
  <conditionalFormatting sqref="A54">
    <cfRule type="containsText" dxfId="3" priority="10242" operator="containsText" text="관리">
      <formula>NOT(ISERROR(SEARCH(("관리"),(A54))))</formula>
    </cfRule>
  </conditionalFormatting>
  <conditionalFormatting sqref="A54">
    <cfRule type="containsText" dxfId="4" priority="10243" operator="containsText" text="등록">
      <formula>NOT(ISERROR(SEARCH(("등록"),(A54))))</formula>
    </cfRule>
  </conditionalFormatting>
  <conditionalFormatting sqref="A54">
    <cfRule type="containsText" dxfId="0" priority="10244" operator="containsText" text="거부">
      <formula>NOT(ISERROR(SEARCH(("거부"),(A54))))</formula>
    </cfRule>
  </conditionalFormatting>
  <conditionalFormatting sqref="A54">
    <cfRule type="containsText" dxfId="1" priority="10245" operator="containsText" text="리턴">
      <formula>NOT(ISERROR(SEARCH(("리턴"),(A54))))</formula>
    </cfRule>
  </conditionalFormatting>
  <conditionalFormatting sqref="A54">
    <cfRule type="containsText" dxfId="2" priority="10246" operator="containsText" text="실패">
      <formula>NOT(ISERROR(SEARCH(("실패"),(A54))))</formula>
    </cfRule>
  </conditionalFormatting>
  <conditionalFormatting sqref="A54">
    <cfRule type="containsText" dxfId="3" priority="10247" operator="containsText" text="관리">
      <formula>NOT(ISERROR(SEARCH(("관리"),(A54))))</formula>
    </cfRule>
  </conditionalFormatting>
  <conditionalFormatting sqref="A54">
    <cfRule type="containsText" dxfId="4" priority="10248" operator="containsText" text="등록">
      <formula>NOT(ISERROR(SEARCH(("등록"),(A54))))</formula>
    </cfRule>
  </conditionalFormatting>
  <conditionalFormatting sqref="A54">
    <cfRule type="containsText" dxfId="0" priority="10249" operator="containsText" text="거부">
      <formula>NOT(ISERROR(SEARCH(("거부"),(A54))))</formula>
    </cfRule>
  </conditionalFormatting>
  <conditionalFormatting sqref="A54">
    <cfRule type="containsText" dxfId="1" priority="10250" operator="containsText" text="리턴">
      <formula>NOT(ISERROR(SEARCH(("리턴"),(A54))))</formula>
    </cfRule>
  </conditionalFormatting>
  <conditionalFormatting sqref="A54">
    <cfRule type="containsText" dxfId="2" priority="10251" operator="containsText" text="실패">
      <formula>NOT(ISERROR(SEARCH(("실패"),(A54))))</formula>
    </cfRule>
  </conditionalFormatting>
  <conditionalFormatting sqref="A54">
    <cfRule type="containsText" dxfId="3" priority="10252" operator="containsText" text="관리">
      <formula>NOT(ISERROR(SEARCH(("관리"),(A54))))</formula>
    </cfRule>
  </conditionalFormatting>
  <conditionalFormatting sqref="A54">
    <cfRule type="containsText" dxfId="4" priority="10253" operator="containsText" text="등록">
      <formula>NOT(ISERROR(SEARCH(("등록"),(A54))))</formula>
    </cfRule>
  </conditionalFormatting>
  <conditionalFormatting sqref="A54">
    <cfRule type="containsText" dxfId="0" priority="10254" operator="containsText" text="거부">
      <formula>NOT(ISERROR(SEARCH(("거부"),(A54))))</formula>
    </cfRule>
  </conditionalFormatting>
  <conditionalFormatting sqref="A54">
    <cfRule type="containsText" dxfId="1" priority="10255" operator="containsText" text="리턴">
      <formula>NOT(ISERROR(SEARCH(("리턴"),(A54))))</formula>
    </cfRule>
  </conditionalFormatting>
  <conditionalFormatting sqref="A54">
    <cfRule type="containsText" dxfId="2" priority="10256" operator="containsText" text="실패">
      <formula>NOT(ISERROR(SEARCH(("실패"),(A54))))</formula>
    </cfRule>
  </conditionalFormatting>
  <conditionalFormatting sqref="A54">
    <cfRule type="containsText" dxfId="3" priority="10257" operator="containsText" text="관리">
      <formula>NOT(ISERROR(SEARCH(("관리"),(A54))))</formula>
    </cfRule>
  </conditionalFormatting>
  <conditionalFormatting sqref="A54">
    <cfRule type="containsText" dxfId="4" priority="10258" operator="containsText" text="등록">
      <formula>NOT(ISERROR(SEARCH(("등록"),(A54))))</formula>
    </cfRule>
  </conditionalFormatting>
  <conditionalFormatting sqref="A54">
    <cfRule type="containsText" dxfId="0" priority="10259" operator="containsText" text="거부">
      <formula>NOT(ISERROR(SEARCH(("거부"),(A54))))</formula>
    </cfRule>
  </conditionalFormatting>
  <conditionalFormatting sqref="A54">
    <cfRule type="containsText" dxfId="1" priority="10260" operator="containsText" text="리턴">
      <formula>NOT(ISERROR(SEARCH(("리턴"),(A54))))</formula>
    </cfRule>
  </conditionalFormatting>
  <conditionalFormatting sqref="A54">
    <cfRule type="containsText" dxfId="2" priority="10261" operator="containsText" text="실패">
      <formula>NOT(ISERROR(SEARCH(("실패"),(A54))))</formula>
    </cfRule>
  </conditionalFormatting>
  <conditionalFormatting sqref="A54">
    <cfRule type="containsText" dxfId="3" priority="10262" operator="containsText" text="관리">
      <formula>NOT(ISERROR(SEARCH(("관리"),(A54))))</formula>
    </cfRule>
  </conditionalFormatting>
  <conditionalFormatting sqref="A54">
    <cfRule type="containsText" dxfId="4" priority="10263" operator="containsText" text="등록">
      <formula>NOT(ISERROR(SEARCH(("등록"),(A54))))</formula>
    </cfRule>
  </conditionalFormatting>
  <conditionalFormatting sqref="A54">
    <cfRule type="containsText" dxfId="0" priority="10264" operator="containsText" text="거부">
      <formula>NOT(ISERROR(SEARCH(("거부"),(A54))))</formula>
    </cfRule>
  </conditionalFormatting>
  <conditionalFormatting sqref="A54">
    <cfRule type="containsText" dxfId="1" priority="10265" operator="containsText" text="리턴">
      <formula>NOT(ISERROR(SEARCH(("리턴"),(A54))))</formula>
    </cfRule>
  </conditionalFormatting>
  <conditionalFormatting sqref="A54">
    <cfRule type="containsText" dxfId="2" priority="10266" operator="containsText" text="실패">
      <formula>NOT(ISERROR(SEARCH(("실패"),(A54))))</formula>
    </cfRule>
  </conditionalFormatting>
  <conditionalFormatting sqref="A54">
    <cfRule type="containsText" dxfId="3" priority="10267" operator="containsText" text="관리">
      <formula>NOT(ISERROR(SEARCH(("관리"),(A54))))</formula>
    </cfRule>
  </conditionalFormatting>
  <conditionalFormatting sqref="A54">
    <cfRule type="containsText" dxfId="4" priority="10268" operator="containsText" text="등록">
      <formula>NOT(ISERROR(SEARCH(("등록"),(A54))))</formula>
    </cfRule>
  </conditionalFormatting>
  <conditionalFormatting sqref="A54">
    <cfRule type="containsText" dxfId="0" priority="10269" operator="containsText" text="거부">
      <formula>NOT(ISERROR(SEARCH(("거부"),(A54))))</formula>
    </cfRule>
  </conditionalFormatting>
  <conditionalFormatting sqref="A54">
    <cfRule type="containsText" dxfId="1" priority="10270" operator="containsText" text="리턴">
      <formula>NOT(ISERROR(SEARCH(("리턴"),(A54))))</formula>
    </cfRule>
  </conditionalFormatting>
  <conditionalFormatting sqref="A54">
    <cfRule type="containsText" dxfId="2" priority="10271" operator="containsText" text="실패">
      <formula>NOT(ISERROR(SEARCH(("실패"),(A54))))</formula>
    </cfRule>
  </conditionalFormatting>
  <conditionalFormatting sqref="A54">
    <cfRule type="containsText" dxfId="3" priority="10272" operator="containsText" text="관리">
      <formula>NOT(ISERROR(SEARCH(("관리"),(A54))))</formula>
    </cfRule>
  </conditionalFormatting>
  <conditionalFormatting sqref="A54">
    <cfRule type="containsText" dxfId="4" priority="10273" operator="containsText" text="등록">
      <formula>NOT(ISERROR(SEARCH(("등록"),(A54))))</formula>
    </cfRule>
  </conditionalFormatting>
  <conditionalFormatting sqref="A54">
    <cfRule type="containsText" dxfId="0" priority="10274" operator="containsText" text="거부">
      <formula>NOT(ISERROR(SEARCH(("거부"),(A54))))</formula>
    </cfRule>
  </conditionalFormatting>
  <conditionalFormatting sqref="A54">
    <cfRule type="containsText" dxfId="1" priority="10275" operator="containsText" text="리턴">
      <formula>NOT(ISERROR(SEARCH(("리턴"),(A54))))</formula>
    </cfRule>
  </conditionalFormatting>
  <conditionalFormatting sqref="A54">
    <cfRule type="containsText" dxfId="2" priority="10276" operator="containsText" text="실패">
      <formula>NOT(ISERROR(SEARCH(("실패"),(A54))))</formula>
    </cfRule>
  </conditionalFormatting>
  <conditionalFormatting sqref="A54">
    <cfRule type="containsText" dxfId="3" priority="10277" operator="containsText" text="관리">
      <formula>NOT(ISERROR(SEARCH(("관리"),(A54))))</formula>
    </cfRule>
  </conditionalFormatting>
  <conditionalFormatting sqref="A54">
    <cfRule type="containsText" dxfId="4" priority="10278" operator="containsText" text="등록">
      <formula>NOT(ISERROR(SEARCH(("등록"),(A54))))</formula>
    </cfRule>
  </conditionalFormatting>
  <conditionalFormatting sqref="A54">
    <cfRule type="containsText" dxfId="0" priority="10279" operator="containsText" text="거부">
      <formula>NOT(ISERROR(SEARCH(("거부"),(A54))))</formula>
    </cfRule>
  </conditionalFormatting>
  <conditionalFormatting sqref="A54">
    <cfRule type="containsText" dxfId="1" priority="10280" operator="containsText" text="리턴">
      <formula>NOT(ISERROR(SEARCH(("리턴"),(A54))))</formula>
    </cfRule>
  </conditionalFormatting>
  <conditionalFormatting sqref="A54">
    <cfRule type="containsText" dxfId="2" priority="10281" operator="containsText" text="실패">
      <formula>NOT(ISERROR(SEARCH(("실패"),(A54))))</formula>
    </cfRule>
  </conditionalFormatting>
  <conditionalFormatting sqref="A54">
    <cfRule type="containsText" dxfId="3" priority="10282" operator="containsText" text="관리">
      <formula>NOT(ISERROR(SEARCH(("관리"),(A54))))</formula>
    </cfRule>
  </conditionalFormatting>
  <conditionalFormatting sqref="A54">
    <cfRule type="containsText" dxfId="4" priority="10283" operator="containsText" text="등록">
      <formula>NOT(ISERROR(SEARCH(("등록"),(A54))))</formula>
    </cfRule>
  </conditionalFormatting>
  <conditionalFormatting sqref="A54">
    <cfRule type="containsText" dxfId="0" priority="10284" operator="containsText" text="거부">
      <formula>NOT(ISERROR(SEARCH(("거부"),(A54))))</formula>
    </cfRule>
  </conditionalFormatting>
  <conditionalFormatting sqref="A54">
    <cfRule type="containsText" dxfId="1" priority="10285" operator="containsText" text="리턴">
      <formula>NOT(ISERROR(SEARCH(("리턴"),(A54))))</formula>
    </cfRule>
  </conditionalFormatting>
  <conditionalFormatting sqref="A54">
    <cfRule type="containsText" dxfId="2" priority="10286" operator="containsText" text="실패">
      <formula>NOT(ISERROR(SEARCH(("실패"),(A54))))</formula>
    </cfRule>
  </conditionalFormatting>
  <conditionalFormatting sqref="A54">
    <cfRule type="containsText" dxfId="3" priority="10287" operator="containsText" text="관리">
      <formula>NOT(ISERROR(SEARCH(("관리"),(A54))))</formula>
    </cfRule>
  </conditionalFormatting>
  <conditionalFormatting sqref="A54">
    <cfRule type="containsText" dxfId="4" priority="10288" operator="containsText" text="등록">
      <formula>NOT(ISERROR(SEARCH(("등록"),(A54))))</formula>
    </cfRule>
  </conditionalFormatting>
  <conditionalFormatting sqref="A54">
    <cfRule type="containsText" dxfId="0" priority="10289" operator="containsText" text="거부">
      <formula>NOT(ISERROR(SEARCH(("거부"),(A54))))</formula>
    </cfRule>
  </conditionalFormatting>
  <conditionalFormatting sqref="A54">
    <cfRule type="containsText" dxfId="1" priority="10290" operator="containsText" text="리턴">
      <formula>NOT(ISERROR(SEARCH(("리턴"),(A54))))</formula>
    </cfRule>
  </conditionalFormatting>
  <conditionalFormatting sqref="A54">
    <cfRule type="containsText" dxfId="2" priority="10291" operator="containsText" text="실패">
      <formula>NOT(ISERROR(SEARCH(("실패"),(A54))))</formula>
    </cfRule>
  </conditionalFormatting>
  <conditionalFormatting sqref="A54">
    <cfRule type="containsText" dxfId="3" priority="10292" operator="containsText" text="관리">
      <formula>NOT(ISERROR(SEARCH(("관리"),(A54))))</formula>
    </cfRule>
  </conditionalFormatting>
  <conditionalFormatting sqref="A54">
    <cfRule type="containsText" dxfId="4" priority="10293" operator="containsText" text="등록">
      <formula>NOT(ISERROR(SEARCH(("등록"),(A54))))</formula>
    </cfRule>
  </conditionalFormatting>
  <conditionalFormatting sqref="A54">
    <cfRule type="containsText" dxfId="0" priority="10294" operator="containsText" text="거부">
      <formula>NOT(ISERROR(SEARCH(("거부"),(A54))))</formula>
    </cfRule>
  </conditionalFormatting>
  <conditionalFormatting sqref="A54">
    <cfRule type="containsText" dxfId="1" priority="10295" operator="containsText" text="리턴">
      <formula>NOT(ISERROR(SEARCH(("리턴"),(A54))))</formula>
    </cfRule>
  </conditionalFormatting>
  <conditionalFormatting sqref="A54">
    <cfRule type="containsText" dxfId="2" priority="10296" operator="containsText" text="실패">
      <formula>NOT(ISERROR(SEARCH(("실패"),(A54))))</formula>
    </cfRule>
  </conditionalFormatting>
  <conditionalFormatting sqref="A54">
    <cfRule type="containsText" dxfId="3" priority="10297" operator="containsText" text="관리">
      <formula>NOT(ISERROR(SEARCH(("관리"),(A54))))</formula>
    </cfRule>
  </conditionalFormatting>
  <conditionalFormatting sqref="A54">
    <cfRule type="containsText" dxfId="4" priority="10298" operator="containsText" text="등록">
      <formula>NOT(ISERROR(SEARCH(("등록"),(A54))))</formula>
    </cfRule>
  </conditionalFormatting>
  <conditionalFormatting sqref="A54">
    <cfRule type="containsText" dxfId="0" priority="10299" operator="containsText" text="거부">
      <formula>NOT(ISERROR(SEARCH(("거부"),(A54))))</formula>
    </cfRule>
  </conditionalFormatting>
  <conditionalFormatting sqref="A54">
    <cfRule type="containsText" dxfId="1" priority="10300" operator="containsText" text="리턴">
      <formula>NOT(ISERROR(SEARCH(("리턴"),(A54))))</formula>
    </cfRule>
  </conditionalFormatting>
  <conditionalFormatting sqref="A54">
    <cfRule type="containsText" dxfId="2" priority="10301" operator="containsText" text="실패">
      <formula>NOT(ISERROR(SEARCH(("실패"),(A54))))</formula>
    </cfRule>
  </conditionalFormatting>
  <conditionalFormatting sqref="A54">
    <cfRule type="containsText" dxfId="3" priority="10302" operator="containsText" text="관리">
      <formula>NOT(ISERROR(SEARCH(("관리"),(A54))))</formula>
    </cfRule>
  </conditionalFormatting>
  <conditionalFormatting sqref="A54">
    <cfRule type="containsText" dxfId="4" priority="10303" operator="containsText" text="등록">
      <formula>NOT(ISERROR(SEARCH(("등록"),(A54))))</formula>
    </cfRule>
  </conditionalFormatting>
  <conditionalFormatting sqref="A54">
    <cfRule type="containsText" dxfId="0" priority="10304" operator="containsText" text="거부">
      <formula>NOT(ISERROR(SEARCH(("거부"),(A54))))</formula>
    </cfRule>
  </conditionalFormatting>
  <conditionalFormatting sqref="A54">
    <cfRule type="containsText" dxfId="1" priority="10305" operator="containsText" text="리턴">
      <formula>NOT(ISERROR(SEARCH(("리턴"),(A54))))</formula>
    </cfRule>
  </conditionalFormatting>
  <conditionalFormatting sqref="A54">
    <cfRule type="containsText" dxfId="2" priority="10306" operator="containsText" text="실패">
      <formula>NOT(ISERROR(SEARCH(("실패"),(A54))))</formula>
    </cfRule>
  </conditionalFormatting>
  <conditionalFormatting sqref="A54">
    <cfRule type="containsText" dxfId="3" priority="10307" operator="containsText" text="관리">
      <formula>NOT(ISERROR(SEARCH(("관리"),(A54))))</formula>
    </cfRule>
  </conditionalFormatting>
  <conditionalFormatting sqref="A54">
    <cfRule type="containsText" dxfId="4" priority="10308" operator="containsText" text="등록">
      <formula>NOT(ISERROR(SEARCH(("등록"),(A54))))</formula>
    </cfRule>
  </conditionalFormatting>
  <conditionalFormatting sqref="A54">
    <cfRule type="containsText" dxfId="0" priority="10309" operator="containsText" text="거부">
      <formula>NOT(ISERROR(SEARCH(("거부"),(A54))))</formula>
    </cfRule>
  </conditionalFormatting>
  <conditionalFormatting sqref="A54">
    <cfRule type="containsText" dxfId="1" priority="10310" operator="containsText" text="리턴">
      <formula>NOT(ISERROR(SEARCH(("리턴"),(A54))))</formula>
    </cfRule>
  </conditionalFormatting>
  <conditionalFormatting sqref="A54">
    <cfRule type="containsText" dxfId="2" priority="10311" operator="containsText" text="실패">
      <formula>NOT(ISERROR(SEARCH(("실패"),(A54))))</formula>
    </cfRule>
  </conditionalFormatting>
  <conditionalFormatting sqref="A54">
    <cfRule type="containsText" dxfId="3" priority="10312" operator="containsText" text="관리">
      <formula>NOT(ISERROR(SEARCH(("관리"),(A54))))</formula>
    </cfRule>
  </conditionalFormatting>
  <conditionalFormatting sqref="A54">
    <cfRule type="containsText" dxfId="4" priority="10313" operator="containsText" text="등록">
      <formula>NOT(ISERROR(SEARCH(("등록"),(A54))))</formula>
    </cfRule>
  </conditionalFormatting>
  <conditionalFormatting sqref="D54">
    <cfRule type="containsText" dxfId="0" priority="10314" operator="containsText" text="거부">
      <formula>NOT(ISERROR(SEARCH(("거부"),(D54))))</formula>
    </cfRule>
  </conditionalFormatting>
  <conditionalFormatting sqref="D54">
    <cfRule type="containsText" dxfId="1" priority="10315" operator="containsText" text="리턴">
      <formula>NOT(ISERROR(SEARCH(("리턴"),(D54))))</formula>
    </cfRule>
  </conditionalFormatting>
  <conditionalFormatting sqref="D54">
    <cfRule type="containsText" dxfId="2" priority="10316" operator="containsText" text="실패">
      <formula>NOT(ISERROR(SEARCH(("실패"),(D54))))</formula>
    </cfRule>
  </conditionalFormatting>
  <conditionalFormatting sqref="D54">
    <cfRule type="containsText" dxfId="3" priority="10317" operator="containsText" text="관리">
      <formula>NOT(ISERROR(SEARCH(("관리"),(D54))))</formula>
    </cfRule>
  </conditionalFormatting>
  <conditionalFormatting sqref="D54">
    <cfRule type="containsText" dxfId="4" priority="10318" operator="containsText" text="등록">
      <formula>NOT(ISERROR(SEARCH(("등록"),(D54))))</formula>
    </cfRule>
  </conditionalFormatting>
  <conditionalFormatting sqref="D54">
    <cfRule type="containsText" dxfId="0" priority="10319" operator="containsText" text="거부">
      <formula>NOT(ISERROR(SEARCH(("거부"),(D54))))</formula>
    </cfRule>
  </conditionalFormatting>
  <conditionalFormatting sqref="D54">
    <cfRule type="containsText" dxfId="1" priority="10320" operator="containsText" text="리턴">
      <formula>NOT(ISERROR(SEARCH(("리턴"),(D54))))</formula>
    </cfRule>
  </conditionalFormatting>
  <conditionalFormatting sqref="D54">
    <cfRule type="containsText" dxfId="2" priority="10321" operator="containsText" text="실패">
      <formula>NOT(ISERROR(SEARCH(("실패"),(D54))))</formula>
    </cfRule>
  </conditionalFormatting>
  <conditionalFormatting sqref="D54">
    <cfRule type="containsText" dxfId="3" priority="10322" operator="containsText" text="관리">
      <formula>NOT(ISERROR(SEARCH(("관리"),(D54))))</formula>
    </cfRule>
  </conditionalFormatting>
  <conditionalFormatting sqref="D54">
    <cfRule type="containsText" dxfId="4" priority="10323" operator="containsText" text="등록">
      <formula>NOT(ISERROR(SEARCH(("등록"),(D54))))</formula>
    </cfRule>
  </conditionalFormatting>
  <conditionalFormatting sqref="D54">
    <cfRule type="containsText" dxfId="0" priority="10324" operator="containsText" text="거부">
      <formula>NOT(ISERROR(SEARCH(("거부"),(D54))))</formula>
    </cfRule>
  </conditionalFormatting>
  <conditionalFormatting sqref="D54">
    <cfRule type="containsText" dxfId="1" priority="10325" operator="containsText" text="리턴">
      <formula>NOT(ISERROR(SEARCH(("리턴"),(D54))))</formula>
    </cfRule>
  </conditionalFormatting>
  <conditionalFormatting sqref="D54">
    <cfRule type="containsText" dxfId="2" priority="10326" operator="containsText" text="실패">
      <formula>NOT(ISERROR(SEARCH(("실패"),(D54))))</formula>
    </cfRule>
  </conditionalFormatting>
  <conditionalFormatting sqref="D54">
    <cfRule type="containsText" dxfId="3" priority="10327" operator="containsText" text="관리">
      <formula>NOT(ISERROR(SEARCH(("관리"),(D54))))</formula>
    </cfRule>
  </conditionalFormatting>
  <conditionalFormatting sqref="D54">
    <cfRule type="containsText" dxfId="4" priority="10328" operator="containsText" text="등록">
      <formula>NOT(ISERROR(SEARCH(("등록"),(D54))))</formula>
    </cfRule>
  </conditionalFormatting>
  <conditionalFormatting sqref="D54">
    <cfRule type="containsText" dxfId="0" priority="10329" operator="containsText" text="거부">
      <formula>NOT(ISERROR(SEARCH(("거부"),(D54))))</formula>
    </cfRule>
  </conditionalFormatting>
  <conditionalFormatting sqref="D54">
    <cfRule type="containsText" dxfId="1" priority="10330" operator="containsText" text="리턴">
      <formula>NOT(ISERROR(SEARCH(("리턴"),(D54))))</formula>
    </cfRule>
  </conditionalFormatting>
  <conditionalFormatting sqref="D54">
    <cfRule type="containsText" dxfId="2" priority="10331" operator="containsText" text="실패">
      <formula>NOT(ISERROR(SEARCH(("실패"),(D54))))</formula>
    </cfRule>
  </conditionalFormatting>
  <conditionalFormatting sqref="D54">
    <cfRule type="containsText" dxfId="3" priority="10332" operator="containsText" text="관리">
      <formula>NOT(ISERROR(SEARCH(("관리"),(D54))))</formula>
    </cfRule>
  </conditionalFormatting>
  <conditionalFormatting sqref="D54">
    <cfRule type="containsText" dxfId="4" priority="10333" operator="containsText" text="등록">
      <formula>NOT(ISERROR(SEARCH(("등록"),(D54))))</formula>
    </cfRule>
  </conditionalFormatting>
  <conditionalFormatting sqref="J54">
    <cfRule type="containsText" dxfId="0" priority="10334" operator="containsText" text="거부">
      <formula>NOT(ISERROR(SEARCH(("거부"),(J54))))</formula>
    </cfRule>
  </conditionalFormatting>
  <conditionalFormatting sqref="J54">
    <cfRule type="containsText" dxfId="1" priority="10335" operator="containsText" text="리턴">
      <formula>NOT(ISERROR(SEARCH(("리턴"),(J54))))</formula>
    </cfRule>
  </conditionalFormatting>
  <conditionalFormatting sqref="J54">
    <cfRule type="containsText" dxfId="2" priority="10336" operator="containsText" text="실패">
      <formula>NOT(ISERROR(SEARCH(("실패"),(J54))))</formula>
    </cfRule>
  </conditionalFormatting>
  <conditionalFormatting sqref="J54">
    <cfRule type="containsText" dxfId="3" priority="10337" operator="containsText" text="관리">
      <formula>NOT(ISERROR(SEARCH(("관리"),(J54))))</formula>
    </cfRule>
  </conditionalFormatting>
  <conditionalFormatting sqref="J54">
    <cfRule type="containsText" dxfId="4" priority="10338" operator="containsText" text="등록">
      <formula>NOT(ISERROR(SEARCH(("등록"),(J54))))</formula>
    </cfRule>
  </conditionalFormatting>
  <conditionalFormatting sqref="J54">
    <cfRule type="containsText" dxfId="0" priority="10339" operator="containsText" text="거부">
      <formula>NOT(ISERROR(SEARCH(("거부"),(J54))))</formula>
    </cfRule>
  </conditionalFormatting>
  <conditionalFormatting sqref="J54">
    <cfRule type="containsText" dxfId="1" priority="10340" operator="containsText" text="리턴">
      <formula>NOT(ISERROR(SEARCH(("리턴"),(J54))))</formula>
    </cfRule>
  </conditionalFormatting>
  <conditionalFormatting sqref="J54">
    <cfRule type="containsText" dxfId="2" priority="10341" operator="containsText" text="실패">
      <formula>NOT(ISERROR(SEARCH(("실패"),(J54))))</formula>
    </cfRule>
  </conditionalFormatting>
  <conditionalFormatting sqref="J54">
    <cfRule type="containsText" dxfId="3" priority="10342" operator="containsText" text="관리">
      <formula>NOT(ISERROR(SEARCH(("관리"),(J54))))</formula>
    </cfRule>
  </conditionalFormatting>
  <conditionalFormatting sqref="J54">
    <cfRule type="containsText" dxfId="4" priority="10343" operator="containsText" text="등록">
      <formula>NOT(ISERROR(SEARCH(("등록"),(J54))))</formula>
    </cfRule>
  </conditionalFormatting>
  <conditionalFormatting sqref="J54">
    <cfRule type="containsText" dxfId="0" priority="10344" operator="containsText" text="거부">
      <formula>NOT(ISERROR(SEARCH(("거부"),(J54))))</formula>
    </cfRule>
  </conditionalFormatting>
  <conditionalFormatting sqref="J54">
    <cfRule type="containsText" dxfId="1" priority="10345" operator="containsText" text="리턴">
      <formula>NOT(ISERROR(SEARCH(("리턴"),(J54))))</formula>
    </cfRule>
  </conditionalFormatting>
  <conditionalFormatting sqref="J54">
    <cfRule type="containsText" dxfId="2" priority="10346" operator="containsText" text="실패">
      <formula>NOT(ISERROR(SEARCH(("실패"),(J54))))</formula>
    </cfRule>
  </conditionalFormatting>
  <conditionalFormatting sqref="J54">
    <cfRule type="containsText" dxfId="3" priority="10347" operator="containsText" text="관리">
      <formula>NOT(ISERROR(SEARCH(("관리"),(J54))))</formula>
    </cfRule>
  </conditionalFormatting>
  <conditionalFormatting sqref="J54">
    <cfRule type="containsText" dxfId="4" priority="10348" operator="containsText" text="등록">
      <formula>NOT(ISERROR(SEARCH(("등록"),(J54))))</formula>
    </cfRule>
  </conditionalFormatting>
  <conditionalFormatting sqref="J54">
    <cfRule type="containsText" dxfId="0" priority="10349" operator="containsText" text="거부">
      <formula>NOT(ISERROR(SEARCH(("거부"),(J54))))</formula>
    </cfRule>
  </conditionalFormatting>
  <conditionalFormatting sqref="J54">
    <cfRule type="containsText" dxfId="1" priority="10350" operator="containsText" text="리턴">
      <formula>NOT(ISERROR(SEARCH(("리턴"),(J54))))</formula>
    </cfRule>
  </conditionalFormatting>
  <conditionalFormatting sqref="J54">
    <cfRule type="containsText" dxfId="2" priority="10351" operator="containsText" text="실패">
      <formula>NOT(ISERROR(SEARCH(("실패"),(J54))))</formula>
    </cfRule>
  </conditionalFormatting>
  <conditionalFormatting sqref="J54">
    <cfRule type="containsText" dxfId="3" priority="10352" operator="containsText" text="관리">
      <formula>NOT(ISERROR(SEARCH(("관리"),(J54))))</formula>
    </cfRule>
  </conditionalFormatting>
  <conditionalFormatting sqref="J54">
    <cfRule type="containsText" dxfId="4" priority="10353" operator="containsText" text="등록">
      <formula>NOT(ISERROR(SEARCH(("등록"),(J54))))</formula>
    </cfRule>
  </conditionalFormatting>
  <conditionalFormatting sqref="F56">
    <cfRule type="cellIs" dxfId="5" priority="10354" operator="equal">
      <formula>39067659</formula>
    </cfRule>
  </conditionalFormatting>
  <conditionalFormatting sqref="F56">
    <cfRule type="cellIs" dxfId="5" priority="10355" operator="equal">
      <formula>39067659</formula>
    </cfRule>
  </conditionalFormatting>
  <conditionalFormatting sqref="F56">
    <cfRule type="cellIs" dxfId="5" priority="10356" operator="equal">
      <formula>39067659</formula>
    </cfRule>
  </conditionalFormatting>
  <conditionalFormatting sqref="A58">
    <cfRule type="containsText" dxfId="0" priority="10357" operator="containsText" text="거부">
      <formula>NOT(ISERROR(SEARCH(("거부"),(A58))))</formula>
    </cfRule>
  </conditionalFormatting>
  <conditionalFormatting sqref="A58">
    <cfRule type="containsText" dxfId="1" priority="10358" operator="containsText" text="리턴">
      <formula>NOT(ISERROR(SEARCH(("리턴"),(A58))))</formula>
    </cfRule>
  </conditionalFormatting>
  <conditionalFormatting sqref="A58">
    <cfRule type="containsText" dxfId="2" priority="10359" operator="containsText" text="실패">
      <formula>NOT(ISERROR(SEARCH(("실패"),(A58))))</formula>
    </cfRule>
  </conditionalFormatting>
  <conditionalFormatting sqref="A58">
    <cfRule type="containsText" dxfId="3" priority="10360" operator="containsText" text="관리">
      <formula>NOT(ISERROR(SEARCH(("관리"),(A58))))</formula>
    </cfRule>
  </conditionalFormatting>
  <conditionalFormatting sqref="A58">
    <cfRule type="containsText" dxfId="4" priority="10361" operator="containsText" text="등록">
      <formula>NOT(ISERROR(SEARCH(("등록"),(A58))))</formula>
    </cfRule>
  </conditionalFormatting>
  <conditionalFormatting sqref="A58">
    <cfRule type="containsText" dxfId="0" priority="10362" operator="containsText" text="거부">
      <formula>NOT(ISERROR(SEARCH(("거부"),(A58))))</formula>
    </cfRule>
  </conditionalFormatting>
  <conditionalFormatting sqref="A58">
    <cfRule type="containsText" dxfId="1" priority="10363" operator="containsText" text="리턴">
      <formula>NOT(ISERROR(SEARCH(("리턴"),(A58))))</formula>
    </cfRule>
  </conditionalFormatting>
  <conditionalFormatting sqref="A58">
    <cfRule type="containsText" dxfId="2" priority="10364" operator="containsText" text="실패">
      <formula>NOT(ISERROR(SEARCH(("실패"),(A58))))</formula>
    </cfRule>
  </conditionalFormatting>
  <conditionalFormatting sqref="A58">
    <cfRule type="containsText" dxfId="3" priority="10365" operator="containsText" text="관리">
      <formula>NOT(ISERROR(SEARCH(("관리"),(A58))))</formula>
    </cfRule>
  </conditionalFormatting>
  <conditionalFormatting sqref="A58">
    <cfRule type="containsText" dxfId="4" priority="10366" operator="containsText" text="등록">
      <formula>NOT(ISERROR(SEARCH(("등록"),(A58))))</formula>
    </cfRule>
  </conditionalFormatting>
  <conditionalFormatting sqref="A58">
    <cfRule type="containsText" dxfId="0" priority="10367" operator="containsText" text="거부">
      <formula>NOT(ISERROR(SEARCH(("거부"),(A58))))</formula>
    </cfRule>
  </conditionalFormatting>
  <conditionalFormatting sqref="A58">
    <cfRule type="containsText" dxfId="1" priority="10368" operator="containsText" text="리턴">
      <formula>NOT(ISERROR(SEARCH(("리턴"),(A58))))</formula>
    </cfRule>
  </conditionalFormatting>
  <conditionalFormatting sqref="A58">
    <cfRule type="containsText" dxfId="2" priority="10369" operator="containsText" text="실패">
      <formula>NOT(ISERROR(SEARCH(("실패"),(A58))))</formula>
    </cfRule>
  </conditionalFormatting>
  <conditionalFormatting sqref="A58">
    <cfRule type="containsText" dxfId="3" priority="10370" operator="containsText" text="관리">
      <formula>NOT(ISERROR(SEARCH(("관리"),(A58))))</formula>
    </cfRule>
  </conditionalFormatting>
  <conditionalFormatting sqref="A58">
    <cfRule type="containsText" dxfId="4" priority="10371" operator="containsText" text="등록">
      <formula>NOT(ISERROR(SEARCH(("등록"),(A58))))</formula>
    </cfRule>
  </conditionalFormatting>
  <conditionalFormatting sqref="A58">
    <cfRule type="containsText" dxfId="0" priority="10372" operator="containsText" text="거부">
      <formula>NOT(ISERROR(SEARCH(("거부"),(A58))))</formula>
    </cfRule>
  </conditionalFormatting>
  <conditionalFormatting sqref="A58">
    <cfRule type="containsText" dxfId="1" priority="10373" operator="containsText" text="리턴">
      <formula>NOT(ISERROR(SEARCH(("리턴"),(A58))))</formula>
    </cfRule>
  </conditionalFormatting>
  <conditionalFormatting sqref="A58">
    <cfRule type="containsText" dxfId="2" priority="10374" operator="containsText" text="실패">
      <formula>NOT(ISERROR(SEARCH(("실패"),(A58))))</formula>
    </cfRule>
  </conditionalFormatting>
  <conditionalFormatting sqref="A58">
    <cfRule type="containsText" dxfId="3" priority="10375" operator="containsText" text="관리">
      <formula>NOT(ISERROR(SEARCH(("관리"),(A58))))</formula>
    </cfRule>
  </conditionalFormatting>
  <conditionalFormatting sqref="A58">
    <cfRule type="containsText" dxfId="4" priority="10376" operator="containsText" text="등록">
      <formula>NOT(ISERROR(SEARCH(("등록"),(A58))))</formula>
    </cfRule>
  </conditionalFormatting>
  <conditionalFormatting sqref="A58">
    <cfRule type="containsText" dxfId="0" priority="10377" operator="containsText" text="거부">
      <formula>NOT(ISERROR(SEARCH(("거부"),(A58))))</formula>
    </cfRule>
  </conditionalFormatting>
  <conditionalFormatting sqref="A58">
    <cfRule type="containsText" dxfId="1" priority="10378" operator="containsText" text="리턴">
      <formula>NOT(ISERROR(SEARCH(("리턴"),(A58))))</formula>
    </cfRule>
  </conditionalFormatting>
  <conditionalFormatting sqref="A58">
    <cfRule type="containsText" dxfId="2" priority="10379" operator="containsText" text="실패">
      <formula>NOT(ISERROR(SEARCH(("실패"),(A58))))</formula>
    </cfRule>
  </conditionalFormatting>
  <conditionalFormatting sqref="A58">
    <cfRule type="containsText" dxfId="3" priority="10380" operator="containsText" text="관리">
      <formula>NOT(ISERROR(SEARCH(("관리"),(A58))))</formula>
    </cfRule>
  </conditionalFormatting>
  <conditionalFormatting sqref="A58">
    <cfRule type="containsText" dxfId="4" priority="10381" operator="containsText" text="등록">
      <formula>NOT(ISERROR(SEARCH(("등록"),(A58))))</formula>
    </cfRule>
  </conditionalFormatting>
  <conditionalFormatting sqref="A58">
    <cfRule type="containsText" dxfId="0" priority="10382" operator="containsText" text="거부">
      <formula>NOT(ISERROR(SEARCH(("거부"),(A58))))</formula>
    </cfRule>
  </conditionalFormatting>
  <conditionalFormatting sqref="A58">
    <cfRule type="containsText" dxfId="1" priority="10383" operator="containsText" text="리턴">
      <formula>NOT(ISERROR(SEARCH(("리턴"),(A58))))</formula>
    </cfRule>
  </conditionalFormatting>
  <conditionalFormatting sqref="A58">
    <cfRule type="containsText" dxfId="2" priority="10384" operator="containsText" text="실패">
      <formula>NOT(ISERROR(SEARCH(("실패"),(A58))))</formula>
    </cfRule>
  </conditionalFormatting>
  <conditionalFormatting sqref="A58">
    <cfRule type="containsText" dxfId="3" priority="10385" operator="containsText" text="관리">
      <formula>NOT(ISERROR(SEARCH(("관리"),(A58))))</formula>
    </cfRule>
  </conditionalFormatting>
  <conditionalFormatting sqref="A58">
    <cfRule type="containsText" dxfId="4" priority="10386" operator="containsText" text="등록">
      <formula>NOT(ISERROR(SEARCH(("등록"),(A58))))</formula>
    </cfRule>
  </conditionalFormatting>
  <conditionalFormatting sqref="A58">
    <cfRule type="containsText" dxfId="0" priority="10387" operator="containsText" text="거부">
      <formula>NOT(ISERROR(SEARCH(("거부"),(A58))))</formula>
    </cfRule>
  </conditionalFormatting>
  <conditionalFormatting sqref="A58">
    <cfRule type="containsText" dxfId="1" priority="10388" operator="containsText" text="리턴">
      <formula>NOT(ISERROR(SEARCH(("리턴"),(A58))))</formula>
    </cfRule>
  </conditionalFormatting>
  <conditionalFormatting sqref="A58">
    <cfRule type="containsText" dxfId="2" priority="10389" operator="containsText" text="실패">
      <formula>NOT(ISERROR(SEARCH(("실패"),(A58))))</formula>
    </cfRule>
  </conditionalFormatting>
  <conditionalFormatting sqref="A58">
    <cfRule type="containsText" dxfId="3" priority="10390" operator="containsText" text="관리">
      <formula>NOT(ISERROR(SEARCH(("관리"),(A58))))</formula>
    </cfRule>
  </conditionalFormatting>
  <conditionalFormatting sqref="A58">
    <cfRule type="containsText" dxfId="4" priority="10391" operator="containsText" text="등록">
      <formula>NOT(ISERROR(SEARCH(("등록"),(A58))))</formula>
    </cfRule>
  </conditionalFormatting>
  <conditionalFormatting sqref="A58">
    <cfRule type="containsText" dxfId="0" priority="10392" operator="containsText" text="거부">
      <formula>NOT(ISERROR(SEARCH(("거부"),(A58))))</formula>
    </cfRule>
  </conditionalFormatting>
  <conditionalFormatting sqref="A58">
    <cfRule type="containsText" dxfId="1" priority="10393" operator="containsText" text="리턴">
      <formula>NOT(ISERROR(SEARCH(("리턴"),(A58))))</formula>
    </cfRule>
  </conditionalFormatting>
  <conditionalFormatting sqref="A58">
    <cfRule type="containsText" dxfId="2" priority="10394" operator="containsText" text="실패">
      <formula>NOT(ISERROR(SEARCH(("실패"),(A58))))</formula>
    </cfRule>
  </conditionalFormatting>
  <conditionalFormatting sqref="A58">
    <cfRule type="containsText" dxfId="3" priority="10395" operator="containsText" text="관리">
      <formula>NOT(ISERROR(SEARCH(("관리"),(A58))))</formula>
    </cfRule>
  </conditionalFormatting>
  <conditionalFormatting sqref="A58">
    <cfRule type="containsText" dxfId="4" priority="10396" operator="containsText" text="등록">
      <formula>NOT(ISERROR(SEARCH(("등록"),(A58))))</formula>
    </cfRule>
  </conditionalFormatting>
  <conditionalFormatting sqref="A58">
    <cfRule type="containsText" dxfId="0" priority="10397" operator="containsText" text="거부">
      <formula>NOT(ISERROR(SEARCH(("거부"),(A58))))</formula>
    </cfRule>
  </conditionalFormatting>
  <conditionalFormatting sqref="A58">
    <cfRule type="containsText" dxfId="1" priority="10398" operator="containsText" text="리턴">
      <formula>NOT(ISERROR(SEARCH(("리턴"),(A58))))</formula>
    </cfRule>
  </conditionalFormatting>
  <conditionalFormatting sqref="A58">
    <cfRule type="containsText" dxfId="2" priority="10399" operator="containsText" text="실패">
      <formula>NOT(ISERROR(SEARCH(("실패"),(A58))))</formula>
    </cfRule>
  </conditionalFormatting>
  <conditionalFormatting sqref="A58">
    <cfRule type="containsText" dxfId="3" priority="10400" operator="containsText" text="관리">
      <formula>NOT(ISERROR(SEARCH(("관리"),(A58))))</formula>
    </cfRule>
  </conditionalFormatting>
  <conditionalFormatting sqref="A58">
    <cfRule type="containsText" dxfId="4" priority="10401" operator="containsText" text="등록">
      <formula>NOT(ISERROR(SEARCH(("등록"),(A58))))</formula>
    </cfRule>
  </conditionalFormatting>
  <conditionalFormatting sqref="A58">
    <cfRule type="containsText" dxfId="0" priority="10402" operator="containsText" text="거부">
      <formula>NOT(ISERROR(SEARCH(("거부"),(A58))))</formula>
    </cfRule>
  </conditionalFormatting>
  <conditionalFormatting sqref="A58">
    <cfRule type="containsText" dxfId="1" priority="10403" operator="containsText" text="리턴">
      <formula>NOT(ISERROR(SEARCH(("리턴"),(A58))))</formula>
    </cfRule>
  </conditionalFormatting>
  <conditionalFormatting sqref="A58">
    <cfRule type="containsText" dxfId="2" priority="10404" operator="containsText" text="실패">
      <formula>NOT(ISERROR(SEARCH(("실패"),(A58))))</formula>
    </cfRule>
  </conditionalFormatting>
  <conditionalFormatting sqref="A58">
    <cfRule type="containsText" dxfId="3" priority="10405" operator="containsText" text="관리">
      <formula>NOT(ISERROR(SEARCH(("관리"),(A58))))</formula>
    </cfRule>
  </conditionalFormatting>
  <conditionalFormatting sqref="A58">
    <cfRule type="containsText" dxfId="4" priority="10406" operator="containsText" text="등록">
      <formula>NOT(ISERROR(SEARCH(("등록"),(A58))))</formula>
    </cfRule>
  </conditionalFormatting>
  <conditionalFormatting sqref="A58">
    <cfRule type="containsText" dxfId="0" priority="10407" operator="containsText" text="거부">
      <formula>NOT(ISERROR(SEARCH(("거부"),(A58))))</formula>
    </cfRule>
  </conditionalFormatting>
  <conditionalFormatting sqref="A58">
    <cfRule type="containsText" dxfId="1" priority="10408" operator="containsText" text="리턴">
      <formula>NOT(ISERROR(SEARCH(("리턴"),(A58))))</formula>
    </cfRule>
  </conditionalFormatting>
  <conditionalFormatting sqref="A58">
    <cfRule type="containsText" dxfId="2" priority="10409" operator="containsText" text="실패">
      <formula>NOT(ISERROR(SEARCH(("실패"),(A58))))</formula>
    </cfRule>
  </conditionalFormatting>
  <conditionalFormatting sqref="A58">
    <cfRule type="containsText" dxfId="3" priority="10410" operator="containsText" text="관리">
      <formula>NOT(ISERROR(SEARCH(("관리"),(A58))))</formula>
    </cfRule>
  </conditionalFormatting>
  <conditionalFormatting sqref="A58">
    <cfRule type="containsText" dxfId="4" priority="10411" operator="containsText" text="등록">
      <formula>NOT(ISERROR(SEARCH(("등록"),(A58))))</formula>
    </cfRule>
  </conditionalFormatting>
  <conditionalFormatting sqref="A58">
    <cfRule type="containsText" dxfId="0" priority="10412" operator="containsText" text="거부">
      <formula>NOT(ISERROR(SEARCH(("거부"),(A58))))</formula>
    </cfRule>
  </conditionalFormatting>
  <conditionalFormatting sqref="A58">
    <cfRule type="containsText" dxfId="1" priority="10413" operator="containsText" text="리턴">
      <formula>NOT(ISERROR(SEARCH(("리턴"),(A58))))</formula>
    </cfRule>
  </conditionalFormatting>
  <conditionalFormatting sqref="A58">
    <cfRule type="containsText" dxfId="2" priority="10414" operator="containsText" text="실패">
      <formula>NOT(ISERROR(SEARCH(("실패"),(A58))))</formula>
    </cfRule>
  </conditionalFormatting>
  <conditionalFormatting sqref="A58">
    <cfRule type="containsText" dxfId="3" priority="10415" operator="containsText" text="관리">
      <formula>NOT(ISERROR(SEARCH(("관리"),(A58))))</formula>
    </cfRule>
  </conditionalFormatting>
  <conditionalFormatting sqref="A58">
    <cfRule type="containsText" dxfId="4" priority="10416" operator="containsText" text="등록">
      <formula>NOT(ISERROR(SEARCH(("등록"),(A58))))</formula>
    </cfRule>
  </conditionalFormatting>
  <conditionalFormatting sqref="A58">
    <cfRule type="containsText" dxfId="0" priority="10417" operator="containsText" text="거부">
      <formula>NOT(ISERROR(SEARCH(("거부"),(A58))))</formula>
    </cfRule>
  </conditionalFormatting>
  <conditionalFormatting sqref="A58">
    <cfRule type="containsText" dxfId="1" priority="10418" operator="containsText" text="리턴">
      <formula>NOT(ISERROR(SEARCH(("리턴"),(A58))))</formula>
    </cfRule>
  </conditionalFormatting>
  <conditionalFormatting sqref="A58">
    <cfRule type="containsText" dxfId="2" priority="10419" operator="containsText" text="실패">
      <formula>NOT(ISERROR(SEARCH(("실패"),(A58))))</formula>
    </cfRule>
  </conditionalFormatting>
  <conditionalFormatting sqref="A58">
    <cfRule type="containsText" dxfId="3" priority="10420" operator="containsText" text="관리">
      <formula>NOT(ISERROR(SEARCH(("관리"),(A58))))</formula>
    </cfRule>
  </conditionalFormatting>
  <conditionalFormatting sqref="A58">
    <cfRule type="containsText" dxfId="4" priority="10421" operator="containsText" text="등록">
      <formula>NOT(ISERROR(SEARCH(("등록"),(A58))))</formula>
    </cfRule>
  </conditionalFormatting>
  <conditionalFormatting sqref="A58">
    <cfRule type="containsText" dxfId="0" priority="10422" operator="containsText" text="거부">
      <formula>NOT(ISERROR(SEARCH(("거부"),(A58))))</formula>
    </cfRule>
  </conditionalFormatting>
  <conditionalFormatting sqref="A58">
    <cfRule type="containsText" dxfId="1" priority="10423" operator="containsText" text="리턴">
      <formula>NOT(ISERROR(SEARCH(("리턴"),(A58))))</formula>
    </cfRule>
  </conditionalFormatting>
  <conditionalFormatting sqref="A58">
    <cfRule type="containsText" dxfId="2" priority="10424" operator="containsText" text="실패">
      <formula>NOT(ISERROR(SEARCH(("실패"),(A58))))</formula>
    </cfRule>
  </conditionalFormatting>
  <conditionalFormatting sqref="A58">
    <cfRule type="containsText" dxfId="3" priority="10425" operator="containsText" text="관리">
      <formula>NOT(ISERROR(SEARCH(("관리"),(A58))))</formula>
    </cfRule>
  </conditionalFormatting>
  <conditionalFormatting sqref="A58">
    <cfRule type="containsText" dxfId="4" priority="10426" operator="containsText" text="등록">
      <formula>NOT(ISERROR(SEARCH(("등록"),(A58))))</formula>
    </cfRule>
  </conditionalFormatting>
  <conditionalFormatting sqref="A58">
    <cfRule type="containsText" dxfId="0" priority="10427" operator="containsText" text="거부">
      <formula>NOT(ISERROR(SEARCH(("거부"),(A58))))</formula>
    </cfRule>
  </conditionalFormatting>
  <conditionalFormatting sqref="A58">
    <cfRule type="containsText" dxfId="1" priority="10428" operator="containsText" text="리턴">
      <formula>NOT(ISERROR(SEARCH(("리턴"),(A58))))</formula>
    </cfRule>
  </conditionalFormatting>
  <conditionalFormatting sqref="A58">
    <cfRule type="containsText" dxfId="2" priority="10429" operator="containsText" text="실패">
      <formula>NOT(ISERROR(SEARCH(("실패"),(A58))))</formula>
    </cfRule>
  </conditionalFormatting>
  <conditionalFormatting sqref="A58">
    <cfRule type="containsText" dxfId="3" priority="10430" operator="containsText" text="관리">
      <formula>NOT(ISERROR(SEARCH(("관리"),(A58))))</formula>
    </cfRule>
  </conditionalFormatting>
  <conditionalFormatting sqref="A58">
    <cfRule type="containsText" dxfId="4" priority="10431" operator="containsText" text="등록">
      <formula>NOT(ISERROR(SEARCH(("등록"),(A58))))</formula>
    </cfRule>
  </conditionalFormatting>
  <conditionalFormatting sqref="A58">
    <cfRule type="containsText" dxfId="0" priority="10432" operator="containsText" text="거부">
      <formula>NOT(ISERROR(SEARCH(("거부"),(A58))))</formula>
    </cfRule>
  </conditionalFormatting>
  <conditionalFormatting sqref="A58">
    <cfRule type="containsText" dxfId="1" priority="10433" operator="containsText" text="리턴">
      <formula>NOT(ISERROR(SEARCH(("리턴"),(A58))))</formula>
    </cfRule>
  </conditionalFormatting>
  <conditionalFormatting sqref="A58">
    <cfRule type="containsText" dxfId="2" priority="10434" operator="containsText" text="실패">
      <formula>NOT(ISERROR(SEARCH(("실패"),(A58))))</formula>
    </cfRule>
  </conditionalFormatting>
  <conditionalFormatting sqref="A58">
    <cfRule type="containsText" dxfId="3" priority="10435" operator="containsText" text="관리">
      <formula>NOT(ISERROR(SEARCH(("관리"),(A58))))</formula>
    </cfRule>
  </conditionalFormatting>
  <conditionalFormatting sqref="A58">
    <cfRule type="containsText" dxfId="4" priority="10436" operator="containsText" text="등록">
      <formula>NOT(ISERROR(SEARCH(("등록"),(A58))))</formula>
    </cfRule>
  </conditionalFormatting>
  <conditionalFormatting sqref="A58">
    <cfRule type="containsText" dxfId="0" priority="10437" operator="containsText" text="거부">
      <formula>NOT(ISERROR(SEARCH(("거부"),(A58))))</formula>
    </cfRule>
  </conditionalFormatting>
  <conditionalFormatting sqref="A58">
    <cfRule type="containsText" dxfId="1" priority="10438" operator="containsText" text="리턴">
      <formula>NOT(ISERROR(SEARCH(("리턴"),(A58))))</formula>
    </cfRule>
  </conditionalFormatting>
  <conditionalFormatting sqref="A58">
    <cfRule type="containsText" dxfId="2" priority="10439" operator="containsText" text="실패">
      <formula>NOT(ISERROR(SEARCH(("실패"),(A58))))</formula>
    </cfRule>
  </conditionalFormatting>
  <conditionalFormatting sqref="A58">
    <cfRule type="containsText" dxfId="3" priority="10440" operator="containsText" text="관리">
      <formula>NOT(ISERROR(SEARCH(("관리"),(A58))))</formula>
    </cfRule>
  </conditionalFormatting>
  <conditionalFormatting sqref="A58">
    <cfRule type="containsText" dxfId="4" priority="10441" operator="containsText" text="등록">
      <formula>NOT(ISERROR(SEARCH(("등록"),(A58))))</formula>
    </cfRule>
  </conditionalFormatting>
  <conditionalFormatting sqref="A58">
    <cfRule type="containsText" dxfId="0" priority="10442" operator="containsText" text="거부">
      <formula>NOT(ISERROR(SEARCH(("거부"),(A58))))</formula>
    </cfRule>
  </conditionalFormatting>
  <conditionalFormatting sqref="A58">
    <cfRule type="containsText" dxfId="1" priority="10443" operator="containsText" text="리턴">
      <formula>NOT(ISERROR(SEARCH(("리턴"),(A58))))</formula>
    </cfRule>
  </conditionalFormatting>
  <conditionalFormatting sqref="A58">
    <cfRule type="containsText" dxfId="2" priority="10444" operator="containsText" text="실패">
      <formula>NOT(ISERROR(SEARCH(("실패"),(A58))))</formula>
    </cfRule>
  </conditionalFormatting>
  <conditionalFormatting sqref="A58">
    <cfRule type="containsText" dxfId="3" priority="10445" operator="containsText" text="관리">
      <formula>NOT(ISERROR(SEARCH(("관리"),(A58))))</formula>
    </cfRule>
  </conditionalFormatting>
  <conditionalFormatting sqref="A58">
    <cfRule type="containsText" dxfId="4" priority="10446" operator="containsText" text="등록">
      <formula>NOT(ISERROR(SEARCH(("등록"),(A58))))</formula>
    </cfRule>
  </conditionalFormatting>
  <conditionalFormatting sqref="A58">
    <cfRule type="containsText" dxfId="0" priority="10447" operator="containsText" text="거부">
      <formula>NOT(ISERROR(SEARCH(("거부"),(A58))))</formula>
    </cfRule>
  </conditionalFormatting>
  <conditionalFormatting sqref="A58">
    <cfRule type="containsText" dxfId="1" priority="10448" operator="containsText" text="리턴">
      <formula>NOT(ISERROR(SEARCH(("리턴"),(A58))))</formula>
    </cfRule>
  </conditionalFormatting>
  <conditionalFormatting sqref="A58">
    <cfRule type="containsText" dxfId="2" priority="10449" operator="containsText" text="실패">
      <formula>NOT(ISERROR(SEARCH(("실패"),(A58))))</formula>
    </cfRule>
  </conditionalFormatting>
  <conditionalFormatting sqref="A58">
    <cfRule type="containsText" dxfId="3" priority="10450" operator="containsText" text="관리">
      <formula>NOT(ISERROR(SEARCH(("관리"),(A58))))</formula>
    </cfRule>
  </conditionalFormatting>
  <conditionalFormatting sqref="A58">
    <cfRule type="containsText" dxfId="4" priority="10451" operator="containsText" text="등록">
      <formula>NOT(ISERROR(SEARCH(("등록"),(A58))))</formula>
    </cfRule>
  </conditionalFormatting>
  <conditionalFormatting sqref="D58">
    <cfRule type="containsText" dxfId="0" priority="10452" operator="containsText" text="거부">
      <formula>NOT(ISERROR(SEARCH(("거부"),(D58))))</formula>
    </cfRule>
  </conditionalFormatting>
  <conditionalFormatting sqref="D58">
    <cfRule type="containsText" dxfId="1" priority="10453" operator="containsText" text="리턴">
      <formula>NOT(ISERROR(SEARCH(("리턴"),(D58))))</formula>
    </cfRule>
  </conditionalFormatting>
  <conditionalFormatting sqref="D58">
    <cfRule type="containsText" dxfId="2" priority="10454" operator="containsText" text="실패">
      <formula>NOT(ISERROR(SEARCH(("실패"),(D58))))</formula>
    </cfRule>
  </conditionalFormatting>
  <conditionalFormatting sqref="D58">
    <cfRule type="containsText" dxfId="3" priority="10455" operator="containsText" text="관리">
      <formula>NOT(ISERROR(SEARCH(("관리"),(D58))))</formula>
    </cfRule>
  </conditionalFormatting>
  <conditionalFormatting sqref="D58">
    <cfRule type="containsText" dxfId="4" priority="10456" operator="containsText" text="등록">
      <formula>NOT(ISERROR(SEARCH(("등록"),(D58))))</formula>
    </cfRule>
  </conditionalFormatting>
  <conditionalFormatting sqref="D58">
    <cfRule type="containsText" dxfId="0" priority="10457" operator="containsText" text="거부">
      <formula>NOT(ISERROR(SEARCH(("거부"),(D58))))</formula>
    </cfRule>
  </conditionalFormatting>
  <conditionalFormatting sqref="D58">
    <cfRule type="containsText" dxfId="1" priority="10458" operator="containsText" text="리턴">
      <formula>NOT(ISERROR(SEARCH(("리턴"),(D58))))</formula>
    </cfRule>
  </conditionalFormatting>
  <conditionalFormatting sqref="D58">
    <cfRule type="containsText" dxfId="2" priority="10459" operator="containsText" text="실패">
      <formula>NOT(ISERROR(SEARCH(("실패"),(D58))))</formula>
    </cfRule>
  </conditionalFormatting>
  <conditionalFormatting sqref="D58">
    <cfRule type="containsText" dxfId="3" priority="10460" operator="containsText" text="관리">
      <formula>NOT(ISERROR(SEARCH(("관리"),(D58))))</formula>
    </cfRule>
  </conditionalFormatting>
  <conditionalFormatting sqref="D58">
    <cfRule type="containsText" dxfId="4" priority="10461" operator="containsText" text="등록">
      <formula>NOT(ISERROR(SEARCH(("등록"),(D58))))</formula>
    </cfRule>
  </conditionalFormatting>
  <conditionalFormatting sqref="D58">
    <cfRule type="containsText" dxfId="0" priority="10462" operator="containsText" text="거부">
      <formula>NOT(ISERROR(SEARCH(("거부"),(D58))))</formula>
    </cfRule>
  </conditionalFormatting>
  <conditionalFormatting sqref="D58">
    <cfRule type="containsText" dxfId="1" priority="10463" operator="containsText" text="리턴">
      <formula>NOT(ISERROR(SEARCH(("리턴"),(D58))))</formula>
    </cfRule>
  </conditionalFormatting>
  <conditionalFormatting sqref="D58">
    <cfRule type="containsText" dxfId="2" priority="10464" operator="containsText" text="실패">
      <formula>NOT(ISERROR(SEARCH(("실패"),(D58))))</formula>
    </cfRule>
  </conditionalFormatting>
  <conditionalFormatting sqref="D58">
    <cfRule type="containsText" dxfId="3" priority="10465" operator="containsText" text="관리">
      <formula>NOT(ISERROR(SEARCH(("관리"),(D58))))</formula>
    </cfRule>
  </conditionalFormatting>
  <conditionalFormatting sqref="D58">
    <cfRule type="containsText" dxfId="4" priority="10466" operator="containsText" text="등록">
      <formula>NOT(ISERROR(SEARCH(("등록"),(D58))))</formula>
    </cfRule>
  </conditionalFormatting>
  <conditionalFormatting sqref="D58">
    <cfRule type="containsText" dxfId="0" priority="10467" operator="containsText" text="거부">
      <formula>NOT(ISERROR(SEARCH(("거부"),(D58))))</formula>
    </cfRule>
  </conditionalFormatting>
  <conditionalFormatting sqref="D58">
    <cfRule type="containsText" dxfId="1" priority="10468" operator="containsText" text="리턴">
      <formula>NOT(ISERROR(SEARCH(("리턴"),(D58))))</formula>
    </cfRule>
  </conditionalFormatting>
  <conditionalFormatting sqref="D58">
    <cfRule type="containsText" dxfId="2" priority="10469" operator="containsText" text="실패">
      <formula>NOT(ISERROR(SEARCH(("실패"),(D58))))</formula>
    </cfRule>
  </conditionalFormatting>
  <conditionalFormatting sqref="D58">
    <cfRule type="containsText" dxfId="3" priority="10470" operator="containsText" text="관리">
      <formula>NOT(ISERROR(SEARCH(("관리"),(D58))))</formula>
    </cfRule>
  </conditionalFormatting>
  <conditionalFormatting sqref="D58">
    <cfRule type="containsText" dxfId="4" priority="10471" operator="containsText" text="등록">
      <formula>NOT(ISERROR(SEARCH(("등록"),(D58))))</formula>
    </cfRule>
  </conditionalFormatting>
  <conditionalFormatting sqref="E58">
    <cfRule type="containsText" dxfId="0" priority="10472" operator="containsText" text="거부">
      <formula>NOT(ISERROR(SEARCH(("거부"),(E58))))</formula>
    </cfRule>
  </conditionalFormatting>
  <conditionalFormatting sqref="E58">
    <cfRule type="containsText" dxfId="1" priority="10473" operator="containsText" text="리턴">
      <formula>NOT(ISERROR(SEARCH(("리턴"),(E58))))</formula>
    </cfRule>
  </conditionalFormatting>
  <conditionalFormatting sqref="E58">
    <cfRule type="containsText" dxfId="2" priority="10474" operator="containsText" text="실패">
      <formula>NOT(ISERROR(SEARCH(("실패"),(E58))))</formula>
    </cfRule>
  </conditionalFormatting>
  <conditionalFormatting sqref="E58">
    <cfRule type="containsText" dxfId="3" priority="10475" operator="containsText" text="관리">
      <formula>NOT(ISERROR(SEARCH(("관리"),(E58))))</formula>
    </cfRule>
  </conditionalFormatting>
  <conditionalFormatting sqref="E58">
    <cfRule type="containsText" dxfId="4" priority="10476" operator="containsText" text="등록">
      <formula>NOT(ISERROR(SEARCH(("등록"),(E58))))</formula>
    </cfRule>
  </conditionalFormatting>
  <conditionalFormatting sqref="E58">
    <cfRule type="containsText" dxfId="0" priority="10477" operator="containsText" text="거부">
      <formula>NOT(ISERROR(SEARCH(("거부"),(E58))))</formula>
    </cfRule>
  </conditionalFormatting>
  <conditionalFormatting sqref="E58">
    <cfRule type="containsText" dxfId="1" priority="10478" operator="containsText" text="리턴">
      <formula>NOT(ISERROR(SEARCH(("리턴"),(E58))))</formula>
    </cfRule>
  </conditionalFormatting>
  <conditionalFormatting sqref="E58">
    <cfRule type="containsText" dxfId="2" priority="10479" operator="containsText" text="실패">
      <formula>NOT(ISERROR(SEARCH(("실패"),(E58))))</formula>
    </cfRule>
  </conditionalFormatting>
  <conditionalFormatting sqref="E58">
    <cfRule type="containsText" dxfId="3" priority="10480" operator="containsText" text="관리">
      <formula>NOT(ISERROR(SEARCH(("관리"),(E58))))</formula>
    </cfRule>
  </conditionalFormatting>
  <conditionalFormatting sqref="E58">
    <cfRule type="containsText" dxfId="4" priority="10481" operator="containsText" text="등록">
      <formula>NOT(ISERROR(SEARCH(("등록"),(E58))))</formula>
    </cfRule>
  </conditionalFormatting>
  <conditionalFormatting sqref="A60">
    <cfRule type="containsText" dxfId="0" priority="10482" operator="containsText" text="거부">
      <formula>NOT(ISERROR(SEARCH(("거부"),(A60))))</formula>
    </cfRule>
  </conditionalFormatting>
  <conditionalFormatting sqref="A60">
    <cfRule type="containsText" dxfId="1" priority="10483" operator="containsText" text="리턴">
      <formula>NOT(ISERROR(SEARCH(("리턴"),(A60))))</formula>
    </cfRule>
  </conditionalFormatting>
  <conditionalFormatting sqref="A60">
    <cfRule type="containsText" dxfId="2" priority="10484" operator="containsText" text="실패">
      <formula>NOT(ISERROR(SEARCH(("실패"),(A60))))</formula>
    </cfRule>
  </conditionalFormatting>
  <conditionalFormatting sqref="A60">
    <cfRule type="containsText" dxfId="3" priority="10485" operator="containsText" text="관리">
      <formula>NOT(ISERROR(SEARCH(("관리"),(A60))))</formula>
    </cfRule>
  </conditionalFormatting>
  <conditionalFormatting sqref="A60">
    <cfRule type="containsText" dxfId="4" priority="10486" operator="containsText" text="등록">
      <formula>NOT(ISERROR(SEARCH(("등록"),(A60))))</formula>
    </cfRule>
  </conditionalFormatting>
  <conditionalFormatting sqref="A60">
    <cfRule type="containsText" dxfId="0" priority="10487" operator="containsText" text="거부">
      <formula>NOT(ISERROR(SEARCH(("거부"),(A60))))</formula>
    </cfRule>
  </conditionalFormatting>
  <conditionalFormatting sqref="A60">
    <cfRule type="containsText" dxfId="1" priority="10488" operator="containsText" text="리턴">
      <formula>NOT(ISERROR(SEARCH(("리턴"),(A60))))</formula>
    </cfRule>
  </conditionalFormatting>
  <conditionalFormatting sqref="A60">
    <cfRule type="containsText" dxfId="2" priority="10489" operator="containsText" text="실패">
      <formula>NOT(ISERROR(SEARCH(("실패"),(A60))))</formula>
    </cfRule>
  </conditionalFormatting>
  <conditionalFormatting sqref="A60">
    <cfRule type="containsText" dxfId="3" priority="10490" operator="containsText" text="관리">
      <formula>NOT(ISERROR(SEARCH(("관리"),(A60))))</formula>
    </cfRule>
  </conditionalFormatting>
  <conditionalFormatting sqref="A60">
    <cfRule type="containsText" dxfId="4" priority="10491" operator="containsText" text="등록">
      <formula>NOT(ISERROR(SEARCH(("등록"),(A60))))</formula>
    </cfRule>
  </conditionalFormatting>
  <conditionalFormatting sqref="A60">
    <cfRule type="containsText" dxfId="0" priority="10492" operator="containsText" text="거부">
      <formula>NOT(ISERROR(SEARCH(("거부"),(A60))))</formula>
    </cfRule>
  </conditionalFormatting>
  <conditionalFormatting sqref="A60">
    <cfRule type="containsText" dxfId="1" priority="10493" operator="containsText" text="리턴">
      <formula>NOT(ISERROR(SEARCH(("리턴"),(A60))))</formula>
    </cfRule>
  </conditionalFormatting>
  <conditionalFormatting sqref="A60">
    <cfRule type="containsText" dxfId="2" priority="10494" operator="containsText" text="실패">
      <formula>NOT(ISERROR(SEARCH(("실패"),(A60))))</formula>
    </cfRule>
  </conditionalFormatting>
  <conditionalFormatting sqref="A60">
    <cfRule type="containsText" dxfId="3" priority="10495" operator="containsText" text="관리">
      <formula>NOT(ISERROR(SEARCH(("관리"),(A60))))</formula>
    </cfRule>
  </conditionalFormatting>
  <conditionalFormatting sqref="A60">
    <cfRule type="containsText" dxfId="4" priority="10496" operator="containsText" text="등록">
      <formula>NOT(ISERROR(SEARCH(("등록"),(A60))))</formula>
    </cfRule>
  </conditionalFormatting>
  <conditionalFormatting sqref="A60">
    <cfRule type="containsText" dxfId="0" priority="10497" operator="containsText" text="거부">
      <formula>NOT(ISERROR(SEARCH(("거부"),(A60))))</formula>
    </cfRule>
  </conditionalFormatting>
  <conditionalFormatting sqref="A60">
    <cfRule type="containsText" dxfId="1" priority="10498" operator="containsText" text="리턴">
      <formula>NOT(ISERROR(SEARCH(("리턴"),(A60))))</formula>
    </cfRule>
  </conditionalFormatting>
  <conditionalFormatting sqref="A60">
    <cfRule type="containsText" dxfId="2" priority="10499" operator="containsText" text="실패">
      <formula>NOT(ISERROR(SEARCH(("실패"),(A60))))</formula>
    </cfRule>
  </conditionalFormatting>
  <conditionalFormatting sqref="A60">
    <cfRule type="containsText" dxfId="3" priority="10500" operator="containsText" text="관리">
      <formula>NOT(ISERROR(SEARCH(("관리"),(A60))))</formula>
    </cfRule>
  </conditionalFormatting>
  <conditionalFormatting sqref="A60">
    <cfRule type="containsText" dxfId="4" priority="10501" operator="containsText" text="등록">
      <formula>NOT(ISERROR(SEARCH(("등록"),(A60))))</formula>
    </cfRule>
  </conditionalFormatting>
  <conditionalFormatting sqref="A60">
    <cfRule type="containsText" dxfId="0" priority="10502" operator="containsText" text="거부">
      <formula>NOT(ISERROR(SEARCH(("거부"),(A60))))</formula>
    </cfRule>
  </conditionalFormatting>
  <conditionalFormatting sqref="A60">
    <cfRule type="containsText" dxfId="1" priority="10503" operator="containsText" text="리턴">
      <formula>NOT(ISERROR(SEARCH(("리턴"),(A60))))</formula>
    </cfRule>
  </conditionalFormatting>
  <conditionalFormatting sqref="A60">
    <cfRule type="containsText" dxfId="2" priority="10504" operator="containsText" text="실패">
      <formula>NOT(ISERROR(SEARCH(("실패"),(A60))))</formula>
    </cfRule>
  </conditionalFormatting>
  <conditionalFormatting sqref="A60">
    <cfRule type="containsText" dxfId="3" priority="10505" operator="containsText" text="관리">
      <formula>NOT(ISERROR(SEARCH(("관리"),(A60))))</formula>
    </cfRule>
  </conditionalFormatting>
  <conditionalFormatting sqref="A60">
    <cfRule type="containsText" dxfId="4" priority="10506" operator="containsText" text="등록">
      <formula>NOT(ISERROR(SEARCH(("등록"),(A60))))</formula>
    </cfRule>
  </conditionalFormatting>
  <conditionalFormatting sqref="A60">
    <cfRule type="containsText" dxfId="0" priority="10507" operator="containsText" text="거부">
      <formula>NOT(ISERROR(SEARCH(("거부"),(A60))))</formula>
    </cfRule>
  </conditionalFormatting>
  <conditionalFormatting sqref="A60">
    <cfRule type="containsText" dxfId="1" priority="10508" operator="containsText" text="리턴">
      <formula>NOT(ISERROR(SEARCH(("리턴"),(A60))))</formula>
    </cfRule>
  </conditionalFormatting>
  <conditionalFormatting sqref="A60">
    <cfRule type="containsText" dxfId="2" priority="10509" operator="containsText" text="실패">
      <formula>NOT(ISERROR(SEARCH(("실패"),(A60))))</formula>
    </cfRule>
  </conditionalFormatting>
  <conditionalFormatting sqref="A60">
    <cfRule type="containsText" dxfId="3" priority="10510" operator="containsText" text="관리">
      <formula>NOT(ISERROR(SEARCH(("관리"),(A60))))</formula>
    </cfRule>
  </conditionalFormatting>
  <conditionalFormatting sqref="A60">
    <cfRule type="containsText" dxfId="4" priority="10511" operator="containsText" text="등록">
      <formula>NOT(ISERROR(SEARCH(("등록"),(A60))))</formula>
    </cfRule>
  </conditionalFormatting>
  <conditionalFormatting sqref="A60">
    <cfRule type="containsText" dxfId="0" priority="10512" operator="containsText" text="거부">
      <formula>NOT(ISERROR(SEARCH(("거부"),(A60))))</formula>
    </cfRule>
  </conditionalFormatting>
  <conditionalFormatting sqref="A60">
    <cfRule type="containsText" dxfId="1" priority="10513" operator="containsText" text="리턴">
      <formula>NOT(ISERROR(SEARCH(("리턴"),(A60))))</formula>
    </cfRule>
  </conditionalFormatting>
  <conditionalFormatting sqref="A60">
    <cfRule type="containsText" dxfId="2" priority="10514" operator="containsText" text="실패">
      <formula>NOT(ISERROR(SEARCH(("실패"),(A60))))</formula>
    </cfRule>
  </conditionalFormatting>
  <conditionalFormatting sqref="A60">
    <cfRule type="containsText" dxfId="3" priority="10515" operator="containsText" text="관리">
      <formula>NOT(ISERROR(SEARCH(("관리"),(A60))))</formula>
    </cfRule>
  </conditionalFormatting>
  <conditionalFormatting sqref="A60">
    <cfRule type="containsText" dxfId="4" priority="10516" operator="containsText" text="등록">
      <formula>NOT(ISERROR(SEARCH(("등록"),(A60))))</formula>
    </cfRule>
  </conditionalFormatting>
  <conditionalFormatting sqref="A60">
    <cfRule type="containsText" dxfId="0" priority="10517" operator="containsText" text="거부">
      <formula>NOT(ISERROR(SEARCH(("거부"),(A60))))</formula>
    </cfRule>
  </conditionalFormatting>
  <conditionalFormatting sqref="A60">
    <cfRule type="containsText" dxfId="1" priority="10518" operator="containsText" text="리턴">
      <formula>NOT(ISERROR(SEARCH(("리턴"),(A60))))</formula>
    </cfRule>
  </conditionalFormatting>
  <conditionalFormatting sqref="A60">
    <cfRule type="containsText" dxfId="2" priority="10519" operator="containsText" text="실패">
      <formula>NOT(ISERROR(SEARCH(("실패"),(A60))))</formula>
    </cfRule>
  </conditionalFormatting>
  <conditionalFormatting sqref="A60">
    <cfRule type="containsText" dxfId="3" priority="10520" operator="containsText" text="관리">
      <formula>NOT(ISERROR(SEARCH(("관리"),(A60))))</formula>
    </cfRule>
  </conditionalFormatting>
  <conditionalFormatting sqref="A60">
    <cfRule type="containsText" dxfId="4" priority="10521" operator="containsText" text="등록">
      <formula>NOT(ISERROR(SEARCH(("등록"),(A60))))</formula>
    </cfRule>
  </conditionalFormatting>
  <conditionalFormatting sqref="A60">
    <cfRule type="containsText" dxfId="0" priority="10522" operator="containsText" text="거부">
      <formula>NOT(ISERROR(SEARCH(("거부"),(A60))))</formula>
    </cfRule>
  </conditionalFormatting>
  <conditionalFormatting sqref="A60">
    <cfRule type="containsText" dxfId="1" priority="10523" operator="containsText" text="리턴">
      <formula>NOT(ISERROR(SEARCH(("리턴"),(A60))))</formula>
    </cfRule>
  </conditionalFormatting>
  <conditionalFormatting sqref="A60">
    <cfRule type="containsText" dxfId="2" priority="10524" operator="containsText" text="실패">
      <formula>NOT(ISERROR(SEARCH(("실패"),(A60))))</formula>
    </cfRule>
  </conditionalFormatting>
  <conditionalFormatting sqref="A60">
    <cfRule type="containsText" dxfId="3" priority="10525" operator="containsText" text="관리">
      <formula>NOT(ISERROR(SEARCH(("관리"),(A60))))</formula>
    </cfRule>
  </conditionalFormatting>
  <conditionalFormatting sqref="A60">
    <cfRule type="containsText" dxfId="4" priority="10526" operator="containsText" text="등록">
      <formula>NOT(ISERROR(SEARCH(("등록"),(A60))))</formula>
    </cfRule>
  </conditionalFormatting>
  <conditionalFormatting sqref="A60">
    <cfRule type="containsText" dxfId="0" priority="10527" operator="containsText" text="거부">
      <formula>NOT(ISERROR(SEARCH(("거부"),(A60))))</formula>
    </cfRule>
  </conditionalFormatting>
  <conditionalFormatting sqref="A60">
    <cfRule type="containsText" dxfId="1" priority="10528" operator="containsText" text="리턴">
      <formula>NOT(ISERROR(SEARCH(("리턴"),(A60))))</formula>
    </cfRule>
  </conditionalFormatting>
  <conditionalFormatting sqref="A60">
    <cfRule type="containsText" dxfId="2" priority="10529" operator="containsText" text="실패">
      <formula>NOT(ISERROR(SEARCH(("실패"),(A60))))</formula>
    </cfRule>
  </conditionalFormatting>
  <conditionalFormatting sqref="A60">
    <cfRule type="containsText" dxfId="3" priority="10530" operator="containsText" text="관리">
      <formula>NOT(ISERROR(SEARCH(("관리"),(A60))))</formula>
    </cfRule>
  </conditionalFormatting>
  <conditionalFormatting sqref="A60">
    <cfRule type="containsText" dxfId="4" priority="10531" operator="containsText" text="등록">
      <formula>NOT(ISERROR(SEARCH(("등록"),(A60))))</formula>
    </cfRule>
  </conditionalFormatting>
  <conditionalFormatting sqref="A60">
    <cfRule type="containsText" dxfId="0" priority="10532" operator="containsText" text="거부">
      <formula>NOT(ISERROR(SEARCH(("거부"),(A60))))</formula>
    </cfRule>
  </conditionalFormatting>
  <conditionalFormatting sqref="A60">
    <cfRule type="containsText" dxfId="1" priority="10533" operator="containsText" text="리턴">
      <formula>NOT(ISERROR(SEARCH(("리턴"),(A60))))</formula>
    </cfRule>
  </conditionalFormatting>
  <conditionalFormatting sqref="A60">
    <cfRule type="containsText" dxfId="2" priority="10534" operator="containsText" text="실패">
      <formula>NOT(ISERROR(SEARCH(("실패"),(A60))))</formula>
    </cfRule>
  </conditionalFormatting>
  <conditionalFormatting sqref="A60">
    <cfRule type="containsText" dxfId="3" priority="10535" operator="containsText" text="관리">
      <formula>NOT(ISERROR(SEARCH(("관리"),(A60))))</formula>
    </cfRule>
  </conditionalFormatting>
  <conditionalFormatting sqref="A60">
    <cfRule type="containsText" dxfId="4" priority="10536" operator="containsText" text="등록">
      <formula>NOT(ISERROR(SEARCH(("등록"),(A60))))</formula>
    </cfRule>
  </conditionalFormatting>
  <conditionalFormatting sqref="A60">
    <cfRule type="containsText" dxfId="0" priority="10537" operator="containsText" text="거부">
      <formula>NOT(ISERROR(SEARCH(("거부"),(A60))))</formula>
    </cfRule>
  </conditionalFormatting>
  <conditionalFormatting sqref="A60">
    <cfRule type="containsText" dxfId="1" priority="10538" operator="containsText" text="리턴">
      <formula>NOT(ISERROR(SEARCH(("리턴"),(A60))))</formula>
    </cfRule>
  </conditionalFormatting>
  <conditionalFormatting sqref="A60">
    <cfRule type="containsText" dxfId="2" priority="10539" operator="containsText" text="실패">
      <formula>NOT(ISERROR(SEARCH(("실패"),(A60))))</formula>
    </cfRule>
  </conditionalFormatting>
  <conditionalFormatting sqref="A60">
    <cfRule type="containsText" dxfId="3" priority="10540" operator="containsText" text="관리">
      <formula>NOT(ISERROR(SEARCH(("관리"),(A60))))</formula>
    </cfRule>
  </conditionalFormatting>
  <conditionalFormatting sqref="A60">
    <cfRule type="containsText" dxfId="4" priority="10541" operator="containsText" text="등록">
      <formula>NOT(ISERROR(SEARCH(("등록"),(A60))))</formula>
    </cfRule>
  </conditionalFormatting>
  <conditionalFormatting sqref="A60">
    <cfRule type="containsText" dxfId="0" priority="10542" operator="containsText" text="거부">
      <formula>NOT(ISERROR(SEARCH(("거부"),(A60))))</formula>
    </cfRule>
  </conditionalFormatting>
  <conditionalFormatting sqref="A60">
    <cfRule type="containsText" dxfId="1" priority="10543" operator="containsText" text="리턴">
      <formula>NOT(ISERROR(SEARCH(("리턴"),(A60))))</formula>
    </cfRule>
  </conditionalFormatting>
  <conditionalFormatting sqref="A60">
    <cfRule type="containsText" dxfId="2" priority="10544" operator="containsText" text="실패">
      <formula>NOT(ISERROR(SEARCH(("실패"),(A60))))</formula>
    </cfRule>
  </conditionalFormatting>
  <conditionalFormatting sqref="A60">
    <cfRule type="containsText" dxfId="3" priority="10545" operator="containsText" text="관리">
      <formula>NOT(ISERROR(SEARCH(("관리"),(A60))))</formula>
    </cfRule>
  </conditionalFormatting>
  <conditionalFormatting sqref="A60">
    <cfRule type="containsText" dxfId="4" priority="10546" operator="containsText" text="등록">
      <formula>NOT(ISERROR(SEARCH(("등록"),(A60))))</formula>
    </cfRule>
  </conditionalFormatting>
  <conditionalFormatting sqref="A60">
    <cfRule type="containsText" dxfId="0" priority="10547" operator="containsText" text="거부">
      <formula>NOT(ISERROR(SEARCH(("거부"),(A60))))</formula>
    </cfRule>
  </conditionalFormatting>
  <conditionalFormatting sqref="A60">
    <cfRule type="containsText" dxfId="1" priority="10548" operator="containsText" text="리턴">
      <formula>NOT(ISERROR(SEARCH(("리턴"),(A60))))</formula>
    </cfRule>
  </conditionalFormatting>
  <conditionalFormatting sqref="A60">
    <cfRule type="containsText" dxfId="2" priority="10549" operator="containsText" text="실패">
      <formula>NOT(ISERROR(SEARCH(("실패"),(A60))))</formula>
    </cfRule>
  </conditionalFormatting>
  <conditionalFormatting sqref="A60">
    <cfRule type="containsText" dxfId="3" priority="10550" operator="containsText" text="관리">
      <formula>NOT(ISERROR(SEARCH(("관리"),(A60))))</formula>
    </cfRule>
  </conditionalFormatting>
  <conditionalFormatting sqref="A60">
    <cfRule type="containsText" dxfId="4" priority="10551" operator="containsText" text="등록">
      <formula>NOT(ISERROR(SEARCH(("등록"),(A60))))</formula>
    </cfRule>
  </conditionalFormatting>
  <conditionalFormatting sqref="A60">
    <cfRule type="containsText" dxfId="0" priority="10552" operator="containsText" text="거부">
      <formula>NOT(ISERROR(SEARCH(("거부"),(A60))))</formula>
    </cfRule>
  </conditionalFormatting>
  <conditionalFormatting sqref="A60">
    <cfRule type="containsText" dxfId="1" priority="10553" operator="containsText" text="리턴">
      <formula>NOT(ISERROR(SEARCH(("리턴"),(A60))))</formula>
    </cfRule>
  </conditionalFormatting>
  <conditionalFormatting sqref="A60">
    <cfRule type="containsText" dxfId="2" priority="10554" operator="containsText" text="실패">
      <formula>NOT(ISERROR(SEARCH(("실패"),(A60))))</formula>
    </cfRule>
  </conditionalFormatting>
  <conditionalFormatting sqref="A60">
    <cfRule type="containsText" dxfId="3" priority="10555" operator="containsText" text="관리">
      <formula>NOT(ISERROR(SEARCH(("관리"),(A60))))</formula>
    </cfRule>
  </conditionalFormatting>
  <conditionalFormatting sqref="A60">
    <cfRule type="containsText" dxfId="4" priority="10556" operator="containsText" text="등록">
      <formula>NOT(ISERROR(SEARCH(("등록"),(A60))))</formula>
    </cfRule>
  </conditionalFormatting>
  <conditionalFormatting sqref="A60">
    <cfRule type="containsText" dxfId="0" priority="10557" operator="containsText" text="거부">
      <formula>NOT(ISERROR(SEARCH(("거부"),(A60))))</formula>
    </cfRule>
  </conditionalFormatting>
  <conditionalFormatting sqref="A60">
    <cfRule type="containsText" dxfId="1" priority="10558" operator="containsText" text="리턴">
      <formula>NOT(ISERROR(SEARCH(("리턴"),(A60))))</formula>
    </cfRule>
  </conditionalFormatting>
  <conditionalFormatting sqref="A60">
    <cfRule type="containsText" dxfId="2" priority="10559" operator="containsText" text="실패">
      <formula>NOT(ISERROR(SEARCH(("실패"),(A60))))</formula>
    </cfRule>
  </conditionalFormatting>
  <conditionalFormatting sqref="A60">
    <cfRule type="containsText" dxfId="3" priority="10560" operator="containsText" text="관리">
      <formula>NOT(ISERROR(SEARCH(("관리"),(A60))))</formula>
    </cfRule>
  </conditionalFormatting>
  <conditionalFormatting sqref="A60">
    <cfRule type="containsText" dxfId="4" priority="10561" operator="containsText" text="등록">
      <formula>NOT(ISERROR(SEARCH(("등록"),(A60))))</formula>
    </cfRule>
  </conditionalFormatting>
  <conditionalFormatting sqref="A60">
    <cfRule type="containsText" dxfId="0" priority="10562" operator="containsText" text="거부">
      <formula>NOT(ISERROR(SEARCH(("거부"),(A60))))</formula>
    </cfRule>
  </conditionalFormatting>
  <conditionalFormatting sqref="A60">
    <cfRule type="containsText" dxfId="1" priority="10563" operator="containsText" text="리턴">
      <formula>NOT(ISERROR(SEARCH(("리턴"),(A60))))</formula>
    </cfRule>
  </conditionalFormatting>
  <conditionalFormatting sqref="A60">
    <cfRule type="containsText" dxfId="2" priority="10564" operator="containsText" text="실패">
      <formula>NOT(ISERROR(SEARCH(("실패"),(A60))))</formula>
    </cfRule>
  </conditionalFormatting>
  <conditionalFormatting sqref="A60">
    <cfRule type="containsText" dxfId="3" priority="10565" operator="containsText" text="관리">
      <formula>NOT(ISERROR(SEARCH(("관리"),(A60))))</formula>
    </cfRule>
  </conditionalFormatting>
  <conditionalFormatting sqref="A60">
    <cfRule type="containsText" dxfId="4" priority="10566" operator="containsText" text="등록">
      <formula>NOT(ISERROR(SEARCH(("등록"),(A60))))</formula>
    </cfRule>
  </conditionalFormatting>
  <conditionalFormatting sqref="A60">
    <cfRule type="containsText" dxfId="0" priority="10567" operator="containsText" text="거부">
      <formula>NOT(ISERROR(SEARCH(("거부"),(A60))))</formula>
    </cfRule>
  </conditionalFormatting>
  <conditionalFormatting sqref="A60">
    <cfRule type="containsText" dxfId="1" priority="10568" operator="containsText" text="리턴">
      <formula>NOT(ISERROR(SEARCH(("리턴"),(A60))))</formula>
    </cfRule>
  </conditionalFormatting>
  <conditionalFormatting sqref="A60">
    <cfRule type="containsText" dxfId="2" priority="10569" operator="containsText" text="실패">
      <formula>NOT(ISERROR(SEARCH(("실패"),(A60))))</formula>
    </cfRule>
  </conditionalFormatting>
  <conditionalFormatting sqref="A60">
    <cfRule type="containsText" dxfId="3" priority="10570" operator="containsText" text="관리">
      <formula>NOT(ISERROR(SEARCH(("관리"),(A60))))</formula>
    </cfRule>
  </conditionalFormatting>
  <conditionalFormatting sqref="A60">
    <cfRule type="containsText" dxfId="4" priority="10571" operator="containsText" text="등록">
      <formula>NOT(ISERROR(SEARCH(("등록"),(A60))))</formula>
    </cfRule>
  </conditionalFormatting>
  <conditionalFormatting sqref="A60">
    <cfRule type="containsText" dxfId="0" priority="10572" operator="containsText" text="거부">
      <formula>NOT(ISERROR(SEARCH(("거부"),(A60))))</formula>
    </cfRule>
  </conditionalFormatting>
  <conditionalFormatting sqref="A60">
    <cfRule type="containsText" dxfId="1" priority="10573" operator="containsText" text="리턴">
      <formula>NOT(ISERROR(SEARCH(("리턴"),(A60))))</formula>
    </cfRule>
  </conditionalFormatting>
  <conditionalFormatting sqref="A60">
    <cfRule type="containsText" dxfId="2" priority="10574" operator="containsText" text="실패">
      <formula>NOT(ISERROR(SEARCH(("실패"),(A60))))</formula>
    </cfRule>
  </conditionalFormatting>
  <conditionalFormatting sqref="A60">
    <cfRule type="containsText" dxfId="3" priority="10575" operator="containsText" text="관리">
      <formula>NOT(ISERROR(SEARCH(("관리"),(A60))))</formula>
    </cfRule>
  </conditionalFormatting>
  <conditionalFormatting sqref="A60">
    <cfRule type="containsText" dxfId="4" priority="10576" operator="containsText" text="등록">
      <formula>NOT(ISERROR(SEARCH(("등록"),(A60))))</formula>
    </cfRule>
  </conditionalFormatting>
  <conditionalFormatting sqref="D60">
    <cfRule type="containsText" dxfId="0" priority="10577" operator="containsText" text="거부">
      <formula>NOT(ISERROR(SEARCH(("거부"),(D60))))</formula>
    </cfRule>
  </conditionalFormatting>
  <conditionalFormatting sqref="D60">
    <cfRule type="containsText" dxfId="1" priority="10578" operator="containsText" text="리턴">
      <formula>NOT(ISERROR(SEARCH(("리턴"),(D60))))</formula>
    </cfRule>
  </conditionalFormatting>
  <conditionalFormatting sqref="D60">
    <cfRule type="containsText" dxfId="2" priority="10579" operator="containsText" text="실패">
      <formula>NOT(ISERROR(SEARCH(("실패"),(D60))))</formula>
    </cfRule>
  </conditionalFormatting>
  <conditionalFormatting sqref="D60">
    <cfRule type="containsText" dxfId="3" priority="10580" operator="containsText" text="관리">
      <formula>NOT(ISERROR(SEARCH(("관리"),(D60))))</formula>
    </cfRule>
  </conditionalFormatting>
  <conditionalFormatting sqref="D60">
    <cfRule type="containsText" dxfId="4" priority="10581" operator="containsText" text="등록">
      <formula>NOT(ISERROR(SEARCH(("등록"),(D60))))</formula>
    </cfRule>
  </conditionalFormatting>
  <conditionalFormatting sqref="D60">
    <cfRule type="containsText" dxfId="0" priority="10582" operator="containsText" text="거부">
      <formula>NOT(ISERROR(SEARCH(("거부"),(D60))))</formula>
    </cfRule>
  </conditionalFormatting>
  <conditionalFormatting sqref="D60">
    <cfRule type="containsText" dxfId="1" priority="10583" operator="containsText" text="리턴">
      <formula>NOT(ISERROR(SEARCH(("리턴"),(D60))))</formula>
    </cfRule>
  </conditionalFormatting>
  <conditionalFormatting sqref="D60">
    <cfRule type="containsText" dxfId="2" priority="10584" operator="containsText" text="실패">
      <formula>NOT(ISERROR(SEARCH(("실패"),(D60))))</formula>
    </cfRule>
  </conditionalFormatting>
  <conditionalFormatting sqref="D60">
    <cfRule type="containsText" dxfId="3" priority="10585" operator="containsText" text="관리">
      <formula>NOT(ISERROR(SEARCH(("관리"),(D60))))</formula>
    </cfRule>
  </conditionalFormatting>
  <conditionalFormatting sqref="D60">
    <cfRule type="containsText" dxfId="4" priority="10586" operator="containsText" text="등록">
      <formula>NOT(ISERROR(SEARCH(("등록"),(D60))))</formula>
    </cfRule>
  </conditionalFormatting>
  <conditionalFormatting sqref="E60">
    <cfRule type="containsText" dxfId="0" priority="10587" operator="containsText" text="거부">
      <formula>NOT(ISERROR(SEARCH(("거부"),(E60))))</formula>
    </cfRule>
  </conditionalFormatting>
  <conditionalFormatting sqref="E60">
    <cfRule type="containsText" dxfId="1" priority="10588" operator="containsText" text="리턴">
      <formula>NOT(ISERROR(SEARCH(("리턴"),(E60))))</formula>
    </cfRule>
  </conditionalFormatting>
  <conditionalFormatting sqref="E60">
    <cfRule type="containsText" dxfId="2" priority="10589" operator="containsText" text="실패">
      <formula>NOT(ISERROR(SEARCH(("실패"),(E60))))</formula>
    </cfRule>
  </conditionalFormatting>
  <conditionalFormatting sqref="E60">
    <cfRule type="containsText" dxfId="3" priority="10590" operator="containsText" text="관리">
      <formula>NOT(ISERROR(SEARCH(("관리"),(E60))))</formula>
    </cfRule>
  </conditionalFormatting>
  <conditionalFormatting sqref="E60">
    <cfRule type="containsText" dxfId="4" priority="10591" operator="containsText" text="등록">
      <formula>NOT(ISERROR(SEARCH(("등록"),(E60))))</formula>
    </cfRule>
  </conditionalFormatting>
  <conditionalFormatting sqref="J60">
    <cfRule type="containsText" dxfId="0" priority="10592" operator="containsText" text="거부">
      <formula>NOT(ISERROR(SEARCH(("거부"),(J60))))</formula>
    </cfRule>
  </conditionalFormatting>
  <conditionalFormatting sqref="J60">
    <cfRule type="containsText" dxfId="1" priority="10593" operator="containsText" text="리턴">
      <formula>NOT(ISERROR(SEARCH(("리턴"),(J60))))</formula>
    </cfRule>
  </conditionalFormatting>
  <conditionalFormatting sqref="J60">
    <cfRule type="containsText" dxfId="2" priority="10594" operator="containsText" text="실패">
      <formula>NOT(ISERROR(SEARCH(("실패"),(J60))))</formula>
    </cfRule>
  </conditionalFormatting>
  <conditionalFormatting sqref="J60">
    <cfRule type="containsText" dxfId="3" priority="10595" operator="containsText" text="관리">
      <formula>NOT(ISERROR(SEARCH(("관리"),(J60))))</formula>
    </cfRule>
  </conditionalFormatting>
  <conditionalFormatting sqref="J60">
    <cfRule type="containsText" dxfId="4" priority="10596" operator="containsText" text="등록">
      <formula>NOT(ISERROR(SEARCH(("등록"),(J60))))</formula>
    </cfRule>
  </conditionalFormatting>
  <conditionalFormatting sqref="J60">
    <cfRule type="containsText" dxfId="0" priority="10597" operator="containsText" text="거부">
      <formula>NOT(ISERROR(SEARCH(("거부"),(J60))))</formula>
    </cfRule>
  </conditionalFormatting>
  <conditionalFormatting sqref="J60">
    <cfRule type="containsText" dxfId="1" priority="10598" operator="containsText" text="리턴">
      <formula>NOT(ISERROR(SEARCH(("리턴"),(J60))))</formula>
    </cfRule>
  </conditionalFormatting>
  <conditionalFormatting sqref="J60">
    <cfRule type="containsText" dxfId="2" priority="10599" operator="containsText" text="실패">
      <formula>NOT(ISERROR(SEARCH(("실패"),(J60))))</formula>
    </cfRule>
  </conditionalFormatting>
  <conditionalFormatting sqref="J60">
    <cfRule type="containsText" dxfId="3" priority="10600" operator="containsText" text="관리">
      <formula>NOT(ISERROR(SEARCH(("관리"),(J60))))</formula>
    </cfRule>
  </conditionalFormatting>
  <conditionalFormatting sqref="J60">
    <cfRule type="containsText" dxfId="4" priority="10601" operator="containsText" text="등록">
      <formula>NOT(ISERROR(SEARCH(("등록"),(J60))))</formula>
    </cfRule>
  </conditionalFormatting>
  <conditionalFormatting sqref="A52">
    <cfRule type="containsText" dxfId="0" priority="10602" operator="containsText" text="거부">
      <formula>NOT(ISERROR(SEARCH(("거부"),(A52))))</formula>
    </cfRule>
  </conditionalFormatting>
  <conditionalFormatting sqref="A52">
    <cfRule type="containsText" dxfId="1" priority="10603" operator="containsText" text="리턴">
      <formula>NOT(ISERROR(SEARCH(("리턴"),(A52))))</formula>
    </cfRule>
  </conditionalFormatting>
  <conditionalFormatting sqref="A52">
    <cfRule type="containsText" dxfId="2" priority="10604" operator="containsText" text="실패">
      <formula>NOT(ISERROR(SEARCH(("실패"),(A52))))</formula>
    </cfRule>
  </conditionalFormatting>
  <conditionalFormatting sqref="A52">
    <cfRule type="containsText" dxfId="3" priority="10605" operator="containsText" text="관리">
      <formula>NOT(ISERROR(SEARCH(("관리"),(A52))))</formula>
    </cfRule>
  </conditionalFormatting>
  <conditionalFormatting sqref="A52">
    <cfRule type="containsText" dxfId="4" priority="10606" operator="containsText" text="등록">
      <formula>NOT(ISERROR(SEARCH(("등록"),(A52))))</formula>
    </cfRule>
  </conditionalFormatting>
  <conditionalFormatting sqref="A52">
    <cfRule type="containsText" dxfId="0" priority="10607" operator="containsText" text="거부">
      <formula>NOT(ISERROR(SEARCH(("거부"),(A52))))</formula>
    </cfRule>
  </conditionalFormatting>
  <conditionalFormatting sqref="A52">
    <cfRule type="containsText" dxfId="1" priority="10608" operator="containsText" text="리턴">
      <formula>NOT(ISERROR(SEARCH(("리턴"),(A52))))</formula>
    </cfRule>
  </conditionalFormatting>
  <conditionalFormatting sqref="A52">
    <cfRule type="containsText" dxfId="2" priority="10609" operator="containsText" text="실패">
      <formula>NOT(ISERROR(SEARCH(("실패"),(A52))))</formula>
    </cfRule>
  </conditionalFormatting>
  <conditionalFormatting sqref="A52">
    <cfRule type="containsText" dxfId="3" priority="10610" operator="containsText" text="관리">
      <formula>NOT(ISERROR(SEARCH(("관리"),(A52))))</formula>
    </cfRule>
  </conditionalFormatting>
  <conditionalFormatting sqref="A52">
    <cfRule type="containsText" dxfId="4" priority="10611" operator="containsText" text="등록">
      <formula>NOT(ISERROR(SEARCH(("등록"),(A52))))</formula>
    </cfRule>
  </conditionalFormatting>
  <conditionalFormatting sqref="A52">
    <cfRule type="containsText" dxfId="0" priority="10612" operator="containsText" text="거부">
      <formula>NOT(ISERROR(SEARCH(("거부"),(A52))))</formula>
    </cfRule>
  </conditionalFormatting>
  <conditionalFormatting sqref="A52">
    <cfRule type="containsText" dxfId="1" priority="10613" operator="containsText" text="리턴">
      <formula>NOT(ISERROR(SEARCH(("리턴"),(A52))))</formula>
    </cfRule>
  </conditionalFormatting>
  <conditionalFormatting sqref="A52">
    <cfRule type="containsText" dxfId="2" priority="10614" operator="containsText" text="실패">
      <formula>NOT(ISERROR(SEARCH(("실패"),(A52))))</formula>
    </cfRule>
  </conditionalFormatting>
  <conditionalFormatting sqref="A52">
    <cfRule type="containsText" dxfId="3" priority="10615" operator="containsText" text="관리">
      <formula>NOT(ISERROR(SEARCH(("관리"),(A52))))</formula>
    </cfRule>
  </conditionalFormatting>
  <conditionalFormatting sqref="A52">
    <cfRule type="containsText" dxfId="4" priority="10616" operator="containsText" text="등록">
      <formula>NOT(ISERROR(SEARCH(("등록"),(A52))))</formula>
    </cfRule>
  </conditionalFormatting>
  <conditionalFormatting sqref="A52">
    <cfRule type="containsText" dxfId="0" priority="10617" operator="containsText" text="거부">
      <formula>NOT(ISERROR(SEARCH(("거부"),(A52))))</formula>
    </cfRule>
  </conditionalFormatting>
  <conditionalFormatting sqref="A52">
    <cfRule type="containsText" dxfId="1" priority="10618" operator="containsText" text="리턴">
      <formula>NOT(ISERROR(SEARCH(("리턴"),(A52))))</formula>
    </cfRule>
  </conditionalFormatting>
  <conditionalFormatting sqref="A52">
    <cfRule type="containsText" dxfId="2" priority="10619" operator="containsText" text="실패">
      <formula>NOT(ISERROR(SEARCH(("실패"),(A52))))</formula>
    </cfRule>
  </conditionalFormatting>
  <conditionalFormatting sqref="A52">
    <cfRule type="containsText" dxfId="3" priority="10620" operator="containsText" text="관리">
      <formula>NOT(ISERROR(SEARCH(("관리"),(A52))))</formula>
    </cfRule>
  </conditionalFormatting>
  <conditionalFormatting sqref="A52">
    <cfRule type="containsText" dxfId="4" priority="10621" operator="containsText" text="등록">
      <formula>NOT(ISERROR(SEARCH(("등록"),(A52))))</formula>
    </cfRule>
  </conditionalFormatting>
  <conditionalFormatting sqref="A52">
    <cfRule type="containsText" dxfId="0" priority="10622" operator="containsText" text="거부">
      <formula>NOT(ISERROR(SEARCH(("거부"),(A52))))</formula>
    </cfRule>
  </conditionalFormatting>
  <conditionalFormatting sqref="A52">
    <cfRule type="containsText" dxfId="1" priority="10623" operator="containsText" text="리턴">
      <formula>NOT(ISERROR(SEARCH(("리턴"),(A52))))</formula>
    </cfRule>
  </conditionalFormatting>
  <conditionalFormatting sqref="A52">
    <cfRule type="containsText" dxfId="2" priority="10624" operator="containsText" text="실패">
      <formula>NOT(ISERROR(SEARCH(("실패"),(A52))))</formula>
    </cfRule>
  </conditionalFormatting>
  <conditionalFormatting sqref="A52">
    <cfRule type="containsText" dxfId="3" priority="10625" operator="containsText" text="관리">
      <formula>NOT(ISERROR(SEARCH(("관리"),(A52))))</formula>
    </cfRule>
  </conditionalFormatting>
  <conditionalFormatting sqref="A52">
    <cfRule type="containsText" dxfId="4" priority="10626" operator="containsText" text="등록">
      <formula>NOT(ISERROR(SEARCH(("등록"),(A52))))</formula>
    </cfRule>
  </conditionalFormatting>
  <conditionalFormatting sqref="A52">
    <cfRule type="containsText" dxfId="0" priority="10627" operator="containsText" text="거부">
      <formula>NOT(ISERROR(SEARCH(("거부"),(A52))))</formula>
    </cfRule>
  </conditionalFormatting>
  <conditionalFormatting sqref="A52">
    <cfRule type="containsText" dxfId="1" priority="10628" operator="containsText" text="리턴">
      <formula>NOT(ISERROR(SEARCH(("리턴"),(A52))))</formula>
    </cfRule>
  </conditionalFormatting>
  <conditionalFormatting sqref="A52">
    <cfRule type="containsText" dxfId="2" priority="10629" operator="containsText" text="실패">
      <formula>NOT(ISERROR(SEARCH(("실패"),(A52))))</formula>
    </cfRule>
  </conditionalFormatting>
  <conditionalFormatting sqref="A52">
    <cfRule type="containsText" dxfId="3" priority="10630" operator="containsText" text="관리">
      <formula>NOT(ISERROR(SEARCH(("관리"),(A52))))</formula>
    </cfRule>
  </conditionalFormatting>
  <conditionalFormatting sqref="A52">
    <cfRule type="containsText" dxfId="4" priority="10631" operator="containsText" text="등록">
      <formula>NOT(ISERROR(SEARCH(("등록"),(A52))))</formula>
    </cfRule>
  </conditionalFormatting>
  <conditionalFormatting sqref="A52">
    <cfRule type="containsText" dxfId="0" priority="10632" operator="containsText" text="거부">
      <formula>NOT(ISERROR(SEARCH(("거부"),(A52))))</formula>
    </cfRule>
  </conditionalFormatting>
  <conditionalFormatting sqref="A52">
    <cfRule type="containsText" dxfId="1" priority="10633" operator="containsText" text="리턴">
      <formula>NOT(ISERROR(SEARCH(("리턴"),(A52))))</formula>
    </cfRule>
  </conditionalFormatting>
  <conditionalFormatting sqref="A52">
    <cfRule type="containsText" dxfId="2" priority="10634" operator="containsText" text="실패">
      <formula>NOT(ISERROR(SEARCH(("실패"),(A52))))</formula>
    </cfRule>
  </conditionalFormatting>
  <conditionalFormatting sqref="A52">
    <cfRule type="containsText" dxfId="3" priority="10635" operator="containsText" text="관리">
      <formula>NOT(ISERROR(SEARCH(("관리"),(A52))))</formula>
    </cfRule>
  </conditionalFormatting>
  <conditionalFormatting sqref="A52">
    <cfRule type="containsText" dxfId="4" priority="10636" operator="containsText" text="등록">
      <formula>NOT(ISERROR(SEARCH(("등록"),(A52))))</formula>
    </cfRule>
  </conditionalFormatting>
  <conditionalFormatting sqref="A52">
    <cfRule type="containsText" dxfId="0" priority="10637" operator="containsText" text="거부">
      <formula>NOT(ISERROR(SEARCH(("거부"),(A52))))</formula>
    </cfRule>
  </conditionalFormatting>
  <conditionalFormatting sqref="A52">
    <cfRule type="containsText" dxfId="1" priority="10638" operator="containsText" text="리턴">
      <formula>NOT(ISERROR(SEARCH(("리턴"),(A52))))</formula>
    </cfRule>
  </conditionalFormatting>
  <conditionalFormatting sqref="A52">
    <cfRule type="containsText" dxfId="2" priority="10639" operator="containsText" text="실패">
      <formula>NOT(ISERROR(SEARCH(("실패"),(A52))))</formula>
    </cfRule>
  </conditionalFormatting>
  <conditionalFormatting sqref="A52">
    <cfRule type="containsText" dxfId="3" priority="10640" operator="containsText" text="관리">
      <formula>NOT(ISERROR(SEARCH(("관리"),(A52))))</formula>
    </cfRule>
  </conditionalFormatting>
  <conditionalFormatting sqref="A52">
    <cfRule type="containsText" dxfId="4" priority="10641" operator="containsText" text="등록">
      <formula>NOT(ISERROR(SEARCH(("등록"),(A52))))</formula>
    </cfRule>
  </conditionalFormatting>
  <conditionalFormatting sqref="A52">
    <cfRule type="containsText" dxfId="0" priority="10642" operator="containsText" text="거부">
      <formula>NOT(ISERROR(SEARCH(("거부"),(A52))))</formula>
    </cfRule>
  </conditionalFormatting>
  <conditionalFormatting sqref="A52">
    <cfRule type="containsText" dxfId="1" priority="10643" operator="containsText" text="리턴">
      <formula>NOT(ISERROR(SEARCH(("리턴"),(A52))))</formula>
    </cfRule>
  </conditionalFormatting>
  <conditionalFormatting sqref="A52">
    <cfRule type="containsText" dxfId="2" priority="10644" operator="containsText" text="실패">
      <formula>NOT(ISERROR(SEARCH(("실패"),(A52))))</formula>
    </cfRule>
  </conditionalFormatting>
  <conditionalFormatting sqref="A52">
    <cfRule type="containsText" dxfId="3" priority="10645" operator="containsText" text="관리">
      <formula>NOT(ISERROR(SEARCH(("관리"),(A52))))</formula>
    </cfRule>
  </conditionalFormatting>
  <conditionalFormatting sqref="A52">
    <cfRule type="containsText" dxfId="4" priority="10646" operator="containsText" text="등록">
      <formula>NOT(ISERROR(SEARCH(("등록"),(A52))))</formula>
    </cfRule>
  </conditionalFormatting>
  <conditionalFormatting sqref="A52">
    <cfRule type="containsText" dxfId="0" priority="10647" operator="containsText" text="거부">
      <formula>NOT(ISERROR(SEARCH(("거부"),(A52))))</formula>
    </cfRule>
  </conditionalFormatting>
  <conditionalFormatting sqref="A52">
    <cfRule type="containsText" dxfId="1" priority="10648" operator="containsText" text="리턴">
      <formula>NOT(ISERROR(SEARCH(("리턴"),(A52))))</formula>
    </cfRule>
  </conditionalFormatting>
  <conditionalFormatting sqref="A52">
    <cfRule type="containsText" dxfId="2" priority="10649" operator="containsText" text="실패">
      <formula>NOT(ISERROR(SEARCH(("실패"),(A52))))</formula>
    </cfRule>
  </conditionalFormatting>
  <conditionalFormatting sqref="A52">
    <cfRule type="containsText" dxfId="3" priority="10650" operator="containsText" text="관리">
      <formula>NOT(ISERROR(SEARCH(("관리"),(A52))))</formula>
    </cfRule>
  </conditionalFormatting>
  <conditionalFormatting sqref="A52">
    <cfRule type="containsText" dxfId="4" priority="10651" operator="containsText" text="등록">
      <formula>NOT(ISERROR(SEARCH(("등록"),(A52))))</formula>
    </cfRule>
  </conditionalFormatting>
  <conditionalFormatting sqref="A53">
    <cfRule type="containsText" dxfId="0" priority="10652" operator="containsText" text="거부">
      <formula>NOT(ISERROR(SEARCH(("거부"),(A53))))</formula>
    </cfRule>
  </conditionalFormatting>
  <conditionalFormatting sqref="A53">
    <cfRule type="containsText" dxfId="1" priority="10653" operator="containsText" text="리턴">
      <formula>NOT(ISERROR(SEARCH(("리턴"),(A53))))</formula>
    </cfRule>
  </conditionalFormatting>
  <conditionalFormatting sqref="A53">
    <cfRule type="containsText" dxfId="2" priority="10654" operator="containsText" text="실패">
      <formula>NOT(ISERROR(SEARCH(("실패"),(A53))))</formula>
    </cfRule>
  </conditionalFormatting>
  <conditionalFormatting sqref="A53">
    <cfRule type="containsText" dxfId="3" priority="10655" operator="containsText" text="관리">
      <formula>NOT(ISERROR(SEARCH(("관리"),(A53))))</formula>
    </cfRule>
  </conditionalFormatting>
  <conditionalFormatting sqref="A53">
    <cfRule type="containsText" dxfId="4" priority="10656" operator="containsText" text="등록">
      <formula>NOT(ISERROR(SEARCH(("등록"),(A53))))</formula>
    </cfRule>
  </conditionalFormatting>
  <conditionalFormatting sqref="A53">
    <cfRule type="containsText" dxfId="0" priority="10657" operator="containsText" text="거부">
      <formula>NOT(ISERROR(SEARCH(("거부"),(A53))))</formula>
    </cfRule>
  </conditionalFormatting>
  <conditionalFormatting sqref="A53">
    <cfRule type="containsText" dxfId="1" priority="10658" operator="containsText" text="리턴">
      <formula>NOT(ISERROR(SEARCH(("리턴"),(A53))))</formula>
    </cfRule>
  </conditionalFormatting>
  <conditionalFormatting sqref="A53">
    <cfRule type="containsText" dxfId="2" priority="10659" operator="containsText" text="실패">
      <formula>NOT(ISERROR(SEARCH(("실패"),(A53))))</formula>
    </cfRule>
  </conditionalFormatting>
  <conditionalFormatting sqref="A53">
    <cfRule type="containsText" dxfId="3" priority="10660" operator="containsText" text="관리">
      <formula>NOT(ISERROR(SEARCH(("관리"),(A53))))</formula>
    </cfRule>
  </conditionalFormatting>
  <conditionalFormatting sqref="A53">
    <cfRule type="containsText" dxfId="4" priority="10661" operator="containsText" text="등록">
      <formula>NOT(ISERROR(SEARCH(("등록"),(A53))))</formula>
    </cfRule>
  </conditionalFormatting>
  <conditionalFormatting sqref="A53">
    <cfRule type="containsText" dxfId="0" priority="10662" operator="containsText" text="거부">
      <formula>NOT(ISERROR(SEARCH(("거부"),(A53))))</formula>
    </cfRule>
  </conditionalFormatting>
  <conditionalFormatting sqref="A53">
    <cfRule type="containsText" dxfId="1" priority="10663" operator="containsText" text="리턴">
      <formula>NOT(ISERROR(SEARCH(("리턴"),(A53))))</formula>
    </cfRule>
  </conditionalFormatting>
  <conditionalFormatting sqref="A53">
    <cfRule type="containsText" dxfId="2" priority="10664" operator="containsText" text="실패">
      <formula>NOT(ISERROR(SEARCH(("실패"),(A53))))</formula>
    </cfRule>
  </conditionalFormatting>
  <conditionalFormatting sqref="A53">
    <cfRule type="containsText" dxfId="3" priority="10665" operator="containsText" text="관리">
      <formula>NOT(ISERROR(SEARCH(("관리"),(A53))))</formula>
    </cfRule>
  </conditionalFormatting>
  <conditionalFormatting sqref="A53">
    <cfRule type="containsText" dxfId="4" priority="10666" operator="containsText" text="등록">
      <formula>NOT(ISERROR(SEARCH(("등록"),(A53))))</formula>
    </cfRule>
  </conditionalFormatting>
  <conditionalFormatting sqref="A53">
    <cfRule type="containsText" dxfId="0" priority="10667" operator="containsText" text="거부">
      <formula>NOT(ISERROR(SEARCH(("거부"),(A53))))</formula>
    </cfRule>
  </conditionalFormatting>
  <conditionalFormatting sqref="A53">
    <cfRule type="containsText" dxfId="1" priority="10668" operator="containsText" text="리턴">
      <formula>NOT(ISERROR(SEARCH(("리턴"),(A53))))</formula>
    </cfRule>
  </conditionalFormatting>
  <conditionalFormatting sqref="A53">
    <cfRule type="containsText" dxfId="2" priority="10669" operator="containsText" text="실패">
      <formula>NOT(ISERROR(SEARCH(("실패"),(A53))))</formula>
    </cfRule>
  </conditionalFormatting>
  <conditionalFormatting sqref="A53">
    <cfRule type="containsText" dxfId="3" priority="10670" operator="containsText" text="관리">
      <formula>NOT(ISERROR(SEARCH(("관리"),(A53))))</formula>
    </cfRule>
  </conditionalFormatting>
  <conditionalFormatting sqref="A53">
    <cfRule type="containsText" dxfId="4" priority="10671" operator="containsText" text="등록">
      <formula>NOT(ISERROR(SEARCH(("등록"),(A53))))</formula>
    </cfRule>
  </conditionalFormatting>
  <conditionalFormatting sqref="A53">
    <cfRule type="containsText" dxfId="0" priority="10672" operator="containsText" text="거부">
      <formula>NOT(ISERROR(SEARCH(("거부"),(A53))))</formula>
    </cfRule>
  </conditionalFormatting>
  <conditionalFormatting sqref="A53">
    <cfRule type="containsText" dxfId="1" priority="10673" operator="containsText" text="리턴">
      <formula>NOT(ISERROR(SEARCH(("리턴"),(A53))))</formula>
    </cfRule>
  </conditionalFormatting>
  <conditionalFormatting sqref="A53">
    <cfRule type="containsText" dxfId="2" priority="10674" operator="containsText" text="실패">
      <formula>NOT(ISERROR(SEARCH(("실패"),(A53))))</formula>
    </cfRule>
  </conditionalFormatting>
  <conditionalFormatting sqref="A53">
    <cfRule type="containsText" dxfId="3" priority="10675" operator="containsText" text="관리">
      <formula>NOT(ISERROR(SEARCH(("관리"),(A53))))</formula>
    </cfRule>
  </conditionalFormatting>
  <conditionalFormatting sqref="A53">
    <cfRule type="containsText" dxfId="4" priority="10676" operator="containsText" text="등록">
      <formula>NOT(ISERROR(SEARCH(("등록"),(A53))))</formula>
    </cfRule>
  </conditionalFormatting>
  <conditionalFormatting sqref="A53">
    <cfRule type="containsText" dxfId="0" priority="10677" operator="containsText" text="거부">
      <formula>NOT(ISERROR(SEARCH(("거부"),(A53))))</formula>
    </cfRule>
  </conditionalFormatting>
  <conditionalFormatting sqref="A53">
    <cfRule type="containsText" dxfId="1" priority="10678" operator="containsText" text="리턴">
      <formula>NOT(ISERROR(SEARCH(("리턴"),(A53))))</formula>
    </cfRule>
  </conditionalFormatting>
  <conditionalFormatting sqref="A53">
    <cfRule type="containsText" dxfId="2" priority="10679" operator="containsText" text="실패">
      <formula>NOT(ISERROR(SEARCH(("실패"),(A53))))</formula>
    </cfRule>
  </conditionalFormatting>
  <conditionalFormatting sqref="A53">
    <cfRule type="containsText" dxfId="3" priority="10680" operator="containsText" text="관리">
      <formula>NOT(ISERROR(SEARCH(("관리"),(A53))))</formula>
    </cfRule>
  </conditionalFormatting>
  <conditionalFormatting sqref="A53">
    <cfRule type="containsText" dxfId="4" priority="10681" operator="containsText" text="등록">
      <formula>NOT(ISERROR(SEARCH(("등록"),(A53))))</formula>
    </cfRule>
  </conditionalFormatting>
  <conditionalFormatting sqref="A53">
    <cfRule type="containsText" dxfId="0" priority="10682" operator="containsText" text="거부">
      <formula>NOT(ISERROR(SEARCH(("거부"),(A53))))</formula>
    </cfRule>
  </conditionalFormatting>
  <conditionalFormatting sqref="A53">
    <cfRule type="containsText" dxfId="1" priority="10683" operator="containsText" text="리턴">
      <formula>NOT(ISERROR(SEARCH(("리턴"),(A53))))</formula>
    </cfRule>
  </conditionalFormatting>
  <conditionalFormatting sqref="A53">
    <cfRule type="containsText" dxfId="2" priority="10684" operator="containsText" text="실패">
      <formula>NOT(ISERROR(SEARCH(("실패"),(A53))))</formula>
    </cfRule>
  </conditionalFormatting>
  <conditionalFormatting sqref="A53">
    <cfRule type="containsText" dxfId="3" priority="10685" operator="containsText" text="관리">
      <formula>NOT(ISERROR(SEARCH(("관리"),(A53))))</formula>
    </cfRule>
  </conditionalFormatting>
  <conditionalFormatting sqref="A53">
    <cfRule type="containsText" dxfId="4" priority="10686" operator="containsText" text="등록">
      <formula>NOT(ISERROR(SEARCH(("등록"),(A53))))</formula>
    </cfRule>
  </conditionalFormatting>
  <conditionalFormatting sqref="A53">
    <cfRule type="containsText" dxfId="0" priority="10687" operator="containsText" text="거부">
      <formula>NOT(ISERROR(SEARCH(("거부"),(A53))))</formula>
    </cfRule>
  </conditionalFormatting>
  <conditionalFormatting sqref="A53">
    <cfRule type="containsText" dxfId="1" priority="10688" operator="containsText" text="리턴">
      <formula>NOT(ISERROR(SEARCH(("리턴"),(A53))))</formula>
    </cfRule>
  </conditionalFormatting>
  <conditionalFormatting sqref="A53">
    <cfRule type="containsText" dxfId="2" priority="10689" operator="containsText" text="실패">
      <formula>NOT(ISERROR(SEARCH(("실패"),(A53))))</formula>
    </cfRule>
  </conditionalFormatting>
  <conditionalFormatting sqref="A53">
    <cfRule type="containsText" dxfId="3" priority="10690" operator="containsText" text="관리">
      <formula>NOT(ISERROR(SEARCH(("관리"),(A53))))</formula>
    </cfRule>
  </conditionalFormatting>
  <conditionalFormatting sqref="A53">
    <cfRule type="containsText" dxfId="4" priority="10691" operator="containsText" text="등록">
      <formula>NOT(ISERROR(SEARCH(("등록"),(A53))))</formula>
    </cfRule>
  </conditionalFormatting>
  <conditionalFormatting sqref="A53">
    <cfRule type="containsText" dxfId="0" priority="10692" operator="containsText" text="거부">
      <formula>NOT(ISERROR(SEARCH(("거부"),(A53))))</formula>
    </cfRule>
  </conditionalFormatting>
  <conditionalFormatting sqref="A53">
    <cfRule type="containsText" dxfId="1" priority="10693" operator="containsText" text="리턴">
      <formula>NOT(ISERROR(SEARCH(("리턴"),(A53))))</formula>
    </cfRule>
  </conditionalFormatting>
  <conditionalFormatting sqref="A53">
    <cfRule type="containsText" dxfId="2" priority="10694" operator="containsText" text="실패">
      <formula>NOT(ISERROR(SEARCH(("실패"),(A53))))</formula>
    </cfRule>
  </conditionalFormatting>
  <conditionalFormatting sqref="A53">
    <cfRule type="containsText" dxfId="3" priority="10695" operator="containsText" text="관리">
      <formula>NOT(ISERROR(SEARCH(("관리"),(A53))))</formula>
    </cfRule>
  </conditionalFormatting>
  <conditionalFormatting sqref="A53">
    <cfRule type="containsText" dxfId="4" priority="10696" operator="containsText" text="등록">
      <formula>NOT(ISERROR(SEARCH(("등록"),(A53))))</formula>
    </cfRule>
  </conditionalFormatting>
  <conditionalFormatting sqref="A53">
    <cfRule type="containsText" dxfId="0" priority="10697" operator="containsText" text="거부">
      <formula>NOT(ISERROR(SEARCH(("거부"),(A53))))</formula>
    </cfRule>
  </conditionalFormatting>
  <conditionalFormatting sqref="A53">
    <cfRule type="containsText" dxfId="1" priority="10698" operator="containsText" text="리턴">
      <formula>NOT(ISERROR(SEARCH(("리턴"),(A53))))</formula>
    </cfRule>
  </conditionalFormatting>
  <conditionalFormatting sqref="A53">
    <cfRule type="containsText" dxfId="2" priority="10699" operator="containsText" text="실패">
      <formula>NOT(ISERROR(SEARCH(("실패"),(A53))))</formula>
    </cfRule>
  </conditionalFormatting>
  <conditionalFormatting sqref="A53">
    <cfRule type="containsText" dxfId="3" priority="10700" operator="containsText" text="관리">
      <formula>NOT(ISERROR(SEARCH(("관리"),(A53))))</formula>
    </cfRule>
  </conditionalFormatting>
  <conditionalFormatting sqref="A53">
    <cfRule type="containsText" dxfId="4" priority="10701" operator="containsText" text="등록">
      <formula>NOT(ISERROR(SEARCH(("등록"),(A53))))</formula>
    </cfRule>
  </conditionalFormatting>
  <conditionalFormatting sqref="D52">
    <cfRule type="containsText" dxfId="0" priority="10702" operator="containsText" text="거부">
      <formula>NOT(ISERROR(SEARCH(("거부"),(D52))))</formula>
    </cfRule>
  </conditionalFormatting>
  <conditionalFormatting sqref="D52">
    <cfRule type="containsText" dxfId="1" priority="10703" operator="containsText" text="리턴">
      <formula>NOT(ISERROR(SEARCH(("리턴"),(D52))))</formula>
    </cfRule>
  </conditionalFormatting>
  <conditionalFormatting sqref="D52">
    <cfRule type="containsText" dxfId="2" priority="10704" operator="containsText" text="실패">
      <formula>NOT(ISERROR(SEARCH(("실패"),(D52))))</formula>
    </cfRule>
  </conditionalFormatting>
  <conditionalFormatting sqref="D52">
    <cfRule type="containsText" dxfId="3" priority="10705" operator="containsText" text="관리">
      <formula>NOT(ISERROR(SEARCH(("관리"),(D52))))</formula>
    </cfRule>
  </conditionalFormatting>
  <conditionalFormatting sqref="D52">
    <cfRule type="containsText" dxfId="4" priority="10706" operator="containsText" text="등록">
      <formula>NOT(ISERROR(SEARCH(("등록"),(D52))))</formula>
    </cfRule>
  </conditionalFormatting>
  <conditionalFormatting sqref="D52">
    <cfRule type="containsText" dxfId="0" priority="10707" operator="containsText" text="거부">
      <formula>NOT(ISERROR(SEARCH(("거부"),(D52))))</formula>
    </cfRule>
  </conditionalFormatting>
  <conditionalFormatting sqref="D52">
    <cfRule type="containsText" dxfId="1" priority="10708" operator="containsText" text="리턴">
      <formula>NOT(ISERROR(SEARCH(("리턴"),(D52))))</formula>
    </cfRule>
  </conditionalFormatting>
  <conditionalFormatting sqref="D52">
    <cfRule type="containsText" dxfId="2" priority="10709" operator="containsText" text="실패">
      <formula>NOT(ISERROR(SEARCH(("실패"),(D52))))</formula>
    </cfRule>
  </conditionalFormatting>
  <conditionalFormatting sqref="D52">
    <cfRule type="containsText" dxfId="3" priority="10710" operator="containsText" text="관리">
      <formula>NOT(ISERROR(SEARCH(("관리"),(D52))))</formula>
    </cfRule>
  </conditionalFormatting>
  <conditionalFormatting sqref="D52">
    <cfRule type="containsText" dxfId="4" priority="10711" operator="containsText" text="등록">
      <formula>NOT(ISERROR(SEARCH(("등록"),(D52))))</formula>
    </cfRule>
  </conditionalFormatting>
  <conditionalFormatting sqref="D52">
    <cfRule type="containsText" dxfId="0" priority="10712" operator="containsText" text="거부">
      <formula>NOT(ISERROR(SEARCH(("거부"),(D52))))</formula>
    </cfRule>
  </conditionalFormatting>
  <conditionalFormatting sqref="D52">
    <cfRule type="containsText" dxfId="1" priority="10713" operator="containsText" text="리턴">
      <formula>NOT(ISERROR(SEARCH(("리턴"),(D52))))</formula>
    </cfRule>
  </conditionalFormatting>
  <conditionalFormatting sqref="D52">
    <cfRule type="containsText" dxfId="2" priority="10714" operator="containsText" text="실패">
      <formula>NOT(ISERROR(SEARCH(("실패"),(D52))))</formula>
    </cfRule>
  </conditionalFormatting>
  <conditionalFormatting sqref="D52">
    <cfRule type="containsText" dxfId="3" priority="10715" operator="containsText" text="관리">
      <formula>NOT(ISERROR(SEARCH(("관리"),(D52))))</formula>
    </cfRule>
  </conditionalFormatting>
  <conditionalFormatting sqref="D52">
    <cfRule type="containsText" dxfId="4" priority="10716" operator="containsText" text="등록">
      <formula>NOT(ISERROR(SEARCH(("등록"),(D52))))</formula>
    </cfRule>
  </conditionalFormatting>
  <conditionalFormatting sqref="D52">
    <cfRule type="containsText" dxfId="0" priority="10717" operator="containsText" text="거부">
      <formula>NOT(ISERROR(SEARCH(("거부"),(D52))))</formula>
    </cfRule>
  </conditionalFormatting>
  <conditionalFormatting sqref="D52">
    <cfRule type="containsText" dxfId="1" priority="10718" operator="containsText" text="리턴">
      <formula>NOT(ISERROR(SEARCH(("리턴"),(D52))))</formula>
    </cfRule>
  </conditionalFormatting>
  <conditionalFormatting sqref="D52">
    <cfRule type="containsText" dxfId="2" priority="10719" operator="containsText" text="실패">
      <formula>NOT(ISERROR(SEARCH(("실패"),(D52))))</formula>
    </cfRule>
  </conditionalFormatting>
  <conditionalFormatting sqref="D52">
    <cfRule type="containsText" dxfId="3" priority="10720" operator="containsText" text="관리">
      <formula>NOT(ISERROR(SEARCH(("관리"),(D52))))</formula>
    </cfRule>
  </conditionalFormatting>
  <conditionalFormatting sqref="D52">
    <cfRule type="containsText" dxfId="4" priority="10721" operator="containsText" text="등록">
      <formula>NOT(ISERROR(SEARCH(("등록"),(D52))))</formula>
    </cfRule>
  </conditionalFormatting>
  <conditionalFormatting sqref="D52">
    <cfRule type="containsText" dxfId="0" priority="10722" operator="containsText" text="거부">
      <formula>NOT(ISERROR(SEARCH(("거부"),(D52))))</formula>
    </cfRule>
  </conditionalFormatting>
  <conditionalFormatting sqref="D52">
    <cfRule type="containsText" dxfId="1" priority="10723" operator="containsText" text="리턴">
      <formula>NOT(ISERROR(SEARCH(("리턴"),(D52))))</formula>
    </cfRule>
  </conditionalFormatting>
  <conditionalFormatting sqref="D52">
    <cfRule type="containsText" dxfId="2" priority="10724" operator="containsText" text="실패">
      <formula>NOT(ISERROR(SEARCH(("실패"),(D52))))</formula>
    </cfRule>
  </conditionalFormatting>
  <conditionalFormatting sqref="D52">
    <cfRule type="containsText" dxfId="3" priority="10725" operator="containsText" text="관리">
      <formula>NOT(ISERROR(SEARCH(("관리"),(D52))))</formula>
    </cfRule>
  </conditionalFormatting>
  <conditionalFormatting sqref="D52">
    <cfRule type="containsText" dxfId="4" priority="10726" operator="containsText" text="등록">
      <formula>NOT(ISERROR(SEARCH(("등록"),(D52))))</formula>
    </cfRule>
  </conditionalFormatting>
  <conditionalFormatting sqref="D53">
    <cfRule type="containsText" dxfId="0" priority="10727" operator="containsText" text="거부">
      <formula>NOT(ISERROR(SEARCH(("거부"),(D53))))</formula>
    </cfRule>
  </conditionalFormatting>
  <conditionalFormatting sqref="D53">
    <cfRule type="containsText" dxfId="1" priority="10728" operator="containsText" text="리턴">
      <formula>NOT(ISERROR(SEARCH(("리턴"),(D53))))</formula>
    </cfRule>
  </conditionalFormatting>
  <conditionalFormatting sqref="D53">
    <cfRule type="containsText" dxfId="2" priority="10729" operator="containsText" text="실패">
      <formula>NOT(ISERROR(SEARCH(("실패"),(D53))))</formula>
    </cfRule>
  </conditionalFormatting>
  <conditionalFormatting sqref="D53">
    <cfRule type="containsText" dxfId="3" priority="10730" operator="containsText" text="관리">
      <formula>NOT(ISERROR(SEARCH(("관리"),(D53))))</formula>
    </cfRule>
  </conditionalFormatting>
  <conditionalFormatting sqref="D53">
    <cfRule type="containsText" dxfId="4" priority="10731" operator="containsText" text="등록">
      <formula>NOT(ISERROR(SEARCH(("등록"),(D53))))</formula>
    </cfRule>
  </conditionalFormatting>
  <conditionalFormatting sqref="D53">
    <cfRule type="containsText" dxfId="0" priority="10732" operator="containsText" text="거부">
      <formula>NOT(ISERROR(SEARCH(("거부"),(D53))))</formula>
    </cfRule>
  </conditionalFormatting>
  <conditionalFormatting sqref="D53">
    <cfRule type="containsText" dxfId="1" priority="10733" operator="containsText" text="리턴">
      <formula>NOT(ISERROR(SEARCH(("리턴"),(D53))))</formula>
    </cfRule>
  </conditionalFormatting>
  <conditionalFormatting sqref="D53">
    <cfRule type="containsText" dxfId="2" priority="10734" operator="containsText" text="실패">
      <formula>NOT(ISERROR(SEARCH(("실패"),(D53))))</formula>
    </cfRule>
  </conditionalFormatting>
  <conditionalFormatting sqref="D53">
    <cfRule type="containsText" dxfId="3" priority="10735" operator="containsText" text="관리">
      <formula>NOT(ISERROR(SEARCH(("관리"),(D53))))</formula>
    </cfRule>
  </conditionalFormatting>
  <conditionalFormatting sqref="D53">
    <cfRule type="containsText" dxfId="4" priority="10736" operator="containsText" text="등록">
      <formula>NOT(ISERROR(SEARCH(("등록"),(D53))))</formula>
    </cfRule>
  </conditionalFormatting>
  <conditionalFormatting sqref="D53">
    <cfRule type="containsText" dxfId="0" priority="10737" operator="containsText" text="거부">
      <formula>NOT(ISERROR(SEARCH(("거부"),(D53))))</formula>
    </cfRule>
  </conditionalFormatting>
  <conditionalFormatting sqref="D53">
    <cfRule type="containsText" dxfId="1" priority="10738" operator="containsText" text="리턴">
      <formula>NOT(ISERROR(SEARCH(("리턴"),(D53))))</formula>
    </cfRule>
  </conditionalFormatting>
  <conditionalFormatting sqref="D53">
    <cfRule type="containsText" dxfId="2" priority="10739" operator="containsText" text="실패">
      <formula>NOT(ISERROR(SEARCH(("실패"),(D53))))</formula>
    </cfRule>
  </conditionalFormatting>
  <conditionalFormatting sqref="D53">
    <cfRule type="containsText" dxfId="3" priority="10740" operator="containsText" text="관리">
      <formula>NOT(ISERROR(SEARCH(("관리"),(D53))))</formula>
    </cfRule>
  </conditionalFormatting>
  <conditionalFormatting sqref="D53">
    <cfRule type="containsText" dxfId="4" priority="10741" operator="containsText" text="등록">
      <formula>NOT(ISERROR(SEARCH(("등록"),(D53))))</formula>
    </cfRule>
  </conditionalFormatting>
  <conditionalFormatting sqref="D53">
    <cfRule type="containsText" dxfId="0" priority="10742" operator="containsText" text="거부">
      <formula>NOT(ISERROR(SEARCH(("거부"),(D53))))</formula>
    </cfRule>
  </conditionalFormatting>
  <conditionalFormatting sqref="D53">
    <cfRule type="containsText" dxfId="1" priority="10743" operator="containsText" text="리턴">
      <formula>NOT(ISERROR(SEARCH(("리턴"),(D53))))</formula>
    </cfRule>
  </conditionalFormatting>
  <conditionalFormatting sqref="D53">
    <cfRule type="containsText" dxfId="2" priority="10744" operator="containsText" text="실패">
      <formula>NOT(ISERROR(SEARCH(("실패"),(D53))))</formula>
    </cfRule>
  </conditionalFormatting>
  <conditionalFormatting sqref="D53">
    <cfRule type="containsText" dxfId="3" priority="10745" operator="containsText" text="관리">
      <formula>NOT(ISERROR(SEARCH(("관리"),(D53))))</formula>
    </cfRule>
  </conditionalFormatting>
  <conditionalFormatting sqref="D53">
    <cfRule type="containsText" dxfId="4" priority="10746" operator="containsText" text="등록">
      <formula>NOT(ISERROR(SEARCH(("등록"),(D53))))</formula>
    </cfRule>
  </conditionalFormatting>
  <conditionalFormatting sqref="D53">
    <cfRule type="containsText" dxfId="0" priority="10747" operator="containsText" text="거부">
      <formula>NOT(ISERROR(SEARCH(("거부"),(D53))))</formula>
    </cfRule>
  </conditionalFormatting>
  <conditionalFormatting sqref="D53">
    <cfRule type="containsText" dxfId="1" priority="10748" operator="containsText" text="리턴">
      <formula>NOT(ISERROR(SEARCH(("리턴"),(D53))))</formula>
    </cfRule>
  </conditionalFormatting>
  <conditionalFormatting sqref="D53">
    <cfRule type="containsText" dxfId="2" priority="10749" operator="containsText" text="실패">
      <formula>NOT(ISERROR(SEARCH(("실패"),(D53))))</formula>
    </cfRule>
  </conditionalFormatting>
  <conditionalFormatting sqref="D53">
    <cfRule type="containsText" dxfId="3" priority="10750" operator="containsText" text="관리">
      <formula>NOT(ISERROR(SEARCH(("관리"),(D53))))</formula>
    </cfRule>
  </conditionalFormatting>
  <conditionalFormatting sqref="D53">
    <cfRule type="containsText" dxfId="4" priority="10751" operator="containsText" text="등록">
      <formula>NOT(ISERROR(SEARCH(("등록"),(D53))))</formula>
    </cfRule>
  </conditionalFormatting>
  <conditionalFormatting sqref="J52">
    <cfRule type="containsText" dxfId="0" priority="10752" operator="containsText" text="거부">
      <formula>NOT(ISERROR(SEARCH(("거부"),(J52))))</formula>
    </cfRule>
  </conditionalFormatting>
  <conditionalFormatting sqref="J52">
    <cfRule type="containsText" dxfId="1" priority="10753" operator="containsText" text="리턴">
      <formula>NOT(ISERROR(SEARCH(("리턴"),(J52))))</formula>
    </cfRule>
  </conditionalFormatting>
  <conditionalFormatting sqref="J52">
    <cfRule type="containsText" dxfId="2" priority="10754" operator="containsText" text="실패">
      <formula>NOT(ISERROR(SEARCH(("실패"),(J52))))</formula>
    </cfRule>
  </conditionalFormatting>
  <conditionalFormatting sqref="J52">
    <cfRule type="containsText" dxfId="3" priority="10755" operator="containsText" text="관리">
      <formula>NOT(ISERROR(SEARCH(("관리"),(J52))))</formula>
    </cfRule>
  </conditionalFormatting>
  <conditionalFormatting sqref="J52">
    <cfRule type="containsText" dxfId="4" priority="10756" operator="containsText" text="등록">
      <formula>NOT(ISERROR(SEARCH(("등록"),(J52))))</formula>
    </cfRule>
  </conditionalFormatting>
  <conditionalFormatting sqref="J52">
    <cfRule type="containsText" dxfId="0" priority="10757" operator="containsText" text="거부">
      <formula>NOT(ISERROR(SEARCH(("거부"),(J52))))</formula>
    </cfRule>
  </conditionalFormatting>
  <conditionalFormatting sqref="J52">
    <cfRule type="containsText" dxfId="1" priority="10758" operator="containsText" text="리턴">
      <formula>NOT(ISERROR(SEARCH(("리턴"),(J52))))</formula>
    </cfRule>
  </conditionalFormatting>
  <conditionalFormatting sqref="J52">
    <cfRule type="containsText" dxfId="2" priority="10759" operator="containsText" text="실패">
      <formula>NOT(ISERROR(SEARCH(("실패"),(J52))))</formula>
    </cfRule>
  </conditionalFormatting>
  <conditionalFormatting sqref="J52">
    <cfRule type="containsText" dxfId="3" priority="10760" operator="containsText" text="관리">
      <formula>NOT(ISERROR(SEARCH(("관리"),(J52))))</formula>
    </cfRule>
  </conditionalFormatting>
  <conditionalFormatting sqref="J52">
    <cfRule type="containsText" dxfId="4" priority="10761" operator="containsText" text="등록">
      <formula>NOT(ISERROR(SEARCH(("등록"),(J52))))</formula>
    </cfRule>
  </conditionalFormatting>
  <conditionalFormatting sqref="J52">
    <cfRule type="containsText" dxfId="0" priority="10762" operator="containsText" text="거부">
      <formula>NOT(ISERROR(SEARCH(("거부"),(J52))))</formula>
    </cfRule>
  </conditionalFormatting>
  <conditionalFormatting sqref="J52">
    <cfRule type="containsText" dxfId="1" priority="10763" operator="containsText" text="리턴">
      <formula>NOT(ISERROR(SEARCH(("리턴"),(J52))))</formula>
    </cfRule>
  </conditionalFormatting>
  <conditionalFormatting sqref="J52">
    <cfRule type="containsText" dxfId="2" priority="10764" operator="containsText" text="실패">
      <formula>NOT(ISERROR(SEARCH(("실패"),(J52))))</formula>
    </cfRule>
  </conditionalFormatting>
  <conditionalFormatting sqref="J52">
    <cfRule type="containsText" dxfId="3" priority="10765" operator="containsText" text="관리">
      <formula>NOT(ISERROR(SEARCH(("관리"),(J52))))</formula>
    </cfRule>
  </conditionalFormatting>
  <conditionalFormatting sqref="J52">
    <cfRule type="containsText" dxfId="4" priority="10766" operator="containsText" text="등록">
      <formula>NOT(ISERROR(SEARCH(("등록"),(J52))))</formula>
    </cfRule>
  </conditionalFormatting>
  <conditionalFormatting sqref="J52">
    <cfRule type="containsText" dxfId="0" priority="10767" operator="containsText" text="거부">
      <formula>NOT(ISERROR(SEARCH(("거부"),(J52))))</formula>
    </cfRule>
  </conditionalFormatting>
  <conditionalFormatting sqref="J52">
    <cfRule type="containsText" dxfId="1" priority="10768" operator="containsText" text="리턴">
      <formula>NOT(ISERROR(SEARCH(("리턴"),(J52))))</formula>
    </cfRule>
  </conditionalFormatting>
  <conditionalFormatting sqref="J52">
    <cfRule type="containsText" dxfId="2" priority="10769" operator="containsText" text="실패">
      <formula>NOT(ISERROR(SEARCH(("실패"),(J52))))</formula>
    </cfRule>
  </conditionalFormatting>
  <conditionalFormatting sqref="J52">
    <cfRule type="containsText" dxfId="3" priority="10770" operator="containsText" text="관리">
      <formula>NOT(ISERROR(SEARCH(("관리"),(J52))))</formula>
    </cfRule>
  </conditionalFormatting>
  <conditionalFormatting sqref="J52">
    <cfRule type="containsText" dxfId="4" priority="10771" operator="containsText" text="등록">
      <formula>NOT(ISERROR(SEARCH(("등록"),(J52))))</formula>
    </cfRule>
  </conditionalFormatting>
  <conditionalFormatting sqref="J52">
    <cfRule type="containsText" dxfId="0" priority="10772" operator="containsText" text="거부">
      <formula>NOT(ISERROR(SEARCH(("거부"),(J52))))</formula>
    </cfRule>
  </conditionalFormatting>
  <conditionalFormatting sqref="J52">
    <cfRule type="containsText" dxfId="1" priority="10773" operator="containsText" text="리턴">
      <formula>NOT(ISERROR(SEARCH(("리턴"),(J52))))</formula>
    </cfRule>
  </conditionalFormatting>
  <conditionalFormatting sqref="J52">
    <cfRule type="containsText" dxfId="2" priority="10774" operator="containsText" text="실패">
      <formula>NOT(ISERROR(SEARCH(("실패"),(J52))))</formula>
    </cfRule>
  </conditionalFormatting>
  <conditionalFormatting sqref="J52">
    <cfRule type="containsText" dxfId="3" priority="10775" operator="containsText" text="관리">
      <formula>NOT(ISERROR(SEARCH(("관리"),(J52))))</formula>
    </cfRule>
  </conditionalFormatting>
  <conditionalFormatting sqref="J52">
    <cfRule type="containsText" dxfId="4" priority="10776" operator="containsText" text="등록">
      <formula>NOT(ISERROR(SEARCH(("등록"),(J52))))</formula>
    </cfRule>
  </conditionalFormatting>
  <conditionalFormatting sqref="J52">
    <cfRule type="containsText" dxfId="0" priority="10777" operator="containsText" text="거부">
      <formula>NOT(ISERROR(SEARCH(("거부"),(J52))))</formula>
    </cfRule>
  </conditionalFormatting>
  <conditionalFormatting sqref="J52">
    <cfRule type="containsText" dxfId="1" priority="10778" operator="containsText" text="리턴">
      <formula>NOT(ISERROR(SEARCH(("리턴"),(J52))))</formula>
    </cfRule>
  </conditionalFormatting>
  <conditionalFormatting sqref="J52">
    <cfRule type="containsText" dxfId="2" priority="10779" operator="containsText" text="실패">
      <formula>NOT(ISERROR(SEARCH(("실패"),(J52))))</formula>
    </cfRule>
  </conditionalFormatting>
  <conditionalFormatting sqref="J52">
    <cfRule type="containsText" dxfId="3" priority="10780" operator="containsText" text="관리">
      <formula>NOT(ISERROR(SEARCH(("관리"),(J52))))</formula>
    </cfRule>
  </conditionalFormatting>
  <conditionalFormatting sqref="J52">
    <cfRule type="containsText" dxfId="4" priority="10781" operator="containsText" text="등록">
      <formula>NOT(ISERROR(SEARCH(("등록"),(J52))))</formula>
    </cfRule>
  </conditionalFormatting>
  <conditionalFormatting sqref="J52">
    <cfRule type="containsText" dxfId="0" priority="10782" operator="containsText" text="거부">
      <formula>NOT(ISERROR(SEARCH(("거부"),(J52))))</formula>
    </cfRule>
  </conditionalFormatting>
  <conditionalFormatting sqref="J52">
    <cfRule type="containsText" dxfId="1" priority="10783" operator="containsText" text="리턴">
      <formula>NOT(ISERROR(SEARCH(("리턴"),(J52))))</formula>
    </cfRule>
  </conditionalFormatting>
  <conditionalFormatting sqref="J52">
    <cfRule type="containsText" dxfId="2" priority="10784" operator="containsText" text="실패">
      <formula>NOT(ISERROR(SEARCH(("실패"),(J52))))</formula>
    </cfRule>
  </conditionalFormatting>
  <conditionalFormatting sqref="J52">
    <cfRule type="containsText" dxfId="3" priority="10785" operator="containsText" text="관리">
      <formula>NOT(ISERROR(SEARCH(("관리"),(J52))))</formula>
    </cfRule>
  </conditionalFormatting>
  <conditionalFormatting sqref="J52">
    <cfRule type="containsText" dxfId="4" priority="10786" operator="containsText" text="등록">
      <formula>NOT(ISERROR(SEARCH(("등록"),(J52))))</formula>
    </cfRule>
  </conditionalFormatting>
  <conditionalFormatting sqref="J52">
    <cfRule type="containsText" dxfId="0" priority="10787" operator="containsText" text="거부">
      <formula>NOT(ISERROR(SEARCH(("거부"),(J52))))</formula>
    </cfRule>
  </conditionalFormatting>
  <conditionalFormatting sqref="J52">
    <cfRule type="containsText" dxfId="1" priority="10788" operator="containsText" text="리턴">
      <formula>NOT(ISERROR(SEARCH(("리턴"),(J52))))</formula>
    </cfRule>
  </conditionalFormatting>
  <conditionalFormatting sqref="J52">
    <cfRule type="containsText" dxfId="2" priority="10789" operator="containsText" text="실패">
      <formula>NOT(ISERROR(SEARCH(("실패"),(J52))))</formula>
    </cfRule>
  </conditionalFormatting>
  <conditionalFormatting sqref="J52">
    <cfRule type="containsText" dxfId="3" priority="10790" operator="containsText" text="관리">
      <formula>NOT(ISERROR(SEARCH(("관리"),(J52))))</formula>
    </cfRule>
  </conditionalFormatting>
  <conditionalFormatting sqref="J52">
    <cfRule type="containsText" dxfId="4" priority="10791" operator="containsText" text="등록">
      <formula>NOT(ISERROR(SEARCH(("등록"),(J52))))</formula>
    </cfRule>
  </conditionalFormatting>
  <conditionalFormatting sqref="J52">
    <cfRule type="containsText" dxfId="0" priority="10792" operator="containsText" text="거부">
      <formula>NOT(ISERROR(SEARCH(("거부"),(J52))))</formula>
    </cfRule>
  </conditionalFormatting>
  <conditionalFormatting sqref="J52">
    <cfRule type="containsText" dxfId="1" priority="10793" operator="containsText" text="리턴">
      <formula>NOT(ISERROR(SEARCH(("리턴"),(J52))))</formula>
    </cfRule>
  </conditionalFormatting>
  <conditionalFormatting sqref="J52">
    <cfRule type="containsText" dxfId="2" priority="10794" operator="containsText" text="실패">
      <formula>NOT(ISERROR(SEARCH(("실패"),(J52))))</formula>
    </cfRule>
  </conditionalFormatting>
  <conditionalFormatting sqref="J52">
    <cfRule type="containsText" dxfId="3" priority="10795" operator="containsText" text="관리">
      <formula>NOT(ISERROR(SEARCH(("관리"),(J52))))</formula>
    </cfRule>
  </conditionalFormatting>
  <conditionalFormatting sqref="J52">
    <cfRule type="containsText" dxfId="4" priority="10796" operator="containsText" text="등록">
      <formula>NOT(ISERROR(SEARCH(("등록"),(J52))))</formula>
    </cfRule>
  </conditionalFormatting>
  <conditionalFormatting sqref="J52">
    <cfRule type="containsText" dxfId="0" priority="10797" operator="containsText" text="거부">
      <formula>NOT(ISERROR(SEARCH(("거부"),(J52))))</formula>
    </cfRule>
  </conditionalFormatting>
  <conditionalFormatting sqref="J52">
    <cfRule type="containsText" dxfId="1" priority="10798" operator="containsText" text="리턴">
      <formula>NOT(ISERROR(SEARCH(("리턴"),(J52))))</formula>
    </cfRule>
  </conditionalFormatting>
  <conditionalFormatting sqref="J52">
    <cfRule type="containsText" dxfId="2" priority="10799" operator="containsText" text="실패">
      <formula>NOT(ISERROR(SEARCH(("실패"),(J52))))</formula>
    </cfRule>
  </conditionalFormatting>
  <conditionalFormatting sqref="J52">
    <cfRule type="containsText" dxfId="3" priority="10800" operator="containsText" text="관리">
      <formula>NOT(ISERROR(SEARCH(("관리"),(J52))))</formula>
    </cfRule>
  </conditionalFormatting>
  <conditionalFormatting sqref="J52">
    <cfRule type="containsText" dxfId="4" priority="10801" operator="containsText" text="등록">
      <formula>NOT(ISERROR(SEARCH(("등록"),(J52))))</formula>
    </cfRule>
  </conditionalFormatting>
  <conditionalFormatting sqref="J52">
    <cfRule type="containsText" dxfId="0" priority="10802" operator="containsText" text="거부">
      <formula>NOT(ISERROR(SEARCH(("거부"),(J52))))</formula>
    </cfRule>
  </conditionalFormatting>
  <conditionalFormatting sqref="J52">
    <cfRule type="containsText" dxfId="1" priority="10803" operator="containsText" text="리턴">
      <formula>NOT(ISERROR(SEARCH(("리턴"),(J52))))</formula>
    </cfRule>
  </conditionalFormatting>
  <conditionalFormatting sqref="J52">
    <cfRule type="containsText" dxfId="2" priority="10804" operator="containsText" text="실패">
      <formula>NOT(ISERROR(SEARCH(("실패"),(J52))))</formula>
    </cfRule>
  </conditionalFormatting>
  <conditionalFormatting sqref="J52">
    <cfRule type="containsText" dxfId="3" priority="10805" operator="containsText" text="관리">
      <formula>NOT(ISERROR(SEARCH(("관리"),(J52))))</formula>
    </cfRule>
  </conditionalFormatting>
  <conditionalFormatting sqref="J52">
    <cfRule type="containsText" dxfId="4" priority="10806" operator="containsText" text="등록">
      <formula>NOT(ISERROR(SEARCH(("등록"),(J52))))</formula>
    </cfRule>
  </conditionalFormatting>
  <conditionalFormatting sqref="J52">
    <cfRule type="containsText" dxfId="0" priority="10807" operator="containsText" text="거부">
      <formula>NOT(ISERROR(SEARCH(("거부"),(J52))))</formula>
    </cfRule>
  </conditionalFormatting>
  <conditionalFormatting sqref="J52">
    <cfRule type="containsText" dxfId="1" priority="10808" operator="containsText" text="리턴">
      <formula>NOT(ISERROR(SEARCH(("리턴"),(J52))))</formula>
    </cfRule>
  </conditionalFormatting>
  <conditionalFormatting sqref="J52">
    <cfRule type="containsText" dxfId="2" priority="10809" operator="containsText" text="실패">
      <formula>NOT(ISERROR(SEARCH(("실패"),(J52))))</formula>
    </cfRule>
  </conditionalFormatting>
  <conditionalFormatting sqref="J52">
    <cfRule type="containsText" dxfId="3" priority="10810" operator="containsText" text="관리">
      <formula>NOT(ISERROR(SEARCH(("관리"),(J52))))</formula>
    </cfRule>
  </conditionalFormatting>
  <conditionalFormatting sqref="J52">
    <cfRule type="containsText" dxfId="4" priority="10811" operator="containsText" text="등록">
      <formula>NOT(ISERROR(SEARCH(("등록"),(J52))))</formula>
    </cfRule>
  </conditionalFormatting>
  <conditionalFormatting sqref="J52">
    <cfRule type="containsText" dxfId="0" priority="10812" operator="containsText" text="거부">
      <formula>NOT(ISERROR(SEARCH(("거부"),(J52))))</formula>
    </cfRule>
  </conditionalFormatting>
  <conditionalFormatting sqref="J52">
    <cfRule type="containsText" dxfId="1" priority="10813" operator="containsText" text="리턴">
      <formula>NOT(ISERROR(SEARCH(("리턴"),(J52))))</formula>
    </cfRule>
  </conditionalFormatting>
  <conditionalFormatting sqref="J52">
    <cfRule type="containsText" dxfId="2" priority="10814" operator="containsText" text="실패">
      <formula>NOT(ISERROR(SEARCH(("실패"),(J52))))</formula>
    </cfRule>
  </conditionalFormatting>
  <conditionalFormatting sqref="J52">
    <cfRule type="containsText" dxfId="3" priority="10815" operator="containsText" text="관리">
      <formula>NOT(ISERROR(SEARCH(("관리"),(J52))))</formula>
    </cfRule>
  </conditionalFormatting>
  <conditionalFormatting sqref="J52">
    <cfRule type="containsText" dxfId="4" priority="10816" operator="containsText" text="등록">
      <formula>NOT(ISERROR(SEARCH(("등록"),(J52))))</formula>
    </cfRule>
  </conditionalFormatting>
  <conditionalFormatting sqref="J52">
    <cfRule type="containsText" dxfId="0" priority="10817" operator="containsText" text="거부">
      <formula>NOT(ISERROR(SEARCH(("거부"),(J52))))</formula>
    </cfRule>
  </conditionalFormatting>
  <conditionalFormatting sqref="J52">
    <cfRule type="containsText" dxfId="1" priority="10818" operator="containsText" text="리턴">
      <formula>NOT(ISERROR(SEARCH(("리턴"),(J52))))</formula>
    </cfRule>
  </conditionalFormatting>
  <conditionalFormatting sqref="J52">
    <cfRule type="containsText" dxfId="2" priority="10819" operator="containsText" text="실패">
      <formula>NOT(ISERROR(SEARCH(("실패"),(J52))))</formula>
    </cfRule>
  </conditionalFormatting>
  <conditionalFormatting sqref="J52">
    <cfRule type="containsText" dxfId="3" priority="10820" operator="containsText" text="관리">
      <formula>NOT(ISERROR(SEARCH(("관리"),(J52))))</formula>
    </cfRule>
  </conditionalFormatting>
  <conditionalFormatting sqref="J52">
    <cfRule type="containsText" dxfId="4" priority="10821" operator="containsText" text="등록">
      <formula>NOT(ISERROR(SEARCH(("등록"),(J52))))</formula>
    </cfRule>
  </conditionalFormatting>
  <conditionalFormatting sqref="J52">
    <cfRule type="containsText" dxfId="0" priority="10822" operator="containsText" text="거부">
      <formula>NOT(ISERROR(SEARCH(("거부"),(J52))))</formula>
    </cfRule>
  </conditionalFormatting>
  <conditionalFormatting sqref="J52">
    <cfRule type="containsText" dxfId="1" priority="10823" operator="containsText" text="리턴">
      <formula>NOT(ISERROR(SEARCH(("리턴"),(J52))))</formula>
    </cfRule>
  </conditionalFormatting>
  <conditionalFormatting sqref="J52">
    <cfRule type="containsText" dxfId="2" priority="10824" operator="containsText" text="실패">
      <formula>NOT(ISERROR(SEARCH(("실패"),(J52))))</formula>
    </cfRule>
  </conditionalFormatting>
  <conditionalFormatting sqref="J52">
    <cfRule type="containsText" dxfId="3" priority="10825" operator="containsText" text="관리">
      <formula>NOT(ISERROR(SEARCH(("관리"),(J52))))</formula>
    </cfRule>
  </conditionalFormatting>
  <conditionalFormatting sqref="J52">
    <cfRule type="containsText" dxfId="4" priority="10826" operator="containsText" text="등록">
      <formula>NOT(ISERROR(SEARCH(("등록"),(J52))))</formula>
    </cfRule>
  </conditionalFormatting>
  <conditionalFormatting sqref="J53">
    <cfRule type="containsText" dxfId="0" priority="10827" operator="containsText" text="거부">
      <formula>NOT(ISERROR(SEARCH(("거부"),(J53))))</formula>
    </cfRule>
  </conditionalFormatting>
  <conditionalFormatting sqref="J53">
    <cfRule type="containsText" dxfId="1" priority="10828" operator="containsText" text="리턴">
      <formula>NOT(ISERROR(SEARCH(("리턴"),(J53))))</formula>
    </cfRule>
  </conditionalFormatting>
  <conditionalFormatting sqref="J53">
    <cfRule type="containsText" dxfId="2" priority="10829" operator="containsText" text="실패">
      <formula>NOT(ISERROR(SEARCH(("실패"),(J53))))</formula>
    </cfRule>
  </conditionalFormatting>
  <conditionalFormatting sqref="J53">
    <cfRule type="containsText" dxfId="3" priority="10830" operator="containsText" text="관리">
      <formula>NOT(ISERROR(SEARCH(("관리"),(J53))))</formula>
    </cfRule>
  </conditionalFormatting>
  <conditionalFormatting sqref="J53">
    <cfRule type="containsText" dxfId="4" priority="10831" operator="containsText" text="등록">
      <formula>NOT(ISERROR(SEARCH(("등록"),(J53))))</formula>
    </cfRule>
  </conditionalFormatting>
  <conditionalFormatting sqref="J53">
    <cfRule type="containsText" dxfId="0" priority="10832" operator="containsText" text="거부">
      <formula>NOT(ISERROR(SEARCH(("거부"),(J53))))</formula>
    </cfRule>
  </conditionalFormatting>
  <conditionalFormatting sqref="J53">
    <cfRule type="containsText" dxfId="1" priority="10833" operator="containsText" text="리턴">
      <formula>NOT(ISERROR(SEARCH(("리턴"),(J53))))</formula>
    </cfRule>
  </conditionalFormatting>
  <conditionalFormatting sqref="J53">
    <cfRule type="containsText" dxfId="2" priority="10834" operator="containsText" text="실패">
      <formula>NOT(ISERROR(SEARCH(("실패"),(J53))))</formula>
    </cfRule>
  </conditionalFormatting>
  <conditionalFormatting sqref="J53">
    <cfRule type="containsText" dxfId="3" priority="10835" operator="containsText" text="관리">
      <formula>NOT(ISERROR(SEARCH(("관리"),(J53))))</formula>
    </cfRule>
  </conditionalFormatting>
  <conditionalFormatting sqref="J53">
    <cfRule type="containsText" dxfId="4" priority="10836" operator="containsText" text="등록">
      <formula>NOT(ISERROR(SEARCH(("등록"),(J53))))</formula>
    </cfRule>
  </conditionalFormatting>
  <conditionalFormatting sqref="J53">
    <cfRule type="containsText" dxfId="0" priority="10837" operator="containsText" text="거부">
      <formula>NOT(ISERROR(SEARCH(("거부"),(J53))))</formula>
    </cfRule>
  </conditionalFormatting>
  <conditionalFormatting sqref="J53">
    <cfRule type="containsText" dxfId="1" priority="10838" operator="containsText" text="리턴">
      <formula>NOT(ISERROR(SEARCH(("리턴"),(J53))))</formula>
    </cfRule>
  </conditionalFormatting>
  <conditionalFormatting sqref="J53">
    <cfRule type="containsText" dxfId="2" priority="10839" operator="containsText" text="실패">
      <formula>NOT(ISERROR(SEARCH(("실패"),(J53))))</formula>
    </cfRule>
  </conditionalFormatting>
  <conditionalFormatting sqref="J53">
    <cfRule type="containsText" dxfId="3" priority="10840" operator="containsText" text="관리">
      <formula>NOT(ISERROR(SEARCH(("관리"),(J53))))</formula>
    </cfRule>
  </conditionalFormatting>
  <conditionalFormatting sqref="J53">
    <cfRule type="containsText" dxfId="4" priority="10841" operator="containsText" text="등록">
      <formula>NOT(ISERROR(SEARCH(("등록"),(J53))))</formula>
    </cfRule>
  </conditionalFormatting>
  <conditionalFormatting sqref="J53">
    <cfRule type="containsText" dxfId="0" priority="10842" operator="containsText" text="거부">
      <formula>NOT(ISERROR(SEARCH(("거부"),(J53))))</formula>
    </cfRule>
  </conditionalFormatting>
  <conditionalFormatting sqref="J53">
    <cfRule type="containsText" dxfId="1" priority="10843" operator="containsText" text="리턴">
      <formula>NOT(ISERROR(SEARCH(("리턴"),(J53))))</formula>
    </cfRule>
  </conditionalFormatting>
  <conditionalFormatting sqref="J53">
    <cfRule type="containsText" dxfId="2" priority="10844" operator="containsText" text="실패">
      <formula>NOT(ISERROR(SEARCH(("실패"),(J53))))</formula>
    </cfRule>
  </conditionalFormatting>
  <conditionalFormatting sqref="J53">
    <cfRule type="containsText" dxfId="3" priority="10845" operator="containsText" text="관리">
      <formula>NOT(ISERROR(SEARCH(("관리"),(J53))))</formula>
    </cfRule>
  </conditionalFormatting>
  <conditionalFormatting sqref="J53">
    <cfRule type="containsText" dxfId="4" priority="10846" operator="containsText" text="등록">
      <formula>NOT(ISERROR(SEARCH(("등록"),(J53))))</formula>
    </cfRule>
  </conditionalFormatting>
  <conditionalFormatting sqref="J53">
    <cfRule type="containsText" dxfId="0" priority="10847" operator="containsText" text="거부">
      <formula>NOT(ISERROR(SEARCH(("거부"),(J53))))</formula>
    </cfRule>
  </conditionalFormatting>
  <conditionalFormatting sqref="J53">
    <cfRule type="containsText" dxfId="1" priority="10848" operator="containsText" text="리턴">
      <formula>NOT(ISERROR(SEARCH(("리턴"),(J53))))</formula>
    </cfRule>
  </conditionalFormatting>
  <conditionalFormatting sqref="J53">
    <cfRule type="containsText" dxfId="2" priority="10849" operator="containsText" text="실패">
      <formula>NOT(ISERROR(SEARCH(("실패"),(J53))))</formula>
    </cfRule>
  </conditionalFormatting>
  <conditionalFormatting sqref="J53">
    <cfRule type="containsText" dxfId="3" priority="10850" operator="containsText" text="관리">
      <formula>NOT(ISERROR(SEARCH(("관리"),(J53))))</formula>
    </cfRule>
  </conditionalFormatting>
  <conditionalFormatting sqref="J53">
    <cfRule type="containsText" dxfId="4" priority="10851" operator="containsText" text="등록">
      <formula>NOT(ISERROR(SEARCH(("등록"),(J53))))</formula>
    </cfRule>
  </conditionalFormatting>
  <conditionalFormatting sqref="J53">
    <cfRule type="containsText" dxfId="0" priority="10852" operator="containsText" text="거부">
      <formula>NOT(ISERROR(SEARCH(("거부"),(J53))))</formula>
    </cfRule>
  </conditionalFormatting>
  <conditionalFormatting sqref="J53">
    <cfRule type="containsText" dxfId="1" priority="10853" operator="containsText" text="리턴">
      <formula>NOT(ISERROR(SEARCH(("리턴"),(J53))))</formula>
    </cfRule>
  </conditionalFormatting>
  <conditionalFormatting sqref="J53">
    <cfRule type="containsText" dxfId="2" priority="10854" operator="containsText" text="실패">
      <formula>NOT(ISERROR(SEARCH(("실패"),(J53))))</formula>
    </cfRule>
  </conditionalFormatting>
  <conditionalFormatting sqref="J53">
    <cfRule type="containsText" dxfId="3" priority="10855" operator="containsText" text="관리">
      <formula>NOT(ISERROR(SEARCH(("관리"),(J53))))</formula>
    </cfRule>
  </conditionalFormatting>
  <conditionalFormatting sqref="J53">
    <cfRule type="containsText" dxfId="4" priority="10856" operator="containsText" text="등록">
      <formula>NOT(ISERROR(SEARCH(("등록"),(J53))))</formula>
    </cfRule>
  </conditionalFormatting>
  <conditionalFormatting sqref="J53">
    <cfRule type="containsText" dxfId="0" priority="10857" operator="containsText" text="거부">
      <formula>NOT(ISERROR(SEARCH(("거부"),(J53))))</formula>
    </cfRule>
  </conditionalFormatting>
  <conditionalFormatting sqref="J53">
    <cfRule type="containsText" dxfId="1" priority="10858" operator="containsText" text="리턴">
      <formula>NOT(ISERROR(SEARCH(("리턴"),(J53))))</formula>
    </cfRule>
  </conditionalFormatting>
  <conditionalFormatting sqref="J53">
    <cfRule type="containsText" dxfId="2" priority="10859" operator="containsText" text="실패">
      <formula>NOT(ISERROR(SEARCH(("실패"),(J53))))</formula>
    </cfRule>
  </conditionalFormatting>
  <conditionalFormatting sqref="J53">
    <cfRule type="containsText" dxfId="3" priority="10860" operator="containsText" text="관리">
      <formula>NOT(ISERROR(SEARCH(("관리"),(J53))))</formula>
    </cfRule>
  </conditionalFormatting>
  <conditionalFormatting sqref="J53">
    <cfRule type="containsText" dxfId="4" priority="10861" operator="containsText" text="등록">
      <formula>NOT(ISERROR(SEARCH(("등록"),(J53))))</formula>
    </cfRule>
  </conditionalFormatting>
  <conditionalFormatting sqref="J53">
    <cfRule type="containsText" dxfId="0" priority="10862" operator="containsText" text="거부">
      <formula>NOT(ISERROR(SEARCH(("거부"),(J53))))</formula>
    </cfRule>
  </conditionalFormatting>
  <conditionalFormatting sqref="J53">
    <cfRule type="containsText" dxfId="1" priority="10863" operator="containsText" text="리턴">
      <formula>NOT(ISERROR(SEARCH(("리턴"),(J53))))</formula>
    </cfRule>
  </conditionalFormatting>
  <conditionalFormatting sqref="J53">
    <cfRule type="containsText" dxfId="2" priority="10864" operator="containsText" text="실패">
      <formula>NOT(ISERROR(SEARCH(("실패"),(J53))))</formula>
    </cfRule>
  </conditionalFormatting>
  <conditionalFormatting sqref="J53">
    <cfRule type="containsText" dxfId="3" priority="10865" operator="containsText" text="관리">
      <formula>NOT(ISERROR(SEARCH(("관리"),(J53))))</formula>
    </cfRule>
  </conditionalFormatting>
  <conditionalFormatting sqref="J53">
    <cfRule type="containsText" dxfId="4" priority="10866" operator="containsText" text="등록">
      <formula>NOT(ISERROR(SEARCH(("등록"),(J53))))</formula>
    </cfRule>
  </conditionalFormatting>
  <conditionalFormatting sqref="J53">
    <cfRule type="containsText" dxfId="0" priority="10867" operator="containsText" text="거부">
      <formula>NOT(ISERROR(SEARCH(("거부"),(J53))))</formula>
    </cfRule>
  </conditionalFormatting>
  <conditionalFormatting sqref="J53">
    <cfRule type="containsText" dxfId="1" priority="10868" operator="containsText" text="리턴">
      <formula>NOT(ISERROR(SEARCH(("리턴"),(J53))))</formula>
    </cfRule>
  </conditionalFormatting>
  <conditionalFormatting sqref="J53">
    <cfRule type="containsText" dxfId="2" priority="10869" operator="containsText" text="실패">
      <formula>NOT(ISERROR(SEARCH(("실패"),(J53))))</formula>
    </cfRule>
  </conditionalFormatting>
  <conditionalFormatting sqref="J53">
    <cfRule type="containsText" dxfId="3" priority="10870" operator="containsText" text="관리">
      <formula>NOT(ISERROR(SEARCH(("관리"),(J53))))</formula>
    </cfRule>
  </conditionalFormatting>
  <conditionalFormatting sqref="J53">
    <cfRule type="containsText" dxfId="4" priority="10871" operator="containsText" text="등록">
      <formula>NOT(ISERROR(SEARCH(("등록"),(J53))))</formula>
    </cfRule>
  </conditionalFormatting>
  <conditionalFormatting sqref="J53">
    <cfRule type="containsText" dxfId="0" priority="10872" operator="containsText" text="거부">
      <formula>NOT(ISERROR(SEARCH(("거부"),(J53))))</formula>
    </cfRule>
  </conditionalFormatting>
  <conditionalFormatting sqref="J53">
    <cfRule type="containsText" dxfId="1" priority="10873" operator="containsText" text="리턴">
      <formula>NOT(ISERROR(SEARCH(("리턴"),(J53))))</formula>
    </cfRule>
  </conditionalFormatting>
  <conditionalFormatting sqref="J53">
    <cfRule type="containsText" dxfId="2" priority="10874" operator="containsText" text="실패">
      <formula>NOT(ISERROR(SEARCH(("실패"),(J53))))</formula>
    </cfRule>
  </conditionalFormatting>
  <conditionalFormatting sqref="J53">
    <cfRule type="containsText" dxfId="3" priority="10875" operator="containsText" text="관리">
      <formula>NOT(ISERROR(SEARCH(("관리"),(J53))))</formula>
    </cfRule>
  </conditionalFormatting>
  <conditionalFormatting sqref="J53">
    <cfRule type="containsText" dxfId="4" priority="10876" operator="containsText" text="등록">
      <formula>NOT(ISERROR(SEARCH(("등록"),(J53))))</formula>
    </cfRule>
  </conditionalFormatting>
  <conditionalFormatting sqref="J53">
    <cfRule type="containsText" dxfId="0" priority="10877" operator="containsText" text="거부">
      <formula>NOT(ISERROR(SEARCH(("거부"),(J53))))</formula>
    </cfRule>
  </conditionalFormatting>
  <conditionalFormatting sqref="J53">
    <cfRule type="containsText" dxfId="1" priority="10878" operator="containsText" text="리턴">
      <formula>NOT(ISERROR(SEARCH(("리턴"),(J53))))</formula>
    </cfRule>
  </conditionalFormatting>
  <conditionalFormatting sqref="J53">
    <cfRule type="containsText" dxfId="2" priority="10879" operator="containsText" text="실패">
      <formula>NOT(ISERROR(SEARCH(("실패"),(J53))))</formula>
    </cfRule>
  </conditionalFormatting>
  <conditionalFormatting sqref="J53">
    <cfRule type="containsText" dxfId="3" priority="10880" operator="containsText" text="관리">
      <formula>NOT(ISERROR(SEARCH(("관리"),(J53))))</formula>
    </cfRule>
  </conditionalFormatting>
  <conditionalFormatting sqref="J53">
    <cfRule type="containsText" dxfId="4" priority="10881" operator="containsText" text="등록">
      <formula>NOT(ISERROR(SEARCH(("등록"),(J53))))</formula>
    </cfRule>
  </conditionalFormatting>
  <conditionalFormatting sqref="J53">
    <cfRule type="containsText" dxfId="0" priority="10882" operator="containsText" text="거부">
      <formula>NOT(ISERROR(SEARCH(("거부"),(J53))))</formula>
    </cfRule>
  </conditionalFormatting>
  <conditionalFormatting sqref="J53">
    <cfRule type="containsText" dxfId="1" priority="10883" operator="containsText" text="리턴">
      <formula>NOT(ISERROR(SEARCH(("리턴"),(J53))))</formula>
    </cfRule>
  </conditionalFormatting>
  <conditionalFormatting sqref="J53">
    <cfRule type="containsText" dxfId="2" priority="10884" operator="containsText" text="실패">
      <formula>NOT(ISERROR(SEARCH(("실패"),(J53))))</formula>
    </cfRule>
  </conditionalFormatting>
  <conditionalFormatting sqref="J53">
    <cfRule type="containsText" dxfId="3" priority="10885" operator="containsText" text="관리">
      <formula>NOT(ISERROR(SEARCH(("관리"),(J53))))</formula>
    </cfRule>
  </conditionalFormatting>
  <conditionalFormatting sqref="J53">
    <cfRule type="containsText" dxfId="4" priority="10886" operator="containsText" text="등록">
      <formula>NOT(ISERROR(SEARCH(("등록"),(J53))))</formula>
    </cfRule>
  </conditionalFormatting>
  <conditionalFormatting sqref="J53">
    <cfRule type="containsText" dxfId="0" priority="10887" operator="containsText" text="거부">
      <formula>NOT(ISERROR(SEARCH(("거부"),(J53))))</formula>
    </cfRule>
  </conditionalFormatting>
  <conditionalFormatting sqref="J53">
    <cfRule type="containsText" dxfId="1" priority="10888" operator="containsText" text="리턴">
      <formula>NOT(ISERROR(SEARCH(("리턴"),(J53))))</formula>
    </cfRule>
  </conditionalFormatting>
  <conditionalFormatting sqref="J53">
    <cfRule type="containsText" dxfId="2" priority="10889" operator="containsText" text="실패">
      <formula>NOT(ISERROR(SEARCH(("실패"),(J53))))</formula>
    </cfRule>
  </conditionalFormatting>
  <conditionalFormatting sqref="J53">
    <cfRule type="containsText" dxfId="3" priority="10890" operator="containsText" text="관리">
      <formula>NOT(ISERROR(SEARCH(("관리"),(J53))))</formula>
    </cfRule>
  </conditionalFormatting>
  <conditionalFormatting sqref="J53">
    <cfRule type="containsText" dxfId="4" priority="10891" operator="containsText" text="등록">
      <formula>NOT(ISERROR(SEARCH(("등록"),(J53))))</formula>
    </cfRule>
  </conditionalFormatting>
  <conditionalFormatting sqref="J53">
    <cfRule type="containsText" dxfId="0" priority="10892" operator="containsText" text="거부">
      <formula>NOT(ISERROR(SEARCH(("거부"),(J53))))</formula>
    </cfRule>
  </conditionalFormatting>
  <conditionalFormatting sqref="J53">
    <cfRule type="containsText" dxfId="1" priority="10893" operator="containsText" text="리턴">
      <formula>NOT(ISERROR(SEARCH(("리턴"),(J53))))</formula>
    </cfRule>
  </conditionalFormatting>
  <conditionalFormatting sqref="J53">
    <cfRule type="containsText" dxfId="2" priority="10894" operator="containsText" text="실패">
      <formula>NOT(ISERROR(SEARCH(("실패"),(J53))))</formula>
    </cfRule>
  </conditionalFormatting>
  <conditionalFormatting sqref="J53">
    <cfRule type="containsText" dxfId="3" priority="10895" operator="containsText" text="관리">
      <formula>NOT(ISERROR(SEARCH(("관리"),(J53))))</formula>
    </cfRule>
  </conditionalFormatting>
  <conditionalFormatting sqref="J53">
    <cfRule type="containsText" dxfId="4" priority="10896" operator="containsText" text="등록">
      <formula>NOT(ISERROR(SEARCH(("등록"),(J53))))</formula>
    </cfRule>
  </conditionalFormatting>
  <conditionalFormatting sqref="J53">
    <cfRule type="containsText" dxfId="0" priority="10897" operator="containsText" text="거부">
      <formula>NOT(ISERROR(SEARCH(("거부"),(J53))))</formula>
    </cfRule>
  </conditionalFormatting>
  <conditionalFormatting sqref="J53">
    <cfRule type="containsText" dxfId="1" priority="10898" operator="containsText" text="리턴">
      <formula>NOT(ISERROR(SEARCH(("리턴"),(J53))))</formula>
    </cfRule>
  </conditionalFormatting>
  <conditionalFormatting sqref="J53">
    <cfRule type="containsText" dxfId="2" priority="10899" operator="containsText" text="실패">
      <formula>NOT(ISERROR(SEARCH(("실패"),(J53))))</formula>
    </cfRule>
  </conditionalFormatting>
  <conditionalFormatting sqref="J53">
    <cfRule type="containsText" dxfId="3" priority="10900" operator="containsText" text="관리">
      <formula>NOT(ISERROR(SEARCH(("관리"),(J53))))</formula>
    </cfRule>
  </conditionalFormatting>
  <conditionalFormatting sqref="J53">
    <cfRule type="containsText" dxfId="4" priority="10901" operator="containsText" text="등록">
      <formula>NOT(ISERROR(SEARCH(("등록"),(J53))))</formula>
    </cfRule>
  </conditionalFormatting>
  <conditionalFormatting sqref="A56">
    <cfRule type="containsText" dxfId="0" priority="10902" operator="containsText" text="거부">
      <formula>NOT(ISERROR(SEARCH(("거부"),(A56))))</formula>
    </cfRule>
  </conditionalFormatting>
  <conditionalFormatting sqref="A56">
    <cfRule type="containsText" dxfId="1" priority="10903" operator="containsText" text="리턴">
      <formula>NOT(ISERROR(SEARCH(("리턴"),(A56))))</formula>
    </cfRule>
  </conditionalFormatting>
  <conditionalFormatting sqref="A56">
    <cfRule type="containsText" dxfId="2" priority="10904" operator="containsText" text="실패">
      <formula>NOT(ISERROR(SEARCH(("실패"),(A56))))</formula>
    </cfRule>
  </conditionalFormatting>
  <conditionalFormatting sqref="A56">
    <cfRule type="containsText" dxfId="3" priority="10905" operator="containsText" text="관리">
      <formula>NOT(ISERROR(SEARCH(("관리"),(A56))))</formula>
    </cfRule>
  </conditionalFormatting>
  <conditionalFormatting sqref="A56">
    <cfRule type="containsText" dxfId="4" priority="10906" operator="containsText" text="등록">
      <formula>NOT(ISERROR(SEARCH(("등록"),(A56))))</formula>
    </cfRule>
  </conditionalFormatting>
  <conditionalFormatting sqref="A56">
    <cfRule type="containsText" dxfId="0" priority="10907" operator="containsText" text="거부">
      <formula>NOT(ISERROR(SEARCH(("거부"),(A56))))</formula>
    </cfRule>
  </conditionalFormatting>
  <conditionalFormatting sqref="A56">
    <cfRule type="containsText" dxfId="1" priority="10908" operator="containsText" text="리턴">
      <formula>NOT(ISERROR(SEARCH(("리턴"),(A56))))</formula>
    </cfRule>
  </conditionalFormatting>
  <conditionalFormatting sqref="A56">
    <cfRule type="containsText" dxfId="2" priority="10909" operator="containsText" text="실패">
      <formula>NOT(ISERROR(SEARCH(("실패"),(A56))))</formula>
    </cfRule>
  </conditionalFormatting>
  <conditionalFormatting sqref="A56">
    <cfRule type="containsText" dxfId="3" priority="10910" operator="containsText" text="관리">
      <formula>NOT(ISERROR(SEARCH(("관리"),(A56))))</formula>
    </cfRule>
  </conditionalFormatting>
  <conditionalFormatting sqref="A56">
    <cfRule type="containsText" dxfId="4" priority="10911" operator="containsText" text="등록">
      <formula>NOT(ISERROR(SEARCH(("등록"),(A56))))</formula>
    </cfRule>
  </conditionalFormatting>
  <conditionalFormatting sqref="A56">
    <cfRule type="containsText" dxfId="0" priority="10912" operator="containsText" text="거부">
      <formula>NOT(ISERROR(SEARCH(("거부"),(A56))))</formula>
    </cfRule>
  </conditionalFormatting>
  <conditionalFormatting sqref="A56">
    <cfRule type="containsText" dxfId="1" priority="10913" operator="containsText" text="리턴">
      <formula>NOT(ISERROR(SEARCH(("리턴"),(A56))))</formula>
    </cfRule>
  </conditionalFormatting>
  <conditionalFormatting sqref="A56">
    <cfRule type="containsText" dxfId="2" priority="10914" operator="containsText" text="실패">
      <formula>NOT(ISERROR(SEARCH(("실패"),(A56))))</formula>
    </cfRule>
  </conditionalFormatting>
  <conditionalFormatting sqref="A56">
    <cfRule type="containsText" dxfId="3" priority="10915" operator="containsText" text="관리">
      <formula>NOT(ISERROR(SEARCH(("관리"),(A56))))</formula>
    </cfRule>
  </conditionalFormatting>
  <conditionalFormatting sqref="A56">
    <cfRule type="containsText" dxfId="4" priority="10916" operator="containsText" text="등록">
      <formula>NOT(ISERROR(SEARCH(("등록"),(A56))))</formula>
    </cfRule>
  </conditionalFormatting>
  <conditionalFormatting sqref="A56">
    <cfRule type="containsText" dxfId="0" priority="10917" operator="containsText" text="거부">
      <formula>NOT(ISERROR(SEARCH(("거부"),(A56))))</formula>
    </cfRule>
  </conditionalFormatting>
  <conditionalFormatting sqref="A56">
    <cfRule type="containsText" dxfId="1" priority="10918" operator="containsText" text="리턴">
      <formula>NOT(ISERROR(SEARCH(("리턴"),(A56))))</formula>
    </cfRule>
  </conditionalFormatting>
  <conditionalFormatting sqref="A56">
    <cfRule type="containsText" dxfId="2" priority="10919" operator="containsText" text="실패">
      <formula>NOT(ISERROR(SEARCH(("실패"),(A56))))</formula>
    </cfRule>
  </conditionalFormatting>
  <conditionalFormatting sqref="A56">
    <cfRule type="containsText" dxfId="3" priority="10920" operator="containsText" text="관리">
      <formula>NOT(ISERROR(SEARCH(("관리"),(A56))))</formula>
    </cfRule>
  </conditionalFormatting>
  <conditionalFormatting sqref="A56">
    <cfRule type="containsText" dxfId="4" priority="10921" operator="containsText" text="등록">
      <formula>NOT(ISERROR(SEARCH(("등록"),(A56))))</formula>
    </cfRule>
  </conditionalFormatting>
  <conditionalFormatting sqref="A56">
    <cfRule type="containsText" dxfId="0" priority="10922" operator="containsText" text="거부">
      <formula>NOT(ISERROR(SEARCH(("거부"),(A56))))</formula>
    </cfRule>
  </conditionalFormatting>
  <conditionalFormatting sqref="A56">
    <cfRule type="containsText" dxfId="1" priority="10923" operator="containsText" text="리턴">
      <formula>NOT(ISERROR(SEARCH(("리턴"),(A56))))</formula>
    </cfRule>
  </conditionalFormatting>
  <conditionalFormatting sqref="A56">
    <cfRule type="containsText" dxfId="2" priority="10924" operator="containsText" text="실패">
      <formula>NOT(ISERROR(SEARCH(("실패"),(A56))))</formula>
    </cfRule>
  </conditionalFormatting>
  <conditionalFormatting sqref="A56">
    <cfRule type="containsText" dxfId="3" priority="10925" operator="containsText" text="관리">
      <formula>NOT(ISERROR(SEARCH(("관리"),(A56))))</formula>
    </cfRule>
  </conditionalFormatting>
  <conditionalFormatting sqref="A56">
    <cfRule type="containsText" dxfId="4" priority="10926" operator="containsText" text="등록">
      <formula>NOT(ISERROR(SEARCH(("등록"),(A56))))</formula>
    </cfRule>
  </conditionalFormatting>
  <conditionalFormatting sqref="A56">
    <cfRule type="containsText" dxfId="0" priority="10927" operator="containsText" text="거부">
      <formula>NOT(ISERROR(SEARCH(("거부"),(A56))))</formula>
    </cfRule>
  </conditionalFormatting>
  <conditionalFormatting sqref="A56">
    <cfRule type="containsText" dxfId="1" priority="10928" operator="containsText" text="리턴">
      <formula>NOT(ISERROR(SEARCH(("리턴"),(A56))))</formula>
    </cfRule>
  </conditionalFormatting>
  <conditionalFormatting sqref="A56">
    <cfRule type="containsText" dxfId="2" priority="10929" operator="containsText" text="실패">
      <formula>NOT(ISERROR(SEARCH(("실패"),(A56))))</formula>
    </cfRule>
  </conditionalFormatting>
  <conditionalFormatting sqref="A56">
    <cfRule type="containsText" dxfId="3" priority="10930" operator="containsText" text="관리">
      <formula>NOT(ISERROR(SEARCH(("관리"),(A56))))</formula>
    </cfRule>
  </conditionalFormatting>
  <conditionalFormatting sqref="A56">
    <cfRule type="containsText" dxfId="4" priority="10931" operator="containsText" text="등록">
      <formula>NOT(ISERROR(SEARCH(("등록"),(A56))))</formula>
    </cfRule>
  </conditionalFormatting>
  <conditionalFormatting sqref="A56">
    <cfRule type="containsText" dxfId="0" priority="10932" operator="containsText" text="거부">
      <formula>NOT(ISERROR(SEARCH(("거부"),(A56))))</formula>
    </cfRule>
  </conditionalFormatting>
  <conditionalFormatting sqref="A56">
    <cfRule type="containsText" dxfId="1" priority="10933" operator="containsText" text="리턴">
      <formula>NOT(ISERROR(SEARCH(("리턴"),(A56))))</formula>
    </cfRule>
  </conditionalFormatting>
  <conditionalFormatting sqref="A56">
    <cfRule type="containsText" dxfId="2" priority="10934" operator="containsText" text="실패">
      <formula>NOT(ISERROR(SEARCH(("실패"),(A56))))</formula>
    </cfRule>
  </conditionalFormatting>
  <conditionalFormatting sqref="A56">
    <cfRule type="containsText" dxfId="3" priority="10935" operator="containsText" text="관리">
      <formula>NOT(ISERROR(SEARCH(("관리"),(A56))))</formula>
    </cfRule>
  </conditionalFormatting>
  <conditionalFormatting sqref="A56">
    <cfRule type="containsText" dxfId="4" priority="10936" operator="containsText" text="등록">
      <formula>NOT(ISERROR(SEARCH(("등록"),(A56))))</formula>
    </cfRule>
  </conditionalFormatting>
  <conditionalFormatting sqref="A56">
    <cfRule type="containsText" dxfId="0" priority="10937" operator="containsText" text="거부">
      <formula>NOT(ISERROR(SEARCH(("거부"),(A56))))</formula>
    </cfRule>
  </conditionalFormatting>
  <conditionalFormatting sqref="A56">
    <cfRule type="containsText" dxfId="1" priority="10938" operator="containsText" text="리턴">
      <formula>NOT(ISERROR(SEARCH(("리턴"),(A56))))</formula>
    </cfRule>
  </conditionalFormatting>
  <conditionalFormatting sqref="A56">
    <cfRule type="containsText" dxfId="2" priority="10939" operator="containsText" text="실패">
      <formula>NOT(ISERROR(SEARCH(("실패"),(A56))))</formula>
    </cfRule>
  </conditionalFormatting>
  <conditionalFormatting sqref="A56">
    <cfRule type="containsText" dxfId="3" priority="10940" operator="containsText" text="관리">
      <formula>NOT(ISERROR(SEARCH(("관리"),(A56))))</formula>
    </cfRule>
  </conditionalFormatting>
  <conditionalFormatting sqref="A56">
    <cfRule type="containsText" dxfId="4" priority="10941" operator="containsText" text="등록">
      <formula>NOT(ISERROR(SEARCH(("등록"),(A56))))</formula>
    </cfRule>
  </conditionalFormatting>
  <conditionalFormatting sqref="A56">
    <cfRule type="containsText" dxfId="0" priority="10942" operator="containsText" text="거부">
      <formula>NOT(ISERROR(SEARCH(("거부"),(A56))))</formula>
    </cfRule>
  </conditionalFormatting>
  <conditionalFormatting sqref="A56">
    <cfRule type="containsText" dxfId="1" priority="10943" operator="containsText" text="리턴">
      <formula>NOT(ISERROR(SEARCH(("리턴"),(A56))))</formula>
    </cfRule>
  </conditionalFormatting>
  <conditionalFormatting sqref="A56">
    <cfRule type="containsText" dxfId="2" priority="10944" operator="containsText" text="실패">
      <formula>NOT(ISERROR(SEARCH(("실패"),(A56))))</formula>
    </cfRule>
  </conditionalFormatting>
  <conditionalFormatting sqref="A56">
    <cfRule type="containsText" dxfId="3" priority="10945" operator="containsText" text="관리">
      <formula>NOT(ISERROR(SEARCH(("관리"),(A56))))</formula>
    </cfRule>
  </conditionalFormatting>
  <conditionalFormatting sqref="A56">
    <cfRule type="containsText" dxfId="4" priority="10946" operator="containsText" text="등록">
      <formula>NOT(ISERROR(SEARCH(("등록"),(A56))))</formula>
    </cfRule>
  </conditionalFormatting>
  <conditionalFormatting sqref="A56">
    <cfRule type="containsText" dxfId="0" priority="10947" operator="containsText" text="거부">
      <formula>NOT(ISERROR(SEARCH(("거부"),(A56))))</formula>
    </cfRule>
  </conditionalFormatting>
  <conditionalFormatting sqref="A56">
    <cfRule type="containsText" dxfId="1" priority="10948" operator="containsText" text="리턴">
      <formula>NOT(ISERROR(SEARCH(("리턴"),(A56))))</formula>
    </cfRule>
  </conditionalFormatting>
  <conditionalFormatting sqref="A56">
    <cfRule type="containsText" dxfId="2" priority="10949" operator="containsText" text="실패">
      <formula>NOT(ISERROR(SEARCH(("실패"),(A56))))</formula>
    </cfRule>
  </conditionalFormatting>
  <conditionalFormatting sqref="A56">
    <cfRule type="containsText" dxfId="3" priority="10950" operator="containsText" text="관리">
      <formula>NOT(ISERROR(SEARCH(("관리"),(A56))))</formula>
    </cfRule>
  </conditionalFormatting>
  <conditionalFormatting sqref="A56">
    <cfRule type="containsText" dxfId="4" priority="10951" operator="containsText" text="등록">
      <formula>NOT(ISERROR(SEARCH(("등록"),(A56))))</formula>
    </cfRule>
  </conditionalFormatting>
  <conditionalFormatting sqref="D56">
    <cfRule type="containsText" dxfId="0" priority="10952" operator="containsText" text="거부">
      <formula>NOT(ISERROR(SEARCH(("거부"),(D56))))</formula>
    </cfRule>
  </conditionalFormatting>
  <conditionalFormatting sqref="D56">
    <cfRule type="containsText" dxfId="1" priority="10953" operator="containsText" text="리턴">
      <formula>NOT(ISERROR(SEARCH(("리턴"),(D56))))</formula>
    </cfRule>
  </conditionalFormatting>
  <conditionalFormatting sqref="D56">
    <cfRule type="containsText" dxfId="2" priority="10954" operator="containsText" text="실패">
      <formula>NOT(ISERROR(SEARCH(("실패"),(D56))))</formula>
    </cfRule>
  </conditionalFormatting>
  <conditionalFormatting sqref="D56">
    <cfRule type="containsText" dxfId="3" priority="10955" operator="containsText" text="관리">
      <formula>NOT(ISERROR(SEARCH(("관리"),(D56))))</formula>
    </cfRule>
  </conditionalFormatting>
  <conditionalFormatting sqref="D56">
    <cfRule type="containsText" dxfId="4" priority="10956" operator="containsText" text="등록">
      <formula>NOT(ISERROR(SEARCH(("등록"),(D56))))</formula>
    </cfRule>
  </conditionalFormatting>
  <conditionalFormatting sqref="D56">
    <cfRule type="containsText" dxfId="0" priority="10957" operator="containsText" text="거부">
      <formula>NOT(ISERROR(SEARCH(("거부"),(D56))))</formula>
    </cfRule>
  </conditionalFormatting>
  <conditionalFormatting sqref="D56">
    <cfRule type="containsText" dxfId="1" priority="10958" operator="containsText" text="리턴">
      <formula>NOT(ISERROR(SEARCH(("리턴"),(D56))))</formula>
    </cfRule>
  </conditionalFormatting>
  <conditionalFormatting sqref="D56">
    <cfRule type="containsText" dxfId="2" priority="10959" operator="containsText" text="실패">
      <formula>NOT(ISERROR(SEARCH(("실패"),(D56))))</formula>
    </cfRule>
  </conditionalFormatting>
  <conditionalFormatting sqref="D56">
    <cfRule type="containsText" dxfId="3" priority="10960" operator="containsText" text="관리">
      <formula>NOT(ISERROR(SEARCH(("관리"),(D56))))</formula>
    </cfRule>
  </conditionalFormatting>
  <conditionalFormatting sqref="D56">
    <cfRule type="containsText" dxfId="4" priority="10961" operator="containsText" text="등록">
      <formula>NOT(ISERROR(SEARCH(("등록"),(D56))))</formula>
    </cfRule>
  </conditionalFormatting>
  <conditionalFormatting sqref="D56">
    <cfRule type="containsText" dxfId="0" priority="10962" operator="containsText" text="거부">
      <formula>NOT(ISERROR(SEARCH(("거부"),(D56))))</formula>
    </cfRule>
  </conditionalFormatting>
  <conditionalFormatting sqref="D56">
    <cfRule type="containsText" dxfId="1" priority="10963" operator="containsText" text="리턴">
      <formula>NOT(ISERROR(SEARCH(("리턴"),(D56))))</formula>
    </cfRule>
  </conditionalFormatting>
  <conditionalFormatting sqref="D56">
    <cfRule type="containsText" dxfId="2" priority="10964" operator="containsText" text="실패">
      <formula>NOT(ISERROR(SEARCH(("실패"),(D56))))</formula>
    </cfRule>
  </conditionalFormatting>
  <conditionalFormatting sqref="D56">
    <cfRule type="containsText" dxfId="3" priority="10965" operator="containsText" text="관리">
      <formula>NOT(ISERROR(SEARCH(("관리"),(D56))))</formula>
    </cfRule>
  </conditionalFormatting>
  <conditionalFormatting sqref="D56">
    <cfRule type="containsText" dxfId="4" priority="10966" operator="containsText" text="등록">
      <formula>NOT(ISERROR(SEARCH(("등록"),(D56))))</formula>
    </cfRule>
  </conditionalFormatting>
  <conditionalFormatting sqref="D56">
    <cfRule type="containsText" dxfId="0" priority="10967" operator="containsText" text="거부">
      <formula>NOT(ISERROR(SEARCH(("거부"),(D56))))</formula>
    </cfRule>
  </conditionalFormatting>
  <conditionalFormatting sqref="D56">
    <cfRule type="containsText" dxfId="1" priority="10968" operator="containsText" text="리턴">
      <formula>NOT(ISERROR(SEARCH(("리턴"),(D56))))</formula>
    </cfRule>
  </conditionalFormatting>
  <conditionalFormatting sqref="D56">
    <cfRule type="containsText" dxfId="2" priority="10969" operator="containsText" text="실패">
      <formula>NOT(ISERROR(SEARCH(("실패"),(D56))))</formula>
    </cfRule>
  </conditionalFormatting>
  <conditionalFormatting sqref="D56">
    <cfRule type="containsText" dxfId="3" priority="10970" operator="containsText" text="관리">
      <formula>NOT(ISERROR(SEARCH(("관리"),(D56))))</formula>
    </cfRule>
  </conditionalFormatting>
  <conditionalFormatting sqref="D56">
    <cfRule type="containsText" dxfId="4" priority="10971" operator="containsText" text="등록">
      <formula>NOT(ISERROR(SEARCH(("등록"),(D56))))</formula>
    </cfRule>
  </conditionalFormatting>
  <conditionalFormatting sqref="D56">
    <cfRule type="containsText" dxfId="0" priority="10972" operator="containsText" text="거부">
      <formula>NOT(ISERROR(SEARCH(("거부"),(D56))))</formula>
    </cfRule>
  </conditionalFormatting>
  <conditionalFormatting sqref="D56">
    <cfRule type="containsText" dxfId="1" priority="10973" operator="containsText" text="리턴">
      <formula>NOT(ISERROR(SEARCH(("리턴"),(D56))))</formula>
    </cfRule>
  </conditionalFormatting>
  <conditionalFormatting sqref="D56">
    <cfRule type="containsText" dxfId="2" priority="10974" operator="containsText" text="실패">
      <formula>NOT(ISERROR(SEARCH(("실패"),(D56))))</formula>
    </cfRule>
  </conditionalFormatting>
  <conditionalFormatting sqref="D56">
    <cfRule type="containsText" dxfId="3" priority="10975" operator="containsText" text="관리">
      <formula>NOT(ISERROR(SEARCH(("관리"),(D56))))</formula>
    </cfRule>
  </conditionalFormatting>
  <conditionalFormatting sqref="D56">
    <cfRule type="containsText" dxfId="4" priority="10976" operator="containsText" text="등록">
      <formula>NOT(ISERROR(SEARCH(("등록"),(D56))))</formula>
    </cfRule>
  </conditionalFormatting>
  <conditionalFormatting sqref="A57">
    <cfRule type="containsText" dxfId="0" priority="10977" operator="containsText" text="거부">
      <formula>NOT(ISERROR(SEARCH(("거부"),(A57))))</formula>
    </cfRule>
  </conditionalFormatting>
  <conditionalFormatting sqref="A57">
    <cfRule type="containsText" dxfId="1" priority="10978" operator="containsText" text="리턴">
      <formula>NOT(ISERROR(SEARCH(("리턴"),(A57))))</formula>
    </cfRule>
  </conditionalFormatting>
  <conditionalFormatting sqref="A57">
    <cfRule type="containsText" dxfId="2" priority="10979" operator="containsText" text="실패">
      <formula>NOT(ISERROR(SEARCH(("실패"),(A57))))</formula>
    </cfRule>
  </conditionalFormatting>
  <conditionalFormatting sqref="A57">
    <cfRule type="containsText" dxfId="3" priority="10980" operator="containsText" text="관리">
      <formula>NOT(ISERROR(SEARCH(("관리"),(A57))))</formula>
    </cfRule>
  </conditionalFormatting>
  <conditionalFormatting sqref="A57">
    <cfRule type="containsText" dxfId="4" priority="10981" operator="containsText" text="등록">
      <formula>NOT(ISERROR(SEARCH(("등록"),(A57))))</formula>
    </cfRule>
  </conditionalFormatting>
  <conditionalFormatting sqref="A57">
    <cfRule type="containsText" dxfId="0" priority="10982" operator="containsText" text="거부">
      <formula>NOT(ISERROR(SEARCH(("거부"),(A57))))</formula>
    </cfRule>
  </conditionalFormatting>
  <conditionalFormatting sqref="A57">
    <cfRule type="containsText" dxfId="1" priority="10983" operator="containsText" text="리턴">
      <formula>NOT(ISERROR(SEARCH(("리턴"),(A57))))</formula>
    </cfRule>
  </conditionalFormatting>
  <conditionalFormatting sqref="A57">
    <cfRule type="containsText" dxfId="2" priority="10984" operator="containsText" text="실패">
      <formula>NOT(ISERROR(SEARCH(("실패"),(A57))))</formula>
    </cfRule>
  </conditionalFormatting>
  <conditionalFormatting sqref="A57">
    <cfRule type="containsText" dxfId="3" priority="10985" operator="containsText" text="관리">
      <formula>NOT(ISERROR(SEARCH(("관리"),(A57))))</formula>
    </cfRule>
  </conditionalFormatting>
  <conditionalFormatting sqref="A57">
    <cfRule type="containsText" dxfId="4" priority="10986" operator="containsText" text="등록">
      <formula>NOT(ISERROR(SEARCH(("등록"),(A57))))</formula>
    </cfRule>
  </conditionalFormatting>
  <conditionalFormatting sqref="A57">
    <cfRule type="containsText" dxfId="0" priority="10987" operator="containsText" text="거부">
      <formula>NOT(ISERROR(SEARCH(("거부"),(A57))))</formula>
    </cfRule>
  </conditionalFormatting>
  <conditionalFormatting sqref="A57">
    <cfRule type="containsText" dxfId="1" priority="10988" operator="containsText" text="리턴">
      <formula>NOT(ISERROR(SEARCH(("리턴"),(A57))))</formula>
    </cfRule>
  </conditionalFormatting>
  <conditionalFormatting sqref="A57">
    <cfRule type="containsText" dxfId="2" priority="10989" operator="containsText" text="실패">
      <formula>NOT(ISERROR(SEARCH(("실패"),(A57))))</formula>
    </cfRule>
  </conditionalFormatting>
  <conditionalFormatting sqref="A57">
    <cfRule type="containsText" dxfId="3" priority="10990" operator="containsText" text="관리">
      <formula>NOT(ISERROR(SEARCH(("관리"),(A57))))</formula>
    </cfRule>
  </conditionalFormatting>
  <conditionalFormatting sqref="A57">
    <cfRule type="containsText" dxfId="4" priority="10991" operator="containsText" text="등록">
      <formula>NOT(ISERROR(SEARCH(("등록"),(A57))))</formula>
    </cfRule>
  </conditionalFormatting>
  <conditionalFormatting sqref="D57">
    <cfRule type="containsText" dxfId="0" priority="10992" operator="containsText" text="거부">
      <formula>NOT(ISERROR(SEARCH(("거부"),(D57))))</formula>
    </cfRule>
  </conditionalFormatting>
  <conditionalFormatting sqref="D57">
    <cfRule type="containsText" dxfId="1" priority="10993" operator="containsText" text="리턴">
      <formula>NOT(ISERROR(SEARCH(("리턴"),(D57))))</formula>
    </cfRule>
  </conditionalFormatting>
  <conditionalFormatting sqref="D57">
    <cfRule type="containsText" dxfId="2" priority="10994" operator="containsText" text="실패">
      <formula>NOT(ISERROR(SEARCH(("실패"),(D57))))</formula>
    </cfRule>
  </conditionalFormatting>
  <conditionalFormatting sqref="D57">
    <cfRule type="containsText" dxfId="3" priority="10995" operator="containsText" text="관리">
      <formula>NOT(ISERROR(SEARCH(("관리"),(D57))))</formula>
    </cfRule>
  </conditionalFormatting>
  <conditionalFormatting sqref="D57">
    <cfRule type="containsText" dxfId="4" priority="10996" operator="containsText" text="등록">
      <formula>NOT(ISERROR(SEARCH(("등록"),(D57))))</formula>
    </cfRule>
  </conditionalFormatting>
  <conditionalFormatting sqref="D57">
    <cfRule type="containsText" dxfId="0" priority="10997" operator="containsText" text="거부">
      <formula>NOT(ISERROR(SEARCH(("거부"),(D57))))</formula>
    </cfRule>
  </conditionalFormatting>
  <conditionalFormatting sqref="D57">
    <cfRule type="containsText" dxfId="1" priority="10998" operator="containsText" text="리턴">
      <formula>NOT(ISERROR(SEARCH(("리턴"),(D57))))</formula>
    </cfRule>
  </conditionalFormatting>
  <conditionalFormatting sqref="D57">
    <cfRule type="containsText" dxfId="2" priority="10999" operator="containsText" text="실패">
      <formula>NOT(ISERROR(SEARCH(("실패"),(D57))))</formula>
    </cfRule>
  </conditionalFormatting>
  <conditionalFormatting sqref="D57">
    <cfRule type="containsText" dxfId="3" priority="11000" operator="containsText" text="관리">
      <formula>NOT(ISERROR(SEARCH(("관리"),(D57))))</formula>
    </cfRule>
  </conditionalFormatting>
  <conditionalFormatting sqref="D57">
    <cfRule type="containsText" dxfId="4" priority="11001" operator="containsText" text="등록">
      <formula>NOT(ISERROR(SEARCH(("등록"),(D57))))</formula>
    </cfRule>
  </conditionalFormatting>
  <conditionalFormatting sqref="D57">
    <cfRule type="containsText" dxfId="0" priority="11002" operator="containsText" text="거부">
      <formula>NOT(ISERROR(SEARCH(("거부"),(D57))))</formula>
    </cfRule>
  </conditionalFormatting>
  <conditionalFormatting sqref="D57">
    <cfRule type="containsText" dxfId="1" priority="11003" operator="containsText" text="리턴">
      <formula>NOT(ISERROR(SEARCH(("리턴"),(D57))))</formula>
    </cfRule>
  </conditionalFormatting>
  <conditionalFormatting sqref="D57">
    <cfRule type="containsText" dxfId="2" priority="11004" operator="containsText" text="실패">
      <formula>NOT(ISERROR(SEARCH(("실패"),(D57))))</formula>
    </cfRule>
  </conditionalFormatting>
  <conditionalFormatting sqref="D57">
    <cfRule type="containsText" dxfId="3" priority="11005" operator="containsText" text="관리">
      <formula>NOT(ISERROR(SEARCH(("관리"),(D57))))</formula>
    </cfRule>
  </conditionalFormatting>
  <conditionalFormatting sqref="D57">
    <cfRule type="containsText" dxfId="4" priority="11006" operator="containsText" text="등록">
      <formula>NOT(ISERROR(SEARCH(("등록"),(D57))))</formula>
    </cfRule>
  </conditionalFormatting>
  <conditionalFormatting sqref="D57">
    <cfRule type="containsText" dxfId="0" priority="11007" operator="containsText" text="거부">
      <formula>NOT(ISERROR(SEARCH(("거부"),(D57))))</formula>
    </cfRule>
  </conditionalFormatting>
  <conditionalFormatting sqref="D57">
    <cfRule type="containsText" dxfId="1" priority="11008" operator="containsText" text="리턴">
      <formula>NOT(ISERROR(SEARCH(("리턴"),(D57))))</formula>
    </cfRule>
  </conditionalFormatting>
  <conditionalFormatting sqref="D57">
    <cfRule type="containsText" dxfId="2" priority="11009" operator="containsText" text="실패">
      <formula>NOT(ISERROR(SEARCH(("실패"),(D57))))</formula>
    </cfRule>
  </conditionalFormatting>
  <conditionalFormatting sqref="D57">
    <cfRule type="containsText" dxfId="3" priority="11010" operator="containsText" text="관리">
      <formula>NOT(ISERROR(SEARCH(("관리"),(D57))))</formula>
    </cfRule>
  </conditionalFormatting>
  <conditionalFormatting sqref="D57">
    <cfRule type="containsText" dxfId="4" priority="11011" operator="containsText" text="등록">
      <formula>NOT(ISERROR(SEARCH(("등록"),(D57))))</formula>
    </cfRule>
  </conditionalFormatting>
  <conditionalFormatting sqref="D57">
    <cfRule type="containsText" dxfId="0" priority="11012" operator="containsText" text="거부">
      <formula>NOT(ISERROR(SEARCH(("거부"),(D57))))</formula>
    </cfRule>
  </conditionalFormatting>
  <conditionalFormatting sqref="D57">
    <cfRule type="containsText" dxfId="1" priority="11013" operator="containsText" text="리턴">
      <formula>NOT(ISERROR(SEARCH(("리턴"),(D57))))</formula>
    </cfRule>
  </conditionalFormatting>
  <conditionalFormatting sqref="D57">
    <cfRule type="containsText" dxfId="2" priority="11014" operator="containsText" text="실패">
      <formula>NOT(ISERROR(SEARCH(("실패"),(D57))))</formula>
    </cfRule>
  </conditionalFormatting>
  <conditionalFormatting sqref="D57">
    <cfRule type="containsText" dxfId="3" priority="11015" operator="containsText" text="관리">
      <formula>NOT(ISERROR(SEARCH(("관리"),(D57))))</formula>
    </cfRule>
  </conditionalFormatting>
  <conditionalFormatting sqref="D57">
    <cfRule type="containsText" dxfId="4" priority="11016" operator="containsText" text="등록">
      <formula>NOT(ISERROR(SEARCH(("등록"),(D57))))</formula>
    </cfRule>
  </conditionalFormatting>
  <conditionalFormatting sqref="D57">
    <cfRule type="containsText" dxfId="0" priority="11017" operator="containsText" text="거부">
      <formula>NOT(ISERROR(SEARCH(("거부"),(D57))))</formula>
    </cfRule>
  </conditionalFormatting>
  <conditionalFormatting sqref="D57">
    <cfRule type="containsText" dxfId="1" priority="11018" operator="containsText" text="리턴">
      <formula>NOT(ISERROR(SEARCH(("리턴"),(D57))))</formula>
    </cfRule>
  </conditionalFormatting>
  <conditionalFormatting sqref="D57">
    <cfRule type="containsText" dxfId="2" priority="11019" operator="containsText" text="실패">
      <formula>NOT(ISERROR(SEARCH(("실패"),(D57))))</formula>
    </cfRule>
  </conditionalFormatting>
  <conditionalFormatting sqref="D57">
    <cfRule type="containsText" dxfId="3" priority="11020" operator="containsText" text="관리">
      <formula>NOT(ISERROR(SEARCH(("관리"),(D57))))</formula>
    </cfRule>
  </conditionalFormatting>
  <conditionalFormatting sqref="D57">
    <cfRule type="containsText" dxfId="4" priority="11021" operator="containsText" text="등록">
      <formula>NOT(ISERROR(SEARCH(("등록"),(D57))))</formula>
    </cfRule>
  </conditionalFormatting>
  <conditionalFormatting sqref="J57">
    <cfRule type="containsText" dxfId="0" priority="11022" operator="containsText" text="거부">
      <formula>NOT(ISERROR(SEARCH(("거부"),(J57))))</formula>
    </cfRule>
  </conditionalFormatting>
  <conditionalFormatting sqref="J57">
    <cfRule type="containsText" dxfId="1" priority="11023" operator="containsText" text="리턴">
      <formula>NOT(ISERROR(SEARCH(("리턴"),(J57))))</formula>
    </cfRule>
  </conditionalFormatting>
  <conditionalFormatting sqref="J57">
    <cfRule type="containsText" dxfId="2" priority="11024" operator="containsText" text="실패">
      <formula>NOT(ISERROR(SEARCH(("실패"),(J57))))</formula>
    </cfRule>
  </conditionalFormatting>
  <conditionalFormatting sqref="J57">
    <cfRule type="containsText" dxfId="3" priority="11025" operator="containsText" text="관리">
      <formula>NOT(ISERROR(SEARCH(("관리"),(J57))))</formula>
    </cfRule>
  </conditionalFormatting>
  <conditionalFormatting sqref="J57">
    <cfRule type="containsText" dxfId="4" priority="11026" operator="containsText" text="등록">
      <formula>NOT(ISERROR(SEARCH(("등록"),(J57))))</formula>
    </cfRule>
  </conditionalFormatting>
  <conditionalFormatting sqref="J57">
    <cfRule type="containsText" dxfId="0" priority="11027" operator="containsText" text="거부">
      <formula>NOT(ISERROR(SEARCH(("거부"),(J57))))</formula>
    </cfRule>
  </conditionalFormatting>
  <conditionalFormatting sqref="J57">
    <cfRule type="containsText" dxfId="1" priority="11028" operator="containsText" text="리턴">
      <formula>NOT(ISERROR(SEARCH(("리턴"),(J57))))</formula>
    </cfRule>
  </conditionalFormatting>
  <conditionalFormatting sqref="J57">
    <cfRule type="containsText" dxfId="2" priority="11029" operator="containsText" text="실패">
      <formula>NOT(ISERROR(SEARCH(("실패"),(J57))))</formula>
    </cfRule>
  </conditionalFormatting>
  <conditionalFormatting sqref="J57">
    <cfRule type="containsText" dxfId="3" priority="11030" operator="containsText" text="관리">
      <formula>NOT(ISERROR(SEARCH(("관리"),(J57))))</formula>
    </cfRule>
  </conditionalFormatting>
  <conditionalFormatting sqref="J57">
    <cfRule type="containsText" dxfId="4" priority="11031" operator="containsText" text="등록">
      <formula>NOT(ISERROR(SEARCH(("등록"),(J57))))</formula>
    </cfRule>
  </conditionalFormatting>
  <conditionalFormatting sqref="A10">
    <cfRule type="containsText" dxfId="0" priority="11032" operator="containsText" text="거부">
      <formula>NOT(ISERROR(SEARCH(("거부"),(A10))))</formula>
    </cfRule>
  </conditionalFormatting>
  <conditionalFormatting sqref="A10">
    <cfRule type="containsText" dxfId="1" priority="11033" operator="containsText" text="리턴">
      <formula>NOT(ISERROR(SEARCH(("리턴"),(A10))))</formula>
    </cfRule>
  </conditionalFormatting>
  <conditionalFormatting sqref="A10">
    <cfRule type="containsText" dxfId="2" priority="11034" operator="containsText" text="실패">
      <formula>NOT(ISERROR(SEARCH(("실패"),(A10))))</formula>
    </cfRule>
  </conditionalFormatting>
  <conditionalFormatting sqref="A10">
    <cfRule type="containsText" dxfId="3" priority="11035" operator="containsText" text="관리">
      <formula>NOT(ISERROR(SEARCH(("관리"),(A10))))</formula>
    </cfRule>
  </conditionalFormatting>
  <conditionalFormatting sqref="A10">
    <cfRule type="containsText" dxfId="4" priority="11036" operator="containsText" text="등록">
      <formula>NOT(ISERROR(SEARCH(("등록"),(A10))))</formula>
    </cfRule>
  </conditionalFormatting>
  <conditionalFormatting sqref="A10">
    <cfRule type="containsText" dxfId="0" priority="11037" operator="containsText" text="거부">
      <formula>NOT(ISERROR(SEARCH(("거부"),(A10))))</formula>
    </cfRule>
  </conditionalFormatting>
  <conditionalFormatting sqref="A10">
    <cfRule type="containsText" dxfId="1" priority="11038" operator="containsText" text="리턴">
      <formula>NOT(ISERROR(SEARCH(("리턴"),(A10))))</formula>
    </cfRule>
  </conditionalFormatting>
  <conditionalFormatting sqref="A10">
    <cfRule type="containsText" dxfId="2" priority="11039" operator="containsText" text="실패">
      <formula>NOT(ISERROR(SEARCH(("실패"),(A10))))</formula>
    </cfRule>
  </conditionalFormatting>
  <conditionalFormatting sqref="A10">
    <cfRule type="containsText" dxfId="3" priority="11040" operator="containsText" text="관리">
      <formula>NOT(ISERROR(SEARCH(("관리"),(A10))))</formula>
    </cfRule>
  </conditionalFormatting>
  <conditionalFormatting sqref="A10">
    <cfRule type="containsText" dxfId="4" priority="11041" operator="containsText" text="등록">
      <formula>NOT(ISERROR(SEARCH(("등록"),(A10))))</formula>
    </cfRule>
  </conditionalFormatting>
  <conditionalFormatting sqref="A10">
    <cfRule type="containsText" dxfId="0" priority="11042" operator="containsText" text="거부">
      <formula>NOT(ISERROR(SEARCH(("거부"),(A10))))</formula>
    </cfRule>
  </conditionalFormatting>
  <conditionalFormatting sqref="A10">
    <cfRule type="containsText" dxfId="1" priority="11043" operator="containsText" text="리턴">
      <formula>NOT(ISERROR(SEARCH(("리턴"),(A10))))</formula>
    </cfRule>
  </conditionalFormatting>
  <conditionalFormatting sqref="A10">
    <cfRule type="containsText" dxfId="2" priority="11044" operator="containsText" text="실패">
      <formula>NOT(ISERROR(SEARCH(("실패"),(A10))))</formula>
    </cfRule>
  </conditionalFormatting>
  <conditionalFormatting sqref="A10">
    <cfRule type="containsText" dxfId="3" priority="11045" operator="containsText" text="관리">
      <formula>NOT(ISERROR(SEARCH(("관리"),(A10))))</formula>
    </cfRule>
  </conditionalFormatting>
  <conditionalFormatting sqref="A10">
    <cfRule type="containsText" dxfId="4" priority="11046" operator="containsText" text="등록">
      <formula>NOT(ISERROR(SEARCH(("등록"),(A10))))</formula>
    </cfRule>
  </conditionalFormatting>
  <conditionalFormatting sqref="A10">
    <cfRule type="containsText" dxfId="0" priority="11047" operator="containsText" text="거부">
      <formula>NOT(ISERROR(SEARCH(("거부"),(A10))))</formula>
    </cfRule>
  </conditionalFormatting>
  <conditionalFormatting sqref="A10">
    <cfRule type="containsText" dxfId="1" priority="11048" operator="containsText" text="리턴">
      <formula>NOT(ISERROR(SEARCH(("리턴"),(A10))))</formula>
    </cfRule>
  </conditionalFormatting>
  <conditionalFormatting sqref="A10">
    <cfRule type="containsText" dxfId="2" priority="11049" operator="containsText" text="실패">
      <formula>NOT(ISERROR(SEARCH(("실패"),(A10))))</formula>
    </cfRule>
  </conditionalFormatting>
  <conditionalFormatting sqref="A10">
    <cfRule type="containsText" dxfId="3" priority="11050" operator="containsText" text="관리">
      <formula>NOT(ISERROR(SEARCH(("관리"),(A10))))</formula>
    </cfRule>
  </conditionalFormatting>
  <conditionalFormatting sqref="A10">
    <cfRule type="containsText" dxfId="4" priority="11051" operator="containsText" text="등록">
      <formula>NOT(ISERROR(SEARCH(("등록"),(A10))))</formula>
    </cfRule>
  </conditionalFormatting>
  <conditionalFormatting sqref="A18">
    <cfRule type="containsText" dxfId="0" priority="11052" operator="containsText" text="거부">
      <formula>NOT(ISERROR(SEARCH(("거부"),(A18))))</formula>
    </cfRule>
  </conditionalFormatting>
  <conditionalFormatting sqref="A18">
    <cfRule type="containsText" dxfId="1" priority="11053" operator="containsText" text="리턴">
      <formula>NOT(ISERROR(SEARCH(("리턴"),(A18))))</formula>
    </cfRule>
  </conditionalFormatting>
  <conditionalFormatting sqref="A18">
    <cfRule type="containsText" dxfId="2" priority="11054" operator="containsText" text="실패">
      <formula>NOT(ISERROR(SEARCH(("실패"),(A18))))</formula>
    </cfRule>
  </conditionalFormatting>
  <conditionalFormatting sqref="A18">
    <cfRule type="containsText" dxfId="3" priority="11055" operator="containsText" text="관리">
      <formula>NOT(ISERROR(SEARCH(("관리"),(A18))))</formula>
    </cfRule>
  </conditionalFormatting>
  <conditionalFormatting sqref="A18">
    <cfRule type="containsText" dxfId="4" priority="11056" operator="containsText" text="등록">
      <formula>NOT(ISERROR(SEARCH(("등록"),(A18))))</formula>
    </cfRule>
  </conditionalFormatting>
  <conditionalFormatting sqref="A18">
    <cfRule type="containsText" dxfId="0" priority="11057" operator="containsText" text="거부">
      <formula>NOT(ISERROR(SEARCH(("거부"),(A18))))</formula>
    </cfRule>
  </conditionalFormatting>
  <conditionalFormatting sqref="A18">
    <cfRule type="containsText" dxfId="1" priority="11058" operator="containsText" text="리턴">
      <formula>NOT(ISERROR(SEARCH(("리턴"),(A18))))</formula>
    </cfRule>
  </conditionalFormatting>
  <conditionalFormatting sqref="A18">
    <cfRule type="containsText" dxfId="2" priority="11059" operator="containsText" text="실패">
      <formula>NOT(ISERROR(SEARCH(("실패"),(A18))))</formula>
    </cfRule>
  </conditionalFormatting>
  <conditionalFormatting sqref="A18">
    <cfRule type="containsText" dxfId="3" priority="11060" operator="containsText" text="관리">
      <formula>NOT(ISERROR(SEARCH(("관리"),(A18))))</formula>
    </cfRule>
  </conditionalFormatting>
  <conditionalFormatting sqref="A18">
    <cfRule type="containsText" dxfId="4" priority="11061" operator="containsText" text="등록">
      <formula>NOT(ISERROR(SEARCH(("등록"),(A18))))</formula>
    </cfRule>
  </conditionalFormatting>
  <conditionalFormatting sqref="A18">
    <cfRule type="containsText" dxfId="0" priority="11062" operator="containsText" text="거부">
      <formula>NOT(ISERROR(SEARCH(("거부"),(A18))))</formula>
    </cfRule>
  </conditionalFormatting>
  <conditionalFormatting sqref="A18">
    <cfRule type="containsText" dxfId="1" priority="11063" operator="containsText" text="리턴">
      <formula>NOT(ISERROR(SEARCH(("리턴"),(A18))))</formula>
    </cfRule>
  </conditionalFormatting>
  <conditionalFormatting sqref="A18">
    <cfRule type="containsText" dxfId="2" priority="11064" operator="containsText" text="실패">
      <formula>NOT(ISERROR(SEARCH(("실패"),(A18))))</formula>
    </cfRule>
  </conditionalFormatting>
  <conditionalFormatting sqref="A18">
    <cfRule type="containsText" dxfId="3" priority="11065" operator="containsText" text="관리">
      <formula>NOT(ISERROR(SEARCH(("관리"),(A18))))</formula>
    </cfRule>
  </conditionalFormatting>
  <conditionalFormatting sqref="A18">
    <cfRule type="containsText" dxfId="4" priority="11066" operator="containsText" text="등록">
      <formula>NOT(ISERROR(SEARCH(("등록"),(A18))))</formula>
    </cfRule>
  </conditionalFormatting>
  <conditionalFormatting sqref="A18">
    <cfRule type="containsText" dxfId="0" priority="11067" operator="containsText" text="거부">
      <formula>NOT(ISERROR(SEARCH(("거부"),(A18))))</formula>
    </cfRule>
  </conditionalFormatting>
  <conditionalFormatting sqref="A18">
    <cfRule type="containsText" dxfId="1" priority="11068" operator="containsText" text="리턴">
      <formula>NOT(ISERROR(SEARCH(("리턴"),(A18))))</formula>
    </cfRule>
  </conditionalFormatting>
  <conditionalFormatting sqref="A18">
    <cfRule type="containsText" dxfId="2" priority="11069" operator="containsText" text="실패">
      <formula>NOT(ISERROR(SEARCH(("실패"),(A18))))</formula>
    </cfRule>
  </conditionalFormatting>
  <conditionalFormatting sqref="A18">
    <cfRule type="containsText" dxfId="3" priority="11070" operator="containsText" text="관리">
      <formula>NOT(ISERROR(SEARCH(("관리"),(A18))))</formula>
    </cfRule>
  </conditionalFormatting>
  <conditionalFormatting sqref="A18">
    <cfRule type="containsText" dxfId="4" priority="11071" operator="containsText" text="등록">
      <formula>NOT(ISERROR(SEARCH(("등록"),(A18))))</formula>
    </cfRule>
  </conditionalFormatting>
  <conditionalFormatting sqref="A42">
    <cfRule type="containsText" dxfId="0" priority="11072" operator="containsText" text="거부">
      <formula>NOT(ISERROR(SEARCH(("거부"),(A42))))</formula>
    </cfRule>
  </conditionalFormatting>
  <conditionalFormatting sqref="A42">
    <cfRule type="containsText" dxfId="1" priority="11073" operator="containsText" text="리턴">
      <formula>NOT(ISERROR(SEARCH(("리턴"),(A42))))</formula>
    </cfRule>
  </conditionalFormatting>
  <conditionalFormatting sqref="A42">
    <cfRule type="containsText" dxfId="2" priority="11074" operator="containsText" text="실패">
      <formula>NOT(ISERROR(SEARCH(("실패"),(A42))))</formula>
    </cfRule>
  </conditionalFormatting>
  <conditionalFormatting sqref="A42">
    <cfRule type="containsText" dxfId="3" priority="11075" operator="containsText" text="관리">
      <formula>NOT(ISERROR(SEARCH(("관리"),(A42))))</formula>
    </cfRule>
  </conditionalFormatting>
  <conditionalFormatting sqref="A42">
    <cfRule type="containsText" dxfId="4" priority="11076" operator="containsText" text="등록">
      <formula>NOT(ISERROR(SEARCH(("등록"),(A42))))</formula>
    </cfRule>
  </conditionalFormatting>
  <conditionalFormatting sqref="A42">
    <cfRule type="containsText" dxfId="0" priority="11077" operator="containsText" text="거부">
      <formula>NOT(ISERROR(SEARCH(("거부"),(A42))))</formula>
    </cfRule>
  </conditionalFormatting>
  <conditionalFormatting sqref="A42">
    <cfRule type="containsText" dxfId="1" priority="11078" operator="containsText" text="리턴">
      <formula>NOT(ISERROR(SEARCH(("리턴"),(A42))))</formula>
    </cfRule>
  </conditionalFormatting>
  <conditionalFormatting sqref="A42">
    <cfRule type="containsText" dxfId="2" priority="11079" operator="containsText" text="실패">
      <formula>NOT(ISERROR(SEARCH(("실패"),(A42))))</formula>
    </cfRule>
  </conditionalFormatting>
  <conditionalFormatting sqref="A42">
    <cfRule type="containsText" dxfId="3" priority="11080" operator="containsText" text="관리">
      <formula>NOT(ISERROR(SEARCH(("관리"),(A42))))</formula>
    </cfRule>
  </conditionalFormatting>
  <conditionalFormatting sqref="A42">
    <cfRule type="containsText" dxfId="4" priority="11081" operator="containsText" text="등록">
      <formula>NOT(ISERROR(SEARCH(("등록"),(A42))))</formula>
    </cfRule>
  </conditionalFormatting>
  <conditionalFormatting sqref="A42">
    <cfRule type="containsText" dxfId="0" priority="11082" operator="containsText" text="거부">
      <formula>NOT(ISERROR(SEARCH(("거부"),(A42))))</formula>
    </cfRule>
  </conditionalFormatting>
  <conditionalFormatting sqref="A42">
    <cfRule type="containsText" dxfId="1" priority="11083" operator="containsText" text="리턴">
      <formula>NOT(ISERROR(SEARCH(("리턴"),(A42))))</formula>
    </cfRule>
  </conditionalFormatting>
  <conditionalFormatting sqref="A42">
    <cfRule type="containsText" dxfId="2" priority="11084" operator="containsText" text="실패">
      <formula>NOT(ISERROR(SEARCH(("실패"),(A42))))</formula>
    </cfRule>
  </conditionalFormatting>
  <conditionalFormatting sqref="A42">
    <cfRule type="containsText" dxfId="3" priority="11085" operator="containsText" text="관리">
      <formula>NOT(ISERROR(SEARCH(("관리"),(A42))))</formula>
    </cfRule>
  </conditionalFormatting>
  <conditionalFormatting sqref="A42">
    <cfRule type="containsText" dxfId="4" priority="11086" operator="containsText" text="등록">
      <formula>NOT(ISERROR(SEARCH(("등록"),(A42))))</formula>
    </cfRule>
  </conditionalFormatting>
  <conditionalFormatting sqref="A42">
    <cfRule type="containsText" dxfId="0" priority="11087" operator="containsText" text="거부">
      <formula>NOT(ISERROR(SEARCH(("거부"),(A42))))</formula>
    </cfRule>
  </conditionalFormatting>
  <conditionalFormatting sqref="A42">
    <cfRule type="containsText" dxfId="1" priority="11088" operator="containsText" text="리턴">
      <formula>NOT(ISERROR(SEARCH(("리턴"),(A42))))</formula>
    </cfRule>
  </conditionalFormatting>
  <conditionalFormatting sqref="A42">
    <cfRule type="containsText" dxfId="2" priority="11089" operator="containsText" text="실패">
      <formula>NOT(ISERROR(SEARCH(("실패"),(A42))))</formula>
    </cfRule>
  </conditionalFormatting>
  <conditionalFormatting sqref="A42">
    <cfRule type="containsText" dxfId="3" priority="11090" operator="containsText" text="관리">
      <formula>NOT(ISERROR(SEARCH(("관리"),(A42))))</formula>
    </cfRule>
  </conditionalFormatting>
  <conditionalFormatting sqref="A42">
    <cfRule type="containsText" dxfId="4" priority="11091" operator="containsText" text="등록">
      <formula>NOT(ISERROR(SEARCH(("등록"),(A42))))</formula>
    </cfRule>
  </conditionalFormatting>
  <conditionalFormatting sqref="D62">
    <cfRule type="containsText" dxfId="0" priority="11092" operator="containsText" text="거부">
      <formula>NOT(ISERROR(SEARCH(("거부"),(D62))))</formula>
    </cfRule>
  </conditionalFormatting>
  <conditionalFormatting sqref="D62">
    <cfRule type="containsText" dxfId="1" priority="11093" operator="containsText" text="리턴">
      <formula>NOT(ISERROR(SEARCH(("리턴"),(D62))))</formula>
    </cfRule>
  </conditionalFormatting>
  <conditionalFormatting sqref="D62">
    <cfRule type="containsText" dxfId="2" priority="11094" operator="containsText" text="실패">
      <formula>NOT(ISERROR(SEARCH(("실패"),(D62))))</formula>
    </cfRule>
  </conditionalFormatting>
  <conditionalFormatting sqref="D62">
    <cfRule type="containsText" dxfId="3" priority="11095" operator="containsText" text="관리">
      <formula>NOT(ISERROR(SEARCH(("관리"),(D62))))</formula>
    </cfRule>
  </conditionalFormatting>
  <conditionalFormatting sqref="D62">
    <cfRule type="containsText" dxfId="4" priority="11096" operator="containsText" text="등록">
      <formula>NOT(ISERROR(SEARCH(("등록"),(D62))))</formula>
    </cfRule>
  </conditionalFormatting>
  <conditionalFormatting sqref="D62">
    <cfRule type="containsText" dxfId="0" priority="11097" operator="containsText" text="거부">
      <formula>NOT(ISERROR(SEARCH(("거부"),(D62))))</formula>
    </cfRule>
  </conditionalFormatting>
  <conditionalFormatting sqref="D62">
    <cfRule type="containsText" dxfId="1" priority="11098" operator="containsText" text="리턴">
      <formula>NOT(ISERROR(SEARCH(("리턴"),(D62))))</formula>
    </cfRule>
  </conditionalFormatting>
  <conditionalFormatting sqref="D62">
    <cfRule type="containsText" dxfId="2" priority="11099" operator="containsText" text="실패">
      <formula>NOT(ISERROR(SEARCH(("실패"),(D62))))</formula>
    </cfRule>
  </conditionalFormatting>
  <conditionalFormatting sqref="D62">
    <cfRule type="containsText" dxfId="3" priority="11100" operator="containsText" text="관리">
      <formula>NOT(ISERROR(SEARCH(("관리"),(D62))))</formula>
    </cfRule>
  </conditionalFormatting>
  <conditionalFormatting sqref="D62">
    <cfRule type="containsText" dxfId="4" priority="11101" operator="containsText" text="등록">
      <formula>NOT(ISERROR(SEARCH(("등록"),(D62))))</formula>
    </cfRule>
  </conditionalFormatting>
  <conditionalFormatting sqref="D62">
    <cfRule type="containsText" dxfId="0" priority="11102" operator="containsText" text="거부">
      <formula>NOT(ISERROR(SEARCH(("거부"),(D62))))</formula>
    </cfRule>
  </conditionalFormatting>
  <conditionalFormatting sqref="D62">
    <cfRule type="containsText" dxfId="1" priority="11103" operator="containsText" text="리턴">
      <formula>NOT(ISERROR(SEARCH(("리턴"),(D62))))</formula>
    </cfRule>
  </conditionalFormatting>
  <conditionalFormatting sqref="D62">
    <cfRule type="containsText" dxfId="2" priority="11104" operator="containsText" text="실패">
      <formula>NOT(ISERROR(SEARCH(("실패"),(D62))))</formula>
    </cfRule>
  </conditionalFormatting>
  <conditionalFormatting sqref="D62">
    <cfRule type="containsText" dxfId="3" priority="11105" operator="containsText" text="관리">
      <formula>NOT(ISERROR(SEARCH(("관리"),(D62))))</formula>
    </cfRule>
  </conditionalFormatting>
  <conditionalFormatting sqref="D62">
    <cfRule type="containsText" dxfId="4" priority="11106" operator="containsText" text="등록">
      <formula>NOT(ISERROR(SEARCH(("등록"),(D62))))</formula>
    </cfRule>
  </conditionalFormatting>
  <conditionalFormatting sqref="D62">
    <cfRule type="containsText" dxfId="0" priority="11107" operator="containsText" text="거부">
      <formula>NOT(ISERROR(SEARCH(("거부"),(D62))))</formula>
    </cfRule>
  </conditionalFormatting>
  <conditionalFormatting sqref="D62">
    <cfRule type="containsText" dxfId="1" priority="11108" operator="containsText" text="리턴">
      <formula>NOT(ISERROR(SEARCH(("리턴"),(D62))))</formula>
    </cfRule>
  </conditionalFormatting>
  <conditionalFormatting sqref="D62">
    <cfRule type="containsText" dxfId="2" priority="11109" operator="containsText" text="실패">
      <formula>NOT(ISERROR(SEARCH(("실패"),(D62))))</formula>
    </cfRule>
  </conditionalFormatting>
  <conditionalFormatting sqref="D62">
    <cfRule type="containsText" dxfId="3" priority="11110" operator="containsText" text="관리">
      <formula>NOT(ISERROR(SEARCH(("관리"),(D62))))</formula>
    </cfRule>
  </conditionalFormatting>
  <conditionalFormatting sqref="D62">
    <cfRule type="containsText" dxfId="4" priority="11111" operator="containsText" text="등록">
      <formula>NOT(ISERROR(SEARCH(("등록"),(D62))))</formula>
    </cfRule>
  </conditionalFormatting>
  <conditionalFormatting sqref="D62">
    <cfRule type="containsText" dxfId="0" priority="11112" operator="containsText" text="거부">
      <formula>NOT(ISERROR(SEARCH(("거부"),(D62))))</formula>
    </cfRule>
  </conditionalFormatting>
  <conditionalFormatting sqref="D62">
    <cfRule type="containsText" dxfId="1" priority="11113" operator="containsText" text="리턴">
      <formula>NOT(ISERROR(SEARCH(("리턴"),(D62))))</formula>
    </cfRule>
  </conditionalFormatting>
  <conditionalFormatting sqref="D62">
    <cfRule type="containsText" dxfId="2" priority="11114" operator="containsText" text="실패">
      <formula>NOT(ISERROR(SEARCH(("실패"),(D62))))</formula>
    </cfRule>
  </conditionalFormatting>
  <conditionalFormatting sqref="D62">
    <cfRule type="containsText" dxfId="3" priority="11115" operator="containsText" text="관리">
      <formula>NOT(ISERROR(SEARCH(("관리"),(D62))))</formula>
    </cfRule>
  </conditionalFormatting>
  <conditionalFormatting sqref="D62">
    <cfRule type="containsText" dxfId="4" priority="11116" operator="containsText" text="등록">
      <formula>NOT(ISERROR(SEARCH(("등록"),(D62))))</formula>
    </cfRule>
  </conditionalFormatting>
  <conditionalFormatting sqref="D62">
    <cfRule type="containsText" dxfId="0" priority="11117" operator="containsText" text="거부">
      <formula>NOT(ISERROR(SEARCH(("거부"),(D62))))</formula>
    </cfRule>
  </conditionalFormatting>
  <conditionalFormatting sqref="D62">
    <cfRule type="containsText" dxfId="1" priority="11118" operator="containsText" text="리턴">
      <formula>NOT(ISERROR(SEARCH(("리턴"),(D62))))</formula>
    </cfRule>
  </conditionalFormatting>
  <conditionalFormatting sqref="D62">
    <cfRule type="containsText" dxfId="2" priority="11119" operator="containsText" text="실패">
      <formula>NOT(ISERROR(SEARCH(("실패"),(D62))))</formula>
    </cfRule>
  </conditionalFormatting>
  <conditionalFormatting sqref="D62">
    <cfRule type="containsText" dxfId="3" priority="11120" operator="containsText" text="관리">
      <formula>NOT(ISERROR(SEARCH(("관리"),(D62))))</formula>
    </cfRule>
  </conditionalFormatting>
  <conditionalFormatting sqref="D62">
    <cfRule type="containsText" dxfId="4" priority="11121" operator="containsText" text="등록">
      <formula>NOT(ISERROR(SEARCH(("등록"),(D62))))</formula>
    </cfRule>
  </conditionalFormatting>
  <conditionalFormatting sqref="D62">
    <cfRule type="containsText" dxfId="0" priority="11122" operator="containsText" text="거부">
      <formula>NOT(ISERROR(SEARCH(("거부"),(D62))))</formula>
    </cfRule>
  </conditionalFormatting>
  <conditionalFormatting sqref="D62">
    <cfRule type="containsText" dxfId="1" priority="11123" operator="containsText" text="리턴">
      <formula>NOT(ISERROR(SEARCH(("리턴"),(D62))))</formula>
    </cfRule>
  </conditionalFormatting>
  <conditionalFormatting sqref="D62">
    <cfRule type="containsText" dxfId="2" priority="11124" operator="containsText" text="실패">
      <formula>NOT(ISERROR(SEARCH(("실패"),(D62))))</formula>
    </cfRule>
  </conditionalFormatting>
  <conditionalFormatting sqref="D62">
    <cfRule type="containsText" dxfId="3" priority="11125" operator="containsText" text="관리">
      <formula>NOT(ISERROR(SEARCH(("관리"),(D62))))</formula>
    </cfRule>
  </conditionalFormatting>
  <conditionalFormatting sqref="D62">
    <cfRule type="containsText" dxfId="4" priority="11126" operator="containsText" text="등록">
      <formula>NOT(ISERROR(SEARCH(("등록"),(D62))))</formula>
    </cfRule>
  </conditionalFormatting>
  <conditionalFormatting sqref="D62">
    <cfRule type="containsText" dxfId="0" priority="11127" operator="containsText" text="거부">
      <formula>NOT(ISERROR(SEARCH(("거부"),(D62))))</formula>
    </cfRule>
  </conditionalFormatting>
  <conditionalFormatting sqref="D62">
    <cfRule type="containsText" dxfId="1" priority="11128" operator="containsText" text="리턴">
      <formula>NOT(ISERROR(SEARCH(("리턴"),(D62))))</formula>
    </cfRule>
  </conditionalFormatting>
  <conditionalFormatting sqref="D62">
    <cfRule type="containsText" dxfId="2" priority="11129" operator="containsText" text="실패">
      <formula>NOT(ISERROR(SEARCH(("실패"),(D62))))</formula>
    </cfRule>
  </conditionalFormatting>
  <conditionalFormatting sqref="D62">
    <cfRule type="containsText" dxfId="3" priority="11130" operator="containsText" text="관리">
      <formula>NOT(ISERROR(SEARCH(("관리"),(D62))))</formula>
    </cfRule>
  </conditionalFormatting>
  <conditionalFormatting sqref="D62">
    <cfRule type="containsText" dxfId="4" priority="11131" operator="containsText" text="등록">
      <formula>NOT(ISERROR(SEARCH(("등록"),(D62))))</formula>
    </cfRule>
  </conditionalFormatting>
  <conditionalFormatting sqref="D62">
    <cfRule type="containsText" dxfId="0" priority="11132" operator="containsText" text="거부">
      <formula>NOT(ISERROR(SEARCH(("거부"),(D62))))</formula>
    </cfRule>
  </conditionalFormatting>
  <conditionalFormatting sqref="D62">
    <cfRule type="containsText" dxfId="1" priority="11133" operator="containsText" text="리턴">
      <formula>NOT(ISERROR(SEARCH(("리턴"),(D62))))</formula>
    </cfRule>
  </conditionalFormatting>
  <conditionalFormatting sqref="D62">
    <cfRule type="containsText" dxfId="2" priority="11134" operator="containsText" text="실패">
      <formula>NOT(ISERROR(SEARCH(("실패"),(D62))))</formula>
    </cfRule>
  </conditionalFormatting>
  <conditionalFormatting sqref="D62">
    <cfRule type="containsText" dxfId="3" priority="11135" operator="containsText" text="관리">
      <formula>NOT(ISERROR(SEARCH(("관리"),(D62))))</formula>
    </cfRule>
  </conditionalFormatting>
  <conditionalFormatting sqref="D62">
    <cfRule type="containsText" dxfId="4" priority="11136" operator="containsText" text="등록">
      <formula>NOT(ISERROR(SEARCH(("등록"),(D62))))</formula>
    </cfRule>
  </conditionalFormatting>
  <conditionalFormatting sqref="D62">
    <cfRule type="containsText" dxfId="0" priority="11137" operator="containsText" text="거부">
      <formula>NOT(ISERROR(SEARCH(("거부"),(D62))))</formula>
    </cfRule>
  </conditionalFormatting>
  <conditionalFormatting sqref="D62">
    <cfRule type="containsText" dxfId="1" priority="11138" operator="containsText" text="리턴">
      <formula>NOT(ISERROR(SEARCH(("리턴"),(D62))))</formula>
    </cfRule>
  </conditionalFormatting>
  <conditionalFormatting sqref="D62">
    <cfRule type="containsText" dxfId="2" priority="11139" operator="containsText" text="실패">
      <formula>NOT(ISERROR(SEARCH(("실패"),(D62))))</formula>
    </cfRule>
  </conditionalFormatting>
  <conditionalFormatting sqref="D62">
    <cfRule type="containsText" dxfId="3" priority="11140" operator="containsText" text="관리">
      <formula>NOT(ISERROR(SEARCH(("관리"),(D62))))</formula>
    </cfRule>
  </conditionalFormatting>
  <conditionalFormatting sqref="D62">
    <cfRule type="containsText" dxfId="4" priority="11141" operator="containsText" text="등록">
      <formula>NOT(ISERROR(SEARCH(("등록"),(D62))))</formula>
    </cfRule>
  </conditionalFormatting>
  <conditionalFormatting sqref="E62">
    <cfRule type="containsText" dxfId="0" priority="11142" operator="containsText" text="거부">
      <formula>NOT(ISERROR(SEARCH(("거부"),(E62))))</formula>
    </cfRule>
  </conditionalFormatting>
  <conditionalFormatting sqref="E62">
    <cfRule type="containsText" dxfId="1" priority="11143" operator="containsText" text="리턴">
      <formula>NOT(ISERROR(SEARCH(("리턴"),(E62))))</formula>
    </cfRule>
  </conditionalFormatting>
  <conditionalFormatting sqref="E62">
    <cfRule type="containsText" dxfId="2" priority="11144" operator="containsText" text="실패">
      <formula>NOT(ISERROR(SEARCH(("실패"),(E62))))</formula>
    </cfRule>
  </conditionalFormatting>
  <conditionalFormatting sqref="E62">
    <cfRule type="containsText" dxfId="3" priority="11145" operator="containsText" text="관리">
      <formula>NOT(ISERROR(SEARCH(("관리"),(E62))))</formula>
    </cfRule>
  </conditionalFormatting>
  <conditionalFormatting sqref="E62">
    <cfRule type="containsText" dxfId="4" priority="11146" operator="containsText" text="등록">
      <formula>NOT(ISERROR(SEARCH(("등록"),(E62))))</formula>
    </cfRule>
  </conditionalFormatting>
  <conditionalFormatting sqref="E62">
    <cfRule type="containsText" dxfId="0" priority="11147" operator="containsText" text="거부">
      <formula>NOT(ISERROR(SEARCH(("거부"),(E62))))</formula>
    </cfRule>
  </conditionalFormatting>
  <conditionalFormatting sqref="E62">
    <cfRule type="containsText" dxfId="1" priority="11148" operator="containsText" text="리턴">
      <formula>NOT(ISERROR(SEARCH(("리턴"),(E62))))</formula>
    </cfRule>
  </conditionalFormatting>
  <conditionalFormatting sqref="E62">
    <cfRule type="containsText" dxfId="2" priority="11149" operator="containsText" text="실패">
      <formula>NOT(ISERROR(SEARCH(("실패"),(E62))))</formula>
    </cfRule>
  </conditionalFormatting>
  <conditionalFormatting sqref="E62">
    <cfRule type="containsText" dxfId="3" priority="11150" operator="containsText" text="관리">
      <formula>NOT(ISERROR(SEARCH(("관리"),(E62))))</formula>
    </cfRule>
  </conditionalFormatting>
  <conditionalFormatting sqref="E62">
    <cfRule type="containsText" dxfId="4" priority="11151" operator="containsText" text="등록">
      <formula>NOT(ISERROR(SEARCH(("등록"),(E62))))</formula>
    </cfRule>
  </conditionalFormatting>
  <conditionalFormatting sqref="J62">
    <cfRule type="containsText" dxfId="0" priority="11152" operator="containsText" text="거부">
      <formula>NOT(ISERROR(SEARCH(("거부"),(J62))))</formula>
    </cfRule>
  </conditionalFormatting>
  <conditionalFormatting sqref="J62">
    <cfRule type="containsText" dxfId="1" priority="11153" operator="containsText" text="리턴">
      <formula>NOT(ISERROR(SEARCH(("리턴"),(J62))))</formula>
    </cfRule>
  </conditionalFormatting>
  <conditionalFormatting sqref="J62">
    <cfRule type="containsText" dxfId="2" priority="11154" operator="containsText" text="실패">
      <formula>NOT(ISERROR(SEARCH(("실패"),(J62))))</formula>
    </cfRule>
  </conditionalFormatting>
  <conditionalFormatting sqref="J62">
    <cfRule type="containsText" dxfId="3" priority="11155" operator="containsText" text="관리">
      <formula>NOT(ISERROR(SEARCH(("관리"),(J62))))</formula>
    </cfRule>
  </conditionalFormatting>
  <conditionalFormatting sqref="J62">
    <cfRule type="containsText" dxfId="4" priority="11156" operator="containsText" text="등록">
      <formula>NOT(ISERROR(SEARCH(("등록"),(J62))))</formula>
    </cfRule>
  </conditionalFormatting>
  <conditionalFormatting sqref="J62">
    <cfRule type="containsText" dxfId="0" priority="11157" operator="containsText" text="거부">
      <formula>NOT(ISERROR(SEARCH(("거부"),(J62))))</formula>
    </cfRule>
  </conditionalFormatting>
  <conditionalFormatting sqref="J62">
    <cfRule type="containsText" dxfId="1" priority="11158" operator="containsText" text="리턴">
      <formula>NOT(ISERROR(SEARCH(("리턴"),(J62))))</formula>
    </cfRule>
  </conditionalFormatting>
  <conditionalFormatting sqref="J62">
    <cfRule type="containsText" dxfId="2" priority="11159" operator="containsText" text="실패">
      <formula>NOT(ISERROR(SEARCH(("실패"),(J62))))</formula>
    </cfRule>
  </conditionalFormatting>
  <conditionalFormatting sqref="J62">
    <cfRule type="containsText" dxfId="3" priority="11160" operator="containsText" text="관리">
      <formula>NOT(ISERROR(SEARCH(("관리"),(J62))))</formula>
    </cfRule>
  </conditionalFormatting>
  <conditionalFormatting sqref="J62">
    <cfRule type="containsText" dxfId="4" priority="11161" operator="containsText" text="등록">
      <formula>NOT(ISERROR(SEARCH(("등록"),(J62))))</formula>
    </cfRule>
  </conditionalFormatting>
  <conditionalFormatting sqref="J62">
    <cfRule type="containsText" dxfId="0" priority="11162" operator="containsText" text="거부">
      <formula>NOT(ISERROR(SEARCH(("거부"),(J62))))</formula>
    </cfRule>
  </conditionalFormatting>
  <conditionalFormatting sqref="J62">
    <cfRule type="containsText" dxfId="1" priority="11163" operator="containsText" text="리턴">
      <formula>NOT(ISERROR(SEARCH(("리턴"),(J62))))</formula>
    </cfRule>
  </conditionalFormatting>
  <conditionalFormatting sqref="J62">
    <cfRule type="containsText" dxfId="2" priority="11164" operator="containsText" text="실패">
      <formula>NOT(ISERROR(SEARCH(("실패"),(J62))))</formula>
    </cfRule>
  </conditionalFormatting>
  <conditionalFormatting sqref="J62">
    <cfRule type="containsText" dxfId="3" priority="11165" operator="containsText" text="관리">
      <formula>NOT(ISERROR(SEARCH(("관리"),(J62))))</formula>
    </cfRule>
  </conditionalFormatting>
  <conditionalFormatting sqref="J62">
    <cfRule type="containsText" dxfId="4" priority="11166" operator="containsText" text="등록">
      <formula>NOT(ISERROR(SEARCH(("등록"),(J62))))</formula>
    </cfRule>
  </conditionalFormatting>
  <conditionalFormatting sqref="J62">
    <cfRule type="containsText" dxfId="0" priority="11167" operator="containsText" text="거부">
      <formula>NOT(ISERROR(SEARCH(("거부"),(J62))))</formula>
    </cfRule>
  </conditionalFormatting>
  <conditionalFormatting sqref="J62">
    <cfRule type="containsText" dxfId="1" priority="11168" operator="containsText" text="리턴">
      <formula>NOT(ISERROR(SEARCH(("리턴"),(J62))))</formula>
    </cfRule>
  </conditionalFormatting>
  <conditionalFormatting sqref="J62">
    <cfRule type="containsText" dxfId="2" priority="11169" operator="containsText" text="실패">
      <formula>NOT(ISERROR(SEARCH(("실패"),(J62))))</formula>
    </cfRule>
  </conditionalFormatting>
  <conditionalFormatting sqref="J62">
    <cfRule type="containsText" dxfId="3" priority="11170" operator="containsText" text="관리">
      <formula>NOT(ISERROR(SEARCH(("관리"),(J62))))</formula>
    </cfRule>
  </conditionalFormatting>
  <conditionalFormatting sqref="J62">
    <cfRule type="containsText" dxfId="4" priority="11171" operator="containsText" text="등록">
      <formula>NOT(ISERROR(SEARCH(("등록"),(J62))))</formula>
    </cfRule>
  </conditionalFormatting>
  <conditionalFormatting sqref="A34">
    <cfRule type="containsText" dxfId="0" priority="11172" operator="containsText" text="거부">
      <formula>NOT(ISERROR(SEARCH(("거부"),(A34))))</formula>
    </cfRule>
  </conditionalFormatting>
  <conditionalFormatting sqref="A34">
    <cfRule type="containsText" dxfId="1" priority="11173" operator="containsText" text="리턴">
      <formula>NOT(ISERROR(SEARCH(("리턴"),(A34))))</formula>
    </cfRule>
  </conditionalFormatting>
  <conditionalFormatting sqref="A34">
    <cfRule type="containsText" dxfId="2" priority="11174" operator="containsText" text="실패">
      <formula>NOT(ISERROR(SEARCH(("실패"),(A34))))</formula>
    </cfRule>
  </conditionalFormatting>
  <conditionalFormatting sqref="A34">
    <cfRule type="containsText" dxfId="3" priority="11175" operator="containsText" text="관리">
      <formula>NOT(ISERROR(SEARCH(("관리"),(A34))))</formula>
    </cfRule>
  </conditionalFormatting>
  <conditionalFormatting sqref="A34">
    <cfRule type="containsText" dxfId="4" priority="11176" operator="containsText" text="등록">
      <formula>NOT(ISERROR(SEARCH(("등록"),(A34))))</formula>
    </cfRule>
  </conditionalFormatting>
  <conditionalFormatting sqref="A34">
    <cfRule type="containsText" dxfId="0" priority="11177" operator="containsText" text="거부">
      <formula>NOT(ISERROR(SEARCH(("거부"),(A34))))</formula>
    </cfRule>
  </conditionalFormatting>
  <conditionalFormatting sqref="A34">
    <cfRule type="containsText" dxfId="1" priority="11178" operator="containsText" text="리턴">
      <formula>NOT(ISERROR(SEARCH(("리턴"),(A34))))</formula>
    </cfRule>
  </conditionalFormatting>
  <conditionalFormatting sqref="A34">
    <cfRule type="containsText" dxfId="2" priority="11179" operator="containsText" text="실패">
      <formula>NOT(ISERROR(SEARCH(("실패"),(A34))))</formula>
    </cfRule>
  </conditionalFormatting>
  <conditionalFormatting sqref="A34">
    <cfRule type="containsText" dxfId="3" priority="11180" operator="containsText" text="관리">
      <formula>NOT(ISERROR(SEARCH(("관리"),(A34))))</formula>
    </cfRule>
  </conditionalFormatting>
  <conditionalFormatting sqref="A34">
    <cfRule type="containsText" dxfId="4" priority="11181" operator="containsText" text="등록">
      <formula>NOT(ISERROR(SEARCH(("등록"),(A34))))</formula>
    </cfRule>
  </conditionalFormatting>
  <conditionalFormatting sqref="A34">
    <cfRule type="containsText" dxfId="0" priority="11182" operator="containsText" text="거부">
      <formula>NOT(ISERROR(SEARCH(("거부"),(A34))))</formula>
    </cfRule>
  </conditionalFormatting>
  <conditionalFormatting sqref="A34">
    <cfRule type="containsText" dxfId="1" priority="11183" operator="containsText" text="리턴">
      <formula>NOT(ISERROR(SEARCH(("리턴"),(A34))))</formula>
    </cfRule>
  </conditionalFormatting>
  <conditionalFormatting sqref="A34">
    <cfRule type="containsText" dxfId="2" priority="11184" operator="containsText" text="실패">
      <formula>NOT(ISERROR(SEARCH(("실패"),(A34))))</formula>
    </cfRule>
  </conditionalFormatting>
  <conditionalFormatting sqref="A34">
    <cfRule type="containsText" dxfId="3" priority="11185" operator="containsText" text="관리">
      <formula>NOT(ISERROR(SEARCH(("관리"),(A34))))</formula>
    </cfRule>
  </conditionalFormatting>
  <conditionalFormatting sqref="A34">
    <cfRule type="containsText" dxfId="4" priority="11186" operator="containsText" text="등록">
      <formula>NOT(ISERROR(SEARCH(("등록"),(A34))))</formula>
    </cfRule>
  </conditionalFormatting>
  <conditionalFormatting sqref="A34">
    <cfRule type="containsText" dxfId="0" priority="11187" operator="containsText" text="거부">
      <formula>NOT(ISERROR(SEARCH(("거부"),(A34))))</formula>
    </cfRule>
  </conditionalFormatting>
  <conditionalFormatting sqref="A34">
    <cfRule type="containsText" dxfId="1" priority="11188" operator="containsText" text="리턴">
      <formula>NOT(ISERROR(SEARCH(("리턴"),(A34))))</formula>
    </cfRule>
  </conditionalFormatting>
  <conditionalFormatting sqref="A34">
    <cfRule type="containsText" dxfId="2" priority="11189" operator="containsText" text="실패">
      <formula>NOT(ISERROR(SEARCH(("실패"),(A34))))</formula>
    </cfRule>
  </conditionalFormatting>
  <conditionalFormatting sqref="A34">
    <cfRule type="containsText" dxfId="3" priority="11190" operator="containsText" text="관리">
      <formula>NOT(ISERROR(SEARCH(("관리"),(A34))))</formula>
    </cfRule>
  </conditionalFormatting>
  <conditionalFormatting sqref="A34">
    <cfRule type="containsText" dxfId="4" priority="11191" operator="containsText" text="등록">
      <formula>NOT(ISERROR(SEARCH(("등록"),(A34))))</formula>
    </cfRule>
  </conditionalFormatting>
  <conditionalFormatting sqref="A34">
    <cfRule type="containsText" dxfId="0" priority="11192" operator="containsText" text="거부">
      <formula>NOT(ISERROR(SEARCH(("거부"),(A34))))</formula>
    </cfRule>
  </conditionalFormatting>
  <conditionalFormatting sqref="A34">
    <cfRule type="containsText" dxfId="1" priority="11193" operator="containsText" text="리턴">
      <formula>NOT(ISERROR(SEARCH(("리턴"),(A34))))</formula>
    </cfRule>
  </conditionalFormatting>
  <conditionalFormatting sqref="A34">
    <cfRule type="containsText" dxfId="2" priority="11194" operator="containsText" text="실패">
      <formula>NOT(ISERROR(SEARCH(("실패"),(A34))))</formula>
    </cfRule>
  </conditionalFormatting>
  <conditionalFormatting sqref="A34">
    <cfRule type="containsText" dxfId="3" priority="11195" operator="containsText" text="관리">
      <formula>NOT(ISERROR(SEARCH(("관리"),(A34))))</formula>
    </cfRule>
  </conditionalFormatting>
  <conditionalFormatting sqref="A34">
    <cfRule type="containsText" dxfId="4" priority="11196" operator="containsText" text="등록">
      <formula>NOT(ISERROR(SEARCH(("등록"),(A34))))</formula>
    </cfRule>
  </conditionalFormatting>
  <conditionalFormatting sqref="A34">
    <cfRule type="containsText" dxfId="0" priority="11197" operator="containsText" text="거부">
      <formula>NOT(ISERROR(SEARCH(("거부"),(A34))))</formula>
    </cfRule>
  </conditionalFormatting>
  <conditionalFormatting sqref="A34">
    <cfRule type="containsText" dxfId="1" priority="11198" operator="containsText" text="리턴">
      <formula>NOT(ISERROR(SEARCH(("리턴"),(A34))))</formula>
    </cfRule>
  </conditionalFormatting>
  <conditionalFormatting sqref="A34">
    <cfRule type="containsText" dxfId="2" priority="11199" operator="containsText" text="실패">
      <formula>NOT(ISERROR(SEARCH(("실패"),(A34))))</formula>
    </cfRule>
  </conditionalFormatting>
  <conditionalFormatting sqref="A34">
    <cfRule type="containsText" dxfId="3" priority="11200" operator="containsText" text="관리">
      <formula>NOT(ISERROR(SEARCH(("관리"),(A34))))</formula>
    </cfRule>
  </conditionalFormatting>
  <conditionalFormatting sqref="A34">
    <cfRule type="containsText" dxfId="4" priority="11201" operator="containsText" text="등록">
      <formula>NOT(ISERROR(SEARCH(("등록"),(A34))))</formula>
    </cfRule>
  </conditionalFormatting>
  <conditionalFormatting sqref="A34">
    <cfRule type="containsText" dxfId="0" priority="11202" operator="containsText" text="거부">
      <formula>NOT(ISERROR(SEARCH(("거부"),(A34))))</formula>
    </cfRule>
  </conditionalFormatting>
  <conditionalFormatting sqref="A34">
    <cfRule type="containsText" dxfId="1" priority="11203" operator="containsText" text="리턴">
      <formula>NOT(ISERROR(SEARCH(("리턴"),(A34))))</formula>
    </cfRule>
  </conditionalFormatting>
  <conditionalFormatting sqref="A34">
    <cfRule type="containsText" dxfId="2" priority="11204" operator="containsText" text="실패">
      <formula>NOT(ISERROR(SEARCH(("실패"),(A34))))</formula>
    </cfRule>
  </conditionalFormatting>
  <conditionalFormatting sqref="A34">
    <cfRule type="containsText" dxfId="3" priority="11205" operator="containsText" text="관리">
      <formula>NOT(ISERROR(SEARCH(("관리"),(A34))))</formula>
    </cfRule>
  </conditionalFormatting>
  <conditionalFormatting sqref="A34">
    <cfRule type="containsText" dxfId="4" priority="11206" operator="containsText" text="등록">
      <formula>NOT(ISERROR(SEARCH(("등록"),(A34))))</formula>
    </cfRule>
  </conditionalFormatting>
  <conditionalFormatting sqref="A34">
    <cfRule type="containsText" dxfId="0" priority="11207" operator="containsText" text="거부">
      <formula>NOT(ISERROR(SEARCH(("거부"),(A34))))</formula>
    </cfRule>
  </conditionalFormatting>
  <conditionalFormatting sqref="A34">
    <cfRule type="containsText" dxfId="1" priority="11208" operator="containsText" text="리턴">
      <formula>NOT(ISERROR(SEARCH(("리턴"),(A34))))</formula>
    </cfRule>
  </conditionalFormatting>
  <conditionalFormatting sqref="A34">
    <cfRule type="containsText" dxfId="2" priority="11209" operator="containsText" text="실패">
      <formula>NOT(ISERROR(SEARCH(("실패"),(A34))))</formula>
    </cfRule>
  </conditionalFormatting>
  <conditionalFormatting sqref="A34">
    <cfRule type="containsText" dxfId="3" priority="11210" operator="containsText" text="관리">
      <formula>NOT(ISERROR(SEARCH(("관리"),(A34))))</formula>
    </cfRule>
  </conditionalFormatting>
  <conditionalFormatting sqref="A34">
    <cfRule type="containsText" dxfId="4" priority="11211" operator="containsText" text="등록">
      <formula>NOT(ISERROR(SEARCH(("등록"),(A34))))</formula>
    </cfRule>
  </conditionalFormatting>
  <conditionalFormatting sqref="A34">
    <cfRule type="containsText" dxfId="0" priority="11212" operator="containsText" text="거부">
      <formula>NOT(ISERROR(SEARCH(("거부"),(A34))))</formula>
    </cfRule>
  </conditionalFormatting>
  <conditionalFormatting sqref="A34">
    <cfRule type="containsText" dxfId="1" priority="11213" operator="containsText" text="리턴">
      <formula>NOT(ISERROR(SEARCH(("리턴"),(A34))))</formula>
    </cfRule>
  </conditionalFormatting>
  <conditionalFormatting sqref="A34">
    <cfRule type="containsText" dxfId="2" priority="11214" operator="containsText" text="실패">
      <formula>NOT(ISERROR(SEARCH(("실패"),(A34))))</formula>
    </cfRule>
  </conditionalFormatting>
  <conditionalFormatting sqref="A34">
    <cfRule type="containsText" dxfId="3" priority="11215" operator="containsText" text="관리">
      <formula>NOT(ISERROR(SEARCH(("관리"),(A34))))</formula>
    </cfRule>
  </conditionalFormatting>
  <conditionalFormatting sqref="A34">
    <cfRule type="containsText" dxfId="4" priority="11216" operator="containsText" text="등록">
      <formula>NOT(ISERROR(SEARCH(("등록"),(A34))))</formula>
    </cfRule>
  </conditionalFormatting>
  <conditionalFormatting sqref="A34">
    <cfRule type="containsText" dxfId="0" priority="11217" operator="containsText" text="거부">
      <formula>NOT(ISERROR(SEARCH(("거부"),(A34))))</formula>
    </cfRule>
  </conditionalFormatting>
  <conditionalFormatting sqref="A34">
    <cfRule type="containsText" dxfId="1" priority="11218" operator="containsText" text="리턴">
      <formula>NOT(ISERROR(SEARCH(("리턴"),(A34))))</formula>
    </cfRule>
  </conditionalFormatting>
  <conditionalFormatting sqref="A34">
    <cfRule type="containsText" dxfId="2" priority="11219" operator="containsText" text="실패">
      <formula>NOT(ISERROR(SEARCH(("실패"),(A34))))</formula>
    </cfRule>
  </conditionalFormatting>
  <conditionalFormatting sqref="A34">
    <cfRule type="containsText" dxfId="3" priority="11220" operator="containsText" text="관리">
      <formula>NOT(ISERROR(SEARCH(("관리"),(A34))))</formula>
    </cfRule>
  </conditionalFormatting>
  <conditionalFormatting sqref="A34">
    <cfRule type="containsText" dxfId="4" priority="11221" operator="containsText" text="등록">
      <formula>NOT(ISERROR(SEARCH(("등록"),(A34))))</formula>
    </cfRule>
  </conditionalFormatting>
  <conditionalFormatting sqref="A34">
    <cfRule type="containsText" dxfId="0" priority="11222" operator="containsText" text="거부">
      <formula>NOT(ISERROR(SEARCH(("거부"),(A34))))</formula>
    </cfRule>
  </conditionalFormatting>
  <conditionalFormatting sqref="A34">
    <cfRule type="containsText" dxfId="1" priority="11223" operator="containsText" text="리턴">
      <formula>NOT(ISERROR(SEARCH(("리턴"),(A34))))</formula>
    </cfRule>
  </conditionalFormatting>
  <conditionalFormatting sqref="A34">
    <cfRule type="containsText" dxfId="2" priority="11224" operator="containsText" text="실패">
      <formula>NOT(ISERROR(SEARCH(("실패"),(A34))))</formula>
    </cfRule>
  </conditionalFormatting>
  <conditionalFormatting sqref="A34">
    <cfRule type="containsText" dxfId="3" priority="11225" operator="containsText" text="관리">
      <formula>NOT(ISERROR(SEARCH(("관리"),(A34))))</formula>
    </cfRule>
  </conditionalFormatting>
  <conditionalFormatting sqref="A34">
    <cfRule type="containsText" dxfId="4" priority="11226" operator="containsText" text="등록">
      <formula>NOT(ISERROR(SEARCH(("등록"),(A34))))</formula>
    </cfRule>
  </conditionalFormatting>
  <conditionalFormatting sqref="A34">
    <cfRule type="containsText" dxfId="0" priority="11227" operator="containsText" text="거부">
      <formula>NOT(ISERROR(SEARCH(("거부"),(A34))))</formula>
    </cfRule>
  </conditionalFormatting>
  <conditionalFormatting sqref="A34">
    <cfRule type="containsText" dxfId="1" priority="11228" operator="containsText" text="리턴">
      <formula>NOT(ISERROR(SEARCH(("리턴"),(A34))))</formula>
    </cfRule>
  </conditionalFormatting>
  <conditionalFormatting sqref="A34">
    <cfRule type="containsText" dxfId="2" priority="11229" operator="containsText" text="실패">
      <formula>NOT(ISERROR(SEARCH(("실패"),(A34))))</formula>
    </cfRule>
  </conditionalFormatting>
  <conditionalFormatting sqref="A34">
    <cfRule type="containsText" dxfId="3" priority="11230" operator="containsText" text="관리">
      <formula>NOT(ISERROR(SEARCH(("관리"),(A34))))</formula>
    </cfRule>
  </conditionalFormatting>
  <conditionalFormatting sqref="A34">
    <cfRule type="containsText" dxfId="4" priority="11231" operator="containsText" text="등록">
      <formula>NOT(ISERROR(SEARCH(("등록"),(A34))))</formula>
    </cfRule>
  </conditionalFormatting>
  <conditionalFormatting sqref="A34">
    <cfRule type="containsText" dxfId="0" priority="11232" operator="containsText" text="거부">
      <formula>NOT(ISERROR(SEARCH(("거부"),(A34))))</formula>
    </cfRule>
  </conditionalFormatting>
  <conditionalFormatting sqref="A34">
    <cfRule type="containsText" dxfId="1" priority="11233" operator="containsText" text="리턴">
      <formula>NOT(ISERROR(SEARCH(("리턴"),(A34))))</formula>
    </cfRule>
  </conditionalFormatting>
  <conditionalFormatting sqref="A34">
    <cfRule type="containsText" dxfId="2" priority="11234" operator="containsText" text="실패">
      <formula>NOT(ISERROR(SEARCH(("실패"),(A34))))</formula>
    </cfRule>
  </conditionalFormatting>
  <conditionalFormatting sqref="A34">
    <cfRule type="containsText" dxfId="3" priority="11235" operator="containsText" text="관리">
      <formula>NOT(ISERROR(SEARCH(("관리"),(A34))))</formula>
    </cfRule>
  </conditionalFormatting>
  <conditionalFormatting sqref="A34">
    <cfRule type="containsText" dxfId="4" priority="11236" operator="containsText" text="등록">
      <formula>NOT(ISERROR(SEARCH(("등록"),(A34))))</formula>
    </cfRule>
  </conditionalFormatting>
  <conditionalFormatting sqref="A34">
    <cfRule type="containsText" dxfId="0" priority="11237" operator="containsText" text="거부">
      <formula>NOT(ISERROR(SEARCH(("거부"),(A34))))</formula>
    </cfRule>
  </conditionalFormatting>
  <conditionalFormatting sqref="A34">
    <cfRule type="containsText" dxfId="1" priority="11238" operator="containsText" text="리턴">
      <formula>NOT(ISERROR(SEARCH(("리턴"),(A34))))</formula>
    </cfRule>
  </conditionalFormatting>
  <conditionalFormatting sqref="A34">
    <cfRule type="containsText" dxfId="2" priority="11239" operator="containsText" text="실패">
      <formula>NOT(ISERROR(SEARCH(("실패"),(A34))))</formula>
    </cfRule>
  </conditionalFormatting>
  <conditionalFormatting sqref="A34">
    <cfRule type="containsText" dxfId="3" priority="11240" operator="containsText" text="관리">
      <formula>NOT(ISERROR(SEARCH(("관리"),(A34))))</formula>
    </cfRule>
  </conditionalFormatting>
  <conditionalFormatting sqref="A34">
    <cfRule type="containsText" dxfId="4" priority="11241" operator="containsText" text="등록">
      <formula>NOT(ISERROR(SEARCH(("등록"),(A34))))</formula>
    </cfRule>
  </conditionalFormatting>
  <conditionalFormatting sqref="A34">
    <cfRule type="containsText" dxfId="0" priority="11242" operator="containsText" text="거부">
      <formula>NOT(ISERROR(SEARCH(("거부"),(A34))))</formula>
    </cfRule>
  </conditionalFormatting>
  <conditionalFormatting sqref="A34">
    <cfRule type="containsText" dxfId="1" priority="11243" operator="containsText" text="리턴">
      <formula>NOT(ISERROR(SEARCH(("리턴"),(A34))))</formula>
    </cfRule>
  </conditionalFormatting>
  <conditionalFormatting sqref="A34">
    <cfRule type="containsText" dxfId="2" priority="11244" operator="containsText" text="실패">
      <formula>NOT(ISERROR(SEARCH(("실패"),(A34))))</formula>
    </cfRule>
  </conditionalFormatting>
  <conditionalFormatting sqref="A34">
    <cfRule type="containsText" dxfId="3" priority="11245" operator="containsText" text="관리">
      <formula>NOT(ISERROR(SEARCH(("관리"),(A34))))</formula>
    </cfRule>
  </conditionalFormatting>
  <conditionalFormatting sqref="A34">
    <cfRule type="containsText" dxfId="4" priority="11246" operator="containsText" text="등록">
      <formula>NOT(ISERROR(SEARCH(("등록"),(A34))))</formula>
    </cfRule>
  </conditionalFormatting>
  <conditionalFormatting sqref="A63">
    <cfRule type="containsText" dxfId="0" priority="11247" operator="containsText" text="거부">
      <formula>NOT(ISERROR(SEARCH(("거부"),(A63))))</formula>
    </cfRule>
  </conditionalFormatting>
  <conditionalFormatting sqref="A63">
    <cfRule type="containsText" dxfId="1" priority="11248" operator="containsText" text="리턴">
      <formula>NOT(ISERROR(SEARCH(("리턴"),(A63))))</formula>
    </cfRule>
  </conditionalFormatting>
  <conditionalFormatting sqref="A63">
    <cfRule type="containsText" dxfId="2" priority="11249" operator="containsText" text="실패">
      <formula>NOT(ISERROR(SEARCH(("실패"),(A63))))</formula>
    </cfRule>
  </conditionalFormatting>
  <conditionalFormatting sqref="A63">
    <cfRule type="containsText" dxfId="3" priority="11250" operator="containsText" text="관리">
      <formula>NOT(ISERROR(SEARCH(("관리"),(A63))))</formula>
    </cfRule>
  </conditionalFormatting>
  <conditionalFormatting sqref="A63">
    <cfRule type="containsText" dxfId="4" priority="11251" operator="containsText" text="등록">
      <formula>NOT(ISERROR(SEARCH(("등록"),(A63))))</formula>
    </cfRule>
  </conditionalFormatting>
  <conditionalFormatting sqref="A63">
    <cfRule type="containsText" dxfId="0" priority="11252" operator="containsText" text="거부">
      <formula>NOT(ISERROR(SEARCH(("거부"),(A63))))</formula>
    </cfRule>
  </conditionalFormatting>
  <conditionalFormatting sqref="A63">
    <cfRule type="containsText" dxfId="1" priority="11253" operator="containsText" text="리턴">
      <formula>NOT(ISERROR(SEARCH(("리턴"),(A63))))</formula>
    </cfRule>
  </conditionalFormatting>
  <conditionalFormatting sqref="A63">
    <cfRule type="containsText" dxfId="2" priority="11254" operator="containsText" text="실패">
      <formula>NOT(ISERROR(SEARCH(("실패"),(A63))))</formula>
    </cfRule>
  </conditionalFormatting>
  <conditionalFormatting sqref="A63">
    <cfRule type="containsText" dxfId="3" priority="11255" operator="containsText" text="관리">
      <formula>NOT(ISERROR(SEARCH(("관리"),(A63))))</formula>
    </cfRule>
  </conditionalFormatting>
  <conditionalFormatting sqref="A63">
    <cfRule type="containsText" dxfId="4" priority="11256" operator="containsText" text="등록">
      <formula>NOT(ISERROR(SEARCH(("등록"),(A63))))</formula>
    </cfRule>
  </conditionalFormatting>
  <conditionalFormatting sqref="A63">
    <cfRule type="containsText" dxfId="0" priority="11257" operator="containsText" text="거부">
      <formula>NOT(ISERROR(SEARCH(("거부"),(A63))))</formula>
    </cfRule>
  </conditionalFormatting>
  <conditionalFormatting sqref="A63">
    <cfRule type="containsText" dxfId="1" priority="11258" operator="containsText" text="리턴">
      <formula>NOT(ISERROR(SEARCH(("리턴"),(A63))))</formula>
    </cfRule>
  </conditionalFormatting>
  <conditionalFormatting sqref="A63">
    <cfRule type="containsText" dxfId="2" priority="11259" operator="containsText" text="실패">
      <formula>NOT(ISERROR(SEARCH(("실패"),(A63))))</formula>
    </cfRule>
  </conditionalFormatting>
  <conditionalFormatting sqref="A63">
    <cfRule type="containsText" dxfId="3" priority="11260" operator="containsText" text="관리">
      <formula>NOT(ISERROR(SEARCH(("관리"),(A63))))</formula>
    </cfRule>
  </conditionalFormatting>
  <conditionalFormatting sqref="A63">
    <cfRule type="containsText" dxfId="4" priority="11261" operator="containsText" text="등록">
      <formula>NOT(ISERROR(SEARCH(("등록"),(A63))))</formula>
    </cfRule>
  </conditionalFormatting>
  <conditionalFormatting sqref="A63">
    <cfRule type="containsText" dxfId="0" priority="11262" operator="containsText" text="거부">
      <formula>NOT(ISERROR(SEARCH(("거부"),(A63))))</formula>
    </cfRule>
  </conditionalFormatting>
  <conditionalFormatting sqref="A63">
    <cfRule type="containsText" dxfId="1" priority="11263" operator="containsText" text="리턴">
      <formula>NOT(ISERROR(SEARCH(("리턴"),(A63))))</formula>
    </cfRule>
  </conditionalFormatting>
  <conditionalFormatting sqref="A63">
    <cfRule type="containsText" dxfId="2" priority="11264" operator="containsText" text="실패">
      <formula>NOT(ISERROR(SEARCH(("실패"),(A63))))</formula>
    </cfRule>
  </conditionalFormatting>
  <conditionalFormatting sqref="A63">
    <cfRule type="containsText" dxfId="3" priority="11265" operator="containsText" text="관리">
      <formula>NOT(ISERROR(SEARCH(("관리"),(A63))))</formula>
    </cfRule>
  </conditionalFormatting>
  <conditionalFormatting sqref="A63">
    <cfRule type="containsText" dxfId="4" priority="11266" operator="containsText" text="등록">
      <formula>NOT(ISERROR(SEARCH(("등록"),(A63))))</formula>
    </cfRule>
  </conditionalFormatting>
  <conditionalFormatting sqref="A63">
    <cfRule type="containsText" dxfId="0" priority="11267" operator="containsText" text="거부">
      <formula>NOT(ISERROR(SEARCH(("거부"),(A63))))</formula>
    </cfRule>
  </conditionalFormatting>
  <conditionalFormatting sqref="A63">
    <cfRule type="containsText" dxfId="1" priority="11268" operator="containsText" text="리턴">
      <formula>NOT(ISERROR(SEARCH(("리턴"),(A63))))</formula>
    </cfRule>
  </conditionalFormatting>
  <conditionalFormatting sqref="A63">
    <cfRule type="containsText" dxfId="2" priority="11269" operator="containsText" text="실패">
      <formula>NOT(ISERROR(SEARCH(("실패"),(A63))))</formula>
    </cfRule>
  </conditionalFormatting>
  <conditionalFormatting sqref="A63">
    <cfRule type="containsText" dxfId="3" priority="11270" operator="containsText" text="관리">
      <formula>NOT(ISERROR(SEARCH(("관리"),(A63))))</formula>
    </cfRule>
  </conditionalFormatting>
  <conditionalFormatting sqref="A63">
    <cfRule type="containsText" dxfId="4" priority="11271" operator="containsText" text="등록">
      <formula>NOT(ISERROR(SEARCH(("등록"),(A63))))</formula>
    </cfRule>
  </conditionalFormatting>
  <conditionalFormatting sqref="A63">
    <cfRule type="containsText" dxfId="0" priority="11272" operator="containsText" text="거부">
      <formula>NOT(ISERROR(SEARCH(("거부"),(A63))))</formula>
    </cfRule>
  </conditionalFormatting>
  <conditionalFormatting sqref="A63">
    <cfRule type="containsText" dxfId="1" priority="11273" operator="containsText" text="리턴">
      <formula>NOT(ISERROR(SEARCH(("리턴"),(A63))))</formula>
    </cfRule>
  </conditionalFormatting>
  <conditionalFormatting sqref="A63">
    <cfRule type="containsText" dxfId="2" priority="11274" operator="containsText" text="실패">
      <formula>NOT(ISERROR(SEARCH(("실패"),(A63))))</formula>
    </cfRule>
  </conditionalFormatting>
  <conditionalFormatting sqref="A63">
    <cfRule type="containsText" dxfId="3" priority="11275" operator="containsText" text="관리">
      <formula>NOT(ISERROR(SEARCH(("관리"),(A63))))</formula>
    </cfRule>
  </conditionalFormatting>
  <conditionalFormatting sqref="A63">
    <cfRule type="containsText" dxfId="4" priority="11276" operator="containsText" text="등록">
      <formula>NOT(ISERROR(SEARCH(("등록"),(A63))))</formula>
    </cfRule>
  </conditionalFormatting>
  <conditionalFormatting sqref="A63">
    <cfRule type="containsText" dxfId="0" priority="11277" operator="containsText" text="거부">
      <formula>NOT(ISERROR(SEARCH(("거부"),(A63))))</formula>
    </cfRule>
  </conditionalFormatting>
  <conditionalFormatting sqref="A63">
    <cfRule type="containsText" dxfId="1" priority="11278" operator="containsText" text="리턴">
      <formula>NOT(ISERROR(SEARCH(("리턴"),(A63))))</formula>
    </cfRule>
  </conditionalFormatting>
  <conditionalFormatting sqref="A63">
    <cfRule type="containsText" dxfId="2" priority="11279" operator="containsText" text="실패">
      <formula>NOT(ISERROR(SEARCH(("실패"),(A63))))</formula>
    </cfRule>
  </conditionalFormatting>
  <conditionalFormatting sqref="A63">
    <cfRule type="containsText" dxfId="3" priority="11280" operator="containsText" text="관리">
      <formula>NOT(ISERROR(SEARCH(("관리"),(A63))))</formula>
    </cfRule>
  </conditionalFormatting>
  <conditionalFormatting sqref="A63">
    <cfRule type="containsText" dxfId="4" priority="11281" operator="containsText" text="등록">
      <formula>NOT(ISERROR(SEARCH(("등록"),(A63))))</formula>
    </cfRule>
  </conditionalFormatting>
  <conditionalFormatting sqref="A63">
    <cfRule type="containsText" dxfId="0" priority="11282" operator="containsText" text="거부">
      <formula>NOT(ISERROR(SEARCH(("거부"),(A63))))</formula>
    </cfRule>
  </conditionalFormatting>
  <conditionalFormatting sqref="A63">
    <cfRule type="containsText" dxfId="1" priority="11283" operator="containsText" text="리턴">
      <formula>NOT(ISERROR(SEARCH(("리턴"),(A63))))</formula>
    </cfRule>
  </conditionalFormatting>
  <conditionalFormatting sqref="A63">
    <cfRule type="containsText" dxfId="2" priority="11284" operator="containsText" text="실패">
      <formula>NOT(ISERROR(SEARCH(("실패"),(A63))))</formula>
    </cfRule>
  </conditionalFormatting>
  <conditionalFormatting sqref="A63">
    <cfRule type="containsText" dxfId="3" priority="11285" operator="containsText" text="관리">
      <formula>NOT(ISERROR(SEARCH(("관리"),(A63))))</formula>
    </cfRule>
  </conditionalFormatting>
  <conditionalFormatting sqref="A63">
    <cfRule type="containsText" dxfId="4" priority="11286" operator="containsText" text="등록">
      <formula>NOT(ISERROR(SEARCH(("등록"),(A63))))</formula>
    </cfRule>
  </conditionalFormatting>
  <conditionalFormatting sqref="A63">
    <cfRule type="containsText" dxfId="0" priority="11287" operator="containsText" text="거부">
      <formula>NOT(ISERROR(SEARCH(("거부"),(A63))))</formula>
    </cfRule>
  </conditionalFormatting>
  <conditionalFormatting sqref="A63">
    <cfRule type="containsText" dxfId="1" priority="11288" operator="containsText" text="리턴">
      <formula>NOT(ISERROR(SEARCH(("리턴"),(A63))))</formula>
    </cfRule>
  </conditionalFormatting>
  <conditionalFormatting sqref="A63">
    <cfRule type="containsText" dxfId="2" priority="11289" operator="containsText" text="실패">
      <formula>NOT(ISERROR(SEARCH(("실패"),(A63))))</formula>
    </cfRule>
  </conditionalFormatting>
  <conditionalFormatting sqref="A63">
    <cfRule type="containsText" dxfId="3" priority="11290" operator="containsText" text="관리">
      <formula>NOT(ISERROR(SEARCH(("관리"),(A63))))</formula>
    </cfRule>
  </conditionalFormatting>
  <conditionalFormatting sqref="A63">
    <cfRule type="containsText" dxfId="4" priority="11291" operator="containsText" text="등록">
      <formula>NOT(ISERROR(SEARCH(("등록"),(A63))))</formula>
    </cfRule>
  </conditionalFormatting>
  <conditionalFormatting sqref="A63">
    <cfRule type="containsText" dxfId="0" priority="11292" operator="containsText" text="거부">
      <formula>NOT(ISERROR(SEARCH(("거부"),(A63))))</formula>
    </cfRule>
  </conditionalFormatting>
  <conditionalFormatting sqref="A63">
    <cfRule type="containsText" dxfId="1" priority="11293" operator="containsText" text="리턴">
      <formula>NOT(ISERROR(SEARCH(("리턴"),(A63))))</formula>
    </cfRule>
  </conditionalFormatting>
  <conditionalFormatting sqref="A63">
    <cfRule type="containsText" dxfId="2" priority="11294" operator="containsText" text="실패">
      <formula>NOT(ISERROR(SEARCH(("실패"),(A63))))</formula>
    </cfRule>
  </conditionalFormatting>
  <conditionalFormatting sqref="A63">
    <cfRule type="containsText" dxfId="3" priority="11295" operator="containsText" text="관리">
      <formula>NOT(ISERROR(SEARCH(("관리"),(A63))))</formula>
    </cfRule>
  </conditionalFormatting>
  <conditionalFormatting sqref="A63">
    <cfRule type="containsText" dxfId="4" priority="11296" operator="containsText" text="등록">
      <formula>NOT(ISERROR(SEARCH(("등록"),(A63))))</formula>
    </cfRule>
  </conditionalFormatting>
  <conditionalFormatting sqref="A63">
    <cfRule type="containsText" dxfId="0" priority="11297" operator="containsText" text="거부">
      <formula>NOT(ISERROR(SEARCH(("거부"),(A63))))</formula>
    </cfRule>
  </conditionalFormatting>
  <conditionalFormatting sqref="A63">
    <cfRule type="containsText" dxfId="1" priority="11298" operator="containsText" text="리턴">
      <formula>NOT(ISERROR(SEARCH(("리턴"),(A63))))</formula>
    </cfRule>
  </conditionalFormatting>
  <conditionalFormatting sqref="A63">
    <cfRule type="containsText" dxfId="2" priority="11299" operator="containsText" text="실패">
      <formula>NOT(ISERROR(SEARCH(("실패"),(A63))))</formula>
    </cfRule>
  </conditionalFormatting>
  <conditionalFormatting sqref="A63">
    <cfRule type="containsText" dxfId="3" priority="11300" operator="containsText" text="관리">
      <formula>NOT(ISERROR(SEARCH(("관리"),(A63))))</formula>
    </cfRule>
  </conditionalFormatting>
  <conditionalFormatting sqref="A63">
    <cfRule type="containsText" dxfId="4" priority="11301" operator="containsText" text="등록">
      <formula>NOT(ISERROR(SEARCH(("등록"),(A63))))</formula>
    </cfRule>
  </conditionalFormatting>
  <conditionalFormatting sqref="A63">
    <cfRule type="containsText" dxfId="0" priority="11302" operator="containsText" text="거부">
      <formula>NOT(ISERROR(SEARCH(("거부"),(A63))))</formula>
    </cfRule>
  </conditionalFormatting>
  <conditionalFormatting sqref="A63">
    <cfRule type="containsText" dxfId="1" priority="11303" operator="containsText" text="리턴">
      <formula>NOT(ISERROR(SEARCH(("리턴"),(A63))))</formula>
    </cfRule>
  </conditionalFormatting>
  <conditionalFormatting sqref="A63">
    <cfRule type="containsText" dxfId="2" priority="11304" operator="containsText" text="실패">
      <formula>NOT(ISERROR(SEARCH(("실패"),(A63))))</formula>
    </cfRule>
  </conditionalFormatting>
  <conditionalFormatting sqref="A63">
    <cfRule type="containsText" dxfId="3" priority="11305" operator="containsText" text="관리">
      <formula>NOT(ISERROR(SEARCH(("관리"),(A63))))</formula>
    </cfRule>
  </conditionalFormatting>
  <conditionalFormatting sqref="A63">
    <cfRule type="containsText" dxfId="4" priority="11306" operator="containsText" text="등록">
      <formula>NOT(ISERROR(SEARCH(("등록"),(A63))))</formula>
    </cfRule>
  </conditionalFormatting>
  <conditionalFormatting sqref="A63">
    <cfRule type="containsText" dxfId="0" priority="11307" operator="containsText" text="거부">
      <formula>NOT(ISERROR(SEARCH(("거부"),(A63))))</formula>
    </cfRule>
  </conditionalFormatting>
  <conditionalFormatting sqref="A63">
    <cfRule type="containsText" dxfId="1" priority="11308" operator="containsText" text="리턴">
      <formula>NOT(ISERROR(SEARCH(("리턴"),(A63))))</formula>
    </cfRule>
  </conditionalFormatting>
  <conditionalFormatting sqref="A63">
    <cfRule type="containsText" dxfId="2" priority="11309" operator="containsText" text="실패">
      <formula>NOT(ISERROR(SEARCH(("실패"),(A63))))</formula>
    </cfRule>
  </conditionalFormatting>
  <conditionalFormatting sqref="A63">
    <cfRule type="containsText" dxfId="3" priority="11310" operator="containsText" text="관리">
      <formula>NOT(ISERROR(SEARCH(("관리"),(A63))))</formula>
    </cfRule>
  </conditionalFormatting>
  <conditionalFormatting sqref="A63">
    <cfRule type="containsText" dxfId="4" priority="11311" operator="containsText" text="등록">
      <formula>NOT(ISERROR(SEARCH(("등록"),(A63))))</formula>
    </cfRule>
  </conditionalFormatting>
  <conditionalFormatting sqref="A63">
    <cfRule type="containsText" dxfId="0" priority="11312" operator="containsText" text="거부">
      <formula>NOT(ISERROR(SEARCH(("거부"),(A63))))</formula>
    </cfRule>
  </conditionalFormatting>
  <conditionalFormatting sqref="A63">
    <cfRule type="containsText" dxfId="1" priority="11313" operator="containsText" text="리턴">
      <formula>NOT(ISERROR(SEARCH(("리턴"),(A63))))</formula>
    </cfRule>
  </conditionalFormatting>
  <conditionalFormatting sqref="A63">
    <cfRule type="containsText" dxfId="2" priority="11314" operator="containsText" text="실패">
      <formula>NOT(ISERROR(SEARCH(("실패"),(A63))))</formula>
    </cfRule>
  </conditionalFormatting>
  <conditionalFormatting sqref="A63">
    <cfRule type="containsText" dxfId="3" priority="11315" operator="containsText" text="관리">
      <formula>NOT(ISERROR(SEARCH(("관리"),(A63))))</formula>
    </cfRule>
  </conditionalFormatting>
  <conditionalFormatting sqref="A63">
    <cfRule type="containsText" dxfId="4" priority="11316" operator="containsText" text="등록">
      <formula>NOT(ISERROR(SEARCH(("등록"),(A63))))</formula>
    </cfRule>
  </conditionalFormatting>
  <conditionalFormatting sqref="A63">
    <cfRule type="containsText" dxfId="0" priority="11317" operator="containsText" text="거부">
      <formula>NOT(ISERROR(SEARCH(("거부"),(A63))))</formula>
    </cfRule>
  </conditionalFormatting>
  <conditionalFormatting sqref="A63">
    <cfRule type="containsText" dxfId="1" priority="11318" operator="containsText" text="리턴">
      <formula>NOT(ISERROR(SEARCH(("리턴"),(A63))))</formula>
    </cfRule>
  </conditionalFormatting>
  <conditionalFormatting sqref="A63">
    <cfRule type="containsText" dxfId="2" priority="11319" operator="containsText" text="실패">
      <formula>NOT(ISERROR(SEARCH(("실패"),(A63))))</formula>
    </cfRule>
  </conditionalFormatting>
  <conditionalFormatting sqref="A63">
    <cfRule type="containsText" dxfId="3" priority="11320" operator="containsText" text="관리">
      <formula>NOT(ISERROR(SEARCH(("관리"),(A63))))</formula>
    </cfRule>
  </conditionalFormatting>
  <conditionalFormatting sqref="A63">
    <cfRule type="containsText" dxfId="4" priority="11321" operator="containsText" text="등록">
      <formula>NOT(ISERROR(SEARCH(("등록"),(A63))))</formula>
    </cfRule>
  </conditionalFormatting>
  <conditionalFormatting sqref="A63">
    <cfRule type="containsText" dxfId="0" priority="11322" operator="containsText" text="거부">
      <formula>NOT(ISERROR(SEARCH(("거부"),(A63))))</formula>
    </cfRule>
  </conditionalFormatting>
  <conditionalFormatting sqref="A63">
    <cfRule type="containsText" dxfId="1" priority="11323" operator="containsText" text="리턴">
      <formula>NOT(ISERROR(SEARCH(("리턴"),(A63))))</formula>
    </cfRule>
  </conditionalFormatting>
  <conditionalFormatting sqref="A63">
    <cfRule type="containsText" dxfId="2" priority="11324" operator="containsText" text="실패">
      <formula>NOT(ISERROR(SEARCH(("실패"),(A63))))</formula>
    </cfRule>
  </conditionalFormatting>
  <conditionalFormatting sqref="A63">
    <cfRule type="containsText" dxfId="3" priority="11325" operator="containsText" text="관리">
      <formula>NOT(ISERROR(SEARCH(("관리"),(A63))))</formula>
    </cfRule>
  </conditionalFormatting>
  <conditionalFormatting sqref="A63">
    <cfRule type="containsText" dxfId="4" priority="11326" operator="containsText" text="등록">
      <formula>NOT(ISERROR(SEARCH(("등록"),(A63))))</formula>
    </cfRule>
  </conditionalFormatting>
  <conditionalFormatting sqref="A63">
    <cfRule type="containsText" dxfId="0" priority="11327" operator="containsText" text="거부">
      <formula>NOT(ISERROR(SEARCH(("거부"),(A63))))</formula>
    </cfRule>
  </conditionalFormatting>
  <conditionalFormatting sqref="A63">
    <cfRule type="containsText" dxfId="1" priority="11328" operator="containsText" text="리턴">
      <formula>NOT(ISERROR(SEARCH(("리턴"),(A63))))</formula>
    </cfRule>
  </conditionalFormatting>
  <conditionalFormatting sqref="A63">
    <cfRule type="containsText" dxfId="2" priority="11329" operator="containsText" text="실패">
      <formula>NOT(ISERROR(SEARCH(("실패"),(A63))))</formula>
    </cfRule>
  </conditionalFormatting>
  <conditionalFormatting sqref="A63">
    <cfRule type="containsText" dxfId="3" priority="11330" operator="containsText" text="관리">
      <formula>NOT(ISERROR(SEARCH(("관리"),(A63))))</formula>
    </cfRule>
  </conditionalFormatting>
  <conditionalFormatting sqref="A63">
    <cfRule type="containsText" dxfId="4" priority="11331" operator="containsText" text="등록">
      <formula>NOT(ISERROR(SEARCH(("등록"),(A63))))</formula>
    </cfRule>
  </conditionalFormatting>
  <conditionalFormatting sqref="A63">
    <cfRule type="containsText" dxfId="0" priority="11332" operator="containsText" text="거부">
      <formula>NOT(ISERROR(SEARCH(("거부"),(A63))))</formula>
    </cfRule>
  </conditionalFormatting>
  <conditionalFormatting sqref="A63">
    <cfRule type="containsText" dxfId="1" priority="11333" operator="containsText" text="리턴">
      <formula>NOT(ISERROR(SEARCH(("리턴"),(A63))))</formula>
    </cfRule>
  </conditionalFormatting>
  <conditionalFormatting sqref="A63">
    <cfRule type="containsText" dxfId="2" priority="11334" operator="containsText" text="실패">
      <formula>NOT(ISERROR(SEARCH(("실패"),(A63))))</formula>
    </cfRule>
  </conditionalFormatting>
  <conditionalFormatting sqref="A63">
    <cfRule type="containsText" dxfId="3" priority="11335" operator="containsText" text="관리">
      <formula>NOT(ISERROR(SEARCH(("관리"),(A63))))</formula>
    </cfRule>
  </conditionalFormatting>
  <conditionalFormatting sqref="A63">
    <cfRule type="containsText" dxfId="4" priority="11336" operator="containsText" text="등록">
      <formula>NOT(ISERROR(SEARCH(("등록"),(A63))))</formula>
    </cfRule>
  </conditionalFormatting>
  <conditionalFormatting sqref="A63">
    <cfRule type="containsText" dxfId="0" priority="11337" operator="containsText" text="거부">
      <formula>NOT(ISERROR(SEARCH(("거부"),(A63))))</formula>
    </cfRule>
  </conditionalFormatting>
  <conditionalFormatting sqref="A63">
    <cfRule type="containsText" dxfId="1" priority="11338" operator="containsText" text="리턴">
      <formula>NOT(ISERROR(SEARCH(("리턴"),(A63))))</formula>
    </cfRule>
  </conditionalFormatting>
  <conditionalFormatting sqref="A63">
    <cfRule type="containsText" dxfId="2" priority="11339" operator="containsText" text="실패">
      <formula>NOT(ISERROR(SEARCH(("실패"),(A63))))</formula>
    </cfRule>
  </conditionalFormatting>
  <conditionalFormatting sqref="A63">
    <cfRule type="containsText" dxfId="3" priority="11340" operator="containsText" text="관리">
      <formula>NOT(ISERROR(SEARCH(("관리"),(A63))))</formula>
    </cfRule>
  </conditionalFormatting>
  <conditionalFormatting sqref="A63">
    <cfRule type="containsText" dxfId="4" priority="11341" operator="containsText" text="등록">
      <formula>NOT(ISERROR(SEARCH(("등록"),(A63))))</formula>
    </cfRule>
  </conditionalFormatting>
  <conditionalFormatting sqref="A64">
    <cfRule type="containsText" dxfId="0" priority="11342" operator="containsText" text="거부">
      <formula>NOT(ISERROR(SEARCH(("거부"),(A64))))</formula>
    </cfRule>
  </conditionalFormatting>
  <conditionalFormatting sqref="A64">
    <cfRule type="containsText" dxfId="1" priority="11343" operator="containsText" text="리턴">
      <formula>NOT(ISERROR(SEARCH(("리턴"),(A64))))</formula>
    </cfRule>
  </conditionalFormatting>
  <conditionalFormatting sqref="A64">
    <cfRule type="containsText" dxfId="2" priority="11344" operator="containsText" text="실패">
      <formula>NOT(ISERROR(SEARCH(("실패"),(A64))))</formula>
    </cfRule>
  </conditionalFormatting>
  <conditionalFormatting sqref="A64">
    <cfRule type="containsText" dxfId="3" priority="11345" operator="containsText" text="관리">
      <formula>NOT(ISERROR(SEARCH(("관리"),(A64))))</formula>
    </cfRule>
  </conditionalFormatting>
  <conditionalFormatting sqref="A64">
    <cfRule type="containsText" dxfId="4" priority="11346" operator="containsText" text="등록">
      <formula>NOT(ISERROR(SEARCH(("등록"),(A64))))</formula>
    </cfRule>
  </conditionalFormatting>
  <conditionalFormatting sqref="A64">
    <cfRule type="containsText" dxfId="0" priority="11347" operator="containsText" text="거부">
      <formula>NOT(ISERROR(SEARCH(("거부"),(A64))))</formula>
    </cfRule>
  </conditionalFormatting>
  <conditionalFormatting sqref="A64">
    <cfRule type="containsText" dxfId="1" priority="11348" operator="containsText" text="리턴">
      <formula>NOT(ISERROR(SEARCH(("리턴"),(A64))))</formula>
    </cfRule>
  </conditionalFormatting>
  <conditionalFormatting sqref="A64">
    <cfRule type="containsText" dxfId="2" priority="11349" operator="containsText" text="실패">
      <formula>NOT(ISERROR(SEARCH(("실패"),(A64))))</formula>
    </cfRule>
  </conditionalFormatting>
  <conditionalFormatting sqref="A64">
    <cfRule type="containsText" dxfId="3" priority="11350" operator="containsText" text="관리">
      <formula>NOT(ISERROR(SEARCH(("관리"),(A64))))</formula>
    </cfRule>
  </conditionalFormatting>
  <conditionalFormatting sqref="A64">
    <cfRule type="containsText" dxfId="4" priority="11351" operator="containsText" text="등록">
      <formula>NOT(ISERROR(SEARCH(("등록"),(A64))))</formula>
    </cfRule>
  </conditionalFormatting>
  <conditionalFormatting sqref="A64">
    <cfRule type="containsText" dxfId="0" priority="11352" operator="containsText" text="거부">
      <formula>NOT(ISERROR(SEARCH(("거부"),(A64))))</formula>
    </cfRule>
  </conditionalFormatting>
  <conditionalFormatting sqref="A64">
    <cfRule type="containsText" dxfId="1" priority="11353" operator="containsText" text="리턴">
      <formula>NOT(ISERROR(SEARCH(("리턴"),(A64))))</formula>
    </cfRule>
  </conditionalFormatting>
  <conditionalFormatting sqref="A64">
    <cfRule type="containsText" dxfId="2" priority="11354" operator="containsText" text="실패">
      <formula>NOT(ISERROR(SEARCH(("실패"),(A64))))</formula>
    </cfRule>
  </conditionalFormatting>
  <conditionalFormatting sqref="A64">
    <cfRule type="containsText" dxfId="3" priority="11355" operator="containsText" text="관리">
      <formula>NOT(ISERROR(SEARCH(("관리"),(A64))))</formula>
    </cfRule>
  </conditionalFormatting>
  <conditionalFormatting sqref="A64">
    <cfRule type="containsText" dxfId="4" priority="11356" operator="containsText" text="등록">
      <formula>NOT(ISERROR(SEARCH(("등록"),(A64))))</formula>
    </cfRule>
  </conditionalFormatting>
  <conditionalFormatting sqref="A64">
    <cfRule type="containsText" dxfId="0" priority="11357" operator="containsText" text="거부">
      <formula>NOT(ISERROR(SEARCH(("거부"),(A64))))</formula>
    </cfRule>
  </conditionalFormatting>
  <conditionalFormatting sqref="A64">
    <cfRule type="containsText" dxfId="1" priority="11358" operator="containsText" text="리턴">
      <formula>NOT(ISERROR(SEARCH(("리턴"),(A64))))</formula>
    </cfRule>
  </conditionalFormatting>
  <conditionalFormatting sqref="A64">
    <cfRule type="containsText" dxfId="2" priority="11359" operator="containsText" text="실패">
      <formula>NOT(ISERROR(SEARCH(("실패"),(A64))))</formula>
    </cfRule>
  </conditionalFormatting>
  <conditionalFormatting sqref="A64">
    <cfRule type="containsText" dxfId="3" priority="11360" operator="containsText" text="관리">
      <formula>NOT(ISERROR(SEARCH(("관리"),(A64))))</formula>
    </cfRule>
  </conditionalFormatting>
  <conditionalFormatting sqref="A64">
    <cfRule type="containsText" dxfId="4" priority="11361" operator="containsText" text="등록">
      <formula>NOT(ISERROR(SEARCH(("등록"),(A64))))</formula>
    </cfRule>
  </conditionalFormatting>
  <conditionalFormatting sqref="A64">
    <cfRule type="containsText" dxfId="0" priority="11362" operator="containsText" text="거부">
      <formula>NOT(ISERROR(SEARCH(("거부"),(A64))))</formula>
    </cfRule>
  </conditionalFormatting>
  <conditionalFormatting sqref="A64">
    <cfRule type="containsText" dxfId="1" priority="11363" operator="containsText" text="리턴">
      <formula>NOT(ISERROR(SEARCH(("리턴"),(A64))))</formula>
    </cfRule>
  </conditionalFormatting>
  <conditionalFormatting sqref="A64">
    <cfRule type="containsText" dxfId="2" priority="11364" operator="containsText" text="실패">
      <formula>NOT(ISERROR(SEARCH(("실패"),(A64))))</formula>
    </cfRule>
  </conditionalFormatting>
  <conditionalFormatting sqref="A64">
    <cfRule type="containsText" dxfId="3" priority="11365" operator="containsText" text="관리">
      <formula>NOT(ISERROR(SEARCH(("관리"),(A64))))</formula>
    </cfRule>
  </conditionalFormatting>
  <conditionalFormatting sqref="A64">
    <cfRule type="containsText" dxfId="4" priority="11366" operator="containsText" text="등록">
      <formula>NOT(ISERROR(SEARCH(("등록"),(A64))))</formula>
    </cfRule>
  </conditionalFormatting>
  <conditionalFormatting sqref="A64">
    <cfRule type="containsText" dxfId="0" priority="11367" operator="containsText" text="거부">
      <formula>NOT(ISERROR(SEARCH(("거부"),(A64))))</formula>
    </cfRule>
  </conditionalFormatting>
  <conditionalFormatting sqref="A64">
    <cfRule type="containsText" dxfId="1" priority="11368" operator="containsText" text="리턴">
      <formula>NOT(ISERROR(SEARCH(("리턴"),(A64))))</formula>
    </cfRule>
  </conditionalFormatting>
  <conditionalFormatting sqref="A64">
    <cfRule type="containsText" dxfId="2" priority="11369" operator="containsText" text="실패">
      <formula>NOT(ISERROR(SEARCH(("실패"),(A64))))</formula>
    </cfRule>
  </conditionalFormatting>
  <conditionalFormatting sqref="A64">
    <cfRule type="containsText" dxfId="3" priority="11370" operator="containsText" text="관리">
      <formula>NOT(ISERROR(SEARCH(("관리"),(A64))))</formula>
    </cfRule>
  </conditionalFormatting>
  <conditionalFormatting sqref="A64">
    <cfRule type="containsText" dxfId="4" priority="11371" operator="containsText" text="등록">
      <formula>NOT(ISERROR(SEARCH(("등록"),(A64))))</formula>
    </cfRule>
  </conditionalFormatting>
  <conditionalFormatting sqref="A64">
    <cfRule type="containsText" dxfId="0" priority="11372" operator="containsText" text="거부">
      <formula>NOT(ISERROR(SEARCH(("거부"),(A64))))</formula>
    </cfRule>
  </conditionalFormatting>
  <conditionalFormatting sqref="A64">
    <cfRule type="containsText" dxfId="1" priority="11373" operator="containsText" text="리턴">
      <formula>NOT(ISERROR(SEARCH(("리턴"),(A64))))</formula>
    </cfRule>
  </conditionalFormatting>
  <conditionalFormatting sqref="A64">
    <cfRule type="containsText" dxfId="2" priority="11374" operator="containsText" text="실패">
      <formula>NOT(ISERROR(SEARCH(("실패"),(A64))))</formula>
    </cfRule>
  </conditionalFormatting>
  <conditionalFormatting sqref="A64">
    <cfRule type="containsText" dxfId="3" priority="11375" operator="containsText" text="관리">
      <formula>NOT(ISERROR(SEARCH(("관리"),(A64))))</formula>
    </cfRule>
  </conditionalFormatting>
  <conditionalFormatting sqref="A64">
    <cfRule type="containsText" dxfId="4" priority="11376" operator="containsText" text="등록">
      <formula>NOT(ISERROR(SEARCH(("등록"),(A64))))</formula>
    </cfRule>
  </conditionalFormatting>
  <conditionalFormatting sqref="A64">
    <cfRule type="containsText" dxfId="0" priority="11377" operator="containsText" text="거부">
      <formula>NOT(ISERROR(SEARCH(("거부"),(A64))))</formula>
    </cfRule>
  </conditionalFormatting>
  <conditionalFormatting sqref="A64">
    <cfRule type="containsText" dxfId="1" priority="11378" operator="containsText" text="리턴">
      <formula>NOT(ISERROR(SEARCH(("리턴"),(A64))))</formula>
    </cfRule>
  </conditionalFormatting>
  <conditionalFormatting sqref="A64">
    <cfRule type="containsText" dxfId="2" priority="11379" operator="containsText" text="실패">
      <formula>NOT(ISERROR(SEARCH(("실패"),(A64))))</formula>
    </cfRule>
  </conditionalFormatting>
  <conditionalFormatting sqref="A64">
    <cfRule type="containsText" dxfId="3" priority="11380" operator="containsText" text="관리">
      <formula>NOT(ISERROR(SEARCH(("관리"),(A64))))</formula>
    </cfRule>
  </conditionalFormatting>
  <conditionalFormatting sqref="A64">
    <cfRule type="containsText" dxfId="4" priority="11381" operator="containsText" text="등록">
      <formula>NOT(ISERROR(SEARCH(("등록"),(A64))))</formula>
    </cfRule>
  </conditionalFormatting>
  <conditionalFormatting sqref="A64">
    <cfRule type="containsText" dxfId="0" priority="11382" operator="containsText" text="거부">
      <formula>NOT(ISERROR(SEARCH(("거부"),(A64))))</formula>
    </cfRule>
  </conditionalFormatting>
  <conditionalFormatting sqref="A64">
    <cfRule type="containsText" dxfId="1" priority="11383" operator="containsText" text="리턴">
      <formula>NOT(ISERROR(SEARCH(("리턴"),(A64))))</formula>
    </cfRule>
  </conditionalFormatting>
  <conditionalFormatting sqref="A64">
    <cfRule type="containsText" dxfId="2" priority="11384" operator="containsText" text="실패">
      <formula>NOT(ISERROR(SEARCH(("실패"),(A64))))</formula>
    </cfRule>
  </conditionalFormatting>
  <conditionalFormatting sqref="A64">
    <cfRule type="containsText" dxfId="3" priority="11385" operator="containsText" text="관리">
      <formula>NOT(ISERROR(SEARCH(("관리"),(A64))))</formula>
    </cfRule>
  </conditionalFormatting>
  <conditionalFormatting sqref="A64">
    <cfRule type="containsText" dxfId="4" priority="11386" operator="containsText" text="등록">
      <formula>NOT(ISERROR(SEARCH(("등록"),(A64))))</formula>
    </cfRule>
  </conditionalFormatting>
  <conditionalFormatting sqref="A64">
    <cfRule type="containsText" dxfId="0" priority="11387" operator="containsText" text="거부">
      <formula>NOT(ISERROR(SEARCH(("거부"),(A64))))</formula>
    </cfRule>
  </conditionalFormatting>
  <conditionalFormatting sqref="A64">
    <cfRule type="containsText" dxfId="1" priority="11388" operator="containsText" text="리턴">
      <formula>NOT(ISERROR(SEARCH(("리턴"),(A64))))</formula>
    </cfRule>
  </conditionalFormatting>
  <conditionalFormatting sqref="A64">
    <cfRule type="containsText" dxfId="2" priority="11389" operator="containsText" text="실패">
      <formula>NOT(ISERROR(SEARCH(("실패"),(A64))))</formula>
    </cfRule>
  </conditionalFormatting>
  <conditionalFormatting sqref="A64">
    <cfRule type="containsText" dxfId="3" priority="11390" operator="containsText" text="관리">
      <formula>NOT(ISERROR(SEARCH(("관리"),(A64))))</formula>
    </cfRule>
  </conditionalFormatting>
  <conditionalFormatting sqref="A64">
    <cfRule type="containsText" dxfId="4" priority="11391" operator="containsText" text="등록">
      <formula>NOT(ISERROR(SEARCH(("등록"),(A64))))</formula>
    </cfRule>
  </conditionalFormatting>
  <conditionalFormatting sqref="A64">
    <cfRule type="containsText" dxfId="0" priority="11392" operator="containsText" text="거부">
      <formula>NOT(ISERROR(SEARCH(("거부"),(A64))))</formula>
    </cfRule>
  </conditionalFormatting>
  <conditionalFormatting sqref="A64">
    <cfRule type="containsText" dxfId="1" priority="11393" operator="containsText" text="리턴">
      <formula>NOT(ISERROR(SEARCH(("리턴"),(A64))))</formula>
    </cfRule>
  </conditionalFormatting>
  <conditionalFormatting sqref="A64">
    <cfRule type="containsText" dxfId="2" priority="11394" operator="containsText" text="실패">
      <formula>NOT(ISERROR(SEARCH(("실패"),(A64))))</formula>
    </cfRule>
  </conditionalFormatting>
  <conditionalFormatting sqref="A64">
    <cfRule type="containsText" dxfId="3" priority="11395" operator="containsText" text="관리">
      <formula>NOT(ISERROR(SEARCH(("관리"),(A64))))</formula>
    </cfRule>
  </conditionalFormatting>
  <conditionalFormatting sqref="A64">
    <cfRule type="containsText" dxfId="4" priority="11396" operator="containsText" text="등록">
      <formula>NOT(ISERROR(SEARCH(("등록"),(A64))))</formula>
    </cfRule>
  </conditionalFormatting>
  <conditionalFormatting sqref="A64">
    <cfRule type="containsText" dxfId="0" priority="11397" operator="containsText" text="거부">
      <formula>NOT(ISERROR(SEARCH(("거부"),(A64))))</formula>
    </cfRule>
  </conditionalFormatting>
  <conditionalFormatting sqref="A64">
    <cfRule type="containsText" dxfId="1" priority="11398" operator="containsText" text="리턴">
      <formula>NOT(ISERROR(SEARCH(("리턴"),(A64))))</formula>
    </cfRule>
  </conditionalFormatting>
  <conditionalFormatting sqref="A64">
    <cfRule type="containsText" dxfId="2" priority="11399" operator="containsText" text="실패">
      <formula>NOT(ISERROR(SEARCH(("실패"),(A64))))</formula>
    </cfRule>
  </conditionalFormatting>
  <conditionalFormatting sqref="A64">
    <cfRule type="containsText" dxfId="3" priority="11400" operator="containsText" text="관리">
      <formula>NOT(ISERROR(SEARCH(("관리"),(A64))))</formula>
    </cfRule>
  </conditionalFormatting>
  <conditionalFormatting sqref="A64">
    <cfRule type="containsText" dxfId="4" priority="11401" operator="containsText" text="등록">
      <formula>NOT(ISERROR(SEARCH(("등록"),(A64))))</formula>
    </cfRule>
  </conditionalFormatting>
  <conditionalFormatting sqref="A64">
    <cfRule type="containsText" dxfId="0" priority="11402" operator="containsText" text="거부">
      <formula>NOT(ISERROR(SEARCH(("거부"),(A64))))</formula>
    </cfRule>
  </conditionalFormatting>
  <conditionalFormatting sqref="A64">
    <cfRule type="containsText" dxfId="1" priority="11403" operator="containsText" text="리턴">
      <formula>NOT(ISERROR(SEARCH(("리턴"),(A64))))</formula>
    </cfRule>
  </conditionalFormatting>
  <conditionalFormatting sqref="A64">
    <cfRule type="containsText" dxfId="2" priority="11404" operator="containsText" text="실패">
      <formula>NOT(ISERROR(SEARCH(("실패"),(A64))))</formula>
    </cfRule>
  </conditionalFormatting>
  <conditionalFormatting sqref="A64">
    <cfRule type="containsText" dxfId="3" priority="11405" operator="containsText" text="관리">
      <formula>NOT(ISERROR(SEARCH(("관리"),(A64))))</formula>
    </cfRule>
  </conditionalFormatting>
  <conditionalFormatting sqref="A64">
    <cfRule type="containsText" dxfId="4" priority="11406" operator="containsText" text="등록">
      <formula>NOT(ISERROR(SEARCH(("등록"),(A64))))</formula>
    </cfRule>
  </conditionalFormatting>
  <conditionalFormatting sqref="A64">
    <cfRule type="containsText" dxfId="0" priority="11407" operator="containsText" text="거부">
      <formula>NOT(ISERROR(SEARCH(("거부"),(A64))))</formula>
    </cfRule>
  </conditionalFormatting>
  <conditionalFormatting sqref="A64">
    <cfRule type="containsText" dxfId="1" priority="11408" operator="containsText" text="리턴">
      <formula>NOT(ISERROR(SEARCH(("리턴"),(A64))))</formula>
    </cfRule>
  </conditionalFormatting>
  <conditionalFormatting sqref="A64">
    <cfRule type="containsText" dxfId="2" priority="11409" operator="containsText" text="실패">
      <formula>NOT(ISERROR(SEARCH(("실패"),(A64))))</formula>
    </cfRule>
  </conditionalFormatting>
  <conditionalFormatting sqref="A64">
    <cfRule type="containsText" dxfId="3" priority="11410" operator="containsText" text="관리">
      <formula>NOT(ISERROR(SEARCH(("관리"),(A64))))</formula>
    </cfRule>
  </conditionalFormatting>
  <conditionalFormatting sqref="A64">
    <cfRule type="containsText" dxfId="4" priority="11411" operator="containsText" text="등록">
      <formula>NOT(ISERROR(SEARCH(("등록"),(A64))))</formula>
    </cfRule>
  </conditionalFormatting>
  <conditionalFormatting sqref="A64">
    <cfRule type="containsText" dxfId="0" priority="11412" operator="containsText" text="거부">
      <formula>NOT(ISERROR(SEARCH(("거부"),(A64))))</formula>
    </cfRule>
  </conditionalFormatting>
  <conditionalFormatting sqref="A64">
    <cfRule type="containsText" dxfId="1" priority="11413" operator="containsText" text="리턴">
      <formula>NOT(ISERROR(SEARCH(("리턴"),(A64))))</formula>
    </cfRule>
  </conditionalFormatting>
  <conditionalFormatting sqref="A64">
    <cfRule type="containsText" dxfId="2" priority="11414" operator="containsText" text="실패">
      <formula>NOT(ISERROR(SEARCH(("실패"),(A64))))</formula>
    </cfRule>
  </conditionalFormatting>
  <conditionalFormatting sqref="A64">
    <cfRule type="containsText" dxfId="3" priority="11415" operator="containsText" text="관리">
      <formula>NOT(ISERROR(SEARCH(("관리"),(A64))))</formula>
    </cfRule>
  </conditionalFormatting>
  <conditionalFormatting sqref="A64">
    <cfRule type="containsText" dxfId="4" priority="11416" operator="containsText" text="등록">
      <formula>NOT(ISERROR(SEARCH(("등록"),(A64))))</formula>
    </cfRule>
  </conditionalFormatting>
  <conditionalFormatting sqref="A64">
    <cfRule type="containsText" dxfId="0" priority="11417" operator="containsText" text="거부">
      <formula>NOT(ISERROR(SEARCH(("거부"),(A64))))</formula>
    </cfRule>
  </conditionalFormatting>
  <conditionalFormatting sqref="A64">
    <cfRule type="containsText" dxfId="1" priority="11418" operator="containsText" text="리턴">
      <formula>NOT(ISERROR(SEARCH(("리턴"),(A64))))</formula>
    </cfRule>
  </conditionalFormatting>
  <conditionalFormatting sqref="A64">
    <cfRule type="containsText" dxfId="2" priority="11419" operator="containsText" text="실패">
      <formula>NOT(ISERROR(SEARCH(("실패"),(A64))))</formula>
    </cfRule>
  </conditionalFormatting>
  <conditionalFormatting sqref="A64">
    <cfRule type="containsText" dxfId="3" priority="11420" operator="containsText" text="관리">
      <formula>NOT(ISERROR(SEARCH(("관리"),(A64))))</formula>
    </cfRule>
  </conditionalFormatting>
  <conditionalFormatting sqref="A64">
    <cfRule type="containsText" dxfId="4" priority="11421" operator="containsText" text="등록">
      <formula>NOT(ISERROR(SEARCH(("등록"),(A64))))</formula>
    </cfRule>
  </conditionalFormatting>
  <conditionalFormatting sqref="A64">
    <cfRule type="containsText" dxfId="0" priority="11422" operator="containsText" text="거부">
      <formula>NOT(ISERROR(SEARCH(("거부"),(A64))))</formula>
    </cfRule>
  </conditionalFormatting>
  <conditionalFormatting sqref="A64">
    <cfRule type="containsText" dxfId="1" priority="11423" operator="containsText" text="리턴">
      <formula>NOT(ISERROR(SEARCH(("리턴"),(A64))))</formula>
    </cfRule>
  </conditionalFormatting>
  <conditionalFormatting sqref="A64">
    <cfRule type="containsText" dxfId="2" priority="11424" operator="containsText" text="실패">
      <formula>NOT(ISERROR(SEARCH(("실패"),(A64))))</formula>
    </cfRule>
  </conditionalFormatting>
  <conditionalFormatting sqref="A64">
    <cfRule type="containsText" dxfId="3" priority="11425" operator="containsText" text="관리">
      <formula>NOT(ISERROR(SEARCH(("관리"),(A64))))</formula>
    </cfRule>
  </conditionalFormatting>
  <conditionalFormatting sqref="A64">
    <cfRule type="containsText" dxfId="4" priority="11426" operator="containsText" text="등록">
      <formula>NOT(ISERROR(SEARCH(("등록"),(A64))))</formula>
    </cfRule>
  </conditionalFormatting>
  <conditionalFormatting sqref="A64">
    <cfRule type="containsText" dxfId="0" priority="11427" operator="containsText" text="거부">
      <formula>NOT(ISERROR(SEARCH(("거부"),(A64))))</formula>
    </cfRule>
  </conditionalFormatting>
  <conditionalFormatting sqref="A64">
    <cfRule type="containsText" dxfId="1" priority="11428" operator="containsText" text="리턴">
      <formula>NOT(ISERROR(SEARCH(("리턴"),(A64))))</formula>
    </cfRule>
  </conditionalFormatting>
  <conditionalFormatting sqref="A64">
    <cfRule type="containsText" dxfId="2" priority="11429" operator="containsText" text="실패">
      <formula>NOT(ISERROR(SEARCH(("실패"),(A64))))</formula>
    </cfRule>
  </conditionalFormatting>
  <conditionalFormatting sqref="A64">
    <cfRule type="containsText" dxfId="3" priority="11430" operator="containsText" text="관리">
      <formula>NOT(ISERROR(SEARCH(("관리"),(A64))))</formula>
    </cfRule>
  </conditionalFormatting>
  <conditionalFormatting sqref="A64">
    <cfRule type="containsText" dxfId="4" priority="11431" operator="containsText" text="등록">
      <formula>NOT(ISERROR(SEARCH(("등록"),(A64))))</formula>
    </cfRule>
  </conditionalFormatting>
  <conditionalFormatting sqref="A64">
    <cfRule type="containsText" dxfId="0" priority="11432" operator="containsText" text="거부">
      <formula>NOT(ISERROR(SEARCH(("거부"),(A64))))</formula>
    </cfRule>
  </conditionalFormatting>
  <conditionalFormatting sqref="A64">
    <cfRule type="containsText" dxfId="1" priority="11433" operator="containsText" text="리턴">
      <formula>NOT(ISERROR(SEARCH(("리턴"),(A64))))</formula>
    </cfRule>
  </conditionalFormatting>
  <conditionalFormatting sqref="A64">
    <cfRule type="containsText" dxfId="2" priority="11434" operator="containsText" text="실패">
      <formula>NOT(ISERROR(SEARCH(("실패"),(A64))))</formula>
    </cfRule>
  </conditionalFormatting>
  <conditionalFormatting sqref="A64">
    <cfRule type="containsText" dxfId="3" priority="11435" operator="containsText" text="관리">
      <formula>NOT(ISERROR(SEARCH(("관리"),(A64))))</formula>
    </cfRule>
  </conditionalFormatting>
  <conditionalFormatting sqref="A64">
    <cfRule type="containsText" dxfId="4" priority="11436" operator="containsText" text="등록">
      <formula>NOT(ISERROR(SEARCH(("등록"),(A64))))</formula>
    </cfRule>
  </conditionalFormatting>
  <conditionalFormatting sqref="D63">
    <cfRule type="containsText" dxfId="0" priority="11437" operator="containsText" text="거부">
      <formula>NOT(ISERROR(SEARCH(("거부"),(D63))))</formula>
    </cfRule>
  </conditionalFormatting>
  <conditionalFormatting sqref="D63">
    <cfRule type="containsText" dxfId="1" priority="11438" operator="containsText" text="리턴">
      <formula>NOT(ISERROR(SEARCH(("리턴"),(D63))))</formula>
    </cfRule>
  </conditionalFormatting>
  <conditionalFormatting sqref="D63">
    <cfRule type="containsText" dxfId="2" priority="11439" operator="containsText" text="실패">
      <formula>NOT(ISERROR(SEARCH(("실패"),(D63))))</formula>
    </cfRule>
  </conditionalFormatting>
  <conditionalFormatting sqref="D63">
    <cfRule type="containsText" dxfId="3" priority="11440" operator="containsText" text="관리">
      <formula>NOT(ISERROR(SEARCH(("관리"),(D63))))</formula>
    </cfRule>
  </conditionalFormatting>
  <conditionalFormatting sqref="D63">
    <cfRule type="containsText" dxfId="4" priority="11441" operator="containsText" text="등록">
      <formula>NOT(ISERROR(SEARCH(("등록"),(D63))))</formula>
    </cfRule>
  </conditionalFormatting>
  <conditionalFormatting sqref="D63">
    <cfRule type="containsText" dxfId="0" priority="11442" operator="containsText" text="거부">
      <formula>NOT(ISERROR(SEARCH(("거부"),(D63))))</formula>
    </cfRule>
  </conditionalFormatting>
  <conditionalFormatting sqref="D63">
    <cfRule type="containsText" dxfId="1" priority="11443" operator="containsText" text="리턴">
      <formula>NOT(ISERROR(SEARCH(("리턴"),(D63))))</formula>
    </cfRule>
  </conditionalFormatting>
  <conditionalFormatting sqref="D63">
    <cfRule type="containsText" dxfId="2" priority="11444" operator="containsText" text="실패">
      <formula>NOT(ISERROR(SEARCH(("실패"),(D63))))</formula>
    </cfRule>
  </conditionalFormatting>
  <conditionalFormatting sqref="D63">
    <cfRule type="containsText" dxfId="3" priority="11445" operator="containsText" text="관리">
      <formula>NOT(ISERROR(SEARCH(("관리"),(D63))))</formula>
    </cfRule>
  </conditionalFormatting>
  <conditionalFormatting sqref="D63">
    <cfRule type="containsText" dxfId="4" priority="11446" operator="containsText" text="등록">
      <formula>NOT(ISERROR(SEARCH(("등록"),(D63))))</formula>
    </cfRule>
  </conditionalFormatting>
  <conditionalFormatting sqref="D63">
    <cfRule type="containsText" dxfId="0" priority="11447" operator="containsText" text="거부">
      <formula>NOT(ISERROR(SEARCH(("거부"),(D63))))</formula>
    </cfRule>
  </conditionalFormatting>
  <conditionalFormatting sqref="D63">
    <cfRule type="containsText" dxfId="1" priority="11448" operator="containsText" text="리턴">
      <formula>NOT(ISERROR(SEARCH(("리턴"),(D63))))</formula>
    </cfRule>
  </conditionalFormatting>
  <conditionalFormatting sqref="D63">
    <cfRule type="containsText" dxfId="2" priority="11449" operator="containsText" text="실패">
      <formula>NOT(ISERROR(SEARCH(("실패"),(D63))))</formula>
    </cfRule>
  </conditionalFormatting>
  <conditionalFormatting sqref="D63">
    <cfRule type="containsText" dxfId="3" priority="11450" operator="containsText" text="관리">
      <formula>NOT(ISERROR(SEARCH(("관리"),(D63))))</formula>
    </cfRule>
  </conditionalFormatting>
  <conditionalFormatting sqref="D63">
    <cfRule type="containsText" dxfId="4" priority="11451" operator="containsText" text="등록">
      <formula>NOT(ISERROR(SEARCH(("등록"),(D63))))</formula>
    </cfRule>
  </conditionalFormatting>
  <conditionalFormatting sqref="D63">
    <cfRule type="containsText" dxfId="0" priority="11452" operator="containsText" text="거부">
      <formula>NOT(ISERROR(SEARCH(("거부"),(D63))))</formula>
    </cfRule>
  </conditionalFormatting>
  <conditionalFormatting sqref="D63">
    <cfRule type="containsText" dxfId="1" priority="11453" operator="containsText" text="리턴">
      <formula>NOT(ISERROR(SEARCH(("리턴"),(D63))))</formula>
    </cfRule>
  </conditionalFormatting>
  <conditionalFormatting sqref="D63">
    <cfRule type="containsText" dxfId="2" priority="11454" operator="containsText" text="실패">
      <formula>NOT(ISERROR(SEARCH(("실패"),(D63))))</formula>
    </cfRule>
  </conditionalFormatting>
  <conditionalFormatting sqref="D63">
    <cfRule type="containsText" dxfId="3" priority="11455" operator="containsText" text="관리">
      <formula>NOT(ISERROR(SEARCH(("관리"),(D63))))</formula>
    </cfRule>
  </conditionalFormatting>
  <conditionalFormatting sqref="D63">
    <cfRule type="containsText" dxfId="4" priority="11456" operator="containsText" text="등록">
      <formula>NOT(ISERROR(SEARCH(("등록"),(D63))))</formula>
    </cfRule>
  </conditionalFormatting>
  <conditionalFormatting sqref="D63">
    <cfRule type="containsText" dxfId="0" priority="11457" operator="containsText" text="거부">
      <formula>NOT(ISERROR(SEARCH(("거부"),(D63))))</formula>
    </cfRule>
  </conditionalFormatting>
  <conditionalFormatting sqref="D63">
    <cfRule type="containsText" dxfId="1" priority="11458" operator="containsText" text="리턴">
      <formula>NOT(ISERROR(SEARCH(("리턴"),(D63))))</formula>
    </cfRule>
  </conditionalFormatting>
  <conditionalFormatting sqref="D63">
    <cfRule type="containsText" dxfId="2" priority="11459" operator="containsText" text="실패">
      <formula>NOT(ISERROR(SEARCH(("실패"),(D63))))</formula>
    </cfRule>
  </conditionalFormatting>
  <conditionalFormatting sqref="D63">
    <cfRule type="containsText" dxfId="3" priority="11460" operator="containsText" text="관리">
      <formula>NOT(ISERROR(SEARCH(("관리"),(D63))))</formula>
    </cfRule>
  </conditionalFormatting>
  <conditionalFormatting sqref="D63">
    <cfRule type="containsText" dxfId="4" priority="11461" operator="containsText" text="등록">
      <formula>NOT(ISERROR(SEARCH(("등록"),(D63))))</formula>
    </cfRule>
  </conditionalFormatting>
  <conditionalFormatting sqref="D63">
    <cfRule type="containsText" dxfId="0" priority="11462" operator="containsText" text="거부">
      <formula>NOT(ISERROR(SEARCH(("거부"),(D63))))</formula>
    </cfRule>
  </conditionalFormatting>
  <conditionalFormatting sqref="D63">
    <cfRule type="containsText" dxfId="1" priority="11463" operator="containsText" text="리턴">
      <formula>NOT(ISERROR(SEARCH(("리턴"),(D63))))</formula>
    </cfRule>
  </conditionalFormatting>
  <conditionalFormatting sqref="D63">
    <cfRule type="containsText" dxfId="2" priority="11464" operator="containsText" text="실패">
      <formula>NOT(ISERROR(SEARCH(("실패"),(D63))))</formula>
    </cfRule>
  </conditionalFormatting>
  <conditionalFormatting sqref="D63">
    <cfRule type="containsText" dxfId="3" priority="11465" operator="containsText" text="관리">
      <formula>NOT(ISERROR(SEARCH(("관리"),(D63))))</formula>
    </cfRule>
  </conditionalFormatting>
  <conditionalFormatting sqref="D63">
    <cfRule type="containsText" dxfId="4" priority="11466" operator="containsText" text="등록">
      <formula>NOT(ISERROR(SEARCH(("등록"),(D63))))</formula>
    </cfRule>
  </conditionalFormatting>
  <conditionalFormatting sqref="D64">
    <cfRule type="containsText" dxfId="0" priority="11467" operator="containsText" text="거부">
      <formula>NOT(ISERROR(SEARCH(("거부"),(D64))))</formula>
    </cfRule>
  </conditionalFormatting>
  <conditionalFormatting sqref="D64">
    <cfRule type="containsText" dxfId="1" priority="11468" operator="containsText" text="리턴">
      <formula>NOT(ISERROR(SEARCH(("리턴"),(D64))))</formula>
    </cfRule>
  </conditionalFormatting>
  <conditionalFormatting sqref="D64">
    <cfRule type="containsText" dxfId="2" priority="11469" operator="containsText" text="실패">
      <formula>NOT(ISERROR(SEARCH(("실패"),(D64))))</formula>
    </cfRule>
  </conditionalFormatting>
  <conditionalFormatting sqref="D64">
    <cfRule type="containsText" dxfId="3" priority="11470" operator="containsText" text="관리">
      <formula>NOT(ISERROR(SEARCH(("관리"),(D64))))</formula>
    </cfRule>
  </conditionalFormatting>
  <conditionalFormatting sqref="D64">
    <cfRule type="containsText" dxfId="4" priority="11471" operator="containsText" text="등록">
      <formula>NOT(ISERROR(SEARCH(("등록"),(D64))))</formula>
    </cfRule>
  </conditionalFormatting>
  <conditionalFormatting sqref="D64">
    <cfRule type="containsText" dxfId="0" priority="11472" operator="containsText" text="거부">
      <formula>NOT(ISERROR(SEARCH(("거부"),(D64))))</formula>
    </cfRule>
  </conditionalFormatting>
  <conditionalFormatting sqref="D64">
    <cfRule type="containsText" dxfId="1" priority="11473" operator="containsText" text="리턴">
      <formula>NOT(ISERROR(SEARCH(("리턴"),(D64))))</formula>
    </cfRule>
  </conditionalFormatting>
  <conditionalFormatting sqref="D64">
    <cfRule type="containsText" dxfId="2" priority="11474" operator="containsText" text="실패">
      <formula>NOT(ISERROR(SEARCH(("실패"),(D64))))</formula>
    </cfRule>
  </conditionalFormatting>
  <conditionalFormatting sqref="D64">
    <cfRule type="containsText" dxfId="3" priority="11475" operator="containsText" text="관리">
      <formula>NOT(ISERROR(SEARCH(("관리"),(D64))))</formula>
    </cfRule>
  </conditionalFormatting>
  <conditionalFormatting sqref="D64">
    <cfRule type="containsText" dxfId="4" priority="11476" operator="containsText" text="등록">
      <formula>NOT(ISERROR(SEARCH(("등록"),(D64))))</formula>
    </cfRule>
  </conditionalFormatting>
  <conditionalFormatting sqref="D64">
    <cfRule type="containsText" dxfId="0" priority="11477" operator="containsText" text="거부">
      <formula>NOT(ISERROR(SEARCH(("거부"),(D64))))</formula>
    </cfRule>
  </conditionalFormatting>
  <conditionalFormatting sqref="D64">
    <cfRule type="containsText" dxfId="1" priority="11478" operator="containsText" text="리턴">
      <formula>NOT(ISERROR(SEARCH(("리턴"),(D64))))</formula>
    </cfRule>
  </conditionalFormatting>
  <conditionalFormatting sqref="D64">
    <cfRule type="containsText" dxfId="2" priority="11479" operator="containsText" text="실패">
      <formula>NOT(ISERROR(SEARCH(("실패"),(D64))))</formula>
    </cfRule>
  </conditionalFormatting>
  <conditionalFormatting sqref="D64">
    <cfRule type="containsText" dxfId="3" priority="11480" operator="containsText" text="관리">
      <formula>NOT(ISERROR(SEARCH(("관리"),(D64))))</formula>
    </cfRule>
  </conditionalFormatting>
  <conditionalFormatting sqref="D64">
    <cfRule type="containsText" dxfId="4" priority="11481" operator="containsText" text="등록">
      <formula>NOT(ISERROR(SEARCH(("등록"),(D64))))</formula>
    </cfRule>
  </conditionalFormatting>
  <conditionalFormatting sqref="D64">
    <cfRule type="containsText" dxfId="0" priority="11482" operator="containsText" text="거부">
      <formula>NOT(ISERROR(SEARCH(("거부"),(D64))))</formula>
    </cfRule>
  </conditionalFormatting>
  <conditionalFormatting sqref="D64">
    <cfRule type="containsText" dxfId="1" priority="11483" operator="containsText" text="리턴">
      <formula>NOT(ISERROR(SEARCH(("리턴"),(D64))))</formula>
    </cfRule>
  </conditionalFormatting>
  <conditionalFormatting sqref="D64">
    <cfRule type="containsText" dxfId="2" priority="11484" operator="containsText" text="실패">
      <formula>NOT(ISERROR(SEARCH(("실패"),(D64))))</formula>
    </cfRule>
  </conditionalFormatting>
  <conditionalFormatting sqref="D64">
    <cfRule type="containsText" dxfId="3" priority="11485" operator="containsText" text="관리">
      <formula>NOT(ISERROR(SEARCH(("관리"),(D64))))</formula>
    </cfRule>
  </conditionalFormatting>
  <conditionalFormatting sqref="D64">
    <cfRule type="containsText" dxfId="4" priority="11486" operator="containsText" text="등록">
      <formula>NOT(ISERROR(SEARCH(("등록"),(D64))))</formula>
    </cfRule>
  </conditionalFormatting>
  <conditionalFormatting sqref="D64">
    <cfRule type="containsText" dxfId="0" priority="11487" operator="containsText" text="거부">
      <formula>NOT(ISERROR(SEARCH(("거부"),(D64))))</formula>
    </cfRule>
  </conditionalFormatting>
  <conditionalFormatting sqref="D64">
    <cfRule type="containsText" dxfId="1" priority="11488" operator="containsText" text="리턴">
      <formula>NOT(ISERROR(SEARCH(("리턴"),(D64))))</formula>
    </cfRule>
  </conditionalFormatting>
  <conditionalFormatting sqref="D64">
    <cfRule type="containsText" dxfId="2" priority="11489" operator="containsText" text="실패">
      <formula>NOT(ISERROR(SEARCH(("실패"),(D64))))</formula>
    </cfRule>
  </conditionalFormatting>
  <conditionalFormatting sqref="D64">
    <cfRule type="containsText" dxfId="3" priority="11490" operator="containsText" text="관리">
      <formula>NOT(ISERROR(SEARCH(("관리"),(D64))))</formula>
    </cfRule>
  </conditionalFormatting>
  <conditionalFormatting sqref="D64">
    <cfRule type="containsText" dxfId="4" priority="11491" operator="containsText" text="등록">
      <formula>NOT(ISERROR(SEARCH(("등록"),(D64))))</formula>
    </cfRule>
  </conditionalFormatting>
  <conditionalFormatting sqref="D64">
    <cfRule type="containsText" dxfId="0" priority="11492" operator="containsText" text="거부">
      <formula>NOT(ISERROR(SEARCH(("거부"),(D64))))</formula>
    </cfRule>
  </conditionalFormatting>
  <conditionalFormatting sqref="D64">
    <cfRule type="containsText" dxfId="1" priority="11493" operator="containsText" text="리턴">
      <formula>NOT(ISERROR(SEARCH(("리턴"),(D64))))</formula>
    </cfRule>
  </conditionalFormatting>
  <conditionalFormatting sqref="D64">
    <cfRule type="containsText" dxfId="2" priority="11494" operator="containsText" text="실패">
      <formula>NOT(ISERROR(SEARCH(("실패"),(D64))))</formula>
    </cfRule>
  </conditionalFormatting>
  <conditionalFormatting sqref="D64">
    <cfRule type="containsText" dxfId="3" priority="11495" operator="containsText" text="관리">
      <formula>NOT(ISERROR(SEARCH(("관리"),(D64))))</formula>
    </cfRule>
  </conditionalFormatting>
  <conditionalFormatting sqref="D64">
    <cfRule type="containsText" dxfId="4" priority="11496" operator="containsText" text="등록">
      <formula>NOT(ISERROR(SEARCH(("등록"),(D64))))</formula>
    </cfRule>
  </conditionalFormatting>
  <conditionalFormatting sqref="D64">
    <cfRule type="containsText" dxfId="0" priority="11497" operator="containsText" text="거부">
      <formula>NOT(ISERROR(SEARCH(("거부"),(D64))))</formula>
    </cfRule>
  </conditionalFormatting>
  <conditionalFormatting sqref="D64">
    <cfRule type="containsText" dxfId="1" priority="11498" operator="containsText" text="리턴">
      <formula>NOT(ISERROR(SEARCH(("리턴"),(D64))))</formula>
    </cfRule>
  </conditionalFormatting>
  <conditionalFormatting sqref="D64">
    <cfRule type="containsText" dxfId="2" priority="11499" operator="containsText" text="실패">
      <formula>NOT(ISERROR(SEARCH(("실패"),(D64))))</formula>
    </cfRule>
  </conditionalFormatting>
  <conditionalFormatting sqref="D64">
    <cfRule type="containsText" dxfId="3" priority="11500" operator="containsText" text="관리">
      <formula>NOT(ISERROR(SEARCH(("관리"),(D64))))</formula>
    </cfRule>
  </conditionalFormatting>
  <conditionalFormatting sqref="D64">
    <cfRule type="containsText" dxfId="4" priority="11501" operator="containsText" text="등록">
      <formula>NOT(ISERROR(SEARCH(("등록"),(D64))))</formula>
    </cfRule>
  </conditionalFormatting>
  <conditionalFormatting sqref="D64">
    <cfRule type="containsText" dxfId="0" priority="11502" operator="containsText" text="거부">
      <formula>NOT(ISERROR(SEARCH(("거부"),(D64))))</formula>
    </cfRule>
  </conditionalFormatting>
  <conditionalFormatting sqref="D64">
    <cfRule type="containsText" dxfId="1" priority="11503" operator="containsText" text="리턴">
      <formula>NOT(ISERROR(SEARCH(("리턴"),(D64))))</formula>
    </cfRule>
  </conditionalFormatting>
  <conditionalFormatting sqref="D64">
    <cfRule type="containsText" dxfId="2" priority="11504" operator="containsText" text="실패">
      <formula>NOT(ISERROR(SEARCH(("실패"),(D64))))</formula>
    </cfRule>
  </conditionalFormatting>
  <conditionalFormatting sqref="D64">
    <cfRule type="containsText" dxfId="3" priority="11505" operator="containsText" text="관리">
      <formula>NOT(ISERROR(SEARCH(("관리"),(D64))))</formula>
    </cfRule>
  </conditionalFormatting>
  <conditionalFormatting sqref="D64">
    <cfRule type="containsText" dxfId="4" priority="11506" operator="containsText" text="등록">
      <formula>NOT(ISERROR(SEARCH(("등록"),(D64))))</formula>
    </cfRule>
  </conditionalFormatting>
  <conditionalFormatting sqref="D64">
    <cfRule type="containsText" dxfId="0" priority="11507" operator="containsText" text="거부">
      <formula>NOT(ISERROR(SEARCH(("거부"),(D64))))</formula>
    </cfRule>
  </conditionalFormatting>
  <conditionalFormatting sqref="D64">
    <cfRule type="containsText" dxfId="1" priority="11508" operator="containsText" text="리턴">
      <formula>NOT(ISERROR(SEARCH(("리턴"),(D64))))</formula>
    </cfRule>
  </conditionalFormatting>
  <conditionalFormatting sqref="D64">
    <cfRule type="containsText" dxfId="2" priority="11509" operator="containsText" text="실패">
      <formula>NOT(ISERROR(SEARCH(("실패"),(D64))))</formula>
    </cfRule>
  </conditionalFormatting>
  <conditionalFormatting sqref="D64">
    <cfRule type="containsText" dxfId="3" priority="11510" operator="containsText" text="관리">
      <formula>NOT(ISERROR(SEARCH(("관리"),(D64))))</formula>
    </cfRule>
  </conditionalFormatting>
  <conditionalFormatting sqref="D64">
    <cfRule type="containsText" dxfId="4" priority="11511" operator="containsText" text="등록">
      <formula>NOT(ISERROR(SEARCH(("등록"),(D64))))</formula>
    </cfRule>
  </conditionalFormatting>
  <conditionalFormatting sqref="D64">
    <cfRule type="containsText" dxfId="0" priority="11512" operator="containsText" text="거부">
      <formula>NOT(ISERROR(SEARCH(("거부"),(D64))))</formula>
    </cfRule>
  </conditionalFormatting>
  <conditionalFormatting sqref="D64">
    <cfRule type="containsText" dxfId="1" priority="11513" operator="containsText" text="리턴">
      <formula>NOT(ISERROR(SEARCH(("리턴"),(D64))))</formula>
    </cfRule>
  </conditionalFormatting>
  <conditionalFormatting sqref="D64">
    <cfRule type="containsText" dxfId="2" priority="11514" operator="containsText" text="실패">
      <formula>NOT(ISERROR(SEARCH(("실패"),(D64))))</formula>
    </cfRule>
  </conditionalFormatting>
  <conditionalFormatting sqref="D64">
    <cfRule type="containsText" dxfId="3" priority="11515" operator="containsText" text="관리">
      <formula>NOT(ISERROR(SEARCH(("관리"),(D64))))</formula>
    </cfRule>
  </conditionalFormatting>
  <conditionalFormatting sqref="D64">
    <cfRule type="containsText" dxfId="4" priority="11516" operator="containsText" text="등록">
      <formula>NOT(ISERROR(SEARCH(("등록"),(D64))))</formula>
    </cfRule>
  </conditionalFormatting>
  <conditionalFormatting sqref="E64">
    <cfRule type="containsText" dxfId="0" priority="11517" operator="containsText" text="거부">
      <formula>NOT(ISERROR(SEARCH(("거부"),(E64))))</formula>
    </cfRule>
  </conditionalFormatting>
  <conditionalFormatting sqref="E64">
    <cfRule type="containsText" dxfId="1" priority="11518" operator="containsText" text="리턴">
      <formula>NOT(ISERROR(SEARCH(("리턴"),(E64))))</formula>
    </cfRule>
  </conditionalFormatting>
  <conditionalFormatting sqref="E64">
    <cfRule type="containsText" dxfId="2" priority="11519" operator="containsText" text="실패">
      <formula>NOT(ISERROR(SEARCH(("실패"),(E64))))</formula>
    </cfRule>
  </conditionalFormatting>
  <conditionalFormatting sqref="E64">
    <cfRule type="containsText" dxfId="3" priority="11520" operator="containsText" text="관리">
      <formula>NOT(ISERROR(SEARCH(("관리"),(E64))))</formula>
    </cfRule>
  </conditionalFormatting>
  <conditionalFormatting sqref="E64">
    <cfRule type="containsText" dxfId="4" priority="11521" operator="containsText" text="등록">
      <formula>NOT(ISERROR(SEARCH(("등록"),(E64))))</formula>
    </cfRule>
  </conditionalFormatting>
  <conditionalFormatting sqref="E64">
    <cfRule type="containsText" dxfId="0" priority="11522" operator="containsText" text="거부">
      <formula>NOT(ISERROR(SEARCH(("거부"),(E64))))</formula>
    </cfRule>
  </conditionalFormatting>
  <conditionalFormatting sqref="E64">
    <cfRule type="containsText" dxfId="1" priority="11523" operator="containsText" text="리턴">
      <formula>NOT(ISERROR(SEARCH(("리턴"),(E64))))</formula>
    </cfRule>
  </conditionalFormatting>
  <conditionalFormatting sqref="E64">
    <cfRule type="containsText" dxfId="2" priority="11524" operator="containsText" text="실패">
      <formula>NOT(ISERROR(SEARCH(("실패"),(E64))))</formula>
    </cfRule>
  </conditionalFormatting>
  <conditionalFormatting sqref="E64">
    <cfRule type="containsText" dxfId="3" priority="11525" operator="containsText" text="관리">
      <formula>NOT(ISERROR(SEARCH(("관리"),(E64))))</formula>
    </cfRule>
  </conditionalFormatting>
  <conditionalFormatting sqref="E64">
    <cfRule type="containsText" dxfId="4" priority="11526" operator="containsText" text="등록">
      <formula>NOT(ISERROR(SEARCH(("등록"),(E64))))</formula>
    </cfRule>
  </conditionalFormatting>
  <conditionalFormatting sqref="J63">
    <cfRule type="containsText" dxfId="0" priority="11527" operator="containsText" text="거부">
      <formula>NOT(ISERROR(SEARCH(("거부"),(J63))))</formula>
    </cfRule>
  </conditionalFormatting>
  <conditionalFormatting sqref="J63">
    <cfRule type="containsText" dxfId="1" priority="11528" operator="containsText" text="리턴">
      <formula>NOT(ISERROR(SEARCH(("리턴"),(J63))))</formula>
    </cfRule>
  </conditionalFormatting>
  <conditionalFormatting sqref="J63">
    <cfRule type="containsText" dxfId="2" priority="11529" operator="containsText" text="실패">
      <formula>NOT(ISERROR(SEARCH(("실패"),(J63))))</formula>
    </cfRule>
  </conditionalFormatting>
  <conditionalFormatting sqref="J63">
    <cfRule type="containsText" dxfId="3" priority="11530" operator="containsText" text="관리">
      <formula>NOT(ISERROR(SEARCH(("관리"),(J63))))</formula>
    </cfRule>
  </conditionalFormatting>
  <conditionalFormatting sqref="J63">
    <cfRule type="containsText" dxfId="4" priority="11531" operator="containsText" text="등록">
      <formula>NOT(ISERROR(SEARCH(("등록"),(J63))))</formula>
    </cfRule>
  </conditionalFormatting>
  <conditionalFormatting sqref="J63">
    <cfRule type="containsText" dxfId="0" priority="11532" operator="containsText" text="거부">
      <formula>NOT(ISERROR(SEARCH(("거부"),(J63))))</formula>
    </cfRule>
  </conditionalFormatting>
  <conditionalFormatting sqref="J63">
    <cfRule type="containsText" dxfId="1" priority="11533" operator="containsText" text="리턴">
      <formula>NOT(ISERROR(SEARCH(("리턴"),(J63))))</formula>
    </cfRule>
  </conditionalFormatting>
  <conditionalFormatting sqref="J63">
    <cfRule type="containsText" dxfId="2" priority="11534" operator="containsText" text="실패">
      <formula>NOT(ISERROR(SEARCH(("실패"),(J63))))</formula>
    </cfRule>
  </conditionalFormatting>
  <conditionalFormatting sqref="J63">
    <cfRule type="containsText" dxfId="3" priority="11535" operator="containsText" text="관리">
      <formula>NOT(ISERROR(SEARCH(("관리"),(J63))))</formula>
    </cfRule>
  </conditionalFormatting>
  <conditionalFormatting sqref="J63">
    <cfRule type="containsText" dxfId="4" priority="11536" operator="containsText" text="등록">
      <formula>NOT(ISERROR(SEARCH(("등록"),(J63))))</formula>
    </cfRule>
  </conditionalFormatting>
  <conditionalFormatting sqref="J63">
    <cfRule type="containsText" dxfId="0" priority="11537" operator="containsText" text="거부">
      <formula>NOT(ISERROR(SEARCH(("거부"),(J63))))</formula>
    </cfRule>
  </conditionalFormatting>
  <conditionalFormatting sqref="J63">
    <cfRule type="containsText" dxfId="1" priority="11538" operator="containsText" text="리턴">
      <formula>NOT(ISERROR(SEARCH(("리턴"),(J63))))</formula>
    </cfRule>
  </conditionalFormatting>
  <conditionalFormatting sqref="J63">
    <cfRule type="containsText" dxfId="2" priority="11539" operator="containsText" text="실패">
      <formula>NOT(ISERROR(SEARCH(("실패"),(J63))))</formula>
    </cfRule>
  </conditionalFormatting>
  <conditionalFormatting sqref="J63">
    <cfRule type="containsText" dxfId="3" priority="11540" operator="containsText" text="관리">
      <formula>NOT(ISERROR(SEARCH(("관리"),(J63))))</formula>
    </cfRule>
  </conditionalFormatting>
  <conditionalFormatting sqref="J63">
    <cfRule type="containsText" dxfId="4" priority="11541" operator="containsText" text="등록">
      <formula>NOT(ISERROR(SEARCH(("등록"),(J63))))</formula>
    </cfRule>
  </conditionalFormatting>
  <conditionalFormatting sqref="J63">
    <cfRule type="containsText" dxfId="0" priority="11542" operator="containsText" text="거부">
      <formula>NOT(ISERROR(SEARCH(("거부"),(J63))))</formula>
    </cfRule>
  </conditionalFormatting>
  <conditionalFormatting sqref="J63">
    <cfRule type="containsText" dxfId="1" priority="11543" operator="containsText" text="리턴">
      <formula>NOT(ISERROR(SEARCH(("리턴"),(J63))))</formula>
    </cfRule>
  </conditionalFormatting>
  <conditionalFormatting sqref="J63">
    <cfRule type="containsText" dxfId="2" priority="11544" operator="containsText" text="실패">
      <formula>NOT(ISERROR(SEARCH(("실패"),(J63))))</formula>
    </cfRule>
  </conditionalFormatting>
  <conditionalFormatting sqref="J63">
    <cfRule type="containsText" dxfId="3" priority="11545" operator="containsText" text="관리">
      <formula>NOT(ISERROR(SEARCH(("관리"),(J63))))</formula>
    </cfRule>
  </conditionalFormatting>
  <conditionalFormatting sqref="J63">
    <cfRule type="containsText" dxfId="4" priority="11546" operator="containsText" text="등록">
      <formula>NOT(ISERROR(SEARCH(("등록"),(J63))))</formula>
    </cfRule>
  </conditionalFormatting>
  <conditionalFormatting sqref="J64">
    <cfRule type="containsText" dxfId="0" priority="11547" operator="containsText" text="거부">
      <formula>NOT(ISERROR(SEARCH(("거부"),(J64))))</formula>
    </cfRule>
  </conditionalFormatting>
  <conditionalFormatting sqref="J64">
    <cfRule type="containsText" dxfId="1" priority="11548" operator="containsText" text="리턴">
      <formula>NOT(ISERROR(SEARCH(("리턴"),(J64))))</formula>
    </cfRule>
  </conditionalFormatting>
  <conditionalFormatting sqref="J64">
    <cfRule type="containsText" dxfId="2" priority="11549" operator="containsText" text="실패">
      <formula>NOT(ISERROR(SEARCH(("실패"),(J64))))</formula>
    </cfRule>
  </conditionalFormatting>
  <conditionalFormatting sqref="J64">
    <cfRule type="containsText" dxfId="3" priority="11550" operator="containsText" text="관리">
      <formula>NOT(ISERROR(SEARCH(("관리"),(J64))))</formula>
    </cfRule>
  </conditionalFormatting>
  <conditionalFormatting sqref="J64">
    <cfRule type="containsText" dxfId="4" priority="11551" operator="containsText" text="등록">
      <formula>NOT(ISERROR(SEARCH(("등록"),(J64))))</formula>
    </cfRule>
  </conditionalFormatting>
  <conditionalFormatting sqref="J64">
    <cfRule type="containsText" dxfId="0" priority="11552" operator="containsText" text="거부">
      <formula>NOT(ISERROR(SEARCH(("거부"),(J64))))</formula>
    </cfRule>
  </conditionalFormatting>
  <conditionalFormatting sqref="J64">
    <cfRule type="containsText" dxfId="1" priority="11553" operator="containsText" text="리턴">
      <formula>NOT(ISERROR(SEARCH(("리턴"),(J64))))</formula>
    </cfRule>
  </conditionalFormatting>
  <conditionalFormatting sqref="J64">
    <cfRule type="containsText" dxfId="2" priority="11554" operator="containsText" text="실패">
      <formula>NOT(ISERROR(SEARCH(("실패"),(J64))))</formula>
    </cfRule>
  </conditionalFormatting>
  <conditionalFormatting sqref="J64">
    <cfRule type="containsText" dxfId="3" priority="11555" operator="containsText" text="관리">
      <formula>NOT(ISERROR(SEARCH(("관리"),(J64))))</formula>
    </cfRule>
  </conditionalFormatting>
  <conditionalFormatting sqref="J64">
    <cfRule type="containsText" dxfId="4" priority="11556" operator="containsText" text="등록">
      <formula>NOT(ISERROR(SEARCH(("등록"),(J64))))</formula>
    </cfRule>
  </conditionalFormatting>
  <conditionalFormatting sqref="J64">
    <cfRule type="containsText" dxfId="0" priority="11557" operator="containsText" text="거부">
      <formula>NOT(ISERROR(SEARCH(("거부"),(J64))))</formula>
    </cfRule>
  </conditionalFormatting>
  <conditionalFormatting sqref="J64">
    <cfRule type="containsText" dxfId="1" priority="11558" operator="containsText" text="리턴">
      <formula>NOT(ISERROR(SEARCH(("리턴"),(J64))))</formula>
    </cfRule>
  </conditionalFormatting>
  <conditionalFormatting sqref="J64">
    <cfRule type="containsText" dxfId="2" priority="11559" operator="containsText" text="실패">
      <formula>NOT(ISERROR(SEARCH(("실패"),(J64))))</formula>
    </cfRule>
  </conditionalFormatting>
  <conditionalFormatting sqref="J64">
    <cfRule type="containsText" dxfId="3" priority="11560" operator="containsText" text="관리">
      <formula>NOT(ISERROR(SEARCH(("관리"),(J64))))</formula>
    </cfRule>
  </conditionalFormatting>
  <conditionalFormatting sqref="J64">
    <cfRule type="containsText" dxfId="4" priority="11561" operator="containsText" text="등록">
      <formula>NOT(ISERROR(SEARCH(("등록"),(J64))))</formula>
    </cfRule>
  </conditionalFormatting>
  <conditionalFormatting sqref="J64">
    <cfRule type="containsText" dxfId="0" priority="11562" operator="containsText" text="거부">
      <formula>NOT(ISERROR(SEARCH(("거부"),(J64))))</formula>
    </cfRule>
  </conditionalFormatting>
  <conditionalFormatting sqref="J64">
    <cfRule type="containsText" dxfId="1" priority="11563" operator="containsText" text="리턴">
      <formula>NOT(ISERROR(SEARCH(("리턴"),(J64))))</formula>
    </cfRule>
  </conditionalFormatting>
  <conditionalFormatting sqref="J64">
    <cfRule type="containsText" dxfId="2" priority="11564" operator="containsText" text="실패">
      <formula>NOT(ISERROR(SEARCH(("실패"),(J64))))</formula>
    </cfRule>
  </conditionalFormatting>
  <conditionalFormatting sqref="J64">
    <cfRule type="containsText" dxfId="3" priority="11565" operator="containsText" text="관리">
      <formula>NOT(ISERROR(SEARCH(("관리"),(J64))))</formula>
    </cfRule>
  </conditionalFormatting>
  <conditionalFormatting sqref="J64">
    <cfRule type="containsText" dxfId="4" priority="11566" operator="containsText" text="등록">
      <formula>NOT(ISERROR(SEARCH(("등록"),(J64))))</formula>
    </cfRule>
  </conditionalFormatting>
  <conditionalFormatting sqref="D66">
    <cfRule type="containsText" dxfId="0" priority="11567" operator="containsText" text="거부">
      <formula>NOT(ISERROR(SEARCH(("거부"),(D66))))</formula>
    </cfRule>
  </conditionalFormatting>
  <conditionalFormatting sqref="D66">
    <cfRule type="containsText" dxfId="1" priority="11568" operator="containsText" text="리턴">
      <formula>NOT(ISERROR(SEARCH(("리턴"),(D66))))</formula>
    </cfRule>
  </conditionalFormatting>
  <conditionalFormatting sqref="D66">
    <cfRule type="containsText" dxfId="2" priority="11569" operator="containsText" text="실패">
      <formula>NOT(ISERROR(SEARCH(("실패"),(D66))))</formula>
    </cfRule>
  </conditionalFormatting>
  <conditionalFormatting sqref="D66">
    <cfRule type="containsText" dxfId="3" priority="11570" operator="containsText" text="관리">
      <formula>NOT(ISERROR(SEARCH(("관리"),(D66))))</formula>
    </cfRule>
  </conditionalFormatting>
  <conditionalFormatting sqref="D66">
    <cfRule type="containsText" dxfId="4" priority="11571" operator="containsText" text="등록">
      <formula>NOT(ISERROR(SEARCH(("등록"),(D66))))</formula>
    </cfRule>
  </conditionalFormatting>
  <conditionalFormatting sqref="D66">
    <cfRule type="containsText" dxfId="0" priority="11572" operator="containsText" text="거부">
      <formula>NOT(ISERROR(SEARCH(("거부"),(D66))))</formula>
    </cfRule>
  </conditionalFormatting>
  <conditionalFormatting sqref="D66">
    <cfRule type="containsText" dxfId="1" priority="11573" operator="containsText" text="리턴">
      <formula>NOT(ISERROR(SEARCH(("리턴"),(D66))))</formula>
    </cfRule>
  </conditionalFormatting>
  <conditionalFormatting sqref="D66">
    <cfRule type="containsText" dxfId="2" priority="11574" operator="containsText" text="실패">
      <formula>NOT(ISERROR(SEARCH(("실패"),(D66))))</formula>
    </cfRule>
  </conditionalFormatting>
  <conditionalFormatting sqref="D66">
    <cfRule type="containsText" dxfId="3" priority="11575" operator="containsText" text="관리">
      <formula>NOT(ISERROR(SEARCH(("관리"),(D66))))</formula>
    </cfRule>
  </conditionalFormatting>
  <conditionalFormatting sqref="D66">
    <cfRule type="containsText" dxfId="4" priority="11576" operator="containsText" text="등록">
      <formula>NOT(ISERROR(SEARCH(("등록"),(D66))))</formula>
    </cfRule>
  </conditionalFormatting>
  <conditionalFormatting sqref="D66">
    <cfRule type="containsText" dxfId="0" priority="11577" operator="containsText" text="거부">
      <formula>NOT(ISERROR(SEARCH(("거부"),(D66))))</formula>
    </cfRule>
  </conditionalFormatting>
  <conditionalFormatting sqref="D66">
    <cfRule type="containsText" dxfId="1" priority="11578" operator="containsText" text="리턴">
      <formula>NOT(ISERROR(SEARCH(("리턴"),(D66))))</formula>
    </cfRule>
  </conditionalFormatting>
  <conditionalFormatting sqref="D66">
    <cfRule type="containsText" dxfId="2" priority="11579" operator="containsText" text="실패">
      <formula>NOT(ISERROR(SEARCH(("실패"),(D66))))</formula>
    </cfRule>
  </conditionalFormatting>
  <conditionalFormatting sqref="D66">
    <cfRule type="containsText" dxfId="3" priority="11580" operator="containsText" text="관리">
      <formula>NOT(ISERROR(SEARCH(("관리"),(D66))))</formula>
    </cfRule>
  </conditionalFormatting>
  <conditionalFormatting sqref="D66">
    <cfRule type="containsText" dxfId="4" priority="11581" operator="containsText" text="등록">
      <formula>NOT(ISERROR(SEARCH(("등록"),(D66))))</formula>
    </cfRule>
  </conditionalFormatting>
  <conditionalFormatting sqref="D66">
    <cfRule type="containsText" dxfId="0" priority="11582" operator="containsText" text="거부">
      <formula>NOT(ISERROR(SEARCH(("거부"),(D66))))</formula>
    </cfRule>
  </conditionalFormatting>
  <conditionalFormatting sqref="D66">
    <cfRule type="containsText" dxfId="1" priority="11583" operator="containsText" text="리턴">
      <formula>NOT(ISERROR(SEARCH(("리턴"),(D66))))</formula>
    </cfRule>
  </conditionalFormatting>
  <conditionalFormatting sqref="D66">
    <cfRule type="containsText" dxfId="2" priority="11584" operator="containsText" text="실패">
      <formula>NOT(ISERROR(SEARCH(("실패"),(D66))))</formula>
    </cfRule>
  </conditionalFormatting>
  <conditionalFormatting sqref="D66">
    <cfRule type="containsText" dxfId="3" priority="11585" operator="containsText" text="관리">
      <formula>NOT(ISERROR(SEARCH(("관리"),(D66))))</formula>
    </cfRule>
  </conditionalFormatting>
  <conditionalFormatting sqref="D66">
    <cfRule type="containsText" dxfId="4" priority="11586" operator="containsText" text="등록">
      <formula>NOT(ISERROR(SEARCH(("등록"),(D66))))</formula>
    </cfRule>
  </conditionalFormatting>
  <conditionalFormatting sqref="D66">
    <cfRule type="containsText" dxfId="0" priority="11587" operator="containsText" text="거부">
      <formula>NOT(ISERROR(SEARCH(("거부"),(D66))))</formula>
    </cfRule>
  </conditionalFormatting>
  <conditionalFormatting sqref="D66">
    <cfRule type="containsText" dxfId="1" priority="11588" operator="containsText" text="리턴">
      <formula>NOT(ISERROR(SEARCH(("리턴"),(D66))))</formula>
    </cfRule>
  </conditionalFormatting>
  <conditionalFormatting sqref="D66">
    <cfRule type="containsText" dxfId="2" priority="11589" operator="containsText" text="실패">
      <formula>NOT(ISERROR(SEARCH(("실패"),(D66))))</formula>
    </cfRule>
  </conditionalFormatting>
  <conditionalFormatting sqref="D66">
    <cfRule type="containsText" dxfId="3" priority="11590" operator="containsText" text="관리">
      <formula>NOT(ISERROR(SEARCH(("관리"),(D66))))</formula>
    </cfRule>
  </conditionalFormatting>
  <conditionalFormatting sqref="D66">
    <cfRule type="containsText" dxfId="4" priority="11591" operator="containsText" text="등록">
      <formula>NOT(ISERROR(SEARCH(("등록"),(D66))))</formula>
    </cfRule>
  </conditionalFormatting>
  <conditionalFormatting sqref="D66">
    <cfRule type="containsText" dxfId="0" priority="11592" operator="containsText" text="거부">
      <formula>NOT(ISERROR(SEARCH(("거부"),(D66))))</formula>
    </cfRule>
  </conditionalFormatting>
  <conditionalFormatting sqref="D66">
    <cfRule type="containsText" dxfId="1" priority="11593" operator="containsText" text="리턴">
      <formula>NOT(ISERROR(SEARCH(("리턴"),(D66))))</formula>
    </cfRule>
  </conditionalFormatting>
  <conditionalFormatting sqref="D66">
    <cfRule type="containsText" dxfId="2" priority="11594" operator="containsText" text="실패">
      <formula>NOT(ISERROR(SEARCH(("실패"),(D66))))</formula>
    </cfRule>
  </conditionalFormatting>
  <conditionalFormatting sqref="D66">
    <cfRule type="containsText" dxfId="3" priority="11595" operator="containsText" text="관리">
      <formula>NOT(ISERROR(SEARCH(("관리"),(D66))))</formula>
    </cfRule>
  </conditionalFormatting>
  <conditionalFormatting sqref="D66">
    <cfRule type="containsText" dxfId="4" priority="11596" operator="containsText" text="등록">
      <formula>NOT(ISERROR(SEARCH(("등록"),(D66))))</formula>
    </cfRule>
  </conditionalFormatting>
  <conditionalFormatting sqref="D66">
    <cfRule type="containsText" dxfId="0" priority="11597" operator="containsText" text="거부">
      <formula>NOT(ISERROR(SEARCH(("거부"),(D66))))</formula>
    </cfRule>
  </conditionalFormatting>
  <conditionalFormatting sqref="D66">
    <cfRule type="containsText" dxfId="1" priority="11598" operator="containsText" text="리턴">
      <formula>NOT(ISERROR(SEARCH(("리턴"),(D66))))</formula>
    </cfRule>
  </conditionalFormatting>
  <conditionalFormatting sqref="D66">
    <cfRule type="containsText" dxfId="2" priority="11599" operator="containsText" text="실패">
      <formula>NOT(ISERROR(SEARCH(("실패"),(D66))))</formula>
    </cfRule>
  </conditionalFormatting>
  <conditionalFormatting sqref="D66">
    <cfRule type="containsText" dxfId="3" priority="11600" operator="containsText" text="관리">
      <formula>NOT(ISERROR(SEARCH(("관리"),(D66))))</formula>
    </cfRule>
  </conditionalFormatting>
  <conditionalFormatting sqref="D66">
    <cfRule type="containsText" dxfId="4" priority="11601" operator="containsText" text="등록">
      <formula>NOT(ISERROR(SEARCH(("등록"),(D66))))</formula>
    </cfRule>
  </conditionalFormatting>
  <conditionalFormatting sqref="J65:J67">
    <cfRule type="containsText" dxfId="0" priority="11602" operator="containsText" text="거부">
      <formula>NOT(ISERROR(SEARCH(("거부"),(J65))))</formula>
    </cfRule>
  </conditionalFormatting>
  <conditionalFormatting sqref="J65:J67">
    <cfRule type="containsText" dxfId="1" priority="11603" operator="containsText" text="리턴">
      <formula>NOT(ISERROR(SEARCH(("리턴"),(J65))))</formula>
    </cfRule>
  </conditionalFormatting>
  <conditionalFormatting sqref="J65:J67">
    <cfRule type="containsText" dxfId="2" priority="11604" operator="containsText" text="실패">
      <formula>NOT(ISERROR(SEARCH(("실패"),(J65))))</formula>
    </cfRule>
  </conditionalFormatting>
  <conditionalFormatting sqref="J65:J67">
    <cfRule type="containsText" dxfId="3" priority="11605" operator="containsText" text="관리">
      <formula>NOT(ISERROR(SEARCH(("관리"),(J65))))</formula>
    </cfRule>
  </conditionalFormatting>
  <conditionalFormatting sqref="J65:J67">
    <cfRule type="containsText" dxfId="4" priority="11606" operator="containsText" text="등록">
      <formula>NOT(ISERROR(SEARCH(("등록"),(J65))))</formula>
    </cfRule>
  </conditionalFormatting>
  <conditionalFormatting sqref="J65:J67">
    <cfRule type="containsText" dxfId="0" priority="11607" operator="containsText" text="거부">
      <formula>NOT(ISERROR(SEARCH(("거부"),(J65))))</formula>
    </cfRule>
  </conditionalFormatting>
  <conditionalFormatting sqref="J65:J67">
    <cfRule type="containsText" dxfId="1" priority="11608" operator="containsText" text="리턴">
      <formula>NOT(ISERROR(SEARCH(("리턴"),(J65))))</formula>
    </cfRule>
  </conditionalFormatting>
  <conditionalFormatting sqref="J65:J67">
    <cfRule type="containsText" dxfId="2" priority="11609" operator="containsText" text="실패">
      <formula>NOT(ISERROR(SEARCH(("실패"),(J65))))</formula>
    </cfRule>
  </conditionalFormatting>
  <conditionalFormatting sqref="J65:J67">
    <cfRule type="containsText" dxfId="3" priority="11610" operator="containsText" text="관리">
      <formula>NOT(ISERROR(SEARCH(("관리"),(J65))))</formula>
    </cfRule>
  </conditionalFormatting>
  <conditionalFormatting sqref="J65:J67">
    <cfRule type="containsText" dxfId="4" priority="11611" operator="containsText" text="등록">
      <formula>NOT(ISERROR(SEARCH(("등록"),(J65))))</formula>
    </cfRule>
  </conditionalFormatting>
  <conditionalFormatting sqref="J65:J67">
    <cfRule type="containsText" dxfId="0" priority="11612" operator="containsText" text="거부">
      <formula>NOT(ISERROR(SEARCH(("거부"),(J65))))</formula>
    </cfRule>
  </conditionalFormatting>
  <conditionalFormatting sqref="J65:J67">
    <cfRule type="containsText" dxfId="1" priority="11613" operator="containsText" text="리턴">
      <formula>NOT(ISERROR(SEARCH(("리턴"),(J65))))</formula>
    </cfRule>
  </conditionalFormatting>
  <conditionalFormatting sqref="J65:J67">
    <cfRule type="containsText" dxfId="2" priority="11614" operator="containsText" text="실패">
      <formula>NOT(ISERROR(SEARCH(("실패"),(J65))))</formula>
    </cfRule>
  </conditionalFormatting>
  <conditionalFormatting sqref="J65:J67">
    <cfRule type="containsText" dxfId="3" priority="11615" operator="containsText" text="관리">
      <formula>NOT(ISERROR(SEARCH(("관리"),(J65))))</formula>
    </cfRule>
  </conditionalFormatting>
  <conditionalFormatting sqref="J65:J67">
    <cfRule type="containsText" dxfId="4" priority="11616" operator="containsText" text="등록">
      <formula>NOT(ISERROR(SEARCH(("등록"),(J65))))</formula>
    </cfRule>
  </conditionalFormatting>
  <conditionalFormatting sqref="J65:J67">
    <cfRule type="containsText" dxfId="0" priority="11617" operator="containsText" text="거부">
      <formula>NOT(ISERROR(SEARCH(("거부"),(J65))))</formula>
    </cfRule>
  </conditionalFormatting>
  <conditionalFormatting sqref="J65:J67">
    <cfRule type="containsText" dxfId="1" priority="11618" operator="containsText" text="리턴">
      <formula>NOT(ISERROR(SEARCH(("리턴"),(J65))))</formula>
    </cfRule>
  </conditionalFormatting>
  <conditionalFormatting sqref="J65:J67">
    <cfRule type="containsText" dxfId="2" priority="11619" operator="containsText" text="실패">
      <formula>NOT(ISERROR(SEARCH(("실패"),(J65))))</formula>
    </cfRule>
  </conditionalFormatting>
  <conditionalFormatting sqref="J65:J67">
    <cfRule type="containsText" dxfId="3" priority="11620" operator="containsText" text="관리">
      <formula>NOT(ISERROR(SEARCH(("관리"),(J65))))</formula>
    </cfRule>
  </conditionalFormatting>
  <conditionalFormatting sqref="J65:J67">
    <cfRule type="containsText" dxfId="4" priority="11621" operator="containsText" text="등록">
      <formula>NOT(ISERROR(SEARCH(("등록"),(J65))))</formula>
    </cfRule>
  </conditionalFormatting>
  <conditionalFormatting sqref="A65:A67">
    <cfRule type="containsText" dxfId="0" priority="11622" operator="containsText" text="거부">
      <formula>NOT(ISERROR(SEARCH(("거부"),(A65))))</formula>
    </cfRule>
  </conditionalFormatting>
  <conditionalFormatting sqref="A65:A67">
    <cfRule type="containsText" dxfId="1" priority="11623" operator="containsText" text="리턴">
      <formula>NOT(ISERROR(SEARCH(("리턴"),(A65))))</formula>
    </cfRule>
  </conditionalFormatting>
  <conditionalFormatting sqref="A65:A67">
    <cfRule type="containsText" dxfId="2" priority="11624" operator="containsText" text="실패">
      <formula>NOT(ISERROR(SEARCH(("실패"),(A65))))</formula>
    </cfRule>
  </conditionalFormatting>
  <conditionalFormatting sqref="A65:A67">
    <cfRule type="containsText" dxfId="3" priority="11625" operator="containsText" text="관리">
      <formula>NOT(ISERROR(SEARCH(("관리"),(A65))))</formula>
    </cfRule>
  </conditionalFormatting>
  <conditionalFormatting sqref="A65:A67">
    <cfRule type="containsText" dxfId="4" priority="11626" operator="containsText" text="등록">
      <formula>NOT(ISERROR(SEARCH(("등록"),(A65))))</formula>
    </cfRule>
  </conditionalFormatting>
  <conditionalFormatting sqref="A65:A67">
    <cfRule type="containsText" dxfId="0" priority="11627" operator="containsText" text="거부">
      <formula>NOT(ISERROR(SEARCH(("거부"),(A65))))</formula>
    </cfRule>
  </conditionalFormatting>
  <conditionalFormatting sqref="A65:A67">
    <cfRule type="containsText" dxfId="1" priority="11628" operator="containsText" text="리턴">
      <formula>NOT(ISERROR(SEARCH(("리턴"),(A65))))</formula>
    </cfRule>
  </conditionalFormatting>
  <conditionalFormatting sqref="A65:A67">
    <cfRule type="containsText" dxfId="2" priority="11629" operator="containsText" text="실패">
      <formula>NOT(ISERROR(SEARCH(("실패"),(A65))))</formula>
    </cfRule>
  </conditionalFormatting>
  <conditionalFormatting sqref="A65:A67">
    <cfRule type="containsText" dxfId="3" priority="11630" operator="containsText" text="관리">
      <formula>NOT(ISERROR(SEARCH(("관리"),(A65))))</formula>
    </cfRule>
  </conditionalFormatting>
  <conditionalFormatting sqref="A65:A67">
    <cfRule type="containsText" dxfId="4" priority="11631" operator="containsText" text="등록">
      <formula>NOT(ISERROR(SEARCH(("등록"),(A65))))</formula>
    </cfRule>
  </conditionalFormatting>
  <conditionalFormatting sqref="A65:A67">
    <cfRule type="containsText" dxfId="0" priority="11632" operator="containsText" text="거부">
      <formula>NOT(ISERROR(SEARCH(("거부"),(A65))))</formula>
    </cfRule>
  </conditionalFormatting>
  <conditionalFormatting sqref="A65:A67">
    <cfRule type="containsText" dxfId="1" priority="11633" operator="containsText" text="리턴">
      <formula>NOT(ISERROR(SEARCH(("리턴"),(A65))))</formula>
    </cfRule>
  </conditionalFormatting>
  <conditionalFormatting sqref="A65:A67">
    <cfRule type="containsText" dxfId="2" priority="11634" operator="containsText" text="실패">
      <formula>NOT(ISERROR(SEARCH(("실패"),(A65))))</formula>
    </cfRule>
  </conditionalFormatting>
  <conditionalFormatting sqref="A65:A67">
    <cfRule type="containsText" dxfId="3" priority="11635" operator="containsText" text="관리">
      <formula>NOT(ISERROR(SEARCH(("관리"),(A65))))</formula>
    </cfRule>
  </conditionalFormatting>
  <conditionalFormatting sqref="A65:A67">
    <cfRule type="containsText" dxfId="4" priority="11636" operator="containsText" text="등록">
      <formula>NOT(ISERROR(SEARCH(("등록"),(A65))))</formula>
    </cfRule>
  </conditionalFormatting>
  <conditionalFormatting sqref="A65:A67">
    <cfRule type="containsText" dxfId="0" priority="11637" operator="containsText" text="거부">
      <formula>NOT(ISERROR(SEARCH(("거부"),(A65))))</formula>
    </cfRule>
  </conditionalFormatting>
  <conditionalFormatting sqref="A65:A67">
    <cfRule type="containsText" dxfId="1" priority="11638" operator="containsText" text="리턴">
      <formula>NOT(ISERROR(SEARCH(("리턴"),(A65))))</formula>
    </cfRule>
  </conditionalFormatting>
  <conditionalFormatting sqref="A65:A67">
    <cfRule type="containsText" dxfId="2" priority="11639" operator="containsText" text="실패">
      <formula>NOT(ISERROR(SEARCH(("실패"),(A65))))</formula>
    </cfRule>
  </conditionalFormatting>
  <conditionalFormatting sqref="A65:A67">
    <cfRule type="containsText" dxfId="3" priority="11640" operator="containsText" text="관리">
      <formula>NOT(ISERROR(SEARCH(("관리"),(A65))))</formula>
    </cfRule>
  </conditionalFormatting>
  <conditionalFormatting sqref="A65:A67">
    <cfRule type="containsText" dxfId="4" priority="11641" operator="containsText" text="등록">
      <formula>NOT(ISERROR(SEARCH(("등록"),(A65))))</formula>
    </cfRule>
  </conditionalFormatting>
  <conditionalFormatting sqref="A65:A67">
    <cfRule type="containsText" dxfId="0" priority="11642" operator="containsText" text="거부">
      <formula>NOT(ISERROR(SEARCH(("거부"),(A65))))</formula>
    </cfRule>
  </conditionalFormatting>
  <conditionalFormatting sqref="A65:A67">
    <cfRule type="containsText" dxfId="1" priority="11643" operator="containsText" text="리턴">
      <formula>NOT(ISERROR(SEARCH(("리턴"),(A65))))</formula>
    </cfRule>
  </conditionalFormatting>
  <conditionalFormatting sqref="A65:A67">
    <cfRule type="containsText" dxfId="2" priority="11644" operator="containsText" text="실패">
      <formula>NOT(ISERROR(SEARCH(("실패"),(A65))))</formula>
    </cfRule>
  </conditionalFormatting>
  <conditionalFormatting sqref="A65:A67">
    <cfRule type="containsText" dxfId="3" priority="11645" operator="containsText" text="관리">
      <formula>NOT(ISERROR(SEARCH(("관리"),(A65))))</formula>
    </cfRule>
  </conditionalFormatting>
  <conditionalFormatting sqref="A65:A67">
    <cfRule type="containsText" dxfId="4" priority="11646" operator="containsText" text="등록">
      <formula>NOT(ISERROR(SEARCH(("등록"),(A65))))</formula>
    </cfRule>
  </conditionalFormatting>
  <conditionalFormatting sqref="A65:A67">
    <cfRule type="containsText" dxfId="0" priority="11647" operator="containsText" text="거부">
      <formula>NOT(ISERROR(SEARCH(("거부"),(A65))))</formula>
    </cfRule>
  </conditionalFormatting>
  <conditionalFormatting sqref="A65:A67">
    <cfRule type="containsText" dxfId="1" priority="11648" operator="containsText" text="리턴">
      <formula>NOT(ISERROR(SEARCH(("리턴"),(A65))))</formula>
    </cfRule>
  </conditionalFormatting>
  <conditionalFormatting sqref="A65:A67">
    <cfRule type="containsText" dxfId="2" priority="11649" operator="containsText" text="실패">
      <formula>NOT(ISERROR(SEARCH(("실패"),(A65))))</formula>
    </cfRule>
  </conditionalFormatting>
  <conditionalFormatting sqref="A65:A67">
    <cfRule type="containsText" dxfId="3" priority="11650" operator="containsText" text="관리">
      <formula>NOT(ISERROR(SEARCH(("관리"),(A65))))</formula>
    </cfRule>
  </conditionalFormatting>
  <conditionalFormatting sqref="A65:A67">
    <cfRule type="containsText" dxfId="4" priority="11651" operator="containsText" text="등록">
      <formula>NOT(ISERROR(SEARCH(("등록"),(A65))))</formula>
    </cfRule>
  </conditionalFormatting>
  <conditionalFormatting sqref="A65:A67">
    <cfRule type="containsText" dxfId="0" priority="11652" operator="containsText" text="거부">
      <formula>NOT(ISERROR(SEARCH(("거부"),(A65))))</formula>
    </cfRule>
  </conditionalFormatting>
  <conditionalFormatting sqref="A65:A67">
    <cfRule type="containsText" dxfId="1" priority="11653" operator="containsText" text="리턴">
      <formula>NOT(ISERROR(SEARCH(("리턴"),(A65))))</formula>
    </cfRule>
  </conditionalFormatting>
  <conditionalFormatting sqref="A65:A67">
    <cfRule type="containsText" dxfId="2" priority="11654" operator="containsText" text="실패">
      <formula>NOT(ISERROR(SEARCH(("실패"),(A65))))</formula>
    </cfRule>
  </conditionalFormatting>
  <conditionalFormatting sqref="A65:A67">
    <cfRule type="containsText" dxfId="3" priority="11655" operator="containsText" text="관리">
      <formula>NOT(ISERROR(SEARCH(("관리"),(A65))))</formula>
    </cfRule>
  </conditionalFormatting>
  <conditionalFormatting sqref="A65:A67">
    <cfRule type="containsText" dxfId="4" priority="11656" operator="containsText" text="등록">
      <formula>NOT(ISERROR(SEARCH(("등록"),(A65))))</formula>
    </cfRule>
  </conditionalFormatting>
  <conditionalFormatting sqref="A65:A67">
    <cfRule type="containsText" dxfId="0" priority="11657" operator="containsText" text="거부">
      <formula>NOT(ISERROR(SEARCH(("거부"),(A65))))</formula>
    </cfRule>
  </conditionalFormatting>
  <conditionalFormatting sqref="A65:A67">
    <cfRule type="containsText" dxfId="1" priority="11658" operator="containsText" text="리턴">
      <formula>NOT(ISERROR(SEARCH(("리턴"),(A65))))</formula>
    </cfRule>
  </conditionalFormatting>
  <conditionalFormatting sqref="A65:A67">
    <cfRule type="containsText" dxfId="2" priority="11659" operator="containsText" text="실패">
      <formula>NOT(ISERROR(SEARCH(("실패"),(A65))))</formula>
    </cfRule>
  </conditionalFormatting>
  <conditionalFormatting sqref="A65:A67">
    <cfRule type="containsText" dxfId="3" priority="11660" operator="containsText" text="관리">
      <formula>NOT(ISERROR(SEARCH(("관리"),(A65))))</formula>
    </cfRule>
  </conditionalFormatting>
  <conditionalFormatting sqref="A65:A67">
    <cfRule type="containsText" dxfId="4" priority="11661" operator="containsText" text="등록">
      <formula>NOT(ISERROR(SEARCH(("등록"),(A65))))</formula>
    </cfRule>
  </conditionalFormatting>
  <conditionalFormatting sqref="A65:A67">
    <cfRule type="containsText" dxfId="0" priority="11662" operator="containsText" text="거부">
      <formula>NOT(ISERROR(SEARCH(("거부"),(A65))))</formula>
    </cfRule>
  </conditionalFormatting>
  <conditionalFormatting sqref="A65:A67">
    <cfRule type="containsText" dxfId="1" priority="11663" operator="containsText" text="리턴">
      <formula>NOT(ISERROR(SEARCH(("리턴"),(A65))))</formula>
    </cfRule>
  </conditionalFormatting>
  <conditionalFormatting sqref="A65:A67">
    <cfRule type="containsText" dxfId="2" priority="11664" operator="containsText" text="실패">
      <formula>NOT(ISERROR(SEARCH(("실패"),(A65))))</formula>
    </cfRule>
  </conditionalFormatting>
  <conditionalFormatting sqref="A65:A67">
    <cfRule type="containsText" dxfId="3" priority="11665" operator="containsText" text="관리">
      <formula>NOT(ISERROR(SEARCH(("관리"),(A65))))</formula>
    </cfRule>
  </conditionalFormatting>
  <conditionalFormatting sqref="A65:A67">
    <cfRule type="containsText" dxfId="4" priority="11666" operator="containsText" text="등록">
      <formula>NOT(ISERROR(SEARCH(("등록"),(A65))))</formula>
    </cfRule>
  </conditionalFormatting>
  <conditionalFormatting sqref="A65:A67">
    <cfRule type="containsText" dxfId="0" priority="11667" operator="containsText" text="거부">
      <formula>NOT(ISERROR(SEARCH(("거부"),(A65))))</formula>
    </cfRule>
  </conditionalFormatting>
  <conditionalFormatting sqref="A65:A67">
    <cfRule type="containsText" dxfId="1" priority="11668" operator="containsText" text="리턴">
      <formula>NOT(ISERROR(SEARCH(("리턴"),(A65))))</formula>
    </cfRule>
  </conditionalFormatting>
  <conditionalFormatting sqref="A65:A67">
    <cfRule type="containsText" dxfId="2" priority="11669" operator="containsText" text="실패">
      <formula>NOT(ISERROR(SEARCH(("실패"),(A65))))</formula>
    </cfRule>
  </conditionalFormatting>
  <conditionalFormatting sqref="A65:A67">
    <cfRule type="containsText" dxfId="3" priority="11670" operator="containsText" text="관리">
      <formula>NOT(ISERROR(SEARCH(("관리"),(A65))))</formula>
    </cfRule>
  </conditionalFormatting>
  <conditionalFormatting sqref="A65:A67">
    <cfRule type="containsText" dxfId="4" priority="11671" operator="containsText" text="등록">
      <formula>NOT(ISERROR(SEARCH(("등록"),(A65))))</formula>
    </cfRule>
  </conditionalFormatting>
  <conditionalFormatting sqref="A65:A67">
    <cfRule type="containsText" dxfId="0" priority="11672" operator="containsText" text="거부">
      <formula>NOT(ISERROR(SEARCH(("거부"),(A65))))</formula>
    </cfRule>
  </conditionalFormatting>
  <conditionalFormatting sqref="A65:A67">
    <cfRule type="containsText" dxfId="1" priority="11673" operator="containsText" text="리턴">
      <formula>NOT(ISERROR(SEARCH(("리턴"),(A65))))</formula>
    </cfRule>
  </conditionalFormatting>
  <conditionalFormatting sqref="A65:A67">
    <cfRule type="containsText" dxfId="2" priority="11674" operator="containsText" text="실패">
      <formula>NOT(ISERROR(SEARCH(("실패"),(A65))))</formula>
    </cfRule>
  </conditionalFormatting>
  <conditionalFormatting sqref="A65:A67">
    <cfRule type="containsText" dxfId="3" priority="11675" operator="containsText" text="관리">
      <formula>NOT(ISERROR(SEARCH(("관리"),(A65))))</formula>
    </cfRule>
  </conditionalFormatting>
  <conditionalFormatting sqref="A65:A67">
    <cfRule type="containsText" dxfId="4" priority="11676" operator="containsText" text="등록">
      <formula>NOT(ISERROR(SEARCH(("등록"),(A65))))</formula>
    </cfRule>
  </conditionalFormatting>
  <conditionalFormatting sqref="A65:A67">
    <cfRule type="containsText" dxfId="0" priority="11677" operator="containsText" text="거부">
      <formula>NOT(ISERROR(SEARCH(("거부"),(A65))))</formula>
    </cfRule>
  </conditionalFormatting>
  <conditionalFormatting sqref="A65:A67">
    <cfRule type="containsText" dxfId="1" priority="11678" operator="containsText" text="리턴">
      <formula>NOT(ISERROR(SEARCH(("리턴"),(A65))))</formula>
    </cfRule>
  </conditionalFormatting>
  <conditionalFormatting sqref="A65:A67">
    <cfRule type="containsText" dxfId="2" priority="11679" operator="containsText" text="실패">
      <formula>NOT(ISERROR(SEARCH(("실패"),(A65))))</formula>
    </cfRule>
  </conditionalFormatting>
  <conditionalFormatting sqref="A65:A67">
    <cfRule type="containsText" dxfId="3" priority="11680" operator="containsText" text="관리">
      <formula>NOT(ISERROR(SEARCH(("관리"),(A65))))</formula>
    </cfRule>
  </conditionalFormatting>
  <conditionalFormatting sqref="A65:A67">
    <cfRule type="containsText" dxfId="4" priority="11681" operator="containsText" text="등록">
      <formula>NOT(ISERROR(SEARCH(("등록"),(A65))))</formula>
    </cfRule>
  </conditionalFormatting>
  <conditionalFormatting sqref="A65:A67">
    <cfRule type="containsText" dxfId="0" priority="11682" operator="containsText" text="거부">
      <formula>NOT(ISERROR(SEARCH(("거부"),(A65))))</formula>
    </cfRule>
  </conditionalFormatting>
  <conditionalFormatting sqref="A65:A67">
    <cfRule type="containsText" dxfId="1" priority="11683" operator="containsText" text="리턴">
      <formula>NOT(ISERROR(SEARCH(("리턴"),(A65))))</formula>
    </cfRule>
  </conditionalFormatting>
  <conditionalFormatting sqref="A65:A67">
    <cfRule type="containsText" dxfId="2" priority="11684" operator="containsText" text="실패">
      <formula>NOT(ISERROR(SEARCH(("실패"),(A65))))</formula>
    </cfRule>
  </conditionalFormatting>
  <conditionalFormatting sqref="A65:A67">
    <cfRule type="containsText" dxfId="3" priority="11685" operator="containsText" text="관리">
      <formula>NOT(ISERROR(SEARCH(("관리"),(A65))))</formula>
    </cfRule>
  </conditionalFormatting>
  <conditionalFormatting sqref="A65:A67">
    <cfRule type="containsText" dxfId="4" priority="11686" operator="containsText" text="등록">
      <formula>NOT(ISERROR(SEARCH(("등록"),(A65))))</formula>
    </cfRule>
  </conditionalFormatting>
  <conditionalFormatting sqref="A65:A67">
    <cfRule type="containsText" dxfId="0" priority="11687" operator="containsText" text="거부">
      <formula>NOT(ISERROR(SEARCH(("거부"),(A65))))</formula>
    </cfRule>
  </conditionalFormatting>
  <conditionalFormatting sqref="A65:A67">
    <cfRule type="containsText" dxfId="1" priority="11688" operator="containsText" text="리턴">
      <formula>NOT(ISERROR(SEARCH(("리턴"),(A65))))</formula>
    </cfRule>
  </conditionalFormatting>
  <conditionalFormatting sqref="A65:A67">
    <cfRule type="containsText" dxfId="2" priority="11689" operator="containsText" text="실패">
      <formula>NOT(ISERROR(SEARCH(("실패"),(A65))))</formula>
    </cfRule>
  </conditionalFormatting>
  <conditionalFormatting sqref="A65:A67">
    <cfRule type="containsText" dxfId="3" priority="11690" operator="containsText" text="관리">
      <formula>NOT(ISERROR(SEARCH(("관리"),(A65))))</formula>
    </cfRule>
  </conditionalFormatting>
  <conditionalFormatting sqref="A65:A67">
    <cfRule type="containsText" dxfId="4" priority="11691" operator="containsText" text="등록">
      <formula>NOT(ISERROR(SEARCH(("등록"),(A65))))</formula>
    </cfRule>
  </conditionalFormatting>
  <conditionalFormatting sqref="A65:A67">
    <cfRule type="containsText" dxfId="0" priority="11692" operator="containsText" text="거부">
      <formula>NOT(ISERROR(SEARCH(("거부"),(A65))))</formula>
    </cfRule>
  </conditionalFormatting>
  <conditionalFormatting sqref="A65:A67">
    <cfRule type="containsText" dxfId="1" priority="11693" operator="containsText" text="리턴">
      <formula>NOT(ISERROR(SEARCH(("리턴"),(A65))))</formula>
    </cfRule>
  </conditionalFormatting>
  <conditionalFormatting sqref="A65:A67">
    <cfRule type="containsText" dxfId="2" priority="11694" operator="containsText" text="실패">
      <formula>NOT(ISERROR(SEARCH(("실패"),(A65))))</formula>
    </cfRule>
  </conditionalFormatting>
  <conditionalFormatting sqref="A65:A67">
    <cfRule type="containsText" dxfId="3" priority="11695" operator="containsText" text="관리">
      <formula>NOT(ISERROR(SEARCH(("관리"),(A65))))</formula>
    </cfRule>
  </conditionalFormatting>
  <conditionalFormatting sqref="A65:A67">
    <cfRule type="containsText" dxfId="4" priority="11696" operator="containsText" text="등록">
      <formula>NOT(ISERROR(SEARCH(("등록"),(A65))))</formula>
    </cfRule>
  </conditionalFormatting>
  <conditionalFormatting sqref="A65:A67">
    <cfRule type="containsText" dxfId="0" priority="11697" operator="containsText" text="거부">
      <formula>NOT(ISERROR(SEARCH(("거부"),(A65))))</formula>
    </cfRule>
  </conditionalFormatting>
  <conditionalFormatting sqref="A65:A67">
    <cfRule type="containsText" dxfId="1" priority="11698" operator="containsText" text="리턴">
      <formula>NOT(ISERROR(SEARCH(("리턴"),(A65))))</formula>
    </cfRule>
  </conditionalFormatting>
  <conditionalFormatting sqref="A65:A67">
    <cfRule type="containsText" dxfId="2" priority="11699" operator="containsText" text="실패">
      <formula>NOT(ISERROR(SEARCH(("실패"),(A65))))</formula>
    </cfRule>
  </conditionalFormatting>
  <conditionalFormatting sqref="A65:A67">
    <cfRule type="containsText" dxfId="3" priority="11700" operator="containsText" text="관리">
      <formula>NOT(ISERROR(SEARCH(("관리"),(A65))))</formula>
    </cfRule>
  </conditionalFormatting>
  <conditionalFormatting sqref="A65:A67">
    <cfRule type="containsText" dxfId="4" priority="11701" operator="containsText" text="등록">
      <formula>NOT(ISERROR(SEARCH(("등록"),(A65))))</formula>
    </cfRule>
  </conditionalFormatting>
  <conditionalFormatting sqref="A65:A67">
    <cfRule type="containsText" dxfId="0" priority="11702" operator="containsText" text="거부">
      <formula>NOT(ISERROR(SEARCH(("거부"),(A65))))</formula>
    </cfRule>
  </conditionalFormatting>
  <conditionalFormatting sqref="A65:A67">
    <cfRule type="containsText" dxfId="1" priority="11703" operator="containsText" text="리턴">
      <formula>NOT(ISERROR(SEARCH(("리턴"),(A65))))</formula>
    </cfRule>
  </conditionalFormatting>
  <conditionalFormatting sqref="A65:A67">
    <cfRule type="containsText" dxfId="2" priority="11704" operator="containsText" text="실패">
      <formula>NOT(ISERROR(SEARCH(("실패"),(A65))))</formula>
    </cfRule>
  </conditionalFormatting>
  <conditionalFormatting sqref="A65:A67">
    <cfRule type="containsText" dxfId="3" priority="11705" operator="containsText" text="관리">
      <formula>NOT(ISERROR(SEARCH(("관리"),(A65))))</formula>
    </cfRule>
  </conditionalFormatting>
  <conditionalFormatting sqref="A65:A67">
    <cfRule type="containsText" dxfId="4" priority="11706" operator="containsText" text="등록">
      <formula>NOT(ISERROR(SEARCH(("등록"),(A65))))</formula>
    </cfRule>
  </conditionalFormatting>
  <conditionalFormatting sqref="A65:A67">
    <cfRule type="containsText" dxfId="0" priority="11707" operator="containsText" text="거부">
      <formula>NOT(ISERROR(SEARCH(("거부"),(A65))))</formula>
    </cfRule>
  </conditionalFormatting>
  <conditionalFormatting sqref="A65:A67">
    <cfRule type="containsText" dxfId="1" priority="11708" operator="containsText" text="리턴">
      <formula>NOT(ISERROR(SEARCH(("리턴"),(A65))))</formula>
    </cfRule>
  </conditionalFormatting>
  <conditionalFormatting sqref="A65:A67">
    <cfRule type="containsText" dxfId="2" priority="11709" operator="containsText" text="실패">
      <formula>NOT(ISERROR(SEARCH(("실패"),(A65))))</formula>
    </cfRule>
  </conditionalFormatting>
  <conditionalFormatting sqref="A65:A67">
    <cfRule type="containsText" dxfId="3" priority="11710" operator="containsText" text="관리">
      <formula>NOT(ISERROR(SEARCH(("관리"),(A65))))</formula>
    </cfRule>
  </conditionalFormatting>
  <conditionalFormatting sqref="A65:A67">
    <cfRule type="containsText" dxfId="4" priority="11711" operator="containsText" text="등록">
      <formula>NOT(ISERROR(SEARCH(("등록"),(A65))))</formula>
    </cfRule>
  </conditionalFormatting>
  <conditionalFormatting sqref="A65:A67">
    <cfRule type="containsText" dxfId="0" priority="11712" operator="containsText" text="거부">
      <formula>NOT(ISERROR(SEARCH(("거부"),(A65))))</formula>
    </cfRule>
  </conditionalFormatting>
  <conditionalFormatting sqref="A65:A67">
    <cfRule type="containsText" dxfId="1" priority="11713" operator="containsText" text="리턴">
      <formula>NOT(ISERROR(SEARCH(("리턴"),(A65))))</formula>
    </cfRule>
  </conditionalFormatting>
  <conditionalFormatting sqref="A65:A67">
    <cfRule type="containsText" dxfId="2" priority="11714" operator="containsText" text="실패">
      <formula>NOT(ISERROR(SEARCH(("실패"),(A65))))</formula>
    </cfRule>
  </conditionalFormatting>
  <conditionalFormatting sqref="A65:A67">
    <cfRule type="containsText" dxfId="3" priority="11715" operator="containsText" text="관리">
      <formula>NOT(ISERROR(SEARCH(("관리"),(A65))))</formula>
    </cfRule>
  </conditionalFormatting>
  <conditionalFormatting sqref="A65:A67">
    <cfRule type="containsText" dxfId="4" priority="11716" operator="containsText" text="등록">
      <formula>NOT(ISERROR(SEARCH(("등록"),(A65))))</formula>
    </cfRule>
  </conditionalFormatting>
  <conditionalFormatting sqref="A65:A67">
    <cfRule type="containsText" dxfId="0" priority="11717" operator="containsText" text="거부">
      <formula>NOT(ISERROR(SEARCH(("거부"),(A65))))</formula>
    </cfRule>
  </conditionalFormatting>
  <conditionalFormatting sqref="A65:A67">
    <cfRule type="containsText" dxfId="1" priority="11718" operator="containsText" text="리턴">
      <formula>NOT(ISERROR(SEARCH(("리턴"),(A65))))</formula>
    </cfRule>
  </conditionalFormatting>
  <conditionalFormatting sqref="A65:A67">
    <cfRule type="containsText" dxfId="2" priority="11719" operator="containsText" text="실패">
      <formula>NOT(ISERROR(SEARCH(("실패"),(A65))))</formula>
    </cfRule>
  </conditionalFormatting>
  <conditionalFormatting sqref="A65:A67">
    <cfRule type="containsText" dxfId="3" priority="11720" operator="containsText" text="관리">
      <formula>NOT(ISERROR(SEARCH(("관리"),(A65))))</formula>
    </cfRule>
  </conditionalFormatting>
  <conditionalFormatting sqref="A65:A67">
    <cfRule type="containsText" dxfId="4" priority="11721" operator="containsText" text="등록">
      <formula>NOT(ISERROR(SEARCH(("등록"),(A65))))</formula>
    </cfRule>
  </conditionalFormatting>
  <conditionalFormatting sqref="A62">
    <cfRule type="containsText" dxfId="0" priority="11722" operator="containsText" text="거부">
      <formula>NOT(ISERROR(SEARCH(("거부"),(A62))))</formula>
    </cfRule>
  </conditionalFormatting>
  <conditionalFormatting sqref="A62">
    <cfRule type="containsText" dxfId="1" priority="11723" operator="containsText" text="리턴">
      <formula>NOT(ISERROR(SEARCH(("리턴"),(A62))))</formula>
    </cfRule>
  </conditionalFormatting>
  <conditionalFormatting sqref="A62">
    <cfRule type="containsText" dxfId="2" priority="11724" operator="containsText" text="실패">
      <formula>NOT(ISERROR(SEARCH(("실패"),(A62))))</formula>
    </cfRule>
  </conditionalFormatting>
  <conditionalFormatting sqref="A62">
    <cfRule type="containsText" dxfId="3" priority="11725" operator="containsText" text="관리">
      <formula>NOT(ISERROR(SEARCH(("관리"),(A62))))</formula>
    </cfRule>
  </conditionalFormatting>
  <conditionalFormatting sqref="A62">
    <cfRule type="containsText" dxfId="4" priority="11726" operator="containsText" text="등록">
      <formula>NOT(ISERROR(SEARCH(("등록"),(A62))))</formula>
    </cfRule>
  </conditionalFormatting>
  <conditionalFormatting sqref="A62">
    <cfRule type="containsText" dxfId="0" priority="11727" operator="containsText" text="거부">
      <formula>NOT(ISERROR(SEARCH(("거부"),(A62))))</formula>
    </cfRule>
  </conditionalFormatting>
  <conditionalFormatting sqref="A62">
    <cfRule type="containsText" dxfId="1" priority="11728" operator="containsText" text="리턴">
      <formula>NOT(ISERROR(SEARCH(("리턴"),(A62))))</formula>
    </cfRule>
  </conditionalFormatting>
  <conditionalFormatting sqref="A62">
    <cfRule type="containsText" dxfId="2" priority="11729" operator="containsText" text="실패">
      <formula>NOT(ISERROR(SEARCH(("실패"),(A62))))</formula>
    </cfRule>
  </conditionalFormatting>
  <conditionalFormatting sqref="A62">
    <cfRule type="containsText" dxfId="3" priority="11730" operator="containsText" text="관리">
      <formula>NOT(ISERROR(SEARCH(("관리"),(A62))))</formula>
    </cfRule>
  </conditionalFormatting>
  <conditionalFormatting sqref="A62">
    <cfRule type="containsText" dxfId="4" priority="11731" operator="containsText" text="등록">
      <formula>NOT(ISERROR(SEARCH(("등록"),(A62))))</formula>
    </cfRule>
  </conditionalFormatting>
  <conditionalFormatting sqref="A62">
    <cfRule type="containsText" dxfId="0" priority="11732" operator="containsText" text="거부">
      <formula>NOT(ISERROR(SEARCH(("거부"),(A62))))</formula>
    </cfRule>
  </conditionalFormatting>
  <conditionalFormatting sqref="A62">
    <cfRule type="containsText" dxfId="1" priority="11733" operator="containsText" text="리턴">
      <formula>NOT(ISERROR(SEARCH(("리턴"),(A62))))</formula>
    </cfRule>
  </conditionalFormatting>
  <conditionalFormatting sqref="A62">
    <cfRule type="containsText" dxfId="2" priority="11734" operator="containsText" text="실패">
      <formula>NOT(ISERROR(SEARCH(("실패"),(A62))))</formula>
    </cfRule>
  </conditionalFormatting>
  <conditionalFormatting sqref="A62">
    <cfRule type="containsText" dxfId="3" priority="11735" operator="containsText" text="관리">
      <formula>NOT(ISERROR(SEARCH(("관리"),(A62))))</formula>
    </cfRule>
  </conditionalFormatting>
  <conditionalFormatting sqref="A62">
    <cfRule type="containsText" dxfId="4" priority="11736" operator="containsText" text="등록">
      <formula>NOT(ISERROR(SEARCH(("등록"),(A62))))</formula>
    </cfRule>
  </conditionalFormatting>
  <conditionalFormatting sqref="A62">
    <cfRule type="containsText" dxfId="0" priority="11737" operator="containsText" text="거부">
      <formula>NOT(ISERROR(SEARCH(("거부"),(A62))))</formula>
    </cfRule>
  </conditionalFormatting>
  <conditionalFormatting sqref="A62">
    <cfRule type="containsText" dxfId="1" priority="11738" operator="containsText" text="리턴">
      <formula>NOT(ISERROR(SEARCH(("리턴"),(A62))))</formula>
    </cfRule>
  </conditionalFormatting>
  <conditionalFormatting sqref="A62">
    <cfRule type="containsText" dxfId="2" priority="11739" operator="containsText" text="실패">
      <formula>NOT(ISERROR(SEARCH(("실패"),(A62))))</formula>
    </cfRule>
  </conditionalFormatting>
  <conditionalFormatting sqref="A62">
    <cfRule type="containsText" dxfId="3" priority="11740" operator="containsText" text="관리">
      <formula>NOT(ISERROR(SEARCH(("관리"),(A62))))</formula>
    </cfRule>
  </conditionalFormatting>
  <conditionalFormatting sqref="A62">
    <cfRule type="containsText" dxfId="4" priority="11741" operator="containsText" text="등록">
      <formula>NOT(ISERROR(SEARCH(("등록"),(A62))))</formula>
    </cfRule>
  </conditionalFormatting>
  <conditionalFormatting sqref="A62">
    <cfRule type="containsText" dxfId="0" priority="11742" operator="containsText" text="거부">
      <formula>NOT(ISERROR(SEARCH(("거부"),(A62))))</formula>
    </cfRule>
  </conditionalFormatting>
  <conditionalFormatting sqref="A62">
    <cfRule type="containsText" dxfId="1" priority="11743" operator="containsText" text="리턴">
      <formula>NOT(ISERROR(SEARCH(("리턴"),(A62))))</formula>
    </cfRule>
  </conditionalFormatting>
  <conditionalFormatting sqref="A62">
    <cfRule type="containsText" dxfId="2" priority="11744" operator="containsText" text="실패">
      <formula>NOT(ISERROR(SEARCH(("실패"),(A62))))</formula>
    </cfRule>
  </conditionalFormatting>
  <conditionalFormatting sqref="A62">
    <cfRule type="containsText" dxfId="3" priority="11745" operator="containsText" text="관리">
      <formula>NOT(ISERROR(SEARCH(("관리"),(A62))))</formula>
    </cfRule>
  </conditionalFormatting>
  <conditionalFormatting sqref="A62">
    <cfRule type="containsText" dxfId="4" priority="11746" operator="containsText" text="등록">
      <formula>NOT(ISERROR(SEARCH(("등록"),(A62))))</formula>
    </cfRule>
  </conditionalFormatting>
  <conditionalFormatting sqref="A62">
    <cfRule type="containsText" dxfId="0" priority="11747" operator="containsText" text="거부">
      <formula>NOT(ISERROR(SEARCH(("거부"),(A62))))</formula>
    </cfRule>
  </conditionalFormatting>
  <conditionalFormatting sqref="A62">
    <cfRule type="containsText" dxfId="1" priority="11748" operator="containsText" text="리턴">
      <formula>NOT(ISERROR(SEARCH(("리턴"),(A62))))</formula>
    </cfRule>
  </conditionalFormatting>
  <conditionalFormatting sqref="A62">
    <cfRule type="containsText" dxfId="2" priority="11749" operator="containsText" text="실패">
      <formula>NOT(ISERROR(SEARCH(("실패"),(A62))))</formula>
    </cfRule>
  </conditionalFormatting>
  <conditionalFormatting sqref="A62">
    <cfRule type="containsText" dxfId="3" priority="11750" operator="containsText" text="관리">
      <formula>NOT(ISERROR(SEARCH(("관리"),(A62))))</formula>
    </cfRule>
  </conditionalFormatting>
  <conditionalFormatting sqref="A62">
    <cfRule type="containsText" dxfId="4" priority="11751" operator="containsText" text="등록">
      <formula>NOT(ISERROR(SEARCH(("등록"),(A62))))</formula>
    </cfRule>
  </conditionalFormatting>
  <conditionalFormatting sqref="A62">
    <cfRule type="containsText" dxfId="0" priority="11752" operator="containsText" text="거부">
      <formula>NOT(ISERROR(SEARCH(("거부"),(A62))))</formula>
    </cfRule>
  </conditionalFormatting>
  <conditionalFormatting sqref="A62">
    <cfRule type="containsText" dxfId="1" priority="11753" operator="containsText" text="리턴">
      <formula>NOT(ISERROR(SEARCH(("리턴"),(A62))))</formula>
    </cfRule>
  </conditionalFormatting>
  <conditionalFormatting sqref="A62">
    <cfRule type="containsText" dxfId="2" priority="11754" operator="containsText" text="실패">
      <formula>NOT(ISERROR(SEARCH(("실패"),(A62))))</formula>
    </cfRule>
  </conditionalFormatting>
  <conditionalFormatting sqref="A62">
    <cfRule type="containsText" dxfId="3" priority="11755" operator="containsText" text="관리">
      <formula>NOT(ISERROR(SEARCH(("관리"),(A62))))</formula>
    </cfRule>
  </conditionalFormatting>
  <conditionalFormatting sqref="A62">
    <cfRule type="containsText" dxfId="4" priority="11756" operator="containsText" text="등록">
      <formula>NOT(ISERROR(SEARCH(("등록"),(A62))))</formula>
    </cfRule>
  </conditionalFormatting>
  <conditionalFormatting sqref="A62">
    <cfRule type="containsText" dxfId="0" priority="11757" operator="containsText" text="거부">
      <formula>NOT(ISERROR(SEARCH(("거부"),(A62))))</formula>
    </cfRule>
  </conditionalFormatting>
  <conditionalFormatting sqref="A62">
    <cfRule type="containsText" dxfId="1" priority="11758" operator="containsText" text="리턴">
      <formula>NOT(ISERROR(SEARCH(("리턴"),(A62))))</formula>
    </cfRule>
  </conditionalFormatting>
  <conditionalFormatting sqref="A62">
    <cfRule type="containsText" dxfId="2" priority="11759" operator="containsText" text="실패">
      <formula>NOT(ISERROR(SEARCH(("실패"),(A62))))</formula>
    </cfRule>
  </conditionalFormatting>
  <conditionalFormatting sqref="A62">
    <cfRule type="containsText" dxfId="3" priority="11760" operator="containsText" text="관리">
      <formula>NOT(ISERROR(SEARCH(("관리"),(A62))))</formula>
    </cfRule>
  </conditionalFormatting>
  <conditionalFormatting sqref="A62">
    <cfRule type="containsText" dxfId="4" priority="11761" operator="containsText" text="등록">
      <formula>NOT(ISERROR(SEARCH(("등록"),(A62))))</formula>
    </cfRule>
  </conditionalFormatting>
  <conditionalFormatting sqref="A62">
    <cfRule type="containsText" dxfId="0" priority="11762" operator="containsText" text="거부">
      <formula>NOT(ISERROR(SEARCH(("거부"),(A62))))</formula>
    </cfRule>
  </conditionalFormatting>
  <conditionalFormatting sqref="A62">
    <cfRule type="containsText" dxfId="1" priority="11763" operator="containsText" text="리턴">
      <formula>NOT(ISERROR(SEARCH(("리턴"),(A62))))</formula>
    </cfRule>
  </conditionalFormatting>
  <conditionalFormatting sqref="A62">
    <cfRule type="containsText" dxfId="2" priority="11764" operator="containsText" text="실패">
      <formula>NOT(ISERROR(SEARCH(("실패"),(A62))))</formula>
    </cfRule>
  </conditionalFormatting>
  <conditionalFormatting sqref="A62">
    <cfRule type="containsText" dxfId="3" priority="11765" operator="containsText" text="관리">
      <formula>NOT(ISERROR(SEARCH(("관리"),(A62))))</formula>
    </cfRule>
  </conditionalFormatting>
  <conditionalFormatting sqref="A62">
    <cfRule type="containsText" dxfId="4" priority="11766" operator="containsText" text="등록">
      <formula>NOT(ISERROR(SEARCH(("등록"),(A62))))</formula>
    </cfRule>
  </conditionalFormatting>
  <conditionalFormatting sqref="A62">
    <cfRule type="containsText" dxfId="0" priority="11767" operator="containsText" text="거부">
      <formula>NOT(ISERROR(SEARCH(("거부"),(A62))))</formula>
    </cfRule>
  </conditionalFormatting>
  <conditionalFormatting sqref="A62">
    <cfRule type="containsText" dxfId="1" priority="11768" operator="containsText" text="리턴">
      <formula>NOT(ISERROR(SEARCH(("리턴"),(A62))))</formula>
    </cfRule>
  </conditionalFormatting>
  <conditionalFormatting sqref="A62">
    <cfRule type="containsText" dxfId="2" priority="11769" operator="containsText" text="실패">
      <formula>NOT(ISERROR(SEARCH(("실패"),(A62))))</formula>
    </cfRule>
  </conditionalFormatting>
  <conditionalFormatting sqref="A62">
    <cfRule type="containsText" dxfId="3" priority="11770" operator="containsText" text="관리">
      <formula>NOT(ISERROR(SEARCH(("관리"),(A62))))</formula>
    </cfRule>
  </conditionalFormatting>
  <conditionalFormatting sqref="A62">
    <cfRule type="containsText" dxfId="4" priority="11771" operator="containsText" text="등록">
      <formula>NOT(ISERROR(SEARCH(("등록"),(A62))))</formula>
    </cfRule>
  </conditionalFormatting>
  <conditionalFormatting sqref="A62">
    <cfRule type="containsText" dxfId="0" priority="11772" operator="containsText" text="거부">
      <formula>NOT(ISERROR(SEARCH(("거부"),(A62))))</formula>
    </cfRule>
  </conditionalFormatting>
  <conditionalFormatting sqref="A62">
    <cfRule type="containsText" dxfId="1" priority="11773" operator="containsText" text="리턴">
      <formula>NOT(ISERROR(SEARCH(("리턴"),(A62))))</formula>
    </cfRule>
  </conditionalFormatting>
  <conditionalFormatting sqref="A62">
    <cfRule type="containsText" dxfId="2" priority="11774" operator="containsText" text="실패">
      <formula>NOT(ISERROR(SEARCH(("실패"),(A62))))</formula>
    </cfRule>
  </conditionalFormatting>
  <conditionalFormatting sqref="A62">
    <cfRule type="containsText" dxfId="3" priority="11775" operator="containsText" text="관리">
      <formula>NOT(ISERROR(SEARCH(("관리"),(A62))))</formula>
    </cfRule>
  </conditionalFormatting>
  <conditionalFormatting sqref="A62">
    <cfRule type="containsText" dxfId="4" priority="11776" operator="containsText" text="등록">
      <formula>NOT(ISERROR(SEARCH(("등록"),(A62))))</formula>
    </cfRule>
  </conditionalFormatting>
  <conditionalFormatting sqref="A62">
    <cfRule type="containsText" dxfId="0" priority="11777" operator="containsText" text="거부">
      <formula>NOT(ISERROR(SEARCH(("거부"),(A62))))</formula>
    </cfRule>
  </conditionalFormatting>
  <conditionalFormatting sqref="A62">
    <cfRule type="containsText" dxfId="1" priority="11778" operator="containsText" text="리턴">
      <formula>NOT(ISERROR(SEARCH(("리턴"),(A62))))</formula>
    </cfRule>
  </conditionalFormatting>
  <conditionalFormatting sqref="A62">
    <cfRule type="containsText" dxfId="2" priority="11779" operator="containsText" text="실패">
      <formula>NOT(ISERROR(SEARCH(("실패"),(A62))))</formula>
    </cfRule>
  </conditionalFormatting>
  <conditionalFormatting sqref="A62">
    <cfRule type="containsText" dxfId="3" priority="11780" operator="containsText" text="관리">
      <formula>NOT(ISERROR(SEARCH(("관리"),(A62))))</formula>
    </cfRule>
  </conditionalFormatting>
  <conditionalFormatting sqref="A62">
    <cfRule type="containsText" dxfId="4" priority="11781" operator="containsText" text="등록">
      <formula>NOT(ISERROR(SEARCH(("등록"),(A62))))</formula>
    </cfRule>
  </conditionalFormatting>
  <conditionalFormatting sqref="A62">
    <cfRule type="containsText" dxfId="0" priority="11782" operator="containsText" text="거부">
      <formula>NOT(ISERROR(SEARCH(("거부"),(A62))))</formula>
    </cfRule>
  </conditionalFormatting>
  <conditionalFormatting sqref="A62">
    <cfRule type="containsText" dxfId="1" priority="11783" operator="containsText" text="리턴">
      <formula>NOT(ISERROR(SEARCH(("리턴"),(A62))))</formula>
    </cfRule>
  </conditionalFormatting>
  <conditionalFormatting sqref="A62">
    <cfRule type="containsText" dxfId="2" priority="11784" operator="containsText" text="실패">
      <formula>NOT(ISERROR(SEARCH(("실패"),(A62))))</formula>
    </cfRule>
  </conditionalFormatting>
  <conditionalFormatting sqref="A62">
    <cfRule type="containsText" dxfId="3" priority="11785" operator="containsText" text="관리">
      <formula>NOT(ISERROR(SEARCH(("관리"),(A62))))</formula>
    </cfRule>
  </conditionalFormatting>
  <conditionalFormatting sqref="A62">
    <cfRule type="containsText" dxfId="4" priority="11786" operator="containsText" text="등록">
      <formula>NOT(ISERROR(SEARCH(("등록"),(A62))))</formula>
    </cfRule>
  </conditionalFormatting>
  <conditionalFormatting sqref="A62">
    <cfRule type="containsText" dxfId="0" priority="11787" operator="containsText" text="거부">
      <formula>NOT(ISERROR(SEARCH(("거부"),(A62))))</formula>
    </cfRule>
  </conditionalFormatting>
  <conditionalFormatting sqref="A62">
    <cfRule type="containsText" dxfId="1" priority="11788" operator="containsText" text="리턴">
      <formula>NOT(ISERROR(SEARCH(("리턴"),(A62))))</formula>
    </cfRule>
  </conditionalFormatting>
  <conditionalFormatting sqref="A62">
    <cfRule type="containsText" dxfId="2" priority="11789" operator="containsText" text="실패">
      <formula>NOT(ISERROR(SEARCH(("실패"),(A62))))</formula>
    </cfRule>
  </conditionalFormatting>
  <conditionalFormatting sqref="A62">
    <cfRule type="containsText" dxfId="3" priority="11790" operator="containsText" text="관리">
      <formula>NOT(ISERROR(SEARCH(("관리"),(A62))))</formula>
    </cfRule>
  </conditionalFormatting>
  <conditionalFormatting sqref="A62">
    <cfRule type="containsText" dxfId="4" priority="11791" operator="containsText" text="등록">
      <formula>NOT(ISERROR(SEARCH(("등록"),(A62))))</formula>
    </cfRule>
  </conditionalFormatting>
  <conditionalFormatting sqref="A62">
    <cfRule type="containsText" dxfId="0" priority="11792" operator="containsText" text="거부">
      <formula>NOT(ISERROR(SEARCH(("거부"),(A62))))</formula>
    </cfRule>
  </conditionalFormatting>
  <conditionalFormatting sqref="A62">
    <cfRule type="containsText" dxfId="1" priority="11793" operator="containsText" text="리턴">
      <formula>NOT(ISERROR(SEARCH(("리턴"),(A62))))</formula>
    </cfRule>
  </conditionalFormatting>
  <conditionalFormatting sqref="A62">
    <cfRule type="containsText" dxfId="2" priority="11794" operator="containsText" text="실패">
      <formula>NOT(ISERROR(SEARCH(("실패"),(A62))))</formula>
    </cfRule>
  </conditionalFormatting>
  <conditionalFormatting sqref="A62">
    <cfRule type="containsText" dxfId="3" priority="11795" operator="containsText" text="관리">
      <formula>NOT(ISERROR(SEARCH(("관리"),(A62))))</formula>
    </cfRule>
  </conditionalFormatting>
  <conditionalFormatting sqref="A62">
    <cfRule type="containsText" dxfId="4" priority="11796" operator="containsText" text="등록">
      <formula>NOT(ISERROR(SEARCH(("등록"),(A62))))</formula>
    </cfRule>
  </conditionalFormatting>
  <conditionalFormatting sqref="A62">
    <cfRule type="containsText" dxfId="0" priority="11797" operator="containsText" text="거부">
      <formula>NOT(ISERROR(SEARCH(("거부"),(A62))))</formula>
    </cfRule>
  </conditionalFormatting>
  <conditionalFormatting sqref="A62">
    <cfRule type="containsText" dxfId="1" priority="11798" operator="containsText" text="리턴">
      <formula>NOT(ISERROR(SEARCH(("리턴"),(A62))))</formula>
    </cfRule>
  </conditionalFormatting>
  <conditionalFormatting sqref="A62">
    <cfRule type="containsText" dxfId="2" priority="11799" operator="containsText" text="실패">
      <formula>NOT(ISERROR(SEARCH(("실패"),(A62))))</formula>
    </cfRule>
  </conditionalFormatting>
  <conditionalFormatting sqref="A62">
    <cfRule type="containsText" dxfId="3" priority="11800" operator="containsText" text="관리">
      <formula>NOT(ISERROR(SEARCH(("관리"),(A62))))</formula>
    </cfRule>
  </conditionalFormatting>
  <conditionalFormatting sqref="A62">
    <cfRule type="containsText" dxfId="4" priority="11801" operator="containsText" text="등록">
      <formula>NOT(ISERROR(SEARCH(("등록"),(A62))))</formula>
    </cfRule>
  </conditionalFormatting>
  <conditionalFormatting sqref="A62">
    <cfRule type="containsText" dxfId="0" priority="11802" operator="containsText" text="거부">
      <formula>NOT(ISERROR(SEARCH(("거부"),(A62))))</formula>
    </cfRule>
  </conditionalFormatting>
  <conditionalFormatting sqref="A62">
    <cfRule type="containsText" dxfId="1" priority="11803" operator="containsText" text="리턴">
      <formula>NOT(ISERROR(SEARCH(("리턴"),(A62))))</formula>
    </cfRule>
  </conditionalFormatting>
  <conditionalFormatting sqref="A62">
    <cfRule type="containsText" dxfId="2" priority="11804" operator="containsText" text="실패">
      <formula>NOT(ISERROR(SEARCH(("실패"),(A62))))</formula>
    </cfRule>
  </conditionalFormatting>
  <conditionalFormatting sqref="A62">
    <cfRule type="containsText" dxfId="3" priority="11805" operator="containsText" text="관리">
      <formula>NOT(ISERROR(SEARCH(("관리"),(A62))))</formula>
    </cfRule>
  </conditionalFormatting>
  <conditionalFormatting sqref="A62">
    <cfRule type="containsText" dxfId="4" priority="11806" operator="containsText" text="등록">
      <formula>NOT(ISERROR(SEARCH(("등록"),(A62))))</formula>
    </cfRule>
  </conditionalFormatting>
  <conditionalFormatting sqref="A62">
    <cfRule type="containsText" dxfId="0" priority="11807" operator="containsText" text="거부">
      <formula>NOT(ISERROR(SEARCH(("거부"),(A62))))</formula>
    </cfRule>
  </conditionalFormatting>
  <conditionalFormatting sqref="A62">
    <cfRule type="containsText" dxfId="1" priority="11808" operator="containsText" text="리턴">
      <formula>NOT(ISERROR(SEARCH(("리턴"),(A62))))</formula>
    </cfRule>
  </conditionalFormatting>
  <conditionalFormatting sqref="A62">
    <cfRule type="containsText" dxfId="2" priority="11809" operator="containsText" text="실패">
      <formula>NOT(ISERROR(SEARCH(("실패"),(A62))))</formula>
    </cfRule>
  </conditionalFormatting>
  <conditionalFormatting sqref="A62">
    <cfRule type="containsText" dxfId="3" priority="11810" operator="containsText" text="관리">
      <formula>NOT(ISERROR(SEARCH(("관리"),(A62))))</formula>
    </cfRule>
  </conditionalFormatting>
  <conditionalFormatting sqref="A62">
    <cfRule type="containsText" dxfId="4" priority="11811" operator="containsText" text="등록">
      <formula>NOT(ISERROR(SEARCH(("등록"),(A62))))</formula>
    </cfRule>
  </conditionalFormatting>
  <conditionalFormatting sqref="A62">
    <cfRule type="containsText" dxfId="0" priority="11812" operator="containsText" text="거부">
      <formula>NOT(ISERROR(SEARCH(("거부"),(A62))))</formula>
    </cfRule>
  </conditionalFormatting>
  <conditionalFormatting sqref="A62">
    <cfRule type="containsText" dxfId="1" priority="11813" operator="containsText" text="리턴">
      <formula>NOT(ISERROR(SEARCH(("리턴"),(A62))))</formula>
    </cfRule>
  </conditionalFormatting>
  <conditionalFormatting sqref="A62">
    <cfRule type="containsText" dxfId="2" priority="11814" operator="containsText" text="실패">
      <formula>NOT(ISERROR(SEARCH(("실패"),(A62))))</formula>
    </cfRule>
  </conditionalFormatting>
  <conditionalFormatting sqref="A62">
    <cfRule type="containsText" dxfId="3" priority="11815" operator="containsText" text="관리">
      <formula>NOT(ISERROR(SEARCH(("관리"),(A62))))</formula>
    </cfRule>
  </conditionalFormatting>
  <conditionalFormatting sqref="A62">
    <cfRule type="containsText" dxfId="4" priority="11816" operator="containsText" text="등록">
      <formula>NOT(ISERROR(SEARCH(("등록"),(A62))))</formula>
    </cfRule>
  </conditionalFormatting>
  <conditionalFormatting sqref="A71">
    <cfRule type="containsText" dxfId="0" priority="11817" operator="containsText" text="거부">
      <formula>NOT(ISERROR(SEARCH(("거부"),(A71))))</formula>
    </cfRule>
  </conditionalFormatting>
  <conditionalFormatting sqref="A71">
    <cfRule type="containsText" dxfId="1" priority="11818" operator="containsText" text="리턴">
      <formula>NOT(ISERROR(SEARCH(("리턴"),(A71))))</formula>
    </cfRule>
  </conditionalFormatting>
  <conditionalFormatting sqref="A71">
    <cfRule type="containsText" dxfId="2" priority="11819" operator="containsText" text="실패">
      <formula>NOT(ISERROR(SEARCH(("실패"),(A71))))</formula>
    </cfRule>
  </conditionalFormatting>
  <conditionalFormatting sqref="A71">
    <cfRule type="containsText" dxfId="3" priority="11820" operator="containsText" text="관리">
      <formula>NOT(ISERROR(SEARCH(("관리"),(A71))))</formula>
    </cfRule>
  </conditionalFormatting>
  <conditionalFormatting sqref="A71">
    <cfRule type="containsText" dxfId="4" priority="11821" operator="containsText" text="등록">
      <formula>NOT(ISERROR(SEARCH(("등록"),(A71))))</formula>
    </cfRule>
  </conditionalFormatting>
  <conditionalFormatting sqref="A71">
    <cfRule type="containsText" dxfId="0" priority="11822" operator="containsText" text="거부">
      <formula>NOT(ISERROR(SEARCH(("거부"),(A71))))</formula>
    </cfRule>
  </conditionalFormatting>
  <conditionalFormatting sqref="A71">
    <cfRule type="containsText" dxfId="1" priority="11823" operator="containsText" text="리턴">
      <formula>NOT(ISERROR(SEARCH(("리턴"),(A71))))</formula>
    </cfRule>
  </conditionalFormatting>
  <conditionalFormatting sqref="A71">
    <cfRule type="containsText" dxfId="2" priority="11824" operator="containsText" text="실패">
      <formula>NOT(ISERROR(SEARCH(("실패"),(A71))))</formula>
    </cfRule>
  </conditionalFormatting>
  <conditionalFormatting sqref="A71">
    <cfRule type="containsText" dxfId="3" priority="11825" operator="containsText" text="관리">
      <formula>NOT(ISERROR(SEARCH(("관리"),(A71))))</formula>
    </cfRule>
  </conditionalFormatting>
  <conditionalFormatting sqref="A71">
    <cfRule type="containsText" dxfId="4" priority="11826" operator="containsText" text="등록">
      <formula>NOT(ISERROR(SEARCH(("등록"),(A71))))</formula>
    </cfRule>
  </conditionalFormatting>
  <conditionalFormatting sqref="J71">
    <cfRule type="containsText" dxfId="0" priority="11827" operator="containsText" text="거부">
      <formula>NOT(ISERROR(SEARCH(("거부"),(J71))))</formula>
    </cfRule>
  </conditionalFormatting>
  <conditionalFormatting sqref="J71">
    <cfRule type="containsText" dxfId="1" priority="11828" operator="containsText" text="리턴">
      <formula>NOT(ISERROR(SEARCH(("리턴"),(J71))))</formula>
    </cfRule>
  </conditionalFormatting>
  <conditionalFormatting sqref="J71">
    <cfRule type="containsText" dxfId="2" priority="11829" operator="containsText" text="실패">
      <formula>NOT(ISERROR(SEARCH(("실패"),(J71))))</formula>
    </cfRule>
  </conditionalFormatting>
  <conditionalFormatting sqref="J71">
    <cfRule type="containsText" dxfId="3" priority="11830" operator="containsText" text="관리">
      <formula>NOT(ISERROR(SEARCH(("관리"),(J71))))</formula>
    </cfRule>
  </conditionalFormatting>
  <conditionalFormatting sqref="J71">
    <cfRule type="containsText" dxfId="4" priority="11831" operator="containsText" text="등록">
      <formula>NOT(ISERROR(SEARCH(("등록"),(J71))))</formula>
    </cfRule>
  </conditionalFormatting>
  <conditionalFormatting sqref="D72">
    <cfRule type="containsText" dxfId="0" priority="11832" operator="containsText" text="거부">
      <formula>NOT(ISERROR(SEARCH(("거부"),(D72))))</formula>
    </cfRule>
  </conditionalFormatting>
  <conditionalFormatting sqref="D72">
    <cfRule type="containsText" dxfId="1" priority="11833" operator="containsText" text="리턴">
      <formula>NOT(ISERROR(SEARCH(("리턴"),(D72))))</formula>
    </cfRule>
  </conditionalFormatting>
  <conditionalFormatting sqref="D72">
    <cfRule type="containsText" dxfId="2" priority="11834" operator="containsText" text="실패">
      <formula>NOT(ISERROR(SEARCH(("실패"),(D72))))</formula>
    </cfRule>
  </conditionalFormatting>
  <conditionalFormatting sqref="D72">
    <cfRule type="containsText" dxfId="3" priority="11835" operator="containsText" text="관리">
      <formula>NOT(ISERROR(SEARCH(("관리"),(D72))))</formula>
    </cfRule>
  </conditionalFormatting>
  <conditionalFormatting sqref="D72">
    <cfRule type="containsText" dxfId="4" priority="11836" operator="containsText" text="등록">
      <formula>NOT(ISERROR(SEARCH(("등록"),(D72))))</formula>
    </cfRule>
  </conditionalFormatting>
  <conditionalFormatting sqref="D72">
    <cfRule type="containsText" dxfId="0" priority="11837" operator="containsText" text="거부">
      <formula>NOT(ISERROR(SEARCH(("거부"),(D72))))</formula>
    </cfRule>
  </conditionalFormatting>
  <conditionalFormatting sqref="D72">
    <cfRule type="containsText" dxfId="1" priority="11838" operator="containsText" text="리턴">
      <formula>NOT(ISERROR(SEARCH(("리턴"),(D72))))</formula>
    </cfRule>
  </conditionalFormatting>
  <conditionalFormatting sqref="D72">
    <cfRule type="containsText" dxfId="2" priority="11839" operator="containsText" text="실패">
      <formula>NOT(ISERROR(SEARCH(("실패"),(D72))))</formula>
    </cfRule>
  </conditionalFormatting>
  <conditionalFormatting sqref="D72">
    <cfRule type="containsText" dxfId="3" priority="11840" operator="containsText" text="관리">
      <formula>NOT(ISERROR(SEARCH(("관리"),(D72))))</formula>
    </cfRule>
  </conditionalFormatting>
  <conditionalFormatting sqref="D72">
    <cfRule type="containsText" dxfId="4" priority="11841" operator="containsText" text="등록">
      <formula>NOT(ISERROR(SEARCH(("등록"),(D72))))</formula>
    </cfRule>
  </conditionalFormatting>
  <conditionalFormatting sqref="E72">
    <cfRule type="containsText" dxfId="0" priority="11842" operator="containsText" text="거부">
      <formula>NOT(ISERROR(SEARCH(("거부"),(E72))))</formula>
    </cfRule>
  </conditionalFormatting>
  <conditionalFormatting sqref="E72">
    <cfRule type="containsText" dxfId="1" priority="11843" operator="containsText" text="리턴">
      <formula>NOT(ISERROR(SEARCH(("리턴"),(E72))))</formula>
    </cfRule>
  </conditionalFormatting>
  <conditionalFormatting sqref="E72">
    <cfRule type="containsText" dxfId="2" priority="11844" operator="containsText" text="실패">
      <formula>NOT(ISERROR(SEARCH(("실패"),(E72))))</formula>
    </cfRule>
  </conditionalFormatting>
  <conditionalFormatting sqref="E72">
    <cfRule type="containsText" dxfId="3" priority="11845" operator="containsText" text="관리">
      <formula>NOT(ISERROR(SEARCH(("관리"),(E72))))</formula>
    </cfRule>
  </conditionalFormatting>
  <conditionalFormatting sqref="E72">
    <cfRule type="containsText" dxfId="4" priority="11846" operator="containsText" text="등록">
      <formula>NOT(ISERROR(SEARCH(("등록"),(E72))))</formula>
    </cfRule>
  </conditionalFormatting>
  <conditionalFormatting sqref="J72">
    <cfRule type="containsText" dxfId="0" priority="11847" operator="containsText" text="거부">
      <formula>NOT(ISERROR(SEARCH(("거부"),(J72))))</formula>
    </cfRule>
  </conditionalFormatting>
  <conditionalFormatting sqref="J72">
    <cfRule type="containsText" dxfId="1" priority="11848" operator="containsText" text="리턴">
      <formula>NOT(ISERROR(SEARCH(("리턴"),(J72))))</formula>
    </cfRule>
  </conditionalFormatting>
  <conditionalFormatting sqref="J72">
    <cfRule type="containsText" dxfId="2" priority="11849" operator="containsText" text="실패">
      <formula>NOT(ISERROR(SEARCH(("실패"),(J72))))</formula>
    </cfRule>
  </conditionalFormatting>
  <conditionalFormatting sqref="J72">
    <cfRule type="containsText" dxfId="3" priority="11850" operator="containsText" text="관리">
      <formula>NOT(ISERROR(SEARCH(("관리"),(J72))))</formula>
    </cfRule>
  </conditionalFormatting>
  <conditionalFormatting sqref="J72">
    <cfRule type="containsText" dxfId="4" priority="11851" operator="containsText" text="등록">
      <formula>NOT(ISERROR(SEARCH(("등록"),(J72))))</formula>
    </cfRule>
  </conditionalFormatting>
  <conditionalFormatting sqref="A74">
    <cfRule type="containsText" dxfId="0" priority="11852" operator="containsText" text="거부">
      <formula>NOT(ISERROR(SEARCH(("거부"),(A74))))</formula>
    </cfRule>
  </conditionalFormatting>
  <conditionalFormatting sqref="A74">
    <cfRule type="containsText" dxfId="1" priority="11853" operator="containsText" text="리턴">
      <formula>NOT(ISERROR(SEARCH(("리턴"),(A74))))</formula>
    </cfRule>
  </conditionalFormatting>
  <conditionalFormatting sqref="A74">
    <cfRule type="containsText" dxfId="2" priority="11854" operator="containsText" text="실패">
      <formula>NOT(ISERROR(SEARCH(("실패"),(A74))))</formula>
    </cfRule>
  </conditionalFormatting>
  <conditionalFormatting sqref="A74">
    <cfRule type="containsText" dxfId="3" priority="11855" operator="containsText" text="관리">
      <formula>NOT(ISERROR(SEARCH(("관리"),(A74))))</formula>
    </cfRule>
  </conditionalFormatting>
  <conditionalFormatting sqref="A74">
    <cfRule type="containsText" dxfId="4" priority="11856" operator="containsText" text="등록">
      <formula>NOT(ISERROR(SEARCH(("등록"),(A74))))</formula>
    </cfRule>
  </conditionalFormatting>
  <conditionalFormatting sqref="A74">
    <cfRule type="containsText" dxfId="0" priority="11857" operator="containsText" text="거부">
      <formula>NOT(ISERROR(SEARCH(("거부"),(A74))))</formula>
    </cfRule>
  </conditionalFormatting>
  <conditionalFormatting sqref="A74">
    <cfRule type="containsText" dxfId="1" priority="11858" operator="containsText" text="리턴">
      <formula>NOT(ISERROR(SEARCH(("리턴"),(A74))))</formula>
    </cfRule>
  </conditionalFormatting>
  <conditionalFormatting sqref="A74">
    <cfRule type="containsText" dxfId="2" priority="11859" operator="containsText" text="실패">
      <formula>NOT(ISERROR(SEARCH(("실패"),(A74))))</formula>
    </cfRule>
  </conditionalFormatting>
  <conditionalFormatting sqref="A74">
    <cfRule type="containsText" dxfId="3" priority="11860" operator="containsText" text="관리">
      <formula>NOT(ISERROR(SEARCH(("관리"),(A74))))</formula>
    </cfRule>
  </conditionalFormatting>
  <conditionalFormatting sqref="A74">
    <cfRule type="containsText" dxfId="4" priority="11861" operator="containsText" text="등록">
      <formula>NOT(ISERROR(SEARCH(("등록"),(A74))))</formula>
    </cfRule>
  </conditionalFormatting>
  <conditionalFormatting sqref="J74">
    <cfRule type="containsText" dxfId="0" priority="11862" operator="containsText" text="거부">
      <formula>NOT(ISERROR(SEARCH(("거부"),(J74))))</formula>
    </cfRule>
  </conditionalFormatting>
  <conditionalFormatting sqref="J74">
    <cfRule type="containsText" dxfId="1" priority="11863" operator="containsText" text="리턴">
      <formula>NOT(ISERROR(SEARCH(("리턴"),(J74))))</formula>
    </cfRule>
  </conditionalFormatting>
  <conditionalFormatting sqref="J74">
    <cfRule type="containsText" dxfId="2" priority="11864" operator="containsText" text="실패">
      <formula>NOT(ISERROR(SEARCH(("실패"),(J74))))</formula>
    </cfRule>
  </conditionalFormatting>
  <conditionalFormatting sqref="J74">
    <cfRule type="containsText" dxfId="3" priority="11865" operator="containsText" text="관리">
      <formula>NOT(ISERROR(SEARCH(("관리"),(J74))))</formula>
    </cfRule>
  </conditionalFormatting>
  <conditionalFormatting sqref="J74">
    <cfRule type="containsText" dxfId="4" priority="11866" operator="containsText" text="등록">
      <formula>NOT(ISERROR(SEARCH(("등록"),(J74))))</formula>
    </cfRule>
  </conditionalFormatting>
  <conditionalFormatting sqref="J74">
    <cfRule type="containsText" dxfId="0" priority="11867" operator="containsText" text="거부">
      <formula>NOT(ISERROR(SEARCH(("거부"),(J74))))</formula>
    </cfRule>
  </conditionalFormatting>
  <conditionalFormatting sqref="J74">
    <cfRule type="containsText" dxfId="1" priority="11868" operator="containsText" text="리턴">
      <formula>NOT(ISERROR(SEARCH(("리턴"),(J74))))</formula>
    </cfRule>
  </conditionalFormatting>
  <conditionalFormatting sqref="J74">
    <cfRule type="containsText" dxfId="2" priority="11869" operator="containsText" text="실패">
      <formula>NOT(ISERROR(SEARCH(("실패"),(J74))))</formula>
    </cfRule>
  </conditionalFormatting>
  <conditionalFormatting sqref="J74">
    <cfRule type="containsText" dxfId="3" priority="11870" operator="containsText" text="관리">
      <formula>NOT(ISERROR(SEARCH(("관리"),(J74))))</formula>
    </cfRule>
  </conditionalFormatting>
  <conditionalFormatting sqref="J74">
    <cfRule type="containsText" dxfId="4" priority="11871" operator="containsText" text="등록">
      <formula>NOT(ISERROR(SEARCH(("등록"),(J74))))</formula>
    </cfRule>
  </conditionalFormatting>
  <conditionalFormatting sqref="A72">
    <cfRule type="containsText" dxfId="0" priority="11872" operator="containsText" text="거부">
      <formula>NOT(ISERROR(SEARCH(("거부"),(A72))))</formula>
    </cfRule>
  </conditionalFormatting>
  <conditionalFormatting sqref="A72">
    <cfRule type="containsText" dxfId="1" priority="11873" operator="containsText" text="리턴">
      <formula>NOT(ISERROR(SEARCH(("리턴"),(A72))))</formula>
    </cfRule>
  </conditionalFormatting>
  <conditionalFormatting sqref="A72">
    <cfRule type="containsText" dxfId="2" priority="11874" operator="containsText" text="실패">
      <formula>NOT(ISERROR(SEARCH(("실패"),(A72))))</formula>
    </cfRule>
  </conditionalFormatting>
  <conditionalFormatting sqref="A72">
    <cfRule type="containsText" dxfId="3" priority="11875" operator="containsText" text="관리">
      <formula>NOT(ISERROR(SEARCH(("관리"),(A72))))</formula>
    </cfRule>
  </conditionalFormatting>
  <conditionalFormatting sqref="A72">
    <cfRule type="containsText" dxfId="4" priority="11876" operator="containsText" text="등록">
      <formula>NOT(ISERROR(SEARCH(("등록"),(A72))))</formula>
    </cfRule>
  </conditionalFormatting>
  <conditionalFormatting sqref="A72">
    <cfRule type="containsText" dxfId="0" priority="11877" operator="containsText" text="거부">
      <formula>NOT(ISERROR(SEARCH(("거부"),(A72))))</formula>
    </cfRule>
  </conditionalFormatting>
  <conditionalFormatting sqref="A72">
    <cfRule type="containsText" dxfId="1" priority="11878" operator="containsText" text="리턴">
      <formula>NOT(ISERROR(SEARCH(("리턴"),(A72))))</formula>
    </cfRule>
  </conditionalFormatting>
  <conditionalFormatting sqref="A72">
    <cfRule type="containsText" dxfId="2" priority="11879" operator="containsText" text="실패">
      <formula>NOT(ISERROR(SEARCH(("실패"),(A72))))</formula>
    </cfRule>
  </conditionalFormatting>
  <conditionalFormatting sqref="A72">
    <cfRule type="containsText" dxfId="3" priority="11880" operator="containsText" text="관리">
      <formula>NOT(ISERROR(SEARCH(("관리"),(A72))))</formula>
    </cfRule>
  </conditionalFormatting>
  <conditionalFormatting sqref="A72">
    <cfRule type="containsText" dxfId="4" priority="11881" operator="containsText" text="등록">
      <formula>NOT(ISERROR(SEARCH(("등록"),(A72))))</formula>
    </cfRule>
  </conditionalFormatting>
  <conditionalFormatting sqref="J76">
    <cfRule type="containsText" dxfId="0" priority="11882" operator="containsText" text="거부">
      <formula>NOT(ISERROR(SEARCH(("거부"),(J76))))</formula>
    </cfRule>
  </conditionalFormatting>
  <conditionalFormatting sqref="J76">
    <cfRule type="containsText" dxfId="1" priority="11883" operator="containsText" text="리턴">
      <formula>NOT(ISERROR(SEARCH(("리턴"),(J76))))</formula>
    </cfRule>
  </conditionalFormatting>
  <conditionalFormatting sqref="J76">
    <cfRule type="containsText" dxfId="2" priority="11884" operator="containsText" text="실패">
      <formula>NOT(ISERROR(SEARCH(("실패"),(J76))))</formula>
    </cfRule>
  </conditionalFormatting>
  <conditionalFormatting sqref="J76">
    <cfRule type="containsText" dxfId="3" priority="11885" operator="containsText" text="관리">
      <formula>NOT(ISERROR(SEARCH(("관리"),(J76))))</formula>
    </cfRule>
  </conditionalFormatting>
  <conditionalFormatting sqref="J76">
    <cfRule type="containsText" dxfId="4" priority="11886" operator="containsText" text="등록">
      <formula>NOT(ISERROR(SEARCH(("등록"),(J76))))</formula>
    </cfRule>
  </conditionalFormatting>
  <conditionalFormatting sqref="A76">
    <cfRule type="containsText" dxfId="0" priority="11887" operator="containsText" text="거부">
      <formula>NOT(ISERROR(SEARCH(("거부"),(A76))))</formula>
    </cfRule>
  </conditionalFormatting>
  <conditionalFormatting sqref="A76">
    <cfRule type="containsText" dxfId="1" priority="11888" operator="containsText" text="리턴">
      <formula>NOT(ISERROR(SEARCH(("리턴"),(A76))))</formula>
    </cfRule>
  </conditionalFormatting>
  <conditionalFormatting sqref="A76">
    <cfRule type="containsText" dxfId="2" priority="11889" operator="containsText" text="실패">
      <formula>NOT(ISERROR(SEARCH(("실패"),(A76))))</formula>
    </cfRule>
  </conditionalFormatting>
  <conditionalFormatting sqref="A76">
    <cfRule type="containsText" dxfId="3" priority="11890" operator="containsText" text="관리">
      <formula>NOT(ISERROR(SEARCH(("관리"),(A76))))</formula>
    </cfRule>
  </conditionalFormatting>
  <conditionalFormatting sqref="A76">
    <cfRule type="containsText" dxfId="4" priority="11891" operator="containsText" text="등록">
      <formula>NOT(ISERROR(SEARCH(("등록"),(A76))))</formula>
    </cfRule>
  </conditionalFormatting>
  <conditionalFormatting sqref="A76">
    <cfRule type="containsText" dxfId="0" priority="11892" operator="containsText" text="거부">
      <formula>NOT(ISERROR(SEARCH(("거부"),(A76))))</formula>
    </cfRule>
  </conditionalFormatting>
  <conditionalFormatting sqref="A76">
    <cfRule type="containsText" dxfId="1" priority="11893" operator="containsText" text="리턴">
      <formula>NOT(ISERROR(SEARCH(("리턴"),(A76))))</formula>
    </cfRule>
  </conditionalFormatting>
  <conditionalFormatting sqref="A76">
    <cfRule type="containsText" dxfId="2" priority="11894" operator="containsText" text="실패">
      <formula>NOT(ISERROR(SEARCH(("실패"),(A76))))</formula>
    </cfRule>
  </conditionalFormatting>
  <conditionalFormatting sqref="A76">
    <cfRule type="containsText" dxfId="3" priority="11895" operator="containsText" text="관리">
      <formula>NOT(ISERROR(SEARCH(("관리"),(A76))))</formula>
    </cfRule>
  </conditionalFormatting>
  <conditionalFormatting sqref="A76">
    <cfRule type="containsText" dxfId="4" priority="11896" operator="containsText" text="등록">
      <formula>NOT(ISERROR(SEARCH(("등록"),(A76))))</formula>
    </cfRule>
  </conditionalFormatting>
  <conditionalFormatting sqref="A77">
    <cfRule type="containsText" dxfId="0" priority="11897" operator="containsText" text="거부">
      <formula>NOT(ISERROR(SEARCH(("거부"),(A77))))</formula>
    </cfRule>
  </conditionalFormatting>
  <conditionalFormatting sqref="A77">
    <cfRule type="containsText" dxfId="1" priority="11898" operator="containsText" text="리턴">
      <formula>NOT(ISERROR(SEARCH(("리턴"),(A77))))</formula>
    </cfRule>
  </conditionalFormatting>
  <conditionalFormatting sqref="A77">
    <cfRule type="containsText" dxfId="2" priority="11899" operator="containsText" text="실패">
      <formula>NOT(ISERROR(SEARCH(("실패"),(A77))))</formula>
    </cfRule>
  </conditionalFormatting>
  <conditionalFormatting sqref="A77">
    <cfRule type="containsText" dxfId="3" priority="11900" operator="containsText" text="관리">
      <formula>NOT(ISERROR(SEARCH(("관리"),(A77))))</formula>
    </cfRule>
  </conditionalFormatting>
  <conditionalFormatting sqref="A77">
    <cfRule type="containsText" dxfId="4" priority="11901" operator="containsText" text="등록">
      <formula>NOT(ISERROR(SEARCH(("등록"),(A77))))</formula>
    </cfRule>
  </conditionalFormatting>
  <conditionalFormatting sqref="D77">
    <cfRule type="containsText" dxfId="0" priority="11902" operator="containsText" text="거부">
      <formula>NOT(ISERROR(SEARCH(("거부"),(D77))))</formula>
    </cfRule>
  </conditionalFormatting>
  <conditionalFormatting sqref="D77">
    <cfRule type="containsText" dxfId="1" priority="11903" operator="containsText" text="리턴">
      <formula>NOT(ISERROR(SEARCH(("리턴"),(D77))))</formula>
    </cfRule>
  </conditionalFormatting>
  <conditionalFormatting sqref="D77">
    <cfRule type="containsText" dxfId="2" priority="11904" operator="containsText" text="실패">
      <formula>NOT(ISERROR(SEARCH(("실패"),(D77))))</formula>
    </cfRule>
  </conditionalFormatting>
  <conditionalFormatting sqref="D77">
    <cfRule type="containsText" dxfId="3" priority="11905" operator="containsText" text="관리">
      <formula>NOT(ISERROR(SEARCH(("관리"),(D77))))</formula>
    </cfRule>
  </conditionalFormatting>
  <conditionalFormatting sqref="D77">
    <cfRule type="containsText" dxfId="4" priority="11906" operator="containsText" text="등록">
      <formula>NOT(ISERROR(SEARCH(("등록"),(D77))))</formula>
    </cfRule>
  </conditionalFormatting>
  <conditionalFormatting sqref="D77">
    <cfRule type="containsText" dxfId="0" priority="11907" operator="containsText" text="거부">
      <formula>NOT(ISERROR(SEARCH(("거부"),(D77))))</formula>
    </cfRule>
  </conditionalFormatting>
  <conditionalFormatting sqref="D77">
    <cfRule type="containsText" dxfId="1" priority="11908" operator="containsText" text="리턴">
      <formula>NOT(ISERROR(SEARCH(("리턴"),(D77))))</formula>
    </cfRule>
  </conditionalFormatting>
  <conditionalFormatting sqref="D77">
    <cfRule type="containsText" dxfId="2" priority="11909" operator="containsText" text="실패">
      <formula>NOT(ISERROR(SEARCH(("실패"),(D77))))</formula>
    </cfRule>
  </conditionalFormatting>
  <conditionalFormatting sqref="D77">
    <cfRule type="containsText" dxfId="3" priority="11910" operator="containsText" text="관리">
      <formula>NOT(ISERROR(SEARCH(("관리"),(D77))))</formula>
    </cfRule>
  </conditionalFormatting>
  <conditionalFormatting sqref="D77">
    <cfRule type="containsText" dxfId="4" priority="11911" operator="containsText" text="등록">
      <formula>NOT(ISERROR(SEARCH(("등록"),(D77))))</formula>
    </cfRule>
  </conditionalFormatting>
  <conditionalFormatting sqref="D77">
    <cfRule type="containsText" dxfId="0" priority="11912" operator="containsText" text="거부">
      <formula>NOT(ISERROR(SEARCH(("거부"),(D77))))</formula>
    </cfRule>
  </conditionalFormatting>
  <conditionalFormatting sqref="D77">
    <cfRule type="containsText" dxfId="1" priority="11913" operator="containsText" text="리턴">
      <formula>NOT(ISERROR(SEARCH(("리턴"),(D77))))</formula>
    </cfRule>
  </conditionalFormatting>
  <conditionalFormatting sqref="D77">
    <cfRule type="containsText" dxfId="2" priority="11914" operator="containsText" text="실패">
      <formula>NOT(ISERROR(SEARCH(("실패"),(D77))))</formula>
    </cfRule>
  </conditionalFormatting>
  <conditionalFormatting sqref="D77">
    <cfRule type="containsText" dxfId="3" priority="11915" operator="containsText" text="관리">
      <formula>NOT(ISERROR(SEARCH(("관리"),(D77))))</formula>
    </cfRule>
  </conditionalFormatting>
  <conditionalFormatting sqref="D77">
    <cfRule type="containsText" dxfId="4" priority="11916" operator="containsText" text="등록">
      <formula>NOT(ISERROR(SEARCH(("등록"),(D77))))</formula>
    </cfRule>
  </conditionalFormatting>
  <conditionalFormatting sqref="D77">
    <cfRule type="containsText" dxfId="0" priority="11917" operator="containsText" text="거부">
      <formula>NOT(ISERROR(SEARCH(("거부"),(D77))))</formula>
    </cfRule>
  </conditionalFormatting>
  <conditionalFormatting sqref="D77">
    <cfRule type="containsText" dxfId="1" priority="11918" operator="containsText" text="리턴">
      <formula>NOT(ISERROR(SEARCH(("리턴"),(D77))))</formula>
    </cfRule>
  </conditionalFormatting>
  <conditionalFormatting sqref="D77">
    <cfRule type="containsText" dxfId="2" priority="11919" operator="containsText" text="실패">
      <formula>NOT(ISERROR(SEARCH(("실패"),(D77))))</formula>
    </cfRule>
  </conditionalFormatting>
  <conditionalFormatting sqref="D77">
    <cfRule type="containsText" dxfId="3" priority="11920" operator="containsText" text="관리">
      <formula>NOT(ISERROR(SEARCH(("관리"),(D77))))</formula>
    </cfRule>
  </conditionalFormatting>
  <conditionalFormatting sqref="D77">
    <cfRule type="containsText" dxfId="4" priority="11921" operator="containsText" text="등록">
      <formula>NOT(ISERROR(SEARCH(("등록"),(D77))))</formula>
    </cfRule>
  </conditionalFormatting>
  <conditionalFormatting sqref="D77">
    <cfRule type="containsText" dxfId="0" priority="11922" operator="containsText" text="거부">
      <formula>NOT(ISERROR(SEARCH(("거부"),(D77))))</formula>
    </cfRule>
  </conditionalFormatting>
  <conditionalFormatting sqref="D77">
    <cfRule type="containsText" dxfId="1" priority="11923" operator="containsText" text="리턴">
      <formula>NOT(ISERROR(SEARCH(("리턴"),(D77))))</formula>
    </cfRule>
  </conditionalFormatting>
  <conditionalFormatting sqref="D77">
    <cfRule type="containsText" dxfId="2" priority="11924" operator="containsText" text="실패">
      <formula>NOT(ISERROR(SEARCH(("실패"),(D77))))</formula>
    </cfRule>
  </conditionalFormatting>
  <conditionalFormatting sqref="D77">
    <cfRule type="containsText" dxfId="3" priority="11925" operator="containsText" text="관리">
      <formula>NOT(ISERROR(SEARCH(("관리"),(D77))))</formula>
    </cfRule>
  </conditionalFormatting>
  <conditionalFormatting sqref="D77">
    <cfRule type="containsText" dxfId="4" priority="11926" operator="containsText" text="등록">
      <formula>NOT(ISERROR(SEARCH(("등록"),(D77))))</formula>
    </cfRule>
  </conditionalFormatting>
  <conditionalFormatting sqref="D77">
    <cfRule type="containsText" dxfId="0" priority="11927" operator="containsText" text="거부">
      <formula>NOT(ISERROR(SEARCH(("거부"),(D77))))</formula>
    </cfRule>
  </conditionalFormatting>
  <conditionalFormatting sqref="D77">
    <cfRule type="containsText" dxfId="1" priority="11928" operator="containsText" text="리턴">
      <formula>NOT(ISERROR(SEARCH(("리턴"),(D77))))</formula>
    </cfRule>
  </conditionalFormatting>
  <conditionalFormatting sqref="D77">
    <cfRule type="containsText" dxfId="2" priority="11929" operator="containsText" text="실패">
      <formula>NOT(ISERROR(SEARCH(("실패"),(D77))))</formula>
    </cfRule>
  </conditionalFormatting>
  <conditionalFormatting sqref="D77">
    <cfRule type="containsText" dxfId="3" priority="11930" operator="containsText" text="관리">
      <formula>NOT(ISERROR(SEARCH(("관리"),(D77))))</formula>
    </cfRule>
  </conditionalFormatting>
  <conditionalFormatting sqref="D77">
    <cfRule type="containsText" dxfId="4" priority="11931" operator="containsText" text="등록">
      <formula>NOT(ISERROR(SEARCH(("등록"),(D77))))</formula>
    </cfRule>
  </conditionalFormatting>
  <conditionalFormatting sqref="J77">
    <cfRule type="containsText" dxfId="0" priority="11932" operator="containsText" text="거부">
      <formula>NOT(ISERROR(SEARCH(("거부"),(J77))))</formula>
    </cfRule>
  </conditionalFormatting>
  <conditionalFormatting sqref="J77">
    <cfRule type="containsText" dxfId="1" priority="11933" operator="containsText" text="리턴">
      <formula>NOT(ISERROR(SEARCH(("리턴"),(J77))))</formula>
    </cfRule>
  </conditionalFormatting>
  <conditionalFormatting sqref="J77">
    <cfRule type="containsText" dxfId="2" priority="11934" operator="containsText" text="실패">
      <formula>NOT(ISERROR(SEARCH(("실패"),(J77))))</formula>
    </cfRule>
  </conditionalFormatting>
  <conditionalFormatting sqref="J77">
    <cfRule type="containsText" dxfId="3" priority="11935" operator="containsText" text="관리">
      <formula>NOT(ISERROR(SEARCH(("관리"),(J77))))</formula>
    </cfRule>
  </conditionalFormatting>
  <conditionalFormatting sqref="J77">
    <cfRule type="containsText" dxfId="4" priority="11936" operator="containsText" text="등록">
      <formula>NOT(ISERROR(SEARCH(("등록"),(J77))))</formula>
    </cfRule>
  </conditionalFormatting>
  <conditionalFormatting sqref="J74">
    <cfRule type="containsText" dxfId="0" priority="11937" operator="containsText" text="거부">
      <formula>NOT(ISERROR(SEARCH(("거부"),(J74))))</formula>
    </cfRule>
  </conditionalFormatting>
  <conditionalFormatting sqref="J74">
    <cfRule type="containsText" dxfId="1" priority="11938" operator="containsText" text="리턴">
      <formula>NOT(ISERROR(SEARCH(("리턴"),(J74))))</formula>
    </cfRule>
  </conditionalFormatting>
  <conditionalFormatting sqref="J74">
    <cfRule type="containsText" dxfId="2" priority="11939" operator="containsText" text="실패">
      <formula>NOT(ISERROR(SEARCH(("실패"),(J74))))</formula>
    </cfRule>
  </conditionalFormatting>
  <conditionalFormatting sqref="J74">
    <cfRule type="containsText" dxfId="3" priority="11940" operator="containsText" text="관리">
      <formula>NOT(ISERROR(SEARCH(("관리"),(J74))))</formula>
    </cfRule>
  </conditionalFormatting>
  <conditionalFormatting sqref="J74">
    <cfRule type="containsText" dxfId="4" priority="11941" operator="containsText" text="등록">
      <formula>NOT(ISERROR(SEARCH(("등록"),(J74))))</formula>
    </cfRule>
  </conditionalFormatting>
  <conditionalFormatting sqref="A74">
    <cfRule type="containsText" dxfId="0" priority="11942" operator="containsText" text="거부">
      <formula>NOT(ISERROR(SEARCH(("거부"),(A74))))</formula>
    </cfRule>
  </conditionalFormatting>
  <conditionalFormatting sqref="A74">
    <cfRule type="containsText" dxfId="1" priority="11943" operator="containsText" text="리턴">
      <formula>NOT(ISERROR(SEARCH(("리턴"),(A74))))</formula>
    </cfRule>
  </conditionalFormatting>
  <conditionalFormatting sqref="A74">
    <cfRule type="containsText" dxfId="2" priority="11944" operator="containsText" text="실패">
      <formula>NOT(ISERROR(SEARCH(("실패"),(A74))))</formula>
    </cfRule>
  </conditionalFormatting>
  <conditionalFormatting sqref="A74">
    <cfRule type="containsText" dxfId="3" priority="11945" operator="containsText" text="관리">
      <formula>NOT(ISERROR(SEARCH(("관리"),(A74))))</formula>
    </cfRule>
  </conditionalFormatting>
  <conditionalFormatting sqref="A74">
    <cfRule type="containsText" dxfId="4" priority="11946" operator="containsText" text="등록">
      <formula>NOT(ISERROR(SEARCH(("등록"),(A74))))</formula>
    </cfRule>
  </conditionalFormatting>
  <conditionalFormatting sqref="F75 H75">
    <cfRule type="containsText" dxfId="0" priority="11947" operator="containsText" text="거부">
      <formula>NOT(ISERROR(SEARCH(("거부"),(F75))))</formula>
    </cfRule>
  </conditionalFormatting>
  <conditionalFormatting sqref="F75 H75">
    <cfRule type="containsText" dxfId="1" priority="11948" operator="containsText" text="리턴">
      <formula>NOT(ISERROR(SEARCH(("리턴"),(F75))))</formula>
    </cfRule>
  </conditionalFormatting>
  <conditionalFormatting sqref="F75 H75">
    <cfRule type="containsText" dxfId="2" priority="11949" operator="containsText" text="실패">
      <formula>NOT(ISERROR(SEARCH(("실패"),(F75))))</formula>
    </cfRule>
  </conditionalFormatting>
  <conditionalFormatting sqref="F75 H75">
    <cfRule type="containsText" dxfId="3" priority="11950" operator="containsText" text="관리">
      <formula>NOT(ISERROR(SEARCH(("관리"),(F75))))</formula>
    </cfRule>
  </conditionalFormatting>
  <conditionalFormatting sqref="F75 H75">
    <cfRule type="containsText" dxfId="4" priority="11951" operator="containsText" text="등록">
      <formula>NOT(ISERROR(SEARCH(("등록"),(F75))))</formula>
    </cfRule>
  </conditionalFormatting>
  <conditionalFormatting sqref="H76">
    <cfRule type="containsText" dxfId="0" priority="11952" operator="containsText" text="거부">
      <formula>NOT(ISERROR(SEARCH(("거부"),(H76))))</formula>
    </cfRule>
  </conditionalFormatting>
  <conditionalFormatting sqref="H76">
    <cfRule type="containsText" dxfId="1" priority="11953" operator="containsText" text="리턴">
      <formula>NOT(ISERROR(SEARCH(("리턴"),(H76))))</formula>
    </cfRule>
  </conditionalFormatting>
  <conditionalFormatting sqref="H76">
    <cfRule type="containsText" dxfId="2" priority="11954" operator="containsText" text="실패">
      <formula>NOT(ISERROR(SEARCH(("실패"),(H76))))</formula>
    </cfRule>
  </conditionalFormatting>
  <conditionalFormatting sqref="H76">
    <cfRule type="containsText" dxfId="3" priority="11955" operator="containsText" text="관리">
      <formula>NOT(ISERROR(SEARCH(("관리"),(H76))))</formula>
    </cfRule>
  </conditionalFormatting>
  <conditionalFormatting sqref="H76">
    <cfRule type="containsText" dxfId="4" priority="11956" operator="containsText" text="등록">
      <formula>NOT(ISERROR(SEARCH(("등록"),(H76))))</formula>
    </cfRule>
  </conditionalFormatting>
  <conditionalFormatting sqref="A77">
    <cfRule type="containsText" dxfId="0" priority="11957" operator="containsText" text="거부">
      <formula>NOT(ISERROR(SEARCH(("거부"),(A77))))</formula>
    </cfRule>
  </conditionalFormatting>
  <conditionalFormatting sqref="A77">
    <cfRule type="containsText" dxfId="1" priority="11958" operator="containsText" text="리턴">
      <formula>NOT(ISERROR(SEARCH(("리턴"),(A77))))</formula>
    </cfRule>
  </conditionalFormatting>
  <conditionalFormatting sqref="A77">
    <cfRule type="containsText" dxfId="2" priority="11959" operator="containsText" text="실패">
      <formula>NOT(ISERROR(SEARCH(("실패"),(A77))))</formula>
    </cfRule>
  </conditionalFormatting>
  <conditionalFormatting sqref="A77">
    <cfRule type="containsText" dxfId="3" priority="11960" operator="containsText" text="관리">
      <formula>NOT(ISERROR(SEARCH(("관리"),(A77))))</formula>
    </cfRule>
  </conditionalFormatting>
  <conditionalFormatting sqref="A77">
    <cfRule type="containsText" dxfId="4" priority="11961" operator="containsText" text="등록">
      <formula>NOT(ISERROR(SEARCH(("등록"),(A77))))</formula>
    </cfRule>
  </conditionalFormatting>
  <conditionalFormatting sqref="F77 H77">
    <cfRule type="containsText" dxfId="0" priority="11962" operator="containsText" text="거부">
      <formula>NOT(ISERROR(SEARCH(("거부"),(F77))))</formula>
    </cfRule>
  </conditionalFormatting>
  <conditionalFormatting sqref="F77 H77">
    <cfRule type="containsText" dxfId="1" priority="11963" operator="containsText" text="리턴">
      <formula>NOT(ISERROR(SEARCH(("리턴"),(F77))))</formula>
    </cfRule>
  </conditionalFormatting>
  <conditionalFormatting sqref="F77 H77">
    <cfRule type="containsText" dxfId="2" priority="11964" operator="containsText" text="실패">
      <formula>NOT(ISERROR(SEARCH(("실패"),(F77))))</formula>
    </cfRule>
  </conditionalFormatting>
  <conditionalFormatting sqref="F77 H77">
    <cfRule type="containsText" dxfId="3" priority="11965" operator="containsText" text="관리">
      <formula>NOT(ISERROR(SEARCH(("관리"),(F77))))</formula>
    </cfRule>
  </conditionalFormatting>
  <conditionalFormatting sqref="F77 H77">
    <cfRule type="containsText" dxfId="4" priority="11966" operator="containsText" text="등록">
      <formula>NOT(ISERROR(SEARCH(("등록"),(F77))))</formula>
    </cfRule>
  </conditionalFormatting>
  <conditionalFormatting sqref="G77">
    <cfRule type="containsText" dxfId="0" priority="11967" operator="containsText" text="거부">
      <formula>NOT(ISERROR(SEARCH(("거부"),(G77))))</formula>
    </cfRule>
  </conditionalFormatting>
  <conditionalFormatting sqref="G77">
    <cfRule type="containsText" dxfId="1" priority="11968" operator="containsText" text="리턴">
      <formula>NOT(ISERROR(SEARCH(("리턴"),(G77))))</formula>
    </cfRule>
  </conditionalFormatting>
  <conditionalFormatting sqref="G77">
    <cfRule type="containsText" dxfId="2" priority="11969" operator="containsText" text="실패">
      <formula>NOT(ISERROR(SEARCH(("실패"),(G77))))</formula>
    </cfRule>
  </conditionalFormatting>
  <conditionalFormatting sqref="G77">
    <cfRule type="containsText" dxfId="3" priority="11970" operator="containsText" text="관리">
      <formula>NOT(ISERROR(SEARCH(("관리"),(G77))))</formula>
    </cfRule>
  </conditionalFormatting>
  <conditionalFormatting sqref="G77">
    <cfRule type="containsText" dxfId="4" priority="11971" operator="containsText" text="등록">
      <formula>NOT(ISERROR(SEARCH(("등록"),(G77))))</formula>
    </cfRule>
  </conditionalFormatting>
  <conditionalFormatting sqref="J77">
    <cfRule type="containsText" dxfId="0" priority="11972" operator="containsText" text="거부">
      <formula>NOT(ISERROR(SEARCH(("거부"),(J77))))</formula>
    </cfRule>
  </conditionalFormatting>
  <conditionalFormatting sqref="J77">
    <cfRule type="containsText" dxfId="1" priority="11973" operator="containsText" text="리턴">
      <formula>NOT(ISERROR(SEARCH(("리턴"),(J77))))</formula>
    </cfRule>
  </conditionalFormatting>
  <conditionalFormatting sqref="J77">
    <cfRule type="containsText" dxfId="2" priority="11974" operator="containsText" text="실패">
      <formula>NOT(ISERROR(SEARCH(("실패"),(J77))))</formula>
    </cfRule>
  </conditionalFormatting>
  <conditionalFormatting sqref="J77">
    <cfRule type="containsText" dxfId="3" priority="11975" operator="containsText" text="관리">
      <formula>NOT(ISERROR(SEARCH(("관리"),(J77))))</formula>
    </cfRule>
  </conditionalFormatting>
  <conditionalFormatting sqref="J77">
    <cfRule type="containsText" dxfId="4" priority="11976" operator="containsText" text="등록">
      <formula>NOT(ISERROR(SEARCH(("등록"),(J77))))</formula>
    </cfRule>
  </conditionalFormatting>
  <conditionalFormatting sqref="A69">
    <cfRule type="containsText" dxfId="0" priority="11977" operator="containsText" text="거부">
      <formula>NOT(ISERROR(SEARCH(("거부"),(A69))))</formula>
    </cfRule>
  </conditionalFormatting>
  <conditionalFormatting sqref="A69">
    <cfRule type="containsText" dxfId="1" priority="11978" operator="containsText" text="리턴">
      <formula>NOT(ISERROR(SEARCH(("리턴"),(A69))))</formula>
    </cfRule>
  </conditionalFormatting>
  <conditionalFormatting sqref="A69">
    <cfRule type="containsText" dxfId="2" priority="11979" operator="containsText" text="실패">
      <formula>NOT(ISERROR(SEARCH(("실패"),(A69))))</formula>
    </cfRule>
  </conditionalFormatting>
  <conditionalFormatting sqref="A69">
    <cfRule type="containsText" dxfId="3" priority="11980" operator="containsText" text="관리">
      <formula>NOT(ISERROR(SEARCH(("관리"),(A69))))</formula>
    </cfRule>
  </conditionalFormatting>
  <conditionalFormatting sqref="A69">
    <cfRule type="containsText" dxfId="4" priority="11981" operator="containsText" text="등록">
      <formula>NOT(ISERROR(SEARCH(("등록"),(A69))))</formula>
    </cfRule>
  </conditionalFormatting>
  <conditionalFormatting sqref="D68">
    <cfRule type="containsText" dxfId="0" priority="11982" operator="containsText" text="거부">
      <formula>NOT(ISERROR(SEARCH(("거부"),(D68))))</formula>
    </cfRule>
  </conditionalFormatting>
  <conditionalFormatting sqref="D68">
    <cfRule type="containsText" dxfId="1" priority="11983" operator="containsText" text="리턴">
      <formula>NOT(ISERROR(SEARCH(("리턴"),(D68))))</formula>
    </cfRule>
  </conditionalFormatting>
  <conditionalFormatting sqref="D68">
    <cfRule type="containsText" dxfId="2" priority="11984" operator="containsText" text="실패">
      <formula>NOT(ISERROR(SEARCH(("실패"),(D68))))</formula>
    </cfRule>
  </conditionalFormatting>
  <conditionalFormatting sqref="D68">
    <cfRule type="containsText" dxfId="3" priority="11985" operator="containsText" text="관리">
      <formula>NOT(ISERROR(SEARCH(("관리"),(D68))))</formula>
    </cfRule>
  </conditionalFormatting>
  <conditionalFormatting sqref="D68">
    <cfRule type="containsText" dxfId="4" priority="11986" operator="containsText" text="등록">
      <formula>NOT(ISERROR(SEARCH(("등록"),(D68))))</formula>
    </cfRule>
  </conditionalFormatting>
  <conditionalFormatting sqref="G68">
    <cfRule type="containsText" dxfId="0" priority="11987" operator="containsText" text="거부">
      <formula>NOT(ISERROR(SEARCH(("거부"),(G68))))</formula>
    </cfRule>
  </conditionalFormatting>
  <conditionalFormatting sqref="G68">
    <cfRule type="containsText" dxfId="1" priority="11988" operator="containsText" text="리턴">
      <formula>NOT(ISERROR(SEARCH(("리턴"),(G68))))</formula>
    </cfRule>
  </conditionalFormatting>
  <conditionalFormatting sqref="G68">
    <cfRule type="containsText" dxfId="2" priority="11989" operator="containsText" text="실패">
      <formula>NOT(ISERROR(SEARCH(("실패"),(G68))))</formula>
    </cfRule>
  </conditionalFormatting>
  <conditionalFormatting sqref="G68">
    <cfRule type="containsText" dxfId="3" priority="11990" operator="containsText" text="관리">
      <formula>NOT(ISERROR(SEARCH(("관리"),(G68))))</formula>
    </cfRule>
  </conditionalFormatting>
  <conditionalFormatting sqref="G68">
    <cfRule type="containsText" dxfId="4" priority="11991" operator="containsText" text="등록">
      <formula>NOT(ISERROR(SEARCH(("등록"),(G68))))</formula>
    </cfRule>
  </conditionalFormatting>
  <conditionalFormatting sqref="J68">
    <cfRule type="containsText" dxfId="0" priority="11992" operator="containsText" text="거부">
      <formula>NOT(ISERROR(SEARCH(("거부"),(J68))))</formula>
    </cfRule>
  </conditionalFormatting>
  <conditionalFormatting sqref="J68">
    <cfRule type="containsText" dxfId="1" priority="11993" operator="containsText" text="리턴">
      <formula>NOT(ISERROR(SEARCH(("리턴"),(J68))))</formula>
    </cfRule>
  </conditionalFormatting>
  <conditionalFormatting sqref="J68">
    <cfRule type="containsText" dxfId="2" priority="11994" operator="containsText" text="실패">
      <formula>NOT(ISERROR(SEARCH(("실패"),(J68))))</formula>
    </cfRule>
  </conditionalFormatting>
  <conditionalFormatting sqref="J68">
    <cfRule type="containsText" dxfId="3" priority="11995" operator="containsText" text="관리">
      <formula>NOT(ISERROR(SEARCH(("관리"),(J68))))</formula>
    </cfRule>
  </conditionalFormatting>
  <conditionalFormatting sqref="J68">
    <cfRule type="containsText" dxfId="4" priority="11996" operator="containsText" text="등록">
      <formula>NOT(ISERROR(SEARCH(("등록"),(J68))))</formula>
    </cfRule>
  </conditionalFormatting>
  <conditionalFormatting sqref="J67">
    <cfRule type="containsText" dxfId="0" priority="11997" operator="containsText" text="거부">
      <formula>NOT(ISERROR(SEARCH(("거부"),(J67))))</formula>
    </cfRule>
  </conditionalFormatting>
  <conditionalFormatting sqref="J67">
    <cfRule type="containsText" dxfId="1" priority="11998" operator="containsText" text="리턴">
      <formula>NOT(ISERROR(SEARCH(("리턴"),(J67))))</formula>
    </cfRule>
  </conditionalFormatting>
  <conditionalFormatting sqref="J67">
    <cfRule type="containsText" dxfId="2" priority="11999" operator="containsText" text="실패">
      <formula>NOT(ISERROR(SEARCH(("실패"),(J67))))</formula>
    </cfRule>
  </conditionalFormatting>
  <conditionalFormatting sqref="J67">
    <cfRule type="containsText" dxfId="3" priority="12000" operator="containsText" text="관리">
      <formula>NOT(ISERROR(SEARCH(("관리"),(J67))))</formula>
    </cfRule>
  </conditionalFormatting>
  <conditionalFormatting sqref="J67">
    <cfRule type="containsText" dxfId="4" priority="12001" operator="containsText" text="등록">
      <formula>NOT(ISERROR(SEARCH(("등록"),(J67))))</formula>
    </cfRule>
  </conditionalFormatting>
  <conditionalFormatting sqref="A69">
    <cfRule type="containsText" dxfId="0" priority="12002" operator="containsText" text="거부">
      <formula>NOT(ISERROR(SEARCH(("거부"),(A69))))</formula>
    </cfRule>
  </conditionalFormatting>
  <conditionalFormatting sqref="A69">
    <cfRule type="containsText" dxfId="1" priority="12003" operator="containsText" text="리턴">
      <formula>NOT(ISERROR(SEARCH(("리턴"),(A69))))</formula>
    </cfRule>
  </conditionalFormatting>
  <conditionalFormatting sqref="A69">
    <cfRule type="containsText" dxfId="2" priority="12004" operator="containsText" text="실패">
      <formula>NOT(ISERROR(SEARCH(("실패"),(A69))))</formula>
    </cfRule>
  </conditionalFormatting>
  <conditionalFormatting sqref="A69">
    <cfRule type="containsText" dxfId="3" priority="12005" operator="containsText" text="관리">
      <formula>NOT(ISERROR(SEARCH(("관리"),(A69))))</formula>
    </cfRule>
  </conditionalFormatting>
  <conditionalFormatting sqref="A69">
    <cfRule type="containsText" dxfId="4" priority="12006" operator="containsText" text="등록">
      <formula>NOT(ISERROR(SEARCH(("등록"),(A69))))</formula>
    </cfRule>
  </conditionalFormatting>
  <conditionalFormatting sqref="A67">
    <cfRule type="containsText" dxfId="0" priority="12007" operator="containsText" text="거부">
      <formula>NOT(ISERROR(SEARCH(("거부"),(A67))))</formula>
    </cfRule>
  </conditionalFormatting>
  <conditionalFormatting sqref="A67">
    <cfRule type="containsText" dxfId="1" priority="12008" operator="containsText" text="리턴">
      <formula>NOT(ISERROR(SEARCH(("리턴"),(A67))))</formula>
    </cfRule>
  </conditionalFormatting>
  <conditionalFormatting sqref="A67">
    <cfRule type="containsText" dxfId="2" priority="12009" operator="containsText" text="실패">
      <formula>NOT(ISERROR(SEARCH(("실패"),(A67))))</formula>
    </cfRule>
  </conditionalFormatting>
  <conditionalFormatting sqref="A67">
    <cfRule type="containsText" dxfId="3" priority="12010" operator="containsText" text="관리">
      <formula>NOT(ISERROR(SEARCH(("관리"),(A67))))</formula>
    </cfRule>
  </conditionalFormatting>
  <conditionalFormatting sqref="A67">
    <cfRule type="containsText" dxfId="4" priority="12011" operator="containsText" text="등록">
      <formula>NOT(ISERROR(SEARCH(("등록"),(A67))))</formula>
    </cfRule>
  </conditionalFormatting>
  <conditionalFormatting sqref="A67">
    <cfRule type="containsText" dxfId="0" priority="12012" operator="containsText" text="거부">
      <formula>NOT(ISERROR(SEARCH(("거부"),(A67))))</formula>
    </cfRule>
  </conditionalFormatting>
  <conditionalFormatting sqref="A67">
    <cfRule type="containsText" dxfId="1" priority="12013" operator="containsText" text="리턴">
      <formula>NOT(ISERROR(SEARCH(("리턴"),(A67))))</formula>
    </cfRule>
  </conditionalFormatting>
  <conditionalFormatting sqref="A67">
    <cfRule type="containsText" dxfId="2" priority="12014" operator="containsText" text="실패">
      <formula>NOT(ISERROR(SEARCH(("실패"),(A67))))</formula>
    </cfRule>
  </conditionalFormatting>
  <conditionalFormatting sqref="A67">
    <cfRule type="containsText" dxfId="3" priority="12015" operator="containsText" text="관리">
      <formula>NOT(ISERROR(SEARCH(("관리"),(A67))))</formula>
    </cfRule>
  </conditionalFormatting>
  <conditionalFormatting sqref="A67">
    <cfRule type="containsText" dxfId="4" priority="12016" operator="containsText" text="등록">
      <formula>NOT(ISERROR(SEARCH(("등록"),(A67))))</formula>
    </cfRule>
  </conditionalFormatting>
  <conditionalFormatting sqref="G67">
    <cfRule type="containsText" dxfId="0" priority="12017" operator="containsText" text="거부">
      <formula>NOT(ISERROR(SEARCH(("거부"),(G67))))</formula>
    </cfRule>
  </conditionalFormatting>
  <conditionalFormatting sqref="G67">
    <cfRule type="containsText" dxfId="1" priority="12018" operator="containsText" text="리턴">
      <formula>NOT(ISERROR(SEARCH(("리턴"),(G67))))</formula>
    </cfRule>
  </conditionalFormatting>
  <conditionalFormatting sqref="G67">
    <cfRule type="containsText" dxfId="2" priority="12019" operator="containsText" text="실패">
      <formula>NOT(ISERROR(SEARCH(("실패"),(G67))))</formula>
    </cfRule>
  </conditionalFormatting>
  <conditionalFormatting sqref="G67">
    <cfRule type="containsText" dxfId="3" priority="12020" operator="containsText" text="관리">
      <formula>NOT(ISERROR(SEARCH(("관리"),(G67))))</formula>
    </cfRule>
  </conditionalFormatting>
  <conditionalFormatting sqref="G67">
    <cfRule type="containsText" dxfId="4" priority="12021" operator="containsText" text="등록">
      <formula>NOT(ISERROR(SEARCH(("등록"),(G67))))</formula>
    </cfRule>
  </conditionalFormatting>
  <conditionalFormatting sqref="A68">
    <cfRule type="containsText" dxfId="0" priority="12022" operator="containsText" text="거부">
      <formula>NOT(ISERROR(SEARCH(("거부"),(A68))))</formula>
    </cfRule>
  </conditionalFormatting>
  <conditionalFormatting sqref="A68">
    <cfRule type="containsText" dxfId="1" priority="12023" operator="containsText" text="리턴">
      <formula>NOT(ISERROR(SEARCH(("리턴"),(A68))))</formula>
    </cfRule>
  </conditionalFormatting>
  <conditionalFormatting sqref="A68">
    <cfRule type="containsText" dxfId="2" priority="12024" operator="containsText" text="실패">
      <formula>NOT(ISERROR(SEARCH(("실패"),(A68))))</formula>
    </cfRule>
  </conditionalFormatting>
  <conditionalFormatting sqref="A68">
    <cfRule type="containsText" dxfId="3" priority="12025" operator="containsText" text="관리">
      <formula>NOT(ISERROR(SEARCH(("관리"),(A68))))</formula>
    </cfRule>
  </conditionalFormatting>
  <conditionalFormatting sqref="A68">
    <cfRule type="containsText" dxfId="4" priority="12026" operator="containsText" text="등록">
      <formula>NOT(ISERROR(SEARCH(("등록"),(A68))))</formula>
    </cfRule>
  </conditionalFormatting>
  <conditionalFormatting sqref="F68">
    <cfRule type="containsText" dxfId="0" priority="12027" operator="containsText" text="거부">
      <formula>NOT(ISERROR(SEARCH(("거부"),(F68))))</formula>
    </cfRule>
  </conditionalFormatting>
  <conditionalFormatting sqref="F68">
    <cfRule type="containsText" dxfId="1" priority="12028" operator="containsText" text="리턴">
      <formula>NOT(ISERROR(SEARCH(("리턴"),(F68))))</formula>
    </cfRule>
  </conditionalFormatting>
  <conditionalFormatting sqref="F68">
    <cfRule type="containsText" dxfId="2" priority="12029" operator="containsText" text="실패">
      <formula>NOT(ISERROR(SEARCH(("실패"),(F68))))</formula>
    </cfRule>
  </conditionalFormatting>
  <conditionalFormatting sqref="F68">
    <cfRule type="containsText" dxfId="3" priority="12030" operator="containsText" text="관리">
      <formula>NOT(ISERROR(SEARCH(("관리"),(F68))))</formula>
    </cfRule>
  </conditionalFormatting>
  <conditionalFormatting sqref="F68">
    <cfRule type="containsText" dxfId="4" priority="12031" operator="containsText" text="등록">
      <formula>NOT(ISERROR(SEARCH(("등록"),(F68))))</formula>
    </cfRule>
  </conditionalFormatting>
  <conditionalFormatting sqref="D69">
    <cfRule type="containsText" dxfId="0" priority="12032" operator="containsText" text="거부">
      <formula>NOT(ISERROR(SEARCH(("거부"),(D69))))</formula>
    </cfRule>
  </conditionalFormatting>
  <conditionalFormatting sqref="D69">
    <cfRule type="containsText" dxfId="1" priority="12033" operator="containsText" text="리턴">
      <formula>NOT(ISERROR(SEARCH(("리턴"),(D69))))</formula>
    </cfRule>
  </conditionalFormatting>
  <conditionalFormatting sqref="D69">
    <cfRule type="containsText" dxfId="2" priority="12034" operator="containsText" text="실패">
      <formula>NOT(ISERROR(SEARCH(("실패"),(D69))))</formula>
    </cfRule>
  </conditionalFormatting>
  <conditionalFormatting sqref="D69">
    <cfRule type="containsText" dxfId="3" priority="12035" operator="containsText" text="관리">
      <formula>NOT(ISERROR(SEARCH(("관리"),(D69))))</formula>
    </cfRule>
  </conditionalFormatting>
  <conditionalFormatting sqref="D69">
    <cfRule type="containsText" dxfId="4" priority="12036" operator="containsText" text="등록">
      <formula>NOT(ISERROR(SEARCH(("등록"),(D69))))</formula>
    </cfRule>
  </conditionalFormatting>
  <conditionalFormatting sqref="D69">
    <cfRule type="containsText" dxfId="0" priority="12037" operator="containsText" text="거부">
      <formula>NOT(ISERROR(SEARCH(("거부"),(D69))))</formula>
    </cfRule>
  </conditionalFormatting>
  <conditionalFormatting sqref="D69">
    <cfRule type="containsText" dxfId="1" priority="12038" operator="containsText" text="리턴">
      <formula>NOT(ISERROR(SEARCH(("리턴"),(D69))))</formula>
    </cfRule>
  </conditionalFormatting>
  <conditionalFormatting sqref="D69">
    <cfRule type="containsText" dxfId="2" priority="12039" operator="containsText" text="실패">
      <formula>NOT(ISERROR(SEARCH(("실패"),(D69))))</formula>
    </cfRule>
  </conditionalFormatting>
  <conditionalFormatting sqref="D69">
    <cfRule type="containsText" dxfId="3" priority="12040" operator="containsText" text="관리">
      <formula>NOT(ISERROR(SEARCH(("관리"),(D69))))</formula>
    </cfRule>
  </conditionalFormatting>
  <conditionalFormatting sqref="D69">
    <cfRule type="containsText" dxfId="4" priority="12041" operator="containsText" text="등록">
      <formula>NOT(ISERROR(SEARCH(("등록"),(D69))))</formula>
    </cfRule>
  </conditionalFormatting>
  <conditionalFormatting sqref="E69">
    <cfRule type="containsText" dxfId="0" priority="12042" operator="containsText" text="거부">
      <formula>NOT(ISERROR(SEARCH(("거부"),(E69))))</formula>
    </cfRule>
  </conditionalFormatting>
  <conditionalFormatting sqref="E69">
    <cfRule type="containsText" dxfId="1" priority="12043" operator="containsText" text="리턴">
      <formula>NOT(ISERROR(SEARCH(("리턴"),(E69))))</formula>
    </cfRule>
  </conditionalFormatting>
  <conditionalFormatting sqref="E69">
    <cfRule type="containsText" dxfId="2" priority="12044" operator="containsText" text="실패">
      <formula>NOT(ISERROR(SEARCH(("실패"),(E69))))</formula>
    </cfRule>
  </conditionalFormatting>
  <conditionalFormatting sqref="E69">
    <cfRule type="containsText" dxfId="3" priority="12045" operator="containsText" text="관리">
      <formula>NOT(ISERROR(SEARCH(("관리"),(E69))))</formula>
    </cfRule>
  </conditionalFormatting>
  <conditionalFormatting sqref="E69">
    <cfRule type="containsText" dxfId="4" priority="12046" operator="containsText" text="등록">
      <formula>NOT(ISERROR(SEARCH(("등록"),(E69))))</formula>
    </cfRule>
  </conditionalFormatting>
  <conditionalFormatting sqref="J69">
    <cfRule type="containsText" dxfId="0" priority="12047" operator="containsText" text="거부">
      <formula>NOT(ISERROR(SEARCH(("거부"),(J69))))</formula>
    </cfRule>
  </conditionalFormatting>
  <conditionalFormatting sqref="J69">
    <cfRule type="containsText" dxfId="1" priority="12048" operator="containsText" text="리턴">
      <formula>NOT(ISERROR(SEARCH(("리턴"),(J69))))</formula>
    </cfRule>
  </conditionalFormatting>
  <conditionalFormatting sqref="J69">
    <cfRule type="containsText" dxfId="2" priority="12049" operator="containsText" text="실패">
      <formula>NOT(ISERROR(SEARCH(("실패"),(J69))))</formula>
    </cfRule>
  </conditionalFormatting>
  <conditionalFormatting sqref="J69">
    <cfRule type="containsText" dxfId="3" priority="12050" operator="containsText" text="관리">
      <formula>NOT(ISERROR(SEARCH(("관리"),(J69))))</formula>
    </cfRule>
  </conditionalFormatting>
  <conditionalFormatting sqref="J69">
    <cfRule type="containsText" dxfId="4" priority="12051" operator="containsText" text="등록">
      <formula>NOT(ISERROR(SEARCH(("등록"),(J69))))</formula>
    </cfRule>
  </conditionalFormatting>
  <conditionalFormatting sqref="A72">
    <cfRule type="containsText" dxfId="0" priority="12052" operator="containsText" text="거부">
      <formula>NOT(ISERROR(SEARCH(("거부"),(A72))))</formula>
    </cfRule>
  </conditionalFormatting>
  <conditionalFormatting sqref="A72">
    <cfRule type="containsText" dxfId="1" priority="12053" operator="containsText" text="리턴">
      <formula>NOT(ISERROR(SEARCH(("리턴"),(A72))))</formula>
    </cfRule>
  </conditionalFormatting>
  <conditionalFormatting sqref="A72">
    <cfRule type="containsText" dxfId="2" priority="12054" operator="containsText" text="실패">
      <formula>NOT(ISERROR(SEARCH(("실패"),(A72))))</formula>
    </cfRule>
  </conditionalFormatting>
  <conditionalFormatting sqref="A72">
    <cfRule type="containsText" dxfId="3" priority="12055" operator="containsText" text="관리">
      <formula>NOT(ISERROR(SEARCH(("관리"),(A72))))</formula>
    </cfRule>
  </conditionalFormatting>
  <conditionalFormatting sqref="A72">
    <cfRule type="containsText" dxfId="4" priority="12056" operator="containsText" text="등록">
      <formula>NOT(ISERROR(SEARCH(("등록"),(A72))))</formula>
    </cfRule>
  </conditionalFormatting>
  <conditionalFormatting sqref="A72">
    <cfRule type="containsText" dxfId="0" priority="12057" operator="containsText" text="거부">
      <formula>NOT(ISERROR(SEARCH(("거부"),(A72))))</formula>
    </cfRule>
  </conditionalFormatting>
  <conditionalFormatting sqref="A72">
    <cfRule type="containsText" dxfId="1" priority="12058" operator="containsText" text="리턴">
      <formula>NOT(ISERROR(SEARCH(("리턴"),(A72))))</formula>
    </cfRule>
  </conditionalFormatting>
  <conditionalFormatting sqref="A72">
    <cfRule type="containsText" dxfId="2" priority="12059" operator="containsText" text="실패">
      <formula>NOT(ISERROR(SEARCH(("실패"),(A72))))</formula>
    </cfRule>
  </conditionalFormatting>
  <conditionalFormatting sqref="A72">
    <cfRule type="containsText" dxfId="3" priority="12060" operator="containsText" text="관리">
      <formula>NOT(ISERROR(SEARCH(("관리"),(A72))))</formula>
    </cfRule>
  </conditionalFormatting>
  <conditionalFormatting sqref="A72">
    <cfRule type="containsText" dxfId="4" priority="12061" operator="containsText" text="등록">
      <formula>NOT(ISERROR(SEARCH(("등록"),(A72))))</formula>
    </cfRule>
  </conditionalFormatting>
  <conditionalFormatting sqref="D72">
    <cfRule type="containsText" dxfId="0" priority="12062" operator="containsText" text="거부">
      <formula>NOT(ISERROR(SEARCH(("거부"),(D72))))</formula>
    </cfRule>
  </conditionalFormatting>
  <conditionalFormatting sqref="D72">
    <cfRule type="containsText" dxfId="1" priority="12063" operator="containsText" text="리턴">
      <formula>NOT(ISERROR(SEARCH(("리턴"),(D72))))</formula>
    </cfRule>
  </conditionalFormatting>
  <conditionalFormatting sqref="D72">
    <cfRule type="containsText" dxfId="2" priority="12064" operator="containsText" text="실패">
      <formula>NOT(ISERROR(SEARCH(("실패"),(D72))))</formula>
    </cfRule>
  </conditionalFormatting>
  <conditionalFormatting sqref="D72">
    <cfRule type="containsText" dxfId="3" priority="12065" operator="containsText" text="관리">
      <formula>NOT(ISERROR(SEARCH(("관리"),(D72))))</formula>
    </cfRule>
  </conditionalFormatting>
  <conditionalFormatting sqref="D72">
    <cfRule type="containsText" dxfId="4" priority="12066" operator="containsText" text="등록">
      <formula>NOT(ISERROR(SEARCH(("등록"),(D72))))</formula>
    </cfRule>
  </conditionalFormatting>
  <conditionalFormatting sqref="J72">
    <cfRule type="containsText" dxfId="0" priority="12067" operator="containsText" text="거부">
      <formula>NOT(ISERROR(SEARCH(("거부"),(J72))))</formula>
    </cfRule>
  </conditionalFormatting>
  <conditionalFormatting sqref="J72">
    <cfRule type="containsText" dxfId="1" priority="12068" operator="containsText" text="리턴">
      <formula>NOT(ISERROR(SEARCH(("리턴"),(J72))))</formula>
    </cfRule>
  </conditionalFormatting>
  <conditionalFormatting sqref="J72">
    <cfRule type="containsText" dxfId="2" priority="12069" operator="containsText" text="실패">
      <formula>NOT(ISERROR(SEARCH(("실패"),(J72))))</formula>
    </cfRule>
  </conditionalFormatting>
  <conditionalFormatting sqref="J72">
    <cfRule type="containsText" dxfId="3" priority="12070" operator="containsText" text="관리">
      <formula>NOT(ISERROR(SEARCH(("관리"),(J72))))</formula>
    </cfRule>
  </conditionalFormatting>
  <conditionalFormatting sqref="J72">
    <cfRule type="containsText" dxfId="4" priority="12071" operator="containsText" text="등록">
      <formula>NOT(ISERROR(SEARCH(("등록"),(J72))))</formula>
    </cfRule>
  </conditionalFormatting>
  <conditionalFormatting sqref="J72">
    <cfRule type="containsText" dxfId="0" priority="12072" operator="containsText" text="거부">
      <formula>NOT(ISERROR(SEARCH(("거부"),(J72))))</formula>
    </cfRule>
  </conditionalFormatting>
  <conditionalFormatting sqref="J72">
    <cfRule type="containsText" dxfId="1" priority="12073" operator="containsText" text="리턴">
      <formula>NOT(ISERROR(SEARCH(("리턴"),(J72))))</formula>
    </cfRule>
  </conditionalFormatting>
  <conditionalFormatting sqref="J72">
    <cfRule type="containsText" dxfId="2" priority="12074" operator="containsText" text="실패">
      <formula>NOT(ISERROR(SEARCH(("실패"),(J72))))</formula>
    </cfRule>
  </conditionalFormatting>
  <conditionalFormatting sqref="J72">
    <cfRule type="containsText" dxfId="3" priority="12075" operator="containsText" text="관리">
      <formula>NOT(ISERROR(SEARCH(("관리"),(J72))))</formula>
    </cfRule>
  </conditionalFormatting>
  <conditionalFormatting sqref="J72">
    <cfRule type="containsText" dxfId="4" priority="12076" operator="containsText" text="등록">
      <formula>NOT(ISERROR(SEARCH(("등록"),(J72))))</formula>
    </cfRule>
  </conditionalFormatting>
  <conditionalFormatting sqref="A70">
    <cfRule type="containsText" dxfId="0" priority="12077" operator="containsText" text="거부">
      <formula>NOT(ISERROR(SEARCH(("거부"),(A70))))</formula>
    </cfRule>
  </conditionalFormatting>
  <conditionalFormatting sqref="A70">
    <cfRule type="containsText" dxfId="1" priority="12078" operator="containsText" text="리턴">
      <formula>NOT(ISERROR(SEARCH(("리턴"),(A70))))</formula>
    </cfRule>
  </conditionalFormatting>
  <conditionalFormatting sqref="A70">
    <cfRule type="containsText" dxfId="2" priority="12079" operator="containsText" text="실패">
      <formula>NOT(ISERROR(SEARCH(("실패"),(A70))))</formula>
    </cfRule>
  </conditionalFormatting>
  <conditionalFormatting sqref="A70">
    <cfRule type="containsText" dxfId="3" priority="12080" operator="containsText" text="관리">
      <formula>NOT(ISERROR(SEARCH(("관리"),(A70))))</formula>
    </cfRule>
  </conditionalFormatting>
  <conditionalFormatting sqref="A70">
    <cfRule type="containsText" dxfId="4" priority="12081" operator="containsText" text="등록">
      <formula>NOT(ISERROR(SEARCH(("등록"),(A70))))</formula>
    </cfRule>
  </conditionalFormatting>
  <conditionalFormatting sqref="A70">
    <cfRule type="containsText" dxfId="0" priority="12082" operator="containsText" text="거부">
      <formula>NOT(ISERROR(SEARCH(("거부"),(A70))))</formula>
    </cfRule>
  </conditionalFormatting>
  <conditionalFormatting sqref="A70">
    <cfRule type="containsText" dxfId="1" priority="12083" operator="containsText" text="리턴">
      <formula>NOT(ISERROR(SEARCH(("리턴"),(A70))))</formula>
    </cfRule>
  </conditionalFormatting>
  <conditionalFormatting sqref="A70">
    <cfRule type="containsText" dxfId="2" priority="12084" operator="containsText" text="실패">
      <formula>NOT(ISERROR(SEARCH(("실패"),(A70))))</formula>
    </cfRule>
  </conditionalFormatting>
  <conditionalFormatting sqref="A70">
    <cfRule type="containsText" dxfId="3" priority="12085" operator="containsText" text="관리">
      <formula>NOT(ISERROR(SEARCH(("관리"),(A70))))</formula>
    </cfRule>
  </conditionalFormatting>
  <conditionalFormatting sqref="A70">
    <cfRule type="containsText" dxfId="4" priority="12086" operator="containsText" text="등록">
      <formula>NOT(ISERROR(SEARCH(("등록"),(A70))))</formula>
    </cfRule>
  </conditionalFormatting>
  <conditionalFormatting sqref="J70">
    <cfRule type="containsText" dxfId="0" priority="12087" operator="containsText" text="거부">
      <formula>NOT(ISERROR(SEARCH(("거부"),(J70))))</formula>
    </cfRule>
  </conditionalFormatting>
  <conditionalFormatting sqref="J70">
    <cfRule type="containsText" dxfId="1" priority="12088" operator="containsText" text="리턴">
      <formula>NOT(ISERROR(SEARCH(("리턴"),(J70))))</formula>
    </cfRule>
  </conditionalFormatting>
  <conditionalFormatting sqref="J70">
    <cfRule type="containsText" dxfId="2" priority="12089" operator="containsText" text="실패">
      <formula>NOT(ISERROR(SEARCH(("실패"),(J70))))</formula>
    </cfRule>
  </conditionalFormatting>
  <conditionalFormatting sqref="J70">
    <cfRule type="containsText" dxfId="3" priority="12090" operator="containsText" text="관리">
      <formula>NOT(ISERROR(SEARCH(("관리"),(J70))))</formula>
    </cfRule>
  </conditionalFormatting>
  <conditionalFormatting sqref="J70">
    <cfRule type="containsText" dxfId="4" priority="12091" operator="containsText" text="등록">
      <formula>NOT(ISERROR(SEARCH(("등록"),(J70))))</formula>
    </cfRule>
  </conditionalFormatting>
  <conditionalFormatting sqref="D71">
    <cfRule type="containsText" dxfId="0" priority="12092" operator="containsText" text="거부">
      <formula>NOT(ISERROR(SEARCH(("거부"),(D71))))</formula>
    </cfRule>
  </conditionalFormatting>
  <conditionalFormatting sqref="D71">
    <cfRule type="containsText" dxfId="1" priority="12093" operator="containsText" text="리턴">
      <formula>NOT(ISERROR(SEARCH(("리턴"),(D71))))</formula>
    </cfRule>
  </conditionalFormatting>
  <conditionalFormatting sqref="D71">
    <cfRule type="containsText" dxfId="2" priority="12094" operator="containsText" text="실패">
      <formula>NOT(ISERROR(SEARCH(("실패"),(D71))))</formula>
    </cfRule>
  </conditionalFormatting>
  <conditionalFormatting sqref="D71">
    <cfRule type="containsText" dxfId="3" priority="12095" operator="containsText" text="관리">
      <formula>NOT(ISERROR(SEARCH(("관리"),(D71))))</formula>
    </cfRule>
  </conditionalFormatting>
  <conditionalFormatting sqref="D71">
    <cfRule type="containsText" dxfId="4" priority="12096" operator="containsText" text="등록">
      <formula>NOT(ISERROR(SEARCH(("등록"),(D71))))</formula>
    </cfRule>
  </conditionalFormatting>
  <conditionalFormatting sqref="D71">
    <cfRule type="containsText" dxfId="0" priority="12097" operator="containsText" text="거부">
      <formula>NOT(ISERROR(SEARCH(("거부"),(D71))))</formula>
    </cfRule>
  </conditionalFormatting>
  <conditionalFormatting sqref="D71">
    <cfRule type="containsText" dxfId="1" priority="12098" operator="containsText" text="리턴">
      <formula>NOT(ISERROR(SEARCH(("리턴"),(D71))))</formula>
    </cfRule>
  </conditionalFormatting>
  <conditionalFormatting sqref="D71">
    <cfRule type="containsText" dxfId="2" priority="12099" operator="containsText" text="실패">
      <formula>NOT(ISERROR(SEARCH(("실패"),(D71))))</formula>
    </cfRule>
  </conditionalFormatting>
  <conditionalFormatting sqref="D71">
    <cfRule type="containsText" dxfId="3" priority="12100" operator="containsText" text="관리">
      <formula>NOT(ISERROR(SEARCH(("관리"),(D71))))</formula>
    </cfRule>
  </conditionalFormatting>
  <conditionalFormatting sqref="D71">
    <cfRule type="containsText" dxfId="4" priority="12101" operator="containsText" text="등록">
      <formula>NOT(ISERROR(SEARCH(("등록"),(D71))))</formula>
    </cfRule>
  </conditionalFormatting>
  <conditionalFormatting sqref="E71">
    <cfRule type="containsText" dxfId="0" priority="12102" operator="containsText" text="거부">
      <formula>NOT(ISERROR(SEARCH(("거부"),(E71))))</formula>
    </cfRule>
  </conditionalFormatting>
  <conditionalFormatting sqref="E71">
    <cfRule type="containsText" dxfId="1" priority="12103" operator="containsText" text="리턴">
      <formula>NOT(ISERROR(SEARCH(("리턴"),(E71))))</formula>
    </cfRule>
  </conditionalFormatting>
  <conditionalFormatting sqref="E71">
    <cfRule type="containsText" dxfId="2" priority="12104" operator="containsText" text="실패">
      <formula>NOT(ISERROR(SEARCH(("실패"),(E71))))</formula>
    </cfRule>
  </conditionalFormatting>
  <conditionalFormatting sqref="E71">
    <cfRule type="containsText" dxfId="3" priority="12105" operator="containsText" text="관리">
      <formula>NOT(ISERROR(SEARCH(("관리"),(E71))))</formula>
    </cfRule>
  </conditionalFormatting>
  <conditionalFormatting sqref="E71">
    <cfRule type="containsText" dxfId="4" priority="12106" operator="containsText" text="등록">
      <formula>NOT(ISERROR(SEARCH(("등록"),(E71))))</formula>
    </cfRule>
  </conditionalFormatting>
  <conditionalFormatting sqref="J71">
    <cfRule type="containsText" dxfId="0" priority="12107" operator="containsText" text="거부">
      <formula>NOT(ISERROR(SEARCH(("거부"),(J71))))</formula>
    </cfRule>
  </conditionalFormatting>
  <conditionalFormatting sqref="J71">
    <cfRule type="containsText" dxfId="1" priority="12108" operator="containsText" text="리턴">
      <formula>NOT(ISERROR(SEARCH(("리턴"),(J71))))</formula>
    </cfRule>
  </conditionalFormatting>
  <conditionalFormatting sqref="J71">
    <cfRule type="containsText" dxfId="2" priority="12109" operator="containsText" text="실패">
      <formula>NOT(ISERROR(SEARCH(("실패"),(J71))))</formula>
    </cfRule>
  </conditionalFormatting>
  <conditionalFormatting sqref="J71">
    <cfRule type="containsText" dxfId="3" priority="12110" operator="containsText" text="관리">
      <formula>NOT(ISERROR(SEARCH(("관리"),(J71))))</formula>
    </cfRule>
  </conditionalFormatting>
  <conditionalFormatting sqref="J71">
    <cfRule type="containsText" dxfId="4" priority="12111" operator="containsText" text="등록">
      <formula>NOT(ISERROR(SEARCH(("등록"),(J71))))</formula>
    </cfRule>
  </conditionalFormatting>
  <conditionalFormatting sqref="A73">
    <cfRule type="containsText" dxfId="0" priority="12112" operator="containsText" text="거부">
      <formula>NOT(ISERROR(SEARCH(("거부"),(A73))))</formula>
    </cfRule>
  </conditionalFormatting>
  <conditionalFormatting sqref="A73">
    <cfRule type="containsText" dxfId="1" priority="12113" operator="containsText" text="리턴">
      <formula>NOT(ISERROR(SEARCH(("리턴"),(A73))))</formula>
    </cfRule>
  </conditionalFormatting>
  <conditionalFormatting sqref="A73">
    <cfRule type="containsText" dxfId="2" priority="12114" operator="containsText" text="실패">
      <formula>NOT(ISERROR(SEARCH(("실패"),(A73))))</formula>
    </cfRule>
  </conditionalFormatting>
  <conditionalFormatting sqref="A73">
    <cfRule type="containsText" dxfId="3" priority="12115" operator="containsText" text="관리">
      <formula>NOT(ISERROR(SEARCH(("관리"),(A73))))</formula>
    </cfRule>
  </conditionalFormatting>
  <conditionalFormatting sqref="A73">
    <cfRule type="containsText" dxfId="4" priority="12116" operator="containsText" text="등록">
      <formula>NOT(ISERROR(SEARCH(("등록"),(A73))))</formula>
    </cfRule>
  </conditionalFormatting>
  <conditionalFormatting sqref="A73">
    <cfRule type="containsText" dxfId="0" priority="12117" operator="containsText" text="거부">
      <formula>NOT(ISERROR(SEARCH(("거부"),(A73))))</formula>
    </cfRule>
  </conditionalFormatting>
  <conditionalFormatting sqref="A73">
    <cfRule type="containsText" dxfId="1" priority="12118" operator="containsText" text="리턴">
      <formula>NOT(ISERROR(SEARCH(("리턴"),(A73))))</formula>
    </cfRule>
  </conditionalFormatting>
  <conditionalFormatting sqref="A73">
    <cfRule type="containsText" dxfId="2" priority="12119" operator="containsText" text="실패">
      <formula>NOT(ISERROR(SEARCH(("실패"),(A73))))</formula>
    </cfRule>
  </conditionalFormatting>
  <conditionalFormatting sqref="A73">
    <cfRule type="containsText" dxfId="3" priority="12120" operator="containsText" text="관리">
      <formula>NOT(ISERROR(SEARCH(("관리"),(A73))))</formula>
    </cfRule>
  </conditionalFormatting>
  <conditionalFormatting sqref="A73">
    <cfRule type="containsText" dxfId="4" priority="12121" operator="containsText" text="등록">
      <formula>NOT(ISERROR(SEARCH(("등록"),(A73))))</formula>
    </cfRule>
  </conditionalFormatting>
  <conditionalFormatting sqref="J73">
    <cfRule type="containsText" dxfId="0" priority="12122" operator="containsText" text="거부">
      <formula>NOT(ISERROR(SEARCH(("거부"),(J73))))</formula>
    </cfRule>
  </conditionalFormatting>
  <conditionalFormatting sqref="J73">
    <cfRule type="containsText" dxfId="1" priority="12123" operator="containsText" text="리턴">
      <formula>NOT(ISERROR(SEARCH(("리턴"),(J73))))</formula>
    </cfRule>
  </conditionalFormatting>
  <conditionalFormatting sqref="J73">
    <cfRule type="containsText" dxfId="2" priority="12124" operator="containsText" text="실패">
      <formula>NOT(ISERROR(SEARCH(("실패"),(J73))))</formula>
    </cfRule>
  </conditionalFormatting>
  <conditionalFormatting sqref="J73">
    <cfRule type="containsText" dxfId="3" priority="12125" operator="containsText" text="관리">
      <formula>NOT(ISERROR(SEARCH(("관리"),(J73))))</formula>
    </cfRule>
  </conditionalFormatting>
  <conditionalFormatting sqref="J73">
    <cfRule type="containsText" dxfId="4" priority="12126" operator="containsText" text="등록">
      <formula>NOT(ISERROR(SEARCH(("등록"),(J73))))</formula>
    </cfRule>
  </conditionalFormatting>
  <conditionalFormatting sqref="J73">
    <cfRule type="containsText" dxfId="0" priority="12127" operator="containsText" text="거부">
      <formula>NOT(ISERROR(SEARCH(("거부"),(J73))))</formula>
    </cfRule>
  </conditionalFormatting>
  <conditionalFormatting sqref="J73">
    <cfRule type="containsText" dxfId="1" priority="12128" operator="containsText" text="리턴">
      <formula>NOT(ISERROR(SEARCH(("리턴"),(J73))))</formula>
    </cfRule>
  </conditionalFormatting>
  <conditionalFormatting sqref="J73">
    <cfRule type="containsText" dxfId="2" priority="12129" operator="containsText" text="실패">
      <formula>NOT(ISERROR(SEARCH(("실패"),(J73))))</formula>
    </cfRule>
  </conditionalFormatting>
  <conditionalFormatting sqref="J73">
    <cfRule type="containsText" dxfId="3" priority="12130" operator="containsText" text="관리">
      <formula>NOT(ISERROR(SEARCH(("관리"),(J73))))</formula>
    </cfRule>
  </conditionalFormatting>
  <conditionalFormatting sqref="J73">
    <cfRule type="containsText" dxfId="4" priority="12131" operator="containsText" text="등록">
      <formula>NOT(ISERROR(SEARCH(("등록"),(J73))))</formula>
    </cfRule>
  </conditionalFormatting>
  <conditionalFormatting sqref="A71">
    <cfRule type="containsText" dxfId="0" priority="12132" operator="containsText" text="거부">
      <formula>NOT(ISERROR(SEARCH(("거부"),(A71))))</formula>
    </cfRule>
  </conditionalFormatting>
  <conditionalFormatting sqref="A71">
    <cfRule type="containsText" dxfId="1" priority="12133" operator="containsText" text="리턴">
      <formula>NOT(ISERROR(SEARCH(("리턴"),(A71))))</formula>
    </cfRule>
  </conditionalFormatting>
  <conditionalFormatting sqref="A71">
    <cfRule type="containsText" dxfId="2" priority="12134" operator="containsText" text="실패">
      <formula>NOT(ISERROR(SEARCH(("실패"),(A71))))</formula>
    </cfRule>
  </conditionalFormatting>
  <conditionalFormatting sqref="A71">
    <cfRule type="containsText" dxfId="3" priority="12135" operator="containsText" text="관리">
      <formula>NOT(ISERROR(SEARCH(("관리"),(A71))))</formula>
    </cfRule>
  </conditionalFormatting>
  <conditionalFormatting sqref="A71">
    <cfRule type="containsText" dxfId="4" priority="12136" operator="containsText" text="등록">
      <formula>NOT(ISERROR(SEARCH(("등록"),(A71))))</formula>
    </cfRule>
  </conditionalFormatting>
  <conditionalFormatting sqref="A71">
    <cfRule type="containsText" dxfId="0" priority="12137" operator="containsText" text="거부">
      <formula>NOT(ISERROR(SEARCH(("거부"),(A71))))</formula>
    </cfRule>
  </conditionalFormatting>
  <conditionalFormatting sqref="A71">
    <cfRule type="containsText" dxfId="1" priority="12138" operator="containsText" text="리턴">
      <formula>NOT(ISERROR(SEARCH(("리턴"),(A71))))</formula>
    </cfRule>
  </conditionalFormatting>
  <conditionalFormatting sqref="A71">
    <cfRule type="containsText" dxfId="2" priority="12139" operator="containsText" text="실패">
      <formula>NOT(ISERROR(SEARCH(("실패"),(A71))))</formula>
    </cfRule>
  </conditionalFormatting>
  <conditionalFormatting sqref="A71">
    <cfRule type="containsText" dxfId="3" priority="12140" operator="containsText" text="관리">
      <formula>NOT(ISERROR(SEARCH(("관리"),(A71))))</formula>
    </cfRule>
  </conditionalFormatting>
  <conditionalFormatting sqref="A71">
    <cfRule type="containsText" dxfId="4" priority="12141" operator="containsText" text="등록">
      <formula>NOT(ISERROR(SEARCH(("등록"),(A71))))</formula>
    </cfRule>
  </conditionalFormatting>
  <conditionalFormatting sqref="J75">
    <cfRule type="containsText" dxfId="0" priority="12142" operator="containsText" text="거부">
      <formula>NOT(ISERROR(SEARCH(("거부"),(J75))))</formula>
    </cfRule>
  </conditionalFormatting>
  <conditionalFormatting sqref="J75">
    <cfRule type="containsText" dxfId="1" priority="12143" operator="containsText" text="리턴">
      <formula>NOT(ISERROR(SEARCH(("리턴"),(J75))))</formula>
    </cfRule>
  </conditionalFormatting>
  <conditionalFormatting sqref="J75">
    <cfRule type="containsText" dxfId="2" priority="12144" operator="containsText" text="실패">
      <formula>NOT(ISERROR(SEARCH(("실패"),(J75))))</formula>
    </cfRule>
  </conditionalFormatting>
  <conditionalFormatting sqref="J75">
    <cfRule type="containsText" dxfId="3" priority="12145" operator="containsText" text="관리">
      <formula>NOT(ISERROR(SEARCH(("관리"),(J75))))</formula>
    </cfRule>
  </conditionalFormatting>
  <conditionalFormatting sqref="J75">
    <cfRule type="containsText" dxfId="4" priority="12146" operator="containsText" text="등록">
      <formula>NOT(ISERROR(SEARCH(("등록"),(J75))))</formula>
    </cfRule>
  </conditionalFormatting>
  <conditionalFormatting sqref="A75">
    <cfRule type="containsText" dxfId="0" priority="12147" operator="containsText" text="거부">
      <formula>NOT(ISERROR(SEARCH(("거부"),(A75))))</formula>
    </cfRule>
  </conditionalFormatting>
  <conditionalFormatting sqref="A75">
    <cfRule type="containsText" dxfId="1" priority="12148" operator="containsText" text="리턴">
      <formula>NOT(ISERROR(SEARCH(("리턴"),(A75))))</formula>
    </cfRule>
  </conditionalFormatting>
  <conditionalFormatting sqref="A75">
    <cfRule type="containsText" dxfId="2" priority="12149" operator="containsText" text="실패">
      <formula>NOT(ISERROR(SEARCH(("실패"),(A75))))</formula>
    </cfRule>
  </conditionalFormatting>
  <conditionalFormatting sqref="A75">
    <cfRule type="containsText" dxfId="3" priority="12150" operator="containsText" text="관리">
      <formula>NOT(ISERROR(SEARCH(("관리"),(A75))))</formula>
    </cfRule>
  </conditionalFormatting>
  <conditionalFormatting sqref="A75">
    <cfRule type="containsText" dxfId="4" priority="12151" operator="containsText" text="등록">
      <formula>NOT(ISERROR(SEARCH(("등록"),(A75))))</formula>
    </cfRule>
  </conditionalFormatting>
  <conditionalFormatting sqref="A75">
    <cfRule type="containsText" dxfId="0" priority="12152" operator="containsText" text="거부">
      <formula>NOT(ISERROR(SEARCH(("거부"),(A75))))</formula>
    </cfRule>
  </conditionalFormatting>
  <conditionalFormatting sqref="A75">
    <cfRule type="containsText" dxfId="1" priority="12153" operator="containsText" text="리턴">
      <formula>NOT(ISERROR(SEARCH(("리턴"),(A75))))</formula>
    </cfRule>
  </conditionalFormatting>
  <conditionalFormatting sqref="A75">
    <cfRule type="containsText" dxfId="2" priority="12154" operator="containsText" text="실패">
      <formula>NOT(ISERROR(SEARCH(("실패"),(A75))))</formula>
    </cfRule>
  </conditionalFormatting>
  <conditionalFormatting sqref="A75">
    <cfRule type="containsText" dxfId="3" priority="12155" operator="containsText" text="관리">
      <formula>NOT(ISERROR(SEARCH(("관리"),(A75))))</formula>
    </cfRule>
  </conditionalFormatting>
  <conditionalFormatting sqref="A75">
    <cfRule type="containsText" dxfId="4" priority="12156" operator="containsText" text="등록">
      <formula>NOT(ISERROR(SEARCH(("등록"),(A75))))</formula>
    </cfRule>
  </conditionalFormatting>
  <conditionalFormatting sqref="A76">
    <cfRule type="containsText" dxfId="0" priority="12157" operator="containsText" text="거부">
      <formula>NOT(ISERROR(SEARCH(("거부"),(A76))))</formula>
    </cfRule>
  </conditionalFormatting>
  <conditionalFormatting sqref="A76">
    <cfRule type="containsText" dxfId="1" priority="12158" operator="containsText" text="리턴">
      <formula>NOT(ISERROR(SEARCH(("리턴"),(A76))))</formula>
    </cfRule>
  </conditionalFormatting>
  <conditionalFormatting sqref="A76">
    <cfRule type="containsText" dxfId="2" priority="12159" operator="containsText" text="실패">
      <formula>NOT(ISERROR(SEARCH(("실패"),(A76))))</formula>
    </cfRule>
  </conditionalFormatting>
  <conditionalFormatting sqref="A76">
    <cfRule type="containsText" dxfId="3" priority="12160" operator="containsText" text="관리">
      <formula>NOT(ISERROR(SEARCH(("관리"),(A76))))</formula>
    </cfRule>
  </conditionalFormatting>
  <conditionalFormatting sqref="A76">
    <cfRule type="containsText" dxfId="4" priority="12161" operator="containsText" text="등록">
      <formula>NOT(ISERROR(SEARCH(("등록"),(A76))))</formula>
    </cfRule>
  </conditionalFormatting>
  <conditionalFormatting sqref="D76">
    <cfRule type="containsText" dxfId="0" priority="12162" operator="containsText" text="거부">
      <formula>NOT(ISERROR(SEARCH(("거부"),(D76))))</formula>
    </cfRule>
  </conditionalFormatting>
  <conditionalFormatting sqref="D76">
    <cfRule type="containsText" dxfId="1" priority="12163" operator="containsText" text="리턴">
      <formula>NOT(ISERROR(SEARCH(("리턴"),(D76))))</formula>
    </cfRule>
  </conditionalFormatting>
  <conditionalFormatting sqref="D76">
    <cfRule type="containsText" dxfId="2" priority="12164" operator="containsText" text="실패">
      <formula>NOT(ISERROR(SEARCH(("실패"),(D76))))</formula>
    </cfRule>
  </conditionalFormatting>
  <conditionalFormatting sqref="D76">
    <cfRule type="containsText" dxfId="3" priority="12165" operator="containsText" text="관리">
      <formula>NOT(ISERROR(SEARCH(("관리"),(D76))))</formula>
    </cfRule>
  </conditionalFormatting>
  <conditionalFormatting sqref="D76">
    <cfRule type="containsText" dxfId="4" priority="12166" operator="containsText" text="등록">
      <formula>NOT(ISERROR(SEARCH(("등록"),(D76))))</formula>
    </cfRule>
  </conditionalFormatting>
  <conditionalFormatting sqref="D76">
    <cfRule type="containsText" dxfId="0" priority="12167" operator="containsText" text="거부">
      <formula>NOT(ISERROR(SEARCH(("거부"),(D76))))</formula>
    </cfRule>
  </conditionalFormatting>
  <conditionalFormatting sqref="D76">
    <cfRule type="containsText" dxfId="1" priority="12168" operator="containsText" text="리턴">
      <formula>NOT(ISERROR(SEARCH(("리턴"),(D76))))</formula>
    </cfRule>
  </conditionalFormatting>
  <conditionalFormatting sqref="D76">
    <cfRule type="containsText" dxfId="2" priority="12169" operator="containsText" text="실패">
      <formula>NOT(ISERROR(SEARCH(("실패"),(D76))))</formula>
    </cfRule>
  </conditionalFormatting>
  <conditionalFormatting sqref="D76">
    <cfRule type="containsText" dxfId="3" priority="12170" operator="containsText" text="관리">
      <formula>NOT(ISERROR(SEARCH(("관리"),(D76))))</formula>
    </cfRule>
  </conditionalFormatting>
  <conditionalFormatting sqref="D76">
    <cfRule type="containsText" dxfId="4" priority="12171" operator="containsText" text="등록">
      <formula>NOT(ISERROR(SEARCH(("등록"),(D76))))</formula>
    </cfRule>
  </conditionalFormatting>
  <conditionalFormatting sqref="D76">
    <cfRule type="containsText" dxfId="0" priority="12172" operator="containsText" text="거부">
      <formula>NOT(ISERROR(SEARCH(("거부"),(D76))))</formula>
    </cfRule>
  </conditionalFormatting>
  <conditionalFormatting sqref="D76">
    <cfRule type="containsText" dxfId="1" priority="12173" operator="containsText" text="리턴">
      <formula>NOT(ISERROR(SEARCH(("리턴"),(D76))))</formula>
    </cfRule>
  </conditionalFormatting>
  <conditionalFormatting sqref="D76">
    <cfRule type="containsText" dxfId="2" priority="12174" operator="containsText" text="실패">
      <formula>NOT(ISERROR(SEARCH(("실패"),(D76))))</formula>
    </cfRule>
  </conditionalFormatting>
  <conditionalFormatting sqref="D76">
    <cfRule type="containsText" dxfId="3" priority="12175" operator="containsText" text="관리">
      <formula>NOT(ISERROR(SEARCH(("관리"),(D76))))</formula>
    </cfRule>
  </conditionalFormatting>
  <conditionalFormatting sqref="D76">
    <cfRule type="containsText" dxfId="4" priority="12176" operator="containsText" text="등록">
      <formula>NOT(ISERROR(SEARCH(("등록"),(D76))))</formula>
    </cfRule>
  </conditionalFormatting>
  <conditionalFormatting sqref="D76">
    <cfRule type="containsText" dxfId="0" priority="12177" operator="containsText" text="거부">
      <formula>NOT(ISERROR(SEARCH(("거부"),(D76))))</formula>
    </cfRule>
  </conditionalFormatting>
  <conditionalFormatting sqref="D76">
    <cfRule type="containsText" dxfId="1" priority="12178" operator="containsText" text="리턴">
      <formula>NOT(ISERROR(SEARCH(("리턴"),(D76))))</formula>
    </cfRule>
  </conditionalFormatting>
  <conditionalFormatting sqref="D76">
    <cfRule type="containsText" dxfId="2" priority="12179" operator="containsText" text="실패">
      <formula>NOT(ISERROR(SEARCH(("실패"),(D76))))</formula>
    </cfRule>
  </conditionalFormatting>
  <conditionalFormatting sqref="D76">
    <cfRule type="containsText" dxfId="3" priority="12180" operator="containsText" text="관리">
      <formula>NOT(ISERROR(SEARCH(("관리"),(D76))))</formula>
    </cfRule>
  </conditionalFormatting>
  <conditionalFormatting sqref="D76">
    <cfRule type="containsText" dxfId="4" priority="12181" operator="containsText" text="등록">
      <formula>NOT(ISERROR(SEARCH(("등록"),(D76))))</formula>
    </cfRule>
  </conditionalFormatting>
  <conditionalFormatting sqref="D76">
    <cfRule type="containsText" dxfId="0" priority="12182" operator="containsText" text="거부">
      <formula>NOT(ISERROR(SEARCH(("거부"),(D76))))</formula>
    </cfRule>
  </conditionalFormatting>
  <conditionalFormatting sqref="D76">
    <cfRule type="containsText" dxfId="1" priority="12183" operator="containsText" text="리턴">
      <formula>NOT(ISERROR(SEARCH(("리턴"),(D76))))</formula>
    </cfRule>
  </conditionalFormatting>
  <conditionalFormatting sqref="D76">
    <cfRule type="containsText" dxfId="2" priority="12184" operator="containsText" text="실패">
      <formula>NOT(ISERROR(SEARCH(("실패"),(D76))))</formula>
    </cfRule>
  </conditionalFormatting>
  <conditionalFormatting sqref="D76">
    <cfRule type="containsText" dxfId="3" priority="12185" operator="containsText" text="관리">
      <formula>NOT(ISERROR(SEARCH(("관리"),(D76))))</formula>
    </cfRule>
  </conditionalFormatting>
  <conditionalFormatting sqref="D76">
    <cfRule type="containsText" dxfId="4" priority="12186" operator="containsText" text="등록">
      <formula>NOT(ISERROR(SEARCH(("등록"),(D76))))</formula>
    </cfRule>
  </conditionalFormatting>
  <conditionalFormatting sqref="D76">
    <cfRule type="containsText" dxfId="0" priority="12187" operator="containsText" text="거부">
      <formula>NOT(ISERROR(SEARCH(("거부"),(D76))))</formula>
    </cfRule>
  </conditionalFormatting>
  <conditionalFormatting sqref="D76">
    <cfRule type="containsText" dxfId="1" priority="12188" operator="containsText" text="리턴">
      <formula>NOT(ISERROR(SEARCH(("리턴"),(D76))))</formula>
    </cfRule>
  </conditionalFormatting>
  <conditionalFormatting sqref="D76">
    <cfRule type="containsText" dxfId="2" priority="12189" operator="containsText" text="실패">
      <formula>NOT(ISERROR(SEARCH(("실패"),(D76))))</formula>
    </cfRule>
  </conditionalFormatting>
  <conditionalFormatting sqref="D76">
    <cfRule type="containsText" dxfId="3" priority="12190" operator="containsText" text="관리">
      <formula>NOT(ISERROR(SEARCH(("관리"),(D76))))</formula>
    </cfRule>
  </conditionalFormatting>
  <conditionalFormatting sqref="D76">
    <cfRule type="containsText" dxfId="4" priority="12191" operator="containsText" text="등록">
      <formula>NOT(ISERROR(SEARCH(("등록"),(D76))))</formula>
    </cfRule>
  </conditionalFormatting>
  <conditionalFormatting sqref="J76">
    <cfRule type="containsText" dxfId="0" priority="12192" operator="containsText" text="거부">
      <formula>NOT(ISERROR(SEARCH(("거부"),(J76))))</formula>
    </cfRule>
  </conditionalFormatting>
  <conditionalFormatting sqref="J76">
    <cfRule type="containsText" dxfId="1" priority="12193" operator="containsText" text="리턴">
      <formula>NOT(ISERROR(SEARCH(("리턴"),(J76))))</formula>
    </cfRule>
  </conditionalFormatting>
  <conditionalFormatting sqref="J76">
    <cfRule type="containsText" dxfId="2" priority="12194" operator="containsText" text="실패">
      <formula>NOT(ISERROR(SEARCH(("실패"),(J76))))</formula>
    </cfRule>
  </conditionalFormatting>
  <conditionalFormatting sqref="J76">
    <cfRule type="containsText" dxfId="3" priority="12195" operator="containsText" text="관리">
      <formula>NOT(ISERROR(SEARCH(("관리"),(J76))))</formula>
    </cfRule>
  </conditionalFormatting>
  <conditionalFormatting sqref="J76">
    <cfRule type="containsText" dxfId="4" priority="12196" operator="containsText" text="등록">
      <formula>NOT(ISERROR(SEARCH(("등록"),(J76))))</formula>
    </cfRule>
  </conditionalFormatting>
  <conditionalFormatting sqref="A83">
    <cfRule type="containsText" dxfId="0" priority="12197" operator="containsText" text="거부">
      <formula>NOT(ISERROR(SEARCH(("거부"),(A83))))</formula>
    </cfRule>
  </conditionalFormatting>
  <conditionalFormatting sqref="A83">
    <cfRule type="containsText" dxfId="1" priority="12198" operator="containsText" text="리턴">
      <formula>NOT(ISERROR(SEARCH(("리턴"),(A83))))</formula>
    </cfRule>
  </conditionalFormatting>
  <conditionalFormatting sqref="A83">
    <cfRule type="containsText" dxfId="2" priority="12199" operator="containsText" text="실패">
      <formula>NOT(ISERROR(SEARCH(("실패"),(A83))))</formula>
    </cfRule>
  </conditionalFormatting>
  <conditionalFormatting sqref="A83">
    <cfRule type="containsText" dxfId="3" priority="12200" operator="containsText" text="관리">
      <formula>NOT(ISERROR(SEARCH(("관리"),(A83))))</formula>
    </cfRule>
  </conditionalFormatting>
  <conditionalFormatting sqref="A83">
    <cfRule type="containsText" dxfId="4" priority="12201" operator="containsText" text="등록">
      <formula>NOT(ISERROR(SEARCH(("등록"),(A83))))</formula>
    </cfRule>
  </conditionalFormatting>
  <conditionalFormatting sqref="J83">
    <cfRule type="containsText" dxfId="0" priority="12202" operator="containsText" text="거부">
      <formula>NOT(ISERROR(SEARCH(("거부"),(J83))))</formula>
    </cfRule>
  </conditionalFormatting>
  <conditionalFormatting sqref="J83">
    <cfRule type="containsText" dxfId="1" priority="12203" operator="containsText" text="리턴">
      <formula>NOT(ISERROR(SEARCH(("리턴"),(J83))))</formula>
    </cfRule>
  </conditionalFormatting>
  <conditionalFormatting sqref="J83">
    <cfRule type="containsText" dxfId="2" priority="12204" operator="containsText" text="실패">
      <formula>NOT(ISERROR(SEARCH(("실패"),(J83))))</formula>
    </cfRule>
  </conditionalFormatting>
  <conditionalFormatting sqref="J83">
    <cfRule type="containsText" dxfId="3" priority="12205" operator="containsText" text="관리">
      <formula>NOT(ISERROR(SEARCH(("관리"),(J83))))</formula>
    </cfRule>
  </conditionalFormatting>
  <conditionalFormatting sqref="J83">
    <cfRule type="containsText" dxfId="4" priority="12206" operator="containsText" text="등록">
      <formula>NOT(ISERROR(SEARCH(("등록"),(J83))))</formula>
    </cfRule>
  </conditionalFormatting>
  <conditionalFormatting sqref="A86">
    <cfRule type="containsText" dxfId="0" priority="12207" operator="containsText" text="거부">
      <formula>NOT(ISERROR(SEARCH(("거부"),(A86))))</formula>
    </cfRule>
  </conditionalFormatting>
  <conditionalFormatting sqref="A86">
    <cfRule type="containsText" dxfId="1" priority="12208" operator="containsText" text="리턴">
      <formula>NOT(ISERROR(SEARCH(("리턴"),(A86))))</formula>
    </cfRule>
  </conditionalFormatting>
  <conditionalFormatting sqref="A86">
    <cfRule type="containsText" dxfId="2" priority="12209" operator="containsText" text="실패">
      <formula>NOT(ISERROR(SEARCH(("실패"),(A86))))</formula>
    </cfRule>
  </conditionalFormatting>
  <conditionalFormatting sqref="A86">
    <cfRule type="containsText" dxfId="3" priority="12210" operator="containsText" text="관리">
      <formula>NOT(ISERROR(SEARCH(("관리"),(A86))))</formula>
    </cfRule>
  </conditionalFormatting>
  <conditionalFormatting sqref="A86">
    <cfRule type="containsText" dxfId="4" priority="12211" operator="containsText" text="등록">
      <formula>NOT(ISERROR(SEARCH(("등록"),(A86))))</formula>
    </cfRule>
  </conditionalFormatting>
  <conditionalFormatting sqref="A85">
    <cfRule type="containsText" dxfId="0" priority="12212" operator="containsText" text="거부">
      <formula>NOT(ISERROR(SEARCH(("거부"),(A85))))</formula>
    </cfRule>
  </conditionalFormatting>
  <conditionalFormatting sqref="A85">
    <cfRule type="containsText" dxfId="1" priority="12213" operator="containsText" text="리턴">
      <formula>NOT(ISERROR(SEARCH(("리턴"),(A85))))</formula>
    </cfRule>
  </conditionalFormatting>
  <conditionalFormatting sqref="A85">
    <cfRule type="containsText" dxfId="2" priority="12214" operator="containsText" text="실패">
      <formula>NOT(ISERROR(SEARCH(("실패"),(A85))))</formula>
    </cfRule>
  </conditionalFormatting>
  <conditionalFormatting sqref="A85">
    <cfRule type="containsText" dxfId="3" priority="12215" operator="containsText" text="관리">
      <formula>NOT(ISERROR(SEARCH(("관리"),(A85))))</formula>
    </cfRule>
  </conditionalFormatting>
  <conditionalFormatting sqref="A85">
    <cfRule type="containsText" dxfId="4" priority="12216" operator="containsText" text="등록">
      <formula>NOT(ISERROR(SEARCH(("등록"),(A85))))</formula>
    </cfRule>
  </conditionalFormatting>
  <conditionalFormatting sqref="J82">
    <cfRule type="containsText" dxfId="0" priority="12217" operator="containsText" text="거부">
      <formula>NOT(ISERROR(SEARCH(("거부"),(J82))))</formula>
    </cfRule>
  </conditionalFormatting>
  <conditionalFormatting sqref="J82">
    <cfRule type="containsText" dxfId="1" priority="12218" operator="containsText" text="리턴">
      <formula>NOT(ISERROR(SEARCH(("리턴"),(J82))))</formula>
    </cfRule>
  </conditionalFormatting>
  <conditionalFormatting sqref="J82">
    <cfRule type="containsText" dxfId="2" priority="12219" operator="containsText" text="실패">
      <formula>NOT(ISERROR(SEARCH(("실패"),(J82))))</formula>
    </cfRule>
  </conditionalFormatting>
  <conditionalFormatting sqref="J82">
    <cfRule type="containsText" dxfId="3" priority="12220" operator="containsText" text="관리">
      <formula>NOT(ISERROR(SEARCH(("관리"),(J82))))</formula>
    </cfRule>
  </conditionalFormatting>
  <conditionalFormatting sqref="J82">
    <cfRule type="containsText" dxfId="4" priority="12221" operator="containsText" text="등록">
      <formula>NOT(ISERROR(SEARCH(("등록"),(J82))))</formula>
    </cfRule>
  </conditionalFormatting>
  <conditionalFormatting sqref="A82 D82:H82">
    <cfRule type="containsText" dxfId="0" priority="12222" operator="containsText" text="거부">
      <formula>NOT(ISERROR(SEARCH(("거부"),(A82))))</formula>
    </cfRule>
  </conditionalFormatting>
  <conditionalFormatting sqref="A82 D82:H82">
    <cfRule type="containsText" dxfId="1" priority="12223" operator="containsText" text="리턴">
      <formula>NOT(ISERROR(SEARCH(("리턴"),(A82))))</formula>
    </cfRule>
  </conditionalFormatting>
  <conditionalFormatting sqref="A82 D82:H82">
    <cfRule type="containsText" dxfId="2" priority="12224" operator="containsText" text="실패">
      <formula>NOT(ISERROR(SEARCH(("실패"),(A82))))</formula>
    </cfRule>
  </conditionalFormatting>
  <conditionalFormatting sqref="A82 D82:H82">
    <cfRule type="containsText" dxfId="3" priority="12225" operator="containsText" text="관리">
      <formula>NOT(ISERROR(SEARCH(("관리"),(A82))))</formula>
    </cfRule>
  </conditionalFormatting>
  <conditionalFormatting sqref="A82 D82:H82">
    <cfRule type="containsText" dxfId="4" priority="12226" operator="containsText" text="등록">
      <formula>NOT(ISERROR(SEARCH(("등록"),(A82))))</formula>
    </cfRule>
  </conditionalFormatting>
  <conditionalFormatting sqref="D83:E83">
    <cfRule type="containsText" dxfId="0" priority="12227" operator="containsText" text="거부">
      <formula>NOT(ISERROR(SEARCH(("거부"),(D83))))</formula>
    </cfRule>
  </conditionalFormatting>
  <conditionalFormatting sqref="D83:E83">
    <cfRule type="containsText" dxfId="1" priority="12228" operator="containsText" text="리턴">
      <formula>NOT(ISERROR(SEARCH(("리턴"),(D83))))</formula>
    </cfRule>
  </conditionalFormatting>
  <conditionalFormatting sqref="D83:E83">
    <cfRule type="containsText" dxfId="2" priority="12229" operator="containsText" text="실패">
      <formula>NOT(ISERROR(SEARCH(("실패"),(D83))))</formula>
    </cfRule>
  </conditionalFormatting>
  <conditionalFormatting sqref="D83:E83">
    <cfRule type="containsText" dxfId="3" priority="12230" operator="containsText" text="관리">
      <formula>NOT(ISERROR(SEARCH(("관리"),(D83))))</formula>
    </cfRule>
  </conditionalFormatting>
  <conditionalFormatting sqref="D83:E83">
    <cfRule type="containsText" dxfId="4" priority="12231" operator="containsText" text="등록">
      <formula>NOT(ISERROR(SEARCH(("등록"),(D83))))</formula>
    </cfRule>
  </conditionalFormatting>
  <conditionalFormatting sqref="A84">
    <cfRule type="containsText" dxfId="0" priority="12232" operator="containsText" text="거부">
      <formula>NOT(ISERROR(SEARCH(("거부"),(A84))))</formula>
    </cfRule>
  </conditionalFormatting>
  <conditionalFormatting sqref="A84">
    <cfRule type="containsText" dxfId="1" priority="12233" operator="containsText" text="리턴">
      <formula>NOT(ISERROR(SEARCH(("리턴"),(A84))))</formula>
    </cfRule>
  </conditionalFormatting>
  <conditionalFormatting sqref="A84">
    <cfRule type="containsText" dxfId="2" priority="12234" operator="containsText" text="실패">
      <formula>NOT(ISERROR(SEARCH(("실패"),(A84))))</formula>
    </cfRule>
  </conditionalFormatting>
  <conditionalFormatting sqref="A84">
    <cfRule type="containsText" dxfId="3" priority="12235" operator="containsText" text="관리">
      <formula>NOT(ISERROR(SEARCH(("관리"),(A84))))</formula>
    </cfRule>
  </conditionalFormatting>
  <conditionalFormatting sqref="A84">
    <cfRule type="containsText" dxfId="4" priority="12236" operator="containsText" text="등록">
      <formula>NOT(ISERROR(SEARCH(("등록"),(A84))))</formula>
    </cfRule>
  </conditionalFormatting>
  <conditionalFormatting sqref="A87">
    <cfRule type="containsText" dxfId="0" priority="12237" operator="containsText" text="거부">
      <formula>NOT(ISERROR(SEARCH(("거부"),(A87))))</formula>
    </cfRule>
  </conditionalFormatting>
  <conditionalFormatting sqref="A87">
    <cfRule type="containsText" dxfId="1" priority="12238" operator="containsText" text="리턴">
      <formula>NOT(ISERROR(SEARCH(("리턴"),(A87))))</formula>
    </cfRule>
  </conditionalFormatting>
  <conditionalFormatting sqref="A87">
    <cfRule type="containsText" dxfId="2" priority="12239" operator="containsText" text="실패">
      <formula>NOT(ISERROR(SEARCH(("실패"),(A87))))</formula>
    </cfRule>
  </conditionalFormatting>
  <conditionalFormatting sqref="A87">
    <cfRule type="containsText" dxfId="3" priority="12240" operator="containsText" text="관리">
      <formula>NOT(ISERROR(SEARCH(("관리"),(A87))))</formula>
    </cfRule>
  </conditionalFormatting>
  <conditionalFormatting sqref="A87">
    <cfRule type="containsText" dxfId="4" priority="12241" operator="containsText" text="등록">
      <formula>NOT(ISERROR(SEARCH(("등록"),(A87))))</formula>
    </cfRule>
  </conditionalFormatting>
  <conditionalFormatting sqref="A87">
    <cfRule type="containsText" dxfId="0" priority="12242" operator="containsText" text="거부">
      <formula>NOT(ISERROR(SEARCH(("거부"),(A87))))</formula>
    </cfRule>
  </conditionalFormatting>
  <conditionalFormatting sqref="A87">
    <cfRule type="containsText" dxfId="1" priority="12243" operator="containsText" text="리턴">
      <formula>NOT(ISERROR(SEARCH(("리턴"),(A87))))</formula>
    </cfRule>
  </conditionalFormatting>
  <conditionalFormatting sqref="A87">
    <cfRule type="containsText" dxfId="2" priority="12244" operator="containsText" text="실패">
      <formula>NOT(ISERROR(SEARCH(("실패"),(A87))))</formula>
    </cfRule>
  </conditionalFormatting>
  <conditionalFormatting sqref="A87">
    <cfRule type="containsText" dxfId="3" priority="12245" operator="containsText" text="관리">
      <formula>NOT(ISERROR(SEARCH(("관리"),(A87))))</formula>
    </cfRule>
  </conditionalFormatting>
  <conditionalFormatting sqref="A87">
    <cfRule type="containsText" dxfId="4" priority="12246" operator="containsText" text="등록">
      <formula>NOT(ISERROR(SEARCH(("등록"),(A87))))</formula>
    </cfRule>
  </conditionalFormatting>
  <conditionalFormatting sqref="D87:E87">
    <cfRule type="containsText" dxfId="0" priority="12247" operator="containsText" text="거부">
      <formula>NOT(ISERROR(SEARCH(("거부"),(D87))))</formula>
    </cfRule>
  </conditionalFormatting>
  <conditionalFormatting sqref="D87:E87">
    <cfRule type="containsText" dxfId="1" priority="12248" operator="containsText" text="리턴">
      <formula>NOT(ISERROR(SEARCH(("리턴"),(D87))))</formula>
    </cfRule>
  </conditionalFormatting>
  <conditionalFormatting sqref="D87:E87">
    <cfRule type="containsText" dxfId="2" priority="12249" operator="containsText" text="실패">
      <formula>NOT(ISERROR(SEARCH(("실패"),(D87))))</formula>
    </cfRule>
  </conditionalFormatting>
  <conditionalFormatting sqref="D87:E87">
    <cfRule type="containsText" dxfId="3" priority="12250" operator="containsText" text="관리">
      <formula>NOT(ISERROR(SEARCH(("관리"),(D87))))</formula>
    </cfRule>
  </conditionalFormatting>
  <conditionalFormatting sqref="D87:E87">
    <cfRule type="containsText" dxfId="4" priority="12251" operator="containsText" text="등록">
      <formula>NOT(ISERROR(SEARCH(("등록"),(D87))))</formula>
    </cfRule>
  </conditionalFormatting>
  <conditionalFormatting sqref="A88">
    <cfRule type="containsText" dxfId="0" priority="12252" operator="containsText" text="거부">
      <formula>NOT(ISERROR(SEARCH(("거부"),(A88))))</formula>
    </cfRule>
  </conditionalFormatting>
  <conditionalFormatting sqref="A88">
    <cfRule type="containsText" dxfId="1" priority="12253" operator="containsText" text="리턴">
      <formula>NOT(ISERROR(SEARCH(("리턴"),(A88))))</formula>
    </cfRule>
  </conditionalFormatting>
  <conditionalFormatting sqref="A88">
    <cfRule type="containsText" dxfId="2" priority="12254" operator="containsText" text="실패">
      <formula>NOT(ISERROR(SEARCH(("실패"),(A88))))</formula>
    </cfRule>
  </conditionalFormatting>
  <conditionalFormatting sqref="A88">
    <cfRule type="containsText" dxfId="3" priority="12255" operator="containsText" text="관리">
      <formula>NOT(ISERROR(SEARCH(("관리"),(A88))))</formula>
    </cfRule>
  </conditionalFormatting>
  <conditionalFormatting sqref="A88">
    <cfRule type="containsText" dxfId="4" priority="12256" operator="containsText" text="등록">
      <formula>NOT(ISERROR(SEARCH(("등록"),(A88))))</formula>
    </cfRule>
  </conditionalFormatting>
  <conditionalFormatting sqref="A88">
    <cfRule type="containsText" dxfId="0" priority="12257" operator="containsText" text="거부">
      <formula>NOT(ISERROR(SEARCH(("거부"),(A88))))</formula>
    </cfRule>
  </conditionalFormatting>
  <conditionalFormatting sqref="A88">
    <cfRule type="containsText" dxfId="1" priority="12258" operator="containsText" text="리턴">
      <formula>NOT(ISERROR(SEARCH(("리턴"),(A88))))</formula>
    </cfRule>
  </conditionalFormatting>
  <conditionalFormatting sqref="A88">
    <cfRule type="containsText" dxfId="2" priority="12259" operator="containsText" text="실패">
      <formula>NOT(ISERROR(SEARCH(("실패"),(A88))))</formula>
    </cfRule>
  </conditionalFormatting>
  <conditionalFormatting sqref="A88">
    <cfRule type="containsText" dxfId="3" priority="12260" operator="containsText" text="관리">
      <formula>NOT(ISERROR(SEARCH(("관리"),(A88))))</formula>
    </cfRule>
  </conditionalFormatting>
  <conditionalFormatting sqref="A88">
    <cfRule type="containsText" dxfId="4" priority="12261" operator="containsText" text="등록">
      <formula>NOT(ISERROR(SEARCH(("등록"),(A88))))</formula>
    </cfRule>
  </conditionalFormatting>
  <conditionalFormatting sqref="A90">
    <cfRule type="containsText" dxfId="0" priority="12262" operator="containsText" text="거부">
      <formula>NOT(ISERROR(SEARCH(("거부"),(A90))))</formula>
    </cfRule>
  </conditionalFormatting>
  <conditionalFormatting sqref="A90">
    <cfRule type="containsText" dxfId="1" priority="12263" operator="containsText" text="리턴">
      <formula>NOT(ISERROR(SEARCH(("리턴"),(A90))))</formula>
    </cfRule>
  </conditionalFormatting>
  <conditionalFormatting sqref="A90">
    <cfRule type="containsText" dxfId="2" priority="12264" operator="containsText" text="실패">
      <formula>NOT(ISERROR(SEARCH(("실패"),(A90))))</formula>
    </cfRule>
  </conditionalFormatting>
  <conditionalFormatting sqref="A90">
    <cfRule type="containsText" dxfId="3" priority="12265" operator="containsText" text="관리">
      <formula>NOT(ISERROR(SEARCH(("관리"),(A90))))</formula>
    </cfRule>
  </conditionalFormatting>
  <conditionalFormatting sqref="A90">
    <cfRule type="containsText" dxfId="4" priority="12266" operator="containsText" text="등록">
      <formula>NOT(ISERROR(SEARCH(("등록"),(A90))))</formula>
    </cfRule>
  </conditionalFormatting>
  <conditionalFormatting sqref="D90">
    <cfRule type="containsText" dxfId="0" priority="12267" operator="containsText" text="거부">
      <formula>NOT(ISERROR(SEARCH(("거부"),(D90))))</formula>
    </cfRule>
  </conditionalFormatting>
  <conditionalFormatting sqref="D90">
    <cfRule type="containsText" dxfId="1" priority="12268" operator="containsText" text="리턴">
      <formula>NOT(ISERROR(SEARCH(("리턴"),(D90))))</formula>
    </cfRule>
  </conditionalFormatting>
  <conditionalFormatting sqref="D90">
    <cfRule type="containsText" dxfId="2" priority="12269" operator="containsText" text="실패">
      <formula>NOT(ISERROR(SEARCH(("실패"),(D90))))</formula>
    </cfRule>
  </conditionalFormatting>
  <conditionalFormatting sqref="D90">
    <cfRule type="containsText" dxfId="3" priority="12270" operator="containsText" text="관리">
      <formula>NOT(ISERROR(SEARCH(("관리"),(D90))))</formula>
    </cfRule>
  </conditionalFormatting>
  <conditionalFormatting sqref="D90">
    <cfRule type="containsText" dxfId="4" priority="12271" operator="containsText" text="등록">
      <formula>NOT(ISERROR(SEARCH(("등록"),(D90))))</formula>
    </cfRule>
  </conditionalFormatting>
  <conditionalFormatting sqref="D90">
    <cfRule type="containsText" dxfId="0" priority="12272" operator="containsText" text="거부">
      <formula>NOT(ISERROR(SEARCH(("거부"),(D90))))</formula>
    </cfRule>
  </conditionalFormatting>
  <conditionalFormatting sqref="D90">
    <cfRule type="containsText" dxfId="1" priority="12273" operator="containsText" text="리턴">
      <formula>NOT(ISERROR(SEARCH(("리턴"),(D90))))</formula>
    </cfRule>
  </conditionalFormatting>
  <conditionalFormatting sqref="D90">
    <cfRule type="containsText" dxfId="2" priority="12274" operator="containsText" text="실패">
      <formula>NOT(ISERROR(SEARCH(("실패"),(D90))))</formula>
    </cfRule>
  </conditionalFormatting>
  <conditionalFormatting sqref="D90">
    <cfRule type="containsText" dxfId="3" priority="12275" operator="containsText" text="관리">
      <formula>NOT(ISERROR(SEARCH(("관리"),(D90))))</formula>
    </cfRule>
  </conditionalFormatting>
  <conditionalFormatting sqref="D90">
    <cfRule type="containsText" dxfId="4" priority="12276" operator="containsText" text="등록">
      <formula>NOT(ISERROR(SEARCH(("등록"),(D90))))</formula>
    </cfRule>
  </conditionalFormatting>
  <conditionalFormatting sqref="E90">
    <cfRule type="containsText" dxfId="0" priority="12277" operator="containsText" text="거부">
      <formula>NOT(ISERROR(SEARCH(("거부"),(E90))))</formula>
    </cfRule>
  </conditionalFormatting>
  <conditionalFormatting sqref="E90">
    <cfRule type="containsText" dxfId="1" priority="12278" operator="containsText" text="리턴">
      <formula>NOT(ISERROR(SEARCH(("리턴"),(E90))))</formula>
    </cfRule>
  </conditionalFormatting>
  <conditionalFormatting sqref="E90">
    <cfRule type="containsText" dxfId="2" priority="12279" operator="containsText" text="실패">
      <formula>NOT(ISERROR(SEARCH(("실패"),(E90))))</formula>
    </cfRule>
  </conditionalFormatting>
  <conditionalFormatting sqref="E90">
    <cfRule type="containsText" dxfId="3" priority="12280" operator="containsText" text="관리">
      <formula>NOT(ISERROR(SEARCH(("관리"),(E90))))</formula>
    </cfRule>
  </conditionalFormatting>
  <conditionalFormatting sqref="E90">
    <cfRule type="containsText" dxfId="4" priority="12281" operator="containsText" text="등록">
      <formula>NOT(ISERROR(SEARCH(("등록"),(E90))))</formula>
    </cfRule>
  </conditionalFormatting>
  <conditionalFormatting sqref="A91">
    <cfRule type="containsText" dxfId="0" priority="12282" operator="containsText" text="거부">
      <formula>NOT(ISERROR(SEARCH(("거부"),(A91))))</formula>
    </cfRule>
  </conditionalFormatting>
  <conditionalFormatting sqref="A91">
    <cfRule type="containsText" dxfId="1" priority="12283" operator="containsText" text="리턴">
      <formula>NOT(ISERROR(SEARCH(("리턴"),(A91))))</formula>
    </cfRule>
  </conditionalFormatting>
  <conditionalFormatting sqref="A91">
    <cfRule type="containsText" dxfId="2" priority="12284" operator="containsText" text="실패">
      <formula>NOT(ISERROR(SEARCH(("실패"),(A91))))</formula>
    </cfRule>
  </conditionalFormatting>
  <conditionalFormatting sqref="A91">
    <cfRule type="containsText" dxfId="3" priority="12285" operator="containsText" text="관리">
      <formula>NOT(ISERROR(SEARCH(("관리"),(A91))))</formula>
    </cfRule>
  </conditionalFormatting>
  <conditionalFormatting sqref="A91">
    <cfRule type="containsText" dxfId="4" priority="12286" operator="containsText" text="등록">
      <formula>NOT(ISERROR(SEARCH(("등록"),(A91))))</formula>
    </cfRule>
  </conditionalFormatting>
  <conditionalFormatting sqref="D91:E91">
    <cfRule type="containsText" dxfId="0" priority="12287" operator="containsText" text="거부">
      <formula>NOT(ISERROR(SEARCH(("거부"),(D91))))</formula>
    </cfRule>
  </conditionalFormatting>
  <conditionalFormatting sqref="D91:E91">
    <cfRule type="containsText" dxfId="1" priority="12288" operator="containsText" text="리턴">
      <formula>NOT(ISERROR(SEARCH(("리턴"),(D91))))</formula>
    </cfRule>
  </conditionalFormatting>
  <conditionalFormatting sqref="D91:E91">
    <cfRule type="containsText" dxfId="2" priority="12289" operator="containsText" text="실패">
      <formula>NOT(ISERROR(SEARCH(("실패"),(D91))))</formula>
    </cfRule>
  </conditionalFormatting>
  <conditionalFormatting sqref="D91:E91">
    <cfRule type="containsText" dxfId="3" priority="12290" operator="containsText" text="관리">
      <formula>NOT(ISERROR(SEARCH(("관리"),(D91))))</formula>
    </cfRule>
  </conditionalFormatting>
  <conditionalFormatting sqref="D91:E91">
    <cfRule type="containsText" dxfId="4" priority="12291" operator="containsText" text="등록">
      <formula>NOT(ISERROR(SEARCH(("등록"),(D91))))</formula>
    </cfRule>
  </conditionalFormatting>
  <conditionalFormatting sqref="A92">
    <cfRule type="containsText" dxfId="0" priority="12292" operator="containsText" text="거부">
      <formula>NOT(ISERROR(SEARCH(("거부"),(A92))))</formula>
    </cfRule>
  </conditionalFormatting>
  <conditionalFormatting sqref="A92">
    <cfRule type="containsText" dxfId="1" priority="12293" operator="containsText" text="리턴">
      <formula>NOT(ISERROR(SEARCH(("리턴"),(A92))))</formula>
    </cfRule>
  </conditionalFormatting>
  <conditionalFormatting sqref="A92">
    <cfRule type="containsText" dxfId="2" priority="12294" operator="containsText" text="실패">
      <formula>NOT(ISERROR(SEARCH(("실패"),(A92))))</formula>
    </cfRule>
  </conditionalFormatting>
  <conditionalFormatting sqref="A92">
    <cfRule type="containsText" dxfId="3" priority="12295" operator="containsText" text="관리">
      <formula>NOT(ISERROR(SEARCH(("관리"),(A92))))</formula>
    </cfRule>
  </conditionalFormatting>
  <conditionalFormatting sqref="A92">
    <cfRule type="containsText" dxfId="4" priority="12296" operator="containsText" text="등록">
      <formula>NOT(ISERROR(SEARCH(("등록"),(A92))))</formula>
    </cfRule>
  </conditionalFormatting>
  <conditionalFormatting sqref="D92">
    <cfRule type="containsText" dxfId="0" priority="12297" operator="containsText" text="거부">
      <formula>NOT(ISERROR(SEARCH(("거부"),(D92))))</formula>
    </cfRule>
  </conditionalFormatting>
  <conditionalFormatting sqref="D92">
    <cfRule type="containsText" dxfId="1" priority="12298" operator="containsText" text="리턴">
      <formula>NOT(ISERROR(SEARCH(("리턴"),(D92))))</formula>
    </cfRule>
  </conditionalFormatting>
  <conditionalFormatting sqref="D92">
    <cfRule type="containsText" dxfId="2" priority="12299" operator="containsText" text="실패">
      <formula>NOT(ISERROR(SEARCH(("실패"),(D92))))</formula>
    </cfRule>
  </conditionalFormatting>
  <conditionalFormatting sqref="D92">
    <cfRule type="containsText" dxfId="3" priority="12300" operator="containsText" text="관리">
      <formula>NOT(ISERROR(SEARCH(("관리"),(D92))))</formula>
    </cfRule>
  </conditionalFormatting>
  <conditionalFormatting sqref="D92">
    <cfRule type="containsText" dxfId="4" priority="12301" operator="containsText" text="등록">
      <formula>NOT(ISERROR(SEARCH(("등록"),(D92))))</formula>
    </cfRule>
  </conditionalFormatting>
  <conditionalFormatting sqref="D92">
    <cfRule type="containsText" dxfId="0" priority="12302" operator="containsText" text="거부">
      <formula>NOT(ISERROR(SEARCH(("거부"),(D92))))</formula>
    </cfRule>
  </conditionalFormatting>
  <conditionalFormatting sqref="D92">
    <cfRule type="containsText" dxfId="1" priority="12303" operator="containsText" text="리턴">
      <formula>NOT(ISERROR(SEARCH(("리턴"),(D92))))</formula>
    </cfRule>
  </conditionalFormatting>
  <conditionalFormatting sqref="D92">
    <cfRule type="containsText" dxfId="2" priority="12304" operator="containsText" text="실패">
      <formula>NOT(ISERROR(SEARCH(("실패"),(D92))))</formula>
    </cfRule>
  </conditionalFormatting>
  <conditionalFormatting sqref="D92">
    <cfRule type="containsText" dxfId="3" priority="12305" operator="containsText" text="관리">
      <formula>NOT(ISERROR(SEARCH(("관리"),(D92))))</formula>
    </cfRule>
  </conditionalFormatting>
  <conditionalFormatting sqref="D92">
    <cfRule type="containsText" dxfId="4" priority="12306" operator="containsText" text="등록">
      <formula>NOT(ISERROR(SEARCH(("등록"),(D92))))</formula>
    </cfRule>
  </conditionalFormatting>
  <conditionalFormatting sqref="A93">
    <cfRule type="containsText" dxfId="0" priority="12307" operator="containsText" text="거부">
      <formula>NOT(ISERROR(SEARCH(("거부"),(A93))))</formula>
    </cfRule>
  </conditionalFormatting>
  <conditionalFormatting sqref="A93">
    <cfRule type="containsText" dxfId="1" priority="12308" operator="containsText" text="리턴">
      <formula>NOT(ISERROR(SEARCH(("리턴"),(A93))))</formula>
    </cfRule>
  </conditionalFormatting>
  <conditionalFormatting sqref="A93">
    <cfRule type="containsText" dxfId="2" priority="12309" operator="containsText" text="실패">
      <formula>NOT(ISERROR(SEARCH(("실패"),(A93))))</formula>
    </cfRule>
  </conditionalFormatting>
  <conditionalFormatting sqref="A93">
    <cfRule type="containsText" dxfId="3" priority="12310" operator="containsText" text="관리">
      <formula>NOT(ISERROR(SEARCH(("관리"),(A93))))</formula>
    </cfRule>
  </conditionalFormatting>
  <conditionalFormatting sqref="A93">
    <cfRule type="containsText" dxfId="4" priority="12311" operator="containsText" text="등록">
      <formula>NOT(ISERROR(SEARCH(("등록"),(A93))))</formula>
    </cfRule>
  </conditionalFormatting>
  <conditionalFormatting sqref="D93 D105">
    <cfRule type="containsText" dxfId="0" priority="12312" operator="containsText" text="거부">
      <formula>NOT(ISERROR(SEARCH(("거부"),(D93))))</formula>
    </cfRule>
  </conditionalFormatting>
  <conditionalFormatting sqref="D93 D105">
    <cfRule type="containsText" dxfId="1" priority="12313" operator="containsText" text="리턴">
      <formula>NOT(ISERROR(SEARCH(("리턴"),(D93))))</formula>
    </cfRule>
  </conditionalFormatting>
  <conditionalFormatting sqref="D93 D105">
    <cfRule type="containsText" dxfId="2" priority="12314" operator="containsText" text="실패">
      <formula>NOT(ISERROR(SEARCH(("실패"),(D93))))</formula>
    </cfRule>
  </conditionalFormatting>
  <conditionalFormatting sqref="D93 D105">
    <cfRule type="containsText" dxfId="3" priority="12315" operator="containsText" text="관리">
      <formula>NOT(ISERROR(SEARCH(("관리"),(D93))))</formula>
    </cfRule>
  </conditionalFormatting>
  <conditionalFormatting sqref="D93 D105">
    <cfRule type="containsText" dxfId="4" priority="12316" operator="containsText" text="등록">
      <formula>NOT(ISERROR(SEARCH(("등록"),(D93))))</formula>
    </cfRule>
  </conditionalFormatting>
  <conditionalFormatting sqref="D93 D105">
    <cfRule type="containsText" dxfId="0" priority="12317" operator="containsText" text="거부">
      <formula>NOT(ISERROR(SEARCH(("거부"),(D93))))</formula>
    </cfRule>
  </conditionalFormatting>
  <conditionalFormatting sqref="D93 D105">
    <cfRule type="containsText" dxfId="1" priority="12318" operator="containsText" text="리턴">
      <formula>NOT(ISERROR(SEARCH(("리턴"),(D93))))</formula>
    </cfRule>
  </conditionalFormatting>
  <conditionalFormatting sqref="D93 D105">
    <cfRule type="containsText" dxfId="2" priority="12319" operator="containsText" text="실패">
      <formula>NOT(ISERROR(SEARCH(("실패"),(D93))))</formula>
    </cfRule>
  </conditionalFormatting>
  <conditionalFormatting sqref="D93 D105">
    <cfRule type="containsText" dxfId="3" priority="12320" operator="containsText" text="관리">
      <formula>NOT(ISERROR(SEARCH(("관리"),(D93))))</formula>
    </cfRule>
  </conditionalFormatting>
  <conditionalFormatting sqref="D93 D105">
    <cfRule type="containsText" dxfId="4" priority="12321" operator="containsText" text="등록">
      <formula>NOT(ISERROR(SEARCH(("등록"),(D93))))</formula>
    </cfRule>
  </conditionalFormatting>
  <conditionalFormatting sqref="A94">
    <cfRule type="containsText" dxfId="0" priority="12322" operator="containsText" text="거부">
      <formula>NOT(ISERROR(SEARCH(("거부"),(A94))))</formula>
    </cfRule>
  </conditionalFormatting>
  <conditionalFormatting sqref="A94">
    <cfRule type="containsText" dxfId="1" priority="12323" operator="containsText" text="리턴">
      <formula>NOT(ISERROR(SEARCH(("리턴"),(A94))))</formula>
    </cfRule>
  </conditionalFormatting>
  <conditionalFormatting sqref="A94">
    <cfRule type="containsText" dxfId="2" priority="12324" operator="containsText" text="실패">
      <formula>NOT(ISERROR(SEARCH(("실패"),(A94))))</formula>
    </cfRule>
  </conditionalFormatting>
  <conditionalFormatting sqref="A94">
    <cfRule type="containsText" dxfId="3" priority="12325" operator="containsText" text="관리">
      <formula>NOT(ISERROR(SEARCH(("관리"),(A94))))</formula>
    </cfRule>
  </conditionalFormatting>
  <conditionalFormatting sqref="A94">
    <cfRule type="containsText" dxfId="4" priority="12326" operator="containsText" text="등록">
      <formula>NOT(ISERROR(SEARCH(("등록"),(A94))))</formula>
    </cfRule>
  </conditionalFormatting>
  <conditionalFormatting sqref="A94">
    <cfRule type="containsText" dxfId="0" priority="12327" operator="containsText" text="거부">
      <formula>NOT(ISERROR(SEARCH(("거부"),(A94))))</formula>
    </cfRule>
  </conditionalFormatting>
  <conditionalFormatting sqref="A94">
    <cfRule type="containsText" dxfId="1" priority="12328" operator="containsText" text="리턴">
      <formula>NOT(ISERROR(SEARCH(("리턴"),(A94))))</formula>
    </cfRule>
  </conditionalFormatting>
  <conditionalFormatting sqref="A94">
    <cfRule type="containsText" dxfId="2" priority="12329" operator="containsText" text="실패">
      <formula>NOT(ISERROR(SEARCH(("실패"),(A94))))</formula>
    </cfRule>
  </conditionalFormatting>
  <conditionalFormatting sqref="A94">
    <cfRule type="containsText" dxfId="3" priority="12330" operator="containsText" text="관리">
      <formula>NOT(ISERROR(SEARCH(("관리"),(A94))))</formula>
    </cfRule>
  </conditionalFormatting>
  <conditionalFormatting sqref="A94">
    <cfRule type="containsText" dxfId="4" priority="12331" operator="containsText" text="등록">
      <formula>NOT(ISERROR(SEARCH(("등록"),(A94))))</formula>
    </cfRule>
  </conditionalFormatting>
  <conditionalFormatting sqref="A95">
    <cfRule type="containsText" dxfId="0" priority="12332" operator="containsText" text="거부">
      <formula>NOT(ISERROR(SEARCH(("거부"),(A95))))</formula>
    </cfRule>
  </conditionalFormatting>
  <conditionalFormatting sqref="A95">
    <cfRule type="containsText" dxfId="1" priority="12333" operator="containsText" text="리턴">
      <formula>NOT(ISERROR(SEARCH(("리턴"),(A95))))</formula>
    </cfRule>
  </conditionalFormatting>
  <conditionalFormatting sqref="A95">
    <cfRule type="containsText" dxfId="2" priority="12334" operator="containsText" text="실패">
      <formula>NOT(ISERROR(SEARCH(("실패"),(A95))))</formula>
    </cfRule>
  </conditionalFormatting>
  <conditionalFormatting sqref="A95">
    <cfRule type="containsText" dxfId="3" priority="12335" operator="containsText" text="관리">
      <formula>NOT(ISERROR(SEARCH(("관리"),(A95))))</formula>
    </cfRule>
  </conditionalFormatting>
  <conditionalFormatting sqref="A95">
    <cfRule type="containsText" dxfId="4" priority="12336" operator="containsText" text="등록">
      <formula>NOT(ISERROR(SEARCH(("등록"),(A95))))</formula>
    </cfRule>
  </conditionalFormatting>
  <conditionalFormatting sqref="D95">
    <cfRule type="containsText" dxfId="0" priority="12337" operator="containsText" text="거부">
      <formula>NOT(ISERROR(SEARCH(("거부"),(D95))))</formula>
    </cfRule>
  </conditionalFormatting>
  <conditionalFormatting sqref="D95">
    <cfRule type="containsText" dxfId="1" priority="12338" operator="containsText" text="리턴">
      <formula>NOT(ISERROR(SEARCH(("리턴"),(D95))))</formula>
    </cfRule>
  </conditionalFormatting>
  <conditionalFormatting sqref="D95">
    <cfRule type="containsText" dxfId="2" priority="12339" operator="containsText" text="실패">
      <formula>NOT(ISERROR(SEARCH(("실패"),(D95))))</formula>
    </cfRule>
  </conditionalFormatting>
  <conditionalFormatting sqref="D95">
    <cfRule type="containsText" dxfId="3" priority="12340" operator="containsText" text="관리">
      <formula>NOT(ISERROR(SEARCH(("관리"),(D95))))</formula>
    </cfRule>
  </conditionalFormatting>
  <conditionalFormatting sqref="D95">
    <cfRule type="containsText" dxfId="4" priority="12341" operator="containsText" text="등록">
      <formula>NOT(ISERROR(SEARCH(("등록"),(D95))))</formula>
    </cfRule>
  </conditionalFormatting>
  <conditionalFormatting sqref="D95">
    <cfRule type="containsText" dxfId="0" priority="12342" operator="containsText" text="거부">
      <formula>NOT(ISERROR(SEARCH(("거부"),(D95))))</formula>
    </cfRule>
  </conditionalFormatting>
  <conditionalFormatting sqref="D95">
    <cfRule type="containsText" dxfId="1" priority="12343" operator="containsText" text="리턴">
      <formula>NOT(ISERROR(SEARCH(("리턴"),(D95))))</formula>
    </cfRule>
  </conditionalFormatting>
  <conditionalFormatting sqref="D95">
    <cfRule type="containsText" dxfId="2" priority="12344" operator="containsText" text="실패">
      <formula>NOT(ISERROR(SEARCH(("실패"),(D95))))</formula>
    </cfRule>
  </conditionalFormatting>
  <conditionalFormatting sqref="D95">
    <cfRule type="containsText" dxfId="3" priority="12345" operator="containsText" text="관리">
      <formula>NOT(ISERROR(SEARCH(("관리"),(D95))))</formula>
    </cfRule>
  </conditionalFormatting>
  <conditionalFormatting sqref="D95">
    <cfRule type="containsText" dxfId="4" priority="12346" operator="containsText" text="등록">
      <formula>NOT(ISERROR(SEARCH(("등록"),(D95))))</formula>
    </cfRule>
  </conditionalFormatting>
  <conditionalFormatting sqref="E95">
    <cfRule type="containsText" dxfId="0" priority="12347" operator="containsText" text="거부">
      <formula>NOT(ISERROR(SEARCH(("거부"),(E95))))</formula>
    </cfRule>
  </conditionalFormatting>
  <conditionalFormatting sqref="E95">
    <cfRule type="containsText" dxfId="1" priority="12348" operator="containsText" text="리턴">
      <formula>NOT(ISERROR(SEARCH(("리턴"),(E95))))</formula>
    </cfRule>
  </conditionalFormatting>
  <conditionalFormatting sqref="E95">
    <cfRule type="containsText" dxfId="2" priority="12349" operator="containsText" text="실패">
      <formula>NOT(ISERROR(SEARCH(("실패"),(E95))))</formula>
    </cfRule>
  </conditionalFormatting>
  <conditionalFormatting sqref="E95">
    <cfRule type="containsText" dxfId="3" priority="12350" operator="containsText" text="관리">
      <formula>NOT(ISERROR(SEARCH(("관리"),(E95))))</formula>
    </cfRule>
  </conditionalFormatting>
  <conditionalFormatting sqref="E95">
    <cfRule type="containsText" dxfId="4" priority="12351" operator="containsText" text="등록">
      <formula>NOT(ISERROR(SEARCH(("등록"),(E95))))</formula>
    </cfRule>
  </conditionalFormatting>
  <conditionalFormatting sqref="G95">
    <cfRule type="containsText" dxfId="0" priority="12352" operator="containsText" text="거부">
      <formula>NOT(ISERROR(SEARCH(("거부"),(G95))))</formula>
    </cfRule>
  </conditionalFormatting>
  <conditionalFormatting sqref="G95">
    <cfRule type="containsText" dxfId="1" priority="12353" operator="containsText" text="리턴">
      <formula>NOT(ISERROR(SEARCH(("리턴"),(G95))))</formula>
    </cfRule>
  </conditionalFormatting>
  <conditionalFormatting sqref="G95">
    <cfRule type="containsText" dxfId="2" priority="12354" operator="containsText" text="실패">
      <formula>NOT(ISERROR(SEARCH(("실패"),(G95))))</formula>
    </cfRule>
  </conditionalFormatting>
  <conditionalFormatting sqref="G95">
    <cfRule type="containsText" dxfId="3" priority="12355" operator="containsText" text="관리">
      <formula>NOT(ISERROR(SEARCH(("관리"),(G95))))</formula>
    </cfRule>
  </conditionalFormatting>
  <conditionalFormatting sqref="G95">
    <cfRule type="containsText" dxfId="4" priority="12356" operator="containsText" text="등록">
      <formula>NOT(ISERROR(SEARCH(("등록"),(G95))))</formula>
    </cfRule>
  </conditionalFormatting>
  <conditionalFormatting sqref="A95:A97">
    <cfRule type="containsText" dxfId="0" priority="12357" operator="containsText" text="거부">
      <formula>NOT(ISERROR(SEARCH(("거부"),(A95))))</formula>
    </cfRule>
  </conditionalFormatting>
  <conditionalFormatting sqref="A95:A97">
    <cfRule type="containsText" dxfId="1" priority="12358" operator="containsText" text="리턴">
      <formula>NOT(ISERROR(SEARCH(("리턴"),(A95))))</formula>
    </cfRule>
  </conditionalFormatting>
  <conditionalFormatting sqref="A95:A97">
    <cfRule type="containsText" dxfId="2" priority="12359" operator="containsText" text="실패">
      <formula>NOT(ISERROR(SEARCH(("실패"),(A95))))</formula>
    </cfRule>
  </conditionalFormatting>
  <conditionalFormatting sqref="A95:A97">
    <cfRule type="containsText" dxfId="3" priority="12360" operator="containsText" text="관리">
      <formula>NOT(ISERROR(SEARCH(("관리"),(A95))))</formula>
    </cfRule>
  </conditionalFormatting>
  <conditionalFormatting sqref="A95:A97">
    <cfRule type="containsText" dxfId="4" priority="12361" operator="containsText" text="등록">
      <formula>NOT(ISERROR(SEARCH(("등록"),(A95))))</formula>
    </cfRule>
  </conditionalFormatting>
  <conditionalFormatting sqref="G95:G96">
    <cfRule type="containsText" dxfId="0" priority="12362" operator="containsText" text="거부">
      <formula>NOT(ISERROR(SEARCH(("거부"),(G95))))</formula>
    </cfRule>
  </conditionalFormatting>
  <conditionalFormatting sqref="G95:G96">
    <cfRule type="containsText" dxfId="1" priority="12363" operator="containsText" text="리턴">
      <formula>NOT(ISERROR(SEARCH(("리턴"),(G95))))</formula>
    </cfRule>
  </conditionalFormatting>
  <conditionalFormatting sqref="G95:G96">
    <cfRule type="containsText" dxfId="2" priority="12364" operator="containsText" text="실패">
      <formula>NOT(ISERROR(SEARCH(("실패"),(G95))))</formula>
    </cfRule>
  </conditionalFormatting>
  <conditionalFormatting sqref="G95:G96">
    <cfRule type="containsText" dxfId="3" priority="12365" operator="containsText" text="관리">
      <formula>NOT(ISERROR(SEARCH(("관리"),(G95))))</formula>
    </cfRule>
  </conditionalFormatting>
  <conditionalFormatting sqref="G95:G96">
    <cfRule type="containsText" dxfId="4" priority="12366" operator="containsText" text="등록">
      <formula>NOT(ISERROR(SEARCH(("등록"),(G95))))</formula>
    </cfRule>
  </conditionalFormatting>
  <conditionalFormatting sqref="D96">
    <cfRule type="containsText" dxfId="0" priority="12367" operator="containsText" text="거부">
      <formula>NOT(ISERROR(SEARCH(("거부"),(D96))))</formula>
    </cfRule>
  </conditionalFormatting>
  <conditionalFormatting sqref="D96">
    <cfRule type="containsText" dxfId="1" priority="12368" operator="containsText" text="리턴">
      <formula>NOT(ISERROR(SEARCH(("리턴"),(D96))))</formula>
    </cfRule>
  </conditionalFormatting>
  <conditionalFormatting sqref="D96">
    <cfRule type="containsText" dxfId="2" priority="12369" operator="containsText" text="실패">
      <formula>NOT(ISERROR(SEARCH(("실패"),(D96))))</formula>
    </cfRule>
  </conditionalFormatting>
  <conditionalFormatting sqref="D96">
    <cfRule type="containsText" dxfId="3" priority="12370" operator="containsText" text="관리">
      <formula>NOT(ISERROR(SEARCH(("관리"),(D96))))</formula>
    </cfRule>
  </conditionalFormatting>
  <conditionalFormatting sqref="D96">
    <cfRule type="containsText" dxfId="4" priority="12371" operator="containsText" text="등록">
      <formula>NOT(ISERROR(SEARCH(("등록"),(D96))))</formula>
    </cfRule>
  </conditionalFormatting>
  <conditionalFormatting sqref="D96">
    <cfRule type="containsText" dxfId="0" priority="12372" operator="containsText" text="거부">
      <formula>NOT(ISERROR(SEARCH(("거부"),(D96))))</formula>
    </cfRule>
  </conditionalFormatting>
  <conditionalFormatting sqref="D96">
    <cfRule type="containsText" dxfId="1" priority="12373" operator="containsText" text="리턴">
      <formula>NOT(ISERROR(SEARCH(("리턴"),(D96))))</formula>
    </cfRule>
  </conditionalFormatting>
  <conditionalFormatting sqref="D96">
    <cfRule type="containsText" dxfId="2" priority="12374" operator="containsText" text="실패">
      <formula>NOT(ISERROR(SEARCH(("실패"),(D96))))</formula>
    </cfRule>
  </conditionalFormatting>
  <conditionalFormatting sqref="D96">
    <cfRule type="containsText" dxfId="3" priority="12375" operator="containsText" text="관리">
      <formula>NOT(ISERROR(SEARCH(("관리"),(D96))))</formula>
    </cfRule>
  </conditionalFormatting>
  <conditionalFormatting sqref="D96">
    <cfRule type="containsText" dxfId="4" priority="12376" operator="containsText" text="등록">
      <formula>NOT(ISERROR(SEARCH(("등록"),(D96))))</formula>
    </cfRule>
  </conditionalFormatting>
  <conditionalFormatting sqref="G90">
    <cfRule type="containsText" dxfId="0" priority="12377" operator="containsText" text="거부">
      <formula>NOT(ISERROR(SEARCH(("거부"),(G90))))</formula>
    </cfRule>
  </conditionalFormatting>
  <conditionalFormatting sqref="G90">
    <cfRule type="containsText" dxfId="1" priority="12378" operator="containsText" text="리턴">
      <formula>NOT(ISERROR(SEARCH(("리턴"),(G90))))</formula>
    </cfRule>
  </conditionalFormatting>
  <conditionalFormatting sqref="G90">
    <cfRule type="containsText" dxfId="2" priority="12379" operator="containsText" text="실패">
      <formula>NOT(ISERROR(SEARCH(("실패"),(G90))))</formula>
    </cfRule>
  </conditionalFormatting>
  <conditionalFormatting sqref="G90">
    <cfRule type="containsText" dxfId="3" priority="12380" operator="containsText" text="관리">
      <formula>NOT(ISERROR(SEARCH(("관리"),(G90))))</formula>
    </cfRule>
  </conditionalFormatting>
  <conditionalFormatting sqref="G90">
    <cfRule type="containsText" dxfId="4" priority="12381" operator="containsText" text="등록">
      <formula>NOT(ISERROR(SEARCH(("등록"),(G90))))</formula>
    </cfRule>
  </conditionalFormatting>
  <conditionalFormatting sqref="H93">
    <cfRule type="containsText" dxfId="0" priority="12382" operator="containsText" text="거부">
      <formula>NOT(ISERROR(SEARCH(("거부"),(H93))))</formula>
    </cfRule>
  </conditionalFormatting>
  <conditionalFormatting sqref="H93">
    <cfRule type="containsText" dxfId="1" priority="12383" operator="containsText" text="리턴">
      <formula>NOT(ISERROR(SEARCH(("리턴"),(H93))))</formula>
    </cfRule>
  </conditionalFormatting>
  <conditionalFormatting sqref="H93">
    <cfRule type="containsText" dxfId="2" priority="12384" operator="containsText" text="실패">
      <formula>NOT(ISERROR(SEARCH(("실패"),(H93))))</formula>
    </cfRule>
  </conditionalFormatting>
  <conditionalFormatting sqref="H93">
    <cfRule type="containsText" dxfId="3" priority="12385" operator="containsText" text="관리">
      <formula>NOT(ISERROR(SEARCH(("관리"),(H93))))</formula>
    </cfRule>
  </conditionalFormatting>
  <conditionalFormatting sqref="H93">
    <cfRule type="containsText" dxfId="4" priority="12386" operator="containsText" text="등록">
      <formula>NOT(ISERROR(SEARCH(("등록"),(H93))))</formula>
    </cfRule>
  </conditionalFormatting>
  <conditionalFormatting sqref="G93">
    <cfRule type="containsText" dxfId="0" priority="12387" operator="containsText" text="거부">
      <formula>NOT(ISERROR(SEARCH(("거부"),(G93))))</formula>
    </cfRule>
  </conditionalFormatting>
  <conditionalFormatting sqref="G93">
    <cfRule type="containsText" dxfId="1" priority="12388" operator="containsText" text="리턴">
      <formula>NOT(ISERROR(SEARCH(("리턴"),(G93))))</formula>
    </cfRule>
  </conditionalFormatting>
  <conditionalFormatting sqref="G93">
    <cfRule type="containsText" dxfId="2" priority="12389" operator="containsText" text="실패">
      <formula>NOT(ISERROR(SEARCH(("실패"),(G93))))</formula>
    </cfRule>
  </conditionalFormatting>
  <conditionalFormatting sqref="G93">
    <cfRule type="containsText" dxfId="3" priority="12390" operator="containsText" text="관리">
      <formula>NOT(ISERROR(SEARCH(("관리"),(G93))))</formula>
    </cfRule>
  </conditionalFormatting>
  <conditionalFormatting sqref="G93">
    <cfRule type="containsText" dxfId="4" priority="12391" operator="containsText" text="등록">
      <formula>NOT(ISERROR(SEARCH(("등록"),(G93))))</formula>
    </cfRule>
  </conditionalFormatting>
  <conditionalFormatting sqref="F92">
    <cfRule type="containsText" dxfId="0" priority="12392" operator="containsText" text="거부">
      <formula>NOT(ISERROR(SEARCH(("거부"),(F92))))</formula>
    </cfRule>
  </conditionalFormatting>
  <conditionalFormatting sqref="F92">
    <cfRule type="containsText" dxfId="1" priority="12393" operator="containsText" text="리턴">
      <formula>NOT(ISERROR(SEARCH(("리턴"),(F92))))</formula>
    </cfRule>
  </conditionalFormatting>
  <conditionalFormatting sqref="F92">
    <cfRule type="containsText" dxfId="2" priority="12394" operator="containsText" text="실패">
      <formula>NOT(ISERROR(SEARCH(("실패"),(F92))))</formula>
    </cfRule>
  </conditionalFormatting>
  <conditionalFormatting sqref="F92">
    <cfRule type="containsText" dxfId="3" priority="12395" operator="containsText" text="관리">
      <formula>NOT(ISERROR(SEARCH(("관리"),(F92))))</formula>
    </cfRule>
  </conditionalFormatting>
  <conditionalFormatting sqref="F92">
    <cfRule type="containsText" dxfId="4" priority="12396" operator="containsText" text="등록">
      <formula>NOT(ISERROR(SEARCH(("등록"),(F92))))</formula>
    </cfRule>
  </conditionalFormatting>
  <conditionalFormatting sqref="G92">
    <cfRule type="containsText" dxfId="0" priority="12397" operator="containsText" text="거부">
      <formula>NOT(ISERROR(SEARCH(("거부"),(G92))))</formula>
    </cfRule>
  </conditionalFormatting>
  <conditionalFormatting sqref="G92">
    <cfRule type="containsText" dxfId="1" priority="12398" operator="containsText" text="리턴">
      <formula>NOT(ISERROR(SEARCH(("리턴"),(G92))))</formula>
    </cfRule>
  </conditionalFormatting>
  <conditionalFormatting sqref="G92">
    <cfRule type="containsText" dxfId="2" priority="12399" operator="containsText" text="실패">
      <formula>NOT(ISERROR(SEARCH(("실패"),(G92))))</formula>
    </cfRule>
  </conditionalFormatting>
  <conditionalFormatting sqref="G92">
    <cfRule type="containsText" dxfId="3" priority="12400" operator="containsText" text="관리">
      <formula>NOT(ISERROR(SEARCH(("관리"),(G92))))</formula>
    </cfRule>
  </conditionalFormatting>
  <conditionalFormatting sqref="G92">
    <cfRule type="containsText" dxfId="4" priority="12401" operator="containsText" text="등록">
      <formula>NOT(ISERROR(SEARCH(("등록"),(G92))))</formula>
    </cfRule>
  </conditionalFormatting>
  <conditionalFormatting sqref="A88">
    <cfRule type="containsText" dxfId="0" priority="12402" operator="containsText" text="거부">
      <formula>NOT(ISERROR(SEARCH(("거부"),(A88))))</formula>
    </cfRule>
  </conditionalFormatting>
  <conditionalFormatting sqref="A88">
    <cfRule type="containsText" dxfId="1" priority="12403" operator="containsText" text="리턴">
      <formula>NOT(ISERROR(SEARCH(("리턴"),(A88))))</formula>
    </cfRule>
  </conditionalFormatting>
  <conditionalFormatting sqref="A88">
    <cfRule type="containsText" dxfId="2" priority="12404" operator="containsText" text="실패">
      <formula>NOT(ISERROR(SEARCH(("실패"),(A88))))</formula>
    </cfRule>
  </conditionalFormatting>
  <conditionalFormatting sqref="A88">
    <cfRule type="containsText" dxfId="3" priority="12405" operator="containsText" text="관리">
      <formula>NOT(ISERROR(SEARCH(("관리"),(A88))))</formula>
    </cfRule>
  </conditionalFormatting>
  <conditionalFormatting sqref="A88">
    <cfRule type="containsText" dxfId="4" priority="12406" operator="containsText" text="등록">
      <formula>NOT(ISERROR(SEARCH(("등록"),(A88))))</formula>
    </cfRule>
  </conditionalFormatting>
  <conditionalFormatting sqref="I88">
    <cfRule type="containsText" dxfId="0" priority="12407" operator="containsText" text="거부">
      <formula>NOT(ISERROR(SEARCH(("거부"),(I88))))</formula>
    </cfRule>
  </conditionalFormatting>
  <conditionalFormatting sqref="I88">
    <cfRule type="containsText" dxfId="1" priority="12408" operator="containsText" text="리턴">
      <formula>NOT(ISERROR(SEARCH(("리턴"),(I88))))</formula>
    </cfRule>
  </conditionalFormatting>
  <conditionalFormatting sqref="I88">
    <cfRule type="containsText" dxfId="2" priority="12409" operator="containsText" text="실패">
      <formula>NOT(ISERROR(SEARCH(("실패"),(I88))))</formula>
    </cfRule>
  </conditionalFormatting>
  <conditionalFormatting sqref="I88">
    <cfRule type="containsText" dxfId="3" priority="12410" operator="containsText" text="관리">
      <formula>NOT(ISERROR(SEARCH(("관리"),(I88))))</formula>
    </cfRule>
  </conditionalFormatting>
  <conditionalFormatting sqref="I88">
    <cfRule type="containsText" dxfId="4" priority="12411" operator="containsText" text="등록">
      <formula>NOT(ISERROR(SEARCH(("등록"),(I88))))</formula>
    </cfRule>
  </conditionalFormatting>
  <conditionalFormatting sqref="A87">
    <cfRule type="containsText" dxfId="0" priority="12412" operator="containsText" text="거부">
      <formula>NOT(ISERROR(SEARCH(("거부"),(A87))))</formula>
    </cfRule>
  </conditionalFormatting>
  <conditionalFormatting sqref="A87">
    <cfRule type="containsText" dxfId="1" priority="12413" operator="containsText" text="리턴">
      <formula>NOT(ISERROR(SEARCH(("리턴"),(A87))))</formula>
    </cfRule>
  </conditionalFormatting>
  <conditionalFormatting sqref="A87">
    <cfRule type="containsText" dxfId="2" priority="12414" operator="containsText" text="실패">
      <formula>NOT(ISERROR(SEARCH(("실패"),(A87))))</formula>
    </cfRule>
  </conditionalFormatting>
  <conditionalFormatting sqref="A87">
    <cfRule type="containsText" dxfId="3" priority="12415" operator="containsText" text="관리">
      <formula>NOT(ISERROR(SEARCH(("관리"),(A87))))</formula>
    </cfRule>
  </conditionalFormatting>
  <conditionalFormatting sqref="A87">
    <cfRule type="containsText" dxfId="4" priority="12416" operator="containsText" text="등록">
      <formula>NOT(ISERROR(SEARCH(("등록"),(A87))))</formula>
    </cfRule>
  </conditionalFormatting>
  <conditionalFormatting sqref="A87">
    <cfRule type="containsText" dxfId="0" priority="12417" operator="containsText" text="거부">
      <formula>NOT(ISERROR(SEARCH(("거부"),(A87))))</formula>
    </cfRule>
  </conditionalFormatting>
  <conditionalFormatting sqref="A87">
    <cfRule type="containsText" dxfId="1" priority="12418" operator="containsText" text="리턴">
      <formula>NOT(ISERROR(SEARCH(("리턴"),(A87))))</formula>
    </cfRule>
  </conditionalFormatting>
  <conditionalFormatting sqref="A87">
    <cfRule type="containsText" dxfId="2" priority="12419" operator="containsText" text="실패">
      <formula>NOT(ISERROR(SEARCH(("실패"),(A87))))</formula>
    </cfRule>
  </conditionalFormatting>
  <conditionalFormatting sqref="A87">
    <cfRule type="containsText" dxfId="3" priority="12420" operator="containsText" text="관리">
      <formula>NOT(ISERROR(SEARCH(("관리"),(A87))))</formula>
    </cfRule>
  </conditionalFormatting>
  <conditionalFormatting sqref="A87">
    <cfRule type="containsText" dxfId="4" priority="12421" operator="containsText" text="등록">
      <formula>NOT(ISERROR(SEARCH(("등록"),(A87))))</formula>
    </cfRule>
  </conditionalFormatting>
  <conditionalFormatting sqref="A89">
    <cfRule type="containsText" dxfId="0" priority="12422" operator="containsText" text="거부">
      <formula>NOT(ISERROR(SEARCH(("거부"),(A89))))</formula>
    </cfRule>
  </conditionalFormatting>
  <conditionalFormatting sqref="A89">
    <cfRule type="containsText" dxfId="1" priority="12423" operator="containsText" text="리턴">
      <formula>NOT(ISERROR(SEARCH(("리턴"),(A89))))</formula>
    </cfRule>
  </conditionalFormatting>
  <conditionalFormatting sqref="A89">
    <cfRule type="containsText" dxfId="2" priority="12424" operator="containsText" text="실패">
      <formula>NOT(ISERROR(SEARCH(("실패"),(A89))))</formula>
    </cfRule>
  </conditionalFormatting>
  <conditionalFormatting sqref="A89">
    <cfRule type="containsText" dxfId="3" priority="12425" operator="containsText" text="관리">
      <formula>NOT(ISERROR(SEARCH(("관리"),(A89))))</formula>
    </cfRule>
  </conditionalFormatting>
  <conditionalFormatting sqref="A89">
    <cfRule type="containsText" dxfId="4" priority="12426" operator="containsText" text="등록">
      <formula>NOT(ISERROR(SEARCH(("등록"),(A89))))</formula>
    </cfRule>
  </conditionalFormatting>
  <conditionalFormatting sqref="D89">
    <cfRule type="containsText" dxfId="0" priority="12427" operator="containsText" text="거부">
      <formula>NOT(ISERROR(SEARCH(("거부"),(D89))))</formula>
    </cfRule>
  </conditionalFormatting>
  <conditionalFormatting sqref="D89">
    <cfRule type="containsText" dxfId="1" priority="12428" operator="containsText" text="리턴">
      <formula>NOT(ISERROR(SEARCH(("리턴"),(D89))))</formula>
    </cfRule>
  </conditionalFormatting>
  <conditionalFormatting sqref="D89">
    <cfRule type="containsText" dxfId="2" priority="12429" operator="containsText" text="실패">
      <formula>NOT(ISERROR(SEARCH(("실패"),(D89))))</formula>
    </cfRule>
  </conditionalFormatting>
  <conditionalFormatting sqref="D89">
    <cfRule type="containsText" dxfId="3" priority="12430" operator="containsText" text="관리">
      <formula>NOT(ISERROR(SEARCH(("관리"),(D89))))</formula>
    </cfRule>
  </conditionalFormatting>
  <conditionalFormatting sqref="D89">
    <cfRule type="containsText" dxfId="4" priority="12431" operator="containsText" text="등록">
      <formula>NOT(ISERROR(SEARCH(("등록"),(D89))))</formula>
    </cfRule>
  </conditionalFormatting>
  <conditionalFormatting sqref="D89">
    <cfRule type="containsText" dxfId="0" priority="12432" operator="containsText" text="거부">
      <formula>NOT(ISERROR(SEARCH(("거부"),(D89))))</formula>
    </cfRule>
  </conditionalFormatting>
  <conditionalFormatting sqref="D89">
    <cfRule type="containsText" dxfId="1" priority="12433" operator="containsText" text="리턴">
      <formula>NOT(ISERROR(SEARCH(("리턴"),(D89))))</formula>
    </cfRule>
  </conditionalFormatting>
  <conditionalFormatting sqref="D89">
    <cfRule type="containsText" dxfId="2" priority="12434" operator="containsText" text="실패">
      <formula>NOT(ISERROR(SEARCH(("실패"),(D89))))</formula>
    </cfRule>
  </conditionalFormatting>
  <conditionalFormatting sqref="D89">
    <cfRule type="containsText" dxfId="3" priority="12435" operator="containsText" text="관리">
      <formula>NOT(ISERROR(SEARCH(("관리"),(D89))))</formula>
    </cfRule>
  </conditionalFormatting>
  <conditionalFormatting sqref="D89">
    <cfRule type="containsText" dxfId="4" priority="12436" operator="containsText" text="등록">
      <formula>NOT(ISERROR(SEARCH(("등록"),(D89))))</formula>
    </cfRule>
  </conditionalFormatting>
  <conditionalFormatting sqref="E89">
    <cfRule type="containsText" dxfId="0" priority="12437" operator="containsText" text="거부">
      <formula>NOT(ISERROR(SEARCH(("거부"),(E89))))</formula>
    </cfRule>
  </conditionalFormatting>
  <conditionalFormatting sqref="E89">
    <cfRule type="containsText" dxfId="1" priority="12438" operator="containsText" text="리턴">
      <formula>NOT(ISERROR(SEARCH(("리턴"),(E89))))</formula>
    </cfRule>
  </conditionalFormatting>
  <conditionalFormatting sqref="E89">
    <cfRule type="containsText" dxfId="2" priority="12439" operator="containsText" text="실패">
      <formula>NOT(ISERROR(SEARCH(("실패"),(E89))))</formula>
    </cfRule>
  </conditionalFormatting>
  <conditionalFormatting sqref="E89">
    <cfRule type="containsText" dxfId="3" priority="12440" operator="containsText" text="관리">
      <formula>NOT(ISERROR(SEARCH(("관리"),(E89))))</formula>
    </cfRule>
  </conditionalFormatting>
  <conditionalFormatting sqref="E89">
    <cfRule type="containsText" dxfId="4" priority="12441" operator="containsText" text="등록">
      <formula>NOT(ISERROR(SEARCH(("등록"),(E89))))</formula>
    </cfRule>
  </conditionalFormatting>
  <conditionalFormatting sqref="A90">
    <cfRule type="containsText" dxfId="0" priority="12442" operator="containsText" text="거부">
      <formula>NOT(ISERROR(SEARCH(("거부"),(A90))))</formula>
    </cfRule>
  </conditionalFormatting>
  <conditionalFormatting sqref="A90">
    <cfRule type="containsText" dxfId="1" priority="12443" operator="containsText" text="리턴">
      <formula>NOT(ISERROR(SEARCH(("리턴"),(A90))))</formula>
    </cfRule>
  </conditionalFormatting>
  <conditionalFormatting sqref="A90">
    <cfRule type="containsText" dxfId="2" priority="12444" operator="containsText" text="실패">
      <formula>NOT(ISERROR(SEARCH(("실패"),(A90))))</formula>
    </cfRule>
  </conditionalFormatting>
  <conditionalFormatting sqref="A90">
    <cfRule type="containsText" dxfId="3" priority="12445" operator="containsText" text="관리">
      <formula>NOT(ISERROR(SEARCH(("관리"),(A90))))</formula>
    </cfRule>
  </conditionalFormatting>
  <conditionalFormatting sqref="A90">
    <cfRule type="containsText" dxfId="4" priority="12446" operator="containsText" text="등록">
      <formula>NOT(ISERROR(SEARCH(("등록"),(A90))))</formula>
    </cfRule>
  </conditionalFormatting>
  <conditionalFormatting sqref="D90:E90">
    <cfRule type="containsText" dxfId="0" priority="12447" operator="containsText" text="거부">
      <formula>NOT(ISERROR(SEARCH(("거부"),(D90))))</formula>
    </cfRule>
  </conditionalFormatting>
  <conditionalFormatting sqref="D90:E90">
    <cfRule type="containsText" dxfId="1" priority="12448" operator="containsText" text="리턴">
      <formula>NOT(ISERROR(SEARCH(("리턴"),(D90))))</formula>
    </cfRule>
  </conditionalFormatting>
  <conditionalFormatting sqref="D90:E90">
    <cfRule type="containsText" dxfId="2" priority="12449" operator="containsText" text="실패">
      <formula>NOT(ISERROR(SEARCH(("실패"),(D90))))</formula>
    </cfRule>
  </conditionalFormatting>
  <conditionalFormatting sqref="D90:E90">
    <cfRule type="containsText" dxfId="3" priority="12450" operator="containsText" text="관리">
      <formula>NOT(ISERROR(SEARCH(("관리"),(D90))))</formula>
    </cfRule>
  </conditionalFormatting>
  <conditionalFormatting sqref="D90:E90">
    <cfRule type="containsText" dxfId="4" priority="12451" operator="containsText" text="등록">
      <formula>NOT(ISERROR(SEARCH(("등록"),(D90))))</formula>
    </cfRule>
  </conditionalFormatting>
  <conditionalFormatting sqref="A91">
    <cfRule type="containsText" dxfId="0" priority="12452" operator="containsText" text="거부">
      <formula>NOT(ISERROR(SEARCH(("거부"),(A91))))</formula>
    </cfRule>
  </conditionalFormatting>
  <conditionalFormatting sqref="A91">
    <cfRule type="containsText" dxfId="1" priority="12453" operator="containsText" text="리턴">
      <formula>NOT(ISERROR(SEARCH(("리턴"),(A91))))</formula>
    </cfRule>
  </conditionalFormatting>
  <conditionalFormatting sqref="A91">
    <cfRule type="containsText" dxfId="2" priority="12454" operator="containsText" text="실패">
      <formula>NOT(ISERROR(SEARCH(("실패"),(A91))))</formula>
    </cfRule>
  </conditionalFormatting>
  <conditionalFormatting sqref="A91">
    <cfRule type="containsText" dxfId="3" priority="12455" operator="containsText" text="관리">
      <formula>NOT(ISERROR(SEARCH(("관리"),(A91))))</formula>
    </cfRule>
  </conditionalFormatting>
  <conditionalFormatting sqref="A91">
    <cfRule type="containsText" dxfId="4" priority="12456" operator="containsText" text="등록">
      <formula>NOT(ISERROR(SEARCH(("등록"),(A91))))</formula>
    </cfRule>
  </conditionalFormatting>
  <conditionalFormatting sqref="D91">
    <cfRule type="containsText" dxfId="0" priority="12457" operator="containsText" text="거부">
      <formula>NOT(ISERROR(SEARCH(("거부"),(D91))))</formula>
    </cfRule>
  </conditionalFormatting>
  <conditionalFormatting sqref="D91">
    <cfRule type="containsText" dxfId="1" priority="12458" operator="containsText" text="리턴">
      <formula>NOT(ISERROR(SEARCH(("리턴"),(D91))))</formula>
    </cfRule>
  </conditionalFormatting>
  <conditionalFormatting sqref="D91">
    <cfRule type="containsText" dxfId="2" priority="12459" operator="containsText" text="실패">
      <formula>NOT(ISERROR(SEARCH(("실패"),(D91))))</formula>
    </cfRule>
  </conditionalFormatting>
  <conditionalFormatting sqref="D91">
    <cfRule type="containsText" dxfId="3" priority="12460" operator="containsText" text="관리">
      <formula>NOT(ISERROR(SEARCH(("관리"),(D91))))</formula>
    </cfRule>
  </conditionalFormatting>
  <conditionalFormatting sqref="D91">
    <cfRule type="containsText" dxfId="4" priority="12461" operator="containsText" text="등록">
      <formula>NOT(ISERROR(SEARCH(("등록"),(D91))))</formula>
    </cfRule>
  </conditionalFormatting>
  <conditionalFormatting sqref="D91">
    <cfRule type="containsText" dxfId="0" priority="12462" operator="containsText" text="거부">
      <formula>NOT(ISERROR(SEARCH(("거부"),(D91))))</formula>
    </cfRule>
  </conditionalFormatting>
  <conditionalFormatting sqref="D91">
    <cfRule type="containsText" dxfId="1" priority="12463" operator="containsText" text="리턴">
      <formula>NOT(ISERROR(SEARCH(("리턴"),(D91))))</formula>
    </cfRule>
  </conditionalFormatting>
  <conditionalFormatting sqref="D91">
    <cfRule type="containsText" dxfId="2" priority="12464" operator="containsText" text="실패">
      <formula>NOT(ISERROR(SEARCH(("실패"),(D91))))</formula>
    </cfRule>
  </conditionalFormatting>
  <conditionalFormatting sqref="D91">
    <cfRule type="containsText" dxfId="3" priority="12465" operator="containsText" text="관리">
      <formula>NOT(ISERROR(SEARCH(("관리"),(D91))))</formula>
    </cfRule>
  </conditionalFormatting>
  <conditionalFormatting sqref="D91">
    <cfRule type="containsText" dxfId="4" priority="12466" operator="containsText" text="등록">
      <formula>NOT(ISERROR(SEARCH(("등록"),(D91))))</formula>
    </cfRule>
  </conditionalFormatting>
  <conditionalFormatting sqref="A92">
    <cfRule type="containsText" dxfId="0" priority="12467" operator="containsText" text="거부">
      <formula>NOT(ISERROR(SEARCH(("거부"),(A92))))</formula>
    </cfRule>
  </conditionalFormatting>
  <conditionalFormatting sqref="A92">
    <cfRule type="containsText" dxfId="1" priority="12468" operator="containsText" text="리턴">
      <formula>NOT(ISERROR(SEARCH(("리턴"),(A92))))</formula>
    </cfRule>
  </conditionalFormatting>
  <conditionalFormatting sqref="A92">
    <cfRule type="containsText" dxfId="2" priority="12469" operator="containsText" text="실패">
      <formula>NOT(ISERROR(SEARCH(("실패"),(A92))))</formula>
    </cfRule>
  </conditionalFormatting>
  <conditionalFormatting sqref="A92">
    <cfRule type="containsText" dxfId="3" priority="12470" operator="containsText" text="관리">
      <formula>NOT(ISERROR(SEARCH(("관리"),(A92))))</formula>
    </cfRule>
  </conditionalFormatting>
  <conditionalFormatting sqref="A92">
    <cfRule type="containsText" dxfId="4" priority="12471" operator="containsText" text="등록">
      <formula>NOT(ISERROR(SEARCH(("등록"),(A92))))</formula>
    </cfRule>
  </conditionalFormatting>
  <conditionalFormatting sqref="D92">
    <cfRule type="containsText" dxfId="0" priority="12472" operator="containsText" text="거부">
      <formula>NOT(ISERROR(SEARCH(("거부"),(D92))))</formula>
    </cfRule>
  </conditionalFormatting>
  <conditionalFormatting sqref="D92">
    <cfRule type="containsText" dxfId="1" priority="12473" operator="containsText" text="리턴">
      <formula>NOT(ISERROR(SEARCH(("리턴"),(D92))))</formula>
    </cfRule>
  </conditionalFormatting>
  <conditionalFormatting sqref="D92">
    <cfRule type="containsText" dxfId="2" priority="12474" operator="containsText" text="실패">
      <formula>NOT(ISERROR(SEARCH(("실패"),(D92))))</formula>
    </cfRule>
  </conditionalFormatting>
  <conditionalFormatting sqref="D92">
    <cfRule type="containsText" dxfId="3" priority="12475" operator="containsText" text="관리">
      <formula>NOT(ISERROR(SEARCH(("관리"),(D92))))</formula>
    </cfRule>
  </conditionalFormatting>
  <conditionalFormatting sqref="D92">
    <cfRule type="containsText" dxfId="4" priority="12476" operator="containsText" text="등록">
      <formula>NOT(ISERROR(SEARCH(("등록"),(D92))))</formula>
    </cfRule>
  </conditionalFormatting>
  <conditionalFormatting sqref="D92">
    <cfRule type="containsText" dxfId="0" priority="12477" operator="containsText" text="거부">
      <formula>NOT(ISERROR(SEARCH(("거부"),(D92))))</formula>
    </cfRule>
  </conditionalFormatting>
  <conditionalFormatting sqref="D92">
    <cfRule type="containsText" dxfId="1" priority="12478" operator="containsText" text="리턴">
      <formula>NOT(ISERROR(SEARCH(("리턴"),(D92))))</formula>
    </cfRule>
  </conditionalFormatting>
  <conditionalFormatting sqref="D92">
    <cfRule type="containsText" dxfId="2" priority="12479" operator="containsText" text="실패">
      <formula>NOT(ISERROR(SEARCH(("실패"),(D92))))</formula>
    </cfRule>
  </conditionalFormatting>
  <conditionalFormatting sqref="D92">
    <cfRule type="containsText" dxfId="3" priority="12480" operator="containsText" text="관리">
      <formula>NOT(ISERROR(SEARCH(("관리"),(D92))))</formula>
    </cfRule>
  </conditionalFormatting>
  <conditionalFormatting sqref="D92">
    <cfRule type="containsText" dxfId="4" priority="12481" operator="containsText" text="등록">
      <formula>NOT(ISERROR(SEARCH(("등록"),(D92))))</formula>
    </cfRule>
  </conditionalFormatting>
  <conditionalFormatting sqref="A93">
    <cfRule type="containsText" dxfId="0" priority="12482" operator="containsText" text="거부">
      <formula>NOT(ISERROR(SEARCH(("거부"),(A93))))</formula>
    </cfRule>
  </conditionalFormatting>
  <conditionalFormatting sqref="A93">
    <cfRule type="containsText" dxfId="1" priority="12483" operator="containsText" text="리턴">
      <formula>NOT(ISERROR(SEARCH(("리턴"),(A93))))</formula>
    </cfRule>
  </conditionalFormatting>
  <conditionalFormatting sqref="A93">
    <cfRule type="containsText" dxfId="2" priority="12484" operator="containsText" text="실패">
      <formula>NOT(ISERROR(SEARCH(("실패"),(A93))))</formula>
    </cfRule>
  </conditionalFormatting>
  <conditionalFormatting sqref="A93">
    <cfRule type="containsText" dxfId="3" priority="12485" operator="containsText" text="관리">
      <formula>NOT(ISERROR(SEARCH(("관리"),(A93))))</formula>
    </cfRule>
  </conditionalFormatting>
  <conditionalFormatting sqref="A93">
    <cfRule type="containsText" dxfId="4" priority="12486" operator="containsText" text="등록">
      <formula>NOT(ISERROR(SEARCH(("등록"),(A93))))</formula>
    </cfRule>
  </conditionalFormatting>
  <conditionalFormatting sqref="A93">
    <cfRule type="containsText" dxfId="0" priority="12487" operator="containsText" text="거부">
      <formula>NOT(ISERROR(SEARCH(("거부"),(A93))))</formula>
    </cfRule>
  </conditionalFormatting>
  <conditionalFormatting sqref="A93">
    <cfRule type="containsText" dxfId="1" priority="12488" operator="containsText" text="리턴">
      <formula>NOT(ISERROR(SEARCH(("리턴"),(A93))))</formula>
    </cfRule>
  </conditionalFormatting>
  <conditionalFormatting sqref="A93">
    <cfRule type="containsText" dxfId="2" priority="12489" operator="containsText" text="실패">
      <formula>NOT(ISERROR(SEARCH(("실패"),(A93))))</formula>
    </cfRule>
  </conditionalFormatting>
  <conditionalFormatting sqref="A93">
    <cfRule type="containsText" dxfId="3" priority="12490" operator="containsText" text="관리">
      <formula>NOT(ISERROR(SEARCH(("관리"),(A93))))</formula>
    </cfRule>
  </conditionalFormatting>
  <conditionalFormatting sqref="A93">
    <cfRule type="containsText" dxfId="4" priority="12491" operator="containsText" text="등록">
      <formula>NOT(ISERROR(SEARCH(("등록"),(A93))))</formula>
    </cfRule>
  </conditionalFormatting>
  <conditionalFormatting sqref="A94">
    <cfRule type="containsText" dxfId="0" priority="12492" operator="containsText" text="거부">
      <formula>NOT(ISERROR(SEARCH(("거부"),(A94))))</formula>
    </cfRule>
  </conditionalFormatting>
  <conditionalFormatting sqref="A94">
    <cfRule type="containsText" dxfId="1" priority="12493" operator="containsText" text="리턴">
      <formula>NOT(ISERROR(SEARCH(("리턴"),(A94))))</formula>
    </cfRule>
  </conditionalFormatting>
  <conditionalFormatting sqref="A94">
    <cfRule type="containsText" dxfId="2" priority="12494" operator="containsText" text="실패">
      <formula>NOT(ISERROR(SEARCH(("실패"),(A94))))</formula>
    </cfRule>
  </conditionalFormatting>
  <conditionalFormatting sqref="A94">
    <cfRule type="containsText" dxfId="3" priority="12495" operator="containsText" text="관리">
      <formula>NOT(ISERROR(SEARCH(("관리"),(A94))))</formula>
    </cfRule>
  </conditionalFormatting>
  <conditionalFormatting sqref="A94">
    <cfRule type="containsText" dxfId="4" priority="12496" operator="containsText" text="등록">
      <formula>NOT(ISERROR(SEARCH(("등록"),(A94))))</formula>
    </cfRule>
  </conditionalFormatting>
  <conditionalFormatting sqref="D94">
    <cfRule type="containsText" dxfId="0" priority="12497" operator="containsText" text="거부">
      <formula>NOT(ISERROR(SEARCH(("거부"),(D94))))</formula>
    </cfRule>
  </conditionalFormatting>
  <conditionalFormatting sqref="D94">
    <cfRule type="containsText" dxfId="1" priority="12498" operator="containsText" text="리턴">
      <formula>NOT(ISERROR(SEARCH(("리턴"),(D94))))</formula>
    </cfRule>
  </conditionalFormatting>
  <conditionalFormatting sqref="D94">
    <cfRule type="containsText" dxfId="2" priority="12499" operator="containsText" text="실패">
      <formula>NOT(ISERROR(SEARCH(("실패"),(D94))))</formula>
    </cfRule>
  </conditionalFormatting>
  <conditionalFormatting sqref="D94">
    <cfRule type="containsText" dxfId="3" priority="12500" operator="containsText" text="관리">
      <formula>NOT(ISERROR(SEARCH(("관리"),(D94))))</formula>
    </cfRule>
  </conditionalFormatting>
  <conditionalFormatting sqref="D94">
    <cfRule type="containsText" dxfId="4" priority="12501" operator="containsText" text="등록">
      <formula>NOT(ISERROR(SEARCH(("등록"),(D94))))</formula>
    </cfRule>
  </conditionalFormatting>
  <conditionalFormatting sqref="D94">
    <cfRule type="containsText" dxfId="0" priority="12502" operator="containsText" text="거부">
      <formula>NOT(ISERROR(SEARCH(("거부"),(D94))))</formula>
    </cfRule>
  </conditionalFormatting>
  <conditionalFormatting sqref="D94">
    <cfRule type="containsText" dxfId="1" priority="12503" operator="containsText" text="리턴">
      <formula>NOT(ISERROR(SEARCH(("리턴"),(D94))))</formula>
    </cfRule>
  </conditionalFormatting>
  <conditionalFormatting sqref="D94">
    <cfRule type="containsText" dxfId="2" priority="12504" operator="containsText" text="실패">
      <formula>NOT(ISERROR(SEARCH(("실패"),(D94))))</formula>
    </cfRule>
  </conditionalFormatting>
  <conditionalFormatting sqref="D94">
    <cfRule type="containsText" dxfId="3" priority="12505" operator="containsText" text="관리">
      <formula>NOT(ISERROR(SEARCH(("관리"),(D94))))</formula>
    </cfRule>
  </conditionalFormatting>
  <conditionalFormatting sqref="D94">
    <cfRule type="containsText" dxfId="4" priority="12506" operator="containsText" text="등록">
      <formula>NOT(ISERROR(SEARCH(("등록"),(D94))))</formula>
    </cfRule>
  </conditionalFormatting>
  <conditionalFormatting sqref="E94">
    <cfRule type="containsText" dxfId="0" priority="12507" operator="containsText" text="거부">
      <formula>NOT(ISERROR(SEARCH(("거부"),(E94))))</formula>
    </cfRule>
  </conditionalFormatting>
  <conditionalFormatting sqref="E94">
    <cfRule type="containsText" dxfId="1" priority="12508" operator="containsText" text="리턴">
      <formula>NOT(ISERROR(SEARCH(("리턴"),(E94))))</formula>
    </cfRule>
  </conditionalFormatting>
  <conditionalFormatting sqref="E94">
    <cfRule type="containsText" dxfId="2" priority="12509" operator="containsText" text="실패">
      <formula>NOT(ISERROR(SEARCH(("실패"),(E94))))</formula>
    </cfRule>
  </conditionalFormatting>
  <conditionalFormatting sqref="E94">
    <cfRule type="containsText" dxfId="3" priority="12510" operator="containsText" text="관리">
      <formula>NOT(ISERROR(SEARCH(("관리"),(E94))))</formula>
    </cfRule>
  </conditionalFormatting>
  <conditionalFormatting sqref="E94">
    <cfRule type="containsText" dxfId="4" priority="12511" operator="containsText" text="등록">
      <formula>NOT(ISERROR(SEARCH(("등록"),(E94))))</formula>
    </cfRule>
  </conditionalFormatting>
  <conditionalFormatting sqref="G94">
    <cfRule type="containsText" dxfId="0" priority="12512" operator="containsText" text="거부">
      <formula>NOT(ISERROR(SEARCH(("거부"),(G94))))</formula>
    </cfRule>
  </conditionalFormatting>
  <conditionalFormatting sqref="G94">
    <cfRule type="containsText" dxfId="1" priority="12513" operator="containsText" text="리턴">
      <formula>NOT(ISERROR(SEARCH(("리턴"),(G94))))</formula>
    </cfRule>
  </conditionalFormatting>
  <conditionalFormatting sqref="G94">
    <cfRule type="containsText" dxfId="2" priority="12514" operator="containsText" text="실패">
      <formula>NOT(ISERROR(SEARCH(("실패"),(G94))))</formula>
    </cfRule>
  </conditionalFormatting>
  <conditionalFormatting sqref="G94">
    <cfRule type="containsText" dxfId="3" priority="12515" operator="containsText" text="관리">
      <formula>NOT(ISERROR(SEARCH(("관리"),(G94))))</formula>
    </cfRule>
  </conditionalFormatting>
  <conditionalFormatting sqref="G94">
    <cfRule type="containsText" dxfId="4" priority="12516" operator="containsText" text="등록">
      <formula>NOT(ISERROR(SEARCH(("등록"),(G94))))</formula>
    </cfRule>
  </conditionalFormatting>
  <conditionalFormatting sqref="D95">
    <cfRule type="containsText" dxfId="0" priority="12517" operator="containsText" text="거부">
      <formula>NOT(ISERROR(SEARCH(("거부"),(D95))))</formula>
    </cfRule>
  </conditionalFormatting>
  <conditionalFormatting sqref="D95">
    <cfRule type="containsText" dxfId="1" priority="12518" operator="containsText" text="리턴">
      <formula>NOT(ISERROR(SEARCH(("리턴"),(D95))))</formula>
    </cfRule>
  </conditionalFormatting>
  <conditionalFormatting sqref="D95">
    <cfRule type="containsText" dxfId="2" priority="12519" operator="containsText" text="실패">
      <formula>NOT(ISERROR(SEARCH(("실패"),(D95))))</formula>
    </cfRule>
  </conditionalFormatting>
  <conditionalFormatting sqref="D95">
    <cfRule type="containsText" dxfId="3" priority="12520" operator="containsText" text="관리">
      <formula>NOT(ISERROR(SEARCH(("관리"),(D95))))</formula>
    </cfRule>
  </conditionalFormatting>
  <conditionalFormatting sqref="D95">
    <cfRule type="containsText" dxfId="4" priority="12521" operator="containsText" text="등록">
      <formula>NOT(ISERROR(SEARCH(("등록"),(D95))))</formula>
    </cfRule>
  </conditionalFormatting>
  <conditionalFormatting sqref="D95">
    <cfRule type="containsText" dxfId="0" priority="12522" operator="containsText" text="거부">
      <formula>NOT(ISERROR(SEARCH(("거부"),(D95))))</formula>
    </cfRule>
  </conditionalFormatting>
  <conditionalFormatting sqref="D95">
    <cfRule type="containsText" dxfId="1" priority="12523" operator="containsText" text="리턴">
      <formula>NOT(ISERROR(SEARCH(("리턴"),(D95))))</formula>
    </cfRule>
  </conditionalFormatting>
  <conditionalFormatting sqref="D95">
    <cfRule type="containsText" dxfId="2" priority="12524" operator="containsText" text="실패">
      <formula>NOT(ISERROR(SEARCH(("실패"),(D95))))</formula>
    </cfRule>
  </conditionalFormatting>
  <conditionalFormatting sqref="D95">
    <cfRule type="containsText" dxfId="3" priority="12525" operator="containsText" text="관리">
      <formula>NOT(ISERROR(SEARCH(("관리"),(D95))))</formula>
    </cfRule>
  </conditionalFormatting>
  <conditionalFormatting sqref="D95">
    <cfRule type="containsText" dxfId="4" priority="12526" operator="containsText" text="등록">
      <formula>NOT(ISERROR(SEARCH(("등록"),(D95))))</formula>
    </cfRule>
  </conditionalFormatting>
  <conditionalFormatting sqref="A98">
    <cfRule type="containsText" dxfId="0" priority="12527" operator="containsText" text="거부">
      <formula>NOT(ISERROR(SEARCH(("거부"),(A98))))</formula>
    </cfRule>
  </conditionalFormatting>
  <conditionalFormatting sqref="A98">
    <cfRule type="containsText" dxfId="1" priority="12528" operator="containsText" text="리턴">
      <formula>NOT(ISERROR(SEARCH(("리턴"),(A98))))</formula>
    </cfRule>
  </conditionalFormatting>
  <conditionalFormatting sqref="A98">
    <cfRule type="containsText" dxfId="2" priority="12529" operator="containsText" text="실패">
      <formula>NOT(ISERROR(SEARCH(("실패"),(A98))))</formula>
    </cfRule>
  </conditionalFormatting>
  <conditionalFormatting sqref="A98">
    <cfRule type="containsText" dxfId="3" priority="12530" operator="containsText" text="관리">
      <formula>NOT(ISERROR(SEARCH(("관리"),(A98))))</formula>
    </cfRule>
  </conditionalFormatting>
  <conditionalFormatting sqref="A98">
    <cfRule type="containsText" dxfId="4" priority="12531" operator="containsText" text="등록">
      <formula>NOT(ISERROR(SEARCH(("등록"),(A98))))</formula>
    </cfRule>
  </conditionalFormatting>
  <conditionalFormatting sqref="D98">
    <cfRule type="containsText" dxfId="0" priority="12532" operator="containsText" text="거부">
      <formula>NOT(ISERROR(SEARCH(("거부"),(D98))))</formula>
    </cfRule>
  </conditionalFormatting>
  <conditionalFormatting sqref="D98">
    <cfRule type="containsText" dxfId="1" priority="12533" operator="containsText" text="리턴">
      <formula>NOT(ISERROR(SEARCH(("리턴"),(D98))))</formula>
    </cfRule>
  </conditionalFormatting>
  <conditionalFormatting sqref="D98">
    <cfRule type="containsText" dxfId="2" priority="12534" operator="containsText" text="실패">
      <formula>NOT(ISERROR(SEARCH(("실패"),(D98))))</formula>
    </cfRule>
  </conditionalFormatting>
  <conditionalFormatting sqref="D98">
    <cfRule type="containsText" dxfId="3" priority="12535" operator="containsText" text="관리">
      <formula>NOT(ISERROR(SEARCH(("관리"),(D98))))</formula>
    </cfRule>
  </conditionalFormatting>
  <conditionalFormatting sqref="D98">
    <cfRule type="containsText" dxfId="4" priority="12536" operator="containsText" text="등록">
      <formula>NOT(ISERROR(SEARCH(("등록"),(D98))))</formula>
    </cfRule>
  </conditionalFormatting>
  <conditionalFormatting sqref="D98">
    <cfRule type="containsText" dxfId="0" priority="12537" operator="containsText" text="거부">
      <formula>NOT(ISERROR(SEARCH(("거부"),(D98))))</formula>
    </cfRule>
  </conditionalFormatting>
  <conditionalFormatting sqref="D98">
    <cfRule type="containsText" dxfId="1" priority="12538" operator="containsText" text="리턴">
      <formula>NOT(ISERROR(SEARCH(("리턴"),(D98))))</formula>
    </cfRule>
  </conditionalFormatting>
  <conditionalFormatting sqref="D98">
    <cfRule type="containsText" dxfId="2" priority="12539" operator="containsText" text="실패">
      <formula>NOT(ISERROR(SEARCH(("실패"),(D98))))</formula>
    </cfRule>
  </conditionalFormatting>
  <conditionalFormatting sqref="D98">
    <cfRule type="containsText" dxfId="3" priority="12540" operator="containsText" text="관리">
      <formula>NOT(ISERROR(SEARCH(("관리"),(D98))))</formula>
    </cfRule>
  </conditionalFormatting>
  <conditionalFormatting sqref="D98">
    <cfRule type="containsText" dxfId="4" priority="12541" operator="containsText" text="등록">
      <formula>NOT(ISERROR(SEARCH(("등록"),(D98))))</formula>
    </cfRule>
  </conditionalFormatting>
  <conditionalFormatting sqref="D97">
    <cfRule type="containsText" dxfId="0" priority="12542" operator="containsText" text="거부">
      <formula>NOT(ISERROR(SEARCH(("거부"),(D97))))</formula>
    </cfRule>
  </conditionalFormatting>
  <conditionalFormatting sqref="D97">
    <cfRule type="containsText" dxfId="1" priority="12543" operator="containsText" text="리턴">
      <formula>NOT(ISERROR(SEARCH(("리턴"),(D97))))</formula>
    </cfRule>
  </conditionalFormatting>
  <conditionalFormatting sqref="D97">
    <cfRule type="containsText" dxfId="2" priority="12544" operator="containsText" text="실패">
      <formula>NOT(ISERROR(SEARCH(("실패"),(D97))))</formula>
    </cfRule>
  </conditionalFormatting>
  <conditionalFormatting sqref="D97">
    <cfRule type="containsText" dxfId="3" priority="12545" operator="containsText" text="관리">
      <formula>NOT(ISERROR(SEARCH(("관리"),(D97))))</formula>
    </cfRule>
  </conditionalFormatting>
  <conditionalFormatting sqref="D97">
    <cfRule type="containsText" dxfId="4" priority="12546" operator="containsText" text="등록">
      <formula>NOT(ISERROR(SEARCH(("등록"),(D97))))</formula>
    </cfRule>
  </conditionalFormatting>
  <conditionalFormatting sqref="D97">
    <cfRule type="containsText" dxfId="0" priority="12547" operator="containsText" text="거부">
      <formula>NOT(ISERROR(SEARCH(("거부"),(D97))))</formula>
    </cfRule>
  </conditionalFormatting>
  <conditionalFormatting sqref="D97">
    <cfRule type="containsText" dxfId="1" priority="12548" operator="containsText" text="리턴">
      <formula>NOT(ISERROR(SEARCH(("리턴"),(D97))))</formula>
    </cfRule>
  </conditionalFormatting>
  <conditionalFormatting sqref="D97">
    <cfRule type="containsText" dxfId="2" priority="12549" operator="containsText" text="실패">
      <formula>NOT(ISERROR(SEARCH(("실패"),(D97))))</formula>
    </cfRule>
  </conditionalFormatting>
  <conditionalFormatting sqref="D97">
    <cfRule type="containsText" dxfId="3" priority="12550" operator="containsText" text="관리">
      <formula>NOT(ISERROR(SEARCH(("관리"),(D97))))</formula>
    </cfRule>
  </conditionalFormatting>
  <conditionalFormatting sqref="D97">
    <cfRule type="containsText" dxfId="4" priority="12551" operator="containsText" text="등록">
      <formula>NOT(ISERROR(SEARCH(("등록"),(D97))))</formula>
    </cfRule>
  </conditionalFormatting>
  <conditionalFormatting sqref="E97">
    <cfRule type="containsText" dxfId="0" priority="12552" operator="containsText" text="거부">
      <formula>NOT(ISERROR(SEARCH(("거부"),(E97))))</formula>
    </cfRule>
  </conditionalFormatting>
  <conditionalFormatting sqref="E97">
    <cfRule type="containsText" dxfId="1" priority="12553" operator="containsText" text="리턴">
      <formula>NOT(ISERROR(SEARCH(("리턴"),(E97))))</formula>
    </cfRule>
  </conditionalFormatting>
  <conditionalFormatting sqref="E97">
    <cfRule type="containsText" dxfId="2" priority="12554" operator="containsText" text="실패">
      <formula>NOT(ISERROR(SEARCH(("실패"),(E97))))</formula>
    </cfRule>
  </conditionalFormatting>
  <conditionalFormatting sqref="E97">
    <cfRule type="containsText" dxfId="3" priority="12555" operator="containsText" text="관리">
      <formula>NOT(ISERROR(SEARCH(("관리"),(E97))))</formula>
    </cfRule>
  </conditionalFormatting>
  <conditionalFormatting sqref="E97">
    <cfRule type="containsText" dxfId="4" priority="12556" operator="containsText" text="등록">
      <formula>NOT(ISERROR(SEARCH(("등록"),(E97))))</formula>
    </cfRule>
  </conditionalFormatting>
  <conditionalFormatting sqref="D97">
    <cfRule type="containsText" dxfId="0" priority="12557" operator="containsText" text="거부">
      <formula>NOT(ISERROR(SEARCH(("거부"),(D97))))</formula>
    </cfRule>
  </conditionalFormatting>
  <conditionalFormatting sqref="D97">
    <cfRule type="containsText" dxfId="1" priority="12558" operator="containsText" text="리턴">
      <formula>NOT(ISERROR(SEARCH(("리턴"),(D97))))</formula>
    </cfRule>
  </conditionalFormatting>
  <conditionalFormatting sqref="D97">
    <cfRule type="containsText" dxfId="2" priority="12559" operator="containsText" text="실패">
      <formula>NOT(ISERROR(SEARCH(("실패"),(D97))))</formula>
    </cfRule>
  </conditionalFormatting>
  <conditionalFormatting sqref="D97">
    <cfRule type="containsText" dxfId="3" priority="12560" operator="containsText" text="관리">
      <formula>NOT(ISERROR(SEARCH(("관리"),(D97))))</formula>
    </cfRule>
  </conditionalFormatting>
  <conditionalFormatting sqref="D97">
    <cfRule type="containsText" dxfId="4" priority="12561" operator="containsText" text="등록">
      <formula>NOT(ISERROR(SEARCH(("등록"),(D97))))</formula>
    </cfRule>
  </conditionalFormatting>
  <conditionalFormatting sqref="D97">
    <cfRule type="containsText" dxfId="0" priority="12562" operator="containsText" text="거부">
      <formula>NOT(ISERROR(SEARCH(("거부"),(D97))))</formula>
    </cfRule>
  </conditionalFormatting>
  <conditionalFormatting sqref="D97">
    <cfRule type="containsText" dxfId="1" priority="12563" operator="containsText" text="리턴">
      <formula>NOT(ISERROR(SEARCH(("리턴"),(D97))))</formula>
    </cfRule>
  </conditionalFormatting>
  <conditionalFormatting sqref="D97">
    <cfRule type="containsText" dxfId="2" priority="12564" operator="containsText" text="실패">
      <formula>NOT(ISERROR(SEARCH(("실패"),(D97))))</formula>
    </cfRule>
  </conditionalFormatting>
  <conditionalFormatting sqref="D97">
    <cfRule type="containsText" dxfId="3" priority="12565" operator="containsText" text="관리">
      <formula>NOT(ISERROR(SEARCH(("관리"),(D97))))</formula>
    </cfRule>
  </conditionalFormatting>
  <conditionalFormatting sqref="D97">
    <cfRule type="containsText" dxfId="4" priority="12566" operator="containsText" text="등록">
      <formula>NOT(ISERROR(SEARCH(("등록"),(D97))))</formula>
    </cfRule>
  </conditionalFormatting>
  <conditionalFormatting sqref="G97:G98">
    <cfRule type="containsText" dxfId="0" priority="12567" operator="containsText" text="거부">
      <formula>NOT(ISERROR(SEARCH(("거부"),(G97))))</formula>
    </cfRule>
  </conditionalFormatting>
  <conditionalFormatting sqref="G97:G98">
    <cfRule type="containsText" dxfId="1" priority="12568" operator="containsText" text="리턴">
      <formula>NOT(ISERROR(SEARCH(("리턴"),(G97))))</formula>
    </cfRule>
  </conditionalFormatting>
  <conditionalFormatting sqref="G97:G98">
    <cfRule type="containsText" dxfId="2" priority="12569" operator="containsText" text="실패">
      <formula>NOT(ISERROR(SEARCH(("실패"),(G97))))</formula>
    </cfRule>
  </conditionalFormatting>
  <conditionalFormatting sqref="G97:G98">
    <cfRule type="containsText" dxfId="3" priority="12570" operator="containsText" text="관리">
      <formula>NOT(ISERROR(SEARCH(("관리"),(G97))))</formula>
    </cfRule>
  </conditionalFormatting>
  <conditionalFormatting sqref="G97:G98">
    <cfRule type="containsText" dxfId="4" priority="12571" operator="containsText" text="등록">
      <formula>NOT(ISERROR(SEARCH(("등록"),(G97))))</formula>
    </cfRule>
  </conditionalFormatting>
  <conditionalFormatting sqref="A99">
    <cfRule type="containsText" dxfId="0" priority="12572" operator="containsText" text="거부">
      <formula>NOT(ISERROR(SEARCH(("거부"),(A99))))</formula>
    </cfRule>
  </conditionalFormatting>
  <conditionalFormatting sqref="A99">
    <cfRule type="containsText" dxfId="1" priority="12573" operator="containsText" text="리턴">
      <formula>NOT(ISERROR(SEARCH(("리턴"),(A99))))</formula>
    </cfRule>
  </conditionalFormatting>
  <conditionalFormatting sqref="A99">
    <cfRule type="containsText" dxfId="2" priority="12574" operator="containsText" text="실패">
      <formula>NOT(ISERROR(SEARCH(("실패"),(A99))))</formula>
    </cfRule>
  </conditionalFormatting>
  <conditionalFormatting sqref="A99">
    <cfRule type="containsText" dxfId="3" priority="12575" operator="containsText" text="관리">
      <formula>NOT(ISERROR(SEARCH(("관리"),(A99))))</formula>
    </cfRule>
  </conditionalFormatting>
  <conditionalFormatting sqref="A99">
    <cfRule type="containsText" dxfId="4" priority="12576" operator="containsText" text="등록">
      <formula>NOT(ISERROR(SEARCH(("등록"),(A99))))</formula>
    </cfRule>
  </conditionalFormatting>
  <conditionalFormatting sqref="G99">
    <cfRule type="containsText" dxfId="0" priority="12577" operator="containsText" text="거부">
      <formula>NOT(ISERROR(SEARCH(("거부"),(G99))))</formula>
    </cfRule>
  </conditionalFormatting>
  <conditionalFormatting sqref="G99">
    <cfRule type="containsText" dxfId="1" priority="12578" operator="containsText" text="리턴">
      <formula>NOT(ISERROR(SEARCH(("리턴"),(G99))))</formula>
    </cfRule>
  </conditionalFormatting>
  <conditionalFormatting sqref="G99">
    <cfRule type="containsText" dxfId="2" priority="12579" operator="containsText" text="실패">
      <formula>NOT(ISERROR(SEARCH(("실패"),(G99))))</formula>
    </cfRule>
  </conditionalFormatting>
  <conditionalFormatting sqref="G99">
    <cfRule type="containsText" dxfId="3" priority="12580" operator="containsText" text="관리">
      <formula>NOT(ISERROR(SEARCH(("관리"),(G99))))</formula>
    </cfRule>
  </conditionalFormatting>
  <conditionalFormatting sqref="G99">
    <cfRule type="containsText" dxfId="4" priority="12581" operator="containsText" text="등록">
      <formula>NOT(ISERROR(SEARCH(("등록"),(G99))))</formula>
    </cfRule>
  </conditionalFormatting>
  <conditionalFormatting sqref="G99">
    <cfRule type="containsText" dxfId="0" priority="12582" operator="containsText" text="거부">
      <formula>NOT(ISERROR(SEARCH(("거부"),(G99))))</formula>
    </cfRule>
  </conditionalFormatting>
  <conditionalFormatting sqref="G99">
    <cfRule type="containsText" dxfId="1" priority="12583" operator="containsText" text="리턴">
      <formula>NOT(ISERROR(SEARCH(("리턴"),(G99))))</formula>
    </cfRule>
  </conditionalFormatting>
  <conditionalFormatting sqref="G99">
    <cfRule type="containsText" dxfId="2" priority="12584" operator="containsText" text="실패">
      <formula>NOT(ISERROR(SEARCH(("실패"),(G99))))</formula>
    </cfRule>
  </conditionalFormatting>
  <conditionalFormatting sqref="G99">
    <cfRule type="containsText" dxfId="3" priority="12585" operator="containsText" text="관리">
      <formula>NOT(ISERROR(SEARCH(("관리"),(G99))))</formula>
    </cfRule>
  </conditionalFormatting>
  <conditionalFormatting sqref="G99">
    <cfRule type="containsText" dxfId="4" priority="12586" operator="containsText" text="등록">
      <formula>NOT(ISERROR(SEARCH(("등록"),(G99))))</formula>
    </cfRule>
  </conditionalFormatting>
  <conditionalFormatting sqref="A100">
    <cfRule type="containsText" dxfId="0" priority="12587" operator="containsText" text="거부">
      <formula>NOT(ISERROR(SEARCH(("거부"),(A100))))</formula>
    </cfRule>
  </conditionalFormatting>
  <conditionalFormatting sqref="A100">
    <cfRule type="containsText" dxfId="1" priority="12588" operator="containsText" text="리턴">
      <formula>NOT(ISERROR(SEARCH(("리턴"),(A100))))</formula>
    </cfRule>
  </conditionalFormatting>
  <conditionalFormatting sqref="A100">
    <cfRule type="containsText" dxfId="2" priority="12589" operator="containsText" text="실패">
      <formula>NOT(ISERROR(SEARCH(("실패"),(A100))))</formula>
    </cfRule>
  </conditionalFormatting>
  <conditionalFormatting sqref="A100">
    <cfRule type="containsText" dxfId="3" priority="12590" operator="containsText" text="관리">
      <formula>NOT(ISERROR(SEARCH(("관리"),(A100))))</formula>
    </cfRule>
  </conditionalFormatting>
  <conditionalFormatting sqref="A100">
    <cfRule type="containsText" dxfId="4" priority="12591" operator="containsText" text="등록">
      <formula>NOT(ISERROR(SEARCH(("등록"),(A100))))</formula>
    </cfRule>
  </conditionalFormatting>
  <conditionalFormatting sqref="D100">
    <cfRule type="containsText" dxfId="0" priority="12592" operator="containsText" text="거부">
      <formula>NOT(ISERROR(SEARCH(("거부"),(D100))))</formula>
    </cfRule>
  </conditionalFormatting>
  <conditionalFormatting sqref="D100">
    <cfRule type="containsText" dxfId="1" priority="12593" operator="containsText" text="리턴">
      <formula>NOT(ISERROR(SEARCH(("리턴"),(D100))))</formula>
    </cfRule>
  </conditionalFormatting>
  <conditionalFormatting sqref="D100">
    <cfRule type="containsText" dxfId="2" priority="12594" operator="containsText" text="실패">
      <formula>NOT(ISERROR(SEARCH(("실패"),(D100))))</formula>
    </cfRule>
  </conditionalFormatting>
  <conditionalFormatting sqref="D100">
    <cfRule type="containsText" dxfId="3" priority="12595" operator="containsText" text="관리">
      <formula>NOT(ISERROR(SEARCH(("관리"),(D100))))</formula>
    </cfRule>
  </conditionalFormatting>
  <conditionalFormatting sqref="D100">
    <cfRule type="containsText" dxfId="4" priority="12596" operator="containsText" text="등록">
      <formula>NOT(ISERROR(SEARCH(("등록"),(D100))))</formula>
    </cfRule>
  </conditionalFormatting>
  <conditionalFormatting sqref="D100">
    <cfRule type="containsText" dxfId="0" priority="12597" operator="containsText" text="거부">
      <formula>NOT(ISERROR(SEARCH(("거부"),(D100))))</formula>
    </cfRule>
  </conditionalFormatting>
  <conditionalFormatting sqref="D100">
    <cfRule type="containsText" dxfId="1" priority="12598" operator="containsText" text="리턴">
      <formula>NOT(ISERROR(SEARCH(("리턴"),(D100))))</formula>
    </cfRule>
  </conditionalFormatting>
  <conditionalFormatting sqref="D100">
    <cfRule type="containsText" dxfId="2" priority="12599" operator="containsText" text="실패">
      <formula>NOT(ISERROR(SEARCH(("실패"),(D100))))</formula>
    </cfRule>
  </conditionalFormatting>
  <conditionalFormatting sqref="D100">
    <cfRule type="containsText" dxfId="3" priority="12600" operator="containsText" text="관리">
      <formula>NOT(ISERROR(SEARCH(("관리"),(D100))))</formula>
    </cfRule>
  </conditionalFormatting>
  <conditionalFormatting sqref="D100">
    <cfRule type="containsText" dxfId="4" priority="12601" operator="containsText" text="등록">
      <formula>NOT(ISERROR(SEARCH(("등록"),(D100))))</formula>
    </cfRule>
  </conditionalFormatting>
  <conditionalFormatting sqref="E100">
    <cfRule type="containsText" dxfId="0" priority="12602" operator="containsText" text="거부">
      <formula>NOT(ISERROR(SEARCH(("거부"),(E100))))</formula>
    </cfRule>
  </conditionalFormatting>
  <conditionalFormatting sqref="E100">
    <cfRule type="containsText" dxfId="1" priority="12603" operator="containsText" text="리턴">
      <formula>NOT(ISERROR(SEARCH(("리턴"),(E100))))</formula>
    </cfRule>
  </conditionalFormatting>
  <conditionalFormatting sqref="E100">
    <cfRule type="containsText" dxfId="2" priority="12604" operator="containsText" text="실패">
      <formula>NOT(ISERROR(SEARCH(("실패"),(E100))))</formula>
    </cfRule>
  </conditionalFormatting>
  <conditionalFormatting sqref="E100">
    <cfRule type="containsText" dxfId="3" priority="12605" operator="containsText" text="관리">
      <formula>NOT(ISERROR(SEARCH(("관리"),(E100))))</formula>
    </cfRule>
  </conditionalFormatting>
  <conditionalFormatting sqref="E100">
    <cfRule type="containsText" dxfId="4" priority="12606" operator="containsText" text="등록">
      <formula>NOT(ISERROR(SEARCH(("등록"),(E100))))</formula>
    </cfRule>
  </conditionalFormatting>
  <conditionalFormatting sqref="D100">
    <cfRule type="containsText" dxfId="0" priority="12607" operator="containsText" text="거부">
      <formula>NOT(ISERROR(SEARCH(("거부"),(D100))))</formula>
    </cfRule>
  </conditionalFormatting>
  <conditionalFormatting sqref="D100">
    <cfRule type="containsText" dxfId="1" priority="12608" operator="containsText" text="리턴">
      <formula>NOT(ISERROR(SEARCH(("리턴"),(D100))))</formula>
    </cfRule>
  </conditionalFormatting>
  <conditionalFormatting sqref="D100">
    <cfRule type="containsText" dxfId="2" priority="12609" operator="containsText" text="실패">
      <formula>NOT(ISERROR(SEARCH(("실패"),(D100))))</formula>
    </cfRule>
  </conditionalFormatting>
  <conditionalFormatting sqref="D100">
    <cfRule type="containsText" dxfId="3" priority="12610" operator="containsText" text="관리">
      <formula>NOT(ISERROR(SEARCH(("관리"),(D100))))</formula>
    </cfRule>
  </conditionalFormatting>
  <conditionalFormatting sqref="D100">
    <cfRule type="containsText" dxfId="4" priority="12611" operator="containsText" text="등록">
      <formula>NOT(ISERROR(SEARCH(("등록"),(D100))))</formula>
    </cfRule>
  </conditionalFormatting>
  <conditionalFormatting sqref="D100">
    <cfRule type="containsText" dxfId="0" priority="12612" operator="containsText" text="거부">
      <formula>NOT(ISERROR(SEARCH(("거부"),(D100))))</formula>
    </cfRule>
  </conditionalFormatting>
  <conditionalFormatting sqref="D100">
    <cfRule type="containsText" dxfId="1" priority="12613" operator="containsText" text="리턴">
      <formula>NOT(ISERROR(SEARCH(("리턴"),(D100))))</formula>
    </cfRule>
  </conditionalFormatting>
  <conditionalFormatting sqref="D100">
    <cfRule type="containsText" dxfId="2" priority="12614" operator="containsText" text="실패">
      <formula>NOT(ISERROR(SEARCH(("실패"),(D100))))</formula>
    </cfRule>
  </conditionalFormatting>
  <conditionalFormatting sqref="D100">
    <cfRule type="containsText" dxfId="3" priority="12615" operator="containsText" text="관리">
      <formula>NOT(ISERROR(SEARCH(("관리"),(D100))))</formula>
    </cfRule>
  </conditionalFormatting>
  <conditionalFormatting sqref="D100">
    <cfRule type="containsText" dxfId="4" priority="12616" operator="containsText" text="등록">
      <formula>NOT(ISERROR(SEARCH(("등록"),(D100))))</formula>
    </cfRule>
  </conditionalFormatting>
  <dataValidations>
    <dataValidation type="list" allowBlank="1" sqref="N4:N452 R4:R452 V4:V452">
      <formula1>'신규통합DB'!$AO$11:$AQ$11</formula1>
    </dataValidation>
    <dataValidation type="list" allowBlank="1" showErrorMessage="1" sqref="C4:C105">
      <formula1>'신규통합DB'!$AN$9:$AQ$9</formula1>
    </dataValidation>
    <dataValidation type="list" allowBlank="1" showErrorMessage="1" sqref="D4:D105">
      <formula1>'신규통합DB'!$AO$4:$AW$4</formula1>
    </dataValidation>
  </dataValidations>
  <printOptions/>
  <pageMargins bottom="0.75" footer="0.0" header="0.0" left="0.7" right="0.7" top="0.75"/>
  <pageSetup paperSize="9" orientation="portrait"/>
  <drawing r:id="rId1"/>
</worksheet>
</file>