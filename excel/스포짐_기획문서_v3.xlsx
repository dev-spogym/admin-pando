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(정보구조)" sheetId="1" state="visible" r:id="rId1"/>
    <sheet name="사용자 스토리" sheetId="2" state="visible" r:id="rId2"/>
    <sheet name="화면설계서" sheetId="3" state="visible" r:id="rId3"/>
    <sheet name="UI 요소 상세" sheetId="4" state="visible" r:id="rId4"/>
    <sheet name="기능명세서" sheetId="5" state="visible" r:id="rId5"/>
    <sheet name="API명세서" sheetId="6" state="visible" r:id="rId6"/>
    <sheet name="데이터 정의서" sheetId="7" state="visible" r:id="rId7"/>
    <sheet name="QA테스트케이스" sheetId="8" state="visible" r:id="rId8"/>
    <sheet name="대시보드" sheetId="9" state="visible" r:id="rId9"/>
    <sheet name="비즈니스정책" sheetId="10" state="visible" r:id="rId10"/>
    <sheet name="화면흐름도" sheetId="11" state="visible" r:id="rId11"/>
    <sheet name="디자인토큰" sheetId="12" state="visible" r:id="rId12"/>
  </sheets>
  <definedNames>
    <definedName name="_xlnm._FilterDatabase" localSheetId="0" hidden="1">'IA(정보구조)'!$A$1:$L$1</definedName>
    <definedName name="_xlnm._FilterDatabase" localSheetId="1" hidden="1">'사용자 스토리'!$A$1:$M$1</definedName>
    <definedName name="_xlnm._FilterDatabase" localSheetId="2" hidden="1">'화면설계서'!$A$1:$V$1</definedName>
    <definedName name="_xlnm._FilterDatabase" localSheetId="3" hidden="1">'UI 요소 상세'!$A$1:$S$1</definedName>
    <definedName name="_xlnm._FilterDatabase" localSheetId="4" hidden="1">'기능명세서'!$A$1:$T$1</definedName>
    <definedName name="_xlnm._FilterDatabase" localSheetId="5" hidden="1">'API명세서'!$A$1:$Q$1</definedName>
    <definedName name="_xlnm._FilterDatabase" localSheetId="6" hidden="1">'데이터 정의서'!$A$1:$M$1</definedName>
    <definedName name="_xlnm._FilterDatabase" localSheetId="7" hidden="1">'QA테스트케이스'!$A$1:$AC$1</definedName>
    <definedName name="_xlnm._FilterDatabase" localSheetId="9" hidden="1">'비즈니스정책'!$A$1:$H$1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2B3A67"/>
      <sz val="10"/>
    </font>
    <font>
      <b val="1"/>
      <color rgb="FF2B3A67"/>
      <sz val="16"/>
    </font>
    <font>
      <b val="1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C0392B"/>
      <sz val="9"/>
    </font>
    <font>
      <name val="맑은 고딕"/>
      <b val="1"/>
      <color rgb="00E67E22"/>
      <sz val="9"/>
    </font>
    <font>
      <name val="맑은 고딕"/>
      <b val="1"/>
      <color rgb="0027AE60"/>
      <sz val="9"/>
    </font>
    <font>
      <b val="1"/>
      <color rgb="00FFFFFF"/>
      <sz val="11"/>
    </font>
    <font>
      <b val="1"/>
      <sz val="12"/>
    </font>
    <font>
      <name val="맑은 고딕"/>
      <b val="1"/>
      <sz val="9"/>
    </font>
    <font>
      <name val="맑은 고딕"/>
      <b val="1"/>
      <color rgb="00FFFFFF"/>
      <sz val="11"/>
    </font>
  </fonts>
  <fills count="39">
    <fill>
      <patternFill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E8EDF5"/>
        <bgColor rgb="FFE8EDF5"/>
      </patternFill>
    </fill>
    <fill>
      <patternFill patternType="solid">
        <fgColor rgb="FFDEE2E6"/>
        <bgColor rgb="FFDEE2E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DFBD4"/>
      </patternFill>
    </fill>
    <fill>
      <patternFill patternType="solid">
        <fgColor rgb="00D1F2EB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EAF2F8"/>
      </patternFill>
    </fill>
    <fill>
      <patternFill patternType="solid">
        <fgColor rgb="00F0F3F4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FDFBD4"/>
        <bgColor rgb="00FDFBD4"/>
      </patternFill>
    </fill>
    <fill>
      <patternFill patternType="solid">
        <fgColor rgb="00D1F2EB"/>
        <bgColor rgb="00D1F2EB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E8DAEF"/>
        <bgColor rgb="00E8DAEF"/>
      </patternFill>
    </fill>
    <fill>
      <patternFill patternType="solid">
        <fgColor rgb="00FCF3CF"/>
        <bgColor rgb="00FCF3CF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F2F3F4"/>
        <bgColor rgb="00F2F3F4"/>
      </patternFill>
    </fill>
    <fill>
      <patternFill patternType="solid">
        <fgColor rgb="00EAF2F8"/>
        <bgColor rgb="00EAF2F8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D9E1F2"/>
      </patternFill>
    </fill>
    <fill>
      <patternFill patternType="solid">
        <fgColor rgb="00FFF9C4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6" fillId="7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top"/>
    </xf>
    <xf numFmtId="0" fontId="6" fillId="8" borderId="2" applyAlignment="1" pivotButton="0" quotePrefix="0" xfId="0">
      <alignment horizontal="center" vertical="top"/>
    </xf>
    <xf numFmtId="0" fontId="6" fillId="9" borderId="2" applyAlignment="1" pivotButton="0" quotePrefix="0" xfId="0">
      <alignment horizontal="center" vertical="top"/>
    </xf>
    <xf numFmtId="0" fontId="6" fillId="10" borderId="2" applyAlignment="1" pivotButton="0" quotePrefix="0" xfId="0">
      <alignment horizontal="center" vertical="top"/>
    </xf>
    <xf numFmtId="0" fontId="6" fillId="11" borderId="2" applyAlignment="1" pivotButton="0" quotePrefix="0" xfId="0">
      <alignment horizontal="center" vertical="top"/>
    </xf>
    <xf numFmtId="0" fontId="6" fillId="12" borderId="2" applyAlignment="1" pivotButton="0" quotePrefix="0" xfId="0">
      <alignment horizontal="center" vertical="top"/>
    </xf>
    <xf numFmtId="0" fontId="6" fillId="13" borderId="2" applyAlignment="1" pivotButton="0" quotePrefix="0" xfId="0">
      <alignment horizontal="center" vertical="top"/>
    </xf>
    <xf numFmtId="0" fontId="6" fillId="14" borderId="2" applyAlignment="1" pivotButton="0" quotePrefix="0" xfId="0">
      <alignment horizontal="center" vertical="top"/>
    </xf>
    <xf numFmtId="0" fontId="6" fillId="15" borderId="2" applyAlignment="1" pivotButton="0" quotePrefix="0" xfId="0">
      <alignment horizontal="center" vertical="top"/>
    </xf>
    <xf numFmtId="0" fontId="6" fillId="16" borderId="2" applyAlignment="1" pivotButton="0" quotePrefix="0" xfId="0">
      <alignment horizontal="center" vertical="top"/>
    </xf>
    <xf numFmtId="0" fontId="10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10" fillId="18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0" fillId="19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6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left" vertical="top" wrapText="1"/>
    </xf>
    <xf numFmtId="0" fontId="6" fillId="3" borderId="3" applyAlignment="1" pivotButton="0" quotePrefix="0" xfId="0">
      <alignment horizontal="center" vertical="top" wrapText="1"/>
    </xf>
    <xf numFmtId="0" fontId="6" fillId="3" borderId="3" applyAlignment="1" pivotButton="0" quotePrefix="0" xfId="0">
      <alignment horizontal="left" vertical="top" wrapText="1"/>
    </xf>
    <xf numFmtId="0" fontId="6" fillId="20" borderId="2" applyAlignment="1" pivotButton="0" quotePrefix="0" xfId="0">
      <alignment horizontal="center" vertical="top"/>
    </xf>
    <xf numFmtId="0" fontId="6" fillId="20" borderId="2" applyAlignment="1" pivotButton="0" quotePrefix="0" xfId="0">
      <alignment horizontal="left" vertical="top" wrapText="1"/>
    </xf>
    <xf numFmtId="0" fontId="6" fillId="20" borderId="2" applyAlignment="1" pivotButton="0" quotePrefix="0" xfId="0">
      <alignment vertical="top" wrapText="1"/>
    </xf>
    <xf numFmtId="0" fontId="7" fillId="20" borderId="2" applyAlignment="1" pivotButton="0" quotePrefix="0" xfId="0">
      <alignment horizontal="center" vertical="top"/>
    </xf>
    <xf numFmtId="0" fontId="6" fillId="21" borderId="2" applyAlignment="1" pivotButton="0" quotePrefix="0" xfId="0">
      <alignment horizontal="center" vertical="top"/>
    </xf>
    <xf numFmtId="0" fontId="6" fillId="21" borderId="2" applyAlignment="1" pivotButton="0" quotePrefix="0" xfId="0">
      <alignment horizontal="left" vertical="top" wrapText="1"/>
    </xf>
    <xf numFmtId="0" fontId="6" fillId="21" borderId="2" applyAlignment="1" pivotButton="0" quotePrefix="0" xfId="0">
      <alignment vertical="top" wrapText="1"/>
    </xf>
    <xf numFmtId="0" fontId="7" fillId="21" borderId="2" applyAlignment="1" pivotButton="0" quotePrefix="0" xfId="0">
      <alignment horizontal="center" vertical="top"/>
    </xf>
    <xf numFmtId="0" fontId="6" fillId="22" borderId="2" applyAlignment="1" pivotButton="0" quotePrefix="0" xfId="0">
      <alignment horizontal="center" vertical="top"/>
    </xf>
    <xf numFmtId="0" fontId="6" fillId="22" borderId="2" applyAlignment="1" pivotButton="0" quotePrefix="0" xfId="0">
      <alignment horizontal="left" vertical="top" wrapText="1"/>
    </xf>
    <xf numFmtId="0" fontId="6" fillId="22" borderId="2" applyAlignment="1" pivotButton="0" quotePrefix="0" xfId="0">
      <alignment vertical="top" wrapText="1"/>
    </xf>
    <xf numFmtId="0" fontId="7" fillId="22" borderId="2" applyAlignment="1" pivotButton="0" quotePrefix="0" xfId="0">
      <alignment horizontal="center" vertical="top"/>
    </xf>
    <xf numFmtId="0" fontId="6" fillId="23" borderId="2" applyAlignment="1" pivotButton="0" quotePrefix="0" xfId="0">
      <alignment horizontal="center" vertical="top"/>
    </xf>
    <xf numFmtId="0" fontId="6" fillId="23" borderId="2" applyAlignment="1" pivotButton="0" quotePrefix="0" xfId="0">
      <alignment horizontal="left" vertical="top" wrapText="1"/>
    </xf>
    <xf numFmtId="0" fontId="6" fillId="23" borderId="2" applyAlignment="1" pivotButton="0" quotePrefix="0" xfId="0">
      <alignment vertical="top" wrapText="1"/>
    </xf>
    <xf numFmtId="0" fontId="7" fillId="23" borderId="2" applyAlignment="1" pivotButton="0" quotePrefix="0" xfId="0">
      <alignment horizontal="center" vertical="top"/>
    </xf>
    <xf numFmtId="0" fontId="6" fillId="24" borderId="2" applyAlignment="1" pivotButton="0" quotePrefix="0" xfId="0">
      <alignment horizontal="center" vertical="top"/>
    </xf>
    <xf numFmtId="0" fontId="6" fillId="24" borderId="2" applyAlignment="1" pivotButton="0" quotePrefix="0" xfId="0">
      <alignment horizontal="left" vertical="top" wrapText="1"/>
    </xf>
    <xf numFmtId="0" fontId="6" fillId="24" borderId="2" applyAlignment="1" pivotButton="0" quotePrefix="0" xfId="0">
      <alignment vertical="top" wrapText="1"/>
    </xf>
    <xf numFmtId="0" fontId="7" fillId="24" borderId="2" applyAlignment="1" pivotButton="0" quotePrefix="0" xfId="0">
      <alignment horizontal="center" vertical="top"/>
    </xf>
    <xf numFmtId="0" fontId="6" fillId="25" borderId="2" applyAlignment="1" pivotButton="0" quotePrefix="0" xfId="0">
      <alignment horizontal="center" vertical="top"/>
    </xf>
    <xf numFmtId="0" fontId="6" fillId="25" borderId="2" applyAlignment="1" pivotButton="0" quotePrefix="0" xfId="0">
      <alignment horizontal="left" vertical="top" wrapText="1"/>
    </xf>
    <xf numFmtId="0" fontId="6" fillId="25" borderId="2" applyAlignment="1" pivotButton="0" quotePrefix="0" xfId="0">
      <alignment vertical="top" wrapText="1"/>
    </xf>
    <xf numFmtId="0" fontId="7" fillId="25" borderId="2" applyAlignment="1" pivotButton="0" quotePrefix="0" xfId="0">
      <alignment horizontal="center" vertical="top"/>
    </xf>
    <xf numFmtId="0" fontId="6" fillId="26" borderId="2" applyAlignment="1" pivotButton="0" quotePrefix="0" xfId="0">
      <alignment horizontal="center" vertical="top"/>
    </xf>
    <xf numFmtId="0" fontId="6" fillId="26" borderId="2" applyAlignment="1" pivotButton="0" quotePrefix="0" xfId="0">
      <alignment horizontal="left" vertical="top" wrapText="1"/>
    </xf>
    <xf numFmtId="0" fontId="6" fillId="26" borderId="2" applyAlignment="1" pivotButton="0" quotePrefix="0" xfId="0">
      <alignment vertical="top" wrapText="1"/>
    </xf>
    <xf numFmtId="0" fontId="7" fillId="26" borderId="2" applyAlignment="1" pivotButton="0" quotePrefix="0" xfId="0">
      <alignment horizontal="center" vertical="top"/>
    </xf>
    <xf numFmtId="0" fontId="6" fillId="27" borderId="2" applyAlignment="1" pivotButton="0" quotePrefix="0" xfId="0">
      <alignment horizontal="center" vertical="top"/>
    </xf>
    <xf numFmtId="0" fontId="6" fillId="27" borderId="2" applyAlignment="1" pivotButton="0" quotePrefix="0" xfId="0">
      <alignment horizontal="left" vertical="top" wrapText="1"/>
    </xf>
    <xf numFmtId="0" fontId="6" fillId="27" borderId="2" applyAlignment="1" pivotButton="0" quotePrefix="0" xfId="0">
      <alignment vertical="top" wrapText="1"/>
    </xf>
    <xf numFmtId="0" fontId="7" fillId="27" borderId="2" applyAlignment="1" pivotButton="0" quotePrefix="0" xfId="0">
      <alignment horizontal="center" vertical="top"/>
    </xf>
    <xf numFmtId="0" fontId="6" fillId="28" borderId="2" applyAlignment="1" pivotButton="0" quotePrefix="0" xfId="0">
      <alignment horizontal="center" vertical="top"/>
    </xf>
    <xf numFmtId="0" fontId="6" fillId="28" borderId="2" applyAlignment="1" pivotButton="0" quotePrefix="0" xfId="0">
      <alignment horizontal="left" vertical="top" wrapText="1"/>
    </xf>
    <xf numFmtId="0" fontId="6" fillId="28" borderId="2" applyAlignment="1" pivotButton="0" quotePrefix="0" xfId="0">
      <alignment vertical="top" wrapText="1"/>
    </xf>
    <xf numFmtId="0" fontId="7" fillId="28" borderId="2" applyAlignment="1" pivotButton="0" quotePrefix="0" xfId="0">
      <alignment horizontal="center" vertical="top"/>
    </xf>
    <xf numFmtId="0" fontId="6" fillId="29" borderId="3" applyAlignment="1" pivotButton="0" quotePrefix="0" xfId="0">
      <alignment horizontal="center" vertical="top" wrapText="1"/>
    </xf>
    <xf numFmtId="0" fontId="6" fillId="29" borderId="3" applyAlignment="1" pivotButton="0" quotePrefix="0" xfId="0">
      <alignment horizontal="left" vertical="top" wrapText="1"/>
    </xf>
    <xf numFmtId="0" fontId="6" fillId="30" borderId="3" applyAlignment="1" pivotButton="0" quotePrefix="0" xfId="0">
      <alignment vertical="center" wrapText="1"/>
    </xf>
    <xf numFmtId="0" fontId="6" fillId="31" borderId="3" applyAlignment="1" pivotButton="0" quotePrefix="0" xfId="0">
      <alignment vertical="center" wrapText="1"/>
    </xf>
    <xf numFmtId="0" fontId="6" fillId="32" borderId="3" applyAlignment="1" pivotButton="0" quotePrefix="0" xfId="0">
      <alignment vertical="center" wrapText="1"/>
    </xf>
    <xf numFmtId="0" fontId="6" fillId="33" borderId="3" applyAlignment="1" pivotButton="0" quotePrefix="0" xfId="0">
      <alignment vertical="center" wrapText="1"/>
    </xf>
    <xf numFmtId="0" fontId="6" fillId="34" borderId="3" applyAlignment="1" pivotButton="0" quotePrefix="0" xfId="0">
      <alignment vertical="center" wrapText="1"/>
    </xf>
    <xf numFmtId="0" fontId="6" fillId="35" borderId="3" applyAlignment="1" pivotButton="0" quotePrefix="0" xfId="0">
      <alignment vertical="center" wrapText="1"/>
    </xf>
    <xf numFmtId="0" fontId="12" fillId="36" borderId="3" applyAlignment="1" pivotButton="0" quotePrefix="0" xfId="0">
      <alignment vertical="center" wrapText="1"/>
    </xf>
    <xf numFmtId="0" fontId="6" fillId="37" borderId="3" applyAlignment="1" pivotButton="0" quotePrefix="0" xfId="0">
      <alignment vertical="center" wrapText="1"/>
    </xf>
    <xf numFmtId="0" fontId="13" fillId="5" borderId="0" pivotButton="0" quotePrefix="0" xfId="0"/>
    <xf numFmtId="0" fontId="0" fillId="5" borderId="0" pivotButton="0" quotePrefix="0" xfId="0"/>
    <xf numFmtId="0" fontId="12" fillId="6" borderId="3" pivotButton="0" quotePrefix="0" xfId="0"/>
    <xf numFmtId="0" fontId="6" fillId="38" borderId="3" applyAlignment="1" pivotButton="0" quotePrefix="0" xfId="0">
      <alignment vertical="center" wrapText="1"/>
    </xf>
    <xf numFmtId="0" fontId="12" fillId="3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8" customWidth="1" min="5" max="5"/>
    <col width="14" customWidth="1" min="6" max="6"/>
    <col width="22" customWidth="1" min="7" max="7"/>
    <col width="10" customWidth="1" min="8" max="8"/>
    <col width="12" customWidth="1" min="9" max="9"/>
    <col width="30" customWidth="1" min="10" max="10"/>
    <col width="10" customWidth="1" min="11" max="11"/>
    <col width="20" customWidth="1" min="12" max="12"/>
  </cols>
  <sheetData>
    <row r="1">
      <c r="A1" s="1" t="inlineStr">
        <is>
          <t>Depth 1</t>
        </is>
      </c>
      <c r="B1" s="1" t="inlineStr">
        <is>
          <t>Depth 2</t>
        </is>
      </c>
      <c r="C1" s="1" t="inlineStr">
        <is>
          <t>Depth 3</t>
        </is>
      </c>
      <c r="D1" s="1" t="inlineStr">
        <is>
          <t>화면 ID</t>
        </is>
      </c>
      <c r="E1" s="1" t="inlineStr">
        <is>
          <t>화면명</t>
        </is>
      </c>
      <c r="F1" s="1" t="inlineStr">
        <is>
          <t>플랫폼</t>
        </is>
      </c>
      <c r="G1" s="1" t="inlineStr">
        <is>
          <t>화면 URL/경로</t>
        </is>
      </c>
      <c r="H1" s="1" t="inlineStr">
        <is>
          <t>로그인 필요</t>
        </is>
      </c>
      <c r="I1" s="1" t="inlineStr">
        <is>
          <t>권한</t>
        </is>
      </c>
      <c r="J1" s="1" t="inlineStr">
        <is>
          <t>설명</t>
        </is>
      </c>
      <c r="K1" s="1" t="inlineStr">
        <is>
          <t>상태</t>
        </is>
      </c>
      <c r="L1" s="1" t="inlineStr">
        <is>
          <t>비고</t>
        </is>
      </c>
    </row>
    <row r="2">
      <c r="A2" s="33" t="inlineStr">
        <is>
          <t>인증</t>
        </is>
      </c>
      <c r="B2" s="33" t="inlineStr">
        <is>
          <t>로그인</t>
        </is>
      </c>
      <c r="C2" s="33" t="n"/>
      <c r="D2" s="34" t="inlineStr">
        <is>
          <t>SCR-001</t>
        </is>
      </c>
      <c r="E2" s="34" t="inlineStr">
        <is>
          <t>로그인</t>
        </is>
      </c>
      <c r="F2" s="34" t="inlineStr">
        <is>
          <t>Web</t>
        </is>
      </c>
      <c r="G2" s="34" t="inlineStr">
        <is>
          <t>/login</t>
        </is>
      </c>
      <c r="H2" s="34" t="inlineStr">
        <is>
          <t>N</t>
        </is>
      </c>
      <c r="I2" s="34" t="inlineStr">
        <is>
          <t>비회원</t>
        </is>
      </c>
      <c r="J2" s="34" t="inlineStr">
        <is>
          <t>이메일/비밀번호 로그인 화면. 지점 선택 포함</t>
        </is>
      </c>
      <c r="K2" s="34" t="inlineStr">
        <is>
          <t>개발완료</t>
        </is>
      </c>
      <c r="L2" s="34" t="inlineStr">
        <is>
          <t>로그인 유지 체크박스, toast 안내, 에러 자동 클리어 (2026-03-13)</t>
        </is>
      </c>
    </row>
    <row r="3">
      <c r="A3" s="33" t="inlineStr">
        <is>
          <t>대시보드</t>
        </is>
      </c>
      <c r="B3" s="33" t="inlineStr">
        <is>
          <t>메인</t>
        </is>
      </c>
      <c r="C3" s="33" t="n"/>
      <c r="D3" s="34" t="inlineStr">
        <is>
          <t>SCR-002</t>
        </is>
      </c>
      <c r="E3" s="34" t="inlineStr">
        <is>
          <t>대시보드</t>
        </is>
      </c>
      <c r="F3" s="34" t="inlineStr">
        <is>
          <t>Web</t>
        </is>
      </c>
      <c r="G3" s="34" t="inlineStr">
        <is>
          <t>/</t>
        </is>
      </c>
      <c r="H3" s="34" t="inlineStr">
        <is>
          <t>Y</t>
        </is>
      </c>
      <c r="I3" s="34" t="inlineStr">
        <is>
          <t>전체</t>
        </is>
      </c>
      <c r="J3" s="34" t="inlineStr">
        <is>
          <t>지점별 핵심 KPI 요약 대시보드</t>
        </is>
      </c>
      <c r="K3" s="34" t="inlineStr">
        <is>
          <t>개발완료</t>
        </is>
      </c>
      <c r="L3" s="34" t="inlineStr">
        <is>
          <t>실데이터 차트, soft delete 필터, 클릭 네비게이션 (2026-03-13)</t>
        </is>
      </c>
    </row>
    <row r="4">
      <c r="A4" s="33" t="inlineStr">
        <is>
          <t>회원관리</t>
        </is>
      </c>
      <c r="B4" s="33" t="inlineStr">
        <is>
          <t>회원</t>
        </is>
      </c>
      <c r="C4" s="33" t="n"/>
      <c r="D4" s="34" t="inlineStr">
        <is>
          <t>SCR-010</t>
        </is>
      </c>
      <c r="E4" s="34" t="inlineStr">
        <is>
          <t>회원 목록</t>
        </is>
      </c>
      <c r="F4" s="34" t="inlineStr">
        <is>
          <t>Web</t>
        </is>
      </c>
      <c r="G4" s="34" t="inlineStr">
        <is>
          <t>/members</t>
        </is>
      </c>
      <c r="H4" s="34" t="inlineStr">
        <is>
          <t>Y</t>
        </is>
      </c>
      <c r="I4" s="34" t="inlineStr">
        <is>
          <t>매니저 이상</t>
        </is>
      </c>
      <c r="J4" s="34" t="inlineStr">
        <is>
          <t>회원 검색/필터/목록 조회</t>
        </is>
      </c>
      <c r="K4" s="34" t="inlineStr">
        <is>
          <t>개발완료</t>
        </is>
      </c>
      <c r="L4" s="34" t="inlineStr">
        <is>
          <t>상태 변경 모달 개선, 서버사이드 페이지네이션/정렬 (2026-03-13)</t>
        </is>
      </c>
    </row>
    <row r="5">
      <c r="A5" s="33" t="inlineStr">
        <is>
          <t>회원관리</t>
        </is>
      </c>
      <c r="B5" s="33" t="inlineStr">
        <is>
          <t>회원</t>
        </is>
      </c>
      <c r="C5" s="33" t="n"/>
      <c r="D5" s="34" t="inlineStr">
        <is>
          <t>SCR-011</t>
        </is>
      </c>
      <c r="E5" s="34" t="inlineStr">
        <is>
          <t>회원 상세</t>
        </is>
      </c>
      <c r="F5" s="34" t="inlineStr">
        <is>
          <t>Web</t>
        </is>
      </c>
      <c r="G5" s="34" t="inlineStr">
        <is>
          <t>/members/detail</t>
        </is>
      </c>
      <c r="H5" s="34" t="inlineStr">
        <is>
          <t>Y</t>
        </is>
      </c>
      <c r="I5" s="34" t="inlineStr">
        <is>
          <t>매니저 이상</t>
        </is>
      </c>
      <c r="J5" s="34" t="inlineStr">
        <is>
          <t>회원 프로필, 이용권, 출석, 결제, 체성분, 메모 탭</t>
        </is>
      </c>
      <c r="K5" s="34" t="inlineStr">
        <is>
          <t>개발완료</t>
        </is>
      </c>
      <c r="L5" s="34" t="inlineStr">
        <is>
          <t>Supabase 실데이터, 메모/목표 탭 (2026-03-13)</t>
        </is>
      </c>
    </row>
    <row r="6">
      <c r="A6" s="33" t="inlineStr">
        <is>
          <t>회원관리</t>
        </is>
      </c>
      <c r="B6" s="33" t="inlineStr">
        <is>
          <t>회원</t>
        </is>
      </c>
      <c r="C6" s="33" t="n"/>
      <c r="D6" s="34" t="inlineStr">
        <is>
          <t>SCR-012</t>
        </is>
      </c>
      <c r="E6" s="34" t="inlineStr">
        <is>
          <t>회원 등록</t>
        </is>
      </c>
      <c r="F6" s="34" t="inlineStr">
        <is>
          <t>Web</t>
        </is>
      </c>
      <c r="G6" s="34" t="inlineStr">
        <is>
          <t>/members/new</t>
        </is>
      </c>
      <c r="H6" s="34" t="inlineStr">
        <is>
          <t>Y</t>
        </is>
      </c>
      <c r="I6" s="34" t="inlineStr">
        <is>
          <t>매니저 이상</t>
        </is>
      </c>
      <c r="J6" s="34" t="inlineStr">
        <is>
          <t>신규 회원 등록 폼</t>
        </is>
      </c>
      <c r="K6" s="34" t="inlineStr">
        <is>
          <t>개발완료</t>
        </is>
      </c>
      <c r="L6" s="34" t="n"/>
    </row>
    <row r="7">
      <c r="A7" s="33" t="inlineStr">
        <is>
          <t>회원관리</t>
        </is>
      </c>
      <c r="B7" s="33" t="inlineStr">
        <is>
          <t>회원</t>
        </is>
      </c>
      <c r="C7" s="33" t="n"/>
      <c r="D7" s="34" t="inlineStr">
        <is>
          <t>SCR-013</t>
        </is>
      </c>
      <c r="E7" s="34" t="inlineStr">
        <is>
          <t>회원 수정</t>
        </is>
      </c>
      <c r="F7" s="34" t="inlineStr">
        <is>
          <t>Web</t>
        </is>
      </c>
      <c r="G7" s="34" t="inlineStr">
        <is>
          <t>/members/edit</t>
        </is>
      </c>
      <c r="H7" s="34" t="inlineStr">
        <is>
          <t>Y</t>
        </is>
      </c>
      <c r="I7" s="34" t="inlineStr">
        <is>
          <t>매니저 이상</t>
        </is>
      </c>
      <c r="J7" s="34" t="inlineStr">
        <is>
          <t>기존 회원 정보 수정 폼</t>
        </is>
      </c>
      <c r="K7" s="34" t="inlineStr">
        <is>
          <t>개발완료</t>
        </is>
      </c>
      <c r="L7" s="34" t="n"/>
    </row>
    <row r="8">
      <c r="A8" s="33" t="inlineStr">
        <is>
          <t>회원관리</t>
        </is>
      </c>
      <c r="B8" s="33" t="inlineStr">
        <is>
          <t>체성분</t>
        </is>
      </c>
      <c r="C8" s="33" t="n"/>
      <c r="D8" s="34" t="inlineStr">
        <is>
          <t>SCR-014</t>
        </is>
      </c>
      <c r="E8" s="34" t="inlineStr">
        <is>
          <t>체성분 분석</t>
        </is>
      </c>
      <c r="F8" s="34" t="inlineStr">
        <is>
          <t>Web</t>
        </is>
      </c>
      <c r="G8" s="34" t="inlineStr">
        <is>
          <t>/body-composition</t>
        </is>
      </c>
      <c r="H8" s="34" t="inlineStr">
        <is>
          <t>Y</t>
        </is>
      </c>
      <c r="I8" s="34" t="inlineStr">
        <is>
          <t>FC 이상</t>
        </is>
      </c>
      <c r="J8" s="34" t="inlineStr">
        <is>
          <t>체성분 측정 기록 및 변화 추이 차트</t>
        </is>
      </c>
      <c r="K8" s="34" t="inlineStr">
        <is>
          <t>개발완료</t>
        </is>
      </c>
      <c r="L8" s="34" t="n"/>
    </row>
    <row r="9">
      <c r="A9" s="33" t="inlineStr">
        <is>
          <t>출석/일정</t>
        </is>
      </c>
      <c r="B9" s="33" t="inlineStr">
        <is>
          <t>출석</t>
        </is>
      </c>
      <c r="C9" s="33" t="n"/>
      <c r="D9" s="34" t="inlineStr">
        <is>
          <t>SCR-020</t>
        </is>
      </c>
      <c r="E9" s="34" t="inlineStr">
        <is>
          <t>출석 기록</t>
        </is>
      </c>
      <c r="F9" s="34" t="inlineStr">
        <is>
          <t>Web</t>
        </is>
      </c>
      <c r="G9" s="34" t="inlineStr">
        <is>
          <t>/attendance</t>
        </is>
      </c>
      <c r="H9" s="34" t="inlineStr">
        <is>
          <t>Y</t>
        </is>
      </c>
      <c r="I9" s="34" t="inlineStr">
        <is>
          <t>스태프 이상</t>
        </is>
      </c>
      <c r="J9" s="34" t="inlineStr">
        <is>
          <t>회원 출석 현황 조회 (일별/주별/월별)</t>
        </is>
      </c>
      <c r="K9" s="34" t="inlineStr">
        <is>
          <t>개발완료</t>
        </is>
      </c>
      <c r="L9" s="34" t="inlineStr">
        <is>
          <t>날짜 필터 DataTable 연동, 키보드 접근성 개선 (2026-03-13)</t>
        </is>
      </c>
    </row>
    <row r="10">
      <c r="A10" s="33" t="inlineStr">
        <is>
          <t>출석/일정</t>
        </is>
      </c>
      <c r="B10" s="33" t="inlineStr">
        <is>
          <t>일정</t>
        </is>
      </c>
      <c r="C10" s="33" t="n"/>
      <c r="D10" s="34" t="inlineStr">
        <is>
          <t>SCR-021</t>
        </is>
      </c>
      <c r="E10" s="34" t="inlineStr">
        <is>
          <t>일정 관리</t>
        </is>
      </c>
      <c r="F10" s="34" t="inlineStr">
        <is>
          <t>Web</t>
        </is>
      </c>
      <c r="G10" s="34" t="inlineStr">
        <is>
          <t>/calendar</t>
        </is>
      </c>
      <c r="H10" s="34" t="inlineStr">
        <is>
          <t>Y</t>
        </is>
      </c>
      <c r="I10" s="34" t="inlineStr">
        <is>
          <t>스태프 이상</t>
        </is>
      </c>
      <c r="J10" s="34" t="inlineStr">
        <is>
          <t>PT/GX 일정 캘린더 뷰</t>
        </is>
      </c>
      <c r="K10" s="34" t="inlineStr">
        <is>
          <t>개발완료</t>
        </is>
      </c>
      <c r="L10" s="34" t="inlineStr">
        <is>
          <t>FullCalendar 드래그앤드롭 리뉴얼 (2026-03-13)</t>
        </is>
      </c>
    </row>
    <row r="11">
      <c r="A11" s="33" t="inlineStr">
        <is>
          <t>매출/결제</t>
        </is>
      </c>
      <c r="B11" s="33" t="inlineStr">
        <is>
          <t>매출</t>
        </is>
      </c>
      <c r="C11" s="33" t="n"/>
      <c r="D11" s="34" t="inlineStr">
        <is>
          <t>SCR-030</t>
        </is>
      </c>
      <c r="E11" s="34" t="inlineStr">
        <is>
          <t>매출 조회</t>
        </is>
      </c>
      <c r="F11" s="34" t="inlineStr">
        <is>
          <t>Web</t>
        </is>
      </c>
      <c r="G11" s="34" t="inlineStr">
        <is>
          <t>/sales</t>
        </is>
      </c>
      <c r="H11" s="34" t="inlineStr">
        <is>
          <t>Y</t>
        </is>
      </c>
      <c r="I11" s="34" t="inlineStr">
        <is>
          <t>매니저 이상</t>
        </is>
      </c>
      <c r="J11" s="34" t="inlineStr">
        <is>
          <t>매출 현황 조회, 필터, 통계 요약</t>
        </is>
      </c>
      <c r="K11" s="34" t="inlineStr">
        <is>
          <t>개발완료</t>
        </is>
      </c>
      <c r="L11" s="34" t="n"/>
    </row>
    <row r="12">
      <c r="A12" s="33" t="inlineStr">
        <is>
          <t>매출/결제</t>
        </is>
      </c>
      <c r="B12" s="33" t="inlineStr">
        <is>
          <t>POS</t>
        </is>
      </c>
      <c r="C12" s="33" t="n"/>
      <c r="D12" s="34" t="inlineStr">
        <is>
          <t>SCR-031</t>
        </is>
      </c>
      <c r="E12" s="34" t="inlineStr">
        <is>
          <t>POS</t>
        </is>
      </c>
      <c r="F12" s="34" t="inlineStr">
        <is>
          <t>Web</t>
        </is>
      </c>
      <c r="G12" s="34" t="inlineStr">
        <is>
          <t>/pos</t>
        </is>
      </c>
      <c r="H12" s="34" t="inlineStr">
        <is>
          <t>Y</t>
        </is>
      </c>
      <c r="I12" s="34" t="inlineStr">
        <is>
          <t>스태프 이상</t>
        </is>
      </c>
      <c r="J12" s="34" t="inlineStr">
        <is>
          <t>POS 상품 선택 및 장바구니</t>
        </is>
      </c>
      <c r="K12" s="34" t="inlineStr">
        <is>
          <t>개발완료</t>
        </is>
      </c>
      <c r="L12" s="34" t="n"/>
    </row>
    <row r="13">
      <c r="A13" s="33" t="inlineStr">
        <is>
          <t>매출/결제</t>
        </is>
      </c>
      <c r="B13" s="33" t="inlineStr">
        <is>
          <t>POS</t>
        </is>
      </c>
      <c r="C13" s="33" t="n"/>
      <c r="D13" s="34" t="inlineStr">
        <is>
          <t>SCR-032</t>
        </is>
      </c>
      <c r="E13" s="34" t="inlineStr">
        <is>
          <t>POS 결제</t>
        </is>
      </c>
      <c r="F13" s="34" t="inlineStr">
        <is>
          <t>Web</t>
        </is>
      </c>
      <c r="G13" s="34" t="inlineStr">
        <is>
          <t>/pos/payment</t>
        </is>
      </c>
      <c r="H13" s="34" t="inlineStr">
        <is>
          <t>Y</t>
        </is>
      </c>
      <c r="I13" s="34" t="inlineStr">
        <is>
          <t>스태프 이상</t>
        </is>
      </c>
      <c r="J13" s="34" t="inlineStr">
        <is>
          <t>결제 수단 선택 및 결제 처리</t>
        </is>
      </c>
      <c r="K13" s="34" t="inlineStr">
        <is>
          <t>개발완료</t>
        </is>
      </c>
      <c r="L13" s="34" t="inlineStr">
        <is>
          <t>window.confirm → ConfirmDialog 개선 (2026-03-13)</t>
        </is>
      </c>
    </row>
    <row r="14">
      <c r="A14" s="33" t="inlineStr">
        <is>
          <t>상품관리</t>
        </is>
      </c>
      <c r="B14" s="33" t="inlineStr">
        <is>
          <t>상품</t>
        </is>
      </c>
      <c r="C14" s="33" t="n"/>
      <c r="D14" s="34" t="inlineStr">
        <is>
          <t>SCR-040</t>
        </is>
      </c>
      <c r="E14" s="34" t="inlineStr">
        <is>
          <t>상품 목록</t>
        </is>
      </c>
      <c r="F14" s="34" t="inlineStr">
        <is>
          <t>Web</t>
        </is>
      </c>
      <c r="G14" s="34" t="inlineStr">
        <is>
          <t>/products</t>
        </is>
      </c>
      <c r="H14" s="34" t="inlineStr">
        <is>
          <t>Y</t>
        </is>
      </c>
      <c r="I14" s="34" t="inlineStr">
        <is>
          <t>매니저 이상</t>
        </is>
      </c>
      <c r="J14" s="34" t="inlineStr">
        <is>
          <t>이용권/PT/기타 상품 목록</t>
        </is>
      </c>
      <c r="K14" s="34" t="inlineStr">
        <is>
          <t>개발완료</t>
        </is>
      </c>
      <c r="L14" s="34" t="n"/>
    </row>
    <row r="15">
      <c r="A15" s="33" t="inlineStr">
        <is>
          <t>상품관리</t>
        </is>
      </c>
      <c r="B15" s="33" t="inlineStr">
        <is>
          <t>상품</t>
        </is>
      </c>
      <c r="C15" s="33" t="n"/>
      <c r="D15" s="34" t="inlineStr">
        <is>
          <t>SCR-041</t>
        </is>
      </c>
      <c r="E15" s="34" t="inlineStr">
        <is>
          <t>상품 등록</t>
        </is>
      </c>
      <c r="F15" s="34" t="inlineStr">
        <is>
          <t>Web</t>
        </is>
      </c>
      <c r="G15" s="34" t="inlineStr">
        <is>
          <t>/products/new</t>
        </is>
      </c>
      <c r="H15" s="34" t="inlineStr">
        <is>
          <t>Y</t>
        </is>
      </c>
      <c r="I15" s="34" t="inlineStr">
        <is>
          <t>센터장 이상</t>
        </is>
      </c>
      <c r="J15" s="34" t="inlineStr">
        <is>
          <t>신규 상품 등록 폼</t>
        </is>
      </c>
      <c r="K15" s="34" t="inlineStr">
        <is>
          <t>개발완료</t>
        </is>
      </c>
      <c r="L15" s="34" t="n"/>
    </row>
    <row r="16">
      <c r="A16" s="33" t="inlineStr">
        <is>
          <t>시설관리</t>
        </is>
      </c>
      <c r="B16" s="33" t="inlineStr">
        <is>
          <t>락커</t>
        </is>
      </c>
      <c r="C16" s="33" t="n"/>
      <c r="D16" s="34" t="inlineStr">
        <is>
          <t>SCR-050</t>
        </is>
      </c>
      <c r="E16" s="34" t="inlineStr">
        <is>
          <t>락커 현황</t>
        </is>
      </c>
      <c r="F16" s="34" t="inlineStr">
        <is>
          <t>Web</t>
        </is>
      </c>
      <c r="G16" s="34" t="inlineStr">
        <is>
          <t>/locker</t>
        </is>
      </c>
      <c r="H16" s="34" t="inlineStr">
        <is>
          <t>Y</t>
        </is>
      </c>
      <c r="I16" s="34" t="inlineStr">
        <is>
          <t>스태프 이상</t>
        </is>
      </c>
      <c r="J16" s="34" t="inlineStr">
        <is>
          <t>락커 구역별 배정 현황 (색상 그리드)</t>
        </is>
      </c>
      <c r="K16" s="34" t="inlineStr">
        <is>
          <t>개발완료</t>
        </is>
      </c>
      <c r="L16" s="34" t="n"/>
    </row>
    <row r="17">
      <c r="A17" s="33" t="inlineStr">
        <is>
          <t>시설관리</t>
        </is>
      </c>
      <c r="B17" s="33" t="inlineStr">
        <is>
          <t>락커</t>
        </is>
      </c>
      <c r="C17" s="33" t="n"/>
      <c r="D17" s="34" t="inlineStr">
        <is>
          <t>SCR-051</t>
        </is>
      </c>
      <c r="E17" s="34" t="inlineStr">
        <is>
          <t>락커 관리</t>
        </is>
      </c>
      <c r="F17" s="34" t="inlineStr">
        <is>
          <t>Web</t>
        </is>
      </c>
      <c r="G17" s="34" t="inlineStr">
        <is>
          <t>/locker/management</t>
        </is>
      </c>
      <c r="H17" s="34" t="inlineStr">
        <is>
          <t>Y</t>
        </is>
      </c>
      <c r="I17" s="34" t="inlineStr">
        <is>
          <t>매니저 이상</t>
        </is>
      </c>
      <c r="J17" s="34" t="inlineStr">
        <is>
          <t>락커 배정/해제/일괄 관리</t>
        </is>
      </c>
      <c r="K17" s="34" t="inlineStr">
        <is>
          <t>개발완료</t>
        </is>
      </c>
      <c r="L17" s="34" t="n"/>
    </row>
    <row r="18">
      <c r="A18" s="33" t="inlineStr">
        <is>
          <t>시설관리</t>
        </is>
      </c>
      <c r="B18" s="33" t="inlineStr">
        <is>
          <t>RFID</t>
        </is>
      </c>
      <c r="C18" s="33" t="n"/>
      <c r="D18" s="34" t="inlineStr">
        <is>
          <t>SCR-052</t>
        </is>
      </c>
      <c r="E18" s="34" t="inlineStr">
        <is>
          <t>RFID 관리</t>
        </is>
      </c>
      <c r="F18" s="34" t="inlineStr">
        <is>
          <t>Web</t>
        </is>
      </c>
      <c r="G18" s="34" t="inlineStr">
        <is>
          <t>/rfid</t>
        </is>
      </c>
      <c r="H18" s="34" t="inlineStr">
        <is>
          <t>Y</t>
        </is>
      </c>
      <c r="I18" s="34" t="inlineStr">
        <is>
          <t>매니저 이상</t>
        </is>
      </c>
      <c r="J18" s="34" t="inlineStr">
        <is>
          <t>RFID 카드 등록/해제/이력 조회</t>
        </is>
      </c>
      <c r="K18" s="34" t="inlineStr">
        <is>
          <t>개발완료</t>
        </is>
      </c>
      <c r="L18" s="34" t="n"/>
    </row>
    <row r="19">
      <c r="A19" s="33" t="inlineStr">
        <is>
          <t>시설관리</t>
        </is>
      </c>
      <c r="B19" s="33" t="inlineStr">
        <is>
          <t>룸</t>
        </is>
      </c>
      <c r="C19" s="33" t="n"/>
      <c r="D19" s="34" t="inlineStr">
        <is>
          <t>SCR-053</t>
        </is>
      </c>
      <c r="E19" s="34" t="inlineStr">
        <is>
          <t>룸 관리</t>
        </is>
      </c>
      <c r="F19" s="34" t="inlineStr">
        <is>
          <t>Web</t>
        </is>
      </c>
      <c r="G19" s="34" t="inlineStr">
        <is>
          <t>/rooms</t>
        </is>
      </c>
      <c r="H19" s="34" t="inlineStr">
        <is>
          <t>Y</t>
        </is>
      </c>
      <c r="I19" s="34" t="inlineStr">
        <is>
          <t>매니저 이상</t>
        </is>
      </c>
      <c r="J19" s="34" t="inlineStr">
        <is>
          <t>GX룸/PT룸 관리 및 예약 설정</t>
        </is>
      </c>
      <c r="K19" s="34" t="inlineStr">
        <is>
          <t>개발완료</t>
        </is>
      </c>
      <c r="L19" s="34" t="n"/>
    </row>
    <row r="20">
      <c r="A20" s="33" t="inlineStr">
        <is>
          <t>직원관리</t>
        </is>
      </c>
      <c r="B20" s="33" t="inlineStr">
        <is>
          <t>직원</t>
        </is>
      </c>
      <c r="C20" s="33" t="n"/>
      <c r="D20" s="34" t="inlineStr">
        <is>
          <t>SCR-060</t>
        </is>
      </c>
      <c r="E20" s="34" t="inlineStr">
        <is>
          <t>직원 목록</t>
        </is>
      </c>
      <c r="F20" s="34" t="inlineStr">
        <is>
          <t>Web</t>
        </is>
      </c>
      <c r="G20" s="34" t="inlineStr">
        <is>
          <t>/staff</t>
        </is>
      </c>
      <c r="H20" s="34" t="inlineStr">
        <is>
          <t>Y</t>
        </is>
      </c>
      <c r="I20" s="34" t="inlineStr">
        <is>
          <t>센터장 이상</t>
        </is>
      </c>
      <c r="J20" s="34" t="inlineStr">
        <is>
          <t>직원 검색/필터/목록 조회</t>
        </is>
      </c>
      <c r="K20" s="34" t="inlineStr">
        <is>
          <t>개발완료</t>
        </is>
      </c>
      <c r="L20" s="34" t="inlineStr">
        <is>
          <t>페이지네이션 동작 수정, 퇴사 ConfirmDialog (2026-03-13)</t>
        </is>
      </c>
    </row>
    <row r="21">
      <c r="A21" s="33" t="inlineStr">
        <is>
          <t>직원관리</t>
        </is>
      </c>
      <c r="B21" s="33" t="inlineStr">
        <is>
          <t>직원</t>
        </is>
      </c>
      <c r="C21" s="33" t="n"/>
      <c r="D21" s="34" t="inlineStr">
        <is>
          <t>SCR-061</t>
        </is>
      </c>
      <c r="E21" s="34" t="inlineStr">
        <is>
          <t>직원 등록</t>
        </is>
      </c>
      <c r="F21" s="34" t="inlineStr">
        <is>
          <t>Web</t>
        </is>
      </c>
      <c r="G21" s="34" t="inlineStr">
        <is>
          <t>/staff/new</t>
        </is>
      </c>
      <c r="H21" s="34" t="inlineStr">
        <is>
          <t>Y</t>
        </is>
      </c>
      <c r="I21" s="34" t="inlineStr">
        <is>
          <t>센터장 이상</t>
        </is>
      </c>
      <c r="J21" s="34" t="inlineStr">
        <is>
          <t>신규 직원 등록 폼</t>
        </is>
      </c>
      <c r="K21" s="34" t="inlineStr">
        <is>
          <t>개발완료</t>
        </is>
      </c>
      <c r="L21" s="34" t="n"/>
    </row>
    <row r="22">
      <c r="A22" s="33" t="inlineStr">
        <is>
          <t>직원관리</t>
        </is>
      </c>
      <c r="B22" s="33" t="inlineStr">
        <is>
          <t>급여</t>
        </is>
      </c>
      <c r="C22" s="33" t="n"/>
      <c r="D22" s="34" t="inlineStr">
        <is>
          <t>SCR-062</t>
        </is>
      </c>
      <c r="E22" s="34" t="inlineStr">
        <is>
          <t>급여 현황</t>
        </is>
      </c>
      <c r="F22" s="34" t="inlineStr">
        <is>
          <t>Web</t>
        </is>
      </c>
      <c r="G22" s="34" t="inlineStr">
        <is>
          <t>/payroll</t>
        </is>
      </c>
      <c r="H22" s="34" t="inlineStr">
        <is>
          <t>Y</t>
        </is>
      </c>
      <c r="I22" s="34" t="inlineStr">
        <is>
          <t>센터장 이상</t>
        </is>
      </c>
      <c r="J22" s="34" t="inlineStr">
        <is>
          <t>월별 급여 현황 요약</t>
        </is>
      </c>
      <c r="K22" s="34" t="inlineStr">
        <is>
          <t>개발완료</t>
        </is>
      </c>
      <c r="L22" s="34" t="inlineStr">
        <is>
          <t>페이지네이션 동작 수정, 필터 시 페이지 리셋 (2026-03-13)</t>
        </is>
      </c>
    </row>
    <row r="23">
      <c r="A23" s="33" t="inlineStr">
        <is>
          <t>직원관리</t>
        </is>
      </c>
      <c r="B23" s="33" t="inlineStr">
        <is>
          <t>급여</t>
        </is>
      </c>
      <c r="C23" s="33" t="n"/>
      <c r="D23" s="34" t="inlineStr">
        <is>
          <t>SCR-063</t>
        </is>
      </c>
      <c r="E23" s="34" t="inlineStr">
        <is>
          <t>급여명세서</t>
        </is>
      </c>
      <c r="F23" s="34" t="inlineStr">
        <is>
          <t>Web</t>
        </is>
      </c>
      <c r="G23" s="34" t="inlineStr">
        <is>
          <t>/payroll/statements</t>
        </is>
      </c>
      <c r="H23" s="34" t="inlineStr">
        <is>
          <t>Y</t>
        </is>
      </c>
      <c r="I23" s="34" t="inlineStr">
        <is>
          <t>센터장 이상</t>
        </is>
      </c>
      <c r="J23" s="34" t="inlineStr">
        <is>
          <t>직원별 급여명세서 상세</t>
        </is>
      </c>
      <c r="K23" s="34" t="inlineStr">
        <is>
          <t>개발완료</t>
        </is>
      </c>
      <c r="L23" s="34" t="n"/>
    </row>
    <row r="24">
      <c r="A24" s="33" t="inlineStr">
        <is>
          <t>메시지/마케팅</t>
        </is>
      </c>
      <c r="B24" s="33" t="inlineStr">
        <is>
          <t>메시지</t>
        </is>
      </c>
      <c r="C24" s="33" t="n"/>
      <c r="D24" s="34" t="inlineStr">
        <is>
          <t>SCR-070</t>
        </is>
      </c>
      <c r="E24" s="34" t="inlineStr">
        <is>
          <t>메시지 발송</t>
        </is>
      </c>
      <c r="F24" s="34" t="inlineStr">
        <is>
          <t>Web</t>
        </is>
      </c>
      <c r="G24" s="34" t="inlineStr">
        <is>
          <t>/message</t>
        </is>
      </c>
      <c r="H24" s="34" t="inlineStr">
        <is>
          <t>Y</t>
        </is>
      </c>
      <c r="I24" s="34" t="inlineStr">
        <is>
          <t>매니저 이상</t>
        </is>
      </c>
      <c r="J24" s="34" t="inlineStr">
        <is>
          <t>SMS/카카오톡 메시지 발송</t>
        </is>
      </c>
      <c r="K24" s="34" t="inlineStr">
        <is>
          <t>개발완료</t>
        </is>
      </c>
      <c r="L24" s="34" t="n"/>
    </row>
    <row r="25">
      <c r="A25" s="33" t="inlineStr">
        <is>
          <t>메시지/마케팅</t>
        </is>
      </c>
      <c r="B25" s="33" t="inlineStr">
        <is>
          <t>자동알림</t>
        </is>
      </c>
      <c r="C25" s="33" t="n"/>
      <c r="D25" s="34" t="inlineStr">
        <is>
          <t>SCR-071</t>
        </is>
      </c>
      <c r="E25" s="34" t="inlineStr">
        <is>
          <t>자동 알림</t>
        </is>
      </c>
      <c r="F25" s="34" t="inlineStr">
        <is>
          <t>Web</t>
        </is>
      </c>
      <c r="G25" s="34" t="inlineStr">
        <is>
          <t>/message/auto-alarm</t>
        </is>
      </c>
      <c r="H25" s="34" t="inlineStr">
        <is>
          <t>Y</t>
        </is>
      </c>
      <c r="I25" s="34" t="inlineStr">
        <is>
          <t>매니저 이상</t>
        </is>
      </c>
      <c r="J25" s="34" t="inlineStr">
        <is>
          <t>자동 알림 규칙 설정 (만료/생일 등)</t>
        </is>
      </c>
      <c r="K25" s="34" t="inlineStr">
        <is>
          <t>개발완료</t>
        </is>
      </c>
      <c r="L25" s="34" t="n"/>
    </row>
    <row r="26">
      <c r="A26" s="33" t="inlineStr">
        <is>
          <t>메시지/마케팅</t>
        </is>
      </c>
      <c r="B26" s="33" t="inlineStr">
        <is>
          <t>쿠폰</t>
        </is>
      </c>
      <c r="C26" s="33" t="n"/>
      <c r="D26" s="34" t="inlineStr">
        <is>
          <t>SCR-072</t>
        </is>
      </c>
      <c r="E26" s="34" t="inlineStr">
        <is>
          <t>쿠폰 관리</t>
        </is>
      </c>
      <c r="F26" s="34" t="inlineStr">
        <is>
          <t>Web</t>
        </is>
      </c>
      <c r="G26" s="34" t="inlineStr">
        <is>
          <t>/message/coupon</t>
        </is>
      </c>
      <c r="H26" s="34" t="inlineStr">
        <is>
          <t>Y</t>
        </is>
      </c>
      <c r="I26" s="34" t="inlineStr">
        <is>
          <t>매니저 이상</t>
        </is>
      </c>
      <c r="J26" s="34" t="inlineStr">
        <is>
          <t>쿠폰 생성/발급/이력 관리</t>
        </is>
      </c>
      <c r="K26" s="34" t="inlineStr">
        <is>
          <t>개발완료</t>
        </is>
      </c>
      <c r="L26" s="34" t="n"/>
    </row>
    <row r="27">
      <c r="A27" s="33" t="inlineStr">
        <is>
          <t>메시지/마케팅</t>
        </is>
      </c>
      <c r="B27" s="33" t="inlineStr">
        <is>
          <t>마일리지</t>
        </is>
      </c>
      <c r="C27" s="33" t="n"/>
      <c r="D27" s="34" t="inlineStr">
        <is>
          <t>SCR-073</t>
        </is>
      </c>
      <c r="E27" s="34" t="inlineStr">
        <is>
          <t>마일리지 관리</t>
        </is>
      </c>
      <c r="F27" s="34" t="inlineStr">
        <is>
          <t>Web</t>
        </is>
      </c>
      <c r="G27" s="34" t="inlineStr">
        <is>
          <t>/mileage</t>
        </is>
      </c>
      <c r="H27" s="34" t="inlineStr">
        <is>
          <t>Y</t>
        </is>
      </c>
      <c r="I27" s="34" t="inlineStr">
        <is>
          <t>매니저 이상</t>
        </is>
      </c>
      <c r="J27" s="34" t="inlineStr">
        <is>
          <t>회원 마일리지 적립/사용 이력</t>
        </is>
      </c>
      <c r="K27" s="34" t="inlineStr">
        <is>
          <t>개발완료</t>
        </is>
      </c>
      <c r="L27" s="34" t="inlineStr">
        <is>
          <t>이력 탭 엑셀 다운로드 구현 (2026-03-13)</t>
        </is>
      </c>
    </row>
    <row r="28">
      <c r="A28" s="33" t="inlineStr">
        <is>
          <t>계약/구독</t>
        </is>
      </c>
      <c r="B28" s="33" t="inlineStr">
        <is>
          <t>계약</t>
        </is>
      </c>
      <c r="C28" s="33" t="n"/>
      <c r="D28" s="34" t="inlineStr">
        <is>
          <t>SCR-080</t>
        </is>
      </c>
      <c r="E28" s="34" t="inlineStr">
        <is>
          <t>계약 마법사</t>
        </is>
      </c>
      <c r="F28" s="34" t="inlineStr">
        <is>
          <t>Web</t>
        </is>
      </c>
      <c r="G28" s="34" t="inlineStr">
        <is>
          <t>/contracts/new</t>
        </is>
      </c>
      <c r="H28" s="34" t="inlineStr">
        <is>
          <t>Y</t>
        </is>
      </c>
      <c r="I28" s="34" t="inlineStr">
        <is>
          <t>매니저 이상</t>
        </is>
      </c>
      <c r="J28" s="34" t="inlineStr">
        <is>
          <t>단계별 계약 등록 위자드</t>
        </is>
      </c>
      <c r="K28" s="34" t="inlineStr">
        <is>
          <t>개발완료</t>
        </is>
      </c>
      <c r="L28" s="34" t="inlineStr">
        <is>
          <t>전자서명 (양방향) Canvas 구현 (2026-03-13)</t>
        </is>
      </c>
    </row>
    <row r="29">
      <c r="A29" s="33" t="inlineStr">
        <is>
          <t>계약/구독</t>
        </is>
      </c>
      <c r="B29" s="33" t="inlineStr">
        <is>
          <t>구독</t>
        </is>
      </c>
      <c r="C29" s="33" t="n"/>
      <c r="D29" s="34" t="inlineStr">
        <is>
          <t>SCR-081</t>
        </is>
      </c>
      <c r="E29" s="34" t="inlineStr">
        <is>
          <t>구독 관리</t>
        </is>
      </c>
      <c r="F29" s="34" t="inlineStr">
        <is>
          <t>Web</t>
        </is>
      </c>
      <c r="G29" s="34" t="inlineStr">
        <is>
          <t>/subscription</t>
        </is>
      </c>
      <c r="H29" s="34" t="inlineStr">
        <is>
          <t>Y</t>
        </is>
      </c>
      <c r="I29" s="34" t="inlineStr">
        <is>
          <t>센터장 이상</t>
        </is>
      </c>
      <c r="J29" s="34" t="inlineStr">
        <is>
          <t>정기 구독 상품 관리</t>
        </is>
      </c>
      <c r="K29" s="34" t="inlineStr">
        <is>
          <t>개발완료</t>
        </is>
      </c>
      <c r="L29" s="34" t="n"/>
    </row>
    <row r="30">
      <c r="A30" s="33" t="inlineStr">
        <is>
          <t>설정</t>
        </is>
      </c>
      <c r="B30" s="33" t="inlineStr">
        <is>
          <t>설정</t>
        </is>
      </c>
      <c r="C30" s="33" t="n"/>
      <c r="D30" s="34" t="inlineStr">
        <is>
          <t>SCR-090</t>
        </is>
      </c>
      <c r="E30" s="34" t="inlineStr">
        <is>
          <t>설정</t>
        </is>
      </c>
      <c r="F30" s="34" t="inlineStr">
        <is>
          <t>Web</t>
        </is>
      </c>
      <c r="G30" s="34" t="inlineStr">
        <is>
          <t>/settings</t>
        </is>
      </c>
      <c r="H30" s="34" t="inlineStr">
        <is>
          <t>Y</t>
        </is>
      </c>
      <c r="I30" s="34" t="inlineStr">
        <is>
          <t>센터장 이상</t>
        </is>
      </c>
      <c r="J30" s="34" t="inlineStr">
        <is>
          <t>시스템 기본 설정</t>
        </is>
      </c>
      <c r="K30" s="34" t="inlineStr">
        <is>
          <t>개발완료</t>
        </is>
      </c>
      <c r="L30" s="34" t="n"/>
    </row>
    <row r="31">
      <c r="A31" s="33" t="inlineStr">
        <is>
          <t>설정</t>
        </is>
      </c>
      <c r="B31" s="33" t="inlineStr">
        <is>
          <t>권한</t>
        </is>
      </c>
      <c r="C31" s="33" t="n"/>
      <c r="D31" s="34" t="inlineStr">
        <is>
          <t>SCR-091</t>
        </is>
      </c>
      <c r="E31" s="34" t="inlineStr">
        <is>
          <t>권한 설정</t>
        </is>
      </c>
      <c r="F31" s="34" t="inlineStr">
        <is>
          <t>Web</t>
        </is>
      </c>
      <c r="G31" s="34" t="inlineStr">
        <is>
          <t>/settings/permissions</t>
        </is>
      </c>
      <c r="H31" s="34" t="inlineStr">
        <is>
          <t>Y</t>
        </is>
      </c>
      <c r="I31" s="34" t="inlineStr">
        <is>
          <t>최고관리자</t>
        </is>
      </c>
      <c r="J31" s="34" t="inlineStr">
        <is>
          <t>역할별 메뉴/기능 권한 매트릭스</t>
        </is>
      </c>
      <c r="K31" s="34" t="inlineStr">
        <is>
          <t>개발완료</t>
        </is>
      </c>
      <c r="L31" s="34" t="n"/>
    </row>
    <row r="32">
      <c r="A32" s="33" t="inlineStr">
        <is>
          <t>설정</t>
        </is>
      </c>
      <c r="B32" s="33" t="inlineStr">
        <is>
          <t>키오스크</t>
        </is>
      </c>
      <c r="C32" s="33" t="n"/>
      <c r="D32" s="34" t="inlineStr">
        <is>
          <t>SCR-092</t>
        </is>
      </c>
      <c r="E32" s="34" t="inlineStr">
        <is>
          <t>키오스크 설정</t>
        </is>
      </c>
      <c r="F32" s="34" t="inlineStr">
        <is>
          <t>Web</t>
        </is>
      </c>
      <c r="G32" s="34" t="inlineStr">
        <is>
          <t>/settings/kiosk</t>
        </is>
      </c>
      <c r="H32" s="34" t="inlineStr">
        <is>
          <t>Y</t>
        </is>
      </c>
      <c r="I32" s="34" t="inlineStr">
        <is>
          <t>센터장 이상</t>
        </is>
      </c>
      <c r="J32" s="34" t="inlineStr">
        <is>
          <t>키오스크 디스플레이/동작 설정</t>
        </is>
      </c>
      <c r="K32" s="34" t="inlineStr">
        <is>
          <t>개발완료</t>
        </is>
      </c>
      <c r="L32" s="34" t="n"/>
    </row>
    <row r="33">
      <c r="A33" s="33" t="inlineStr">
        <is>
          <t>설정</t>
        </is>
      </c>
      <c r="B33" s="33" t="inlineStr">
        <is>
          <t>IoT</t>
        </is>
      </c>
      <c r="C33" s="33" t="n"/>
      <c r="D33" s="34" t="inlineStr">
        <is>
          <t>SCR-093</t>
        </is>
      </c>
      <c r="E33" s="34" t="inlineStr">
        <is>
          <t>IoT 설정</t>
        </is>
      </c>
      <c r="F33" s="34" t="inlineStr">
        <is>
          <t>Web</t>
        </is>
      </c>
      <c r="G33" s="34" t="inlineStr">
        <is>
          <t>/settings/iot</t>
        </is>
      </c>
      <c r="H33" s="34" t="inlineStr">
        <is>
          <t>Y</t>
        </is>
      </c>
      <c r="I33" s="34" t="inlineStr">
        <is>
          <t>센터장 이상</t>
        </is>
      </c>
      <c r="J33" s="34" t="inlineStr">
        <is>
          <t>출입문/체성분 기기 연동 설정</t>
        </is>
      </c>
      <c r="K33" s="34" t="inlineStr">
        <is>
          <t>개발완료</t>
        </is>
      </c>
      <c r="L33" s="34" t="n"/>
    </row>
    <row r="34">
      <c r="A34" s="33" t="inlineStr">
        <is>
          <t>설정</t>
        </is>
      </c>
      <c r="B34" s="33" t="inlineStr">
        <is>
          <t>지점</t>
        </is>
      </c>
      <c r="C34" s="33" t="n"/>
      <c r="D34" s="34" t="inlineStr">
        <is>
          <t>SCR-094</t>
        </is>
      </c>
      <c r="E34" s="34" t="inlineStr">
        <is>
          <t>지점 관리</t>
        </is>
      </c>
      <c r="F34" s="34" t="inlineStr">
        <is>
          <t>Web</t>
        </is>
      </c>
      <c r="G34" s="34" t="inlineStr">
        <is>
          <t>/branches</t>
        </is>
      </c>
      <c r="H34" s="34" t="inlineStr">
        <is>
          <t>Y</t>
        </is>
      </c>
      <c r="I34" s="34" t="inlineStr">
        <is>
          <t>최고관리자</t>
        </is>
      </c>
      <c r="J34" s="34" t="inlineStr">
        <is>
          <t>지점 CRUD 및 멀티테넌트 관리</t>
        </is>
      </c>
      <c r="K34" s="34" t="inlineStr">
        <is>
          <t>개발완료</t>
        </is>
      </c>
      <c r="L34" s="34" t="n"/>
    </row>
    <row r="35">
      <c r="A35" s="33" t="inlineStr">
        <is>
          <t>출석/일정</t>
        </is>
      </c>
      <c r="B35" s="33" t="inlineStr">
        <is>
          <t>GX 예약</t>
        </is>
      </c>
      <c r="C35" s="33" t="n"/>
      <c r="D35" s="34" t="inlineStr">
        <is>
          <t>SCR-022</t>
        </is>
      </c>
      <c r="E35" s="34" t="inlineStr">
        <is>
          <t>GX 예약 관리</t>
        </is>
      </c>
      <c r="F35" s="34" t="inlineStr">
        <is>
          <t>Web</t>
        </is>
      </c>
      <c r="G35" s="34" t="inlineStr">
        <is>
          <t>/schedule/gx-booking</t>
        </is>
      </c>
      <c r="H35" s="34" t="inlineStr">
        <is>
          <t>Y</t>
        </is>
      </c>
      <c r="I35" s="34" t="inlineStr">
        <is>
          <t>매니저 이상</t>
        </is>
      </c>
      <c r="J35" s="34" t="inlineStr">
        <is>
          <t>GX 프로그램 예약 오픈/관리. N시간 전 자동 오픈, 노쇼 페널티, 출석체크 연동</t>
        </is>
      </c>
      <c r="K35" s="34" t="inlineStr">
        <is>
          <t>신규</t>
        </is>
      </c>
      <c r="L35" s="34" t="inlineStr">
        <is>
          <t>레슨북/온핏 장점 반영</t>
        </is>
      </c>
    </row>
    <row r="36">
      <c r="A36" s="33" t="inlineStr">
        <is>
          <t>출석/일정</t>
        </is>
      </c>
      <c r="B36" s="33" t="inlineStr">
        <is>
          <t>좌석 예약</t>
        </is>
      </c>
      <c r="C36" s="33" t="n"/>
      <c r="D36" s="34" t="inlineStr">
        <is>
          <t>SCR-023</t>
        </is>
      </c>
      <c r="E36" s="34" t="inlineStr">
        <is>
          <t>좌석 예약 관리</t>
        </is>
      </c>
      <c r="F36" s="34" t="inlineStr">
        <is>
          <t>Web</t>
        </is>
      </c>
      <c r="G36" s="34" t="inlineStr">
        <is>
          <t>/schedule/seat-booking</t>
        </is>
      </c>
      <c r="H36" s="34" t="inlineStr">
        <is>
          <t>Y</t>
        </is>
      </c>
      <c r="I36" s="34" t="inlineStr">
        <is>
          <t>매니저 이상</t>
        </is>
      </c>
      <c r="J36" s="34" t="inlineStr">
        <is>
          <t>스피닝/GX 좌석 지정 예약. 바이크 번호별 예약/고장 관리</t>
        </is>
      </c>
      <c r="K36" s="34" t="inlineStr">
        <is>
          <t>신규</t>
        </is>
      </c>
      <c r="L36" s="34" t="inlineStr">
        <is>
          <t>판교점/용산점 요구사항</t>
        </is>
      </c>
    </row>
    <row r="37">
      <c r="A37" s="33" t="inlineStr">
        <is>
          <t>출석/일정</t>
        </is>
      </c>
      <c r="B37" s="33" t="inlineStr">
        <is>
          <t>레슨 관리</t>
        </is>
      </c>
      <c r="C37" s="33" t="n"/>
      <c r="D37" s="34" t="inlineStr">
        <is>
          <t>SCR-024</t>
        </is>
      </c>
      <c r="E37" s="34" t="inlineStr">
        <is>
          <t>레슨 기록/서명</t>
        </is>
      </c>
      <c r="F37" s="34" t="inlineStr">
        <is>
          <t>Web</t>
        </is>
      </c>
      <c r="G37" s="34" t="inlineStr">
        <is>
          <t>/schedule/lesson</t>
        </is>
      </c>
      <c r="H37" s="34" t="inlineStr">
        <is>
          <t>Y</t>
        </is>
      </c>
      <c r="I37" s="34" t="inlineStr">
        <is>
          <t>트레이너 이상</t>
        </is>
      </c>
      <c r="J37" s="34" t="inlineStr">
        <is>
          <t>PT/골프 레슨 기록, 고객 서명 확인, 수업 진위 관리</t>
        </is>
      </c>
      <c r="K37" s="34" t="inlineStr">
        <is>
          <t>신규</t>
        </is>
      </c>
      <c r="L37" s="34" t="inlineStr">
        <is>
          <t>레슨북 장점 반영</t>
        </is>
      </c>
    </row>
    <row r="38">
      <c r="A38" s="33" t="inlineStr">
        <is>
          <t>시설관리</t>
        </is>
      </c>
      <c r="B38" s="33" t="inlineStr">
        <is>
          <t>타석</t>
        </is>
      </c>
      <c r="C38" s="33" t="n"/>
      <c r="D38" s="34" t="inlineStr">
        <is>
          <t>SCR-054</t>
        </is>
      </c>
      <c r="E38" s="34" t="inlineStr">
        <is>
          <t>골프 타석 관리</t>
        </is>
      </c>
      <c r="F38" s="34" t="inlineStr">
        <is>
          <t>Web</t>
        </is>
      </c>
      <c r="G38" s="34" t="inlineStr">
        <is>
          <t>/facility/golf-bay</t>
        </is>
      </c>
      <c r="H38" s="34" t="inlineStr">
        <is>
          <t>Y</t>
        </is>
      </c>
      <c r="I38" s="34" t="inlineStr">
        <is>
          <t>매니저 이상</t>
        </is>
      </c>
      <c r="J38" s="34" t="inlineStr">
        <is>
          <t>골프 타석 예약/대기/제어. 꼬리물기 예약, 시간관리</t>
        </is>
      </c>
      <c r="K38" s="34" t="inlineStr">
        <is>
          <t>신규</t>
        </is>
      </c>
      <c r="L38" s="34" t="inlineStr">
        <is>
          <t>대치점 브로제이 장점 반영</t>
        </is>
      </c>
    </row>
    <row r="39">
      <c r="A39" s="33" t="inlineStr">
        <is>
          <t>시설관리</t>
        </is>
      </c>
      <c r="B39" s="33" t="inlineStr">
        <is>
          <t>전원제어</t>
        </is>
      </c>
      <c r="C39" s="33" t="n"/>
      <c r="D39" s="34" t="inlineStr">
        <is>
          <t>SCR-055</t>
        </is>
      </c>
      <c r="E39" s="34" t="inlineStr">
        <is>
          <t>기기 전원 제어</t>
        </is>
      </c>
      <c r="F39" s="34" t="inlineStr">
        <is>
          <t>Web</t>
        </is>
      </c>
      <c r="G39" s="34" t="inlineStr">
        <is>
          <t>/facility/power-control</t>
        </is>
      </c>
      <c r="H39" s="34" t="inlineStr">
        <is>
          <t>Y</t>
        </is>
      </c>
      <c r="I39" s="34" t="inlineStr">
        <is>
          <t>매니저 이상</t>
        </is>
      </c>
      <c r="J39" s="34" t="inlineStr">
        <is>
          <t>키오스크/프로젝터 원격 전원 ON/OFF, 스케줄 자동 제어</t>
        </is>
      </c>
      <c r="K39" s="34" t="inlineStr">
        <is>
          <t>신규</t>
        </is>
      </c>
      <c r="L39" s="34" t="inlineStr">
        <is>
          <t>고척점/대치점 핵심 요구사항</t>
        </is>
      </c>
    </row>
    <row r="40">
      <c r="A40" s="33" t="inlineStr">
        <is>
          <t>시설관리</t>
        </is>
      </c>
      <c r="B40" s="33" t="inlineStr">
        <is>
          <t>수건/운동복</t>
        </is>
      </c>
      <c r="C40" s="33" t="n"/>
      <c r="D40" s="34" t="inlineStr">
        <is>
          <t>SCR-056</t>
        </is>
      </c>
      <c r="E40" s="34" t="inlineStr">
        <is>
          <t>수건/운동복 관리</t>
        </is>
      </c>
      <c r="F40" s="34" t="inlineStr">
        <is>
          <t>Web</t>
        </is>
      </c>
      <c r="G40" s="34" t="inlineStr">
        <is>
          <t>/facility/towel</t>
        </is>
      </c>
      <c r="H40" s="34" t="inlineStr">
        <is>
          <t>Y</t>
        </is>
      </c>
      <c r="I40" s="34" t="inlineStr">
        <is>
          <t>스태프 이상</t>
        </is>
      </c>
      <c r="J40" s="34" t="inlineStr">
        <is>
          <t>수건/운동복 발급 관리. QR/안면인식 연동, 수량 제한, 사용량 통계</t>
        </is>
      </c>
      <c r="K40" s="34" t="inlineStr">
        <is>
          <t>신규</t>
        </is>
      </c>
      <c r="L40" s="34" t="inlineStr">
        <is>
          <t>양천향교점 벤치마크</t>
        </is>
      </c>
    </row>
    <row r="41">
      <c r="A41" s="33" t="inlineStr">
        <is>
          <t>회원관리</t>
        </is>
      </c>
      <c r="B41" s="33" t="inlineStr">
        <is>
          <t>FC 알림</t>
        </is>
      </c>
      <c r="C41" s="33" t="n"/>
      <c r="D41" s="34" t="inlineStr">
        <is>
          <t>SCR-015</t>
        </is>
      </c>
      <c r="E41" s="34" t="inlineStr">
        <is>
          <t>FC 즐겨찾기/알림</t>
        </is>
      </c>
      <c r="F41" s="34" t="inlineStr">
        <is>
          <t>Web</t>
        </is>
      </c>
      <c r="G41" s="34" t="inlineStr">
        <is>
          <t>/members/fc-alert</t>
        </is>
      </c>
      <c r="H41" s="34" t="inlineStr">
        <is>
          <t>Y</t>
        </is>
      </c>
      <c r="I41" s="34" t="inlineStr">
        <is>
          <t>FC 이상</t>
        </is>
      </c>
      <c r="J41" s="34" t="inlineStr">
        <is>
          <t>담당 FC별 즐겨찾기 회원 등록, 방문 시 실시간 알림, 임박회원 자동 알림</t>
        </is>
      </c>
      <c r="K41" s="34" t="inlineStr">
        <is>
          <t>신규</t>
        </is>
      </c>
      <c r="L41" s="34" t="inlineStr">
        <is>
          <t>대치점 온핏 핵심 기능</t>
        </is>
      </c>
    </row>
    <row r="42">
      <c r="A42" s="33" t="inlineStr">
        <is>
          <t>설정</t>
        </is>
      </c>
      <c r="B42" s="33" t="inlineStr">
        <is>
          <t>키오스크 타입</t>
        </is>
      </c>
      <c r="C42" s="33" t="n"/>
      <c r="D42" s="34" t="inlineStr">
        <is>
          <t>SCR-095</t>
        </is>
      </c>
      <c r="E42" s="34" t="inlineStr">
        <is>
          <t>키오스크 타입 설정</t>
        </is>
      </c>
      <c r="F42" s="34" t="inlineStr">
        <is>
          <t>Web</t>
        </is>
      </c>
      <c r="G42" s="34" t="inlineStr">
        <is>
          <t>/settings/kiosk-type</t>
        </is>
      </c>
      <c r="H42" s="34" t="inlineStr">
        <is>
          <t>Y</t>
        </is>
      </c>
      <c r="I42" s="34" t="inlineStr">
        <is>
          <t>센터장 이상</t>
        </is>
      </c>
      <c r="J42" s="34" t="inlineStr">
        <is>
          <t>키오스크 타입(결제형/비결제형) 지점별 설정. UI 화면 구성 분기</t>
        </is>
      </c>
      <c r="K42" s="34" t="inlineStr">
        <is>
          <t>신규</t>
        </is>
      </c>
      <c r="L42" s="34" t="inlineStr">
        <is>
          <t>판교점 인터뷰 반영</t>
        </is>
      </c>
    </row>
    <row r="43">
      <c r="A43" s="33" t="inlineStr">
        <is>
          <t>설정</t>
        </is>
      </c>
      <c r="B43" s="33" t="inlineStr">
        <is>
          <t>오프라인</t>
        </is>
      </c>
      <c r="C43" s="33" t="n"/>
      <c r="D43" s="34" t="inlineStr">
        <is>
          <t>SCR-096</t>
        </is>
      </c>
      <c r="E43" s="34" t="inlineStr">
        <is>
          <t>오프라인 모드 설정</t>
        </is>
      </c>
      <c r="F43" s="34" t="inlineStr">
        <is>
          <t>Web</t>
        </is>
      </c>
      <c r="G43" s="34" t="inlineStr">
        <is>
          <t>/settings/offline</t>
        </is>
      </c>
      <c r="H43" s="34" t="inlineStr">
        <is>
          <t>Y</t>
        </is>
      </c>
      <c r="I43" s="34" t="inlineStr">
        <is>
          <t>센터장 이상</t>
        </is>
      </c>
      <c r="J43" s="34" t="inlineStr">
        <is>
          <t>네트워크 장애 시 로컬 모드 동작 설정. 자동 동기화 정책</t>
        </is>
      </c>
      <c r="K43" s="34" t="inlineStr">
        <is>
          <t>신규</t>
        </is>
      </c>
      <c r="L43" s="34" t="inlineStr">
        <is>
          <t>전 지점 공통 요구사항</t>
        </is>
      </c>
    </row>
    <row r="44">
      <c r="A44" s="33" t="inlineStr">
        <is>
          <t>매출/결제</t>
        </is>
      </c>
      <c r="B44" s="33" t="inlineStr">
        <is>
          <t>통합 내보내기</t>
        </is>
      </c>
      <c r="C44" s="33" t="n"/>
      <c r="D44" s="34" t="inlineStr">
        <is>
          <t>SCR-033</t>
        </is>
      </c>
      <c r="E44" s="34" t="inlineStr">
        <is>
          <t>데이터 통합 내보내기</t>
        </is>
      </c>
      <c r="F44" s="34" t="inlineStr">
        <is>
          <t>Web</t>
        </is>
      </c>
      <c r="G44" s="34" t="inlineStr">
        <is>
          <t>/sales/export</t>
        </is>
      </c>
      <c r="H44" s="34" t="inlineStr">
        <is>
          <t>Y</t>
        </is>
      </c>
      <c r="I44" s="34" t="inlineStr">
        <is>
          <t>매니저 이상</t>
        </is>
      </c>
      <c r="J44" s="34" t="inlineStr">
        <is>
          <t>모든 데이터 원장 엑셀 내보내기. 권한별 컬럼 필터, 전체 필드 포함</t>
        </is>
      </c>
      <c r="K44" s="34" t="inlineStr">
        <is>
          <t>신규</t>
        </is>
      </c>
      <c r="L44" s="34" t="inlineStr">
        <is>
          <t>고척점 레슨북 장점 반영</t>
        </is>
      </c>
    </row>
    <row r="45">
      <c r="A45" s="33" t="inlineStr">
        <is>
          <t>키오스크</t>
        </is>
      </c>
      <c r="B45" s="33" t="inlineStr">
        <is>
          <t>입장</t>
        </is>
      </c>
      <c r="C45" s="33" t="n"/>
      <c r="D45" s="34" t="inlineStr">
        <is>
          <t>SCR-K01</t>
        </is>
      </c>
      <c r="E45" s="34" t="inlineStr">
        <is>
          <t>키오스크 입장</t>
        </is>
      </c>
      <c r="F45" s="34" t="inlineStr">
        <is>
          <t>Kiosk</t>
        </is>
      </c>
      <c r="G45" s="34" t="inlineStr">
        <is>
          <t>/kiosk/entry</t>
        </is>
      </c>
      <c r="H45" s="34" t="inlineStr">
        <is>
          <t>N</t>
        </is>
      </c>
      <c r="I45" s="34" t="inlineStr">
        <is>
          <t>비회원</t>
        </is>
      </c>
      <c r="J45" s="34" t="inlineStr">
        <is>
          <t>회원 입장 화면. 얼굴인식/전화번호/NFC 밴드 입장. 지점별 타입(A/B) 분기</t>
        </is>
      </c>
      <c r="K45" s="34" t="inlineStr">
        <is>
          <t>신규</t>
        </is>
      </c>
      <c r="L45" s="34" t="inlineStr">
        <is>
          <t>대치점 브로제이 벤치마크</t>
        </is>
      </c>
    </row>
    <row r="46">
      <c r="A46" s="33" t="inlineStr">
        <is>
          <t>키오스크</t>
        </is>
      </c>
      <c r="B46" s="33" t="inlineStr">
        <is>
          <t>퇴장</t>
        </is>
      </c>
      <c r="C46" s="33" t="n"/>
      <c r="D46" s="34" t="inlineStr">
        <is>
          <t>SCR-K02</t>
        </is>
      </c>
      <c r="E46" s="34" t="inlineStr">
        <is>
          <t>키오스크 퇴장</t>
        </is>
      </c>
      <c r="F46" s="34" t="inlineStr">
        <is>
          <t>Kiosk</t>
        </is>
      </c>
      <c r="G46" s="34" t="inlineStr">
        <is>
          <t>/kiosk/exit</t>
        </is>
      </c>
      <c r="H46" s="34" t="inlineStr">
        <is>
          <t>N</t>
        </is>
      </c>
      <c r="I46" s="34" t="inlineStr">
        <is>
          <t>비회원</t>
        </is>
      </c>
      <c r="J46" s="34" t="inlineStr">
        <is>
          <t>회원 퇴장 처리. 라커 자동 해제, 이용시간 기록</t>
        </is>
      </c>
      <c r="K46" s="34" t="inlineStr">
        <is>
          <t>신규</t>
        </is>
      </c>
      <c r="L46" s="34" t="inlineStr">
        <is>
          <t>판교점 온핏</t>
        </is>
      </c>
    </row>
    <row r="47">
      <c r="A47" s="33" t="inlineStr">
        <is>
          <t>키오스크</t>
        </is>
      </c>
      <c r="B47" s="33" t="inlineStr">
        <is>
          <t>골프 예약</t>
        </is>
      </c>
      <c r="C47" s="33" t="n"/>
      <c r="D47" s="34" t="inlineStr">
        <is>
          <t>SCR-K03</t>
        </is>
      </c>
      <c r="E47" s="34" t="inlineStr">
        <is>
          <t>키오스크 골프 타석 예약</t>
        </is>
      </c>
      <c r="F47" s="34" t="inlineStr">
        <is>
          <t>Kiosk</t>
        </is>
      </c>
      <c r="G47" s="34" t="inlineStr">
        <is>
          <t>/kiosk/golf-booking</t>
        </is>
      </c>
      <c r="H47" s="34" t="inlineStr">
        <is>
          <t>N</t>
        </is>
      </c>
      <c r="I47" s="34" t="inlineStr">
        <is>
          <t>회원</t>
        </is>
      </c>
      <c r="J47" s="34" t="inlineStr">
        <is>
          <t>골프 타석 예약/대기. 빈 타석 표시, 꼬리물기 예약, 잔여시간(시:분 표시)</t>
        </is>
      </c>
      <c r="K47" s="34" t="inlineStr">
        <is>
          <t>신규</t>
        </is>
      </c>
      <c r="L47" s="34" t="inlineStr">
        <is>
          <t>대치점 브로제이</t>
        </is>
      </c>
    </row>
    <row r="48">
      <c r="A48" s="33" t="inlineStr">
        <is>
          <t>키오스크</t>
        </is>
      </c>
      <c r="B48" s="33" t="inlineStr">
        <is>
          <t>사물함</t>
        </is>
      </c>
      <c r="C48" s="33" t="n"/>
      <c r="D48" s="34" t="inlineStr">
        <is>
          <t>SCR-K04</t>
        </is>
      </c>
      <c r="E48" s="34" t="inlineStr">
        <is>
          <t>키오스크 사물함 확인</t>
        </is>
      </c>
      <c r="F48" s="34" t="inlineStr">
        <is>
          <t>Kiosk</t>
        </is>
      </c>
      <c r="G48" s="34" t="inlineStr">
        <is>
          <t>/kiosk/locker</t>
        </is>
      </c>
      <c r="H48" s="34" t="inlineStr">
        <is>
          <t>N</t>
        </is>
      </c>
      <c r="I48" s="34" t="inlineStr">
        <is>
          <t>회원</t>
        </is>
      </c>
      <c r="J48" s="34" t="inlineStr">
        <is>
          <t>배정된 라커 번호 확인. 영수증 출력(대치점 방식)</t>
        </is>
      </c>
      <c r="K48" s="34" t="inlineStr">
        <is>
          <t>신규</t>
        </is>
      </c>
      <c r="L48" s="34" t="inlineStr">
        <is>
          <t>대치점</t>
        </is>
      </c>
    </row>
    <row r="49">
      <c r="A49" s="33" t="inlineStr">
        <is>
          <t>키오스크</t>
        </is>
      </c>
      <c r="B49" s="33" t="inlineStr">
        <is>
          <t>1일권 결제</t>
        </is>
      </c>
      <c r="C49" s="33" t="n"/>
      <c r="D49" s="34" t="inlineStr">
        <is>
          <t>SCR-K05</t>
        </is>
      </c>
      <c r="E49" s="34" t="inlineStr">
        <is>
          <t>키오스크 1일권 결제</t>
        </is>
      </c>
      <c r="F49" s="34" t="inlineStr">
        <is>
          <t>Kiosk</t>
        </is>
      </c>
      <c r="G49" s="34" t="inlineStr">
        <is>
          <t>/kiosk/day-pass</t>
        </is>
      </c>
      <c r="H49" s="34" t="inlineStr">
        <is>
          <t>N</t>
        </is>
      </c>
      <c r="I49" s="34" t="inlineStr">
        <is>
          <t>비회원</t>
        </is>
      </c>
      <c r="J49" s="34" t="inlineStr">
        <is>
          <t>1일권/시간권 현장 결제(타입B 전용). 가상 회원ID 자동 생성, 카드/간편결제</t>
        </is>
      </c>
      <c r="K49" s="34" t="inlineStr">
        <is>
          <t>신규</t>
        </is>
      </c>
      <c r="L49" s="34" t="inlineStr">
        <is>
          <t>판교점 인터뷰</t>
        </is>
      </c>
    </row>
    <row r="50">
      <c r="A50" s="33" t="inlineStr">
        <is>
          <t>키오스크</t>
        </is>
      </c>
      <c r="B50" s="33" t="inlineStr">
        <is>
          <t>GX 예약</t>
        </is>
      </c>
      <c r="C50" s="33" t="n"/>
      <c r="D50" s="34" t="inlineStr">
        <is>
          <t>SCR-K06</t>
        </is>
      </c>
      <c r="E50" s="34" t="inlineStr">
        <is>
          <t>키오스크 GX 예약</t>
        </is>
      </c>
      <c r="F50" s="34" t="inlineStr">
        <is>
          <t>Kiosk</t>
        </is>
      </c>
      <c r="G50" s="34" t="inlineStr">
        <is>
          <t>/kiosk/gx-booking</t>
        </is>
      </c>
      <c r="H50" s="34" t="inlineStr">
        <is>
          <t>N</t>
        </is>
      </c>
      <c r="I50" s="34" t="inlineStr">
        <is>
          <t>회원</t>
        </is>
      </c>
      <c r="J50" s="34" t="inlineStr">
        <is>
          <t>GX 프로그램 예약/취소. 잔여 좌석 표시, 좌석 선택(스피닝)</t>
        </is>
      </c>
      <c r="K50" s="34" t="inlineStr">
        <is>
          <t>신규</t>
        </is>
      </c>
      <c r="L50" s="34" t="inlineStr">
        <is>
          <t>판교점 온핏</t>
        </is>
      </c>
    </row>
    <row r="51">
      <c r="A51" s="33" t="inlineStr">
        <is>
          <t>키오스크</t>
        </is>
      </c>
      <c r="B51" s="33" t="inlineStr">
        <is>
          <t>골프 입장</t>
        </is>
      </c>
      <c r="C51" s="33" t="n"/>
      <c r="D51" s="34" t="inlineStr">
        <is>
          <t>SCR-K07</t>
        </is>
      </c>
      <c r="E51" s="34" t="inlineStr">
        <is>
          <t>키오스크 골프 타석 입장</t>
        </is>
      </c>
      <c r="F51" s="34" t="inlineStr">
        <is>
          <t>Kiosk</t>
        </is>
      </c>
      <c r="G51" s="34" t="inlineStr">
        <is>
          <t>/kiosk/golf-entry</t>
        </is>
      </c>
      <c r="H51" s="34" t="inlineStr">
        <is>
          <t>N</t>
        </is>
      </c>
      <c r="I51" s="34" t="inlineStr">
        <is>
          <t>회원</t>
        </is>
      </c>
      <c r="J51" s="34" t="inlineStr">
        <is>
          <t>예약한 골프 타석 입장. 전화번호 인증 → 스크린 잠금 해제 → 이용 시작</t>
        </is>
      </c>
      <c r="K51" s="34" t="inlineStr">
        <is>
          <t>신규</t>
        </is>
      </c>
      <c r="L51" s="34" t="inlineStr">
        <is>
          <t>대치점 브로제이</t>
        </is>
      </c>
    </row>
    <row r="52">
      <c r="A52" s="33" t="inlineStr">
        <is>
          <t>회원앱</t>
        </is>
      </c>
      <c r="B52" s="33" t="inlineStr">
        <is>
          <t>홈</t>
        </is>
      </c>
      <c r="C52" s="33" t="n"/>
      <c r="D52" s="34" t="inlineStr">
        <is>
          <t>SCR-M01</t>
        </is>
      </c>
      <c r="E52" s="34" t="inlineStr">
        <is>
          <t>앱 홈</t>
        </is>
      </c>
      <c r="F52" s="34" t="inlineStr">
        <is>
          <t>App</t>
        </is>
      </c>
      <c r="G52" s="34" t="inlineStr">
        <is>
          <t>/app/home</t>
        </is>
      </c>
      <c r="H52" s="34" t="inlineStr">
        <is>
          <t>Y</t>
        </is>
      </c>
      <c r="I52" s="34" t="inlineStr">
        <is>
          <t>회원</t>
        </is>
      </c>
      <c r="J52" s="34" t="inlineStr">
        <is>
          <t>회원 앱 메인. 이용권 잔여일, 출석 현황, 예약 내역, 공지사항</t>
        </is>
      </c>
      <c r="K52" s="34" t="inlineStr">
        <is>
          <t>신규</t>
        </is>
      </c>
      <c r="L52" s="34" t="n"/>
    </row>
    <row r="53">
      <c r="A53" s="33" t="inlineStr">
        <is>
          <t>회원앱</t>
        </is>
      </c>
      <c r="B53" s="33" t="inlineStr">
        <is>
          <t>입장/퇴장</t>
        </is>
      </c>
      <c r="C53" s="33" t="n"/>
      <c r="D53" s="34" t="inlineStr">
        <is>
          <t>SCR-M02</t>
        </is>
      </c>
      <c r="E53" s="34" t="inlineStr">
        <is>
          <t>앱 QR 입장</t>
        </is>
      </c>
      <c r="F53" s="34" t="inlineStr">
        <is>
          <t>App</t>
        </is>
      </c>
      <c r="G53" s="34" t="inlineStr">
        <is>
          <t>/app/checkin</t>
        </is>
      </c>
      <c r="H53" s="34" t="inlineStr">
        <is>
          <t>Y</t>
        </is>
      </c>
      <c r="I53" s="34" t="inlineStr">
        <is>
          <t>회원</t>
        </is>
      </c>
      <c r="J53" s="34" t="inlineStr">
        <is>
          <t>QR코드/NFC 기반 센터 입장. 라커 번호 표시, 입장 시간 기록</t>
        </is>
      </c>
      <c r="K53" s="34" t="inlineStr">
        <is>
          <t>신규</t>
        </is>
      </c>
      <c r="L53" s="34" t="n"/>
    </row>
    <row r="54">
      <c r="A54" s="33" t="inlineStr">
        <is>
          <t>회원앱</t>
        </is>
      </c>
      <c r="B54" s="33" t="inlineStr">
        <is>
          <t>GX 예약</t>
        </is>
      </c>
      <c r="C54" s="33" t="n"/>
      <c r="D54" s="34" t="inlineStr">
        <is>
          <t>SCR-M03</t>
        </is>
      </c>
      <c r="E54" s="34" t="inlineStr">
        <is>
          <t>앱 GX 예약</t>
        </is>
      </c>
      <c r="F54" s="34" t="inlineStr">
        <is>
          <t>App</t>
        </is>
      </c>
      <c r="G54" s="34" t="inlineStr">
        <is>
          <t>/app/gx-booking</t>
        </is>
      </c>
      <c r="H54" s="34" t="inlineStr">
        <is>
          <t>Y</t>
        </is>
      </c>
      <c r="I54" s="34" t="inlineStr">
        <is>
          <t>회원</t>
        </is>
      </c>
      <c r="J54" s="34" t="inlineStr">
        <is>
          <t>GX 프로그램 예약/취소. 주간 시간표, 잔여석, 좌석 선택(스피닝 배치도)</t>
        </is>
      </c>
      <c r="K54" s="34" t="inlineStr">
        <is>
          <t>신규</t>
        </is>
      </c>
      <c r="L54" s="34" t="inlineStr">
        <is>
          <t>판교점 온핏 앱</t>
        </is>
      </c>
    </row>
    <row r="55">
      <c r="A55" s="33" t="inlineStr">
        <is>
          <t>회원앱</t>
        </is>
      </c>
      <c r="B55" s="33" t="inlineStr">
        <is>
          <t>골프 예약</t>
        </is>
      </c>
      <c r="C55" s="33" t="n"/>
      <c r="D55" s="34" t="inlineStr">
        <is>
          <t>SCR-M04</t>
        </is>
      </c>
      <c r="E55" s="34" t="inlineStr">
        <is>
          <t>앱 골프 타석 예약</t>
        </is>
      </c>
      <c r="F55" s="34" t="inlineStr">
        <is>
          <t>App</t>
        </is>
      </c>
      <c r="G55" s="34" t="inlineStr">
        <is>
          <t>/app/golf-booking</t>
        </is>
      </c>
      <c r="H55" s="34" t="inlineStr">
        <is>
          <t>Y</t>
        </is>
      </c>
      <c r="I55" s="34" t="inlineStr">
        <is>
          <t>회원</t>
        </is>
      </c>
      <c r="J55" s="34" t="inlineStr">
        <is>
          <t>골프 타석 원격 예약/대기. 실시간 타석 현황, 잔여시간(시:분), 푸시 알림</t>
        </is>
      </c>
      <c r="K55" s="34" t="inlineStr">
        <is>
          <t>신규</t>
        </is>
      </c>
      <c r="L55" s="34" t="inlineStr">
        <is>
          <t>고척점 레슨북</t>
        </is>
      </c>
    </row>
    <row r="56">
      <c r="A56" s="33" t="inlineStr">
        <is>
          <t>회원앱</t>
        </is>
      </c>
      <c r="B56" s="33" t="inlineStr">
        <is>
          <t>레슨 예약</t>
        </is>
      </c>
      <c r="C56" s="33" t="n"/>
      <c r="D56" s="34" t="inlineStr">
        <is>
          <t>SCR-M05</t>
        </is>
      </c>
      <c r="E56" s="34" t="inlineStr">
        <is>
          <t>앱 레슨 예약/서명</t>
        </is>
      </c>
      <c r="F56" s="34" t="inlineStr">
        <is>
          <t>App</t>
        </is>
      </c>
      <c r="G56" s="34" t="inlineStr">
        <is>
          <t>/app/lesson</t>
        </is>
      </c>
      <c r="H56" s="34" t="inlineStr">
        <is>
          <t>Y</t>
        </is>
      </c>
      <c r="I56" s="34" t="inlineStr">
        <is>
          <t>회원</t>
        </is>
      </c>
      <c r="J56" s="34" t="inlineStr">
        <is>
          <t>PT/골프 레슨 예약, 수업 후 서명 확인, 레슨 기록 열람, 잔여 횟수 확인</t>
        </is>
      </c>
      <c r="K56" s="34" t="inlineStr">
        <is>
          <t>신규</t>
        </is>
      </c>
      <c r="L56" s="34" t="inlineStr">
        <is>
          <t>고척점 레슨북</t>
        </is>
      </c>
    </row>
    <row r="57">
      <c r="A57" s="33" t="inlineStr">
        <is>
          <t>회원앱</t>
        </is>
      </c>
      <c r="B57" s="33" t="inlineStr">
        <is>
          <t>내 정보</t>
        </is>
      </c>
      <c r="C57" s="33" t="n"/>
      <c r="D57" s="34" t="inlineStr">
        <is>
          <t>SCR-M06</t>
        </is>
      </c>
      <c r="E57" s="34" t="inlineStr">
        <is>
          <t>앱 내 정보</t>
        </is>
      </c>
      <c r="F57" s="34" t="inlineStr">
        <is>
          <t>App</t>
        </is>
      </c>
      <c r="G57" s="34" t="inlineStr">
        <is>
          <t>/app/profile</t>
        </is>
      </c>
      <c r="H57" s="34" t="inlineStr">
        <is>
          <t>Y</t>
        </is>
      </c>
      <c r="I57" s="34" t="inlineStr">
        <is>
          <t>회원</t>
        </is>
      </c>
      <c r="J57" s="34" t="inlineStr">
        <is>
          <t>이용권 현황, 결제 내역, 출석 이력, 체성분 변화 추이, 포인트/쿠폰</t>
        </is>
      </c>
      <c r="K57" s="34" t="inlineStr">
        <is>
          <t>신규</t>
        </is>
      </c>
      <c r="L57" s="34" t="n"/>
    </row>
    <row r="58">
      <c r="A58" s="33" t="inlineStr">
        <is>
          <t>회원앱</t>
        </is>
      </c>
      <c r="B58" s="33" t="inlineStr">
        <is>
          <t>알림</t>
        </is>
      </c>
      <c r="C58" s="33" t="n"/>
      <c r="D58" s="34" t="inlineStr">
        <is>
          <t>SCR-M07</t>
        </is>
      </c>
      <c r="E58" s="34" t="inlineStr">
        <is>
          <t>앱 알림 센터</t>
        </is>
      </c>
      <c r="F58" s="34" t="inlineStr">
        <is>
          <t>App</t>
        </is>
      </c>
      <c r="G58" s="34" t="inlineStr">
        <is>
          <t>/app/notifications</t>
        </is>
      </c>
      <c r="H58" s="34" t="inlineStr">
        <is>
          <t>Y</t>
        </is>
      </c>
      <c r="I58" s="34" t="inlineStr">
        <is>
          <t>회원</t>
        </is>
      </c>
      <c r="J58" s="34" t="inlineStr">
        <is>
          <t>예약 리마인드, 이용권 만료 안내, 프로모션, GX 오픈 알림</t>
        </is>
      </c>
      <c r="K58" s="34" t="inlineStr">
        <is>
          <t>신규</t>
        </is>
      </c>
      <c r="L58" s="34" t="n"/>
    </row>
    <row r="59">
      <c r="A59" s="33" t="inlineStr">
        <is>
          <t>트레이너앱</t>
        </is>
      </c>
      <c r="B59" s="33" t="inlineStr">
        <is>
          <t>홈</t>
        </is>
      </c>
      <c r="C59" s="33" t="n"/>
      <c r="D59" s="34" t="inlineStr">
        <is>
          <t>SCR-T01</t>
        </is>
      </c>
      <c r="E59" s="34" t="inlineStr">
        <is>
          <t>트레이너 앱 홈</t>
        </is>
      </c>
      <c r="F59" s="34" t="inlineStr">
        <is>
          <t>App</t>
        </is>
      </c>
      <c r="G59" s="34" t="inlineStr">
        <is>
          <t>/trainer/home</t>
        </is>
      </c>
      <c r="H59" s="34" t="inlineStr">
        <is>
          <t>Y</t>
        </is>
      </c>
      <c r="I59" s="34" t="inlineStr">
        <is>
          <t>트레이너</t>
        </is>
      </c>
      <c r="J59" s="34" t="inlineStr">
        <is>
          <t>오늘의 수업 목록, 예약 현황, 미완료 레슨 기록 알림</t>
        </is>
      </c>
      <c r="K59" s="34" t="inlineStr">
        <is>
          <t>신규</t>
        </is>
      </c>
      <c r="L59" s="34" t="inlineStr">
        <is>
          <t>고척점 레슨북</t>
        </is>
      </c>
    </row>
    <row r="60">
      <c r="A60" s="33" t="inlineStr">
        <is>
          <t>트레이너앱</t>
        </is>
      </c>
      <c r="B60" s="33" t="inlineStr">
        <is>
          <t>스케줄</t>
        </is>
      </c>
      <c r="C60" s="33" t="n"/>
      <c r="D60" s="34" t="inlineStr">
        <is>
          <t>SCR-T02</t>
        </is>
      </c>
      <c r="E60" s="34" t="inlineStr">
        <is>
          <t>트레이너 스케줄</t>
        </is>
      </c>
      <c r="F60" s="34" t="inlineStr">
        <is>
          <t>App</t>
        </is>
      </c>
      <c r="G60" s="34" t="inlineStr">
        <is>
          <t>/trainer/schedule</t>
        </is>
      </c>
      <c r="H60" s="34" t="inlineStr">
        <is>
          <t>Y</t>
        </is>
      </c>
      <c r="I60" s="34" t="inlineStr">
        <is>
          <t>트레이너</t>
        </is>
      </c>
      <c r="J60" s="34" t="inlineStr">
        <is>
          <t>주간/월간 수업 캘린더. 수업 상세, 회원 정보, 예약/취소/노쇼 표시</t>
        </is>
      </c>
      <c r="K60" s="34" t="inlineStr">
        <is>
          <t>신규</t>
        </is>
      </c>
      <c r="L60" s="34" t="inlineStr">
        <is>
          <t>고척점 레슨북</t>
        </is>
      </c>
    </row>
    <row r="61">
      <c r="A61" s="33" t="inlineStr">
        <is>
          <t>트레이너앱</t>
        </is>
      </c>
      <c r="B61" s="33" t="inlineStr">
        <is>
          <t>레슨 기록</t>
        </is>
      </c>
      <c r="C61" s="33" t="n"/>
      <c r="D61" s="34" t="inlineStr">
        <is>
          <t>SCR-T03</t>
        </is>
      </c>
      <c r="E61" s="34" t="inlineStr">
        <is>
          <t>트레이너 레슨 기록</t>
        </is>
      </c>
      <c r="F61" s="34" t="inlineStr">
        <is>
          <t>App</t>
        </is>
      </c>
      <c r="G61" s="34" t="inlineStr">
        <is>
          <t>/trainer/lesson-record</t>
        </is>
      </c>
      <c r="H61" s="34" t="inlineStr">
        <is>
          <t>Y</t>
        </is>
      </c>
      <c r="I61" s="34" t="inlineStr">
        <is>
          <t>트레이너</t>
        </is>
      </c>
      <c r="J61" s="34" t="inlineStr">
        <is>
          <t>수업 내용 작성(텍스트/템플릿), 고객 터치 서명, 사진 첨부, 수업 완료 처리</t>
        </is>
      </c>
      <c r="K61" s="34" t="inlineStr">
        <is>
          <t>신규</t>
        </is>
      </c>
      <c r="L61" s="34" t="inlineStr">
        <is>
          <t>고척점 레슨북</t>
        </is>
      </c>
    </row>
    <row r="62">
      <c r="A62" s="33" t="inlineStr">
        <is>
          <t>트레이너앱</t>
        </is>
      </c>
      <c r="B62" s="33" t="inlineStr">
        <is>
          <t>회원 관리</t>
        </is>
      </c>
      <c r="C62" s="33" t="n"/>
      <c r="D62" s="34" t="inlineStr">
        <is>
          <t>SCR-T04</t>
        </is>
      </c>
      <c r="E62" s="34" t="inlineStr">
        <is>
          <t>트레이너 담당 회원</t>
        </is>
      </c>
      <c r="F62" s="34" t="inlineStr">
        <is>
          <t>App</t>
        </is>
      </c>
      <c r="G62" s="34" t="inlineStr">
        <is>
          <t>/trainer/members</t>
        </is>
      </c>
      <c r="H62" s="34" t="inlineStr">
        <is>
          <t>Y</t>
        </is>
      </c>
      <c r="I62" s="34" t="inlineStr">
        <is>
          <t>트레이너</t>
        </is>
      </c>
      <c r="J62" s="34" t="inlineStr">
        <is>
          <t>담당 회원 목록, 잔여 횟수, 레슨 이력, 다음 예약, 메모</t>
        </is>
      </c>
      <c r="K62" s="34" t="inlineStr">
        <is>
          <t>신규</t>
        </is>
      </c>
      <c r="L62" s="34" t="inlineStr">
        <is>
          <t>고척점 레슨북</t>
        </is>
      </c>
    </row>
    <row r="63">
      <c r="A63" s="33" t="inlineStr">
        <is>
          <t>FC앱</t>
        </is>
      </c>
      <c r="B63" s="33" t="inlineStr">
        <is>
          <t>홈</t>
        </is>
      </c>
      <c r="C63" s="33" t="n"/>
      <c r="D63" s="34" t="inlineStr">
        <is>
          <t>SCR-F01</t>
        </is>
      </c>
      <c r="E63" s="34" t="inlineStr">
        <is>
          <t>FC 앱 홈</t>
        </is>
      </c>
      <c r="F63" s="34" t="inlineStr">
        <is>
          <t>App</t>
        </is>
      </c>
      <c r="G63" s="34" t="inlineStr">
        <is>
          <t>/fc/home</t>
        </is>
      </c>
      <c r="H63" s="34" t="inlineStr">
        <is>
          <t>Y</t>
        </is>
      </c>
      <c r="I63" s="34" t="inlineStr">
        <is>
          <t>FC</t>
        </is>
      </c>
      <c r="J63" s="34" t="inlineStr">
        <is>
          <t>오늘 방문 알림, 임박 회원 목록, 개인 매출 현황, 상담 일정</t>
        </is>
      </c>
      <c r="K63" s="34" t="inlineStr">
        <is>
          <t>신규</t>
        </is>
      </c>
      <c r="L63" s="34" t="inlineStr">
        <is>
          <t>대치점 온핏</t>
        </is>
      </c>
    </row>
    <row r="64">
      <c r="A64" s="33" t="inlineStr">
        <is>
          <t>FC앱</t>
        </is>
      </c>
      <c r="B64" s="33" t="inlineStr">
        <is>
          <t>즐겨찾기</t>
        </is>
      </c>
      <c r="C64" s="33" t="n"/>
      <c r="D64" s="34" t="inlineStr">
        <is>
          <t>SCR-F02</t>
        </is>
      </c>
      <c r="E64" s="34" t="inlineStr">
        <is>
          <t>FC 즐겨찾기 알림</t>
        </is>
      </c>
      <c r="F64" s="34" t="inlineStr">
        <is>
          <t>App</t>
        </is>
      </c>
      <c r="G64" s="34" t="inlineStr">
        <is>
          <t>/fc/favorites</t>
        </is>
      </c>
      <c r="H64" s="34" t="inlineStr">
        <is>
          <t>Y</t>
        </is>
      </c>
      <c r="I64" s="34" t="inlineStr">
        <is>
          <t>FC</t>
        </is>
      </c>
      <c r="J64" s="34" t="inlineStr">
        <is>
          <t>즐겨찾기 회원 관리, 방문 실시간 푸시 알림, 잔여일/미납 표시, 상담 메모</t>
        </is>
      </c>
      <c r="K64" s="34" t="inlineStr">
        <is>
          <t>신규</t>
        </is>
      </c>
      <c r="L64" s="34" t="inlineStr">
        <is>
          <t>대치점 온핏 핵심</t>
        </is>
      </c>
    </row>
    <row r="65">
      <c r="A65" s="33" t="inlineStr">
        <is>
          <t>FC앱</t>
        </is>
      </c>
      <c r="B65" s="33" t="inlineStr">
        <is>
          <t>회원 상담</t>
        </is>
      </c>
      <c r="C65" s="33" t="n"/>
      <c r="D65" s="34" t="inlineStr">
        <is>
          <t>SCR-F03</t>
        </is>
      </c>
      <c r="E65" s="34" t="inlineStr">
        <is>
          <t>FC 회원 상담 기록</t>
        </is>
      </c>
      <c r="F65" s="34" t="inlineStr">
        <is>
          <t>App</t>
        </is>
      </c>
      <c r="G65" s="34" t="inlineStr">
        <is>
          <t>/fc/consultation</t>
        </is>
      </c>
      <c r="H65" s="34" t="inlineStr">
        <is>
          <t>Y</t>
        </is>
      </c>
      <c r="I65" s="34" t="inlineStr">
        <is>
          <t>FC</t>
        </is>
      </c>
      <c r="J65" s="34" t="inlineStr">
        <is>
          <t>상담 내용 기록, 재등록 상담 이력, 실적 귀속 확인, 프로모션 안내</t>
        </is>
      </c>
      <c r="K65" s="34" t="inlineStr">
        <is>
          <t>신규</t>
        </is>
      </c>
      <c r="L65" s="34" t="inlineStr">
        <is>
          <t>서교점 인터뷰</t>
        </is>
      </c>
    </row>
    <row r="66">
      <c r="A66" s="33" t="inlineStr">
        <is>
          <t>FC앱</t>
        </is>
      </c>
      <c r="B66" s="33" t="inlineStr">
        <is>
          <t>매출</t>
        </is>
      </c>
      <c r="C66" s="33" t="n"/>
      <c r="D66" s="34" t="inlineStr">
        <is>
          <t>SCR-F04</t>
        </is>
      </c>
      <c r="E66" s="34" t="inlineStr">
        <is>
          <t>FC 개인 매출</t>
        </is>
      </c>
      <c r="F66" s="34" t="inlineStr">
        <is>
          <t>App</t>
        </is>
      </c>
      <c r="G66" s="34" t="inlineStr">
        <is>
          <t>/fc/sales</t>
        </is>
      </c>
      <c r="H66" s="34" t="inlineStr">
        <is>
          <t>Y</t>
        </is>
      </c>
      <c r="I66" s="34" t="inlineStr">
        <is>
          <t>FC</t>
        </is>
      </c>
      <c r="J66" s="34" t="inlineStr">
        <is>
          <t>개인 매출/팀 매출 현황, 실적 담당 건 목록, 월별 추이, 목표 달성률</t>
        </is>
      </c>
      <c r="K66" s="34" t="inlineStr">
        <is>
          <t>신규</t>
        </is>
      </c>
      <c r="L66" s="34" t="inlineStr">
        <is>
          <t>서교점 인터뷰</t>
        </is>
      </c>
    </row>
  </sheetData>
  <autoFilter ref="A1:L1"/>
  <dataValidations count="3">
    <dataValidation sqref="F2:F200" showDropDown="0" showInputMessage="0" showErrorMessage="0" allowBlank="1" type="list">
      <formula1>"Web,App (iOS),App (Android),Web + App,공통"</formula1>
    </dataValidation>
    <dataValidation sqref="H2:H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35" customWidth="1" min="5" max="5"/>
    <col width="12" customWidth="1" min="6" max="6"/>
    <col width="10" customWidth="1" min="7" max="7"/>
    <col width="8" customWidth="1" min="8" max="8"/>
    <col width="12" customWidth="1" min="9" max="9"/>
    <col width="12" customWidth="1" min="10" max="10"/>
    <col width="18" customWidth="1" min="11" max="11"/>
    <col width="12" customWidth="1" min="12" max="12"/>
    <col width="20" customWidth="1" min="13" max="13"/>
  </cols>
  <sheetData>
    <row r="1">
      <c r="A1" s="1" t="inlineStr">
        <is>
          <t>스토리 ID</t>
        </is>
      </c>
      <c r="B1" s="1" t="inlineStr">
        <is>
          <t>에픽</t>
        </is>
      </c>
      <c r="C1" s="1" t="inlineStr">
        <is>
          <t>사용자 유형</t>
        </is>
      </c>
      <c r="D1" s="1" t="inlineStr">
        <is>
          <t>사용자 스토리</t>
        </is>
      </c>
      <c r="E1" s="1" t="inlineStr">
        <is>
          <t>인수 조건</t>
        </is>
      </c>
      <c r="F1" s="1" t="inlineStr">
        <is>
          <t>화면 ID</t>
        </is>
      </c>
      <c r="G1" s="1" t="inlineStr">
        <is>
          <t>우선순위</t>
        </is>
      </c>
      <c r="H1" s="1" t="inlineStr">
        <is>
          <t>사이즈</t>
        </is>
      </c>
      <c r="I1" s="1" t="inlineStr">
        <is>
          <t>담당자</t>
        </is>
      </c>
      <c r="J1" s="1" t="inlineStr">
        <is>
          <t>상태</t>
        </is>
      </c>
      <c r="K1" s="1" t="inlineStr">
        <is>
          <t>[자동] 화면명</t>
        </is>
      </c>
      <c r="L1" s="1" t="inlineStr">
        <is>
          <t>[자동] 기능 수</t>
        </is>
      </c>
      <c r="M1" s="1" t="inlineStr">
        <is>
          <t>비고</t>
        </is>
      </c>
    </row>
    <row r="2">
      <c r="A2" s="33" t="inlineStr">
        <is>
          <t>US-001</t>
        </is>
      </c>
      <c r="B2" s="33" t="inlineStr">
        <is>
          <t>인증</t>
        </is>
      </c>
      <c r="C2" s="33" t="inlineStr">
        <is>
          <t>비회원</t>
        </is>
      </c>
      <c r="D2" s="34" t="inlineStr">
        <is>
          <t>비회원으로서 이메일/비밀번호로 로그인하여 시스템에 접근하고 싶다</t>
        </is>
      </c>
      <c r="E2" s="34" t="inlineStr">
        <is>
          <t>1) 올바른 이메일/비밀번호 입력 시 대시보드로 이동
2) 5회 실패 시 계정 잠금
3) 지점 선택 후 해당 지점 데이터만 표시</t>
        </is>
      </c>
      <c r="F2" s="34" t="inlineStr">
        <is>
          <t>SCR-001</t>
        </is>
      </c>
      <c r="G2" s="34" t="inlineStr">
        <is>
          <t>Critical</t>
        </is>
      </c>
      <c r="H2" s="34" t="inlineStr">
        <is>
          <t>S</t>
        </is>
      </c>
      <c r="I2" s="34" t="inlineStr">
        <is>
          <t>개발자1</t>
        </is>
      </c>
      <c r="J2" s="34" t="inlineStr">
        <is>
          <t>Done</t>
        </is>
      </c>
      <c r="K2" s="34" t="inlineStr">
        <is>
          <t>로그인</t>
        </is>
      </c>
      <c r="L2" s="34" t="n">
        <v>1</v>
      </c>
      <c r="M2" s="34" t="n"/>
    </row>
    <row r="3">
      <c r="A3" s="33" t="inlineStr">
        <is>
          <t>US-002</t>
        </is>
      </c>
      <c r="B3" s="33" t="inlineStr">
        <is>
          <t>대시보드</t>
        </is>
      </c>
      <c r="C3" s="33" t="inlineStr">
        <is>
          <t>센터장</t>
        </is>
      </c>
      <c r="D3" s="34" t="inlineStr">
        <is>
          <t>센터장으로서 대시보드에서 지점 핵심 KPI를 한눈에 파악하고 싶다</t>
        </is>
      </c>
      <c r="E3" s="34" t="inlineStr">
        <is>
          <t>1) 총회원/활성/만료임박/만료 회원 수 카드 표시
2) 오늘 생일 회원 리스트
3) 미납 회원 리스트
4) 당월 매출 차트</t>
        </is>
      </c>
      <c r="F3" s="34" t="inlineStr">
        <is>
          <t>SCR-002</t>
        </is>
      </c>
      <c r="G3" s="34" t="inlineStr">
        <is>
          <t>Critical</t>
        </is>
      </c>
      <c r="H3" s="34" t="inlineStr">
        <is>
          <t>M</t>
        </is>
      </c>
      <c r="I3" s="34" t="inlineStr">
        <is>
          <t>개발자1</t>
        </is>
      </c>
      <c r="J3" s="34" t="inlineStr">
        <is>
          <t>Done</t>
        </is>
      </c>
      <c r="K3" s="34" t="inlineStr">
        <is>
          <t>대시보드</t>
        </is>
      </c>
      <c r="L3" s="34" t="n">
        <v>1</v>
      </c>
      <c r="M3" s="34" t="n"/>
    </row>
    <row r="4">
      <c r="A4" s="33" t="inlineStr">
        <is>
          <t>US-003</t>
        </is>
      </c>
      <c r="B4" s="33" t="inlineStr">
        <is>
          <t>회원관리</t>
        </is>
      </c>
      <c r="C4" s="33" t="inlineStr">
        <is>
          <t>매니저</t>
        </is>
      </c>
      <c r="D4" s="34" t="inlineStr">
        <is>
          <t>매니저로서 회원을 검색/필터하여 원하는 회원을 빠르게 찾고 싶다</t>
        </is>
      </c>
      <c r="E4" s="34" t="inlineStr">
        <is>
          <t>1) 이름/연락처/회원번호로 검색
2) 상태/성별/담당자 필터
3) 엑셀 다운로드 가능</t>
        </is>
      </c>
      <c r="F4" s="34" t="inlineStr">
        <is>
          <t>SCR-010</t>
        </is>
      </c>
      <c r="G4" s="34" t="inlineStr">
        <is>
          <t>Critical</t>
        </is>
      </c>
      <c r="H4" s="34" t="inlineStr">
        <is>
          <t>M</t>
        </is>
      </c>
      <c r="I4" s="34" t="inlineStr">
        <is>
          <t>개발자1</t>
        </is>
      </c>
      <c r="J4" s="34" t="inlineStr">
        <is>
          <t>Done</t>
        </is>
      </c>
      <c r="K4" s="34" t="inlineStr">
        <is>
          <t>회원 목록</t>
        </is>
      </c>
      <c r="L4" s="34" t="n">
        <v>2</v>
      </c>
      <c r="M4" s="34" t="n"/>
    </row>
    <row r="5">
      <c r="A5" s="33" t="inlineStr">
        <is>
          <t>US-004</t>
        </is>
      </c>
      <c r="B5" s="33" t="inlineStr">
        <is>
          <t>회원관리</t>
        </is>
      </c>
      <c r="C5" s="33" t="inlineStr">
        <is>
          <t>매니저</t>
        </is>
      </c>
      <c r="D5" s="34" t="inlineStr">
        <is>
          <t>매니저로서 신규 회원을 등록하고 싶다</t>
        </is>
      </c>
      <c r="E5" s="34" t="inlineStr">
        <is>
          <t>1) 필수 항목(이름/연락처/성별) 입력
2) 담당 FC 배정
3) 등록 완료 시 회원 상세로 이동</t>
        </is>
      </c>
      <c r="F5" s="34" t="inlineStr">
        <is>
          <t>SCR-012</t>
        </is>
      </c>
      <c r="G5" s="34" t="inlineStr">
        <is>
          <t>Critical</t>
        </is>
      </c>
      <c r="H5" s="34" t="inlineStr">
        <is>
          <t>M</t>
        </is>
      </c>
      <c r="I5" s="34" t="inlineStr">
        <is>
          <t>개발자1</t>
        </is>
      </c>
      <c r="J5" s="34" t="inlineStr">
        <is>
          <t>Done</t>
        </is>
      </c>
      <c r="K5" s="34" t="inlineStr">
        <is>
          <t>회원 등록</t>
        </is>
      </c>
      <c r="L5" s="34" t="n">
        <v>0</v>
      </c>
      <c r="M5" s="34" t="n"/>
    </row>
    <row r="6">
      <c r="A6" s="33" t="inlineStr">
        <is>
          <t>US-005</t>
        </is>
      </c>
      <c r="B6" s="33" t="inlineStr">
        <is>
          <t>회원관리</t>
        </is>
      </c>
      <c r="C6" s="33" t="inlineStr">
        <is>
          <t>매니저</t>
        </is>
      </c>
      <c r="D6" s="34" t="inlineStr">
        <is>
          <t>매니저로서 회원 상세 정보와 이용 이력을 확인하고 싶다</t>
        </is>
      </c>
      <c r="E6" s="34" t="inlineStr">
        <is>
          <t>1) 프로필/이용권/출석/결제/체성분/메모 탭 구성
2) 이용권 만료일 강조 표시
3) 출석 히트맵</t>
        </is>
      </c>
      <c r="F6" s="34" t="inlineStr">
        <is>
          <t>SCR-011</t>
        </is>
      </c>
      <c r="G6" s="34" t="inlineStr">
        <is>
          <t>High</t>
        </is>
      </c>
      <c r="H6" s="34" t="inlineStr">
        <is>
          <t>L</t>
        </is>
      </c>
      <c r="I6" s="34" t="inlineStr">
        <is>
          <t>개발자1</t>
        </is>
      </c>
      <c r="J6" s="34" t="inlineStr">
        <is>
          <t>Done</t>
        </is>
      </c>
      <c r="K6" s="34" t="inlineStr">
        <is>
          <t>회원 상세</t>
        </is>
      </c>
      <c r="L6" s="34" t="n">
        <v>2</v>
      </c>
      <c r="M6" s="34" t="n"/>
    </row>
    <row r="7">
      <c r="A7" s="33" t="inlineStr">
        <is>
          <t>US-006</t>
        </is>
      </c>
      <c r="B7" s="33" t="inlineStr">
        <is>
          <t>회원관리</t>
        </is>
      </c>
      <c r="C7" s="33" t="inlineStr">
        <is>
          <t>매니저</t>
        </is>
      </c>
      <c r="D7" s="34" t="inlineStr">
        <is>
          <t>매니저로서 회원 정보를 수정하고 싶다</t>
        </is>
      </c>
      <c r="E7" s="34" t="inlineStr">
        <is>
          <t>1) 기존 정보 프리필
2) 변경 이력 자동 기록
3) 담당자 변경 가능</t>
        </is>
      </c>
      <c r="F7" s="34" t="inlineStr">
        <is>
          <t>SCR-013</t>
        </is>
      </c>
      <c r="G7" s="34" t="inlineStr">
        <is>
          <t>High</t>
        </is>
      </c>
      <c r="H7" s="34" t="inlineStr">
        <is>
          <t>S</t>
        </is>
      </c>
      <c r="I7" s="34" t="inlineStr">
        <is>
          <t>개발자1</t>
        </is>
      </c>
      <c r="J7" s="34" t="inlineStr">
        <is>
          <t>Done</t>
        </is>
      </c>
      <c r="K7" s="34" t="inlineStr">
        <is>
          <t>회원 수정</t>
        </is>
      </c>
      <c r="L7" s="34" t="n">
        <v>0</v>
      </c>
      <c r="M7" s="34" t="n"/>
    </row>
    <row r="8">
      <c r="A8" s="33" t="inlineStr">
        <is>
          <t>US-007</t>
        </is>
      </c>
      <c r="B8" s="33" t="inlineStr">
        <is>
          <t>회원관리</t>
        </is>
      </c>
      <c r="C8" s="33" t="inlineStr">
        <is>
          <t>FC</t>
        </is>
      </c>
      <c r="D8" s="34" t="inlineStr">
        <is>
          <t>FC로서 회원의 체성분 측정 결과를 기록하고 변화 추이를 분석하고 싶다</t>
        </is>
      </c>
      <c r="E8" s="34" t="inlineStr">
        <is>
          <t>1) 체중/골격근/체지방률 등 입력
2) 측정일 기준 변화 차트
3) 목표 대비 달성률 표시</t>
        </is>
      </c>
      <c r="F8" s="34" t="inlineStr">
        <is>
          <t>SCR-014</t>
        </is>
      </c>
      <c r="G8" s="34" t="inlineStr">
        <is>
          <t>High</t>
        </is>
      </c>
      <c r="H8" s="34" t="inlineStr">
        <is>
          <t>M</t>
        </is>
      </c>
      <c r="I8" s="34" t="inlineStr">
        <is>
          <t>개발자2</t>
        </is>
      </c>
      <c r="J8" s="34" t="inlineStr">
        <is>
          <t>Done</t>
        </is>
      </c>
      <c r="K8" s="34" t="inlineStr">
        <is>
          <t>체성분 분석</t>
        </is>
      </c>
      <c r="L8" s="34" t="n">
        <v>1</v>
      </c>
      <c r="M8" s="34" t="n"/>
    </row>
    <row r="9">
      <c r="A9" s="33" t="inlineStr">
        <is>
          <t>US-008</t>
        </is>
      </c>
      <c r="B9" s="33" t="inlineStr">
        <is>
          <t>출석관리</t>
        </is>
      </c>
      <c r="C9" s="33" t="inlineStr">
        <is>
          <t>스태프</t>
        </is>
      </c>
      <c r="D9" s="34" t="inlineStr">
        <is>
          <t>스태프로서 회원의 출석 현황을 조회하고 싶다</t>
        </is>
      </c>
      <c r="E9" s="34" t="inlineStr">
        <is>
          <t>1) 일별/주별/월별 출석 조회
2) 출석 유형(일반/PT/GX) 구분
3) 타지점 출석 표시</t>
        </is>
      </c>
      <c r="F9" s="34" t="inlineStr">
        <is>
          <t>SCR-020</t>
        </is>
      </c>
      <c r="G9" s="34" t="inlineStr">
        <is>
          <t>High</t>
        </is>
      </c>
      <c r="H9" s="34" t="inlineStr">
        <is>
          <t>M</t>
        </is>
      </c>
      <c r="I9" s="34" t="inlineStr">
        <is>
          <t>개발자2</t>
        </is>
      </c>
      <c r="J9" s="34" t="inlineStr">
        <is>
          <t>Done</t>
        </is>
      </c>
      <c r="K9" s="34" t="inlineStr">
        <is>
          <t>출석 기록</t>
        </is>
      </c>
      <c r="L9" s="34" t="n">
        <v>1</v>
      </c>
      <c r="M9" s="34" t="n"/>
    </row>
    <row r="10">
      <c r="A10" s="33" t="inlineStr">
        <is>
          <t>US-009</t>
        </is>
      </c>
      <c r="B10" s="33" t="inlineStr">
        <is>
          <t>출석관리</t>
        </is>
      </c>
      <c r="C10" s="33" t="inlineStr">
        <is>
          <t>스태프</t>
        </is>
      </c>
      <c r="D10" s="34" t="inlineStr">
        <is>
          <t>스태프로서 PT/GX 일정을 캘린더로 관리하고 싶다</t>
        </is>
      </c>
      <c r="E10" s="34" t="inlineStr">
        <is>
          <t>1) 월/주/일 캘린더 뷰
2) 드래그앤드롭 일정 변경
3) 트레이너별 필터</t>
        </is>
      </c>
      <c r="F10" s="34" t="inlineStr">
        <is>
          <t>SCR-021</t>
        </is>
      </c>
      <c r="G10" s="34" t="inlineStr">
        <is>
          <t>High</t>
        </is>
      </c>
      <c r="H10" s="34" t="inlineStr">
        <is>
          <t>L</t>
        </is>
      </c>
      <c r="I10" s="34" t="inlineStr">
        <is>
          <t>개발자2</t>
        </is>
      </c>
      <c r="J10" s="34" t="inlineStr">
        <is>
          <t>Done</t>
        </is>
      </c>
      <c r="K10" s="34" t="inlineStr">
        <is>
          <t>일정 관리</t>
        </is>
      </c>
      <c r="L10" s="34" t="n">
        <v>1</v>
      </c>
      <c r="M10" s="34" t="n"/>
    </row>
    <row r="11">
      <c r="A11" s="33" t="inlineStr">
        <is>
          <t>US-010</t>
        </is>
      </c>
      <c r="B11" s="33" t="inlineStr">
        <is>
          <t>매출관리</t>
        </is>
      </c>
      <c r="C11" s="33" t="inlineStr">
        <is>
          <t>매니저</t>
        </is>
      </c>
      <c r="D11" s="34" t="inlineStr">
        <is>
          <t>매니저로서 매출 현황을 조회하고 통계를 확인하고 싶다</t>
        </is>
      </c>
      <c r="E11" s="34" t="inlineStr">
        <is>
          <t>1) 기간별 매출 필터
2) 유형별(이용권/PT/상품) 분류
3) 총매출/현금/카드/마일리지 요약
4) 엑셀 다운로드</t>
        </is>
      </c>
      <c r="F11" s="34" t="inlineStr">
        <is>
          <t>SCR-030</t>
        </is>
      </c>
      <c r="G11" s="34" t="inlineStr">
        <is>
          <t>Critical</t>
        </is>
      </c>
      <c r="H11" s="34" t="inlineStr">
        <is>
          <t>L</t>
        </is>
      </c>
      <c r="I11" s="34" t="inlineStr">
        <is>
          <t>개발자1</t>
        </is>
      </c>
      <c r="J11" s="34" t="inlineStr">
        <is>
          <t>Done</t>
        </is>
      </c>
      <c r="K11" s="34" t="inlineStr">
        <is>
          <t>매출 조회</t>
        </is>
      </c>
      <c r="L11" s="34" t="n">
        <v>2</v>
      </c>
      <c r="M11" s="34" t="n"/>
    </row>
    <row r="12">
      <c r="A12" s="33" t="inlineStr">
        <is>
          <t>US-011</t>
        </is>
      </c>
      <c r="B12" s="33" t="inlineStr">
        <is>
          <t>매출관리</t>
        </is>
      </c>
      <c r="C12" s="33" t="inlineStr">
        <is>
          <t>스태프</t>
        </is>
      </c>
      <c r="D12" s="34" t="inlineStr">
        <is>
          <t>스태프로서 POS에서 상품을 선택하고 결제를 처리하고 싶다</t>
        </is>
      </c>
      <c r="E12" s="34" t="inlineStr">
        <is>
          <t>1) 카테고리별 상품 그리드
2) 장바구니 담기/수량 변경
3) 현금/카드/마일리지 복합결제
4) 영수증 출력</t>
        </is>
      </c>
      <c r="F12" s="34" t="inlineStr">
        <is>
          <t>SCR-031</t>
        </is>
      </c>
      <c r="G12" s="34" t="inlineStr">
        <is>
          <t>Critical</t>
        </is>
      </c>
      <c r="H12" s="34" t="inlineStr">
        <is>
          <t>XL</t>
        </is>
      </c>
      <c r="I12" s="34" t="inlineStr">
        <is>
          <t>개발자1</t>
        </is>
      </c>
      <c r="J12" s="34" t="inlineStr">
        <is>
          <t>Done</t>
        </is>
      </c>
      <c r="K12" s="34" t="inlineStr">
        <is>
          <t>POS</t>
        </is>
      </c>
      <c r="L12" s="34" t="n">
        <v>0</v>
      </c>
      <c r="M12" s="34" t="n"/>
    </row>
    <row r="13">
      <c r="A13" s="33" t="inlineStr">
        <is>
          <t>US-012</t>
        </is>
      </c>
      <c r="B13" s="33" t="inlineStr">
        <is>
          <t>상품관리</t>
        </is>
      </c>
      <c r="C13" s="33" t="inlineStr">
        <is>
          <t>매니저</t>
        </is>
      </c>
      <c r="D13" s="34" t="inlineStr">
        <is>
          <t>매니저로서 상품 목록을 조회하고 관리하고 싶다</t>
        </is>
      </c>
      <c r="E13" s="34" t="inlineStr">
        <is>
          <t>1) 카테고리별 필터
2) 키오스크 노출 여부 토글
3) 상품 상태(판매중/중지) 관리</t>
        </is>
      </c>
      <c r="F13" s="34" t="inlineStr">
        <is>
          <t>SCR-040</t>
        </is>
      </c>
      <c r="G13" s="34" t="inlineStr">
        <is>
          <t>High</t>
        </is>
      </c>
      <c r="H13" s="34" t="inlineStr">
        <is>
          <t>M</t>
        </is>
      </c>
      <c r="I13" s="34" t="inlineStr">
        <is>
          <t>개발자2</t>
        </is>
      </c>
      <c r="J13" s="34" t="inlineStr">
        <is>
          <t>Done</t>
        </is>
      </c>
      <c r="K13" s="34" t="inlineStr">
        <is>
          <t>상품 목록</t>
        </is>
      </c>
      <c r="L13" s="34" t="n">
        <v>2</v>
      </c>
      <c r="M13" s="34" t="n"/>
    </row>
    <row r="14">
      <c r="A14" s="33" t="inlineStr">
        <is>
          <t>US-013</t>
        </is>
      </c>
      <c r="B14" s="33" t="inlineStr">
        <is>
          <t>상품관리</t>
        </is>
      </c>
      <c r="C14" s="33" t="inlineStr">
        <is>
          <t>센터장</t>
        </is>
      </c>
      <c r="D14" s="34" t="inlineStr">
        <is>
          <t>센터장으로서 신규 상품을 등록하고 싶다</t>
        </is>
      </c>
      <c r="E14" s="34" t="inlineStr">
        <is>
          <t>1) 카테고리/이름/가격/기간 입력
2) 현금가/카드가 별도 설정
3) 키오스크 노출 설정</t>
        </is>
      </c>
      <c r="F14" s="34" t="inlineStr">
        <is>
          <t>SCR-041</t>
        </is>
      </c>
      <c r="G14" s="34" t="inlineStr">
        <is>
          <t>High</t>
        </is>
      </c>
      <c r="H14" s="34" t="inlineStr">
        <is>
          <t>M</t>
        </is>
      </c>
      <c r="I14" s="34" t="inlineStr">
        <is>
          <t>개발자2</t>
        </is>
      </c>
      <c r="J14" s="34" t="inlineStr">
        <is>
          <t>Done</t>
        </is>
      </c>
      <c r="K14" s="34" t="inlineStr">
        <is>
          <t>상품 등록</t>
        </is>
      </c>
      <c r="L14" s="34" t="n">
        <v>2</v>
      </c>
      <c r="M14" s="34" t="n"/>
    </row>
    <row r="15">
      <c r="A15" s="33" t="inlineStr">
        <is>
          <t>US-014</t>
        </is>
      </c>
      <c r="B15" s="33" t="inlineStr">
        <is>
          <t>시설관리</t>
        </is>
      </c>
      <c r="C15" s="33" t="inlineStr">
        <is>
          <t>스태프</t>
        </is>
      </c>
      <c r="D15" s="34" t="inlineStr">
        <is>
          <t>스태프로서 락커 배정 현황을 한눈에 파악하고 싶다</t>
        </is>
      </c>
      <c r="E15" s="34" t="inlineStr">
        <is>
          <t>1) 구역별 락커 그리드 (색상으로 상태 구분)
2) 사용중/빈락커/만료임박 구분
3) 클릭 시 상세 모달</t>
        </is>
      </c>
      <c r="F15" s="34" t="inlineStr">
        <is>
          <t>SCR-050</t>
        </is>
      </c>
      <c r="G15" s="34" t="inlineStr">
        <is>
          <t>High</t>
        </is>
      </c>
      <c r="H15" s="34" t="inlineStr">
        <is>
          <t>M</t>
        </is>
      </c>
      <c r="I15" s="34" t="inlineStr">
        <is>
          <t>개발자2</t>
        </is>
      </c>
      <c r="J15" s="34" t="inlineStr">
        <is>
          <t>Done</t>
        </is>
      </c>
      <c r="K15" s="34" t="inlineStr">
        <is>
          <t>락커 현황</t>
        </is>
      </c>
      <c r="L15" s="34" t="n">
        <v>2</v>
      </c>
      <c r="M15" s="34" t="n"/>
    </row>
    <row r="16">
      <c r="A16" s="33" t="inlineStr">
        <is>
          <t>US-015</t>
        </is>
      </c>
      <c r="B16" s="33" t="inlineStr">
        <is>
          <t>시설관리</t>
        </is>
      </c>
      <c r="C16" s="33" t="inlineStr">
        <is>
          <t>매니저</t>
        </is>
      </c>
      <c r="D16" s="34" t="inlineStr">
        <is>
          <t>매니저로서 락커를 회원에게 배정/해제하고 싶다</t>
        </is>
      </c>
      <c r="E16" s="34" t="inlineStr">
        <is>
          <t>1) 회원 검색 후 빈 락커 배정
2) 만료일 설정
3) 일괄 해제 기능</t>
        </is>
      </c>
      <c r="F16" s="34" t="inlineStr">
        <is>
          <t>SCR-051</t>
        </is>
      </c>
      <c r="G16" s="34" t="inlineStr">
        <is>
          <t>High</t>
        </is>
      </c>
      <c r="H16" s="34" t="inlineStr">
        <is>
          <t>M</t>
        </is>
      </c>
      <c r="I16" s="34" t="inlineStr">
        <is>
          <t>개발자2</t>
        </is>
      </c>
      <c r="J16" s="34" t="inlineStr">
        <is>
          <t>Done</t>
        </is>
      </c>
      <c r="K16" s="34" t="inlineStr">
        <is>
          <t>락커 관리</t>
        </is>
      </c>
      <c r="L16" s="34" t="n">
        <v>0</v>
      </c>
      <c r="M16" s="34" t="n"/>
    </row>
    <row r="17">
      <c r="A17" s="33" t="inlineStr">
        <is>
          <t>US-016</t>
        </is>
      </c>
      <c r="B17" s="33" t="inlineStr">
        <is>
          <t>시설관리</t>
        </is>
      </c>
      <c r="C17" s="33" t="inlineStr">
        <is>
          <t>매니저</t>
        </is>
      </c>
      <c r="D17" s="34" t="inlineStr">
        <is>
          <t>매니저로서 RFID 카드를 관리하고 싶다</t>
        </is>
      </c>
      <c r="E17" s="34" t="inlineStr">
        <is>
          <t>1) RFID 카드 등록/해제
2) 회원-카드 매핑
3) 분실 처리</t>
        </is>
      </c>
      <c r="F17" s="34" t="inlineStr">
        <is>
          <t>SCR-052</t>
        </is>
      </c>
      <c r="G17" s="34" t="inlineStr">
        <is>
          <t>Medium</t>
        </is>
      </c>
      <c r="H17" s="34" t="inlineStr">
        <is>
          <t>S</t>
        </is>
      </c>
      <c r="I17" s="34" t="inlineStr">
        <is>
          <t>개발자2</t>
        </is>
      </c>
      <c r="J17" s="34" t="inlineStr">
        <is>
          <t>Done</t>
        </is>
      </c>
      <c r="K17" s="34" t="inlineStr">
        <is>
          <t>RFID 관리</t>
        </is>
      </c>
      <c r="L17" s="34" t="n">
        <v>1</v>
      </c>
      <c r="M17" s="34" t="n"/>
    </row>
    <row r="18">
      <c r="A18" s="33" t="inlineStr">
        <is>
          <t>US-017</t>
        </is>
      </c>
      <c r="B18" s="33" t="inlineStr">
        <is>
          <t>시설관리</t>
        </is>
      </c>
      <c r="C18" s="33" t="inlineStr">
        <is>
          <t>매니저</t>
        </is>
      </c>
      <c r="D18" s="34" t="inlineStr">
        <is>
          <t>매니저로서 GX룸/PT룸을 관리하고 싶다</t>
        </is>
      </c>
      <c r="E18" s="34" t="inlineStr">
        <is>
          <t>1) 룸 등록/수정/삭제
2) 수용 인원 설정
3) 예약 가능 시간대 설정</t>
        </is>
      </c>
      <c r="F18" s="34" t="inlineStr">
        <is>
          <t>SCR-053</t>
        </is>
      </c>
      <c r="G18" s="34" t="inlineStr">
        <is>
          <t>Medium</t>
        </is>
      </c>
      <c r="H18" s="34" t="inlineStr">
        <is>
          <t>S</t>
        </is>
      </c>
      <c r="I18" s="34" t="inlineStr">
        <is>
          <t>개발자2</t>
        </is>
      </c>
      <c r="J18" s="34" t="inlineStr">
        <is>
          <t>Done</t>
        </is>
      </c>
      <c r="K18" s="34" t="inlineStr">
        <is>
          <t>룸 관리</t>
        </is>
      </c>
      <c r="L18" s="34" t="n">
        <v>1</v>
      </c>
      <c r="M18" s="34" t="n"/>
    </row>
    <row r="19">
      <c r="A19" s="33" t="inlineStr">
        <is>
          <t>US-018</t>
        </is>
      </c>
      <c r="B19" s="33" t="inlineStr">
        <is>
          <t>직원관리</t>
        </is>
      </c>
      <c r="C19" s="33" t="inlineStr">
        <is>
          <t>센터장</t>
        </is>
      </c>
      <c r="D19" s="34" t="inlineStr">
        <is>
          <t>센터장으로서 직원 목록을 조회하고 싶다</t>
        </is>
      </c>
      <c r="E19" s="34" t="inlineStr">
        <is>
          <t>1) 역할/상태별 필터
2) 검색 기능
3) 직원 상세 이동</t>
        </is>
      </c>
      <c r="F19" s="34" t="inlineStr">
        <is>
          <t>SCR-060</t>
        </is>
      </c>
      <c r="G19" s="34" t="inlineStr">
        <is>
          <t>High</t>
        </is>
      </c>
      <c r="H19" s="34" t="inlineStr">
        <is>
          <t>M</t>
        </is>
      </c>
      <c r="I19" s="34" t="inlineStr">
        <is>
          <t>개발자1</t>
        </is>
      </c>
      <c r="J19" s="34" t="inlineStr">
        <is>
          <t>Done</t>
        </is>
      </c>
      <c r="K19" s="34" t="inlineStr">
        <is>
          <t>직원 목록</t>
        </is>
      </c>
      <c r="L19" s="34" t="n">
        <v>2</v>
      </c>
      <c r="M19" s="34" t="n"/>
    </row>
    <row r="20">
      <c r="A20" s="33" t="inlineStr">
        <is>
          <t>US-019</t>
        </is>
      </c>
      <c r="B20" s="33" t="inlineStr">
        <is>
          <t>직원관리</t>
        </is>
      </c>
      <c r="C20" s="33" t="inlineStr">
        <is>
          <t>센터장</t>
        </is>
      </c>
      <c r="D20" s="34" t="inlineStr">
        <is>
          <t>센터장으로서 신규 직원을 등록하고 싶다</t>
        </is>
      </c>
      <c r="E20" s="34" t="inlineStr">
        <is>
          <t>1) 이름/역할/연락처/입사일 입력
2) 관리자 계정 생성
3) 근무 유형 설정</t>
        </is>
      </c>
      <c r="F20" s="34" t="inlineStr">
        <is>
          <t>SCR-061</t>
        </is>
      </c>
      <c r="G20" s="34" t="inlineStr">
        <is>
          <t>High</t>
        </is>
      </c>
      <c r="H20" s="34" t="inlineStr">
        <is>
          <t>M</t>
        </is>
      </c>
      <c r="I20" s="34" t="inlineStr">
        <is>
          <t>개발자1</t>
        </is>
      </c>
      <c r="J20" s="34" t="inlineStr">
        <is>
          <t>Done</t>
        </is>
      </c>
      <c r="K20" s="34" t="inlineStr">
        <is>
          <t>직원 등록</t>
        </is>
      </c>
      <c r="L20" s="34" t="n">
        <v>0</v>
      </c>
      <c r="M20" s="34" t="n"/>
    </row>
    <row r="21">
      <c r="A21" s="33" t="inlineStr">
        <is>
          <t>US-020</t>
        </is>
      </c>
      <c r="B21" s="33" t="inlineStr">
        <is>
          <t>직원관리</t>
        </is>
      </c>
      <c r="C21" s="33" t="inlineStr">
        <is>
          <t>센터장</t>
        </is>
      </c>
      <c r="D21" s="34" t="inlineStr">
        <is>
          <t>센터장으로서 월별 급여 현황을 확인하고 싶다</t>
        </is>
      </c>
      <c r="E21" s="34" t="inlineStr">
        <is>
          <t>1) 월별 급여 요약
2) 기본급/인센티브/공제 내역
3) 지급 상태 관리</t>
        </is>
      </c>
      <c r="F21" s="34" t="inlineStr">
        <is>
          <t>SCR-062</t>
        </is>
      </c>
      <c r="G21" s="34" t="inlineStr">
        <is>
          <t>High</t>
        </is>
      </c>
      <c r="H21" s="34" t="inlineStr">
        <is>
          <t>L</t>
        </is>
      </c>
      <c r="I21" s="34" t="inlineStr">
        <is>
          <t>개발자1</t>
        </is>
      </c>
      <c r="J21" s="34" t="inlineStr">
        <is>
          <t>Done</t>
        </is>
      </c>
      <c r="K21" s="34" t="inlineStr">
        <is>
          <t>급여 현황</t>
        </is>
      </c>
      <c r="L21" s="34" t="n">
        <v>2</v>
      </c>
      <c r="M21" s="34" t="n"/>
    </row>
    <row r="22">
      <c r="A22" s="33" t="inlineStr">
        <is>
          <t>US-021</t>
        </is>
      </c>
      <c r="B22" s="33" t="inlineStr">
        <is>
          <t>직원관리</t>
        </is>
      </c>
      <c r="C22" s="33" t="inlineStr">
        <is>
          <t>센터장</t>
        </is>
      </c>
      <c r="D22" s="34" t="inlineStr">
        <is>
          <t>센터장으로서 직원별 급여명세서를 확인하고 싶다</t>
        </is>
      </c>
      <c r="E22" s="34" t="inlineStr">
        <is>
          <t>1) 직원별 상세 급여명세서
2) PDF 다운로드
3) 이력 조회</t>
        </is>
      </c>
      <c r="F22" s="34" t="inlineStr">
        <is>
          <t>SCR-063</t>
        </is>
      </c>
      <c r="G22" s="34" t="inlineStr">
        <is>
          <t>Medium</t>
        </is>
      </c>
      <c r="H22" s="34" t="inlineStr">
        <is>
          <t>M</t>
        </is>
      </c>
      <c r="I22" s="34" t="inlineStr">
        <is>
          <t>개발자1</t>
        </is>
      </c>
      <c r="J22" s="34" t="inlineStr">
        <is>
          <t>Done</t>
        </is>
      </c>
      <c r="K22" s="34" t="inlineStr">
        <is>
          <t>급여명세서</t>
        </is>
      </c>
      <c r="L22" s="34" t="n">
        <v>0</v>
      </c>
      <c r="M22" s="34" t="n"/>
    </row>
    <row r="23">
      <c r="A23" s="33" t="inlineStr">
        <is>
          <t>US-022</t>
        </is>
      </c>
      <c r="B23" s="33" t="inlineStr">
        <is>
          <t>메시지/마케팅</t>
        </is>
      </c>
      <c r="C23" s="33" t="inlineStr">
        <is>
          <t>매니저</t>
        </is>
      </c>
      <c r="D23" s="34" t="inlineStr">
        <is>
          <t>매니저로서 회원에게 SMS/카카오톡 메시지를 발송하고 싶다</t>
        </is>
      </c>
      <c r="E23" s="34" t="inlineStr">
        <is>
          <t>1) 수신자 선택 (개별/그룹/전체)
2) 메시지 유형 선택
3) 발송 이력 조회</t>
        </is>
      </c>
      <c r="F23" s="34" t="inlineStr">
        <is>
          <t>SCR-070</t>
        </is>
      </c>
      <c r="G23" s="34" t="inlineStr">
        <is>
          <t>High</t>
        </is>
      </c>
      <c r="H23" s="34" t="inlineStr">
        <is>
          <t>L</t>
        </is>
      </c>
      <c r="I23" s="34" t="inlineStr">
        <is>
          <t>개발자2</t>
        </is>
      </c>
      <c r="J23" s="34" t="inlineStr">
        <is>
          <t>Done</t>
        </is>
      </c>
      <c r="K23" s="34" t="inlineStr">
        <is>
          <t>메시지 발송</t>
        </is>
      </c>
      <c r="L23" s="34" t="n">
        <v>2</v>
      </c>
      <c r="M23" s="34" t="n"/>
    </row>
    <row r="24">
      <c r="A24" s="33" t="inlineStr">
        <is>
          <t>US-023</t>
        </is>
      </c>
      <c r="B24" s="33" t="inlineStr">
        <is>
          <t>메시지/마케팅</t>
        </is>
      </c>
      <c r="C24" s="33" t="inlineStr">
        <is>
          <t>매니저</t>
        </is>
      </c>
      <c r="D24" s="34" t="inlineStr">
        <is>
          <t>매니저로서 자동 알림 규칙을 설정하고 싶다</t>
        </is>
      </c>
      <c r="E24" s="34" t="inlineStr">
        <is>
          <t>1) 만료 D-7/D-3/D-1 알림
2) 생일 축하 알림
3) 장기 미출석 알림</t>
        </is>
      </c>
      <c r="F24" s="34" t="inlineStr">
        <is>
          <t>SCR-071</t>
        </is>
      </c>
      <c r="G24" s="34" t="inlineStr">
        <is>
          <t>Medium</t>
        </is>
      </c>
      <c r="H24" s="34" t="inlineStr">
        <is>
          <t>M</t>
        </is>
      </c>
      <c r="I24" s="34" t="inlineStr">
        <is>
          <t>개발자2</t>
        </is>
      </c>
      <c r="J24" s="34" t="inlineStr">
        <is>
          <t>Done</t>
        </is>
      </c>
      <c r="K24" s="34" t="inlineStr">
        <is>
          <t>자동 알림</t>
        </is>
      </c>
      <c r="L24" s="34" t="n">
        <v>0</v>
      </c>
      <c r="M24" s="34" t="n"/>
    </row>
    <row r="25">
      <c r="A25" s="33" t="inlineStr">
        <is>
          <t>US-024</t>
        </is>
      </c>
      <c r="B25" s="33" t="inlineStr">
        <is>
          <t>메시지/마케팅</t>
        </is>
      </c>
      <c r="C25" s="33" t="inlineStr">
        <is>
          <t>매니저</t>
        </is>
      </c>
      <c r="D25" s="34" t="inlineStr">
        <is>
          <t>매니저로서 쿠폰을 생성하고 발급하고 싶다</t>
        </is>
      </c>
      <c r="E25" s="34" t="inlineStr">
        <is>
          <t>1) 할인율/금액 쿠폰 생성
2) 유효기간 설정
3) 사용 이력 추적</t>
        </is>
      </c>
      <c r="F25" s="34" t="inlineStr">
        <is>
          <t>SCR-072</t>
        </is>
      </c>
      <c r="G25" s="34" t="inlineStr">
        <is>
          <t>Medium</t>
        </is>
      </c>
      <c r="H25" s="34" t="inlineStr">
        <is>
          <t>M</t>
        </is>
      </c>
      <c r="I25" s="34" t="inlineStr">
        <is>
          <t>개발자2</t>
        </is>
      </c>
      <c r="J25" s="34" t="inlineStr">
        <is>
          <t>Done</t>
        </is>
      </c>
      <c r="K25" s="34" t="inlineStr">
        <is>
          <t>쿠폰 관리</t>
        </is>
      </c>
      <c r="L25" s="34" t="n">
        <v>2</v>
      </c>
      <c r="M25" s="34" t="n"/>
    </row>
    <row r="26">
      <c r="A26" s="33" t="inlineStr">
        <is>
          <t>US-025</t>
        </is>
      </c>
      <c r="B26" s="33" t="inlineStr">
        <is>
          <t>메시지/마케팅</t>
        </is>
      </c>
      <c r="C26" s="33" t="inlineStr">
        <is>
          <t>매니저</t>
        </is>
      </c>
      <c r="D26" s="34" t="inlineStr">
        <is>
          <t>매니저로서 회원 마일리지를 관리하고 싶다</t>
        </is>
      </c>
      <c r="E26" s="34" t="inlineStr">
        <is>
          <t>1) 마일리지 적립/차감
2) 잔액 조회
3) 이력 조회</t>
        </is>
      </c>
      <c r="F26" s="34" t="inlineStr">
        <is>
          <t>SCR-073</t>
        </is>
      </c>
      <c r="G26" s="34" t="inlineStr">
        <is>
          <t>Medium</t>
        </is>
      </c>
      <c r="H26" s="34" t="inlineStr">
        <is>
          <t>S</t>
        </is>
      </c>
      <c r="I26" s="34" t="inlineStr">
        <is>
          <t>개발자2</t>
        </is>
      </c>
      <c r="J26" s="34" t="inlineStr">
        <is>
          <t>Done</t>
        </is>
      </c>
      <c r="K26" s="34" t="inlineStr">
        <is>
          <t>마일리지 관리</t>
        </is>
      </c>
      <c r="L26" s="34" t="n">
        <v>0</v>
      </c>
      <c r="M26" s="34" t="n"/>
    </row>
    <row r="27">
      <c r="A27" s="33" t="inlineStr">
        <is>
          <t>US-026</t>
        </is>
      </c>
      <c r="B27" s="33" t="inlineStr">
        <is>
          <t>계약/구독</t>
        </is>
      </c>
      <c r="C27" s="33" t="inlineStr">
        <is>
          <t>매니저</t>
        </is>
      </c>
      <c r="D27" s="34" t="inlineStr">
        <is>
          <t>매니저로서 단계별 계약 등록을 하고 싶다</t>
        </is>
      </c>
      <c r="E27" s="34" t="inlineStr">
        <is>
          <t>1) 회원 선택 → 상품 선택 → 기간/금액 설정 → 결제 → 확인
2) 계약서 자동 생성</t>
        </is>
      </c>
      <c r="F27" s="34" t="inlineStr">
        <is>
          <t>SCR-080</t>
        </is>
      </c>
      <c r="G27" s="34" t="inlineStr">
        <is>
          <t>Critical</t>
        </is>
      </c>
      <c r="H27" s="34" t="inlineStr">
        <is>
          <t>XL</t>
        </is>
      </c>
      <c r="I27" s="34" t="inlineStr">
        <is>
          <t>개발자1</t>
        </is>
      </c>
      <c r="J27" s="34" t="inlineStr">
        <is>
          <t>Done</t>
        </is>
      </c>
      <c r="K27" s="34" t="inlineStr">
        <is>
          <t>계약 마법사</t>
        </is>
      </c>
      <c r="L27" s="34" t="n">
        <v>2</v>
      </c>
      <c r="M27" s="34" t="n"/>
    </row>
    <row r="28">
      <c r="A28" s="33" t="inlineStr">
        <is>
          <t>US-027</t>
        </is>
      </c>
      <c r="B28" s="33" t="inlineStr">
        <is>
          <t>계약/구독</t>
        </is>
      </c>
      <c r="C28" s="33" t="inlineStr">
        <is>
          <t>센터장</t>
        </is>
      </c>
      <c r="D28" s="34" t="inlineStr">
        <is>
          <t>센터장으로서 정기 구독 상품을 관리하고 싶다</t>
        </is>
      </c>
      <c r="E28" s="34" t="inlineStr">
        <is>
          <t>1) 구독 상품 CRUD
2) 자동 결제 설정
3) 구독 현황 대시보드</t>
        </is>
      </c>
      <c r="F28" s="34" t="inlineStr">
        <is>
          <t>SCR-081</t>
        </is>
      </c>
      <c r="G28" s="34" t="inlineStr">
        <is>
          <t>Medium</t>
        </is>
      </c>
      <c r="H28" s="34" t="inlineStr">
        <is>
          <t>L</t>
        </is>
      </c>
      <c r="I28" s="34" t="inlineStr">
        <is>
          <t>개발자1</t>
        </is>
      </c>
      <c r="J28" s="34" t="inlineStr">
        <is>
          <t>Done</t>
        </is>
      </c>
      <c r="K28" s="34" t="inlineStr">
        <is>
          <t>구독 관리</t>
        </is>
      </c>
      <c r="L28" s="34" t="n">
        <v>0</v>
      </c>
      <c r="M28" s="34" t="n"/>
    </row>
    <row r="29">
      <c r="A29" s="33" t="inlineStr">
        <is>
          <t>US-028</t>
        </is>
      </c>
      <c r="B29" s="33" t="inlineStr">
        <is>
          <t>설정/권한</t>
        </is>
      </c>
      <c r="C29" s="33" t="inlineStr">
        <is>
          <t>센터장</t>
        </is>
      </c>
      <c r="D29" s="34" t="inlineStr">
        <is>
          <t>센터장으로서 시스템 기본 설정을 변경하고 싶다</t>
        </is>
      </c>
      <c r="E29" s="34" t="inlineStr">
        <is>
          <t>1) 센터명/영업시간/연락처 설정
2) 알림 설정
3) 테마 설정</t>
        </is>
      </c>
      <c r="F29" s="34" t="inlineStr">
        <is>
          <t>SCR-090</t>
        </is>
      </c>
      <c r="G29" s="34" t="inlineStr">
        <is>
          <t>Medium</t>
        </is>
      </c>
      <c r="H29" s="34" t="inlineStr">
        <is>
          <t>M</t>
        </is>
      </c>
      <c r="I29" s="34" t="inlineStr">
        <is>
          <t>개발자1</t>
        </is>
      </c>
      <c r="J29" s="34" t="inlineStr">
        <is>
          <t>Done</t>
        </is>
      </c>
      <c r="K29" s="34" t="inlineStr">
        <is>
          <t>설정</t>
        </is>
      </c>
      <c r="L29" s="34" t="n">
        <v>5</v>
      </c>
      <c r="M29" s="34" t="n"/>
    </row>
    <row r="30">
      <c r="A30" s="33" t="inlineStr">
        <is>
          <t>US-029</t>
        </is>
      </c>
      <c r="B30" s="33" t="inlineStr">
        <is>
          <t>설정/권한</t>
        </is>
      </c>
      <c r="C30" s="33" t="inlineStr">
        <is>
          <t>최고관리자</t>
        </is>
      </c>
      <c r="D30" s="34" t="inlineStr">
        <is>
          <t>최고관리자로서 역할별 권한을 세밀하게 설정하고 싶다</t>
        </is>
      </c>
      <c r="E30" s="34" t="inlineStr">
        <is>
          <t>1) 6단계 역할별 메뉴 접근 권한
2) 기능별 읽기/쓰기/삭제 권한
3) 변경 이력 로그</t>
        </is>
      </c>
      <c r="F30" s="34" t="inlineStr">
        <is>
          <t>SCR-091</t>
        </is>
      </c>
      <c r="G30" s="34" t="inlineStr">
        <is>
          <t>Critical</t>
        </is>
      </c>
      <c r="H30" s="34" t="inlineStr">
        <is>
          <t>L</t>
        </is>
      </c>
      <c r="I30" s="34" t="inlineStr">
        <is>
          <t>개발자1</t>
        </is>
      </c>
      <c r="J30" s="34" t="inlineStr">
        <is>
          <t>Done</t>
        </is>
      </c>
      <c r="K30" s="34" t="inlineStr">
        <is>
          <t>권한 설정</t>
        </is>
      </c>
      <c r="L30" s="34" t="n">
        <v>0</v>
      </c>
      <c r="M30" s="34" t="n"/>
    </row>
    <row r="31">
      <c r="A31" s="33" t="inlineStr">
        <is>
          <t>US-030</t>
        </is>
      </c>
      <c r="B31" s="33" t="inlineStr">
        <is>
          <t>설정/권한</t>
        </is>
      </c>
      <c r="C31" s="33" t="inlineStr">
        <is>
          <t>최고관리자</t>
        </is>
      </c>
      <c r="D31" s="34" t="inlineStr">
        <is>
          <t>최고관리자로서 지점을 추가/관리하고 싶다</t>
        </is>
      </c>
      <c r="E31" s="34" t="inlineStr">
        <is>
          <t>1) 지점 CRUD
2) 지점별 독립 데이터
3) 지점 간 회원 이동 처리</t>
        </is>
      </c>
      <c r="F31" s="34" t="inlineStr">
        <is>
          <t>SCR-094</t>
        </is>
      </c>
      <c r="G31" s="34" t="inlineStr">
        <is>
          <t>Critical</t>
        </is>
      </c>
      <c r="H31" s="34" t="inlineStr">
        <is>
          <t>L</t>
        </is>
      </c>
      <c r="I31" s="34" t="inlineStr">
        <is>
          <t>개발자1</t>
        </is>
      </c>
      <c r="J31" s="34" t="inlineStr">
        <is>
          <t>Done</t>
        </is>
      </c>
      <c r="K31" s="34" t="inlineStr">
        <is>
          <t>지점 관리</t>
        </is>
      </c>
      <c r="L31" s="34" t="n">
        <v>0</v>
      </c>
      <c r="M31" s="34" t="n"/>
    </row>
    <row r="32">
      <c r="A32" s="33" t="inlineStr">
        <is>
          <t>US-031</t>
        </is>
      </c>
      <c r="B32" s="33" t="inlineStr">
        <is>
          <t>출석관리</t>
        </is>
      </c>
      <c r="C32" s="33" t="inlineStr">
        <is>
          <t>매니저</t>
        </is>
      </c>
      <c r="D32" s="34" t="inlineStr">
        <is>
          <t>매니저로서 GX 수업 예약을 N시간 전 자동 오픈 설정하여 수작업을 줄이고 싶다</t>
        </is>
      </c>
      <c r="E32" s="34" t="inlineStr">
        <is>
          <t>1) 수업별 예약 오픈 시간(N시간 전) 설정 가능
2) 일괄 오픈(매주 특정 요일/시간) 설정 가능
3) 강사 변경 시 기간 지정 일괄 변경 가능
4) 예약 오픈 시 회원 앱 알림 발송</t>
        </is>
      </c>
      <c r="F32" s="34" t="inlineStr">
        <is>
          <t>SCR-022</t>
        </is>
      </c>
      <c r="G32" s="34" t="inlineStr">
        <is>
          <t>Critical</t>
        </is>
      </c>
      <c r="H32" s="34" t="inlineStr">
        <is>
          <t>L</t>
        </is>
      </c>
      <c r="I32" s="34" t="n"/>
      <c r="J32" s="34" t="inlineStr">
        <is>
          <t>To Do</t>
        </is>
      </c>
      <c r="K32" s="34" t="inlineStr">
        <is>
          <t>GX 예약 관리</t>
        </is>
      </c>
      <c r="L32" s="34" t="n">
        <v>3</v>
      </c>
      <c r="M32" s="34" t="n"/>
    </row>
    <row r="33">
      <c r="A33" s="33" t="inlineStr">
        <is>
          <t>US-032</t>
        </is>
      </c>
      <c r="B33" s="33" t="inlineStr">
        <is>
          <t>출석관리</t>
        </is>
      </c>
      <c r="C33" s="33" t="inlineStr">
        <is>
          <t>매니저</t>
        </is>
      </c>
      <c r="D33" s="34" t="inlineStr">
        <is>
          <t>매니저로서 GX 출석을 QR/NFC로 자동 체크하여 노쇼를 정확히 파악하고 싶다</t>
        </is>
      </c>
      <c r="E33" s="34" t="inlineStr">
        <is>
          <t>1) QR/NFC 스캔으로 출석 자동 기록
2) 센터 입장 + 프로그램 예약 매칭 자동 출석
3) 노쇼 자동 감지 및 페널티 처리
4) 비예약자 참석 시 FC 알림</t>
        </is>
      </c>
      <c r="F33" s="34" t="inlineStr">
        <is>
          <t>SCR-022</t>
        </is>
      </c>
      <c r="G33" s="34" t="inlineStr">
        <is>
          <t>Critical</t>
        </is>
      </c>
      <c r="H33" s="34" t="inlineStr">
        <is>
          <t>L</t>
        </is>
      </c>
      <c r="I33" s="34" t="n"/>
      <c r="J33" s="34" t="inlineStr">
        <is>
          <t>To Do</t>
        </is>
      </c>
      <c r="K33" s="34" t="inlineStr">
        <is>
          <t>GX 예약 관리</t>
        </is>
      </c>
      <c r="L33" s="34" t="n">
        <v>3</v>
      </c>
      <c r="M33" s="34" t="n"/>
    </row>
    <row r="34">
      <c r="A34" s="33" t="inlineStr">
        <is>
          <t>US-033</t>
        </is>
      </c>
      <c r="B34" s="33" t="inlineStr">
        <is>
          <t>출석관리</t>
        </is>
      </c>
      <c r="C34" s="33" t="inlineStr">
        <is>
          <t>회원</t>
        </is>
      </c>
      <c r="D34" s="34" t="inlineStr">
        <is>
          <t>회원으로서 스피닝 수업 예약 시 원하는 바이크 좌석을 선택하고 싶다</t>
        </is>
      </c>
      <c r="E34" s="34" t="inlineStr">
        <is>
          <t>1) 바이크 배치도에서 원하는 좌석 선택 가능
2) 고장 좌석 비활성화 표시(선택 불가)
3) 예약 순서에 따른 좌석 선택 우선권</t>
        </is>
      </c>
      <c r="F34" s="34" t="inlineStr">
        <is>
          <t>SCR-023</t>
        </is>
      </c>
      <c r="G34" s="34" t="inlineStr">
        <is>
          <t>High</t>
        </is>
      </c>
      <c r="H34" s="34" t="inlineStr">
        <is>
          <t>M</t>
        </is>
      </c>
      <c r="I34" s="34" t="n"/>
      <c r="J34" s="34" t="inlineStr">
        <is>
          <t>To Do</t>
        </is>
      </c>
      <c r="K34" s="34" t="inlineStr">
        <is>
          <t>좌석 예약 관리</t>
        </is>
      </c>
      <c r="L34" s="34" t="n">
        <v>2</v>
      </c>
      <c r="M34" s="34" t="n"/>
    </row>
    <row r="35">
      <c r="A35" s="33" t="inlineStr">
        <is>
          <t>US-034</t>
        </is>
      </c>
      <c r="B35" s="33" t="inlineStr">
        <is>
          <t>출석관리</t>
        </is>
      </c>
      <c r="C35" s="33" t="inlineStr">
        <is>
          <t>트레이너</t>
        </is>
      </c>
      <c r="D35" s="34" t="inlineStr">
        <is>
          <t>트레이너로서 레슨 완료 후 고객 서명을 받아 수업 진위를 증명하고 싶다</t>
        </is>
      </c>
      <c r="E35" s="34" t="inlineStr">
        <is>
          <t>1) 수업 내용 기록 + 고객 터치 서명
2) 서명 완료 시 수업 확정
3) 모바일에서도 서명 가능
4) 서명 이력 조회 가능</t>
        </is>
      </c>
      <c r="F35" s="34" t="inlineStr">
        <is>
          <t>SCR-024</t>
        </is>
      </c>
      <c r="G35" s="34" t="inlineStr">
        <is>
          <t>High</t>
        </is>
      </c>
      <c r="H35" s="34" t="inlineStr">
        <is>
          <t>M</t>
        </is>
      </c>
      <c r="I35" s="34" t="n"/>
      <c r="J35" s="34" t="inlineStr">
        <is>
          <t>To Do</t>
        </is>
      </c>
      <c r="K35" s="34" t="inlineStr">
        <is>
          <t>레슨 기록/서명</t>
        </is>
      </c>
      <c r="L35" s="34" t="n">
        <v>2</v>
      </c>
      <c r="M35" s="34" t="n"/>
    </row>
    <row r="36">
      <c r="A36" s="33" t="inlineStr">
        <is>
          <t>US-035</t>
        </is>
      </c>
      <c r="B36" s="33" t="inlineStr">
        <is>
          <t>시설관리</t>
        </is>
      </c>
      <c r="C36" s="33" t="inlineStr">
        <is>
          <t>센터장</t>
        </is>
      </c>
      <c r="D36" s="34" t="inlineStr">
        <is>
          <t>센터장으로서 30개 이상의 키오스크/프로젝터를 원격으로 일괄 ON/OFF하여 오픈/마감 시간을 절약하고 싶다</t>
        </is>
      </c>
      <c r="E36" s="34" t="inlineStr">
        <is>
          <t>1) 관리 PC에서 전체/개별 전원 ON/OFF
2) 오픈/마감 스케줄 자동 제어 설정
3) 기기 상태 실시간 모니터링
4) 미응답 기기 알림</t>
        </is>
      </c>
      <c r="F36" s="34" t="inlineStr">
        <is>
          <t>SCR-055</t>
        </is>
      </c>
      <c r="G36" s="34" t="inlineStr">
        <is>
          <t>Critical</t>
        </is>
      </c>
      <c r="H36" s="34" t="inlineStr">
        <is>
          <t>L</t>
        </is>
      </c>
      <c r="I36" s="34" t="n"/>
      <c r="J36" s="34" t="inlineStr">
        <is>
          <t>To Do</t>
        </is>
      </c>
      <c r="K36" s="34" t="inlineStr">
        <is>
          <t>기기 전원 제어</t>
        </is>
      </c>
      <c r="L36" s="34" t="n">
        <v>1</v>
      </c>
      <c r="M36" s="34" t="n"/>
    </row>
    <row r="37">
      <c r="A37" s="33" t="inlineStr">
        <is>
          <t>US-036</t>
        </is>
      </c>
      <c r="B37" s="33" t="inlineStr">
        <is>
          <t>시설관리</t>
        </is>
      </c>
      <c r="C37" s="33" t="inlineStr">
        <is>
          <t>매니저</t>
        </is>
      </c>
      <c r="D37" s="34" t="inlineStr">
        <is>
          <t>매니저로서 수건/운동복 발급을 자동화하여 과다 사용을 줄이고 세탁비를 관리하고 싶다</t>
        </is>
      </c>
      <c r="E37" s="34" t="inlineStr">
        <is>
          <t>1) 회원별 1일 발급 수량 제한
2) QR/안면인식 발급 기록 자동화
3) 월간 사용량 통계 + 세탁비 추정
4) 과다 발급 알림</t>
        </is>
      </c>
      <c r="F37" s="34" t="inlineStr">
        <is>
          <t>SCR-056</t>
        </is>
      </c>
      <c r="G37" s="34" t="inlineStr">
        <is>
          <t>High</t>
        </is>
      </c>
      <c r="H37" s="34" t="inlineStr">
        <is>
          <t>M</t>
        </is>
      </c>
      <c r="I37" s="34" t="n"/>
      <c r="J37" s="34" t="inlineStr">
        <is>
          <t>To Do</t>
        </is>
      </c>
      <c r="K37" s="34" t="inlineStr">
        <is>
          <t>수건/운동복 관리</t>
        </is>
      </c>
      <c r="L37" s="34" t="n">
        <v>1</v>
      </c>
      <c r="M37" s="34" t="n"/>
    </row>
    <row r="38">
      <c r="A38" s="33" t="inlineStr">
        <is>
          <t>US-037</t>
        </is>
      </c>
      <c r="B38" s="33" t="inlineStr">
        <is>
          <t>회원관리</t>
        </is>
      </c>
      <c r="C38" s="33" t="inlineStr">
        <is>
          <t>FC</t>
        </is>
      </c>
      <c r="D38" s="34" t="inlineStr">
        <is>
          <t>FC로서 담당 회원이 센터에 방문하면 즉시 알림을 받아 재등록 상담 타이밍을 놓치지 않고 싶다</t>
        </is>
      </c>
      <c r="E38" s="34" t="inlineStr">
        <is>
          <t>1) 즐겨찾기 회원 입장 시 핸드폰 푸시 알림
2) 알림에 잔여일수/미납 여부 표시
3) 이용권 만료 임박 회원 자동 즐겨찾기
4) 방문 이력 기반 상담 포인트 제공</t>
        </is>
      </c>
      <c r="F38" s="34" t="inlineStr">
        <is>
          <t>SCR-015</t>
        </is>
      </c>
      <c r="G38" s="34" t="inlineStr">
        <is>
          <t>Critical</t>
        </is>
      </c>
      <c r="H38" s="34" t="inlineStr">
        <is>
          <t>M</t>
        </is>
      </c>
      <c r="I38" s="34" t="n"/>
      <c r="J38" s="34" t="inlineStr">
        <is>
          <t>Done</t>
        </is>
      </c>
      <c r="K38" s="34" t="inlineStr">
        <is>
          <t>FC 즐겨찾기/알림</t>
        </is>
      </c>
      <c r="L38" s="34" t="n">
        <v>1</v>
      </c>
      <c r="M38" s="34" t="n"/>
    </row>
    <row r="39">
      <c r="A39" s="33" t="inlineStr">
        <is>
          <t>US-038</t>
        </is>
      </c>
      <c r="B39" s="33" t="inlineStr">
        <is>
          <t>상품관리</t>
        </is>
      </c>
      <c r="C39" s="33" t="inlineStr">
        <is>
          <t>매니저</t>
        </is>
      </c>
      <c r="D39" s="34" t="inlineStr">
        <is>
          <t>매니저로서 상품을 한 화면에서 요일별/시간별/횟수별/기간별 세팅을 완료하고 싶다</t>
        </is>
      </c>
      <c r="E39" s="34" t="inlineStr">
        <is>
          <t>1) 팝업 없이 한 화면에서 전체 속성 설정
2) 주중권/주말권 분기 설정
3) 횟수제/기간제/혼합 선택
4) 상품 클릭 시 구매 회원 바로 확인</t>
        </is>
      </c>
      <c r="F39" s="34" t="inlineStr">
        <is>
          <t>SCR-041</t>
        </is>
      </c>
      <c r="G39" s="34" t="inlineStr">
        <is>
          <t>Critical</t>
        </is>
      </c>
      <c r="H39" s="34" t="inlineStr">
        <is>
          <t>L</t>
        </is>
      </c>
      <c r="I39" s="34" t="n"/>
      <c r="J39" s="34" t="inlineStr">
        <is>
          <t>To Do</t>
        </is>
      </c>
      <c r="K39" s="34" t="inlineStr">
        <is>
          <t>상품 등록</t>
        </is>
      </c>
      <c r="L39" s="34" t="n">
        <v>2</v>
      </c>
      <c r="M39" s="34" t="n"/>
    </row>
    <row r="40">
      <c r="A40" s="33" t="inlineStr">
        <is>
          <t>US-039</t>
        </is>
      </c>
      <c r="B40" s="33" t="inlineStr">
        <is>
          <t>설정</t>
        </is>
      </c>
      <c r="C40" s="33" t="inlineStr">
        <is>
          <t>센터장</t>
        </is>
      </c>
      <c r="D40" s="34" t="inlineStr">
        <is>
          <t>센터장으로서 키오스크 타입(결제형/비결제형)을 지점별로 설정하고 싶다</t>
        </is>
      </c>
      <c r="E40" s="34" t="inlineStr">
        <is>
          <t>1) 타입A(입퇴장 전용)/타입B(결제 포함) 선택
2) 선택에 따라 키오스크 UI 자동 분기
3) 타입B 시 1일권 현장 결제 가능</t>
        </is>
      </c>
      <c r="F40" s="34" t="inlineStr">
        <is>
          <t>SCR-095</t>
        </is>
      </c>
      <c r="G40" s="34" t="inlineStr">
        <is>
          <t>High</t>
        </is>
      </c>
      <c r="H40" s="34" t="inlineStr">
        <is>
          <t>M</t>
        </is>
      </c>
      <c r="I40" s="34" t="n"/>
      <c r="J40" s="34" t="inlineStr">
        <is>
          <t>Done</t>
        </is>
      </c>
      <c r="K40" s="34" t="inlineStr">
        <is>
          <t>키오스크 타입 설정</t>
        </is>
      </c>
      <c r="L40" s="34" t="n">
        <v>1</v>
      </c>
      <c r="M40" s="34" t="n"/>
    </row>
    <row r="41">
      <c r="A41" s="33" t="inlineStr">
        <is>
          <t>US-040</t>
        </is>
      </c>
      <c r="B41" s="33" t="inlineStr">
        <is>
          <t>설정</t>
        </is>
      </c>
      <c r="C41" s="33" t="inlineStr">
        <is>
          <t>센터장</t>
        </is>
      </c>
      <c r="D41" s="34" t="inlineStr">
        <is>
          <t>센터장으로서 네트워크 장애 시에도 출입/라커 기본 기능이 동작하여 영업 중단을 방지하고 싶다</t>
        </is>
      </c>
      <c r="E41" s="34" t="inlineStr">
        <is>
          <t>1) 네트워크 끊김 시 자동 로컬 모드 전환
2) 출입/라커/출석 오프라인 동작
3) 네트워크 복구 시 자동 동기화
4) 오프라인 상태 표시 배너</t>
        </is>
      </c>
      <c r="F41" s="34" t="inlineStr">
        <is>
          <t>SCR-096</t>
        </is>
      </c>
      <c r="G41" s="34" t="inlineStr">
        <is>
          <t>Critical</t>
        </is>
      </c>
      <c r="H41" s="34" t="inlineStr">
        <is>
          <t>XL</t>
        </is>
      </c>
      <c r="I41" s="34" t="n"/>
      <c r="J41" s="34" t="inlineStr">
        <is>
          <t>Done</t>
        </is>
      </c>
      <c r="K41" s="34" t="inlineStr">
        <is>
          <t>오프라인 모드 설정</t>
        </is>
      </c>
      <c r="L41" s="34" t="n">
        <v>1</v>
      </c>
      <c r="M41" s="34" t="n"/>
    </row>
    <row r="42">
      <c r="A42" s="33" t="inlineStr">
        <is>
          <t>US-041</t>
        </is>
      </c>
      <c r="B42" s="33" t="inlineStr">
        <is>
          <t>시설관리</t>
        </is>
      </c>
      <c r="C42" s="33" t="inlineStr">
        <is>
          <t>매니저</t>
        </is>
      </c>
      <c r="D42" s="34" t="inlineStr">
        <is>
          <t>매니저로서 라커 자동 배정 시 상단/홀수 우선 배정 규칙을 적용하여 회원 불만을 줄이고 싶다</t>
        </is>
      </c>
      <c r="E42" s="34" t="inlineStr">
        <is>
          <t>1) 상단&gt;하단, 홀수&gt;짝수 우선 배정
2) 고장/점유 라커 자동 스킵
3) 마감 시 전체 라커 일괄 해제
4) 잔류물 체크리스트 제공</t>
        </is>
      </c>
      <c r="F42" s="34" t="inlineStr">
        <is>
          <t>SCR-050</t>
        </is>
      </c>
      <c r="G42" s="34" t="inlineStr">
        <is>
          <t>High</t>
        </is>
      </c>
      <c r="H42" s="34" t="inlineStr">
        <is>
          <t>S</t>
        </is>
      </c>
      <c r="I42" s="34" t="n"/>
      <c r="J42" s="34" t="inlineStr">
        <is>
          <t>To Do</t>
        </is>
      </c>
      <c r="K42" s="34" t="inlineStr">
        <is>
          <t>락커 현황</t>
        </is>
      </c>
      <c r="L42" s="34" t="n">
        <v>3</v>
      </c>
      <c r="M42" s="34" t="n"/>
    </row>
    <row r="43">
      <c r="A43" s="33" t="inlineStr">
        <is>
          <t>US-042</t>
        </is>
      </c>
      <c r="B43" s="33" t="inlineStr">
        <is>
          <t>매출관리</t>
        </is>
      </c>
      <c r="C43" s="33" t="inlineStr">
        <is>
          <t>FC</t>
        </is>
      </c>
      <c r="D43" s="34" t="inlineStr">
        <is>
          <t>FC로서 최초 상담한 회원의 실적이 정확히 나에게 귀속되길 원한다</t>
        </is>
      </c>
      <c r="E43" s="34" t="inlineStr">
        <is>
          <t>1) 최초 상담자 자동 실적 귀속
2) 귀속 유효기간(N일) 설정
3) 계약 처리자와 실적 담당자 분리 가능
4) 상담 이력 자동 기록</t>
        </is>
      </c>
      <c r="F43" s="34" t="inlineStr">
        <is>
          <t>SCR-030</t>
        </is>
      </c>
      <c r="G43" s="34" t="inlineStr">
        <is>
          <t>High</t>
        </is>
      </c>
      <c r="H43" s="34" t="inlineStr">
        <is>
          <t>M</t>
        </is>
      </c>
      <c r="I43" s="34" t="n"/>
      <c r="J43" s="34" t="inlineStr">
        <is>
          <t>To Do</t>
        </is>
      </c>
      <c r="K43" s="34" t="inlineStr">
        <is>
          <t>매출 조회</t>
        </is>
      </c>
      <c r="L43" s="34" t="n">
        <v>3</v>
      </c>
      <c r="M43" s="34" t="n"/>
    </row>
    <row r="44">
      <c r="A44" s="33" t="inlineStr">
        <is>
          <t>US-043</t>
        </is>
      </c>
      <c r="B44" s="33" t="inlineStr">
        <is>
          <t>매출관리</t>
        </is>
      </c>
      <c r="C44" s="33" t="inlineStr">
        <is>
          <t>매니저</t>
        </is>
      </c>
      <c r="D44" s="34" t="inlineStr">
        <is>
          <t>매니저로서 전체 데이터를 엑셀 원장으로 내보내어 자유롭게 가공하고 싶다</t>
        </is>
      </c>
      <c r="E44" s="34" t="inlineStr">
        <is>
          <t>1) 회원/매출/출석/레슨 등 전체 원장 내보내기
2) 모든 필드 포함(raw 데이터)
3) 권한별 열람 가능 컬럼 자동 필터
4) CSV/XLSX 포맷 선택</t>
        </is>
      </c>
      <c r="F44" s="34" t="inlineStr">
        <is>
          <t>SCR-033</t>
        </is>
      </c>
      <c r="G44" s="34" t="inlineStr">
        <is>
          <t>High</t>
        </is>
      </c>
      <c r="H44" s="34" t="inlineStr">
        <is>
          <t>M</t>
        </is>
      </c>
      <c r="I44" s="34" t="n"/>
      <c r="J44" s="34" t="inlineStr">
        <is>
          <t>Done</t>
        </is>
      </c>
      <c r="K44" s="34" t="inlineStr">
        <is>
          <t>데이터 통합 내보내기</t>
        </is>
      </c>
      <c r="L44" s="34" t="n">
        <v>1</v>
      </c>
      <c r="M44" s="34" t="n"/>
    </row>
    <row r="45">
      <c r="A45" s="33" t="inlineStr">
        <is>
          <t>US-044</t>
        </is>
      </c>
      <c r="B45" s="33" t="inlineStr">
        <is>
          <t>시설관리</t>
        </is>
      </c>
      <c r="C45" s="33" t="inlineStr">
        <is>
          <t>매니저</t>
        </is>
      </c>
      <c r="D45" s="34" t="inlineStr">
        <is>
          <t>매니저로서 골프 타석 예약 현황과 대기열을 실시간으로 관리하고 싶다</t>
        </is>
      </c>
      <c r="E45" s="34" t="inlineStr">
        <is>
          <t>1) 타석별 이용자/잔여시간 실시간 표시(시:분 형식)
2) 꼬리물기 방식 예약
3) 모바일 원격 예약 지원
4) 15분 이내 미입장 시 노쇼 처리</t>
        </is>
      </c>
      <c r="F45" s="34" t="inlineStr">
        <is>
          <t>SCR-054</t>
        </is>
      </c>
      <c r="G45" s="34" t="inlineStr">
        <is>
          <t>High</t>
        </is>
      </c>
      <c r="H45" s="34" t="inlineStr">
        <is>
          <t>L</t>
        </is>
      </c>
      <c r="I45" s="34" t="n"/>
      <c r="J45" s="34" t="inlineStr">
        <is>
          <t>To Do</t>
        </is>
      </c>
      <c r="K45" s="34" t="inlineStr">
        <is>
          <t>골프 타석 관리</t>
        </is>
      </c>
      <c r="L45" s="34" t="n">
        <v>2</v>
      </c>
      <c r="M45" s="34" t="n"/>
    </row>
    <row r="46">
      <c r="A46" s="33" t="inlineStr">
        <is>
          <t>US-045</t>
        </is>
      </c>
      <c r="B46" s="33" t="inlineStr">
        <is>
          <t>상품관리</t>
        </is>
      </c>
      <c r="C46" s="33" t="inlineStr">
        <is>
          <t>센터장</t>
        </is>
      </c>
      <c r="D46" s="34" t="inlineStr">
        <is>
          <t>센터장으로서 프로모션 할인율을 사전 설정하여 FC 수동 입력 오류를 방지하고 싶다</t>
        </is>
      </c>
      <c r="E46" s="34" t="inlineStr">
        <is>
          <t>1) 프로모션 기간/대상/할인율 사전 설정
2) 계약 시 자동 적용
3) FC 재량 할인 한도 설정
4) 할인 50% 초과 시 승인 필요</t>
        </is>
      </c>
      <c r="F46" s="34" t="inlineStr">
        <is>
          <t>SCR-041</t>
        </is>
      </c>
      <c r="G46" s="34" t="inlineStr">
        <is>
          <t>High</t>
        </is>
      </c>
      <c r="H46" s="34" t="inlineStr">
        <is>
          <t>M</t>
        </is>
      </c>
      <c r="I46" s="34" t="n"/>
      <c r="J46" s="34" t="inlineStr">
        <is>
          <t>To Do</t>
        </is>
      </c>
      <c r="K46" s="34" t="inlineStr">
        <is>
          <t>상품 등록</t>
        </is>
      </c>
      <c r="L46" s="34" t="n">
        <v>2</v>
      </c>
      <c r="M46" s="34" t="n"/>
    </row>
    <row r="47">
      <c r="A47" s="33" t="inlineStr">
        <is>
          <t>US-046</t>
        </is>
      </c>
      <c r="B47" s="33" t="inlineStr">
        <is>
          <t>키오스크</t>
        </is>
      </c>
      <c r="C47" s="33" t="inlineStr">
        <is>
          <t>회원</t>
        </is>
      </c>
      <c r="D47" s="34" t="inlineStr">
        <is>
          <t>회원으로서 얼굴인식으로 빠르게 입장하고 라커 번호를 자동으로 배정받고 싶다</t>
        </is>
      </c>
      <c r="E47" s="34" t="inlineStr">
        <is>
          <t>1) 얼굴인식 → 즉시 입장
2) 라커 자동 배정 + 번호 표시
3) 영수증으로 라커 번호 출력(선택)</t>
        </is>
      </c>
      <c r="F47" s="34" t="inlineStr">
        <is>
          <t>SCR-K01, SCR-K04</t>
        </is>
      </c>
      <c r="G47" s="34" t="inlineStr">
        <is>
          <t>Critical</t>
        </is>
      </c>
      <c r="H47" s="34" t="inlineStr">
        <is>
          <t>L</t>
        </is>
      </c>
      <c r="I47" s="34" t="n"/>
      <c r="J47" s="34" t="inlineStr">
        <is>
          <t>To Do</t>
        </is>
      </c>
      <c r="K47" s="34" t="inlineStr">
        <is>
          <t>키오스크 입장, 키오스크 사물함 확인</t>
        </is>
      </c>
      <c r="L47" s="34" t="n">
        <v>2</v>
      </c>
      <c r="M47" s="34" t="n"/>
    </row>
    <row r="48">
      <c r="A48" s="33" t="inlineStr">
        <is>
          <t>US-047</t>
        </is>
      </c>
      <c r="B48" s="33" t="inlineStr">
        <is>
          <t>키오스크</t>
        </is>
      </c>
      <c r="C48" s="33" t="inlineStr">
        <is>
          <t>비회원</t>
        </is>
      </c>
      <c r="D48" s="34" t="inlineStr">
        <is>
          <t>비회원으로서 키오스크에서 1일권을 결제하고 바로 입장하고 싶다</t>
        </is>
      </c>
      <c r="E48" s="34" t="inlineStr">
        <is>
          <t>1) 전화번호 입력 → 상품 선택 → 카드 결제
2) 결제 완료 → 라커 배정 → 입장
3) 당일 자동 만료</t>
        </is>
      </c>
      <c r="F48" s="34" t="inlineStr">
        <is>
          <t>SCR-K05</t>
        </is>
      </c>
      <c r="G48" s="34" t="inlineStr">
        <is>
          <t>High</t>
        </is>
      </c>
      <c r="H48" s="34" t="inlineStr">
        <is>
          <t>M</t>
        </is>
      </c>
      <c r="I48" s="34" t="n"/>
      <c r="J48" s="34" t="inlineStr">
        <is>
          <t>To Do</t>
        </is>
      </c>
      <c r="K48" s="34" t="inlineStr">
        <is>
          <t>키오스크 1일권 결제</t>
        </is>
      </c>
      <c r="L48" s="34" t="n">
        <v>1</v>
      </c>
      <c r="M48" s="34" t="n"/>
    </row>
    <row r="49">
      <c r="A49" s="33" t="inlineStr">
        <is>
          <t>US-048</t>
        </is>
      </c>
      <c r="B49" s="33" t="inlineStr">
        <is>
          <t>키오스크</t>
        </is>
      </c>
      <c r="C49" s="33" t="inlineStr">
        <is>
          <t>회원</t>
        </is>
      </c>
      <c r="D49" s="34" t="inlineStr">
        <is>
          <t>회원으로서 키오스크에서 골프 타석 대기시간을 시:분 형식으로 확인하고 싶다</t>
        </is>
      </c>
      <c r="E49" s="34" t="inlineStr">
        <is>
          <t>1) 타석별 잔여시간 '시간:분' 형식 표시
2) 꼬리물기 예약 가능
3) 15분 미입장 시 노쇼 안내</t>
        </is>
      </c>
      <c r="F49" s="34" t="inlineStr">
        <is>
          <t>SCR-K03, SCR-K07</t>
        </is>
      </c>
      <c r="G49" s="34" t="inlineStr">
        <is>
          <t>High</t>
        </is>
      </c>
      <c r="H49" s="34" t="inlineStr">
        <is>
          <t>S</t>
        </is>
      </c>
      <c r="I49" s="34" t="n"/>
      <c r="J49" s="34" t="inlineStr">
        <is>
          <t>To Do</t>
        </is>
      </c>
      <c r="K49" s="34" t="inlineStr">
        <is>
          <t>키오스크 골프 타석 예약, 키오스크 골프 타석 입장</t>
        </is>
      </c>
      <c r="L49" s="34" t="n">
        <v>2</v>
      </c>
      <c r="M49" s="34" t="n"/>
    </row>
    <row r="50">
      <c r="A50" s="33" t="inlineStr">
        <is>
          <t>US-049</t>
        </is>
      </c>
      <c r="B50" s="33" t="inlineStr">
        <is>
          <t>회원앱</t>
        </is>
      </c>
      <c r="C50" s="33" t="inlineStr">
        <is>
          <t>회원</t>
        </is>
      </c>
      <c r="D50" s="34" t="inlineStr">
        <is>
          <t>회원으로서 앱에서 QR코드로 센터에 입장하고 라커 번호를 확인하고 싶다</t>
        </is>
      </c>
      <c r="E50" s="34" t="inlineStr">
        <is>
          <t>1) 앱에서 QR 표시 → 리더기 스캔 → 입장
2) 입장 후 배정된 라커 번호 앱에 표시
3) QR 30초마다 자동 갱신</t>
        </is>
      </c>
      <c r="F50" s="34" t="inlineStr">
        <is>
          <t>SCR-M02</t>
        </is>
      </c>
      <c r="G50" s="34" t="inlineStr">
        <is>
          <t>Critical</t>
        </is>
      </c>
      <c r="H50" s="34" t="inlineStr">
        <is>
          <t>M</t>
        </is>
      </c>
      <c r="I50" s="34" t="n"/>
      <c r="J50" s="34" t="inlineStr">
        <is>
          <t>To Do</t>
        </is>
      </c>
      <c r="K50" s="34" t="inlineStr">
        <is>
          <t>앱 QR 입장</t>
        </is>
      </c>
      <c r="L50" s="34" t="n">
        <v>1</v>
      </c>
      <c r="M50" s="34" t="n"/>
    </row>
    <row r="51">
      <c r="A51" s="33" t="inlineStr">
        <is>
          <t>US-050</t>
        </is>
      </c>
      <c r="B51" s="33" t="inlineStr">
        <is>
          <t>회원앱</t>
        </is>
      </c>
      <c r="C51" s="33" t="inlineStr">
        <is>
          <t>회원</t>
        </is>
      </c>
      <c r="D51" s="34" t="inlineStr">
        <is>
          <t>회원으로서 앱에서 GX 예약 오픈 알림을 받고 바로 스피닝 좌석을 선택하고 싶다</t>
        </is>
      </c>
      <c r="E51" s="34" t="inlineStr">
        <is>
          <t>1) GX 오픈 시 푸시 알림
2) 앱에서 바이크 배치도 보고 좌석 선택
3) 정원 초과 시 대기 등록 + 빈자리 알림</t>
        </is>
      </c>
      <c r="F51" s="34" t="inlineStr">
        <is>
          <t>SCR-M03</t>
        </is>
      </c>
      <c r="G51" s="34" t="inlineStr">
        <is>
          <t>Critical</t>
        </is>
      </c>
      <c r="H51" s="34" t="inlineStr">
        <is>
          <t>L</t>
        </is>
      </c>
      <c r="I51" s="34" t="n"/>
      <c r="J51" s="34" t="inlineStr">
        <is>
          <t>To Do</t>
        </is>
      </c>
      <c r="K51" s="34" t="inlineStr">
        <is>
          <t>앱 GX 예약</t>
        </is>
      </c>
      <c r="L51" s="34" t="n">
        <v>1</v>
      </c>
      <c r="M51" s="34" t="n"/>
    </row>
    <row r="52">
      <c r="A52" s="33" t="inlineStr">
        <is>
          <t>US-051</t>
        </is>
      </c>
      <c r="B52" s="33" t="inlineStr">
        <is>
          <t>회원앱</t>
        </is>
      </c>
      <c r="C52" s="33" t="inlineStr">
        <is>
          <t>회원</t>
        </is>
      </c>
      <c r="D52" s="34" t="inlineStr">
        <is>
          <t>회원으로서 앱에서 골프 타석 대기열에 원격 등록하고 순번 알림을 받고 싶다</t>
        </is>
      </c>
      <c r="E52" s="34" t="inlineStr">
        <is>
          <t>1) 앱에서 타석 현황 확인 → 대기 등록
2) 순번 도달 시 푸시 알림
3) 15분 이내 입장 필수</t>
        </is>
      </c>
      <c r="F52" s="34" t="inlineStr">
        <is>
          <t>SCR-M04</t>
        </is>
      </c>
      <c r="G52" s="34" t="inlineStr">
        <is>
          <t>High</t>
        </is>
      </c>
      <c r="H52" s="34" t="inlineStr">
        <is>
          <t>M</t>
        </is>
      </c>
      <c r="I52" s="34" t="n"/>
      <c r="J52" s="34" t="inlineStr">
        <is>
          <t>To Do</t>
        </is>
      </c>
      <c r="K52" s="34" t="inlineStr">
        <is>
          <t>앱 골프 타석 예약</t>
        </is>
      </c>
      <c r="L52" s="34" t="n">
        <v>1</v>
      </c>
      <c r="M52" s="34" t="n"/>
    </row>
    <row r="53">
      <c r="A53" s="33" t="inlineStr">
        <is>
          <t>US-052</t>
        </is>
      </c>
      <c r="B53" s="33" t="inlineStr">
        <is>
          <t>회원앱</t>
        </is>
      </c>
      <c r="C53" s="33" t="inlineStr">
        <is>
          <t>회원</t>
        </is>
      </c>
      <c r="D53" s="34" t="inlineStr">
        <is>
          <t>회원으로서 PT 수업 후 앱에서 서명하여 레슨 기록을 확인하고 싶다</t>
        </is>
      </c>
      <c r="E53" s="34" t="inlineStr">
        <is>
          <t>1) 트레이너 서명 요청 → 앱 팝업
2) 터치 서명으로 수업 확인
3) 레슨 기록/잔여 횟수 열람</t>
        </is>
      </c>
      <c r="F53" s="34" t="inlineStr">
        <is>
          <t>SCR-M05</t>
        </is>
      </c>
      <c r="G53" s="34" t="inlineStr">
        <is>
          <t>High</t>
        </is>
      </c>
      <c r="H53" s="34" t="inlineStr">
        <is>
          <t>M</t>
        </is>
      </c>
      <c r="I53" s="34" t="n"/>
      <c r="J53" s="34" t="inlineStr">
        <is>
          <t>To Do</t>
        </is>
      </c>
      <c r="K53" s="34" t="inlineStr">
        <is>
          <t>앱 레슨 예약/서명</t>
        </is>
      </c>
      <c r="L53" s="34" t="n">
        <v>1</v>
      </c>
      <c r="M53" s="34" t="n"/>
    </row>
    <row r="54">
      <c r="A54" s="33" t="inlineStr">
        <is>
          <t>US-053</t>
        </is>
      </c>
      <c r="B54" s="33" t="inlineStr">
        <is>
          <t>트레이너앱</t>
        </is>
      </c>
      <c r="C54" s="33" t="inlineStr">
        <is>
          <t>트레이너</t>
        </is>
      </c>
      <c r="D54" s="34" t="inlineStr">
        <is>
          <t>트레이너로서 앱에서 오늘 수업 목록을 확인하고 레슨 기록을 바로 작성하고 싶다</t>
        </is>
      </c>
      <c r="E54" s="34" t="inlineStr">
        <is>
          <t>1) 오늘 수업 타임라인 표시
2) 수업 탭 → 레슨 기록 바로 작성
3) 고객 서명 요청 원터치
4) 미완료 기록 배지 알림</t>
        </is>
      </c>
      <c r="F54" s="34" t="inlineStr">
        <is>
          <t>SCR-T01, SCR-T03</t>
        </is>
      </c>
      <c r="G54" s="34" t="inlineStr">
        <is>
          <t>High</t>
        </is>
      </c>
      <c r="H54" s="34" t="inlineStr">
        <is>
          <t>L</t>
        </is>
      </c>
      <c r="I54" s="34" t="n"/>
      <c r="J54" s="34" t="inlineStr">
        <is>
          <t>To Do</t>
        </is>
      </c>
      <c r="K54" s="34" t="inlineStr">
        <is>
          <t>트레이너 앱 홈, 트레이너 레슨 기록</t>
        </is>
      </c>
      <c r="L54" s="34" t="n">
        <v>2</v>
      </c>
      <c r="M54" s="34" t="n"/>
    </row>
    <row r="55">
      <c r="A55" s="33" t="inlineStr">
        <is>
          <t>US-054</t>
        </is>
      </c>
      <c r="B55" s="33" t="inlineStr">
        <is>
          <t>트레이너앱</t>
        </is>
      </c>
      <c r="C55" s="33" t="inlineStr">
        <is>
          <t>트레이너</t>
        </is>
      </c>
      <c r="D55" s="34" t="inlineStr">
        <is>
          <t>트레이너로서 앱에서 빈 시간대를 관리하고 예약 요청을 승인/거절하고 싶다</t>
        </is>
      </c>
      <c r="E55" s="34" t="inlineStr">
        <is>
          <t>1) 주간/월간 캘린더에서 빈 시간 설정
2) 회원 예약 요청 → 승인/거절
3) 시간 변경 시 회원 자동 알림</t>
        </is>
      </c>
      <c r="F55" s="34" t="inlineStr">
        <is>
          <t>SCR-T02</t>
        </is>
      </c>
      <c r="G55" s="34" t="inlineStr">
        <is>
          <t>High</t>
        </is>
      </c>
      <c r="H55" s="34" t="inlineStr">
        <is>
          <t>M</t>
        </is>
      </c>
      <c r="I55" s="34" t="n"/>
      <c r="J55" s="34" t="inlineStr">
        <is>
          <t>To Do</t>
        </is>
      </c>
      <c r="K55" s="34" t="inlineStr">
        <is>
          <t>트레이너 스케줄</t>
        </is>
      </c>
      <c r="L55" s="34" t="n">
        <v>1</v>
      </c>
      <c r="M55" s="34" t="n"/>
    </row>
    <row r="56">
      <c r="A56" s="33" t="inlineStr">
        <is>
          <t>US-055</t>
        </is>
      </c>
      <c r="B56" s="33" t="inlineStr">
        <is>
          <t>FC앱</t>
        </is>
      </c>
      <c r="C56" s="33" t="inlineStr">
        <is>
          <t>FC</t>
        </is>
      </c>
      <c r="D56" s="34" t="inlineStr">
        <is>
          <t>FC로서 앱에서 즐겨찾기 회원 방문 알림을 실시간으로 받고 재등록 상담을 준비하고 싶다</t>
        </is>
      </c>
      <c r="E56" s="34" t="inlineStr">
        <is>
          <t>1) 즐겨찾기 회원 입장 시 30초 내 푸시 알림
2) 알림에 잔여일/미납 요약 표시
3) 임박 회원 자동 하이라이트
4) 상담 메모 바로 작성</t>
        </is>
      </c>
      <c r="F56" s="34" t="inlineStr">
        <is>
          <t>SCR-F01, SCR-F02</t>
        </is>
      </c>
      <c r="G56" s="34" t="inlineStr">
        <is>
          <t>Critical</t>
        </is>
      </c>
      <c r="H56" s="34" t="inlineStr">
        <is>
          <t>L</t>
        </is>
      </c>
      <c r="I56" s="34" t="n"/>
      <c r="J56" s="34" t="inlineStr">
        <is>
          <t>To Do</t>
        </is>
      </c>
      <c r="K56" s="34" t="inlineStr">
        <is>
          <t>FC 앱 홈, FC 즐겨찾기 알림</t>
        </is>
      </c>
      <c r="L56" s="34" t="n">
        <v>2</v>
      </c>
      <c r="M56" s="34" t="n"/>
    </row>
    <row r="57">
      <c r="A57" s="33" t="inlineStr">
        <is>
          <t>US-056</t>
        </is>
      </c>
      <c r="B57" s="33" t="inlineStr">
        <is>
          <t>FC앱</t>
        </is>
      </c>
      <c r="C57" s="33" t="inlineStr">
        <is>
          <t>FC</t>
        </is>
      </c>
      <c r="D57" s="34" t="inlineStr">
        <is>
          <t>FC로서 앱에서 상담 이력을 기록하고 실적 귀속 잔여일을 확인하고 싶다</t>
        </is>
      </c>
      <c r="E57" s="34" t="inlineStr">
        <is>
          <t>1) 상담 내용/결과 기록
2) 실적 귀속 잔여일 표시(D-N)
3) 상담 → 계약 전환율 확인
4) 타 FC 상담 이력 참조</t>
        </is>
      </c>
      <c r="F57" s="34" t="inlineStr">
        <is>
          <t>SCR-F03</t>
        </is>
      </c>
      <c r="G57" s="34" t="inlineStr">
        <is>
          <t>High</t>
        </is>
      </c>
      <c r="H57" s="34" t="inlineStr">
        <is>
          <t>M</t>
        </is>
      </c>
      <c r="I57" s="34" t="n"/>
      <c r="J57" s="34" t="inlineStr">
        <is>
          <t>To Do</t>
        </is>
      </c>
      <c r="K57" s="34" t="inlineStr">
        <is>
          <t>FC 회원 상담 기록</t>
        </is>
      </c>
      <c r="L57" s="34" t="n">
        <v>1</v>
      </c>
      <c r="M57" s="34" t="n"/>
    </row>
  </sheetData>
  <autoFilter ref="A1:M1"/>
  <dataValidations count="5">
    <dataValidation sqref="F2:F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G2:G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"XS,S,M,L,XL"</formula1>
    </dataValidation>
    <dataValidation sqref="I2:I200" showDropDown="0" showInputMessage="0" showErrorMessage="0" allowBlank="1" type="list">
      <formula1>"기획자1,기획자2,디자이너1,개발자1,개발자2,QA담당자1,QA담당자2"</formula1>
    </dataValidation>
    <dataValidation sqref="J2:J200" showDropDown="0" showInputMessage="0" showErrorMessage="0" allowBlank="1" type="list">
      <formula1>"Backlog,To Do,In Progress,In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30" customWidth="1" min="5" max="5"/>
    <col width="35" customWidth="1" min="6" max="6"/>
    <col width="30" customWidth="1" min="7" max="7"/>
    <col width="25" customWidth="1" min="8" max="8"/>
    <col width="20" customWidth="1" min="9" max="9"/>
    <col width="20" customWidth="1" min="10" max="10"/>
    <col width="20" customWidth="1" min="11" max="11"/>
    <col width="25" customWidth="1" min="12" max="12"/>
    <col width="20" customWidth="1" min="13" max="13"/>
    <col width="18" customWidth="1" min="14" max="14"/>
    <col width="14" customWidth="1" min="15" max="15"/>
    <col width="20" customWidth="1" min="16" max="16"/>
    <col width="10" customWidth="1" min="17" max="17"/>
    <col width="12" customWidth="1" min="18" max="18"/>
    <col width="14" customWidth="1" min="19" max="19"/>
    <col width="14" customWidth="1" min="20" max="20"/>
    <col width="14" customWidth="1" min="21" max="21"/>
    <col width="20" customWidth="1" min="22" max="22"/>
    <col width="14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</cols>
  <sheetData>
    <row r="1">
      <c r="A1" s="1" t="inlineStr">
        <is>
          <t>화면 ID</t>
        </is>
      </c>
      <c r="B1" s="1" t="inlineStr">
        <is>
          <t>화면명</t>
        </is>
      </c>
      <c r="C1" s="1" t="inlineStr">
        <is>
          <t>플랫폼</t>
        </is>
      </c>
      <c r="D1" s="1" t="inlineStr">
        <is>
          <t>화면 경로</t>
        </is>
      </c>
      <c r="E1" s="1" t="inlineStr">
        <is>
          <t>화면 설명</t>
        </is>
      </c>
      <c r="F1" s="1" t="inlineStr">
        <is>
          <t>[자동] UI 요소 목록</t>
        </is>
      </c>
      <c r="G1" s="1" t="inlineStr">
        <is>
          <t>인터랙션 정의</t>
        </is>
      </c>
      <c r="H1" s="1" t="inlineStr">
        <is>
          <t>Web 특이사항</t>
        </is>
      </c>
      <c r="I1" s="1" t="inlineStr">
        <is>
          <t>App 특이사항</t>
        </is>
      </c>
      <c r="J1" s="1" t="inlineStr">
        <is>
          <t>진입 경로</t>
        </is>
      </c>
      <c r="K1" s="1" t="inlineStr">
        <is>
          <t>이동 가능 화면</t>
        </is>
      </c>
      <c r="L1" s="1" t="inlineStr">
        <is>
          <t>에러 화면 정의</t>
        </is>
      </c>
      <c r="M1" s="1" t="inlineStr">
        <is>
          <t>접근성 체크</t>
        </is>
      </c>
      <c r="N1" s="1" t="inlineStr">
        <is>
          <t>반응형 체크 (Web)</t>
        </is>
      </c>
      <c r="O1" s="1" t="inlineStr">
        <is>
          <t>가로/세로 모드 (App)</t>
        </is>
      </c>
      <c r="P1" s="1" t="inlineStr">
        <is>
          <t>디자인 시안 링크</t>
        </is>
      </c>
      <c r="Q1" s="1" t="inlineStr">
        <is>
          <t>상태</t>
        </is>
      </c>
      <c r="R1" s="1" t="inlineStr">
        <is>
          <t>담당자</t>
        </is>
      </c>
      <c r="S1" s="1" t="inlineStr">
        <is>
          <t>[자동] 관련 기능 수</t>
        </is>
      </c>
      <c r="T1" s="1" t="inlineStr">
        <is>
          <t>[자동] 관련 TC 수</t>
        </is>
      </c>
      <c r="U1" s="1" t="inlineStr">
        <is>
          <t>[자동] 관련 API 수</t>
        </is>
      </c>
      <c r="V1" s="1" t="inlineStr">
        <is>
          <t>비고</t>
        </is>
      </c>
      <c r="W1" s="1" t="inlineStr">
        <is>
          <t>[자동] UI 요소 수</t>
        </is>
      </c>
      <c r="X1" s="27" t="inlineStr">
        <is>
          <t>레이아웃 구조</t>
        </is>
      </c>
      <c r="Y1" s="27" t="inlineStr">
        <is>
          <t>섹션 순서</t>
        </is>
      </c>
      <c r="Z1" s="27" t="inlineStr">
        <is>
          <t>화면 유형</t>
        </is>
      </c>
      <c r="AA1" s="27" t="inlineStr">
        <is>
          <t>진입 트리거</t>
        </is>
      </c>
      <c r="AB1" s="27" t="inlineStr">
        <is>
          <t>Loading 상태</t>
        </is>
      </c>
      <c r="AC1" s="27" t="inlineStr">
        <is>
          <t>Empty 상태</t>
        </is>
      </c>
      <c r="AD1" s="27" t="inlineStr">
        <is>
          <t>반응형 상세</t>
        </is>
      </c>
      <c r="AE1" s="27" t="inlineStr">
        <is>
          <t>고정 요소</t>
        </is>
      </c>
    </row>
    <row r="2">
      <c r="A2" s="33" t="inlineStr">
        <is>
          <t>SCR-001</t>
        </is>
      </c>
      <c r="B2" s="33" t="inlineStr">
        <is>
          <t>로그인</t>
        </is>
      </c>
      <c r="C2" s="33" t="inlineStr">
        <is>
          <t>Web</t>
        </is>
      </c>
      <c r="D2" s="34" t="inlineStr">
        <is>
          <t>/login</t>
        </is>
      </c>
      <c r="E2" s="34" t="inlineStr">
        <is>
          <t>이메일/비밀번호 기반 로그인 화면. 지점 선택 드롭다운 포함</t>
        </is>
      </c>
      <c r="F2" s="34" t="inlineStr">
        <is>
          <t>UI-001, UI-002, UI-003, UI-004, UI-005</t>
        </is>
      </c>
      <c r="G2" s="34" t="inlineStr">
        <is>
          <t>비밀번호 마스킹 토글, Enter키 로그인, 지점 선택 시 로고 변경</t>
        </is>
      </c>
      <c r="H2" s="34" t="inlineStr">
        <is>
          <t>JWT 토큰 기반 세션 관리</t>
        </is>
      </c>
      <c r="I2" s="34" t="n"/>
      <c r="J2" s="34" t="inlineStr">
        <is>
          <t>URL 직접 접근, 세션 만료 시 리다이렉트</t>
        </is>
      </c>
      <c r="K2" s="34" t="inlineStr">
        <is>
          <t>SCR-002 (대시보드)</t>
        </is>
      </c>
      <c r="L2" s="34" t="inlineStr">
        <is>
          <t>이메일 미입력: '이메일을 입력하세요'
비밀번호 오류: '비밀번호가 올바르지 않습니다'
계정 잠금: '5회 실패로 잠금됨'</t>
        </is>
      </c>
      <c r="M2" s="34" t="inlineStr">
        <is>
          <t>Tab 이동 순서, aria-label</t>
        </is>
      </c>
      <c r="N2" s="34" t="inlineStr">
        <is>
          <t>1024px 이상 중앙 정렬</t>
        </is>
      </c>
      <c r="O2" s="34" t="n"/>
      <c r="P2" s="34" t="n"/>
      <c r="Q2" s="34" t="inlineStr">
        <is>
          <t>확정</t>
        </is>
      </c>
      <c r="R2" s="34" t="inlineStr">
        <is>
          <t>개발팀</t>
        </is>
      </c>
      <c r="S2" s="34" t="n">
        <v>1</v>
      </c>
      <c r="T2" s="34" t="n">
        <v>6</v>
      </c>
      <c r="U2" s="34" t="n">
        <v>1</v>
      </c>
      <c r="V2" s="34" t="inlineStr">
        <is>
          <t>비밀번호 변경 모달 AppHeader에 구현. 로그인 유지 체크박스 추가 (2026-03-13)</t>
        </is>
      </c>
      <c r="W2" s="34" t="n">
        <v>5</v>
      </c>
      <c r="X2" s="34" t="inlineStr">
        <is>
          <t>[배경] min-h-screen 중앙정렬 그라데이션
[메인카드] max-w-[400px] 흰색 박스 중앙
  - 로고 영역 (S배지 + 텍스트)
  - 지점선택 드롭다운 (MapPin 아이콘)
  - 아이디 입력 (User 아이콘)
  - 비밀번호 입력 (Lock 아이콘) + Eye토글
  - 로그인유지 체크 + 비밀번호찾기 링크
  - 에러메시지 (조건부, 빨간배경)
  - 로그인 버튼
[푸터] 절대위치 하단</t>
        </is>
      </c>
      <c r="Y2" s="34" t="inlineStr">
        <is>
          <t>1:로고 → 2:지점선택 → 3:아이디 → 4:비밀번호 → 5:옵션(유지+찾기) → 6:에러메시지 → 7:로그인버튼</t>
        </is>
      </c>
      <c r="Z2" s="34" t="inlineStr">
        <is>
          <t>page (전체화면, 사이드바 없음)</t>
        </is>
      </c>
      <c r="AA2" s="34" t="inlineStr">
        <is>
          <t>URL 직접접근 / 세션만료 시 리다이렉트 / 로그아웃 후</t>
        </is>
      </c>
      <c r="AB2" s="34" t="inlineStr">
        <is>
          <t>지점목록: Loader2 스핀 아이콘
로그인 버튼: Loader2 스핀 + '로그인 중...' 텍스트
지점 로딩 중 드롭다운 비활성</t>
        </is>
      </c>
      <c r="AC2" s="34" t="inlineStr">
        <is>
          <t>지점 목록 없음: 드롭다운 '지점 없음' 표시
에러: 빨간 배경 박스에 에러 메시지</t>
        </is>
      </c>
      <c r="AD2" s="34" t="inlineStr">
        <is>
          <t>≥1024px: 중앙정렬 카드
&lt;1024px: 카드 max-w-[400px] 유지, padding 축소
모바일: gap-sm, p-md</t>
        </is>
      </c>
      <c r="AE2" s="34" t="inlineStr">
        <is>
          <t>없음 (단일 스크롤 없는 화면)</t>
        </is>
      </c>
    </row>
    <row r="3">
      <c r="A3" s="33" t="inlineStr">
        <is>
          <t>SCR-002</t>
        </is>
      </c>
      <c r="B3" s="33" t="inlineStr">
        <is>
          <t>대시보드</t>
        </is>
      </c>
      <c r="C3" s="33" t="inlineStr">
        <is>
          <t>Web</t>
        </is>
      </c>
      <c r="D3" s="34" t="inlineStr">
        <is>
          <t>/</t>
        </is>
      </c>
      <c r="E3" s="34" t="inlineStr">
        <is>
          <t>지점별 핵심 KPI 대시보드. 회원/매출/출석 통계 카드 + 알림 리스트</t>
        </is>
      </c>
      <c r="F3" s="34" t="inlineStr">
        <is>
          <t>UI-006, UI-007, UI-008, UI-009, UI-010, UI-011, UI-012, UI-013</t>
        </is>
      </c>
      <c r="G3" s="34" t="inlineStr">
        <is>
          <t>통계 카드 클릭 시 상세 이동, 차트 호버 툴팁, 기간 필터</t>
        </is>
      </c>
      <c r="H3" s="34" t="inlineStr">
        <is>
          <t>반응형 그리드 (2열→1열)</t>
        </is>
      </c>
      <c r="I3" s="34" t="n"/>
      <c r="J3" s="34" t="inlineStr">
        <is>
          <t>SCR-001 (로그인 후)</t>
        </is>
      </c>
      <c r="K3" s="34" t="inlineStr">
        <is>
          <t>SCR-010, SCR-030, SCR-020</t>
        </is>
      </c>
      <c r="L3" s="34" t="inlineStr">
        <is>
          <t>데이터 로딩 실패: '데이터를 불러올 수 없습니다' + 재시도 버튼</t>
        </is>
      </c>
      <c r="M3" s="34" t="inlineStr">
        <is>
          <t>차트 alt-text</t>
        </is>
      </c>
      <c r="N3" s="34" t="inlineStr">
        <is>
          <t>1280px 이상 4열 카드</t>
        </is>
      </c>
      <c r="O3" s="34" t="n"/>
      <c r="P3" s="34" t="n"/>
      <c r="Q3" s="34" t="inlineStr">
        <is>
          <t>확정</t>
        </is>
      </c>
      <c r="R3" s="34" t="inlineStr">
        <is>
          <t>개발팀</t>
        </is>
      </c>
      <c r="S3" s="34" t="n">
        <v>1</v>
      </c>
      <c r="T3" s="34" t="n">
        <v>3</v>
      </c>
      <c r="U3" s="34" t="n">
        <v>5</v>
      </c>
      <c r="V3" s="34" t="inlineStr">
        <is>
          <t>Supabase 실데이터 차트 연동. 통계 카드 클릭→상세 이동 (2026-03-13)</t>
        </is>
      </c>
      <c r="W3" s="34" t="n">
        <v>8</v>
      </c>
      <c r="X3" s="34" t="inlineStr">
        <is>
          <t>[공지배너] 닫기 가능, 아이콘+텍스트+버튼 (조건부)
[헤더] 제목/설명 + 새로고침 + 회원등록 버튼
[섹션1: 통계카드] 6개 StatCard 그리드
[섹션2: 운영현황] 기간필터(오늘/이번주/이번달/분기) + 3개 차트(회원분포 원형/주간출석 라인/매출추이 막대)
[섹션3: 리스트] 4개 DataTable 카드 (생일자/미수금/홀딩/만료임박) 2x2 그리드
[섹션4: 프로모션] 2개 배너 카드</t>
        </is>
      </c>
      <c r="Y3" s="34" t="inlineStr">
        <is>
          <t>1:공지배너 → 2:헤더 → 3:통계카드6개 → 4:운영현황차트3개 → 5:리스트카드4개 → 6:프로모션배너2개</t>
        </is>
      </c>
      <c r="Z3" s="34" t="inlineStr">
        <is>
          <t>page</t>
        </is>
      </c>
      <c r="AA3" s="34" t="inlineStr">
        <is>
          <t>로그인 성공 후 자동이동 / GNB '대시보드' 클릭</t>
        </is>
      </c>
      <c r="AB3" s="34" t="inlineStr">
        <is>
          <t>통계카드: 숫자 부분 스켈레톤
차트: 로딩 스핀 표시
리스트: 3줄 스켈레톤 행
새로고침: RefreshCw 아이콘 회전(animate-spin)</t>
        </is>
      </c>
      <c r="AC3" s="34" t="inlineStr">
        <is>
          <t>통계카드: 0 표시
생일자: '오늘 생일인 회원이 없습니다'
미수금: '미수금 회원이 없습니다'
홀딩: '홀딩 중인 회원이 없습니다'
만료임박: '만료 임박 회원이 없습니다'</t>
        </is>
      </c>
      <c r="AD3" s="34" t="inlineStr">
        <is>
          <t>≥1280px(xl): 카드6열 + 차트3열 + 리스트2열 + 프로모션2열
768~1279px(md): 카드3열 + 차트2열 + 리스트1열 + 프로모션1열
&lt;768px: 카드2열 + 차트1열 + 리스트1열 + 프로모션1열</t>
        </is>
      </c>
      <c r="AE3" s="34" t="inlineStr">
        <is>
          <t>GNB 상단 고정
사이드바 좌측 고정</t>
        </is>
      </c>
    </row>
    <row r="4">
      <c r="A4" s="33" t="inlineStr">
        <is>
          <t>SCR-010</t>
        </is>
      </c>
      <c r="B4" s="33" t="inlineStr">
        <is>
          <t>회원 목록</t>
        </is>
      </c>
      <c r="C4" s="33" t="inlineStr">
        <is>
          <t>Web</t>
        </is>
      </c>
      <c r="D4" s="34" t="inlineStr">
        <is>
          <t>/members</t>
        </is>
      </c>
      <c r="E4" s="34" t="inlineStr">
        <is>
          <t>회원 검색, 필터, 페이지네이션이 포함된 목록 화면</t>
        </is>
      </c>
      <c r="F4" s="34" t="inlineStr">
        <is>
          <t>UI-014, UI-015, UI-016, UI-017, UI-018, UI-019, UI-020, UI-021</t>
        </is>
      </c>
      <c r="G4" s="34" t="inlineStr">
        <is>
          <t>실시간 검색, 필터 조합, 정렬, 페이지네이션, 엑셀 다운로드</t>
        </is>
      </c>
      <c r="H4" s="34" t="inlineStr">
        <is>
          <t>테이블 가로스크롤 (좁은 화면)</t>
        </is>
      </c>
      <c r="I4" s="34" t="n"/>
      <c r="J4" s="34" t="inlineStr">
        <is>
          <t>GNB 메뉴, SCR-002 바로가기</t>
        </is>
      </c>
      <c r="K4" s="34" t="inlineStr">
        <is>
          <t>SCR-011, SCR-012</t>
        </is>
      </c>
      <c r="L4" s="34" t="inlineStr">
        <is>
          <t>검색 결과 없음: '조건에 맞는 회원이 없습니다'
로딩 실패: 스켈레톤 + 재시도</t>
        </is>
      </c>
      <c r="M4" s="34" t="inlineStr">
        <is>
          <t>테이블 aria-label, 스크린리더 페이지 안내</t>
        </is>
      </c>
      <c r="N4" s="34" t="inlineStr">
        <is>
          <t>테이블 반응형 스크롤</t>
        </is>
      </c>
      <c r="O4" s="34" t="n"/>
      <c r="P4" s="34" t="n"/>
      <c r="Q4" s="34" t="inlineStr">
        <is>
          <t>확정</t>
        </is>
      </c>
      <c r="R4" s="34" t="inlineStr">
        <is>
          <t>개발팀</t>
        </is>
      </c>
      <c r="S4" s="34" t="n">
        <v>2</v>
      </c>
      <c r="T4" s="34" t="n">
        <v>4</v>
      </c>
      <c r="U4" s="34" t="n">
        <v>2</v>
      </c>
      <c r="V4" s="34" t="inlineStr">
        <is>
          <t>window.prompt→상태 선택 모달 전환. DataTable 키보드 접근성 (2026-03-13)</t>
        </is>
      </c>
      <c r="W4" s="34" t="n">
        <v>8</v>
      </c>
      <c r="X4" s="34" t="inlineStr">
        <is>
          <t>[헤더] 제목/설명 + 엑셀다운로드 + 회원추가 버튼
[섹션1: 통계카드] 4개 StatCard
[섹션2: 메인탭] TabNav 6개(회원/회원권/수강권/락커/운동복/상품별)
[섹션3: 테이블영역] 흰색박스
  - 상태필터탭 6개(전체/활성/만료/미등록/홀딩/정지)
  - SearchFilter(검색+5개필터)
  - 벌크액션바 (선택 시 조건부)
  - DataTable (8컬럼, 선택/정렬/페이지네이션)</t>
        </is>
      </c>
      <c r="Y4" s="34" t="inlineStr">
        <is>
          <t>1:헤더 → 2:통계카드4개 → 3:메인탭 → 4:상태필터 → 5:검색/필터 → 6:벌크액션 → 7:테이블</t>
        </is>
      </c>
      <c r="Z4" s="34" t="inlineStr">
        <is>
          <t>page</t>
        </is>
      </c>
      <c r="AA4" s="34" t="inlineStr">
        <is>
          <t>GNB '회원 목록' 클릭 / 대시보드 통계카드 클릭</t>
        </is>
      </c>
      <c r="AB4" s="34" t="inlineStr">
        <is>
          <t>통계카드: 숫자 스켈레톤
테이블: 행 스켈레톤 (5줄)
검색: 300ms debounce 후 조회</t>
        </is>
      </c>
      <c r="AC4" s="34" t="inlineStr">
        <is>
          <t>통계카드: 0 표시
검색결과 없음: '조건에 맞는 회원이 없습니다' EmptyState
필터 초기화 안내</t>
        </is>
      </c>
      <c r="AD4" s="34" t="inlineStr">
        <is>
          <t>≥1024px(lg): 통계카드4열
768~1023px(md): 통계카드2열
&lt;768px: 통계카드1열
테이블: 가로스크롤</t>
        </is>
      </c>
      <c r="AE4" s="34" t="inlineStr">
        <is>
          <t>GNB 상단고정
벌크액션바: 선택 시 테이블 상단 고정</t>
        </is>
      </c>
    </row>
    <row r="5">
      <c r="A5" s="33" t="inlineStr">
        <is>
          <t>SCR-011</t>
        </is>
      </c>
      <c r="B5" s="33" t="inlineStr">
        <is>
          <t>회원 상세</t>
        </is>
      </c>
      <c r="C5" s="33" t="inlineStr">
        <is>
          <t>Web</t>
        </is>
      </c>
      <c r="D5" s="34" t="inlineStr">
        <is>
          <t>/members/detail</t>
        </is>
      </c>
      <c r="E5" s="34" t="inlineStr">
        <is>
          <t>회원 프로필 + 탭(이용권/출석/결제/체성분/메모) 구성</t>
        </is>
      </c>
      <c r="F5" s="34" t="inlineStr">
        <is>
          <t>UI-022, UI-023, UI-024, UI-025, UI-026, UI-027</t>
        </is>
      </c>
      <c r="G5" s="34" t="inlineStr">
        <is>
          <t>탭 전환, 이용권 만료일 강조, 출석 히트맵, 결제 내역 페이지네이션</t>
        </is>
      </c>
      <c r="H5" s="34" t="inlineStr">
        <is>
          <t>탭 URL 파라미터 유지</t>
        </is>
      </c>
      <c r="I5" s="34" t="n"/>
      <c r="J5" s="34" t="inlineStr">
        <is>
          <t>SCR-010 회원 클릭</t>
        </is>
      </c>
      <c r="K5" s="34" t="inlineStr">
        <is>
          <t>SCR-013, SCR-014, SCR-010</t>
        </is>
      </c>
      <c r="L5" s="34" t="inlineStr">
        <is>
          <t>회원 미존재: 404 페이지
데이터 로딩 실패: 탭별 에러 표시</t>
        </is>
      </c>
      <c r="M5" s="34" t="inlineStr">
        <is>
          <t>탭 키보드 네비게이션</t>
        </is>
      </c>
      <c r="N5" s="34" t="inlineStr">
        <is>
          <t>탭 세로 배치 (좁은 화면)</t>
        </is>
      </c>
      <c r="O5" s="34" t="n"/>
      <c r="P5" s="34" t="n"/>
      <c r="Q5" s="34" t="inlineStr">
        <is>
          <t>확정</t>
        </is>
      </c>
      <c r="R5" s="34" t="inlineStr">
        <is>
          <t>개발팀</t>
        </is>
      </c>
      <c r="S5" s="34" t="n">
        <v>2</v>
      </c>
      <c r="T5" s="34" t="n">
        <v>1</v>
      </c>
      <c r="U5" s="34" t="n">
        <v>2</v>
      </c>
      <c r="V5" s="34" t="n"/>
      <c r="W5" s="34" t="n">
        <v>6</v>
      </c>
      <c r="X5" s="34" t="inlineStr">
        <is>
          <t>[헤더] 뒤로가기 + 회원 프로필카드(사진/이름/상태/기본정보)
[액션바] 수정/삭제/메시지 등 버튼
[탭영역] TabNav 7개(기본정보/계약현황/출석/체성분/결제/커뮤니케이션/기타)
[탭콘텐츠] 탭별 상세정보 (lazy 로드)</t>
        </is>
      </c>
      <c r="Y5" s="34" t="inlineStr">
        <is>
          <t>1:프로필카드 → 2:액션버튼 → 3:탭네비 → 4:탭콘텐츠</t>
        </is>
      </c>
      <c r="Z5" s="34" t="inlineStr">
        <is>
          <t>page</t>
        </is>
      </c>
      <c r="AA5" s="34" t="inlineStr">
        <is>
          <t>SCR-010 회원명 클릭 / 다른 페이지에서 moveToPage(985, {id})</t>
        </is>
      </c>
      <c r="AB5" s="34" t="inlineStr">
        <is>
          <t>프로필: 스켈레톤 카드
각 탭: 개별 로딩 스피너
탭 전환 시 lazy load</t>
        </is>
      </c>
      <c r="AC5" s="34" t="inlineStr">
        <is>
          <t>회원 미존재: 404 페이지
데이터 없는 탭: 탭별 개별 empty 메시지
이용권 없음: '등록된 이용권이 없습니다'</t>
        </is>
      </c>
      <c r="AD5" s="34" t="inlineStr">
        <is>
          <t>≥1280px: 프로필+탭 풀너비
&lt;768px: 탭 세로배치, 프로필 축소
탭 URL 파라미터 유지</t>
        </is>
      </c>
      <c r="AE5" s="34" t="inlineStr">
        <is>
          <t>GNB 상단고정
탭네비 스크롤 시 sticky</t>
        </is>
      </c>
    </row>
    <row r="6">
      <c r="A6" s="33" t="inlineStr">
        <is>
          <t>SCR-012</t>
        </is>
      </c>
      <c r="B6" s="33" t="inlineStr">
        <is>
          <t>회원 등록</t>
        </is>
      </c>
      <c r="C6" s="33" t="inlineStr">
        <is>
          <t>Web</t>
        </is>
      </c>
      <c r="D6" s="34" t="inlineStr">
        <is>
          <t>/members/new</t>
        </is>
      </c>
      <c r="E6" s="34" t="inlineStr">
        <is>
          <t>신규 회원 등록 폼. 필수/선택 항목 구분</t>
        </is>
      </c>
      <c r="F6" s="34" t="inlineStr">
        <is>
          <t>UI-028, UI-029, UI-030, UI-031, UI-032, UI-033, UI-034, UI-035, UI-036, UI-037</t>
        </is>
      </c>
      <c r="G6" s="34" t="inlineStr">
        <is>
          <t>실시간 유효성 검사, 연락처 자동 포맷, 주소 검색 API 연동</t>
        </is>
      </c>
      <c r="H6" s="34" t="inlineStr">
        <is>
          <t>폼 상태 유지 (뒤로가기 시)</t>
        </is>
      </c>
      <c r="I6" s="34" t="n"/>
      <c r="J6" s="34" t="inlineStr">
        <is>
          <t>SCR-010 '회원등록' 버튼</t>
        </is>
      </c>
      <c r="K6" s="34" t="inlineStr">
        <is>
          <t>SCR-011 (등록 완료 후)</t>
        </is>
      </c>
      <c r="L6" s="34" t="inlineStr">
        <is>
          <t>필수 항목 미입력: 필드 하단 에러 메시지
중복 연락처: '이미 등록된 연락처입니다'
서버 오류: 토스트 알림</t>
        </is>
      </c>
      <c r="M6" s="34" t="inlineStr">
        <is>
          <t>필수 항목 aria-required</t>
        </is>
      </c>
      <c r="N6" s="34" t="inlineStr">
        <is>
          <t>폼 1열 배치</t>
        </is>
      </c>
      <c r="O6" s="34" t="n"/>
      <c r="P6" s="34" t="n"/>
      <c r="Q6" s="34" t="inlineStr">
        <is>
          <t>확정</t>
        </is>
      </c>
      <c r="R6" s="34" t="inlineStr">
        <is>
          <t>개발팀</t>
        </is>
      </c>
      <c r="S6" s="34" t="n">
        <v>0</v>
      </c>
      <c r="T6" s="34" t="n">
        <v>4</v>
      </c>
      <c r="U6" s="34" t="n">
        <v>1</v>
      </c>
      <c r="V6" s="34" t="n"/>
      <c r="W6" s="34" t="n">
        <v>10</v>
      </c>
      <c r="X6" s="34" t="inlineStr">
        <is>
          <t>[헤더] 제목(등록/수정모드) + 초기화/취소 버튼
[스텝네비] TabNav 2단계 (필수정보/추가정보)
[Step1: 필수정보]
  - 프로필이미지 드래그영역
  - FormSection '기본 인적사항' 2열 (이름/성별/생년월일/연락처/회원구분)
  - FormSection '관리 정보' 2열 (담당FC/트레이너/방문경로/운동목적)
[Step2: 추가정보]
  - FormSection '추가 연락' 2열 (별칭/이메일/주소검색/회사명/출석번호)
  - FormSection '기타 설정' (광고수신/메모 textarea 500자)
[하단] 이전/다음(또는 저장) 버튼 고정</t>
        </is>
      </c>
      <c r="Y6" s="34" t="inlineStr">
        <is>
          <t>1:헤더 → 2:스텝표시 → 3:폼섹션들 → 4:하단버튼</t>
        </is>
      </c>
      <c r="Z6" s="34" t="inlineStr">
        <is>
          <t>page (2-step wizard)</t>
        </is>
      </c>
      <c r="AA6" s="34" t="inlineStr">
        <is>
          <t>SCR-010 '회원등록' 버튼 클릭</t>
        </is>
      </c>
      <c r="AB6" s="34" t="inlineStr">
        <is>
          <t>저장 버튼: Loader2 스핀 + '저장 중...'</t>
        </is>
      </c>
      <c r="AC6" s="34" t="inlineStr">
        <is>
          <t>담당FC/트레이너 목록 없음: '등록된 직원이 없습니다'
주소검색 결과 없음: '검색 결과가 없습니다'</t>
        </is>
      </c>
      <c r="AD6" s="34" t="inlineStr">
        <is>
          <t>≥768px(md): FormSection 2열
&lt;768px: FormSection 1열
하단 버튼: 모바일 전체너비</t>
        </is>
      </c>
      <c r="AE6" s="34" t="inlineStr">
        <is>
          <t>하단 액션버튼 고정</t>
        </is>
      </c>
    </row>
    <row r="7">
      <c r="A7" s="33" t="inlineStr">
        <is>
          <t>SCR-013</t>
        </is>
      </c>
      <c r="B7" s="33" t="inlineStr">
        <is>
          <t>회원 수정</t>
        </is>
      </c>
      <c r="C7" s="33" t="inlineStr">
        <is>
          <t>Web</t>
        </is>
      </c>
      <c r="D7" s="34" t="inlineStr">
        <is>
          <t>/members/edit</t>
        </is>
      </c>
      <c r="E7" s="34" t="inlineStr">
        <is>
          <t>기존 회원 정보 수정 폼. 기존 데이터 프리필</t>
        </is>
      </c>
      <c r="F7" s="34" t="inlineStr">
        <is>
          <t>UI-119, UI-120</t>
        </is>
      </c>
      <c r="G7" s="34" t="inlineStr">
        <is>
          <t>변경사항 비교 표시, 저장 전 확인 모달</t>
        </is>
      </c>
      <c r="H7" s="34" t="inlineStr">
        <is>
          <t>변경 이력 자동 기록</t>
        </is>
      </c>
      <c r="I7" s="34" t="n"/>
      <c r="J7" s="34" t="inlineStr">
        <is>
          <t>SCR-011 '수정' 버튼</t>
        </is>
      </c>
      <c r="K7" s="34" t="inlineStr">
        <is>
          <t>SCR-011 (저장 후)</t>
        </is>
      </c>
      <c r="L7" s="34" t="inlineStr">
        <is>
          <t>변경 없이 저장: '변경된 내용이 없습니다'
서버 오류: 토스트 알림</t>
        </is>
      </c>
      <c r="M7" s="34" t="inlineStr">
        <is>
          <t>폼 접근성 동일</t>
        </is>
      </c>
      <c r="N7" s="34" t="inlineStr">
        <is>
          <t>폼 1열 배치</t>
        </is>
      </c>
      <c r="O7" s="34" t="n"/>
      <c r="P7" s="34" t="n"/>
      <c r="Q7" s="34" t="inlineStr">
        <is>
          <t>확정</t>
        </is>
      </c>
      <c r="R7" s="34" t="inlineStr">
        <is>
          <t>개발팀</t>
        </is>
      </c>
      <c r="S7" s="34" t="n">
        <v>0</v>
      </c>
      <c r="T7" s="34" t="n">
        <v>1</v>
      </c>
      <c r="U7" s="34" t="n">
        <v>1</v>
      </c>
      <c r="V7" s="34" t="n"/>
      <c r="W7" s="34" t="n">
        <v>2</v>
      </c>
      <c r="X7" s="34" t="inlineStr">
        <is>
          <t>[헤더] 제목 + 취소/저장 버튼
[FormSection '기본 정보'] 이름/연락처/성별/생년월일/가입일/담당직원
[FormSection '이용권 정보'] 기존 이용권 리스트 + 새 이용권 추가 버튼
[FormSection '상세 정보'] 주소/유입경로/운동목적/메모
[취소확인 다이얼로그]</t>
        </is>
      </c>
      <c r="Y7" s="34" t="inlineStr">
        <is>
          <t>1:헤더 → 2:기본정보 → 3:이용권정보 → 4:상세정보</t>
        </is>
      </c>
      <c r="Z7" s="34" t="inlineStr">
        <is>
          <t>page</t>
        </is>
      </c>
      <c r="AA7" s="34" t="inlineStr">
        <is>
          <t>SCR-011 '수정' 버튼 클릭</t>
        </is>
      </c>
      <c r="AB7" s="34" t="inlineStr">
        <is>
          <t>기존 데이터 프리필 중: 전체 스켈레톤
저장: 버튼 로딩</t>
        </is>
      </c>
      <c r="AC7" s="34" t="inlineStr">
        <is>
          <t>이용권 없음: '등록된 이용권이 없습니다' + 안내메시지</t>
        </is>
      </c>
      <c r="AD7" s="34" t="inlineStr">
        <is>
          <t>폼 1열 배치 (max-width 제한)</t>
        </is>
      </c>
      <c r="AE7" s="34" t="inlineStr">
        <is>
          <t>없음</t>
        </is>
      </c>
    </row>
    <row r="8">
      <c r="A8" s="33" t="inlineStr">
        <is>
          <t>SCR-014</t>
        </is>
      </c>
      <c r="B8" s="33" t="inlineStr">
        <is>
          <t>체성분 분석</t>
        </is>
      </c>
      <c r="C8" s="33" t="inlineStr">
        <is>
          <t>Web</t>
        </is>
      </c>
      <c r="D8" s="34" t="inlineStr">
        <is>
          <t>/body-composition</t>
        </is>
      </c>
      <c r="E8" s="34" t="inlineStr">
        <is>
          <t>회원별 체성분 측정 기록 입력 및 변화 추이 차트</t>
        </is>
      </c>
      <c r="F8" s="34" t="inlineStr">
        <is>
          <t>UI-121, UI-122</t>
        </is>
      </c>
      <c r="G8" s="34" t="inlineStr">
        <is>
          <t>측정값 입력 폼, 날짜별 라인 차트, 목표 대비 게이지</t>
        </is>
      </c>
      <c r="H8" s="34" t="inlineStr">
        <is>
          <t>차트 라이브러리 (Recharts)</t>
        </is>
      </c>
      <c r="I8" s="34" t="n"/>
      <c r="J8" s="34" t="inlineStr">
        <is>
          <t>SCR-011 '체성분' 탭</t>
        </is>
      </c>
      <c r="K8" s="34" t="inlineStr">
        <is>
          <t>SCR-011</t>
        </is>
      </c>
      <c r="L8" s="34" t="inlineStr">
        <is>
          <t>측정 데이터 없음: '아직 측정 기록이 없습니다'
입력 범위 초과: 경고 토스트</t>
        </is>
      </c>
      <c r="M8" s="34" t="inlineStr">
        <is>
          <t>차트 alt-text, 데이터 테이블 대체</t>
        </is>
      </c>
      <c r="N8" s="34" t="inlineStr">
        <is>
          <t>차트 반응형</t>
        </is>
      </c>
      <c r="O8" s="34" t="n"/>
      <c r="P8" s="34" t="n"/>
      <c r="Q8" s="34" t="inlineStr">
        <is>
          <t>확정</t>
        </is>
      </c>
      <c r="R8" s="34" t="inlineStr">
        <is>
          <t>개발팀</t>
        </is>
      </c>
      <c r="S8" s="34" t="n">
        <v>1</v>
      </c>
      <c r="T8" s="34" t="n">
        <v>0</v>
      </c>
      <c r="U8" s="34" t="n">
        <v>0</v>
      </c>
      <c r="V8" s="34" t="n"/>
      <c r="W8" s="34" t="n">
        <v>2</v>
      </c>
      <c r="X8" s="34" t="inlineStr">
        <is>
          <t>[뒤로가기 버튼]
[헤더] 회원명+최근측정일 + 전체추출/새측정추가 버튼
[섹션1: 통계카드] 3개 (현재체중/골격근량/체지방률)
[섹션2: 탭] 기록목록/변화그래프/목표관리
  - 기록목록: DataTable
  - 변화그래프: SVG LineChart + 메트릭토글 + 호버툴팁 + 변화요약
  - 목표관리: GoalGauge 2개 (목표체중/목표체지방)
[섹션3: 분석] 2칸 그리드
  - 비만분석 (BMI/체지방률 AnalysisRow 범위바)
  - 에너지/대사 (BMR/제지방량/권장열량)
[모달] 측정추가(날짜/체중/골격근/체지방+BMI자동) / 목표수정</t>
        </is>
      </c>
      <c r="Y8" s="34" t="inlineStr">
        <is>
          <t>1:뒤로가기 → 2:헤더 → 3:통계카드3개 → 4:탭(기록/그래프/목표) → 5:분석그리드</t>
        </is>
      </c>
      <c r="Z8" s="34" t="inlineStr">
        <is>
          <t>page</t>
        </is>
      </c>
      <c r="AA8" s="34" t="inlineStr">
        <is>
          <t>SCR-011 '체성분' 탭 클릭</t>
        </is>
      </c>
      <c r="AB8" s="34" t="inlineStr">
        <is>
          <t>데이터 로딩: 통계카드 스켈레톤 + 차트 로딩스핀</t>
        </is>
      </c>
      <c r="AC8" s="34" t="inlineStr">
        <is>
          <t>측정데이터 없음: '아직 측정 기록이 없습니다'
목표 미설정: '목표를 설정해주세요'</t>
        </is>
      </c>
      <c r="AD8" s="34" t="inlineStr">
        <is>
          <t>≥768px: 분석 2열
&lt;768px: 분석 1열
차트 반응형 (SVG viewBox)</t>
        </is>
      </c>
      <c r="AE8" s="34" t="inlineStr">
        <is>
          <t>GNB 상단고정</t>
        </is>
      </c>
    </row>
    <row r="9">
      <c r="A9" s="33" t="inlineStr">
        <is>
          <t>SCR-020</t>
        </is>
      </c>
      <c r="B9" s="33" t="inlineStr">
        <is>
          <t>출석 기록</t>
        </is>
      </c>
      <c r="C9" s="33" t="inlineStr">
        <is>
          <t>Web</t>
        </is>
      </c>
      <c r="D9" s="34" t="inlineStr">
        <is>
          <t>/attendance</t>
        </is>
      </c>
      <c r="E9" s="34" t="inlineStr">
        <is>
          <t>회원 출석 현황 조회. 일별/주별/월별 뷰 전환</t>
        </is>
      </c>
      <c r="F9" s="34" t="inlineStr">
        <is>
          <t>UI-123, UI-124</t>
        </is>
      </c>
      <c r="G9" s="34" t="inlineStr">
        <is>
          <t>날짜 필터, 출석 유형 필터, 타지점 출석 표시</t>
        </is>
      </c>
      <c r="H9" s="34" t="inlineStr">
        <is>
          <t>캘린더 컴포넌트</t>
        </is>
      </c>
      <c r="I9" s="34" t="n"/>
      <c r="J9" s="34" t="inlineStr">
        <is>
          <t>GNB 메뉴</t>
        </is>
      </c>
      <c r="K9" s="34" t="inlineStr">
        <is>
          <t>SCR-011 (회원 클릭)</t>
        </is>
      </c>
      <c r="L9" s="34" t="inlineStr">
        <is>
          <t>데이터 없음: '해당 기간 출석 기록이 없습니다'</t>
        </is>
      </c>
      <c r="M9" s="34" t="inlineStr">
        <is>
          <t>날짜 선택 키보드 접근</t>
        </is>
      </c>
      <c r="N9" s="34" t="inlineStr">
        <is>
          <t>테이블 반응형</t>
        </is>
      </c>
      <c r="O9" s="34" t="n"/>
      <c r="P9" s="34" t="n"/>
      <c r="Q9" s="34" t="inlineStr">
        <is>
          <t>확정</t>
        </is>
      </c>
      <c r="R9" s="34" t="inlineStr">
        <is>
          <t>개발팀</t>
        </is>
      </c>
      <c r="S9" s="34" t="n">
        <v>1</v>
      </c>
      <c r="T9" s="34" t="n">
        <v>1</v>
      </c>
      <c r="U9" s="34" t="n">
        <v>2</v>
      </c>
      <c r="V9" s="34" t="inlineStr">
        <is>
          <t>날짜 필터 DataTable 적용. 실시간 출석 통계 (2026-03-13)</t>
        </is>
      </c>
      <c r="W9" s="34" t="n">
        <v>2</v>
      </c>
      <c r="X9" s="34" t="inlineStr">
        <is>
          <t>[헤더] 제목/설명 + 날짜네비(◀ 날짜 ▶) + 뷰전환(일/주/월) + 실시간토글 + 수동출석버튼
[일별뷰]
  - 통계카드 4개 (오늘출석/PT/GX/신규방문)
  - 출석유형 범례 (색상코딩)
  - SearchFilter + DataTable (10컬럼)
[주별뷰] 통계카드3개 + WeeklyView(7일 막대차트)
[월별뷰] 통계카드3개 + MonthlyView(28일 히트맵)
[실시간팝업] 우측하단 슬라이드인, AI음성메시지 (자동사라짐)
[모달] 수동출석(회원검색+유형4버튼+시간)</t>
        </is>
      </c>
      <c r="Y9" s="34" t="inlineStr">
        <is>
          <t>1:헤더+날짜+뷰전환 → 2:통계카드 → 3:범례 → 4:검색/필터 → 5:테이블/차트</t>
        </is>
      </c>
      <c r="Z9" s="34" t="inlineStr">
        <is>
          <t>page</t>
        </is>
      </c>
      <c r="AA9" s="34" t="inlineStr">
        <is>
          <t>GNB '출석 관리' 클릭 / 대시보드 출석카드 클릭</t>
        </is>
      </c>
      <c r="AB9" s="34" t="inlineStr">
        <is>
          <t>통계카드: 숫자 스켈레톤
테이블: 행 스켈레톤
뷰 전환: 데이터 재조회 로딩</t>
        </is>
      </c>
      <c r="AC9" s="34" t="inlineStr">
        <is>
          <t>출석기록 없음: '해당 기간 출석 기록이 없습니다'
검색결과 없음: 빈 테이블</t>
        </is>
      </c>
      <c r="AD9" s="34" t="inlineStr">
        <is>
          <t>≥768px(md): 통계카드4열
&lt;768px: 통계카드2열
히트맵/차트: 가로스크롤</t>
        </is>
      </c>
      <c r="AE9" s="34" t="inlineStr">
        <is>
          <t>GNB 상단고정
날짜네비+뷰전환: 헤더영역 고정</t>
        </is>
      </c>
    </row>
    <row r="10">
      <c r="A10" s="33" t="inlineStr">
        <is>
          <t>SCR-021</t>
        </is>
      </c>
      <c r="B10" s="33" t="inlineStr">
        <is>
          <t>일정 관리</t>
        </is>
      </c>
      <c r="C10" s="33" t="inlineStr">
        <is>
          <t>Web</t>
        </is>
      </c>
      <c r="D10" s="34" t="inlineStr">
        <is>
          <t>/calendar</t>
        </is>
      </c>
      <c r="E10" s="34" t="inlineStr">
        <is>
          <t>PT/GX 일정 캘린더. 월/주/일 뷰 전환</t>
        </is>
      </c>
      <c r="F10" s="34" t="inlineStr">
        <is>
          <t>UI-125, UI-126</t>
        </is>
      </c>
      <c r="G10" s="34" t="inlineStr">
        <is>
          <t>드래그앤드롭 일정 이동, 클릭 상세 모달, 트레이너 필터</t>
        </is>
      </c>
      <c r="H10" s="34" t="inlineStr">
        <is>
          <t>FullCalendar 라이브러리</t>
        </is>
      </c>
      <c r="I10" s="34" t="n"/>
      <c r="J10" s="34" t="inlineStr">
        <is>
          <t>GNB 메뉴</t>
        </is>
      </c>
      <c r="K10" s="34" t="inlineStr">
        <is>
          <t>SCR-011 (회원 연결)</t>
        </is>
      </c>
      <c r="L10" s="34" t="inlineStr">
        <is>
          <t>일정 충돌: '해당 시간에 이미 예약이 있습니다'
과거 일정 수정 불가</t>
        </is>
      </c>
      <c r="M10" s="34" t="inlineStr">
        <is>
          <t>캘린더 키보드 네비게이션</t>
        </is>
      </c>
      <c r="N10" s="34" t="inlineStr">
        <is>
          <t>뷰 자동 전환 (주→일)</t>
        </is>
      </c>
      <c r="O10" s="34" t="n"/>
      <c r="P10" s="34" t="n"/>
      <c r="Q10" s="34" t="inlineStr">
        <is>
          <t>확정</t>
        </is>
      </c>
      <c r="R10" s="34" t="inlineStr">
        <is>
          <t>개발팀</t>
        </is>
      </c>
      <c r="S10" s="34" t="n">
        <v>1</v>
      </c>
      <c r="T10" s="34" t="n">
        <v>1</v>
      </c>
      <c r="U10" s="34" t="n">
        <v>0</v>
      </c>
      <c r="V10" s="34" t="inlineStr">
        <is>
          <t>FullCalendar 라이브러리 전환. 드래그앤드롭 일정 이동/리사이즈 (2026-03-13)</t>
        </is>
      </c>
      <c r="W10" s="34" t="n">
        <v>2</v>
      </c>
      <c r="X10" s="34" t="inlineStr">
        <is>
          <t>[헤더] 제목/설명 + 스케줄일괄변경 + 수업등록 버튼
[탭] 5개 (일정표/수업관리/횟수관리/페널티/유효수업)
[일정표탭]
  - 컨트롤바: 뷰전환(월/주/일) + 날짜네비 + 트레이너필터
  - 범례 (강사+수업유형 색상)
  - MonthView(7x5 그리드, 셀당3이벤트+'+N개')
  - WeekView(8x14 타임테이블)
  - DayView(시간x슬롯)
[수업관리탭] SearchFilter + DataTable
[페널티탭] 필터 + DataTable
[유효수업탭] DataTable
[모달] EventDetail(수업상세, 수정/삭제) / EventAdd(등록/수정폼, 반복설정)</t>
        </is>
      </c>
      <c r="Y10" s="34" t="inlineStr">
        <is>
          <t>1:헤더 → 2:탭 → 3:컨트롤바 → 4:범례 → 5:캘린더뷰(월/주/일)</t>
        </is>
      </c>
      <c r="Z10" s="34" t="inlineStr">
        <is>
          <t>page</t>
        </is>
      </c>
      <c r="AA10" s="34" t="inlineStr">
        <is>
          <t>GNB '수업/캘린더' 클릭</t>
        </is>
      </c>
      <c r="AB10" s="34" t="inlineStr">
        <is>
          <t>캘린더: 이벤트 스켈레톤
수업관리: 테이블 스켈레톤</t>
        </is>
      </c>
      <c r="AC10" s="34" t="inlineStr">
        <is>
          <t>이벤트 없음: 빈 캘린더 셀
수업 없음: '등록된 수업이 없습니다'
횟수관리: '준비 중' 안내</t>
        </is>
      </c>
      <c r="AD10" s="34" t="inlineStr">
        <is>
          <t>≥1280px: 캘린더 풀너비
&lt;768px: 주→일뷰 자동전환 권장
타임테이블: 가로스크롤</t>
        </is>
      </c>
      <c r="AE10" s="34" t="inlineStr">
        <is>
          <t>GNB 상단고정
컨트롤바 sticky</t>
        </is>
      </c>
    </row>
    <row r="11">
      <c r="A11" s="33" t="inlineStr">
        <is>
          <t>SCR-030</t>
        </is>
      </c>
      <c r="B11" s="33" t="inlineStr">
        <is>
          <t>매출 조회</t>
        </is>
      </c>
      <c r="C11" s="33" t="inlineStr">
        <is>
          <t>Web</t>
        </is>
      </c>
      <c r="D11" s="34" t="inlineStr">
        <is>
          <t>/sales</t>
        </is>
      </c>
      <c r="E11" s="34" t="inlineStr">
        <is>
          <t>매출 현황 조회. 기간/유형/상태 필터 + 통계 요약 카드</t>
        </is>
      </c>
      <c r="F11" s="34" t="inlineStr">
        <is>
          <t>UI-038, UI-039, UI-040, UI-041, UI-042, UI-043, UI-044</t>
        </is>
      </c>
      <c r="G11" s="34" t="inlineStr">
        <is>
          <t>날짜 범위 선택, 유형 필터, 상태 필터, 통계 카드 갱신, 엑셀 다운로드</t>
        </is>
      </c>
      <c r="H11" s="34" t="inlineStr">
        <is>
          <t>금액 포맷 (천단위 콤마)</t>
        </is>
      </c>
      <c r="I11" s="34" t="n"/>
      <c r="J11" s="34" t="inlineStr">
        <is>
          <t>GNB 메뉴, SCR-002 매출 카드</t>
        </is>
      </c>
      <c r="K11" s="34" t="inlineStr">
        <is>
          <t>SCR-031 (POS 이동)</t>
        </is>
      </c>
      <c r="L11" s="34" t="inlineStr">
        <is>
          <t>데이터 없음: '해당 기간 매출이 없습니다'
다운로드 실패: 재시도 안내</t>
        </is>
      </c>
      <c r="M11" s="34" t="inlineStr">
        <is>
          <t>금액 스크린리더 읽기</t>
        </is>
      </c>
      <c r="N11" s="34" t="inlineStr">
        <is>
          <t>통계 카드 2열→1열</t>
        </is>
      </c>
      <c r="O11" s="34" t="n"/>
      <c r="P11" s="34" t="n"/>
      <c r="Q11" s="34" t="inlineStr">
        <is>
          <t>확정</t>
        </is>
      </c>
      <c r="R11" s="34" t="inlineStr">
        <is>
          <t>개발팀</t>
        </is>
      </c>
      <c r="S11" s="34" t="n">
        <v>2</v>
      </c>
      <c r="T11" s="34" t="n">
        <v>2</v>
      </c>
      <c r="U11" s="34" t="n">
        <v>2</v>
      </c>
      <c r="V11" s="34" t="n"/>
      <c r="W11" s="34" t="n">
        <v>7</v>
      </c>
      <c r="X11" s="34" t="inlineStr">
        <is>
          <t>[헤더] 제목/설명 + 신규결제(POS) + 엑셀다운로드 버튼
[섹션1: 요약카드] 4개 (순매출/카드/현금/미수금)
[섹션2: 필터] 기간프리셋(오늘/이번주/이번달) + SearchFilter(날짜범위/유형/상태)
[섹션3: 탭+테이블] TabNav 7개(매출내역/기간별/상품별/결제수단별/담당자별/환불/미납) + DataTable 13컬럼
[섹션4: 하단요약바] 총/순/현금/카드/마일리지/환불/미납 합계</t>
        </is>
      </c>
      <c r="Y11" s="34" t="inlineStr">
        <is>
          <t>1:헤더 → 2:요약카드4개 → 3:기간프리셋+필터 → 4:탭7개 → 5:테이블 → 6:하단합계바</t>
        </is>
      </c>
      <c r="Z11" s="34" t="inlineStr">
        <is>
          <t>page</t>
        </is>
      </c>
      <c r="AA11" s="34" t="inlineStr">
        <is>
          <t>GNB '매출 현황' 클릭 / 대시보드 매출카드 클릭</t>
        </is>
      </c>
      <c r="AB11" s="34" t="inlineStr">
        <is>
          <t>요약카드: 숫자 스켈레톤
테이블: 행 스켈레톤
기간변경: 카드+테이블 동시 갱신</t>
        </is>
      </c>
      <c r="AC11" s="34" t="inlineStr">
        <is>
          <t>매출 없음: '해당 기간 매출이 없습니다'
다운로드 실패: 재시도 안내 toast</t>
        </is>
      </c>
      <c r="AD11" s="34" t="inlineStr">
        <is>
          <t>≥768px(md): 요약카드4열
&lt;768px: 요약카드2열
하단합계: flex-wrap
테이블: 가로스크롤</t>
        </is>
      </c>
      <c r="AE11" s="34" t="inlineStr">
        <is>
          <t>GNB 상단고정
하단합계바 sticky bottom</t>
        </is>
      </c>
    </row>
    <row r="12">
      <c r="A12" s="33" t="inlineStr">
        <is>
          <t>SCR-031</t>
        </is>
      </c>
      <c r="B12" s="33" t="inlineStr">
        <is>
          <t>POS</t>
        </is>
      </c>
      <c r="C12" s="33" t="inlineStr">
        <is>
          <t>Web</t>
        </is>
      </c>
      <c r="D12" s="34" t="inlineStr">
        <is>
          <t>/pos</t>
        </is>
      </c>
      <c r="E12" s="34" t="inlineStr">
        <is>
          <t>POS 상품 선택 화면. 카테고리 탭 + 상품 그리드 + 장바구니</t>
        </is>
      </c>
      <c r="F12" s="34" t="inlineStr">
        <is>
          <t>UI-045, UI-046, UI-047, UI-048</t>
        </is>
      </c>
      <c r="G12" s="34" t="inlineStr">
        <is>
          <t>카테고리 탭 전환, 상품 클릭 시 장바구니 추가, 수량 조절, 삭제</t>
        </is>
      </c>
      <c r="H12" s="34" t="inlineStr">
        <is>
          <t>2컬럼 레이아웃 (상품 | 장바구니)</t>
        </is>
      </c>
      <c r="I12" s="34" t="n"/>
      <c r="J12" s="34" t="inlineStr">
        <is>
          <t>GNB 메뉴, SCR-030</t>
        </is>
      </c>
      <c r="K12" s="34" t="inlineStr">
        <is>
          <t>SCR-032 (결제 진행)</t>
        </is>
      </c>
      <c r="L12" s="34" t="inlineStr">
        <is>
          <t>장바구니 비어있음: '상품을 선택해주세요'
재고 없음: 상품 비활성화</t>
        </is>
      </c>
      <c r="M12" s="34" t="inlineStr">
        <is>
          <t>상품 그리드 키보드 선택</t>
        </is>
      </c>
      <c r="N12" s="34" t="inlineStr">
        <is>
          <t>장바구니 하단 고정</t>
        </is>
      </c>
      <c r="O12" s="34" t="n"/>
      <c r="P12" s="34" t="n"/>
      <c r="Q12" s="34" t="inlineStr">
        <is>
          <t>확정</t>
        </is>
      </c>
      <c r="R12" s="34" t="inlineStr">
        <is>
          <t>개발팀</t>
        </is>
      </c>
      <c r="S12" s="34" t="n">
        <v>0</v>
      </c>
      <c r="T12" s="34" t="n">
        <v>1</v>
      </c>
      <c r="U12" s="34" t="n">
        <v>1</v>
      </c>
      <c r="V12" s="34" t="n"/>
      <c r="W12" s="34" t="n">
        <v>4</v>
      </c>
      <c r="X12" s="34" t="inlineStr">
        <is>
          <t>[헤더] 제목/설명 + 상품등록 버튼
[2열 레이아웃]
  - [좌측: 상품그리드]
    - 카테고리탭 4개(이용권/PT/GX/기타) + 검색
    - ProductCard 그리드 (재고배지/상품명/기간·횟수/현금가·카드가/호버+버튼)
  - [우측: 장바구니 사이드바 360px 고정]
    - 헤더(카운트, 전체삭제)
    - 아이템목록(상품명/수량−+/가격타입토글/소계)
    - 하단(총합 + 결제하기버튼)</t>
        </is>
      </c>
      <c r="Y12" s="34" t="inlineStr">
        <is>
          <t>1:헤더 → 2좌:카테고리탭+검색 → 3좌:상품그리드 → 2우:장바구니헤더 → 3우:아이템목록 → 4우:합계+결제</t>
        </is>
      </c>
      <c r="Z12" s="34" t="inlineStr">
        <is>
          <t>page (2-column layout)</t>
        </is>
      </c>
      <c r="AA12" s="34" t="inlineStr">
        <is>
          <t>GNB 'POS 결제' 클릭 / SCR-030 '신규 결제' 버튼</t>
        </is>
      </c>
      <c r="AB12" s="34" t="inlineStr">
        <is>
          <t>상품목록: 카드 스켈레톤 그리드
장바구니: 빈 상태</t>
        </is>
      </c>
      <c r="AC12" s="34" t="inlineStr">
        <is>
          <t>상품 없음: '등록된 상품이 없습니다'
장바구니 비어있음: ShoppingCart 아이콘 + '상품을 선택해주세요'
검색결과 없음: '검색 결과가 없습니다'</t>
        </is>
      </c>
      <c r="AD12" s="34" t="inlineStr">
        <is>
          <t>≥1024px(lg): 2열(상품+장바구니)
&lt;1024px: 1열(상품→장바구니 순서)
상품그리드: xl:4열→md:3열→2열
장바구니: 모바일 전체너비</t>
        </is>
      </c>
      <c r="AE12" s="34" t="inlineStr">
        <is>
          <t>장바구니 사이드바: lg에서 우측 고정
모바일: 하단 고정 없음</t>
        </is>
      </c>
    </row>
    <row r="13">
      <c r="A13" s="33" t="inlineStr">
        <is>
          <t>SCR-032</t>
        </is>
      </c>
      <c r="B13" s="33" t="inlineStr">
        <is>
          <t>POS 결제</t>
        </is>
      </c>
      <c r="C13" s="33" t="inlineStr">
        <is>
          <t>Web</t>
        </is>
      </c>
      <c r="D13" s="34" t="inlineStr">
        <is>
          <t>/pos/payment</t>
        </is>
      </c>
      <c r="E13" s="34" t="inlineStr">
        <is>
          <t>결제 수단 선택 및 결제 처리. 복합결제 지원</t>
        </is>
      </c>
      <c r="F13" s="34" t="inlineStr">
        <is>
          <t>UI-049, UI-050, UI-051, UI-052</t>
        </is>
      </c>
      <c r="G13" s="34" t="inlineStr">
        <is>
          <t>결제수단 선택, 금액 입력, 마일리지 사용, 결제 확인 모달</t>
        </is>
      </c>
      <c r="H13" s="34" t="inlineStr">
        <is>
          <t>결제 API 연동</t>
        </is>
      </c>
      <c r="I13" s="34" t="n"/>
      <c r="J13" s="34" t="inlineStr">
        <is>
          <t>SCR-031 '결제' 버튼</t>
        </is>
      </c>
      <c r="K13" s="34" t="inlineStr">
        <is>
          <t>SCR-030 (결제 완료 후)</t>
        </is>
      </c>
      <c r="L13" s="34" t="inlineStr">
        <is>
          <t>결제 실패: '결제에 실패했습니다. 다시 시도해주세요'
잔액 부족: 안내 메시지</t>
        </is>
      </c>
      <c r="M13" s="34" t="inlineStr">
        <is>
          <t>금액 입력 접근성</t>
        </is>
      </c>
      <c r="N13" s="34" t="inlineStr">
        <is>
          <t>모달 팝업</t>
        </is>
      </c>
      <c r="O13" s="34" t="n"/>
      <c r="P13" s="34" t="n"/>
      <c r="Q13" s="34" t="inlineStr">
        <is>
          <t>확정</t>
        </is>
      </c>
      <c r="R13" s="34" t="inlineStr">
        <is>
          <t>개발팀</t>
        </is>
      </c>
      <c r="S13" s="34" t="n">
        <v>1</v>
      </c>
      <c r="T13" s="34" t="n">
        <v>3</v>
      </c>
      <c r="U13" s="34" t="n">
        <v>1</v>
      </c>
      <c r="V13" s="34" t="inlineStr">
        <is>
          <t>window.confirm→ConfirmDialog 컴포넌트 전환 (2026-03-13)</t>
        </is>
      </c>
      <c r="W13" s="34" t="n">
        <v>4</v>
      </c>
      <c r="X13" s="34" t="inlineStr">
        <is>
          <t>[헤더] 제목 + 초기화 버튼
[2열 레이아웃]
  - [좌측: 결제요약]
    - 주문 상품 리스트 (StatusBadge 카테고리)
    - 회원검색 (SearchFilter, 드롭다운)
    - 선택된 회원 정보 카드
  - [우측: 결제수단 380px]
    - 4개 결제수단 버튼 (카드/현금/마일리지/복합)
    - 복합결제 금액분배 입력 (조건부)
    - 마일리지 잔액 안내 (조건부)
    - 결제확인 버튼
[결제완료화면] 전체페이지 교체 (체크아이콘+요약+계속판매버튼)
[모달] 결제확인 (주문요약표시)</t>
        </is>
      </c>
      <c r="Y13" s="34" t="inlineStr">
        <is>
          <t>1:헤더 → 2좌:주문리스트 → 3좌:회원검색 → 2우:결제수단4버튼 → 3우:금액입력 → 4우:결제버튼</t>
        </is>
      </c>
      <c r="Z13" s="34" t="inlineStr">
        <is>
          <t>page (2-column layout) → 결제완료 시 전체 교체</t>
        </is>
      </c>
      <c r="AA13" s="34" t="inlineStr">
        <is>
          <t>SCR-031 '결제하기' 버튼 클릭</t>
        </is>
      </c>
      <c r="AB13" s="34" t="inlineStr">
        <is>
          <t>회원검색: 드롭다운 로딩
결제처리: 버튼 로딩스핀</t>
        </is>
      </c>
      <c r="AC13" s="34" t="inlineStr">
        <is>
          <t>장바구니 비어있음: '상품을 먼저 선택해주세요' 안내
회원 미선택: 비회원 결제 가능 표시</t>
        </is>
      </c>
      <c r="AD13" s="34" t="inlineStr">
        <is>
          <t>≥1024px(lg): 2열(요약+결제)
&lt;1024px: 1열
우측패널: lg에서 w-[380px] 고정</t>
        </is>
      </c>
      <c r="AE13" s="34" t="inlineStr">
        <is>
          <t>없음</t>
        </is>
      </c>
    </row>
    <row r="14">
      <c r="A14" s="33" t="inlineStr">
        <is>
          <t>SCR-040</t>
        </is>
      </c>
      <c r="B14" s="33" t="inlineStr">
        <is>
          <t>상품 목록</t>
        </is>
      </c>
      <c r="C14" s="33" t="inlineStr">
        <is>
          <t>Web</t>
        </is>
      </c>
      <c r="D14" s="34" t="inlineStr">
        <is>
          <t>/products</t>
        </is>
      </c>
      <c r="E14" s="34" t="inlineStr">
        <is>
          <t>이용권/PT/기타 상품 목록. 카테고리 필터</t>
        </is>
      </c>
      <c r="F14" s="34" t="inlineStr">
        <is>
          <t>UI-082, UI-083, UI-084</t>
        </is>
      </c>
      <c r="G14" s="34" t="inlineStr">
        <is>
          <t>카테고리 필터, 상태 토글, 정렬</t>
        </is>
      </c>
      <c r="H14" s="34" t="inlineStr">
        <is>
          <t>테이블 레이아웃</t>
        </is>
      </c>
      <c r="I14" s="34" t="n"/>
      <c r="J14" s="34" t="inlineStr">
        <is>
          <t>GNB 메뉴</t>
        </is>
      </c>
      <c r="K14" s="34" t="inlineStr">
        <is>
          <t>SCR-041 (등록), SCR-040 (수정 모달)</t>
        </is>
      </c>
      <c r="L14" s="34" t="inlineStr">
        <is>
          <t>상품 없음: '등록된 상품이 없습니다'</t>
        </is>
      </c>
      <c r="M14" s="34" t="inlineStr">
        <is>
          <t>테이블 접근성</t>
        </is>
      </c>
      <c r="N14" s="34" t="inlineStr">
        <is>
          <t>테이블 반응형</t>
        </is>
      </c>
      <c r="O14" s="34" t="n"/>
      <c r="P14" s="34" t="n"/>
      <c r="Q14" s="34" t="inlineStr">
        <is>
          <t>확정</t>
        </is>
      </c>
      <c r="R14" s="34" t="inlineStr">
        <is>
          <t>개발팀</t>
        </is>
      </c>
      <c r="S14" s="34" t="n">
        <v>2</v>
      </c>
      <c r="T14" s="34" t="n">
        <v>3</v>
      </c>
      <c r="U14" s="34" t="n">
        <v>1</v>
      </c>
      <c r="V14" s="34" t="n"/>
      <c r="W14" s="34" t="n">
        <v>3</v>
      </c>
      <c r="X14" s="34" t="inlineStr">
        <is>
          <t>[헤더] 제목/설명 + 상품등록 버튼
[섹션1: 통계카드] 4개 (전체/활성/비활성/카테고리수)
[섹션2: 탭] 5개(전체/이용권/PT/GX/기타) + 개수표시
[섹션3: 검색] SearchFilter (상품명)
[섹션4: DataTable] 7컬럼 (카테고리/상품명/가격/이용기간/세션/상태/액션)
  - 정렬: name,price,category (ArrowUp/Down/UpDown 아이콘)
  - 액션: 수정/삭제 버튼
[다이얼로그] 삭제확인 (danger)</t>
        </is>
      </c>
      <c r="Y14" s="34" t="inlineStr">
        <is>
          <t>1:헤더 → 2:통계카드4개 → 3:탭5개 → 4:검색 → 5:테이블</t>
        </is>
      </c>
      <c r="Z14" s="34" t="inlineStr">
        <is>
          <t>page</t>
        </is>
      </c>
      <c r="AA14" s="34" t="inlineStr">
        <is>
          <t>GNB '상품 관리' 클릭</t>
        </is>
      </c>
      <c r="AB14" s="34" t="inlineStr">
        <is>
          <t>통계카드: 숫자 스켈레톤
테이블: 행 스켈레톤</t>
        </is>
      </c>
      <c r="AC14" s="34" t="inlineStr">
        <is>
          <t>상품 없음: '등록된 상품이 없습니다'</t>
        </is>
      </c>
      <c r="AD14" s="34" t="inlineStr">
        <is>
          <t>≥1024px(lg): 통계카드4열
&lt;768px: 통계카드1열
테이블: 가로스크롤</t>
        </is>
      </c>
      <c r="AE14" s="34" t="inlineStr">
        <is>
          <t>GNB 상단고정</t>
        </is>
      </c>
    </row>
    <row r="15">
      <c r="A15" s="33" t="inlineStr">
        <is>
          <t>SCR-041</t>
        </is>
      </c>
      <c r="B15" s="33" t="inlineStr">
        <is>
          <t>상품 등록</t>
        </is>
      </c>
      <c r="C15" s="33" t="inlineStr">
        <is>
          <t>Web</t>
        </is>
      </c>
      <c r="D15" s="34" t="inlineStr">
        <is>
          <t>/products/new</t>
        </is>
      </c>
      <c r="E15" s="34" t="inlineStr">
        <is>
          <t>신규 상품 등록 폼. 카테고리/이름/가격/기간 설정</t>
        </is>
      </c>
      <c r="F15" s="34" t="inlineStr">
        <is>
          <t>UI-085, UI-086, UI-087, UI-088</t>
        </is>
      </c>
      <c r="G15" s="34" t="inlineStr">
        <is>
          <t>카테고리 선택 시 하위 필드 변경, 가격 입력 포맷</t>
        </is>
      </c>
      <c r="H15" s="34" t="inlineStr">
        <is>
          <t>폼 유효성 검사</t>
        </is>
      </c>
      <c r="I15" s="34" t="n"/>
      <c r="J15" s="34" t="inlineStr">
        <is>
          <t>SCR-040 '등록' 버튼</t>
        </is>
      </c>
      <c r="K15" s="34" t="inlineStr">
        <is>
          <t>SCR-040 (저장 후)</t>
        </is>
      </c>
      <c r="L15" s="34" t="inlineStr">
        <is>
          <t>필수 미입력: 필드별 에러
중복 상품명: 경고</t>
        </is>
      </c>
      <c r="M15" s="34" t="inlineStr">
        <is>
          <t>폼 접근성</t>
        </is>
      </c>
      <c r="N15" s="34" t="inlineStr">
        <is>
          <t>폼 1열</t>
        </is>
      </c>
      <c r="O15" s="34" t="n"/>
      <c r="P15" s="34" t="n"/>
      <c r="Q15" s="34" t="inlineStr">
        <is>
          <t>확정</t>
        </is>
      </c>
      <c r="R15" s="34" t="inlineStr">
        <is>
          <t>개발팀</t>
        </is>
      </c>
      <c r="S15" s="34" t="n">
        <v>2</v>
      </c>
      <c r="T15" s="34" t="n">
        <v>1</v>
      </c>
      <c r="U15" s="34" t="n">
        <v>1</v>
      </c>
      <c r="V15" s="34" t="n"/>
      <c r="W15" s="34" t="n">
        <v>4</v>
      </c>
      <c r="X15" s="34" t="inlineStr">
        <is>
          <t>[초기: 유형선택화면]
  - 중앙정렬 텍스트
  - 4개 유형카드 그리드 (이용권/PT/GX/기타)
  - 취소 링크
[메인폼]
  - [헤더] 동적 제목 + 액션
  - [FormSection1: 기본정보 2열] 카테고리/상품명(중복체크)/현금가(콤마)/카드가/설명(2열span)/태그
  - [FormSection2: 이용기간/횟수 2열] 이용기간/횟수(PT·GX만)/요일안내(GX만)
  - [FormSection3: 추가설정 접기가능] 홀딩설정(토글+세부)/이용시간(범위추가삭제)/판매노출(토글2개)
  - [하단고정바] 상태배지+카테고리 + 취소/등록버튼</t>
        </is>
      </c>
      <c r="Y15" s="34" t="inlineStr">
        <is>
          <t>1:유형선택 → 2:헤더 → 3:기본정보 → 4:기간/횟수 → 5:추가설정 → 6:하단고정바</t>
        </is>
      </c>
      <c r="Z15" s="34" t="inlineStr">
        <is>
          <t>page (유형선택 → 폼 2-step)</t>
        </is>
      </c>
      <c r="AA15" s="34" t="inlineStr">
        <is>
          <t>SCR-040 '등록' 버튼 또는 수정 클릭</t>
        </is>
      </c>
      <c r="AB15" s="34" t="inlineStr">
        <is>
          <t>저장: 버튼 로딩스핀
상품명 중복체크: 실시간 검증</t>
        </is>
      </c>
      <c r="AC15" s="34" t="inlineStr">
        <is>
          <t>없음 (폼 페이지)</t>
        </is>
      </c>
      <c r="AD15" s="34" t="inlineStr">
        <is>
          <t>≥768px(md): FormSection 2열
&lt;768px: FormSection 1열
하단바: 모바일 전체너비, md에서 자동크기</t>
        </is>
      </c>
      <c r="AE15" s="34" t="inlineStr">
        <is>
          <t>하단 액션바 sticky bottom</t>
        </is>
      </c>
    </row>
    <row r="16">
      <c r="A16" s="33" t="inlineStr">
        <is>
          <t>SCR-050</t>
        </is>
      </c>
      <c r="B16" s="33" t="inlineStr">
        <is>
          <t>락커 현황</t>
        </is>
      </c>
      <c r="C16" s="33" t="inlineStr">
        <is>
          <t>Web</t>
        </is>
      </c>
      <c r="D16" s="34" t="inlineStr">
        <is>
          <t>/locker</t>
        </is>
      </c>
      <c r="E16" s="34" t="inlineStr">
        <is>
          <t>구역별 락커 그리드. 색상으로 상태 구분 (사용중/빈/만료임박)</t>
        </is>
      </c>
      <c r="F16" s="34" t="inlineStr">
        <is>
          <t>UI-053, UI-054, UI-055, UI-056</t>
        </is>
      </c>
      <c r="G16" s="34" t="inlineStr">
        <is>
          <t>구역 탭 전환, 락커 클릭 시 상세 모달, 범례 표시</t>
        </is>
      </c>
      <c r="H16" s="34" t="inlineStr">
        <is>
          <t>CSS Grid 레이아웃</t>
        </is>
      </c>
      <c r="I16" s="34" t="n"/>
      <c r="J16" s="34" t="inlineStr">
        <is>
          <t>GNB 메뉴</t>
        </is>
      </c>
      <c r="K16" s="34" t="inlineStr">
        <is>
          <t>SCR-051 (관리 이동)</t>
        </is>
      </c>
      <c r="L16" s="34" t="inlineStr">
        <is>
          <t>락커 없음: '등록된 락커가 없습니다'</t>
        </is>
      </c>
      <c r="M16" s="34" t="inlineStr">
        <is>
          <t>색상 + 패턴으로 상태 구분 (색약 대응)</t>
        </is>
      </c>
      <c r="N16" s="34" t="inlineStr">
        <is>
          <t>그리드 반응형</t>
        </is>
      </c>
      <c r="O16" s="34" t="n"/>
      <c r="P16" s="34" t="n"/>
      <c r="Q16" s="34" t="inlineStr">
        <is>
          <t>확정</t>
        </is>
      </c>
      <c r="R16" s="34" t="inlineStr">
        <is>
          <t>개발팀</t>
        </is>
      </c>
      <c r="S16" s="34" t="n">
        <v>2</v>
      </c>
      <c r="T16" s="34" t="n">
        <v>1</v>
      </c>
      <c r="U16" s="34" t="n">
        <v>1</v>
      </c>
      <c r="V16" s="34" t="n"/>
      <c r="W16" s="34" t="n">
        <v>4</v>
      </c>
      <c r="X16" s="34" t="inlineStr">
        <is>
          <t>[헤더] 제목 + 새로고침/엑셀/락커추가 버튼
[섹션1: 통계카드] 4개 (전체/사용중/만료임박/고장)
[섹션2: 구역탭+검색] TabNav(A/B/C구역) + 검색input + 범례
[섹션3: 락커그리드] 4x8=32개 셀 (aspect-square, 색상으로 상태구분)
  - 셀내용: 번호/회원명/D-Day/고장표시
  - 일괄선택모드: 체크아이콘
[모달] 락커상세(배정회원/만료일/이력테이블/배정해제)
[다이얼로그] 일괄해제확인</t>
        </is>
      </c>
      <c r="Y16" s="34" t="inlineStr">
        <is>
          <t>1:헤더 → 2:통계카드4개 → 3:구역탭+검색+범례 → 4:락커그리드</t>
        </is>
      </c>
      <c r="Z16" s="34" t="inlineStr">
        <is>
          <t>page</t>
        </is>
      </c>
      <c r="AA16" s="34" t="inlineStr">
        <is>
          <t>GNB '락커 관리' 클릭</t>
        </is>
      </c>
      <c r="AB16" s="34" t="inlineStr">
        <is>
          <t>그리드: 전체 스켈레톤
모달: 이력 로딩</t>
        </is>
      </c>
      <c r="AC16" s="34" t="inlineStr">
        <is>
          <t>락커 없음: '등록된 락커가 없습니다'
빈 락커: '비어있음' 표시
검색 없음: '결과가 없습니다'</t>
        </is>
      </c>
      <c r="AD16" s="34" t="inlineStr">
        <is>
          <t>≥768px(md): 그리드8열
640~767px(sm): 6열
&lt;640px: 4열</t>
        </is>
      </c>
      <c r="AE16" s="34" t="inlineStr">
        <is>
          <t>GNB 상단고정</t>
        </is>
      </c>
    </row>
    <row r="17">
      <c r="A17" s="33" t="inlineStr">
        <is>
          <t>SCR-051</t>
        </is>
      </c>
      <c r="B17" s="33" t="inlineStr">
        <is>
          <t>락커 관리</t>
        </is>
      </c>
      <c r="C17" s="33" t="inlineStr">
        <is>
          <t>Web</t>
        </is>
      </c>
      <c r="D17" s="34" t="inlineStr">
        <is>
          <t>/locker/management</t>
        </is>
      </c>
      <c r="E17" s="34" t="inlineStr">
        <is>
          <t>락커 배정/해제/일괄 관리</t>
        </is>
      </c>
      <c r="F17" s="34" t="inlineStr">
        <is>
          <t>UI-089, UI-090, UI-091, UI-092</t>
        </is>
      </c>
      <c r="G17" s="34" t="inlineStr">
        <is>
          <t>회원 검색 → 빈 락커 선택 → 배정, 일괄 선택 해제</t>
        </is>
      </c>
      <c r="H17" s="34" t="inlineStr">
        <is>
          <t>배정 모달</t>
        </is>
      </c>
      <c r="I17" s="34" t="n"/>
      <c r="J17" s="34" t="inlineStr">
        <is>
          <t>SCR-050, GNB</t>
        </is>
      </c>
      <c r="K17" s="34" t="inlineStr">
        <is>
          <t>SCR-050</t>
        </is>
      </c>
      <c r="L17" s="34" t="inlineStr">
        <is>
          <t>이미 배정된 락커: '이미 사용중인 락커입니다'</t>
        </is>
      </c>
      <c r="M17" s="34" t="inlineStr">
        <is>
          <t>모달 접근성</t>
        </is>
      </c>
      <c r="N17" s="34" t="inlineStr">
        <is>
          <t>모달 반응형</t>
        </is>
      </c>
      <c r="O17" s="34" t="n"/>
      <c r="P17" s="34" t="n"/>
      <c r="Q17" s="34" t="inlineStr">
        <is>
          <t>확정</t>
        </is>
      </c>
      <c r="R17" s="34" t="inlineStr">
        <is>
          <t>개발팀</t>
        </is>
      </c>
      <c r="S17" s="34" t="n">
        <v>0</v>
      </c>
      <c r="T17" s="34" t="n">
        <v>1</v>
      </c>
      <c r="U17" s="34" t="n">
        <v>1</v>
      </c>
      <c r="V17" s="34" t="n"/>
      <c r="W17" s="34" t="n">
        <v>4</v>
      </c>
      <c r="X17" s="34" t="inlineStr">
        <is>
          <t>[헤더] 밴드/카드관리 + 상태동기화/엑셀 버튼
[섹션1: 통계카드] 5개 (총/가능/사용중/시간초과/비정상)
[섹션2: 탭] 3개(일일/개인/골프)
[섹션3: 배정패널] 3열그리드(회원검색AutoComplete + 선택락커확인 + 배정버튼)
[일괄해제경고] 시간초과 시 amber배너
[빈사물함그리드] 12열 그리드, 선택토글
[전체현황] 남자/여자 섹션별 그리드 (시간초과: pulse아이콘)
[범례] 5가지 상태색상</t>
        </is>
      </c>
      <c r="Y17" s="34" t="inlineStr">
        <is>
          <t>1:헤더 → 2:통계카드5개 → 3:탭 → 4:배정패널 → 5:경고배너 → 6:빈사물함 → 7:전체현황 → 8:범례</t>
        </is>
      </c>
      <c r="Z17" s="34" t="inlineStr">
        <is>
          <t>page</t>
        </is>
      </c>
      <c r="AA17" s="34" t="inlineStr">
        <is>
          <t>GNB '사물함 관리' 클릭</t>
        </is>
      </c>
      <c r="AB17" s="34" t="inlineStr">
        <is>
          <t>사물함 데이터: 그리드 스켈레톤
배정처리: 버튼 로딩</t>
        </is>
      </c>
      <c r="AC17" s="34" t="inlineStr">
        <is>
          <t>빈 사물함 없음: '모든 사물함이 사용 중입니다'</t>
        </is>
      </c>
      <c r="AD17" s="34" t="inlineStr">
        <is>
          <t>≥1024px(lg): 그리드12열
768~1023px(md): 10열
640~767px(sm): 8열
&lt;640px: 5열</t>
        </is>
      </c>
      <c r="AE17" s="34" t="inlineStr">
        <is>
          <t>GNB 상단고정</t>
        </is>
      </c>
    </row>
    <row r="18">
      <c r="A18" s="33" t="inlineStr">
        <is>
          <t>SCR-052</t>
        </is>
      </c>
      <c r="B18" s="33" t="inlineStr">
        <is>
          <t>RFID 관리</t>
        </is>
      </c>
      <c r="C18" s="33" t="inlineStr">
        <is>
          <t>Web</t>
        </is>
      </c>
      <c r="D18" s="34" t="inlineStr">
        <is>
          <t>/rfid</t>
        </is>
      </c>
      <c r="E18" s="34" t="inlineStr">
        <is>
          <t>RFID 카드 등록/해제/이력 조회</t>
        </is>
      </c>
      <c r="F18" s="34" t="inlineStr">
        <is>
          <t>UI-108, UI-109, UI-110</t>
        </is>
      </c>
      <c r="G18" s="34" t="inlineStr">
        <is>
          <t>카드 번호 스캔 입력, 회원 매핑, 분실 처리 버튼</t>
        </is>
      </c>
      <c r="H18" s="34" t="inlineStr">
        <is>
          <t>RFID 리더기 연동</t>
        </is>
      </c>
      <c r="I18" s="34" t="n"/>
      <c r="J18" s="34" t="inlineStr">
        <is>
          <t>GNB 메뉴</t>
        </is>
      </c>
      <c r="K18" s="34" t="inlineStr">
        <is>
          <t>SCR-011 (회원 연결)</t>
        </is>
      </c>
      <c r="L18" s="34" t="inlineStr">
        <is>
          <t>미등록 카드: '등록되지 않은 카드입니다'
이미 매핑: '다른 회원에게 배정된 카드'</t>
        </is>
      </c>
      <c r="M18" s="34" t="inlineStr">
        <is>
          <t>폼 접근성</t>
        </is>
      </c>
      <c r="N18" s="34" t="inlineStr">
        <is>
          <t>테이블 반응형</t>
        </is>
      </c>
      <c r="O18" s="34" t="n"/>
      <c r="P18" s="34" t="n"/>
      <c r="Q18" s="34" t="inlineStr">
        <is>
          <t>확정</t>
        </is>
      </c>
      <c r="R18" s="34" t="inlineStr">
        <is>
          <t>개발팀</t>
        </is>
      </c>
      <c r="S18" s="34" t="n">
        <v>1</v>
      </c>
      <c r="T18" s="34" t="n">
        <v>1</v>
      </c>
      <c r="U18" s="34" t="n">
        <v>3</v>
      </c>
      <c r="V18" s="34" t="n"/>
      <c r="W18" s="34" t="n">
        <v>3</v>
      </c>
      <c r="X18" s="34" t="n"/>
      <c r="Y18" s="34" t="inlineStr">
        <is>
          <t>카드 목록 → 카드 등록/해제</t>
        </is>
      </c>
      <c r="Z18" s="34" t="n"/>
      <c r="AA18" s="34" t="n"/>
      <c r="AB18" s="34" t="n"/>
      <c r="AC18" s="34" t="n"/>
      <c r="AD18" s="34" t="n"/>
      <c r="AE18" s="34" t="n"/>
    </row>
    <row r="19">
      <c r="A19" s="33" t="inlineStr">
        <is>
          <t>SCR-053</t>
        </is>
      </c>
      <c r="B19" s="33" t="inlineStr">
        <is>
          <t>룸 관리</t>
        </is>
      </c>
      <c r="C19" s="33" t="inlineStr">
        <is>
          <t>Web</t>
        </is>
      </c>
      <c r="D19" s="34" t="inlineStr">
        <is>
          <t>/rooms</t>
        </is>
      </c>
      <c r="E19" s="34" t="inlineStr">
        <is>
          <t>GX룸/PT룸 등록/수정/삭제. 예약 시간대 설정</t>
        </is>
      </c>
      <c r="F19" s="34" t="inlineStr">
        <is>
          <t>UI-111, UI-112</t>
        </is>
      </c>
      <c r="G19" s="34" t="inlineStr">
        <is>
          <t>룸 카드 뷰, 수용인원 설정, 시간대 슬롯 설정</t>
        </is>
      </c>
      <c r="H19" s="34" t="inlineStr">
        <is>
          <t>카드 레이아웃</t>
        </is>
      </c>
      <c r="I19" s="34" t="n"/>
      <c r="J19" s="34" t="inlineStr">
        <is>
          <t>GNB 메뉴</t>
        </is>
      </c>
      <c r="K19" s="34" t="inlineStr">
        <is>
          <t>SCR-021 (일정 연결)</t>
        </is>
      </c>
      <c r="L19" s="34" t="inlineStr">
        <is>
          <t>룸 삭제 시 예약 존재: '기존 예약이 있어 삭제할 수 없습니다'</t>
        </is>
      </c>
      <c r="M19" s="34" t="inlineStr">
        <is>
          <t>카드 접근성</t>
        </is>
      </c>
      <c r="N19" s="34" t="inlineStr">
        <is>
          <t>카드 반응형</t>
        </is>
      </c>
      <c r="O19" s="34" t="n"/>
      <c r="P19" s="34" t="n"/>
      <c r="Q19" s="34" t="inlineStr">
        <is>
          <t>확정</t>
        </is>
      </c>
      <c r="R19" s="34" t="inlineStr">
        <is>
          <t>개발팀</t>
        </is>
      </c>
      <c r="S19" s="34" t="n">
        <v>1</v>
      </c>
      <c r="T19" s="34" t="n">
        <v>1</v>
      </c>
      <c r="U19" s="34" t="n">
        <v>1</v>
      </c>
      <c r="V19" s="34" t="n"/>
      <c r="W19" s="34" t="n">
        <v>2</v>
      </c>
      <c r="X19" s="34" t="n"/>
      <c r="Y19" s="34" t="inlineStr">
        <is>
          <t>시설 목록 → 시설 상태 → 관리</t>
        </is>
      </c>
      <c r="Z19" s="34" t="n"/>
      <c r="AA19" s="34" t="n"/>
      <c r="AB19" s="34" t="n"/>
      <c r="AC19" s="34" t="n"/>
      <c r="AD19" s="34" t="n"/>
      <c r="AE19" s="34" t="n"/>
    </row>
    <row r="20">
      <c r="A20" s="33" t="inlineStr">
        <is>
          <t>SCR-060</t>
        </is>
      </c>
      <c r="B20" s="33" t="inlineStr">
        <is>
          <t>직원 목록</t>
        </is>
      </c>
      <c r="C20" s="33" t="inlineStr">
        <is>
          <t>Web</t>
        </is>
      </c>
      <c r="D20" s="34" t="inlineStr">
        <is>
          <t>/staff</t>
        </is>
      </c>
      <c r="E20" s="34" t="inlineStr">
        <is>
          <t>직원 검색/필터/목록 조회</t>
        </is>
      </c>
      <c r="F20" s="34" t="inlineStr">
        <is>
          <t>UI-057, UI-058, UI-059, UI-060, UI-061</t>
        </is>
      </c>
      <c r="G20" s="34" t="inlineStr">
        <is>
          <t>역할 필터, 상태 필터, 검색, 테이블 정렬</t>
        </is>
      </c>
      <c r="H20" s="34" t="inlineStr">
        <is>
          <t>테이블 레이아웃</t>
        </is>
      </c>
      <c r="I20" s="34" t="n"/>
      <c r="J20" s="34" t="inlineStr">
        <is>
          <t>GNB 메뉴</t>
        </is>
      </c>
      <c r="K20" s="34" t="inlineStr">
        <is>
          <t>SCR-061 (등록), 직원 상세 모달</t>
        </is>
      </c>
      <c r="L20" s="34" t="inlineStr">
        <is>
          <t>검색 결과 없음: '조건에 맞는 직원이 없습니다'</t>
        </is>
      </c>
      <c r="M20" s="34" t="inlineStr">
        <is>
          <t>테이블 접근성</t>
        </is>
      </c>
      <c r="N20" s="34" t="inlineStr">
        <is>
          <t>테이블 반응형</t>
        </is>
      </c>
      <c r="O20" s="34" t="n"/>
      <c r="P20" s="34" t="n"/>
      <c r="Q20" s="34" t="inlineStr">
        <is>
          <t>확정</t>
        </is>
      </c>
      <c r="R20" s="34" t="inlineStr">
        <is>
          <t>개발팀</t>
        </is>
      </c>
      <c r="S20" s="34" t="n">
        <v>2</v>
      </c>
      <c r="T20" s="34" t="n">
        <v>1</v>
      </c>
      <c r="U20" s="34" t="n">
        <v>3</v>
      </c>
      <c r="V20" s="34" t="inlineStr">
        <is>
          <t>페이지네이션 상태 관리 구현. 퇴사 처리 ConfirmDialog (2026-03-13)</t>
        </is>
      </c>
      <c r="W20" s="34" t="n">
        <v>5</v>
      </c>
      <c r="X20" s="34" t="inlineStr">
        <is>
          <t>[헤더] 제목 + 직원등록 버튼
[섹션1: 통계카드] 4개 (전체/재직/휴직/퇴사)
[섹션2: SearchFilter] 직원명/연락처 검색 + role/status 필터
[섹션3: 액션버튼] 4개 (메시지/상태변경/퇴사/다운로드)
[섹션4: DataTable] 8컬럼 (No/이름/역할배지/연락처/입사일/상태/메모/메뉴)
  - 선택가능, 3방향정렬
[다이얼로그] 퇴사확인 (danger)</t>
        </is>
      </c>
      <c r="Y20" s="34" t="inlineStr">
        <is>
          <t>1:헤더 → 2:통계카드4개 → 3:검색/필터 → 4:액션버튼 → 5:테이블</t>
        </is>
      </c>
      <c r="Z20" s="34" t="inlineStr">
        <is>
          <t>page</t>
        </is>
      </c>
      <c r="AA20" s="34" t="inlineStr">
        <is>
          <t>GNB '직원 관리' 클릭</t>
        </is>
      </c>
      <c r="AB20" s="34" t="inlineStr">
        <is>
          <t>통계카드: 숫자 스켈레톤
테이블: 행 스켈레톤</t>
        </is>
      </c>
      <c r="AC20" s="34" t="inlineStr">
        <is>
          <t>직원 없음: '등록된 직원이 없습니다'</t>
        </is>
      </c>
      <c r="AD20" s="34" t="inlineStr">
        <is>
          <t>≥1024px(lg): 통계카드4열
&lt;768px: 통계카드1열</t>
        </is>
      </c>
      <c r="AE20" s="34" t="inlineStr">
        <is>
          <t>GNB 상단고정</t>
        </is>
      </c>
    </row>
    <row r="21">
      <c r="A21" s="33" t="inlineStr">
        <is>
          <t>SCR-061</t>
        </is>
      </c>
      <c r="B21" s="33" t="inlineStr">
        <is>
          <t>직원 등록</t>
        </is>
      </c>
      <c r="C21" s="33" t="inlineStr">
        <is>
          <t>Web</t>
        </is>
      </c>
      <c r="D21" s="34" t="inlineStr">
        <is>
          <t>/staff/new</t>
        </is>
      </c>
      <c r="E21" s="34" t="inlineStr">
        <is>
          <t>신규 직원 등록 폼</t>
        </is>
      </c>
      <c r="F21" s="34" t="inlineStr">
        <is>
          <t>UI-093, UI-094, UI-095, UI-096, UI-097</t>
        </is>
      </c>
      <c r="G21" s="34" t="inlineStr">
        <is>
          <t>역할 선택 시 권한 미리보기, 관리자 계정 자동 생성 옵션</t>
        </is>
      </c>
      <c r="H21" s="34" t="inlineStr">
        <is>
          <t>폼 레이아웃</t>
        </is>
      </c>
      <c r="I21" s="34" t="n"/>
      <c r="J21" s="34" t="inlineStr">
        <is>
          <t>SCR-060 '등록' 버튼</t>
        </is>
      </c>
      <c r="K21" s="34" t="inlineStr">
        <is>
          <t>SCR-060 (저장 후)</t>
        </is>
      </c>
      <c r="L21" s="34" t="inlineStr">
        <is>
          <t>필수 미입력: 필드별 에러
중복 이메일: 경고</t>
        </is>
      </c>
      <c r="M21" s="34" t="inlineStr">
        <is>
          <t>폼 접근성</t>
        </is>
      </c>
      <c r="N21" s="34" t="inlineStr">
        <is>
          <t>폼 1열</t>
        </is>
      </c>
      <c r="O21" s="34" t="n"/>
      <c r="P21" s="34" t="n"/>
      <c r="Q21" s="34" t="inlineStr">
        <is>
          <t>확정</t>
        </is>
      </c>
      <c r="R21" s="34" t="inlineStr">
        <is>
          <t>개발팀</t>
        </is>
      </c>
      <c r="S21" s="34" t="n">
        <v>0</v>
      </c>
      <c r="T21" s="34" t="n">
        <v>1</v>
      </c>
      <c r="U21" s="34" t="n">
        <v>1</v>
      </c>
      <c r="V21" s="34" t="n"/>
      <c r="W21" s="34" t="n">
        <v>5</v>
      </c>
      <c r="X21" s="34" t="inlineStr">
        <is>
          <t>[헤더] 제목 + 취소/저장 버튼
[FormSection1: 기본정보] 이름(필수)/역할(select+권한미리보기)/연락처(자동하이픈)/입사일(date)
[FormSection2: 추가정보] 이메일/메모(textarea)
[다이얼로그] 등록취소확인</t>
        </is>
      </c>
      <c r="Y21" s="34" t="inlineStr">
        <is>
          <t>1:헤더 → 2:기본정보폼 → 3:추가정보폼</t>
        </is>
      </c>
      <c r="Z21" s="34" t="inlineStr">
        <is>
          <t>page</t>
        </is>
      </c>
      <c r="AA21" s="34" t="inlineStr">
        <is>
          <t>SCR-060 '직원 등록' 버튼</t>
        </is>
      </c>
      <c r="AB21" s="34" t="inlineStr">
        <is>
          <t>저장: 버튼 로딩</t>
        </is>
      </c>
      <c r="AC21" s="34" t="inlineStr">
        <is>
          <t>없음 (폼 페이지)</t>
        </is>
      </c>
      <c r="AD21" s="34" t="inlineStr">
        <is>
          <t>max-w-[860px]
모든 필드 전체너비</t>
        </is>
      </c>
      <c r="AE21" s="34" t="inlineStr">
        <is>
          <t>없음</t>
        </is>
      </c>
    </row>
    <row r="22">
      <c r="A22" s="33" t="inlineStr">
        <is>
          <t>SCR-062</t>
        </is>
      </c>
      <c r="B22" s="33" t="inlineStr">
        <is>
          <t>급여 현황</t>
        </is>
      </c>
      <c r="C22" s="33" t="inlineStr">
        <is>
          <t>Web</t>
        </is>
      </c>
      <c r="D22" s="34" t="inlineStr">
        <is>
          <t>/payroll</t>
        </is>
      </c>
      <c r="E22" s="34" t="inlineStr">
        <is>
          <t>월별 급여 현황 테이블. 합계/평균 요약</t>
        </is>
      </c>
      <c r="F22" s="34" t="inlineStr">
        <is>
          <t>UI-098, UI-099, UI-100</t>
        </is>
      </c>
      <c r="G22" s="34" t="inlineStr">
        <is>
          <t>월 선택, 지급상태 필터, 합계 행</t>
        </is>
      </c>
      <c r="H22" s="34" t="inlineStr">
        <is>
          <t>테이블 + 요약 카드</t>
        </is>
      </c>
      <c r="I22" s="34" t="n"/>
      <c r="J22" s="34" t="inlineStr">
        <is>
          <t>GNB 메뉴</t>
        </is>
      </c>
      <c r="K22" s="34" t="inlineStr">
        <is>
          <t>SCR-063 (명세서)</t>
        </is>
      </c>
      <c r="L22" s="34" t="inlineStr">
        <is>
          <t>데이터 없음: '해당 월 급여 데이터가 없습니다'</t>
        </is>
      </c>
      <c r="M22" s="34" t="inlineStr">
        <is>
          <t>테이블 접근성</t>
        </is>
      </c>
      <c r="N22" s="34" t="inlineStr">
        <is>
          <t>테이블 반응형</t>
        </is>
      </c>
      <c r="O22" s="34" t="n"/>
      <c r="P22" s="34" t="n"/>
      <c r="Q22" s="34" t="inlineStr">
        <is>
          <t>확정</t>
        </is>
      </c>
      <c r="R22" s="34" t="inlineStr">
        <is>
          <t>개발팀</t>
        </is>
      </c>
      <c r="S22" s="34" t="n">
        <v>2</v>
      </c>
      <c r="T22" s="34" t="n">
        <v>1</v>
      </c>
      <c r="U22" s="34" t="n">
        <v>1</v>
      </c>
      <c r="V22" s="34" t="inlineStr">
        <is>
          <t>페이지네이션 상태 관리 구현. 필터 변경 시 1페이지 리셋 (2026-03-13)</t>
        </is>
      </c>
      <c r="W22" s="34" t="n">
        <v>3</v>
      </c>
      <c r="X22" s="34" t="n"/>
      <c r="Y22" s="34" t="inlineStr">
        <is>
          <t>월 선택 → 급여 테이블 → 합계/액션</t>
        </is>
      </c>
      <c r="Z22" s="34" t="n"/>
      <c r="AA22" s="34" t="n"/>
      <c r="AB22" s="34" t="n"/>
      <c r="AC22" s="34" t="n"/>
      <c r="AD22" s="34" t="n"/>
      <c r="AE22" s="34" t="n"/>
    </row>
    <row r="23">
      <c r="A23" s="33" t="inlineStr">
        <is>
          <t>SCR-063</t>
        </is>
      </c>
      <c r="B23" s="33" t="inlineStr">
        <is>
          <t>급여명세서</t>
        </is>
      </c>
      <c r="C23" s="33" t="inlineStr">
        <is>
          <t>Web</t>
        </is>
      </c>
      <c r="D23" s="34" t="inlineStr">
        <is>
          <t>/payroll/statements</t>
        </is>
      </c>
      <c r="E23" s="34" t="inlineStr">
        <is>
          <t>직원별 급여명세서 상세. PDF 다운로드</t>
        </is>
      </c>
      <c r="F23" s="34" t="inlineStr">
        <is>
          <t>UI-127, UI-128, UI-129</t>
        </is>
      </c>
      <c r="G23" s="34" t="inlineStr">
        <is>
          <t>직원 선택, 월 선택, 명세서 상세 표시, PDF 다운로드</t>
        </is>
      </c>
      <c r="H23" s="34" t="inlineStr">
        <is>
          <t>PDF 생성 (html2pdf)</t>
        </is>
      </c>
      <c r="I23" s="34" t="n"/>
      <c r="J23" s="34" t="inlineStr">
        <is>
          <t>SCR-062 직원 클릭</t>
        </is>
      </c>
      <c r="K23" s="34" t="inlineStr">
        <is>
          <t>SCR-062</t>
        </is>
      </c>
      <c r="L23" s="34" t="inlineStr">
        <is>
          <t>명세서 없음: '해당 월 명세서가 없습니다'</t>
        </is>
      </c>
      <c r="M23" s="34" t="inlineStr">
        <is>
          <t>명세서 접근성</t>
        </is>
      </c>
      <c r="N23" s="34" t="inlineStr">
        <is>
          <t>A4 레이아웃</t>
        </is>
      </c>
      <c r="O23" s="34" t="n"/>
      <c r="P23" s="34" t="n"/>
      <c r="Q23" s="34" t="inlineStr">
        <is>
          <t>확정</t>
        </is>
      </c>
      <c r="R23" s="34" t="inlineStr">
        <is>
          <t>개발팀</t>
        </is>
      </c>
      <c r="S23" s="34" t="n">
        <v>0</v>
      </c>
      <c r="T23" s="34" t="n">
        <v>1</v>
      </c>
      <c r="U23" s="34" t="n">
        <v>1</v>
      </c>
      <c r="V23" s="34" t="n"/>
      <c r="W23" s="34" t="n">
        <v>3</v>
      </c>
      <c r="X23" s="34" t="n"/>
      <c r="Y23" s="34" t="inlineStr">
        <is>
          <t>월 선택 → 급여 테이블 → 합계/액션</t>
        </is>
      </c>
      <c r="Z23" s="34" t="n"/>
      <c r="AA23" s="34" t="n"/>
      <c r="AB23" s="34" t="n"/>
      <c r="AC23" s="34" t="n"/>
      <c r="AD23" s="34" t="n"/>
      <c r="AE23" s="34" t="n"/>
    </row>
    <row r="24">
      <c r="A24" s="33" t="inlineStr">
        <is>
          <t>SCR-070</t>
        </is>
      </c>
      <c r="B24" s="33" t="inlineStr">
        <is>
          <t>메시지 발송</t>
        </is>
      </c>
      <c r="C24" s="33" t="inlineStr">
        <is>
          <t>Web</t>
        </is>
      </c>
      <c r="D24" s="34" t="inlineStr">
        <is>
          <t>/message</t>
        </is>
      </c>
      <c r="E24" s="34" t="inlineStr">
        <is>
          <t>SMS/카카오톡 메시지 발송. 수신자 선택 + 본문 편집</t>
        </is>
      </c>
      <c r="F24" s="34" t="inlineStr">
        <is>
          <t>UI-062, UI-063, UI-064, UI-065, UI-066</t>
        </is>
      </c>
      <c r="G24" s="34" t="inlineStr">
        <is>
          <t>수신자 검색/그룹 선택, 메시지 유형 탭, 미리보기, 발송 이력 테이블</t>
        </is>
      </c>
      <c r="H24" s="34" t="inlineStr">
        <is>
          <t>메시지 API 연동</t>
        </is>
      </c>
      <c r="I24" s="34" t="n"/>
      <c r="J24" s="34" t="inlineStr">
        <is>
          <t>GNB 메뉴</t>
        </is>
      </c>
      <c r="K24" s="34" t="inlineStr">
        <is>
          <t>발송 이력 상세 모달</t>
        </is>
      </c>
      <c r="L24" s="34" t="inlineStr">
        <is>
          <t>수신자 미선택: '수신자를 선택해주세요'
발송 실패: 실패 건 재발송 옵션</t>
        </is>
      </c>
      <c r="M24" s="34" t="inlineStr">
        <is>
          <t>폼 접근성</t>
        </is>
      </c>
      <c r="N24" s="34" t="inlineStr">
        <is>
          <t>2컬럼→1컬럼</t>
        </is>
      </c>
      <c r="O24" s="34" t="n"/>
      <c r="P24" s="34" t="n"/>
      <c r="Q24" s="34" t="inlineStr">
        <is>
          <t>확정</t>
        </is>
      </c>
      <c r="R24" s="34" t="inlineStr">
        <is>
          <t>개발팀</t>
        </is>
      </c>
      <c r="S24" s="34" t="n">
        <v>2</v>
      </c>
      <c r="T24" s="34" t="n">
        <v>2</v>
      </c>
      <c r="U24" s="34" t="n">
        <v>0</v>
      </c>
      <c r="V24" s="34" t="n"/>
      <c r="W24" s="34" t="n">
        <v>5</v>
      </c>
      <c r="X24" s="34" t="inlineStr">
        <is>
          <t>[헤더] 월선택(최근12개월 드롭다운) + 내보내기 버튼
[섹션1: 통계카드] 4개 (총지급대상/총실지급액/지급완료/미지급보류)
[섹션2: SearchFilter] 직원명/역할 + status 필터
[섹션3: DataTable] 7컬럼 (이름/역할/기본급/인센티브(녹색+)/공제(빨강-)/실지급액(파란굵음)/지급상태)
  - 정렬 지원
[합계행] 기본급/인센티브/공제합계+평균, 실지급액 강조
[바로가기배너] 급여명세서 링크 (FileText + 파란배경)</t>
        </is>
      </c>
      <c r="Y24" s="34" t="inlineStr">
        <is>
          <t>1:헤더+월선택 → 2:통계카드4개 → 3:검색/필터 → 4:테이블 → 5:합계행 → 6:명세서배너</t>
        </is>
      </c>
      <c r="Z24" s="34" t="inlineStr">
        <is>
          <t>page</t>
        </is>
      </c>
      <c r="AA24" s="34" t="inlineStr">
        <is>
          <t>GNB '급여 관리' 클릭</t>
        </is>
      </c>
      <c r="AB24" s="34" t="inlineStr">
        <is>
          <t>통계카드: 숫자 스켈레톤
테이블: 행 스켈레톤
월 변경: 전체 재조회</t>
        </is>
      </c>
      <c r="AC24" s="34" t="inlineStr">
        <is>
          <t>데이터 없음: '해당 월 급여 데이터가 없습니다'</t>
        </is>
      </c>
      <c r="AD24" s="34" t="inlineStr">
        <is>
          <t>≥1024px(lg): 통계카드4열
&lt;768px: 통계카드2열</t>
        </is>
      </c>
      <c r="AE24" s="34" t="inlineStr">
        <is>
          <t>GNB 상단고정</t>
        </is>
      </c>
    </row>
    <row r="25">
      <c r="A25" s="33" t="inlineStr">
        <is>
          <t>SCR-071</t>
        </is>
      </c>
      <c r="B25" s="33" t="inlineStr">
        <is>
          <t>자동 알림</t>
        </is>
      </c>
      <c r="C25" s="33" t="inlineStr">
        <is>
          <t>Web</t>
        </is>
      </c>
      <c r="D25" s="34" t="inlineStr">
        <is>
          <t>/message/auto-alarm</t>
        </is>
      </c>
      <c r="E25" s="34" t="inlineStr">
        <is>
          <t>자동 알림 규칙 설정 (만료/생일/미출석 등)</t>
        </is>
      </c>
      <c r="F25" s="34" t="inlineStr">
        <is>
          <t>UI-101, UI-102</t>
        </is>
      </c>
      <c r="G25" s="34" t="inlineStr">
        <is>
          <t>규칙 토글 ON/OFF, 발송 시점 설정, 메시지 템플릿 편집</t>
        </is>
      </c>
      <c r="H25" s="34" t="inlineStr">
        <is>
          <t>규칙 엔진 설정 UI</t>
        </is>
      </c>
      <c r="I25" s="34" t="n"/>
      <c r="J25" s="34" t="inlineStr">
        <is>
          <t>SCR-070, GNB</t>
        </is>
      </c>
      <c r="K25" s="34" t="inlineStr">
        <is>
          <t>SCR-070 (발송 이력)</t>
        </is>
      </c>
      <c r="L25" s="34" t="inlineStr">
        <is>
          <t>템플릿 미입력: '메시지 내용을 입력해주세요'</t>
        </is>
      </c>
      <c r="M25" s="34" t="inlineStr">
        <is>
          <t>토글 접근성</t>
        </is>
      </c>
      <c r="N25" s="34" t="inlineStr">
        <is>
          <t>폼 1열</t>
        </is>
      </c>
      <c r="O25" s="34" t="n"/>
      <c r="P25" s="34" t="n"/>
      <c r="Q25" s="34" t="inlineStr">
        <is>
          <t>확정</t>
        </is>
      </c>
      <c r="R25" s="34" t="inlineStr">
        <is>
          <t>개발팀</t>
        </is>
      </c>
      <c r="S25" s="34" t="n">
        <v>0</v>
      </c>
      <c r="T25" s="34" t="n">
        <v>0</v>
      </c>
      <c r="U25" s="34" t="n">
        <v>0</v>
      </c>
      <c r="V25" s="34" t="n"/>
      <c r="W25" s="34" t="n">
        <v>2</v>
      </c>
      <c r="X25" s="34" t="inlineStr">
        <is>
          <t>[헤더] 일괄인쇄 버튼
[통계카드] 3개 (총실지급액/지급완료건/미지급건)
[2열 레이아웃 xl기준]
  - [좌측: 선택패널 sticky]
    - 직원선택(select) + 월선택(select)
    - 명세서상세: 직원정보헤더(primary-light) + 지급항목(Plus녹색) + 공제항목(Minus빨강) + 실지급액(accent-light 강조)
    - 이메일/PDF 버튼
  - [우측: 전체현황]
    - DataTable 7컬럼
[모달] 명세서상세 (스크롤, max-h-[65vh])</t>
        </is>
      </c>
      <c r="Y25" s="34" t="inlineStr">
        <is>
          <t>1:헤더 → 2:통계카드3개 → 3좌:직원/월선택+명세서상세 → 3우:전체현황테이블</t>
        </is>
      </c>
      <c r="Z25" s="34" t="inlineStr">
        <is>
          <t>page (2-column layout)</t>
        </is>
      </c>
      <c r="AA25" s="34" t="inlineStr">
        <is>
          <t>SCR-070 '명세서 바로가기' 클릭 / GNB</t>
        </is>
      </c>
      <c r="AB25" s="34" t="inlineStr">
        <is>
          <t>데이터 로딩: 전체 스켈레톤
직원변경: 명세서 갱신</t>
        </is>
      </c>
      <c r="AC25" s="34" t="inlineStr">
        <is>
          <t>명세서 없음: '해당 월 명세서가 없습니다'</t>
        </is>
      </c>
      <c r="AD25" s="34" t="inlineStr">
        <is>
          <t>≥1280px(xl): 2열(선택+현황)
&lt;1280px: 1열(상하스택)
좌측패널: xl에서 sticky</t>
        </is>
      </c>
      <c r="AE25" s="34" t="inlineStr">
        <is>
          <t>좌측패널 xl에서 sticky</t>
        </is>
      </c>
    </row>
    <row r="26">
      <c r="A26" s="33" t="inlineStr">
        <is>
          <t>SCR-072</t>
        </is>
      </c>
      <c r="B26" s="33" t="inlineStr">
        <is>
          <t>쿠폰 관리</t>
        </is>
      </c>
      <c r="C26" s="33" t="inlineStr">
        <is>
          <t>Web</t>
        </is>
      </c>
      <c r="D26" s="34" t="inlineStr">
        <is>
          <t>/message/coupon</t>
        </is>
      </c>
      <c r="E26" s="34" t="inlineStr">
        <is>
          <t>쿠폰 생성/발급/이력 관리</t>
        </is>
      </c>
      <c r="F26" s="34" t="inlineStr">
        <is>
          <t>UI-103, UI-104</t>
        </is>
      </c>
      <c r="G26" s="34" t="inlineStr">
        <is>
          <t>쿠폰 생성 모달, 발급 대상 선택, 사용 이력 테이블</t>
        </is>
      </c>
      <c r="H26" s="34" t="inlineStr">
        <is>
          <t>모달 + 테이블</t>
        </is>
      </c>
      <c r="I26" s="34" t="n"/>
      <c r="J26" s="34" t="inlineStr">
        <is>
          <t>GNB 메뉴</t>
        </is>
      </c>
      <c r="K26" s="34" t="inlineStr">
        <is>
          <t>쿠폰 상세 모달</t>
        </is>
      </c>
      <c r="L26" s="34" t="inlineStr">
        <is>
          <t>유효기간 만료: '만료된 쿠폰입니다'
사용 한도 초과: 비활성화</t>
        </is>
      </c>
      <c r="M26" s="34" t="inlineStr">
        <is>
          <t>모달 접근성</t>
        </is>
      </c>
      <c r="N26" s="34" t="inlineStr">
        <is>
          <t>테이블 반응형</t>
        </is>
      </c>
      <c r="O26" s="34" t="n"/>
      <c r="P26" s="34" t="n"/>
      <c r="Q26" s="34" t="inlineStr">
        <is>
          <t>확정</t>
        </is>
      </c>
      <c r="R26" s="34" t="inlineStr">
        <is>
          <t>개발팀</t>
        </is>
      </c>
      <c r="S26" s="34" t="n">
        <v>2</v>
      </c>
      <c r="T26" s="34" t="n">
        <v>1</v>
      </c>
      <c r="U26" s="34" t="n">
        <v>0</v>
      </c>
      <c r="V26" s="34" t="n"/>
      <c r="W26" s="34" t="n">
        <v>2</v>
      </c>
      <c r="X26" s="34" t="n"/>
      <c r="Y26" s="34" t="inlineStr">
        <is>
          <t>쿠폰 목록 → 쿠폰 생성/발급</t>
        </is>
      </c>
      <c r="Z26" s="34" t="n"/>
      <c r="AA26" s="34" t="n"/>
      <c r="AB26" s="34" t="n"/>
      <c r="AC26" s="34" t="n"/>
      <c r="AD26" s="34" t="n"/>
      <c r="AE26" s="34" t="n"/>
    </row>
    <row r="27">
      <c r="A27" s="33" t="inlineStr">
        <is>
          <t>SCR-073</t>
        </is>
      </c>
      <c r="B27" s="33" t="inlineStr">
        <is>
          <t>마일리지 관리</t>
        </is>
      </c>
      <c r="C27" s="33" t="inlineStr">
        <is>
          <t>Web</t>
        </is>
      </c>
      <c r="D27" s="34" t="inlineStr">
        <is>
          <t>/mileage</t>
        </is>
      </c>
      <c r="E27" s="34" t="inlineStr">
        <is>
          <t>회원 마일리지 적립/사용 이력 조회 및 관리</t>
        </is>
      </c>
      <c r="F27" s="34" t="inlineStr">
        <is>
          <t>UI-105, UI-106, UI-107</t>
        </is>
      </c>
      <c r="G27" s="34" t="inlineStr">
        <is>
          <t>회원 검색, 적립/차감 모달, 이력 테이블</t>
        </is>
      </c>
      <c r="H27" s="34" t="inlineStr">
        <is>
          <t>모달 + 테이블</t>
        </is>
      </c>
      <c r="I27" s="34" t="n"/>
      <c r="J27" s="34" t="inlineStr">
        <is>
          <t>GNB 메뉴</t>
        </is>
      </c>
      <c r="K27" s="34" t="inlineStr">
        <is>
          <t>SCR-011 (회원 연결)</t>
        </is>
      </c>
      <c r="L27" s="34" t="inlineStr">
        <is>
          <t>잔액 부족 차감: '마일리지가 부족합니다'</t>
        </is>
      </c>
      <c r="M27" s="34" t="inlineStr">
        <is>
          <t>테이블 접근성</t>
        </is>
      </c>
      <c r="N27" s="34" t="inlineStr">
        <is>
          <t>테이블 반응형</t>
        </is>
      </c>
      <c r="O27" s="34" t="n"/>
      <c r="P27" s="34" t="n"/>
      <c r="Q27" s="34" t="inlineStr">
        <is>
          <t>확정</t>
        </is>
      </c>
      <c r="R27" s="34" t="inlineStr">
        <is>
          <t>개발팀</t>
        </is>
      </c>
      <c r="S27" s="34" t="n">
        <v>0</v>
      </c>
      <c r="T27" s="34" t="n">
        <v>1</v>
      </c>
      <c r="U27" s="34" t="n">
        <v>0</v>
      </c>
      <c r="V27" s="34" t="inlineStr">
        <is>
          <t>마일리지 이력 탭 엑셀 다운로드 실제 구현 (2026-03-13)</t>
        </is>
      </c>
      <c r="W27" s="34" t="n">
        <v>3</v>
      </c>
      <c r="X27" s="34" t="n"/>
      <c r="Y27" s="34" t="inlineStr">
        <is>
          <t>회원 검색 → 마일리지 현황 → 적립/차감</t>
        </is>
      </c>
      <c r="Z27" s="34" t="n"/>
      <c r="AA27" s="34" t="n"/>
      <c r="AB27" s="34" t="n"/>
      <c r="AC27" s="34" t="n"/>
      <c r="AD27" s="34" t="n"/>
      <c r="AE27" s="34" t="n"/>
    </row>
    <row r="28">
      <c r="A28" s="33" t="inlineStr">
        <is>
          <t>SCR-080</t>
        </is>
      </c>
      <c r="B28" s="33" t="inlineStr">
        <is>
          <t>계약 마법사</t>
        </is>
      </c>
      <c r="C28" s="33" t="inlineStr">
        <is>
          <t>Web</t>
        </is>
      </c>
      <c r="D28" s="34" t="inlineStr">
        <is>
          <t>/contracts/new</t>
        </is>
      </c>
      <c r="E28" s="34" t="inlineStr">
        <is>
          <t>단계별 계약 등록 위자드 (회원→상품→기간→결제→확인)</t>
        </is>
      </c>
      <c r="F28" s="34" t="inlineStr">
        <is>
          <t>UI-067, UI-068, UI-069, UI-070, UI-071, UI-072</t>
        </is>
      </c>
      <c r="G28" s="34" t="inlineStr">
        <is>
          <t>스텝 인디케이터, 이전/다음 버튼, 단계별 유효성 검사</t>
        </is>
      </c>
      <c r="H28" s="34" t="inlineStr">
        <is>
          <t>위자드 컴포넌트</t>
        </is>
      </c>
      <c r="I28" s="34" t="n"/>
      <c r="J28" s="34" t="inlineStr">
        <is>
          <t>SCR-011, SCR-031</t>
        </is>
      </c>
      <c r="K28" s="34" t="inlineStr">
        <is>
          <t>SCR-011 (완료 후)</t>
        </is>
      </c>
      <c r="L28" s="34" t="inlineStr">
        <is>
          <t>필수 단계 미완료: '이전 단계를 완료해주세요'
결제 실패: 재시도 옵션</t>
        </is>
      </c>
      <c r="M28" s="34" t="inlineStr">
        <is>
          <t>스텝 접근성</t>
        </is>
      </c>
      <c r="N28" s="34" t="inlineStr">
        <is>
          <t>스텝 세로 배치</t>
        </is>
      </c>
      <c r="O28" s="34" t="n"/>
      <c r="P28" s="34" t="n"/>
      <c r="Q28" s="34" t="inlineStr">
        <is>
          <t>확정</t>
        </is>
      </c>
      <c r="R28" s="34" t="inlineStr">
        <is>
          <t>개발팀</t>
        </is>
      </c>
      <c r="S28" s="34" t="n">
        <v>2</v>
      </c>
      <c r="T28" s="34" t="n">
        <v>2</v>
      </c>
      <c r="U28" s="34" t="n">
        <v>2</v>
      </c>
      <c r="V28" s="34" t="inlineStr">
        <is>
          <t>전자서명 Canvas (센터측+고객측 양방향) 구현 (2026-03-13)</t>
        </is>
      </c>
      <c r="W28" s="34" t="n">
        <v>6</v>
      </c>
      <c r="X28" s="34" t="inlineStr">
        <is>
          <t>[헤더] 제목
[탭] 2개 (발송/이력)
[포인트현황카드] 3열(잔여포인트/사용량/발신설정)
[발송탭: 2열 xl기준]
  - [좌측: 수동발송폼]
    - 수신자선택: 그룹빠른선택5버튼 + 선택배지 + 대상검색모달
    - 발송채널: 3라디오(알림톡8원/SMS·LMS/앱푸시무료) + 글자제한안내
    - 예상비용: 단가×수신자 계산
    - 메시지내용: textarea + 글자수게이지 + 변수삽입5버튼
    - 예약발송: checkbox + datetime
  - [우측: 자동알림설정]
    - 고객관련 5토글 + 상품관련 4토글
[이력탭] DataTable 8컬럼
[모달] 수신자검색(체크리스트) / 미리보기(채널+내용+발송버튼)</t>
        </is>
      </c>
      <c r="Y28" s="34" t="inlineStr">
        <is>
          <t>1:헤더 → 2:탭 → 3:포인트현황 → 4좌:수신자+채널+비용+메시지+예약 → 4우:자동알림</t>
        </is>
      </c>
      <c r="Z28" s="34" t="inlineStr">
        <is>
          <t>page (2-column layout on send tab)</t>
        </is>
      </c>
      <c r="AA28" s="34" t="inlineStr">
        <is>
          <t>GNB '메시지 발송' 클릭</t>
        </is>
      </c>
      <c r="AB28" s="34" t="inlineStr">
        <is>
          <t>이력: 테이블 스켈레톤
발송처리: 버튼 로딩</t>
        </is>
      </c>
      <c r="AC28" s="34" t="inlineStr">
        <is>
          <t>수신자 없음: '검색 결과가 없습니다'
이력 없음: '발송 이력이 없습니다'</t>
        </is>
      </c>
      <c r="AD28" s="34" t="inlineStr">
        <is>
          <t>≥1280px(xl): 발송2열
&lt;1280px: 발송1열(폼→자동알림 순서)
포인트: md에서 col-span-2</t>
        </is>
      </c>
      <c r="AE28" s="34" t="inlineStr">
        <is>
          <t>GNB 상단고정</t>
        </is>
      </c>
    </row>
    <row r="29">
      <c r="A29" s="33" t="inlineStr">
        <is>
          <t>SCR-081</t>
        </is>
      </c>
      <c r="B29" s="33" t="inlineStr">
        <is>
          <t>구독 관리</t>
        </is>
      </c>
      <c r="C29" s="33" t="inlineStr">
        <is>
          <t>Web</t>
        </is>
      </c>
      <c r="D29" s="34" t="inlineStr">
        <is>
          <t>/subscription</t>
        </is>
      </c>
      <c r="E29" s="34" t="inlineStr">
        <is>
          <t>정기 구독 상품 관리. 자동 결제 현황</t>
        </is>
      </c>
      <c r="F29" s="34" t="inlineStr">
        <is>
          <t>UI-113, UI-114</t>
        </is>
      </c>
      <c r="G29" s="34" t="inlineStr">
        <is>
          <t>구독 상품 목록, 결제 현황 대시보드, 구독 상세 모달</t>
        </is>
      </c>
      <c r="H29" s="34" t="inlineStr">
        <is>
          <t>테이블 + 카드</t>
        </is>
      </c>
      <c r="I29" s="34" t="n"/>
      <c r="J29" s="34" t="inlineStr">
        <is>
          <t>GNB 메뉴</t>
        </is>
      </c>
      <c r="K29" s="34" t="inlineStr">
        <is>
          <t>구독 상세 모달</t>
        </is>
      </c>
      <c r="L29" s="34" t="inlineStr">
        <is>
          <t>결제 실패 구독: 경고 배지 표시</t>
        </is>
      </c>
      <c r="M29" s="34" t="inlineStr">
        <is>
          <t>테이블 접근성</t>
        </is>
      </c>
      <c r="N29" s="34" t="inlineStr">
        <is>
          <t>카드 반응형</t>
        </is>
      </c>
      <c r="O29" s="34" t="n"/>
      <c r="P29" s="34" t="n"/>
      <c r="Q29" s="34" t="inlineStr">
        <is>
          <t>확정</t>
        </is>
      </c>
      <c r="R29" s="34" t="inlineStr">
        <is>
          <t>개발팀</t>
        </is>
      </c>
      <c r="S29" s="34" t="n">
        <v>0</v>
      </c>
      <c r="T29" s="34" t="n">
        <v>2</v>
      </c>
      <c r="U29" s="34" t="n">
        <v>4</v>
      </c>
      <c r="V29" s="34" t="n"/>
      <c r="W29" s="34" t="n">
        <v>2</v>
      </c>
      <c r="X29" s="34" t="n"/>
      <c r="Y29" s="34" t="inlineStr">
        <is>
          <t>현재 플랜 → 플랜 비교 → 결제 정보</t>
        </is>
      </c>
      <c r="Z29" s="34" t="n"/>
      <c r="AA29" s="34" t="n"/>
      <c r="AB29" s="34" t="n"/>
      <c r="AC29" s="34" t="n"/>
      <c r="AD29" s="34" t="n"/>
      <c r="AE29" s="34" t="n"/>
    </row>
    <row r="30">
      <c r="A30" s="33" t="inlineStr">
        <is>
          <t>SCR-090</t>
        </is>
      </c>
      <c r="B30" s="33" t="inlineStr">
        <is>
          <t>설정</t>
        </is>
      </c>
      <c r="C30" s="33" t="inlineStr">
        <is>
          <t>Web</t>
        </is>
      </c>
      <c r="D30" s="34" t="inlineStr">
        <is>
          <t>/settings</t>
        </is>
      </c>
      <c r="E30" s="34" t="inlineStr">
        <is>
          <t>시스템 기본 설정. 센터 정보/영업시간/알림 등</t>
        </is>
      </c>
      <c r="F30" s="34" t="inlineStr">
        <is>
          <t>UI-073, UI-074, UI-075</t>
        </is>
      </c>
      <c r="G30" s="34" t="inlineStr">
        <is>
          <t>탭 구성 (기본/알림/테마), 저장 버튼</t>
        </is>
      </c>
      <c r="H30" s="34" t="inlineStr">
        <is>
          <t>탭 + 폼</t>
        </is>
      </c>
      <c r="I30" s="34" t="n"/>
      <c r="J30" s="34" t="inlineStr">
        <is>
          <t>GNB 메뉴</t>
        </is>
      </c>
      <c r="K30" s="34" t="inlineStr">
        <is>
          <t>SCR-091, SCR-092, SCR-093</t>
        </is>
      </c>
      <c r="L30" s="34" t="inlineStr">
        <is>
          <t>저장 실패: 토스트 에러</t>
        </is>
      </c>
      <c r="M30" s="34" t="inlineStr">
        <is>
          <t>탭 접근성</t>
        </is>
      </c>
      <c r="N30" s="34" t="inlineStr">
        <is>
          <t>폼 1열</t>
        </is>
      </c>
      <c r="O30" s="34" t="n"/>
      <c r="P30" s="34" t="n"/>
      <c r="Q30" s="34" t="inlineStr">
        <is>
          <t>확정</t>
        </is>
      </c>
      <c r="R30" s="34" t="inlineStr">
        <is>
          <t>개발팀</t>
        </is>
      </c>
      <c r="S30" s="34" t="n">
        <v>5</v>
      </c>
      <c r="T30" s="34" t="n">
        <v>1</v>
      </c>
      <c r="U30" s="34" t="n">
        <v>0</v>
      </c>
      <c r="V30" s="34" t="n"/>
      <c r="W30" s="34" t="n">
        <v>3</v>
      </c>
      <c r="X30" s="34" t="inlineStr">
        <is>
          <t>[헤더] 제목 + 취소 버튼
[Step Indicator] 5단계 프로그레스바 (원형번호/CheckCircle, 색상변화)
[Step1: 회원선택] 검색input + DataTable(4컬럼) + 선택확인배지
[Step2: 상품선택] 2열(좌:탭4개+상품카드그리드 / 우:장바구니sticky)
[Step3: 기간/금액] FormSection3개(계약기간2열/할인설정2열+미리보기/특약메모) + 안내배너
[Step4: 결제] 2열(좌:결제수단4버튼+금액요약 / 우:결제실행버튼)
[Step5: 확인] 안내배너 + 계약요약카드(회원/조건/상품/금액)
[하단] 이전/다음(또는 완료) 버튼</t>
        </is>
      </c>
      <c r="Y30" s="34" t="inlineStr">
        <is>
          <t>1:헤더 → 2:스텝인디케이터 → 3:스텝콘텐츠(1~5) → 4:이전/다음버튼</t>
        </is>
      </c>
      <c r="Z30" s="34" t="inlineStr">
        <is>
          <t>page (5-step wizard)</t>
        </is>
      </c>
      <c r="AA30" s="34" t="inlineStr">
        <is>
          <t>GNB '전자계약' 클릭</t>
        </is>
      </c>
      <c r="AB30" s="34" t="inlineStr">
        <is>
          <t>회원/상품 조회: 테이블/카드 스켈레톤
Step전환: 애니메이션(animate-in)</t>
        </is>
      </c>
      <c r="AC30" s="34" t="inlineStr">
        <is>
          <t>회원 없음: '검색 결과가 없습니다'
상품 없음: '등록된 상품이 없습니다'
장바구니 비어있음: '상품을 선택해주세요'</t>
        </is>
      </c>
      <c r="AD30" s="34" t="inlineStr">
        <is>
          <t>Step Indicator: min-w-[600px] 가로스크롤
메인: max-w-[1200px]
Step2,4: lg에서 2열</t>
        </is>
      </c>
      <c r="AE30" s="34" t="inlineStr">
        <is>
          <t>하단 이전/다음 버튼 고정</t>
        </is>
      </c>
    </row>
    <row r="31">
      <c r="A31" s="33" t="inlineStr">
        <is>
          <t>SCR-091</t>
        </is>
      </c>
      <c r="B31" s="33" t="inlineStr">
        <is>
          <t>권한 설정</t>
        </is>
      </c>
      <c r="C31" s="33" t="inlineStr">
        <is>
          <t>Web</t>
        </is>
      </c>
      <c r="D31" s="34" t="inlineStr">
        <is>
          <t>/settings/permissions</t>
        </is>
      </c>
      <c r="E31" s="34" t="inlineStr">
        <is>
          <t>역할별 메뉴/기능 권한 매트릭스</t>
        </is>
      </c>
      <c r="F31" s="34" t="inlineStr">
        <is>
          <t>UI-076, UI-077, UI-078</t>
        </is>
      </c>
      <c r="G31" s="34" t="inlineStr">
        <is>
          <t>역할 탭, 권한 체크박스 매트릭스, 일괄 설정</t>
        </is>
      </c>
      <c r="H31" s="34" t="inlineStr">
        <is>
          <t>매트릭스 테이블</t>
        </is>
      </c>
      <c r="I31" s="34" t="n"/>
      <c r="J31" s="34" t="inlineStr">
        <is>
          <t>SCR-090, GNB</t>
        </is>
      </c>
      <c r="K31" s="34" t="inlineStr">
        <is>
          <t>SCR-090</t>
        </is>
      </c>
      <c r="L31" s="34" t="inlineStr">
        <is>
          <t>권한 충돌: 경고 표시</t>
        </is>
      </c>
      <c r="M31" s="34" t="inlineStr">
        <is>
          <t>체크박스 접근성</t>
        </is>
      </c>
      <c r="N31" s="34" t="inlineStr">
        <is>
          <t>테이블 가로스크롤</t>
        </is>
      </c>
      <c r="O31" s="34" t="n"/>
      <c r="P31" s="34" t="n"/>
      <c r="Q31" s="34" t="inlineStr">
        <is>
          <t>확정</t>
        </is>
      </c>
      <c r="R31" s="34" t="inlineStr">
        <is>
          <t>개발팀</t>
        </is>
      </c>
      <c r="S31" s="34" t="n">
        <v>0</v>
      </c>
      <c r="T31" s="34" t="n">
        <v>2</v>
      </c>
      <c r="U31" s="34" t="n">
        <v>0</v>
      </c>
      <c r="V31" s="34" t="n"/>
      <c r="W31" s="34" t="n">
        <v>3</v>
      </c>
      <c r="X31" s="34" t="inlineStr">
        <is>
          <t>[헤더] 제목 + 신규쿠폰생성 버튼
[섹션1: 통계카드] 4개 (전체/활성/총발급/사용완료)
[탭] 2개 (쿠폰목록/발급이력)
[쿠폰목록탭] SearchFilter(상태/유형) + DataTable 8컬럼(쿠폰명+코드배지/유형/할인값/사용현황 프로그레스바/유효기간+D-day/상태/등록일/메뉴)
[발급이력탭] SearchFilter(발급일/쿠폰/상태) + DataTable 8컬럼
[모달] 쿠폰생성폼(쿠폰명/코드자동생성/유형라디오/한도/할인방식/유효기간/조건/메모) / 쿠폰발급(개인·그룹토글/수신자검색태그/수량/알림메시지)
[다이얼로그] 삭제확인</t>
        </is>
      </c>
      <c r="Y31" s="34" t="inlineStr">
        <is>
          <t>1:헤더 → 2:통계카드4개 → 3:탭 → 4:검색/필터 → 5:테이블</t>
        </is>
      </c>
      <c r="Z31" s="34" t="inlineStr">
        <is>
          <t>page</t>
        </is>
      </c>
      <c r="AA31" s="34" t="inlineStr">
        <is>
          <t>GNB '쿠폰 관리' 클릭</t>
        </is>
      </c>
      <c r="AB31" s="34" t="inlineStr">
        <is>
          <t>통계카드: 스켈레톤
테이블: 행 스켈레톤</t>
        </is>
      </c>
      <c r="AC31" s="34" t="inlineStr">
        <is>
          <t>쿠폰 없음: '등록된 쿠폰이 없습니다'
발급이력 없음: '발급 이력이 없습니다'</t>
        </is>
      </c>
      <c r="AD31" s="34" t="inlineStr">
        <is>
          <t>≥768px(md): 통계카드4열
&lt;768px: 통계카드1열
모달: max-w-2xl</t>
        </is>
      </c>
      <c r="AE31" s="34" t="inlineStr">
        <is>
          <t>GNB 상단고정</t>
        </is>
      </c>
    </row>
    <row r="32">
      <c r="A32" s="33" t="inlineStr">
        <is>
          <t>SCR-092</t>
        </is>
      </c>
      <c r="B32" s="33" t="inlineStr">
        <is>
          <t>키오스크 설정</t>
        </is>
      </c>
      <c r="C32" s="33" t="inlineStr">
        <is>
          <t>Web</t>
        </is>
      </c>
      <c r="D32" s="34" t="inlineStr">
        <is>
          <t>/settings/kiosk</t>
        </is>
      </c>
      <c r="E32" s="34" t="inlineStr">
        <is>
          <t>키오스크 디스플레이/동작 설정</t>
        </is>
      </c>
      <c r="F32" s="34" t="inlineStr">
        <is>
          <t>UI-115, UI-116</t>
        </is>
      </c>
      <c r="G32" s="34" t="inlineStr">
        <is>
          <t>미리보기, 로고 업로드, 동작 시나리오 설정</t>
        </is>
      </c>
      <c r="H32" s="34" t="inlineStr">
        <is>
          <t>미리보기 컴포넌트</t>
        </is>
      </c>
      <c r="I32" s="34" t="n"/>
      <c r="J32" s="34" t="inlineStr">
        <is>
          <t>SCR-090, GNB</t>
        </is>
      </c>
      <c r="K32" s="34" t="inlineStr">
        <is>
          <t>SCR-090</t>
        </is>
      </c>
      <c r="L32" s="34" t="inlineStr">
        <is>
          <t>이미지 용량 초과: '5MB 이하 파일만 업로드 가능합니다'</t>
        </is>
      </c>
      <c r="M32" s="34" t="inlineStr">
        <is>
          <t>폼 접근성</t>
        </is>
      </c>
      <c r="N32" s="34" t="inlineStr">
        <is>
          <t>폼 1열</t>
        </is>
      </c>
      <c r="O32" s="34" t="n"/>
      <c r="P32" s="34" t="n"/>
      <c r="Q32" s="34" t="inlineStr">
        <is>
          <t>확정</t>
        </is>
      </c>
      <c r="R32" s="34" t="inlineStr">
        <is>
          <t>개발팀</t>
        </is>
      </c>
      <c r="S32" s="34" t="n">
        <v>0</v>
      </c>
      <c r="T32" s="34" t="n">
        <v>1</v>
      </c>
      <c r="U32" s="34" t="n">
        <v>0</v>
      </c>
      <c r="V32" s="34" t="inlineStr">
        <is>
          <t>placeholder URL 제거, 빈 상태 UI 구현 (2026-03-13)</t>
        </is>
      </c>
      <c r="W32" s="34" t="n">
        <v>2</v>
      </c>
      <c r="X32" s="34" t="inlineStr">
        <is>
          <t>[헤더] 제목 + 엑셀다운로드 버튼
[섹션1: 통계카드] 4개 (발행/사용/잔여/이번달적립)
[탭] 3개 (현황/이력/정책)
[현황탭] SearchFilter(회원명/연락처+정렬/만료임박) + DataTable 9컬럼(아바타+회원명링크/연락처/적립/사용/잔여(bold)/최근적립일/만료예정일+D-day/메뉴)
[이력탭] SearchFilter(회원명+기간/처리유형) + DataTable 8컬럼
[정책탭] 변경감지배너(amber) + FormSection3개(기본적립/사용제한/대상상품) + 저장버튼(isDirty)
[모달] 수동조정(적립·차감토글/금액/사유/메모)
[다이얼로그] 정책변경확인</t>
        </is>
      </c>
      <c r="Y32" s="34" t="inlineStr">
        <is>
          <t>1:헤더 → 2:통계카드4개 → 3:탭 → 4:탭콘텐츠</t>
        </is>
      </c>
      <c r="Z32" s="34" t="inlineStr">
        <is>
          <t>page</t>
        </is>
      </c>
      <c r="AA32" s="34" t="inlineStr">
        <is>
          <t>GNB '마일리지 관리' 클릭</t>
        </is>
      </c>
      <c r="AB32" s="34" t="inlineStr">
        <is>
          <t>통계카드: 스켈레톤
테이블: 행 스켈레톤</t>
        </is>
      </c>
      <c r="AC32" s="34" t="inlineStr">
        <is>
          <t>현황 없음: '마일리지 데이터가 없습니다'
이력 없음: '이력이 없습니다'</t>
        </is>
      </c>
      <c r="AD32" s="34" t="inlineStr">
        <is>
          <t>≥1024px(lg): 통계카드4열
&lt;768px: 통계카드2열
정책탭: max-w-4xl</t>
        </is>
      </c>
      <c r="AE32" s="34" t="inlineStr">
        <is>
          <t>GNB 상단고정</t>
        </is>
      </c>
    </row>
    <row r="33">
      <c r="A33" s="33" t="inlineStr">
        <is>
          <t>SCR-093</t>
        </is>
      </c>
      <c r="B33" s="33" t="inlineStr">
        <is>
          <t>IoT 설정</t>
        </is>
      </c>
      <c r="C33" s="33" t="inlineStr">
        <is>
          <t>Web</t>
        </is>
      </c>
      <c r="D33" s="34" t="inlineStr">
        <is>
          <t>/settings/iot</t>
        </is>
      </c>
      <c r="E33" s="34" t="inlineStr">
        <is>
          <t>출입문/체성분 기기 연동 설정</t>
        </is>
      </c>
      <c r="F33" s="34" t="inlineStr">
        <is>
          <t>UI-117, UI-118</t>
        </is>
      </c>
      <c r="G33" s="34" t="inlineStr">
        <is>
          <t>기기 목록, 연결 상태 표시, 테스트 버튼</t>
        </is>
      </c>
      <c r="H33" s="34" t="inlineStr">
        <is>
          <t>기기 연동 API</t>
        </is>
      </c>
      <c r="I33" s="34" t="n"/>
      <c r="J33" s="34" t="inlineStr">
        <is>
          <t>SCR-090, GNB</t>
        </is>
      </c>
      <c r="K33" s="34" t="inlineStr">
        <is>
          <t>SCR-090</t>
        </is>
      </c>
      <c r="L33" s="34" t="inlineStr">
        <is>
          <t>연결 실패: '기기와 연결할 수 없습니다' + 재시도</t>
        </is>
      </c>
      <c r="M33" s="34" t="inlineStr">
        <is>
          <t>상태 아이콘 alt-text</t>
        </is>
      </c>
      <c r="N33" s="34" t="inlineStr">
        <is>
          <t>테이블 반응형</t>
        </is>
      </c>
      <c r="O33" s="34" t="n"/>
      <c r="P33" s="34" t="n"/>
      <c r="Q33" s="34" t="inlineStr">
        <is>
          <t>확정</t>
        </is>
      </c>
      <c r="R33" s="34" t="inlineStr">
        <is>
          <t>개발팀</t>
        </is>
      </c>
      <c r="S33" s="34" t="n">
        <v>0</v>
      </c>
      <c r="T33" s="34" t="n">
        <v>1</v>
      </c>
      <c r="U33" s="34" t="n">
        <v>0</v>
      </c>
      <c r="V33" s="34" t="n"/>
      <c r="W33" s="34" t="n">
        <v>2</v>
      </c>
      <c r="X33" s="34" t="inlineStr">
        <is>
          <t>[헤더] 제목 + 신규등록 버튼
[섹션1: 통계카드] 3개 (전체/활성/미사용·해제·분실)
[섹션2: SearchFilter] 카드번호/회원명 + 상태필터
[섹션3: DataTable] 9컬럼 (등록일/카드번호(mono)/회원명링크/유형배지/상태(dot)/발급일/사물함/메뉴)
[모달] 카드등록(스캔UI pulse애니메이션 + 카드입력 + 사용자유형라디오 + 회원검색드롭다운 + 매핑확인카드 + 락커번호) / 이력조회(날짜범위+테이블)
[다이얼로그] 삭제확인</t>
        </is>
      </c>
      <c r="Y33" s="34" t="inlineStr">
        <is>
          <t>1:헤더 → 2:통계카드3개 → 3:검색/필터 → 4:테이블</t>
        </is>
      </c>
      <c r="Z33" s="34" t="inlineStr">
        <is>
          <t>page</t>
        </is>
      </c>
      <c r="AA33" s="34" t="inlineStr">
        <is>
          <t>GNB '밴드/카드' 클릭</t>
        </is>
      </c>
      <c r="AB33" s="34" t="inlineStr">
        <is>
          <t>통계카드: 스켈레톤
테이블: 행 스켈레톤
카드스캔: pulse 애니메이션</t>
        </is>
      </c>
      <c r="AC33" s="34" t="inlineStr">
        <is>
          <t>카드 없음: '등록된 카드가 없습니다'
이력 없음: '이력이 없습니다'</t>
        </is>
      </c>
      <c r="AD33" s="34" t="inlineStr">
        <is>
          <t>≥768px(md): 통계카드3열
&lt;768px: 통계카드1열
모달: max-w-[560px]</t>
        </is>
      </c>
      <c r="AE33" s="34" t="inlineStr">
        <is>
          <t>GNB 상단고정</t>
        </is>
      </c>
    </row>
    <row r="34">
      <c r="A34" s="33" t="inlineStr">
        <is>
          <t>SCR-094</t>
        </is>
      </c>
      <c r="B34" s="33" t="inlineStr">
        <is>
          <t>지점 관리</t>
        </is>
      </c>
      <c r="C34" s="33" t="inlineStr">
        <is>
          <t>Web</t>
        </is>
      </c>
      <c r="D34" s="34" t="inlineStr">
        <is>
          <t>/branches</t>
        </is>
      </c>
      <c r="E34" s="34" t="inlineStr">
        <is>
          <t>지점 CRUD. 멀티테넌트 관리</t>
        </is>
      </c>
      <c r="F34" s="34" t="inlineStr">
        <is>
          <t>UI-079, UI-080, UI-081</t>
        </is>
      </c>
      <c r="G34" s="34" t="inlineStr">
        <is>
          <t>지점 카드/테이블 뷰 전환, 지점 추가 모달, 데이터 초기화</t>
        </is>
      </c>
      <c r="H34" s="34" t="inlineStr">
        <is>
          <t>카드/테이블 토글</t>
        </is>
      </c>
      <c r="I34" s="34" t="n"/>
      <c r="J34" s="34" t="inlineStr">
        <is>
          <t>GNB 메뉴 (최고관리자만)</t>
        </is>
      </c>
      <c r="K34" s="34" t="inlineStr">
        <is>
          <t>지점 상세 모달</t>
        </is>
      </c>
      <c r="L34" s="34" t="inlineStr">
        <is>
          <t>지점 삭제 시 데이터 존재: '소속 데이터가 있어 삭제 불가'</t>
        </is>
      </c>
      <c r="M34" s="34" t="inlineStr">
        <is>
          <t>카드/테이블 접근성</t>
        </is>
      </c>
      <c r="N34" s="34" t="inlineStr">
        <is>
          <t>카드 반응형</t>
        </is>
      </c>
      <c r="O34" s="34" t="n"/>
      <c r="P34" s="34" t="n"/>
      <c r="Q34" s="34" t="inlineStr">
        <is>
          <t>확정</t>
        </is>
      </c>
      <c r="R34" s="34" t="inlineStr">
        <is>
          <t>개발팀</t>
        </is>
      </c>
      <c r="S34" s="34" t="n">
        <v>0</v>
      </c>
      <c r="T34" s="34" t="n">
        <v>2</v>
      </c>
      <c r="U34" s="34" t="n">
        <v>1</v>
      </c>
      <c r="V34" s="34" t="n"/>
      <c r="W34" s="34" t="n">
        <v>3</v>
      </c>
      <c r="X34" s="34" t="inlineStr">
        <is>
          <t>[헤더] 제목 + 연결상태배지(Wifi아이콘) + 설정저장 버튼
[에러배너] 오프라인 시 (조건부)
[탭] 4개 (기본설정/화면설정/TTS설정/출입규칙)
[기본설정탭] 2열(좌:FormSection(키오스크타입/입장방식/시스템설정) / 우:KioskPreview 폰프레임목업)
[화면설정탭] FormSection(로고/배경/테마색상/환영문구/공지·날씨/광고배너)
[TTS설정탭] FormSection(안내메시지) + 테이블(이벤트/메시지/Play재생버튼)
[출입규칙탭] FormSection(출입시간/만료회원/중복체크인)</t>
        </is>
      </c>
      <c r="Y34" s="34" t="inlineStr">
        <is>
          <t>1:헤더+상태 → 2:에러배너(조건부) → 3:탭 → 4:탭콘텐츠</t>
        </is>
      </c>
      <c r="Z34" s="34" t="inlineStr">
        <is>
          <t>page</t>
        </is>
      </c>
      <c r="AA34" s="34" t="inlineStr">
        <is>
          <t>GNB '키오스크' 클릭</t>
        </is>
      </c>
      <c r="AB34" s="34" t="inlineStr">
        <is>
          <t>설정 로딩: 전체 스켈레톤
저장: 버튼 로딩 + toast</t>
        </is>
      </c>
      <c r="AC34" s="34" t="inlineStr">
        <is>
          <t>없음 (설정 페이지, 기본값 존재)</t>
        </is>
      </c>
      <c r="AD34" s="34" t="inlineStr">
        <is>
          <t>기본설정: lg에서 3열(좌2:우1 preview)
&lt;1024px: 1열(preview 아래로)
모바일: 체크인방식 숨김</t>
        </is>
      </c>
      <c r="AE34" s="34" t="inlineStr">
        <is>
          <t>GNB 상단고정</t>
        </is>
      </c>
    </row>
    <row r="35">
      <c r="A35" s="33" t="inlineStr">
        <is>
          <t>SCR-000</t>
        </is>
      </c>
      <c r="B35" s="33" t="inlineStr">
        <is>
          <t>공통 레이아웃</t>
        </is>
      </c>
      <c r="C35" s="33" t="inlineStr">
        <is>
          <t>Web</t>
        </is>
      </c>
      <c r="D35" s="34" t="inlineStr">
        <is>
          <t>/</t>
        </is>
      </c>
      <c r="E35" s="34" t="inlineStr">
        <is>
          <t>전체 화면 공통 레이아웃. AppHeader(GNB) + AppSidebar + 콘텐츠 영역. 사이드바 접기/펼치기, 반응형</t>
        </is>
      </c>
      <c r="F35" s="34" t="inlineStr">
        <is>
          <t>UI-201,UI-202,UI-203</t>
        </is>
      </c>
      <c r="G35" s="34" t="inlineStr">
        <is>
          <t>사이드바 접기/펼치기 시 콘텐츠 영역 자동 조정, 반응형 브레이크포인트(1024px/768px)</t>
        </is>
      </c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inlineStr">
        <is>
          <t>확정</t>
        </is>
      </c>
      <c r="R35" s="34" t="inlineStr">
        <is>
          <t>개발팀</t>
        </is>
      </c>
      <c r="S35" s="34" t="n">
        <v>0</v>
      </c>
      <c r="T35" s="34" t="n">
        <v>0</v>
      </c>
      <c r="U35" s="34" t="n">
        <v>0</v>
      </c>
      <c r="V35" s="34" t="n"/>
      <c r="W35" s="34" t="n">
        <v>0</v>
      </c>
      <c r="X35" s="34" t="inlineStr">
        <is>
          <t>[GNB] 상단 고정 헤더 (h:56px)
[Sidebar] 좌측 사이드바 (w:240px, 접힌 상태 60px)
[Content] 우측 메인 콘텐츠 영역 (flex-1, p-6)</t>
        </is>
      </c>
      <c r="Y35" s="34" t="inlineStr">
        <is>
          <t>1:GNB → 2:Sidebar → 3:Content</t>
        </is>
      </c>
      <c r="Z35" s="34" t="inlineStr">
        <is>
          <t>layout (모든 페이지 공통 래퍼)</t>
        </is>
      </c>
      <c r="AA35" s="34" t="inlineStr">
        <is>
          <t>로그인 성공 후</t>
        </is>
      </c>
      <c r="AB35" s="34" t="inlineStr">
        <is>
          <t>N/A</t>
        </is>
      </c>
      <c r="AC35" s="34" t="inlineStr">
        <is>
          <t>N/A</t>
        </is>
      </c>
      <c r="AD35" s="34" t="inlineStr">
        <is>
          <t>≥1024px: 사이드바 240px + 콘텐츠
768~1023px: 사이드바 60px(아이콘만)
&lt;768px: 사이드바 숨김, 햄버거 메뉴</t>
        </is>
      </c>
      <c r="AE35" s="34" t="inlineStr">
        <is>
          <t>GNB 상단 고정, Sidebar 좌측 고정</t>
        </is>
      </c>
    </row>
    <row r="36">
      <c r="A36" s="33" t="inlineStr">
        <is>
          <t>SCR-ERR</t>
        </is>
      </c>
      <c r="B36" s="33" t="inlineStr">
        <is>
          <t>404 에러</t>
        </is>
      </c>
      <c r="C36" s="33" t="inlineStr">
        <is>
          <t>Web</t>
        </is>
      </c>
      <c r="D36" s="34" t="inlineStr">
        <is>
          <t>/*</t>
        </is>
      </c>
      <c r="E36" s="34" t="inlineStr">
        <is>
          <t>존재하지 않는 경로 접근 시 표시. 메인으로 돌아가기 버튼</t>
        </is>
      </c>
      <c r="F36" s="34" t="inlineStr">
        <is>
          <t>(없음)</t>
        </is>
      </c>
      <c r="G36" s="34" t="inlineStr">
        <is>
          <t>메인으로 돌아가기 버튼 클릭→대시보드(/)로 이동</t>
        </is>
      </c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inlineStr">
        <is>
          <t>확정</t>
        </is>
      </c>
      <c r="R36" s="34" t="inlineStr">
        <is>
          <t>개발팀</t>
        </is>
      </c>
      <c r="S36" s="34" t="n">
        <v>0</v>
      </c>
      <c r="T36" s="34" t="n">
        <v>2</v>
      </c>
      <c r="U36" s="34" t="n">
        <v>0</v>
      </c>
      <c r="V36" s="34" t="n"/>
      <c r="W36" s="34" t="n">
        <v>0</v>
      </c>
      <c r="X36" s="34" t="inlineStr">
        <is>
          <t>[중앙] 404 아이콘 + "페이지를 찾을 수 없습니다" 메시지 + 홈으로 돌아가기 버튼</t>
        </is>
      </c>
      <c r="Y36" s="34" t="inlineStr">
        <is>
          <t>1:404 아이콘 → 2:에러 메시지 → 3:돌아가기 버튼</t>
        </is>
      </c>
      <c r="Z36" s="34" t="inlineStr">
        <is>
          <t>page (사이드바 없음)</t>
        </is>
      </c>
      <c r="AA36" s="34" t="inlineStr">
        <is>
          <t>잘못된 URL 직접 접근</t>
        </is>
      </c>
      <c r="AB36" s="34" t="inlineStr">
        <is>
          <t>N/A</t>
        </is>
      </c>
      <c r="AC36" s="34" t="inlineStr">
        <is>
          <t>N/A</t>
        </is>
      </c>
      <c r="AD36" s="34" t="inlineStr">
        <is>
          <t>반응형 중앙 정렬</t>
        </is>
      </c>
      <c r="AE36" s="34" t="inlineStr">
        <is>
          <t>없음</t>
        </is>
      </c>
    </row>
    <row r="37">
      <c r="A37" s="33" t="inlineStr">
        <is>
          <t>SCR-001-E</t>
        </is>
      </c>
      <c r="B37" s="33" t="inlineStr">
        <is>
          <t>로그인 - 에러 상태</t>
        </is>
      </c>
      <c r="C37" s="33" t="inlineStr">
        <is>
          <t>Web</t>
        </is>
      </c>
      <c r="D37" s="34" t="inlineStr">
        <is>
          <t>/login</t>
        </is>
      </c>
      <c r="E37" s="34" t="inlineStr">
        <is>
          <t>로그인 실패 시 에러 메시지 표시 상태. 빨간 배경 에러 박스 활성</t>
        </is>
      </c>
      <c r="F37" s="34" t="inlineStr">
        <is>
          <t>(해당 없음)</t>
        </is>
      </c>
      <c r="G37" s="34" t="inlineStr">
        <is>
          <t>에러 메시지 닫기, 재입력 시 에러 초기화</t>
        </is>
      </c>
      <c r="H37" s="34" t="n"/>
      <c r="I37" s="34" t="n"/>
      <c r="J37" s="34" t="inlineStr">
        <is>
          <t>SCR-001 로그인 실패 시</t>
        </is>
      </c>
      <c r="K37" s="34" t="n"/>
      <c r="L37" s="34" t="inlineStr">
        <is>
          <t>계정 잠금: '5회 실패로 잠겼습니다. 30분 후 다시 시도하세요'</t>
        </is>
      </c>
      <c r="M37" s="34" t="n"/>
      <c r="N37" s="34" t="n"/>
      <c r="O37" s="34" t="n"/>
      <c r="P37" s="34" t="n"/>
      <c r="Q37" s="34" t="inlineStr">
        <is>
          <t>확정</t>
        </is>
      </c>
      <c r="R37" s="34" t="n"/>
      <c r="S37" s="34" t="n">
        <v>0</v>
      </c>
      <c r="T37" s="34" t="n">
        <v>0</v>
      </c>
      <c r="U37" s="34" t="n">
        <v>0</v>
      </c>
      <c r="V37" s="34" t="n"/>
      <c r="W37" s="34" t="n">
        <v>0</v>
      </c>
      <c r="X37" s="34" t="inlineStr">
        <is>
          <t>SCR-001과 동일</t>
        </is>
      </c>
      <c r="Y37" s="34" t="inlineStr">
        <is>
          <t>로고 → 이메일 입력 → 비밀번호 입력 → 로그인 버튼</t>
        </is>
      </c>
      <c r="Z37" s="34" t="inlineStr">
        <is>
          <t>state (에러 상태)</t>
        </is>
      </c>
      <c r="AA37" s="34" t="inlineStr">
        <is>
          <t>로그인 실패 시</t>
        </is>
      </c>
      <c r="AB37" s="34" t="inlineStr">
        <is>
          <t>없음</t>
        </is>
      </c>
      <c r="AC37" s="34" t="inlineStr">
        <is>
          <t>없음</t>
        </is>
      </c>
      <c r="AD37" s="34" t="inlineStr">
        <is>
          <t>SCR-001과 동일</t>
        </is>
      </c>
      <c r="AE37" s="34" t="inlineStr">
        <is>
          <t>없음</t>
        </is>
      </c>
    </row>
    <row r="38">
      <c r="A38" s="33" t="inlineStr">
        <is>
          <t>SCR-001-L</t>
        </is>
      </c>
      <c r="B38" s="33" t="inlineStr">
        <is>
          <t>로그인 - 로딩 상태</t>
        </is>
      </c>
      <c r="C38" s="33" t="inlineStr">
        <is>
          <t>Web</t>
        </is>
      </c>
      <c r="D38" s="34" t="inlineStr">
        <is>
          <t>/login</t>
        </is>
      </c>
      <c r="E38" s="34" t="inlineStr">
        <is>
          <t>로그인 버튼 클릭 후 인증 처리 중 상태. 버튼 비활성 + Loader2 스핀</t>
        </is>
      </c>
      <c r="F38" s="34" t="inlineStr">
        <is>
          <t>(해당 없음)</t>
        </is>
      </c>
      <c r="G38" s="34" t="inlineStr">
        <is>
          <t>로딩 중 입력 비활성, ESC 취소 불가</t>
        </is>
      </c>
      <c r="H38" s="34" t="n"/>
      <c r="I38" s="34" t="n"/>
      <c r="J38" s="34" t="inlineStr">
        <is>
          <t>SCR-001 로그인 버튼 클릭</t>
        </is>
      </c>
      <c r="K38" s="34" t="n"/>
      <c r="L38" s="34" t="inlineStr">
        <is>
          <t>타임아웃: 10초 후 자동 실패 처리</t>
        </is>
      </c>
      <c r="M38" s="34" t="n"/>
      <c r="N38" s="34" t="n"/>
      <c r="O38" s="34" t="n"/>
      <c r="P38" s="34" t="n"/>
      <c r="Q38" s="34" t="inlineStr">
        <is>
          <t>확정</t>
        </is>
      </c>
      <c r="R38" s="34" t="n"/>
      <c r="S38" s="34" t="n">
        <v>0</v>
      </c>
      <c r="T38" s="34" t="n">
        <v>0</v>
      </c>
      <c r="U38" s="34" t="n">
        <v>0</v>
      </c>
      <c r="V38" s="34" t="n"/>
      <c r="W38" s="34" t="n">
        <v>0</v>
      </c>
      <c r="X38" s="34" t="inlineStr">
        <is>
          <t>SCR-001과 동일</t>
        </is>
      </c>
      <c r="Y38" s="34" t="inlineStr">
        <is>
          <t>스켈레톤 UI</t>
        </is>
      </c>
      <c r="Z38" s="34" t="inlineStr">
        <is>
          <t>state (로딩 상태)</t>
        </is>
      </c>
      <c r="AA38" s="34" t="inlineStr">
        <is>
          <t>로그인 버튼 클릭</t>
        </is>
      </c>
      <c r="AB38" s="34" t="inlineStr">
        <is>
          <t>로그인 버튼: Loader2 스핀 + '로그인 중...'</t>
        </is>
      </c>
      <c r="AC38" s="34" t="inlineStr">
        <is>
          <t>없음</t>
        </is>
      </c>
      <c r="AD38" s="34" t="inlineStr">
        <is>
          <t>SCR-001과 동일</t>
        </is>
      </c>
      <c r="AE38" s="34" t="inlineStr">
        <is>
          <t>없음</t>
        </is>
      </c>
    </row>
    <row r="39">
      <c r="A39" s="33" t="inlineStr">
        <is>
          <t>SCR-001-M</t>
        </is>
      </c>
      <c r="B39" s="33" t="inlineStr">
        <is>
          <t>로그인 - 모바일 뷰</t>
        </is>
      </c>
      <c r="C39" s="33" t="inlineStr">
        <is>
          <t>Mobile</t>
        </is>
      </c>
      <c r="D39" s="34" t="inlineStr">
        <is>
          <t>/login</t>
        </is>
      </c>
      <c r="E39" s="34" t="inlineStr">
        <is>
          <t>모바일 브라우저에서의 로그인 화면. 풀스크린 카드, 키보드 대응</t>
        </is>
      </c>
      <c r="F39" s="34" t="inlineStr">
        <is>
          <t>(해당 없음)</t>
        </is>
      </c>
      <c r="G39" s="34" t="inlineStr">
        <is>
          <t>키보드 올라올 때 뷰포트 조정</t>
        </is>
      </c>
      <c r="H39" s="34" t="n"/>
      <c r="I39" s="34" t="inlineStr">
        <is>
          <t>키보드 올라올 때 스크롤 가능</t>
        </is>
      </c>
      <c r="J39" s="34" t="inlineStr">
        <is>
          <t>URL 직접 접근</t>
        </is>
      </c>
      <c r="K39" s="34" t="n"/>
      <c r="L39" s="34" t="inlineStr">
        <is>
          <t>SCR-001과 동일</t>
        </is>
      </c>
      <c r="M39" s="34" t="inlineStr">
        <is>
          <t>터치 대상 44px 이상</t>
        </is>
      </c>
      <c r="N39" s="34" t="inlineStr">
        <is>
          <t>&lt;768px 풀너비</t>
        </is>
      </c>
      <c r="O39" s="34" t="n"/>
      <c r="P39" s="34" t="n"/>
      <c r="Q39" s="34" t="inlineStr">
        <is>
          <t>확정</t>
        </is>
      </c>
      <c r="R39" s="34" t="n"/>
      <c r="S39" s="34" t="n">
        <v>0</v>
      </c>
      <c r="T39" s="34" t="n">
        <v>0</v>
      </c>
      <c r="U39" s="34" t="n">
        <v>0</v>
      </c>
      <c r="V39" s="34" t="n"/>
      <c r="W39" s="34" t="n">
        <v>0</v>
      </c>
      <c r="X39" s="34" t="inlineStr">
        <is>
          <t>풀스크린 카드, padding 축소</t>
        </is>
      </c>
      <c r="Y39" s="34" t="inlineStr">
        <is>
          <t>로고 → 이메일 입력 → 비밀번호 입력 → 로그인 버튼</t>
        </is>
      </c>
      <c r="Z39" s="34" t="inlineStr">
        <is>
          <t>page (모바일)</t>
        </is>
      </c>
      <c r="AA39" s="34" t="inlineStr">
        <is>
          <t>URL 직접접근</t>
        </is>
      </c>
      <c r="AB39" s="34" t="inlineStr">
        <is>
          <t>SCR-001과 동일</t>
        </is>
      </c>
      <c r="AC39" s="34" t="inlineStr">
        <is>
          <t>SCR-001과 동일</t>
        </is>
      </c>
      <c r="AD39" s="34" t="inlineStr">
        <is>
          <t>풀너비, gap 축소, 로고 축소</t>
        </is>
      </c>
      <c r="AE39" s="34" t="inlineStr">
        <is>
          <t>없음</t>
        </is>
      </c>
    </row>
    <row r="40">
      <c r="A40" s="33" t="inlineStr">
        <is>
          <t>SCR-002-L</t>
        </is>
      </c>
      <c r="B40" s="33" t="inlineStr">
        <is>
          <t>대시보드 - 로딩 상태</t>
        </is>
      </c>
      <c r="C40" s="33" t="inlineStr">
        <is>
          <t>Web</t>
        </is>
      </c>
      <c r="D40" s="34" t="inlineStr">
        <is>
          <t>/</t>
        </is>
      </c>
      <c r="E40" s="34" t="inlineStr">
        <is>
          <t>대시보드 초기 로딩 시 스켈레톤 UI 표시 상태</t>
        </is>
      </c>
      <c r="F40" s="34" t="inlineStr">
        <is>
          <t>(해당 없음)</t>
        </is>
      </c>
      <c r="G40" s="34" t="inlineStr">
        <is>
          <t>스켈레톤 애니메이션, 수동 갱신 버튼 비활성</t>
        </is>
      </c>
      <c r="H40" s="34" t="n"/>
      <c r="I40" s="34" t="n"/>
      <c r="J40" s="34" t="inlineStr">
        <is>
          <t>SCR-001 로그인 성공 후</t>
        </is>
      </c>
      <c r="K40" s="34" t="n"/>
      <c r="L40" s="34" t="inlineStr">
        <is>
          <t>5초 후 로딩 실패 시 에러 전환</t>
        </is>
      </c>
      <c r="M40" s="34" t="n"/>
      <c r="N40" s="34" t="n"/>
      <c r="O40" s="34" t="n"/>
      <c r="P40" s="34" t="n"/>
      <c r="Q40" s="34" t="inlineStr">
        <is>
          <t>확정</t>
        </is>
      </c>
      <c r="R40" s="34" t="n"/>
      <c r="S40" s="34" t="n">
        <v>0</v>
      </c>
      <c r="T40" s="34" t="n">
        <v>0</v>
      </c>
      <c r="U40" s="34" t="n">
        <v>0</v>
      </c>
      <c r="V40" s="34" t="n"/>
      <c r="W40" s="34" t="n">
        <v>0</v>
      </c>
      <c r="X40" s="34" t="inlineStr">
        <is>
          <t>SCR-002와 동일 (스켈레톤)</t>
        </is>
      </c>
      <c r="Y40" s="34" t="inlineStr">
        <is>
          <t>스켈레톤 UI</t>
        </is>
      </c>
      <c r="Z40" s="34" t="inlineStr">
        <is>
          <t>state (로딩)</t>
        </is>
      </c>
      <c r="AA40" s="34" t="inlineStr">
        <is>
          <t>페이지 진입</t>
        </is>
      </c>
      <c r="AB40" s="34" t="inlineStr">
        <is>
          <t>통계카드 스켈레톤 + 차트 스피너 + 리스트 행 스켈레톤</t>
        </is>
      </c>
      <c r="AC40" s="34" t="inlineStr">
        <is>
          <t>없음</t>
        </is>
      </c>
      <c r="AD40" s="34" t="inlineStr">
        <is>
          <t>SCR-002와 동일</t>
        </is>
      </c>
      <c r="AE40" s="34" t="inlineStr">
        <is>
          <t>GNB 상단고정</t>
        </is>
      </c>
    </row>
    <row r="41">
      <c r="A41" s="33" t="inlineStr">
        <is>
          <t>SCR-002-E</t>
        </is>
      </c>
      <c r="B41" s="33" t="inlineStr">
        <is>
          <t>대시보드 - 에러 상태</t>
        </is>
      </c>
      <c r="C41" s="33" t="inlineStr">
        <is>
          <t>Web</t>
        </is>
      </c>
      <c r="D41" s="34" t="inlineStr">
        <is>
          <t>/</t>
        </is>
      </c>
      <c r="E41" s="34" t="inlineStr">
        <is>
          <t>데이터 로딩 실패 시 각 섹션별 독립 에러 표시</t>
        </is>
      </c>
      <c r="F41" s="34" t="inlineStr">
        <is>
          <t>(해당 없음)</t>
        </is>
      </c>
      <c r="G41" s="34" t="inlineStr">
        <is>
          <t>재시도 버튼 클릭 시 해당 섹션만 재로딩</t>
        </is>
      </c>
      <c r="H41" s="34" t="n"/>
      <c r="I41" s="34" t="n"/>
      <c r="J41" s="34" t="inlineStr">
        <is>
          <t>SCR-002 데이터 로딩 실패</t>
        </is>
      </c>
      <c r="K41" s="34" t="n"/>
      <c r="L41" s="34" t="inlineStr">
        <is>
          <t>각 섹션별 '데이터를 불러올 수 없습니다' + 재시도 버튼</t>
        </is>
      </c>
      <c r="M41" s="34" t="n"/>
      <c r="N41" s="34" t="n"/>
      <c r="O41" s="34" t="n"/>
      <c r="P41" s="34" t="n"/>
      <c r="Q41" s="34" t="inlineStr">
        <is>
          <t>확정</t>
        </is>
      </c>
      <c r="R41" s="34" t="n"/>
      <c r="S41" s="34" t="n">
        <v>0</v>
      </c>
      <c r="T41" s="34" t="n">
        <v>0</v>
      </c>
      <c r="U41" s="34" t="n">
        <v>0</v>
      </c>
      <c r="V41" s="34" t="n"/>
      <c r="W41" s="34" t="n">
        <v>0</v>
      </c>
      <c r="X41" s="34" t="inlineStr">
        <is>
          <t>SCR-002와 동일</t>
        </is>
      </c>
      <c r="Y41" s="34" t="inlineStr">
        <is>
          <t>통계 카드 → 차트 영역 → 최근 활동</t>
        </is>
      </c>
      <c r="Z41" s="34" t="inlineStr">
        <is>
          <t>state (에러)</t>
        </is>
      </c>
      <c r="AA41" s="34" t="inlineStr">
        <is>
          <t>데이터 로딩 실패</t>
        </is>
      </c>
      <c r="AB41" s="34" t="inlineStr">
        <is>
          <t>없음</t>
        </is>
      </c>
      <c r="AC41" s="34" t="inlineStr">
        <is>
          <t>없음</t>
        </is>
      </c>
      <c r="AD41" s="34" t="inlineStr">
        <is>
          <t>SCR-002와 동일</t>
        </is>
      </c>
      <c r="AE41" s="34" t="inlineStr">
        <is>
          <t>GNB 상단고정</t>
        </is>
      </c>
    </row>
    <row r="42">
      <c r="A42" s="33" t="inlineStr">
        <is>
          <t>SCR-002-EM</t>
        </is>
      </c>
      <c r="B42" s="33" t="inlineStr">
        <is>
          <t>대시보드 - 빈 상태</t>
        </is>
      </c>
      <c r="C42" s="33" t="inlineStr">
        <is>
          <t>Web</t>
        </is>
      </c>
      <c r="D42" s="34" t="inlineStr">
        <is>
          <t>/</t>
        </is>
      </c>
      <c r="E42" s="34" t="inlineStr">
        <is>
          <t>신규 지점/데이터 없음 시 Empty State UI 표시</t>
        </is>
      </c>
      <c r="F42" s="34" t="inlineStr">
        <is>
          <t>(해당 없음)</t>
        </is>
      </c>
      <c r="G42" s="34" t="inlineStr">
        <is>
          <t>회원 등록/상품 등록 바로가기 버튼</t>
        </is>
      </c>
      <c r="H42" s="34" t="n"/>
      <c r="I42" s="34" t="n"/>
      <c r="J42" s="34" t="inlineStr">
        <is>
          <t>SCR-001 로그인 (신규 지점)</t>
        </is>
      </c>
      <c r="K42" s="34" t="n"/>
      <c r="L42" s="34" t="inlineStr">
        <is>
          <t>전체: '아직 데이터가 없습니다' 안내 + 시작하기 가이드</t>
        </is>
      </c>
      <c r="M42" s="34" t="n"/>
      <c r="N42" s="34" t="n"/>
      <c r="O42" s="34" t="n"/>
      <c r="P42" s="34" t="n"/>
      <c r="Q42" s="34" t="inlineStr">
        <is>
          <t>확정</t>
        </is>
      </c>
      <c r="R42" s="34" t="n"/>
      <c r="S42" s="34" t="n">
        <v>0</v>
      </c>
      <c r="T42" s="34" t="n">
        <v>0</v>
      </c>
      <c r="U42" s="34" t="n">
        <v>0</v>
      </c>
      <c r="V42" s="34" t="n"/>
      <c r="W42" s="34" t="n">
        <v>0</v>
      </c>
      <c r="X42" s="34" t="inlineStr">
        <is>
          <t>SCR-002와 동일</t>
        </is>
      </c>
      <c r="Y42" s="34" t="inlineStr">
        <is>
          <t>빈 상태 아이콘 → 안내 문구 → CTA 버튼</t>
        </is>
      </c>
      <c r="Z42" s="34" t="inlineStr">
        <is>
          <t>state (빈 상태)</t>
        </is>
      </c>
      <c r="AA42" s="34" t="inlineStr">
        <is>
          <t>신규 지점 로그인</t>
        </is>
      </c>
      <c r="AB42" s="34" t="inlineStr">
        <is>
          <t>통계: 0 표시
모든 리스트: '데이터가 없습니다'</t>
        </is>
      </c>
      <c r="AC42" s="34" t="inlineStr">
        <is>
          <t>없음</t>
        </is>
      </c>
      <c r="AD42" s="34" t="inlineStr">
        <is>
          <t>SCR-002와 동일</t>
        </is>
      </c>
      <c r="AE42" s="34" t="inlineStr">
        <is>
          <t>GNB 상단고정</t>
        </is>
      </c>
    </row>
    <row r="43">
      <c r="A43" s="33" t="inlineStr">
        <is>
          <t>SCR-002-M</t>
        </is>
      </c>
      <c r="B43" s="33" t="inlineStr">
        <is>
          <t>대시보드 - 모바일 뷰</t>
        </is>
      </c>
      <c r="C43" s="33" t="inlineStr">
        <is>
          <t>Mobile</t>
        </is>
      </c>
      <c r="D43" s="34" t="inlineStr">
        <is>
          <t>/</t>
        </is>
      </c>
      <c r="E43" s="34" t="inlineStr">
        <is>
          <t>모바일 브라우저 대시보드. 카드 1열, 차트 축소, 리스트 축소</t>
        </is>
      </c>
      <c r="F43" s="34" t="inlineStr">
        <is>
          <t>(해당 없음)</t>
        </is>
      </c>
      <c r="G43" s="34" t="inlineStr">
        <is>
          <t>스와이프로 통계카드 넘기기, 탭으로 차트 전환</t>
        </is>
      </c>
      <c r="H43" s="34" t="n"/>
      <c r="I43" s="34" t="inlineStr">
        <is>
          <t>터치 스와이프 대응</t>
        </is>
      </c>
      <c r="J43" s="34" t="inlineStr">
        <is>
          <t>GNB 메뉴</t>
        </is>
      </c>
      <c r="K43" s="34" t="n"/>
      <c r="L43" s="34" t="inlineStr">
        <is>
          <t>SCR-002와 동일</t>
        </is>
      </c>
      <c r="M43" s="34" t="inlineStr">
        <is>
          <t>터치 대상 44px</t>
        </is>
      </c>
      <c r="N43" s="34" t="inlineStr">
        <is>
          <t>&lt;768px 레이아웃</t>
        </is>
      </c>
      <c r="O43" s="34" t="n"/>
      <c r="P43" s="34" t="n"/>
      <c r="Q43" s="34" t="inlineStr">
        <is>
          <t>확정</t>
        </is>
      </c>
      <c r="R43" s="34" t="n"/>
      <c r="S43" s="34" t="n">
        <v>0</v>
      </c>
      <c r="T43" s="34" t="n">
        <v>1</v>
      </c>
      <c r="U43" s="34" t="n">
        <v>0</v>
      </c>
      <c r="V43" s="34" t="n"/>
      <c r="W43" s="34" t="n">
        <v>0</v>
      </c>
      <c r="X43" s="34" t="inlineStr">
        <is>
          <t>카드 2열→1열, 차트 1열, 리스트 1열</t>
        </is>
      </c>
      <c r="Y43" s="34" t="inlineStr">
        <is>
          <t>통계 카드 → 차트 영역 → 최근 활동</t>
        </is>
      </c>
      <c r="Z43" s="34" t="inlineStr">
        <is>
          <t>page (모바일)</t>
        </is>
      </c>
      <c r="AA43" s="34" t="inlineStr">
        <is>
          <t>GNB 메뉴</t>
        </is>
      </c>
      <c r="AB43" s="34" t="inlineStr">
        <is>
          <t>SCR-002와 동일</t>
        </is>
      </c>
      <c r="AC43" s="34" t="inlineStr">
        <is>
          <t>SCR-002와 동일</t>
        </is>
      </c>
      <c r="AD43" s="34" t="inlineStr">
        <is>
          <t>카드2열, 차트1열, 리스트1열</t>
        </is>
      </c>
      <c r="AE43" s="34" t="inlineStr">
        <is>
          <t>GNB 상단고정</t>
        </is>
      </c>
    </row>
    <row r="44">
      <c r="A44" s="33" t="inlineStr">
        <is>
          <t>SCR-010-F</t>
        </is>
      </c>
      <c r="B44" s="33" t="inlineStr">
        <is>
          <t>회원 목록 - 상태필터 활성</t>
        </is>
      </c>
      <c r="C44" s="33" t="inlineStr">
        <is>
          <t>Web</t>
        </is>
      </c>
      <c r="D44" s="34" t="inlineStr">
        <is>
          <t>/members</t>
        </is>
      </c>
      <c r="E44" s="34" t="inlineStr">
        <is>
          <t>상태필터(활성/만료/미등록 등) 선택 시 필터링된 결과 표시</t>
        </is>
      </c>
      <c r="F44" s="34" t="inlineStr">
        <is>
          <t>(해당 없음)</t>
        </is>
      </c>
      <c r="G44" s="34" t="inlineStr">
        <is>
          <t>필터 탭 전환, 검색+필터 조합, 필터 초기화 버튼</t>
        </is>
      </c>
      <c r="H44" s="34" t="n"/>
      <c r="I44" s="34" t="n"/>
      <c r="J44" s="34" t="inlineStr">
        <is>
          <t>SCR-010 상태필터 클릭</t>
        </is>
      </c>
      <c r="K44" s="34" t="n"/>
      <c r="L44" s="34" t="inlineStr">
        <is>
          <t>필터 결과 0건 시 EmptyState 표시</t>
        </is>
      </c>
      <c r="M44" s="34" t="n"/>
      <c r="N44" s="34" t="n"/>
      <c r="O44" s="34" t="n"/>
      <c r="P44" s="34" t="n"/>
      <c r="Q44" s="34" t="inlineStr">
        <is>
          <t>확정</t>
        </is>
      </c>
      <c r="R44" s="34" t="n"/>
      <c r="S44" s="34" t="n">
        <v>0</v>
      </c>
      <c r="T44" s="34" t="n">
        <v>0</v>
      </c>
      <c r="U44" s="34" t="n">
        <v>0</v>
      </c>
      <c r="V44" s="34" t="n"/>
      <c r="W44" s="34" t="n">
        <v>0</v>
      </c>
      <c r="X44" s="34" t="inlineStr">
        <is>
          <t>SCR-010과 동일</t>
        </is>
      </c>
      <c r="Y44" s="34" t="inlineStr">
        <is>
          <t>검색/필터 바 → 데이터 테이블 → 페이지네이션</t>
        </is>
      </c>
      <c r="Z44" s="34" t="inlineStr">
        <is>
          <t>state (필터 활성)</t>
        </is>
      </c>
      <c r="AA44" s="34" t="inlineStr">
        <is>
          <t>상태필터 탭 클릭</t>
        </is>
      </c>
      <c r="AB44" s="34" t="inlineStr">
        <is>
          <t>SCR-010과 동일</t>
        </is>
      </c>
      <c r="AC44" s="34" t="inlineStr">
        <is>
          <t>필터 결과 0건: '조건에 맞는 회원이 없습니다'</t>
        </is>
      </c>
      <c r="AD44" s="34" t="inlineStr">
        <is>
          <t>SCR-010과 동일</t>
        </is>
      </c>
      <c r="AE44" s="34" t="inlineStr">
        <is>
          <t>GNB + 벌크액션바</t>
        </is>
      </c>
    </row>
    <row r="45">
      <c r="A45" s="33" t="inlineStr">
        <is>
          <t>SCR-010-S</t>
        </is>
      </c>
      <c r="B45" s="33" t="inlineStr">
        <is>
          <t>회원 목록 - 검색결과</t>
        </is>
      </c>
      <c r="C45" s="33" t="inlineStr">
        <is>
          <t>Web</t>
        </is>
      </c>
      <c r="D45" s="34" t="inlineStr">
        <is>
          <t>/members</t>
        </is>
      </c>
      <c r="E45" s="34" t="inlineStr">
        <is>
          <t>검색어 입력 후 실시간 검색 결과 표시. 300ms debounce</t>
        </is>
      </c>
      <c r="F45" s="34" t="inlineStr">
        <is>
          <t>(해당 없음)</t>
        </is>
      </c>
      <c r="G45" s="34" t="inlineStr">
        <is>
          <t>실시간 검색, 검색어 하이라이트, 검색 초기화 X버튼</t>
        </is>
      </c>
      <c r="H45" s="34" t="n"/>
      <c r="I45" s="34" t="n"/>
      <c r="J45" s="34" t="inlineStr">
        <is>
          <t>SCR-010 검색창 입력</t>
        </is>
      </c>
      <c r="K45" s="34" t="n"/>
      <c r="L45" s="34" t="inlineStr">
        <is>
          <t>결과 없음: '검색 결과가 없습니다' + 검색어 확인 안내</t>
        </is>
      </c>
      <c r="M45" s="34" t="n"/>
      <c r="N45" s="34" t="n"/>
      <c r="O45" s="34" t="n"/>
      <c r="P45" s="34" t="n"/>
      <c r="Q45" s="34" t="inlineStr">
        <is>
          <t>확정</t>
        </is>
      </c>
      <c r="R45" s="34" t="n"/>
      <c r="S45" s="34" t="n">
        <v>0</v>
      </c>
      <c r="T45" s="34" t="n">
        <v>0</v>
      </c>
      <c r="U45" s="34" t="n">
        <v>0</v>
      </c>
      <c r="V45" s="34" t="n"/>
      <c r="W45" s="34" t="n">
        <v>0</v>
      </c>
      <c r="X45" s="34" t="inlineStr">
        <is>
          <t>SCR-010과 동일</t>
        </is>
      </c>
      <c r="Y45" s="34" t="inlineStr">
        <is>
          <t>검색/필터 바 → 데이터 테이블 → 페이지네이션</t>
        </is>
      </c>
      <c r="Z45" s="34" t="inlineStr">
        <is>
          <t>state (검색)</t>
        </is>
      </c>
      <c r="AA45" s="34" t="inlineStr">
        <is>
          <t>검색창 입력</t>
        </is>
      </c>
      <c r="AB45" s="34" t="inlineStr">
        <is>
          <t>검색 중: 인풋 우측 스피너</t>
        </is>
      </c>
      <c r="AC45" s="34" t="inlineStr">
        <is>
          <t>검색 결과 없음: EmptyState</t>
        </is>
      </c>
      <c r="AD45" s="34" t="inlineStr">
        <is>
          <t>SCR-010과 동일</t>
        </is>
      </c>
      <c r="AE45" s="34" t="inlineStr">
        <is>
          <t>GNB</t>
        </is>
      </c>
    </row>
    <row r="46">
      <c r="A46" s="33" t="inlineStr">
        <is>
          <t>SCR-010-EM</t>
        </is>
      </c>
      <c r="B46" s="33" t="inlineStr">
        <is>
          <t>회원 목록 - 빈 상태</t>
        </is>
      </c>
      <c r="C46" s="33" t="inlineStr">
        <is>
          <t>Web</t>
        </is>
      </c>
      <c r="D46" s="34" t="inlineStr">
        <is>
          <t>/members</t>
        </is>
      </c>
      <c r="E46" s="34" t="inlineStr">
        <is>
          <t>회원 0명일 때 EmptyState 표시. 회원 등록 바로가기 버튼</t>
        </is>
      </c>
      <c r="F46" s="34" t="inlineStr">
        <is>
          <t>(해당 없음)</t>
        </is>
      </c>
      <c r="G46" s="34" t="inlineStr">
        <is>
          <t>회원 등록 버튼 → SCR-012 이동</t>
        </is>
      </c>
      <c r="H46" s="34" t="n"/>
      <c r="I46" s="34" t="n"/>
      <c r="J46" s="34" t="inlineStr">
        <is>
          <t>SCR-010 (데이터 0건)</t>
        </is>
      </c>
      <c r="K46" s="34" t="n"/>
      <c r="L46" s="34" t="inlineStr">
        <is>
          <t>'등록된 회원이 없습니다' + '회원을 등록해보세요' CTA</t>
        </is>
      </c>
      <c r="M46" s="34" t="n"/>
      <c r="N46" s="34" t="n"/>
      <c r="O46" s="34" t="n"/>
      <c r="P46" s="34" t="n"/>
      <c r="Q46" s="34" t="inlineStr">
        <is>
          <t>확정</t>
        </is>
      </c>
      <c r="R46" s="34" t="n"/>
      <c r="S46" s="34" t="n">
        <v>0</v>
      </c>
      <c r="T46" s="34" t="n">
        <v>0</v>
      </c>
      <c r="U46" s="34" t="n">
        <v>0</v>
      </c>
      <c r="V46" s="34" t="n"/>
      <c r="W46" s="34" t="n">
        <v>0</v>
      </c>
      <c r="X46" s="34" t="inlineStr">
        <is>
          <t>SCR-010과 동일</t>
        </is>
      </c>
      <c r="Y46" s="34" t="inlineStr">
        <is>
          <t>빈 상태 아이콘 → 안내 문구 → CTA 버튼</t>
        </is>
      </c>
      <c r="Z46" s="34" t="inlineStr">
        <is>
          <t>state (빈 상태)</t>
        </is>
      </c>
      <c r="AA46" s="34" t="inlineStr">
        <is>
          <t>페이지 진입 (회원 0건)</t>
        </is>
      </c>
      <c r="AB46" s="34" t="inlineStr">
        <is>
          <t>통계카드: 0</t>
        </is>
      </c>
      <c r="AC46" s="34" t="inlineStr">
        <is>
          <t>'등록된 회원이 없습니다' EmptyState</t>
        </is>
      </c>
      <c r="AD46" s="34" t="inlineStr">
        <is>
          <t>SCR-010과 동일</t>
        </is>
      </c>
      <c r="AE46" s="34" t="inlineStr">
        <is>
          <t>GNB</t>
        </is>
      </c>
    </row>
    <row r="47">
      <c r="A47" s="33" t="inlineStr">
        <is>
          <t>SCR-010-BK</t>
        </is>
      </c>
      <c r="B47" s="33" t="inlineStr">
        <is>
          <t>회원 목록 - 벌크액션바</t>
        </is>
      </c>
      <c r="C47" s="33" t="inlineStr">
        <is>
          <t>Web</t>
        </is>
      </c>
      <c r="D47" s="34" t="inlineStr">
        <is>
          <t>/members</t>
        </is>
      </c>
      <c r="E47" s="34" t="inlineStr">
        <is>
          <t>체크박스로 회원 다중 선택 시 벌크 액션바 표시 (상태변경/메시지발송 등)</t>
        </is>
      </c>
      <c r="F47" s="34" t="inlineStr">
        <is>
          <t>(해당 없음)</t>
        </is>
      </c>
      <c r="G47" s="34" t="inlineStr">
        <is>
          <t>전체선택, 선택 해제, 상태 일괄변경, 메시지 일괄발송</t>
        </is>
      </c>
      <c r="H47" s="34" t="n"/>
      <c r="I47" s="34" t="n"/>
      <c r="J47" s="34" t="inlineStr">
        <is>
          <t>SCR-010 체크박스 선택</t>
        </is>
      </c>
      <c r="K47" s="34" t="n"/>
      <c r="L47" s="34" t="inlineStr">
        <is>
          <t>1000명 이상 선택 시 경고</t>
        </is>
      </c>
      <c r="M47" s="34" t="n"/>
      <c r="N47" s="34" t="n"/>
      <c r="O47" s="34" t="n"/>
      <c r="P47" s="34" t="n"/>
      <c r="Q47" s="34" t="inlineStr">
        <is>
          <t>확정</t>
        </is>
      </c>
      <c r="R47" s="34" t="n"/>
      <c r="S47" s="34" t="n">
        <v>0</v>
      </c>
      <c r="T47" s="34" t="n">
        <v>1</v>
      </c>
      <c r="U47" s="34" t="n">
        <v>0</v>
      </c>
      <c r="V47" s="34" t="n"/>
      <c r="W47" s="34" t="n">
        <v>0</v>
      </c>
      <c r="X47" s="34" t="inlineStr">
        <is>
          <t>SCR-010과 동일 + 벌크액션바</t>
        </is>
      </c>
      <c r="Y47" s="34" t="inlineStr">
        <is>
          <t>검색/필터 바 → 데이터 테이블 → 페이지네이션</t>
        </is>
      </c>
      <c r="Z47" s="34" t="inlineStr">
        <is>
          <t>state (벌크 선택)</t>
        </is>
      </c>
      <c r="AA47" s="34" t="inlineStr">
        <is>
          <t>체크박스 1개 이상 선택</t>
        </is>
      </c>
      <c r="AB47" s="34" t="inlineStr">
        <is>
          <t>SCR-010과 동일</t>
        </is>
      </c>
      <c r="AC47" s="34" t="inlineStr">
        <is>
          <t>SCR-010과 동일</t>
        </is>
      </c>
      <c r="AD47" s="34" t="inlineStr">
        <is>
          <t>SCR-010과 동일</t>
        </is>
      </c>
      <c r="AE47" s="34" t="inlineStr">
        <is>
          <t>벌크액션바: 테이블 상단 고정</t>
        </is>
      </c>
    </row>
    <row r="48">
      <c r="A48" s="33" t="inlineStr">
        <is>
          <t>SCR-010-L</t>
        </is>
      </c>
      <c r="B48" s="33" t="inlineStr">
        <is>
          <t>회원 목록 - 로딩 상태</t>
        </is>
      </c>
      <c r="C48" s="33" t="inlineStr">
        <is>
          <t>Web</t>
        </is>
      </c>
      <c r="D48" s="34" t="inlineStr">
        <is>
          <t>/members</t>
        </is>
      </c>
      <c r="E48" s="34" t="inlineStr">
        <is>
          <t>회원 목록 초기 로딩 시 스켈레톤 UI</t>
        </is>
      </c>
      <c r="F48" s="34" t="inlineStr">
        <is>
          <t>(해당 없음)</t>
        </is>
      </c>
      <c r="G48" s="34" t="inlineStr">
        <is>
          <t>스켈레톤 행 5줄 표시</t>
        </is>
      </c>
      <c r="H48" s="34" t="n"/>
      <c r="I48" s="34" t="n"/>
      <c r="J48" s="34" t="inlineStr">
        <is>
          <t>SCR-010 페이지 진입</t>
        </is>
      </c>
      <c r="K48" s="34" t="n"/>
      <c r="L48" s="34" t="inlineStr">
        <is>
          <t>5초 후 타임아웃 시 에러 전환</t>
        </is>
      </c>
      <c r="M48" s="34" t="n"/>
      <c r="N48" s="34" t="n"/>
      <c r="O48" s="34" t="n"/>
      <c r="P48" s="34" t="n"/>
      <c r="Q48" s="34" t="inlineStr">
        <is>
          <t>확정</t>
        </is>
      </c>
      <c r="R48" s="34" t="n"/>
      <c r="S48" s="34" t="n">
        <v>0</v>
      </c>
      <c r="T48" s="34" t="n">
        <v>0</v>
      </c>
      <c r="U48" s="34" t="n">
        <v>0</v>
      </c>
      <c r="V48" s="34" t="n"/>
      <c r="W48" s="34" t="n">
        <v>0</v>
      </c>
      <c r="X48" s="34" t="inlineStr">
        <is>
          <t>SCR-010과 동일 (스켈레톤)</t>
        </is>
      </c>
      <c r="Y48" s="34" t="inlineStr">
        <is>
          <t>스켈레톤 UI</t>
        </is>
      </c>
      <c r="Z48" s="34" t="inlineStr">
        <is>
          <t>state (로딩)</t>
        </is>
      </c>
      <c r="AA48" s="34" t="inlineStr">
        <is>
          <t>페이지 진입</t>
        </is>
      </c>
      <c r="AB48" s="34" t="inlineStr">
        <is>
          <t>통계카드 스켈레톤 + 테이블 행 스켈레톤 5줄</t>
        </is>
      </c>
      <c r="AC48" s="34" t="inlineStr">
        <is>
          <t>없음</t>
        </is>
      </c>
      <c r="AD48" s="34" t="inlineStr">
        <is>
          <t>SCR-010과 동일</t>
        </is>
      </c>
      <c r="AE48" s="34" t="inlineStr">
        <is>
          <t>GNB</t>
        </is>
      </c>
    </row>
    <row r="49">
      <c r="A49" s="33" t="inlineStr">
        <is>
          <t>SCR-010-E</t>
        </is>
      </c>
      <c r="B49" s="33" t="inlineStr">
        <is>
          <t>회원 목록 - 에러 상태</t>
        </is>
      </c>
      <c r="C49" s="33" t="inlineStr">
        <is>
          <t>Web</t>
        </is>
      </c>
      <c r="D49" s="34" t="inlineStr">
        <is>
          <t>/members</t>
        </is>
      </c>
      <c r="E49" s="34" t="inlineStr">
        <is>
          <t>회원 목록 로딩 실패 시 에러 표시 + 재시도</t>
        </is>
      </c>
      <c r="F49" s="34" t="inlineStr">
        <is>
          <t>(해당 없음)</t>
        </is>
      </c>
      <c r="G49" s="34" t="inlineStr">
        <is>
          <t>재시도 버튼 클릭 시 목록 재조회</t>
        </is>
      </c>
      <c r="H49" s="34" t="n"/>
      <c r="I49" s="34" t="n"/>
      <c r="J49" s="34" t="inlineStr">
        <is>
          <t>SCR-010 데이터 로딩 실패</t>
        </is>
      </c>
      <c r="K49" s="34" t="n"/>
      <c r="L49" s="34" t="inlineStr">
        <is>
          <t>'데이터를 불러올 수 없습니다' + 재시도 버튼</t>
        </is>
      </c>
      <c r="M49" s="34" t="n"/>
      <c r="N49" s="34" t="n"/>
      <c r="O49" s="34" t="n"/>
      <c r="P49" s="34" t="n"/>
      <c r="Q49" s="34" t="inlineStr">
        <is>
          <t>확정</t>
        </is>
      </c>
      <c r="R49" s="34" t="n"/>
      <c r="S49" s="34" t="n">
        <v>0</v>
      </c>
      <c r="T49" s="34" t="n">
        <v>0</v>
      </c>
      <c r="U49" s="34" t="n">
        <v>0</v>
      </c>
      <c r="V49" s="34" t="n"/>
      <c r="W49" s="34" t="n">
        <v>0</v>
      </c>
      <c r="X49" s="34" t="inlineStr">
        <is>
          <t>SCR-010과 동일</t>
        </is>
      </c>
      <c r="Y49" s="34" t="inlineStr">
        <is>
          <t>검색/필터 바 → 데이터 테이블 → 페이지네이션</t>
        </is>
      </c>
      <c r="Z49" s="34" t="inlineStr">
        <is>
          <t>state (에러)</t>
        </is>
      </c>
      <c r="AA49" s="34" t="inlineStr">
        <is>
          <t>데이터 로딩 실패</t>
        </is>
      </c>
      <c r="AB49" s="34" t="inlineStr">
        <is>
          <t>없음</t>
        </is>
      </c>
      <c r="AC49" s="34" t="inlineStr">
        <is>
          <t>없음</t>
        </is>
      </c>
      <c r="AD49" s="34" t="inlineStr">
        <is>
          <t>SCR-010과 동일</t>
        </is>
      </c>
      <c r="AE49" s="34" t="inlineStr">
        <is>
          <t>GNB</t>
        </is>
      </c>
    </row>
    <row r="50">
      <c r="A50" s="33" t="inlineStr">
        <is>
          <t>SCR-010-M</t>
        </is>
      </c>
      <c r="B50" s="33" t="inlineStr">
        <is>
          <t>회원 목록 - 모바일 뷰</t>
        </is>
      </c>
      <c r="C50" s="33" t="inlineStr">
        <is>
          <t>Mobile</t>
        </is>
      </c>
      <c r="D50" s="34" t="inlineStr">
        <is>
          <t>/members</t>
        </is>
      </c>
      <c r="E50" s="34" t="inlineStr">
        <is>
          <t>모바일 회원 목록. 카드형 리스트, 검색 상단 고정</t>
        </is>
      </c>
      <c r="F50" s="34" t="inlineStr">
        <is>
          <t>(해당 없음)</t>
        </is>
      </c>
      <c r="G50" s="34" t="inlineStr">
        <is>
          <t>스와이프 동작, 무한스크롤, 검색 고정</t>
        </is>
      </c>
      <c r="H50" s="34" t="n"/>
      <c r="I50" s="34" t="inlineStr">
        <is>
          <t>터치 대응, 카드형 리스트</t>
        </is>
      </c>
      <c r="J50" s="34" t="inlineStr">
        <is>
          <t>GNB 메뉴</t>
        </is>
      </c>
      <c r="K50" s="34" t="n"/>
      <c r="L50" s="34" t="inlineStr">
        <is>
          <t>SCR-010과 동일</t>
        </is>
      </c>
      <c r="M50" s="34" t="inlineStr">
        <is>
          <t>터치 대상 44px</t>
        </is>
      </c>
      <c r="N50" s="34" t="inlineStr">
        <is>
          <t>카드형 리스트</t>
        </is>
      </c>
      <c r="O50" s="34" t="n"/>
      <c r="P50" s="34" t="n"/>
      <c r="Q50" s="34" t="inlineStr">
        <is>
          <t>확정</t>
        </is>
      </c>
      <c r="R50" s="34" t="n"/>
      <c r="S50" s="34" t="n">
        <v>0</v>
      </c>
      <c r="T50" s="34" t="n">
        <v>1</v>
      </c>
      <c r="U50" s="34" t="n">
        <v>0</v>
      </c>
      <c r="V50" s="34" t="n"/>
      <c r="W50" s="34" t="n">
        <v>0</v>
      </c>
      <c r="X50" s="34" t="inlineStr">
        <is>
          <t>카드형 리스트 레이아웃</t>
        </is>
      </c>
      <c r="Y50" s="34" t="inlineStr">
        <is>
          <t>검색/필터 바 → 데이터 테이블 → 페이지네이션</t>
        </is>
      </c>
      <c r="Z50" s="34" t="inlineStr">
        <is>
          <t>page (모바일)</t>
        </is>
      </c>
      <c r="AA50" s="34" t="inlineStr">
        <is>
          <t>GNB 메뉴</t>
        </is>
      </c>
      <c r="AB50" s="34" t="inlineStr">
        <is>
          <t>SCR-010과 동일</t>
        </is>
      </c>
      <c r="AC50" s="34" t="inlineStr">
        <is>
          <t>SCR-010과 동일</t>
        </is>
      </c>
      <c r="AD50" s="34" t="inlineStr">
        <is>
          <t>카드형, 검색 상단고정</t>
        </is>
      </c>
      <c r="AE50" s="34" t="inlineStr">
        <is>
          <t>GNB + 검색바</t>
        </is>
      </c>
    </row>
    <row r="51">
      <c r="A51" s="33" t="inlineStr">
        <is>
          <t>SCR-011-T1</t>
        </is>
      </c>
      <c r="B51" s="33" t="inlineStr">
        <is>
          <t>회원 상세 - 기본정보 탭</t>
        </is>
      </c>
      <c r="C51" s="33" t="inlineStr">
        <is>
          <t>Web</t>
        </is>
      </c>
      <c r="D51" s="34" t="inlineStr">
        <is>
          <t>/members/detail</t>
        </is>
      </c>
      <c r="E51" s="34" t="inlineStr">
        <is>
          <t>기본정보 탭 활성 상태. 이름/연락처/성별/생년월일/상태/메모 표시</t>
        </is>
      </c>
      <c r="F51" s="34" t="inlineStr">
        <is>
          <t>(해당 없음)</t>
        </is>
      </c>
      <c r="G51" s="34" t="inlineStr">
        <is>
          <t>정보 인라인 수정, 프로필 사진 클릭 시 확대</t>
        </is>
      </c>
      <c r="H51" s="34" t="n"/>
      <c r="I51" s="34" t="n"/>
      <c r="J51" s="34" t="inlineStr">
        <is>
          <t>SCR-011 기본정보 탭 클릭</t>
        </is>
      </c>
      <c r="K51" s="34" t="n"/>
      <c r="L51" s="34" t="inlineStr">
        <is>
          <t>필수 정보 누락 시 경고</t>
        </is>
      </c>
      <c r="M51" s="34" t="n"/>
      <c r="N51" s="34" t="n"/>
      <c r="O51" s="34" t="n"/>
      <c r="P51" s="34" t="n"/>
      <c r="Q51" s="34" t="inlineStr">
        <is>
          <t>확정</t>
        </is>
      </c>
      <c r="R51" s="34" t="n"/>
      <c r="S51" s="34" t="n">
        <v>0</v>
      </c>
      <c r="T51" s="34" t="n">
        <v>1</v>
      </c>
      <c r="U51" s="34" t="n">
        <v>0</v>
      </c>
      <c r="V51" s="34" t="n"/>
      <c r="W51" s="34" t="n">
        <v>0</v>
      </c>
      <c r="X51" s="34" t="inlineStr">
        <is>
          <t>SCR-011과 동일 + 기본정보 영역</t>
        </is>
      </c>
      <c r="Y51" s="34" t="inlineStr">
        <is>
          <t>프로필 헤더 → 탭 네비게이션 → 탭 콘텐츠</t>
        </is>
      </c>
      <c r="Z51" s="34" t="inlineStr">
        <is>
          <t>state (기본정보 탭)</t>
        </is>
      </c>
      <c r="AA51" s="34" t="inlineStr">
        <is>
          <t>탭 클릭 / 기본 진입</t>
        </is>
      </c>
      <c r="AB51" s="34" t="inlineStr">
        <is>
          <t>탭 콘텐츠 로딩 스피너</t>
        </is>
      </c>
      <c r="AC51" s="34" t="inlineStr">
        <is>
          <t>정보 없음: '-' 표시</t>
        </is>
      </c>
      <c r="AD51" s="34" t="inlineStr">
        <is>
          <t>SCR-011과 동일</t>
        </is>
      </c>
      <c r="AE51" s="34" t="inlineStr">
        <is>
          <t>GNB + 탭네비 sticky</t>
        </is>
      </c>
    </row>
    <row r="52">
      <c r="A52" s="33" t="inlineStr">
        <is>
          <t>SCR-011-T2</t>
        </is>
      </c>
      <c r="B52" s="33" t="inlineStr">
        <is>
          <t>회원 상세 - 계약현황 탭</t>
        </is>
      </c>
      <c r="C52" s="33" t="inlineStr">
        <is>
          <t>Web</t>
        </is>
      </c>
      <c r="D52" s="34" t="inlineStr">
        <is>
          <t>/members/detail</t>
        </is>
      </c>
      <c r="E52" s="34" t="inlineStr">
        <is>
          <t>계약현황(이용권/수강권) 탭. 활성/만료 이용권 목록 + 잔여일 표시</t>
        </is>
      </c>
      <c r="F52" s="34" t="inlineStr">
        <is>
          <t>(해당 없음)</t>
        </is>
      </c>
      <c r="G52" s="34" t="inlineStr">
        <is>
          <t>이용권 상세 펼치기, 환불 버튼, 연장 버튼</t>
        </is>
      </c>
      <c r="H52" s="34" t="n"/>
      <c r="I52" s="34" t="n"/>
      <c r="J52" s="34" t="inlineStr">
        <is>
          <t>SCR-011 계약현황 탭 클릭</t>
        </is>
      </c>
      <c r="K52" s="34" t="n"/>
      <c r="L52" s="34" t="inlineStr">
        <is>
          <t>이용권 없음: '등록된 이용권이 없습니다'</t>
        </is>
      </c>
      <c r="M52" s="34" t="n"/>
      <c r="N52" s="34" t="n"/>
      <c r="O52" s="34" t="n"/>
      <c r="P52" s="34" t="n"/>
      <c r="Q52" s="34" t="inlineStr">
        <is>
          <t>확정</t>
        </is>
      </c>
      <c r="R52" s="34" t="n"/>
      <c r="S52" s="34" t="n">
        <v>0</v>
      </c>
      <c r="T52" s="34" t="n">
        <v>0</v>
      </c>
      <c r="U52" s="34" t="n">
        <v>0</v>
      </c>
      <c r="V52" s="34" t="n"/>
      <c r="W52" s="34" t="n">
        <v>0</v>
      </c>
      <c r="X52" s="34" t="inlineStr">
        <is>
          <t>SCR-011과 동일 + 이용권 목록</t>
        </is>
      </c>
      <c r="Y52" s="34" t="inlineStr">
        <is>
          <t>프로필 헤더 → 탭 네비게이션 → 탭 콘텐츠</t>
        </is>
      </c>
      <c r="Z52" s="34" t="inlineStr">
        <is>
          <t>state (계약현황 탭)</t>
        </is>
      </c>
      <c r="AA52" s="34" t="inlineStr">
        <is>
          <t>계약현황 탭 클릭</t>
        </is>
      </c>
      <c r="AB52" s="34" t="inlineStr">
        <is>
          <t>탭 콘텐츠 lazy load</t>
        </is>
      </c>
      <c r="AC52" s="34" t="inlineStr">
        <is>
          <t>이용권 없음: EmptyState</t>
        </is>
      </c>
      <c r="AD52" s="34" t="inlineStr">
        <is>
          <t>SCR-011과 동일</t>
        </is>
      </c>
      <c r="AE52" s="34" t="inlineStr">
        <is>
          <t>GNB + 탭네비 sticky</t>
        </is>
      </c>
    </row>
    <row r="53">
      <c r="A53" s="33" t="inlineStr">
        <is>
          <t>SCR-011-T3</t>
        </is>
      </c>
      <c r="B53" s="33" t="inlineStr">
        <is>
          <t>회원 상세 - 출석이력 탭</t>
        </is>
      </c>
      <c r="C53" s="33" t="inlineStr">
        <is>
          <t>Web</t>
        </is>
      </c>
      <c r="D53" s="34" t="inlineStr">
        <is>
          <t>/members/detail</t>
        </is>
      </c>
      <c r="E53" s="34" t="inlineStr">
        <is>
          <t>출석이력 탭. 캘린더 히트맵 + 출석 로그 테이블</t>
        </is>
      </c>
      <c r="F53" s="34" t="inlineStr">
        <is>
          <t>(해당 없음)</t>
        </is>
      </c>
      <c r="G53" s="34" t="inlineStr">
        <is>
          <t>캘린더 날짜 클릭 시 상세, 월 네비게이션</t>
        </is>
      </c>
      <c r="H53" s="34" t="n"/>
      <c r="I53" s="34" t="n"/>
      <c r="J53" s="34" t="inlineStr">
        <is>
          <t>SCR-011 출석 탭 클릭</t>
        </is>
      </c>
      <c r="K53" s="34" t="n"/>
      <c r="L53" s="34" t="inlineStr">
        <is>
          <t>출석 없음: '출석 기록이 없습니다'</t>
        </is>
      </c>
      <c r="M53" s="34" t="n"/>
      <c r="N53" s="34" t="n"/>
      <c r="O53" s="34" t="n"/>
      <c r="P53" s="34" t="n"/>
      <c r="Q53" s="34" t="inlineStr">
        <is>
          <t>확정</t>
        </is>
      </c>
      <c r="R53" s="34" t="n"/>
      <c r="S53" s="34" t="n">
        <v>0</v>
      </c>
      <c r="T53" s="34" t="n">
        <v>0</v>
      </c>
      <c r="U53" s="34" t="n">
        <v>0</v>
      </c>
      <c r="V53" s="34" t="n"/>
      <c r="W53" s="34" t="n">
        <v>0</v>
      </c>
      <c r="X53" s="34" t="inlineStr">
        <is>
          <t>SCR-011과 동일 + 캘린더 + 테이블</t>
        </is>
      </c>
      <c r="Y53" s="34" t="inlineStr">
        <is>
          <t>프로필 헤더 → 탭 네비게이션 → 탭 콘텐츠</t>
        </is>
      </c>
      <c r="Z53" s="34" t="inlineStr">
        <is>
          <t>state (출석 탭)</t>
        </is>
      </c>
      <c r="AA53" s="34" t="inlineStr">
        <is>
          <t>출석 탭 클릭</t>
        </is>
      </c>
      <c r="AB53" s="34" t="inlineStr">
        <is>
          <t>캘린더/테이블 로딩</t>
        </is>
      </c>
      <c r="AC53" s="34" t="inlineStr">
        <is>
          <t>출석 없음: EmptyState</t>
        </is>
      </c>
      <c r="AD53" s="34" t="inlineStr">
        <is>
          <t>SCR-011과 동일</t>
        </is>
      </c>
      <c r="AE53" s="34" t="inlineStr">
        <is>
          <t>GNB + 탭네비 sticky</t>
        </is>
      </c>
    </row>
    <row r="54">
      <c r="A54" s="33" t="inlineStr">
        <is>
          <t>SCR-011-T4</t>
        </is>
      </c>
      <c r="B54" s="33" t="inlineStr">
        <is>
          <t>회원 상세 - 체성분 탭</t>
        </is>
      </c>
      <c r="C54" s="33" t="inlineStr">
        <is>
          <t>Web</t>
        </is>
      </c>
      <c r="D54" s="34" t="inlineStr">
        <is>
          <t>/members/detail</t>
        </is>
      </c>
      <c r="E54" s="34" t="inlineStr">
        <is>
          <t>체성분 탭. InBody 기록 차트 + 측정 이력 테이블</t>
        </is>
      </c>
      <c r="F54" s="34" t="inlineStr">
        <is>
          <t>(해당 없음)</t>
        </is>
      </c>
      <c r="G54" s="34" t="inlineStr">
        <is>
          <t>차트 기간 필터, 측정값 비교, 새 측정 기록 추가</t>
        </is>
      </c>
      <c r="H54" s="34" t="n"/>
      <c r="I54" s="34" t="n"/>
      <c r="J54" s="34" t="inlineStr">
        <is>
          <t>SCR-011 체성분 탭 클릭</t>
        </is>
      </c>
      <c r="K54" s="34" t="n"/>
      <c r="L54" s="34" t="inlineStr">
        <is>
          <t>측정 없음: '체성분 측정 기록이 없습니다'</t>
        </is>
      </c>
      <c r="M54" s="34" t="n"/>
      <c r="N54" s="34" t="n"/>
      <c r="O54" s="34" t="n"/>
      <c r="P54" s="34" t="n"/>
      <c r="Q54" s="34" t="inlineStr">
        <is>
          <t>확정</t>
        </is>
      </c>
      <c r="R54" s="34" t="n"/>
      <c r="S54" s="34" t="n">
        <v>0</v>
      </c>
      <c r="T54" s="34" t="n">
        <v>0</v>
      </c>
      <c r="U54" s="34" t="n">
        <v>0</v>
      </c>
      <c r="V54" s="34" t="n"/>
      <c r="W54" s="34" t="n">
        <v>0</v>
      </c>
      <c r="X54" s="34" t="inlineStr">
        <is>
          <t>SCR-011과 동일 + 차트 + 테이블</t>
        </is>
      </c>
      <c r="Y54" s="34" t="inlineStr">
        <is>
          <t>프로필 헤더 → 탭 네비게이션 → 탭 콘텐츠</t>
        </is>
      </c>
      <c r="Z54" s="34" t="inlineStr">
        <is>
          <t>state (체성분 탭)</t>
        </is>
      </c>
      <c r="AA54" s="34" t="inlineStr">
        <is>
          <t>체성분 탭 클릭</t>
        </is>
      </c>
      <c r="AB54" s="34" t="inlineStr">
        <is>
          <t>차트/테이블 로딩</t>
        </is>
      </c>
      <c r="AC54" s="34" t="inlineStr">
        <is>
          <t>측정 없음: EmptyState</t>
        </is>
      </c>
      <c r="AD54" s="34" t="inlineStr">
        <is>
          <t>SCR-011과 동일</t>
        </is>
      </c>
      <c r="AE54" s="34" t="inlineStr">
        <is>
          <t>GNB + 탭네비 sticky</t>
        </is>
      </c>
    </row>
    <row r="55">
      <c r="A55" s="33" t="inlineStr">
        <is>
          <t>SCR-011-T5</t>
        </is>
      </c>
      <c r="B55" s="33" t="inlineStr">
        <is>
          <t>회원 상세 - 결제내역 탭</t>
        </is>
      </c>
      <c r="C55" s="33" t="inlineStr">
        <is>
          <t>Web</t>
        </is>
      </c>
      <c r="D55" s="34" t="inlineStr">
        <is>
          <t>/members/detail</t>
        </is>
      </c>
      <c r="E55" s="34" t="inlineStr">
        <is>
          <t>결제내역 탭. 결제/환불 이력 테이블 + 미수금 표시</t>
        </is>
      </c>
      <c r="F55" s="34" t="inlineStr">
        <is>
          <t>(해당 없음)</t>
        </is>
      </c>
      <c r="G55" s="34" t="inlineStr">
        <is>
          <t>결제상세 펼치기, 영수증 출력, 환불 처리</t>
        </is>
      </c>
      <c r="H55" s="34" t="n"/>
      <c r="I55" s="34" t="n"/>
      <c r="J55" s="34" t="inlineStr">
        <is>
          <t>SCR-011 결제내역 탭 클릭</t>
        </is>
      </c>
      <c r="K55" s="34" t="n"/>
      <c r="L55" s="34" t="inlineStr">
        <is>
          <t>결제 없음: '결제 내역이 없습니다'</t>
        </is>
      </c>
      <c r="M55" s="34" t="n"/>
      <c r="N55" s="34" t="n"/>
      <c r="O55" s="34" t="n"/>
      <c r="P55" s="34" t="n"/>
      <c r="Q55" s="34" t="inlineStr">
        <is>
          <t>확정</t>
        </is>
      </c>
      <c r="R55" s="34" t="n"/>
      <c r="S55" s="34" t="n">
        <v>0</v>
      </c>
      <c r="T55" s="34" t="n">
        <v>0</v>
      </c>
      <c r="U55" s="34" t="n">
        <v>0</v>
      </c>
      <c r="V55" s="34" t="n"/>
      <c r="W55" s="34" t="n">
        <v>0</v>
      </c>
      <c r="X55" s="34" t="inlineStr">
        <is>
          <t>SCR-011과 동일 + 결제 테이블</t>
        </is>
      </c>
      <c r="Y55" s="34" t="inlineStr">
        <is>
          <t>프로필 헤더 → 탭 네비게이션 → 탭 콘텐츠</t>
        </is>
      </c>
      <c r="Z55" s="34" t="inlineStr">
        <is>
          <t>state (결제 탭)</t>
        </is>
      </c>
      <c r="AA55" s="34" t="inlineStr">
        <is>
          <t>결제내역 탭 클릭</t>
        </is>
      </c>
      <c r="AB55" s="34" t="inlineStr">
        <is>
          <t>테이블 로딩</t>
        </is>
      </c>
      <c r="AC55" s="34" t="inlineStr">
        <is>
          <t>결제 없음: EmptyState</t>
        </is>
      </c>
      <c r="AD55" s="34" t="inlineStr">
        <is>
          <t>SCR-011과 동일</t>
        </is>
      </c>
      <c r="AE55" s="34" t="inlineStr">
        <is>
          <t>GNB + 탭네비 sticky</t>
        </is>
      </c>
    </row>
    <row r="56">
      <c r="A56" s="33" t="inlineStr">
        <is>
          <t>SCR-011-T6</t>
        </is>
      </c>
      <c r="B56" s="33" t="inlineStr">
        <is>
          <t>회원 상세 - 커뮤니케이션 탭</t>
        </is>
      </c>
      <c r="C56" s="33" t="inlineStr">
        <is>
          <t>Web</t>
        </is>
      </c>
      <c r="D56" s="34" t="inlineStr">
        <is>
          <t>/members/detail</t>
        </is>
      </c>
      <c r="E56" s="34" t="inlineStr">
        <is>
          <t>커뮤니케이션 탭. 상담기록/메시지발송이력/메모 관리</t>
        </is>
      </c>
      <c r="F56" s="34" t="inlineStr">
        <is>
          <t>(해당 없음)</t>
        </is>
      </c>
      <c r="G56" s="34" t="inlineStr">
        <is>
          <t>상담기록 추가, 메시지 발송, 메모 작성</t>
        </is>
      </c>
      <c r="H56" s="34" t="n"/>
      <c r="I56" s="34" t="n"/>
      <c r="J56" s="34" t="inlineStr">
        <is>
          <t>SCR-011 커뮤니케이션 탭 클릭</t>
        </is>
      </c>
      <c r="K56" s="34" t="n"/>
      <c r="L56" s="34" t="inlineStr">
        <is>
          <t>기록 없음: '커뮤니케이션 기록이 없습니다'</t>
        </is>
      </c>
      <c r="M56" s="34" t="n"/>
      <c r="N56" s="34" t="n"/>
      <c r="O56" s="34" t="n"/>
      <c r="P56" s="34" t="n"/>
      <c r="Q56" s="34" t="inlineStr">
        <is>
          <t>확정</t>
        </is>
      </c>
      <c r="R56" s="34" t="n"/>
      <c r="S56" s="34" t="n">
        <v>0</v>
      </c>
      <c r="T56" s="34" t="n">
        <v>1</v>
      </c>
      <c r="U56" s="34" t="n">
        <v>0</v>
      </c>
      <c r="V56" s="34" t="n"/>
      <c r="W56" s="34" t="n">
        <v>0</v>
      </c>
      <c r="X56" s="34" t="inlineStr">
        <is>
          <t>SCR-011과 동일 + 기록 목록</t>
        </is>
      </c>
      <c r="Y56" s="34" t="inlineStr">
        <is>
          <t>프로필 헤더 → 탭 네비게이션 → 탭 콘텐츠</t>
        </is>
      </c>
      <c r="Z56" s="34" t="inlineStr">
        <is>
          <t>state (커뮤니케이션 탭)</t>
        </is>
      </c>
      <c r="AA56" s="34" t="inlineStr">
        <is>
          <t>커뮤니케이션 탭 클릭</t>
        </is>
      </c>
      <c r="AB56" s="34" t="inlineStr">
        <is>
          <t>기록 목록 로딩</t>
        </is>
      </c>
      <c r="AC56" s="34" t="inlineStr">
        <is>
          <t>기록 없음: EmptyState</t>
        </is>
      </c>
      <c r="AD56" s="34" t="inlineStr">
        <is>
          <t>SCR-011과 동일</t>
        </is>
      </c>
      <c r="AE56" s="34" t="inlineStr">
        <is>
          <t>GNB + 탭네비 sticky</t>
        </is>
      </c>
    </row>
    <row r="57">
      <c r="A57" s="33" t="inlineStr">
        <is>
          <t>SCR-011-RF</t>
        </is>
      </c>
      <c r="B57" s="33" t="inlineStr">
        <is>
          <t>회원 상세 - 환불 모달</t>
        </is>
      </c>
      <c r="C57" s="33" t="inlineStr">
        <is>
          <t>Web</t>
        </is>
      </c>
      <c r="D57" s="34" t="inlineStr">
        <is>
          <t>/members/detail</t>
        </is>
      </c>
      <c r="E57" s="34" t="inlineStr">
        <is>
          <t>이용권/결제 환불 처리 모달. 환불금액 계산 + 사유 입력</t>
        </is>
      </c>
      <c r="F57" s="34" t="inlineStr">
        <is>
          <t>(해당 없음)</t>
        </is>
      </c>
      <c r="G57" s="34" t="inlineStr">
        <is>
          <t>환불 금액 자동계산, 사유 필수입력, 환불 확인 더블체크</t>
        </is>
      </c>
      <c r="H57" s="34" t="n"/>
      <c r="I57" s="34" t="n"/>
      <c r="J57" s="34" t="inlineStr">
        <is>
          <t>SCR-011 환불 버튼 클릭</t>
        </is>
      </c>
      <c r="K57" s="34" t="n"/>
      <c r="L57" s="34" t="inlineStr">
        <is>
          <t>환불 불가: 이미 환불됨/기간 초과 안내</t>
        </is>
      </c>
      <c r="M57" s="34" t="n"/>
      <c r="N57" s="34" t="n"/>
      <c r="O57" s="34" t="n"/>
      <c r="P57" s="34" t="n"/>
      <c r="Q57" s="34" t="inlineStr">
        <is>
          <t>확정</t>
        </is>
      </c>
      <c r="R57" s="34" t="n"/>
      <c r="S57" s="34" t="n">
        <v>0</v>
      </c>
      <c r="T57" s="34" t="n">
        <v>0</v>
      </c>
      <c r="U57" s="34" t="n">
        <v>0</v>
      </c>
      <c r="V57" s="34" t="n"/>
      <c r="W57" s="34" t="n">
        <v>0</v>
      </c>
      <c r="X57" s="34" t="inlineStr">
        <is>
          <t>오버레이 모달 (max-w-[500px])</t>
        </is>
      </c>
      <c r="Y57" s="34" t="inlineStr">
        <is>
          <t>모달 헤더 → 입력 폼 → 하단 버튼</t>
        </is>
      </c>
      <c r="Z57" s="34" t="inlineStr">
        <is>
          <t>modal</t>
        </is>
      </c>
      <c r="AA57" s="34" t="inlineStr">
        <is>
          <t>환불 버튼 클릭</t>
        </is>
      </c>
      <c r="AB57" s="34" t="inlineStr">
        <is>
          <t>환불 처리 중 스피너</t>
        </is>
      </c>
      <c r="AC57" s="34" t="inlineStr">
        <is>
          <t>없음</t>
        </is>
      </c>
      <c r="AD57" s="34" t="inlineStr">
        <is>
          <t>모달 내부 스크롤</t>
        </is>
      </c>
      <c r="AE57" s="34" t="inlineStr">
        <is>
          <t>모달 오버레이 배경</t>
        </is>
      </c>
    </row>
    <row r="58">
      <c r="A58" s="33" t="inlineStr">
        <is>
          <t>SCR-011-DEL</t>
        </is>
      </c>
      <c r="B58" s="33" t="inlineStr">
        <is>
          <t>회원 상세 - 삭제 확인 모달</t>
        </is>
      </c>
      <c r="C58" s="33" t="inlineStr">
        <is>
          <t>Web</t>
        </is>
      </c>
      <c r="D58" s="34" t="inlineStr">
        <is>
          <t>/members/detail</t>
        </is>
      </c>
      <c r="E58" s="34" t="inlineStr">
        <is>
          <t>회원 삭제(비활성화) 확인 다이얼로그. 경고 메시지 + 확인/취소</t>
        </is>
      </c>
      <c r="F58" s="34" t="inlineStr">
        <is>
          <t>(해당 없음)</t>
        </is>
      </c>
      <c r="G58" s="34" t="inlineStr">
        <is>
          <t>삭제 확인 시 soft delete 처리, 목록으로 이동</t>
        </is>
      </c>
      <c r="H58" s="34" t="n"/>
      <c r="I58" s="34" t="n"/>
      <c r="J58" s="34" t="inlineStr">
        <is>
          <t>SCR-011 삭제 버튼 클릭</t>
        </is>
      </c>
      <c r="K58" s="34" t="n"/>
      <c r="L58" s="34" t="inlineStr">
        <is>
          <t>삭제 실패: 에러 toast</t>
        </is>
      </c>
      <c r="M58" s="34" t="n"/>
      <c r="N58" s="34" t="n"/>
      <c r="O58" s="34" t="n"/>
      <c r="P58" s="34" t="n"/>
      <c r="Q58" s="34" t="inlineStr">
        <is>
          <t>확정</t>
        </is>
      </c>
      <c r="R58" s="34" t="n"/>
      <c r="S58" s="34" t="n">
        <v>0</v>
      </c>
      <c r="T58" s="34" t="n">
        <v>0</v>
      </c>
      <c r="U58" s="34" t="n">
        <v>0</v>
      </c>
      <c r="V58" s="34" t="n"/>
      <c r="W58" s="34" t="n">
        <v>0</v>
      </c>
      <c r="X58" s="34" t="inlineStr">
        <is>
          <t>AlertDialog 중앙</t>
        </is>
      </c>
      <c r="Y58" s="34" t="inlineStr">
        <is>
          <t>모달 헤더 → 입력 폼 → 하단 버튼</t>
        </is>
      </c>
      <c r="Z58" s="34" t="inlineStr">
        <is>
          <t>dialog</t>
        </is>
      </c>
      <c r="AA58" s="34" t="inlineStr">
        <is>
          <t>삭제 버튼 클릭</t>
        </is>
      </c>
      <c r="AB58" s="34" t="inlineStr">
        <is>
          <t>삭제 처리 중 스피너</t>
        </is>
      </c>
      <c r="AC58" s="34" t="inlineStr">
        <is>
          <t>없음</t>
        </is>
      </c>
      <c r="AD58" s="34" t="inlineStr">
        <is>
          <t>고정 너비 다이얼로그</t>
        </is>
      </c>
      <c r="AE58" s="34" t="inlineStr">
        <is>
          <t>오버레이 배경</t>
        </is>
      </c>
    </row>
    <row r="59">
      <c r="A59" s="33" t="inlineStr">
        <is>
          <t>SCR-011-L</t>
        </is>
      </c>
      <c r="B59" s="33" t="inlineStr">
        <is>
          <t>회원 상세 - 로딩 상태</t>
        </is>
      </c>
      <c r="C59" s="33" t="inlineStr">
        <is>
          <t>Web</t>
        </is>
      </c>
      <c r="D59" s="34" t="inlineStr">
        <is>
          <t>/members/detail</t>
        </is>
      </c>
      <c r="E59" s="34" t="inlineStr">
        <is>
          <t>회원 상세 초기 진입 시 프로필 카드 + 탭 콘텐츠 스켈레톤</t>
        </is>
      </c>
      <c r="F59" s="34" t="inlineStr">
        <is>
          <t>(해당 없음)</t>
        </is>
      </c>
      <c r="G59" s="34" t="inlineStr">
        <is>
          <t>스켈레톤 표시</t>
        </is>
      </c>
      <c r="H59" s="34" t="n"/>
      <c r="I59" s="34" t="n"/>
      <c r="J59" s="34" t="inlineStr">
        <is>
          <t>SCR-010 회원 클릭</t>
        </is>
      </c>
      <c r="K59" s="34" t="n"/>
      <c r="L59" s="34" t="inlineStr">
        <is>
          <t>5초 후 타임아웃</t>
        </is>
      </c>
      <c r="M59" s="34" t="n"/>
      <c r="N59" s="34" t="n"/>
      <c r="O59" s="34" t="n"/>
      <c r="P59" s="34" t="n"/>
      <c r="Q59" s="34" t="inlineStr">
        <is>
          <t>확정</t>
        </is>
      </c>
      <c r="R59" s="34" t="n"/>
      <c r="S59" s="34" t="n">
        <v>0</v>
      </c>
      <c r="T59" s="34" t="n">
        <v>0</v>
      </c>
      <c r="U59" s="34" t="n">
        <v>0</v>
      </c>
      <c r="V59" s="34" t="n"/>
      <c r="W59" s="34" t="n">
        <v>0</v>
      </c>
      <c r="X59" s="34" t="inlineStr">
        <is>
          <t>SCR-011과 동일 (스켈레톤)</t>
        </is>
      </c>
      <c r="Y59" s="34" t="inlineStr">
        <is>
          <t>스켈레톤 UI</t>
        </is>
      </c>
      <c r="Z59" s="34" t="inlineStr">
        <is>
          <t>state (로딩)</t>
        </is>
      </c>
      <c r="AA59" s="34" t="inlineStr">
        <is>
          <t>페이지 진입</t>
        </is>
      </c>
      <c r="AB59" s="34" t="inlineStr">
        <is>
          <t>프로필 카드 스켈레톤 + 탭 콘텐츠 스피너</t>
        </is>
      </c>
      <c r="AC59" s="34" t="inlineStr">
        <is>
          <t>없음</t>
        </is>
      </c>
      <c r="AD59" s="34" t="inlineStr">
        <is>
          <t>SCR-011과 동일</t>
        </is>
      </c>
      <c r="AE59" s="34" t="inlineStr">
        <is>
          <t>GNB</t>
        </is>
      </c>
    </row>
    <row r="60">
      <c r="A60" s="33" t="inlineStr">
        <is>
          <t>SCR-011-404</t>
        </is>
      </c>
      <c r="B60" s="33" t="inlineStr">
        <is>
          <t>회원 상세 - 404 상태</t>
        </is>
      </c>
      <c r="C60" s="33" t="inlineStr">
        <is>
          <t>Web</t>
        </is>
      </c>
      <c r="D60" s="34" t="inlineStr">
        <is>
          <t>/members/detail</t>
        </is>
      </c>
      <c r="E60" s="34" t="inlineStr">
        <is>
          <t>존재하지 않는 회원 ID 접근 시 404 표시</t>
        </is>
      </c>
      <c r="F60" s="34" t="inlineStr">
        <is>
          <t>(해당 없음)</t>
        </is>
      </c>
      <c r="G60" s="34" t="inlineStr">
        <is>
          <t>목록으로 돌아가기 버튼</t>
        </is>
      </c>
      <c r="H60" s="34" t="n"/>
      <c r="I60" s="34" t="n"/>
      <c r="J60" s="34" t="inlineStr">
        <is>
          <t>잘못된 회원 ID로 접근</t>
        </is>
      </c>
      <c r="K60" s="34" t="n"/>
      <c r="L60" s="34" t="inlineStr">
        <is>
          <t>'회원을 찾을 수 없습니다' + 목록 돌아가기</t>
        </is>
      </c>
      <c r="M60" s="34" t="n"/>
      <c r="N60" s="34" t="n"/>
      <c r="O60" s="34" t="n"/>
      <c r="P60" s="34" t="n"/>
      <c r="Q60" s="34" t="inlineStr">
        <is>
          <t>확정</t>
        </is>
      </c>
      <c r="R60" s="34" t="n"/>
      <c r="S60" s="34" t="n">
        <v>0</v>
      </c>
      <c r="T60" s="34" t="n">
        <v>0</v>
      </c>
      <c r="U60" s="34" t="n">
        <v>0</v>
      </c>
      <c r="V60" s="34" t="n"/>
      <c r="W60" s="34" t="n">
        <v>0</v>
      </c>
      <c r="X60" s="34" t="inlineStr">
        <is>
          <t>404 EmptyState 중앙</t>
        </is>
      </c>
      <c r="Y60" s="34" t="inlineStr">
        <is>
          <t>프로필 헤더 → 탭 네비게이션 → 탭 콘텐츠</t>
        </is>
      </c>
      <c r="Z60" s="34" t="inlineStr">
        <is>
          <t>state (404)</t>
        </is>
      </c>
      <c r="AA60" s="34" t="inlineStr">
        <is>
          <t>잘못된 ID 접근</t>
        </is>
      </c>
      <c r="AB60" s="34" t="inlineStr">
        <is>
          <t>없음</t>
        </is>
      </c>
      <c r="AC60" s="34" t="inlineStr">
        <is>
          <t>'회원을 찾을 수 없습니다'</t>
        </is>
      </c>
      <c r="AD60" s="34" t="inlineStr">
        <is>
          <t>SCR-011과 동일</t>
        </is>
      </c>
      <c r="AE60" s="34" t="inlineStr">
        <is>
          <t>GNB</t>
        </is>
      </c>
    </row>
    <row r="61">
      <c r="A61" s="33" t="inlineStr">
        <is>
          <t>SCR-011-M</t>
        </is>
      </c>
      <c r="B61" s="33" t="inlineStr">
        <is>
          <t>회원 상세 - 모바일 뷰</t>
        </is>
      </c>
      <c r="C61" s="33" t="inlineStr">
        <is>
          <t>Mobile</t>
        </is>
      </c>
      <c r="D61" s="34" t="inlineStr">
        <is>
          <t>/members/detail</t>
        </is>
      </c>
      <c r="E61" s="34" t="inlineStr">
        <is>
          <t>모바일 회원 상세. 프로필 축소, 탭 세로배치</t>
        </is>
      </c>
      <c r="F61" s="34" t="inlineStr">
        <is>
          <t>(해당 없음)</t>
        </is>
      </c>
      <c r="G61" s="34" t="inlineStr">
        <is>
          <t>탭 스와이프 전환</t>
        </is>
      </c>
      <c r="H61" s="34" t="n"/>
      <c r="I61" s="34" t="inlineStr">
        <is>
          <t>탭 스와이프, 프로필 축소</t>
        </is>
      </c>
      <c r="J61" s="34" t="inlineStr">
        <is>
          <t>회원 목록 카드 클릭</t>
        </is>
      </c>
      <c r="K61" s="34" t="n"/>
      <c r="L61" s="34" t="inlineStr">
        <is>
          <t>SCR-011과 동일</t>
        </is>
      </c>
      <c r="M61" s="34" t="inlineStr">
        <is>
          <t>터치 44px</t>
        </is>
      </c>
      <c r="N61" s="34" t="inlineStr">
        <is>
          <t>&lt;768px</t>
        </is>
      </c>
      <c r="O61" s="34" t="n"/>
      <c r="P61" s="34" t="n"/>
      <c r="Q61" s="34" t="inlineStr">
        <is>
          <t>확정</t>
        </is>
      </c>
      <c r="R61" s="34" t="n"/>
      <c r="S61" s="34" t="n">
        <v>0</v>
      </c>
      <c r="T61" s="34" t="n">
        <v>0</v>
      </c>
      <c r="U61" s="34" t="n">
        <v>0</v>
      </c>
      <c r="V61" s="34" t="n"/>
      <c r="W61" s="34" t="n">
        <v>0</v>
      </c>
      <c r="X61" s="34" t="inlineStr">
        <is>
          <t>프로필 축소 + 탭 세로배치</t>
        </is>
      </c>
      <c r="Y61" s="34" t="inlineStr">
        <is>
          <t>프로필 헤더 → 탭 네비게이션 → 탭 콘텐츠</t>
        </is>
      </c>
      <c r="Z61" s="34" t="inlineStr">
        <is>
          <t>page (모바일)</t>
        </is>
      </c>
      <c r="AA61" s="34" t="inlineStr">
        <is>
          <t>회원 카드 클릭</t>
        </is>
      </c>
      <c r="AB61" s="34" t="inlineStr">
        <is>
          <t>SCR-011과 동일</t>
        </is>
      </c>
      <c r="AC61" s="34" t="inlineStr">
        <is>
          <t>SCR-011과 동일</t>
        </is>
      </c>
      <c r="AD61" s="34" t="inlineStr">
        <is>
          <t>프로필 축소, 탭 세로</t>
        </is>
      </c>
      <c r="AE61" s="34" t="inlineStr">
        <is>
          <t>GNB</t>
        </is>
      </c>
    </row>
    <row r="62">
      <c r="A62" s="33" t="inlineStr">
        <is>
          <t>SCR-012-V</t>
        </is>
      </c>
      <c r="B62" s="33" t="inlineStr">
        <is>
          <t>회원 등록 - 유효성 에러</t>
        </is>
      </c>
      <c r="C62" s="33" t="inlineStr">
        <is>
          <t>Web</t>
        </is>
      </c>
      <c r="D62" s="34" t="inlineStr">
        <is>
          <t>/members/new</t>
        </is>
      </c>
      <c r="E62" s="34" t="inlineStr">
        <is>
          <t>폼 유효성 검사 실패 시 각 필드별 에러 메시지 표시</t>
        </is>
      </c>
      <c r="F62" s="34" t="inlineStr">
        <is>
          <t>(해당 없음)</t>
        </is>
      </c>
      <c r="G62" s="34" t="inlineStr">
        <is>
          <t>에러 필드 포커스, 스크롤 이동, 에러 메시지 표시</t>
        </is>
      </c>
      <c r="H62" s="34" t="n"/>
      <c r="I62" s="34" t="n"/>
      <c r="J62" s="34" t="inlineStr">
        <is>
          <t>SCR-012 저장 버튼 클릭</t>
        </is>
      </c>
      <c r="K62" s="34" t="n"/>
      <c r="L62" s="34" t="inlineStr">
        <is>
          <t>필수 필드 미입력 시 에러, 연락처 형식 에러</t>
        </is>
      </c>
      <c r="M62" s="34" t="n"/>
      <c r="N62" s="34" t="n"/>
      <c r="O62" s="34" t="n"/>
      <c r="P62" s="34" t="n"/>
      <c r="Q62" s="34" t="inlineStr">
        <is>
          <t>확정</t>
        </is>
      </c>
      <c r="R62" s="34" t="n"/>
      <c r="S62" s="34" t="n">
        <v>0</v>
      </c>
      <c r="T62" s="34" t="n">
        <v>1</v>
      </c>
      <c r="U62" s="34" t="n">
        <v>0</v>
      </c>
      <c r="V62" s="34" t="n"/>
      <c r="W62" s="34" t="n">
        <v>0</v>
      </c>
      <c r="X62" s="34" t="inlineStr">
        <is>
          <t>SCR-012와 동일</t>
        </is>
      </c>
      <c r="Y62" s="34" t="inlineStr">
        <is>
          <t>폼 섹션 → 입력 필드 → 저장/취소 버튼</t>
        </is>
      </c>
      <c r="Z62" s="34" t="inlineStr">
        <is>
          <t>state (유효성 에러)</t>
        </is>
      </c>
      <c r="AA62" s="34" t="inlineStr">
        <is>
          <t>저장 클릭 (유효성 실패)</t>
        </is>
      </c>
      <c r="AB62" s="34" t="inlineStr">
        <is>
          <t>SCR-012와 동일</t>
        </is>
      </c>
      <c r="AC62" s="34" t="inlineStr">
        <is>
          <t>없음</t>
        </is>
      </c>
      <c r="AD62" s="34" t="inlineStr">
        <is>
          <t>SCR-012와 동일</t>
        </is>
      </c>
      <c r="AE62" s="34" t="inlineStr">
        <is>
          <t>GNB</t>
        </is>
      </c>
    </row>
    <row r="63">
      <c r="A63" s="33" t="inlineStr">
        <is>
          <t>SCR-012-L</t>
        </is>
      </c>
      <c r="B63" s="33" t="inlineStr">
        <is>
          <t>회원 등록 - 저장 중</t>
        </is>
      </c>
      <c r="C63" s="33" t="inlineStr">
        <is>
          <t>Web</t>
        </is>
      </c>
      <c r="D63" s="34" t="inlineStr">
        <is>
          <t>/members/new</t>
        </is>
      </c>
      <c r="E63" s="34" t="inlineStr">
        <is>
          <t>회원 등록 API 호출 중 로딩 상태. 버튼 비활성 + 스피너</t>
        </is>
      </c>
      <c r="F63" s="34" t="inlineStr">
        <is>
          <t>(해당 없음)</t>
        </is>
      </c>
      <c r="G63" s="34" t="inlineStr">
        <is>
          <t>저장 버튼 비활성, 폼 수정 불가</t>
        </is>
      </c>
      <c r="H63" s="34" t="n"/>
      <c r="I63" s="34" t="n"/>
      <c r="J63" s="34" t="inlineStr">
        <is>
          <t>SCR-012 저장 클릭</t>
        </is>
      </c>
      <c r="K63" s="34" t="n"/>
      <c r="L63" s="34" t="inlineStr">
        <is>
          <t>저장 실패 시 에러 toast</t>
        </is>
      </c>
      <c r="M63" s="34" t="n"/>
      <c r="N63" s="34" t="n"/>
      <c r="O63" s="34" t="n"/>
      <c r="P63" s="34" t="n"/>
      <c r="Q63" s="34" t="inlineStr">
        <is>
          <t>확정</t>
        </is>
      </c>
      <c r="R63" s="34" t="n"/>
      <c r="S63" s="34" t="n">
        <v>0</v>
      </c>
      <c r="T63" s="34" t="n">
        <v>0</v>
      </c>
      <c r="U63" s="34" t="n">
        <v>0</v>
      </c>
      <c r="V63" s="34" t="n"/>
      <c r="W63" s="34" t="n">
        <v>0</v>
      </c>
      <c r="X63" s="34" t="inlineStr">
        <is>
          <t>SCR-012와 동일</t>
        </is>
      </c>
      <c r="Y63" s="34" t="inlineStr">
        <is>
          <t>폼 섹션 → 입력 필드 → 저장/취소 버튼</t>
        </is>
      </c>
      <c r="Z63" s="34" t="inlineStr">
        <is>
          <t>state (저장 중)</t>
        </is>
      </c>
      <c r="AA63" s="34" t="inlineStr">
        <is>
          <t>저장 버튼 클릭</t>
        </is>
      </c>
      <c r="AB63" s="34" t="inlineStr">
        <is>
          <t>저장 버튼: 스피너 + '등록 중...'</t>
        </is>
      </c>
      <c r="AC63" s="34" t="inlineStr">
        <is>
          <t>없음</t>
        </is>
      </c>
      <c r="AD63" s="34" t="inlineStr">
        <is>
          <t>SCR-012와 동일</t>
        </is>
      </c>
      <c r="AE63" s="34" t="inlineStr">
        <is>
          <t>GNB</t>
        </is>
      </c>
    </row>
    <row r="64">
      <c r="A64" s="33" t="inlineStr">
        <is>
          <t>SCR-012-M</t>
        </is>
      </c>
      <c r="B64" s="33" t="inlineStr">
        <is>
          <t>회원 등록 - 모바일 뷰</t>
        </is>
      </c>
      <c r="C64" s="33" t="inlineStr">
        <is>
          <t>Mobile</t>
        </is>
      </c>
      <c r="D64" s="34" t="inlineStr">
        <is>
          <t>/members/new</t>
        </is>
      </c>
      <c r="E64" s="34" t="inlineStr">
        <is>
          <t>모바일 회원 등록 폼. 풀너비 입력, 세로 레이아웃</t>
        </is>
      </c>
      <c r="F64" s="34" t="inlineStr">
        <is>
          <t>(해당 없음)</t>
        </is>
      </c>
      <c r="G64" s="34" t="inlineStr">
        <is>
          <t>키보드 대응, 스크롤</t>
        </is>
      </c>
      <c r="H64" s="34" t="n"/>
      <c r="I64" s="34" t="inlineStr">
        <is>
          <t>키보드 올라올 때 뷰포트 조정</t>
        </is>
      </c>
      <c r="J64" s="34" t="inlineStr">
        <is>
          <t>SCR-010 회원추가 버튼</t>
        </is>
      </c>
      <c r="K64" s="34" t="n"/>
      <c r="L64" s="34" t="inlineStr">
        <is>
          <t>SCR-012와 동일</t>
        </is>
      </c>
      <c r="M64" s="34" t="inlineStr">
        <is>
          <t>터치 44px</t>
        </is>
      </c>
      <c r="N64" s="34" t="inlineStr">
        <is>
          <t>&lt;768px</t>
        </is>
      </c>
      <c r="O64" s="34" t="n"/>
      <c r="P64" s="34" t="n"/>
      <c r="Q64" s="34" t="inlineStr">
        <is>
          <t>확정</t>
        </is>
      </c>
      <c r="R64" s="34" t="n"/>
      <c r="S64" s="34" t="n">
        <v>0</v>
      </c>
      <c r="T64" s="34" t="n">
        <v>0</v>
      </c>
      <c r="U64" s="34" t="n">
        <v>0</v>
      </c>
      <c r="V64" s="34" t="n"/>
      <c r="W64" s="34" t="n">
        <v>0</v>
      </c>
      <c r="X64" s="34" t="inlineStr">
        <is>
          <t>풀너비 세로 레이아웃</t>
        </is>
      </c>
      <c r="Y64" s="34" t="inlineStr">
        <is>
          <t>폼 섹션 → 입력 필드 → 저장/취소 버튼</t>
        </is>
      </c>
      <c r="Z64" s="34" t="inlineStr">
        <is>
          <t>page (모바일)</t>
        </is>
      </c>
      <c r="AA64" s="34" t="inlineStr">
        <is>
          <t>회원추가 버튼</t>
        </is>
      </c>
      <c r="AB64" s="34" t="inlineStr">
        <is>
          <t>SCR-012와 동일</t>
        </is>
      </c>
      <c r="AC64" s="34" t="inlineStr">
        <is>
          <t>SCR-012와 동일</t>
        </is>
      </c>
      <c r="AD64" s="34" t="inlineStr">
        <is>
          <t>풀너비 입력, 세로 레이아웃</t>
        </is>
      </c>
      <c r="AE64" s="34" t="inlineStr">
        <is>
          <t>GNB</t>
        </is>
      </c>
    </row>
    <row r="65">
      <c r="A65" s="33" t="inlineStr">
        <is>
          <t>SCR-013-V</t>
        </is>
      </c>
      <c r="B65" s="33" t="inlineStr">
        <is>
          <t>회원 수정 - 유효성 에러</t>
        </is>
      </c>
      <c r="C65" s="33" t="inlineStr">
        <is>
          <t>Web</t>
        </is>
      </c>
      <c r="D65" s="34" t="inlineStr">
        <is>
          <t>/members/edit</t>
        </is>
      </c>
      <c r="E65" s="34" t="inlineStr">
        <is>
          <t>수정 폼 유효성 검사 실패 상태</t>
        </is>
      </c>
      <c r="F65" s="34" t="inlineStr">
        <is>
          <t>(해당 없음)</t>
        </is>
      </c>
      <c r="G65" s="34" t="inlineStr">
        <is>
          <t>에러 필드 포커스, 에러 메시지 표시</t>
        </is>
      </c>
      <c r="H65" s="34" t="n"/>
      <c r="I65" s="34" t="n"/>
      <c r="J65" s="34" t="inlineStr">
        <is>
          <t>SCR-013 저장 클릭</t>
        </is>
      </c>
      <c r="K65" s="34" t="n"/>
      <c r="L65" s="34" t="inlineStr">
        <is>
          <t>필수 필드 에러, 연락처 중복 체크</t>
        </is>
      </c>
      <c r="M65" s="34" t="n"/>
      <c r="N65" s="34" t="n"/>
      <c r="O65" s="34" t="n"/>
      <c r="P65" s="34" t="n"/>
      <c r="Q65" s="34" t="inlineStr">
        <is>
          <t>확정</t>
        </is>
      </c>
      <c r="R65" s="34" t="n"/>
      <c r="S65" s="34" t="n">
        <v>0</v>
      </c>
      <c r="T65" s="34" t="n">
        <v>0</v>
      </c>
      <c r="U65" s="34" t="n">
        <v>0</v>
      </c>
      <c r="V65" s="34" t="n"/>
      <c r="W65" s="34" t="n">
        <v>0</v>
      </c>
      <c r="X65" s="34" t="inlineStr">
        <is>
          <t>SCR-013과 동일</t>
        </is>
      </c>
      <c r="Y65" s="34" t="inlineStr">
        <is>
          <t>폼 섹션 → 입력 필드 → 저장/취소 버튼</t>
        </is>
      </c>
      <c r="Z65" s="34" t="inlineStr">
        <is>
          <t>state (유효성 에러)</t>
        </is>
      </c>
      <c r="AA65" s="34" t="inlineStr">
        <is>
          <t>저장 클릭 (유효성 실패)</t>
        </is>
      </c>
      <c r="AB65" s="34" t="inlineStr">
        <is>
          <t>SCR-013과 동일</t>
        </is>
      </c>
      <c r="AC65" s="34" t="inlineStr">
        <is>
          <t>없음</t>
        </is>
      </c>
      <c r="AD65" s="34" t="inlineStr">
        <is>
          <t>SCR-013과 동일</t>
        </is>
      </c>
      <c r="AE65" s="34" t="inlineStr">
        <is>
          <t>GNB</t>
        </is>
      </c>
    </row>
    <row r="66">
      <c r="A66" s="33" t="inlineStr">
        <is>
          <t>SCR-013-L</t>
        </is>
      </c>
      <c r="B66" s="33" t="inlineStr">
        <is>
          <t>회원 수정 - 저장 중</t>
        </is>
      </c>
      <c r="C66" s="33" t="inlineStr">
        <is>
          <t>Web</t>
        </is>
      </c>
      <c r="D66" s="34" t="inlineStr">
        <is>
          <t>/members/edit</t>
        </is>
      </c>
      <c r="E66" s="34" t="inlineStr">
        <is>
          <t>회원 수정 API 호출 중 로딩 상태</t>
        </is>
      </c>
      <c r="F66" s="34" t="inlineStr">
        <is>
          <t>(해당 없음)</t>
        </is>
      </c>
      <c r="G66" s="34" t="inlineStr">
        <is>
          <t>저장 버튼 비활성</t>
        </is>
      </c>
      <c r="H66" s="34" t="n"/>
      <c r="I66" s="34" t="n"/>
      <c r="J66" s="34" t="inlineStr">
        <is>
          <t>SCR-013 저장 클릭</t>
        </is>
      </c>
      <c r="K66" s="34" t="n"/>
      <c r="L66" s="34" t="inlineStr">
        <is>
          <t>저장 실패 시 에러 toast</t>
        </is>
      </c>
      <c r="M66" s="34" t="n"/>
      <c r="N66" s="34" t="n"/>
      <c r="O66" s="34" t="n"/>
      <c r="P66" s="34" t="n"/>
      <c r="Q66" s="34" t="inlineStr">
        <is>
          <t>확정</t>
        </is>
      </c>
      <c r="R66" s="34" t="n"/>
      <c r="S66" s="34" t="n">
        <v>0</v>
      </c>
      <c r="T66" s="34" t="n">
        <v>0</v>
      </c>
      <c r="U66" s="34" t="n">
        <v>0</v>
      </c>
      <c r="V66" s="34" t="n"/>
      <c r="W66" s="34" t="n">
        <v>0</v>
      </c>
      <c r="X66" s="34" t="inlineStr">
        <is>
          <t>SCR-013과 동일</t>
        </is>
      </c>
      <c r="Y66" s="34" t="inlineStr">
        <is>
          <t>폼 섹션 → 입력 필드 → 저장/취소 버튼</t>
        </is>
      </c>
      <c r="Z66" s="34" t="inlineStr">
        <is>
          <t>state (저장 중)</t>
        </is>
      </c>
      <c r="AA66" s="34" t="inlineStr">
        <is>
          <t>저장 클릭</t>
        </is>
      </c>
      <c r="AB66" s="34" t="inlineStr">
        <is>
          <t>저장 버튼: 스피너 + '수정 중...'</t>
        </is>
      </c>
      <c r="AC66" s="34" t="inlineStr">
        <is>
          <t>없음</t>
        </is>
      </c>
      <c r="AD66" s="34" t="inlineStr">
        <is>
          <t>SCR-013과 동일</t>
        </is>
      </c>
      <c r="AE66" s="34" t="inlineStr">
        <is>
          <t>GNB</t>
        </is>
      </c>
    </row>
    <row r="67">
      <c r="A67" s="33" t="inlineStr">
        <is>
          <t>SCR-020-L</t>
        </is>
      </c>
      <c r="B67" s="33" t="inlineStr">
        <is>
          <t>출석 관리 - 로딩 상태</t>
        </is>
      </c>
      <c r="C67" s="33" t="inlineStr">
        <is>
          <t>Web</t>
        </is>
      </c>
      <c r="D67" s="34" t="inlineStr">
        <is>
          <t>/attendance</t>
        </is>
      </c>
      <c r="E67" s="34" t="inlineStr">
        <is>
          <t>출석 목록 로딩 시 스켈레톤 표시</t>
        </is>
      </c>
      <c r="F67" s="34" t="inlineStr">
        <is>
          <t>(해당 없음)</t>
        </is>
      </c>
      <c r="G67" s="34" t="inlineStr">
        <is>
          <t>스켈레톤 행 표시</t>
        </is>
      </c>
      <c r="H67" s="34" t="n"/>
      <c r="I67" s="34" t="n"/>
      <c r="J67" s="34" t="inlineStr">
        <is>
          <t>SCR-020 페이지 진입</t>
        </is>
      </c>
      <c r="K67" s="34" t="n"/>
      <c r="L67" s="34" t="inlineStr">
        <is>
          <t>로딩 실패 시 에러 전환</t>
        </is>
      </c>
      <c r="M67" s="34" t="n"/>
      <c r="N67" s="34" t="n"/>
      <c r="O67" s="34" t="n"/>
      <c r="P67" s="34" t="n"/>
      <c r="Q67" s="34" t="inlineStr">
        <is>
          <t>확정</t>
        </is>
      </c>
      <c r="R67" s="34" t="n"/>
      <c r="S67" s="34" t="n">
        <v>0</v>
      </c>
      <c r="T67" s="34" t="n">
        <v>0</v>
      </c>
      <c r="U67" s="34" t="n">
        <v>0</v>
      </c>
      <c r="V67" s="34" t="n"/>
      <c r="W67" s="34" t="n">
        <v>0</v>
      </c>
      <c r="X67" s="34" t="inlineStr">
        <is>
          <t>SCR-020과 동일 (스켈레톤)</t>
        </is>
      </c>
      <c r="Y67" s="34" t="inlineStr">
        <is>
          <t>스켈레톤 UI</t>
        </is>
      </c>
      <c r="Z67" s="34" t="inlineStr">
        <is>
          <t>state (로딩)</t>
        </is>
      </c>
      <c r="AA67" s="34" t="inlineStr">
        <is>
          <t>페이지 진입</t>
        </is>
      </c>
      <c r="AB67" s="34" t="inlineStr">
        <is>
          <t>통계카드 스켈레톤 + 테이블 스켈레톤</t>
        </is>
      </c>
      <c r="AC67" s="34" t="inlineStr">
        <is>
          <t>없음</t>
        </is>
      </c>
      <c r="AD67" s="34" t="inlineStr">
        <is>
          <t>SCR-020과 동일</t>
        </is>
      </c>
      <c r="AE67" s="34" t="inlineStr">
        <is>
          <t>GNB</t>
        </is>
      </c>
    </row>
    <row r="68">
      <c r="A68" s="33" t="inlineStr">
        <is>
          <t>SCR-020-EM</t>
        </is>
      </c>
      <c r="B68" s="33" t="inlineStr">
        <is>
          <t>출석 관리 - 빈 상태</t>
        </is>
      </c>
      <c r="C68" s="33" t="inlineStr">
        <is>
          <t>Web</t>
        </is>
      </c>
      <c r="D68" s="34" t="inlineStr">
        <is>
          <t>/attendance</t>
        </is>
      </c>
      <c r="E68" s="34" t="inlineStr">
        <is>
          <t>오늘 출석 0건일 때 EmptyState 표시</t>
        </is>
      </c>
      <c r="F68" s="34" t="inlineStr">
        <is>
          <t>(해당 없음)</t>
        </is>
      </c>
      <c r="G68" s="34" t="inlineStr">
        <is>
          <t>수동 체크인 버튼</t>
        </is>
      </c>
      <c r="H68" s="34" t="n"/>
      <c r="I68" s="34" t="n"/>
      <c r="J68" s="34" t="inlineStr">
        <is>
          <t>SCR-020 (출석 0건)</t>
        </is>
      </c>
      <c r="K68" s="34" t="n"/>
      <c r="L68" s="34" t="inlineStr">
        <is>
          <t>'오늘 출석한 회원이 없습니다'</t>
        </is>
      </c>
      <c r="M68" s="34" t="n"/>
      <c r="N68" s="34" t="n"/>
      <c r="O68" s="34" t="n"/>
      <c r="P68" s="34" t="n"/>
      <c r="Q68" s="34" t="inlineStr">
        <is>
          <t>확정</t>
        </is>
      </c>
      <c r="R68" s="34" t="n"/>
      <c r="S68" s="34" t="n">
        <v>0</v>
      </c>
      <c r="T68" s="34" t="n">
        <v>1</v>
      </c>
      <c r="U68" s="34" t="n">
        <v>0</v>
      </c>
      <c r="V68" s="34" t="n"/>
      <c r="W68" s="34" t="n">
        <v>0</v>
      </c>
      <c r="X68" s="34" t="inlineStr">
        <is>
          <t>SCR-020과 동일</t>
        </is>
      </c>
      <c r="Y68" s="34" t="inlineStr">
        <is>
          <t>빈 상태 아이콘 → 안내 문구 → CTA 버튼</t>
        </is>
      </c>
      <c r="Z68" s="34" t="inlineStr">
        <is>
          <t>state (빈 상태)</t>
        </is>
      </c>
      <c r="AA68" s="34" t="inlineStr">
        <is>
          <t>페이지 진입 (출석 0건)</t>
        </is>
      </c>
      <c r="AB68" s="34" t="inlineStr">
        <is>
          <t>없음</t>
        </is>
      </c>
      <c r="AC68" s="34" t="inlineStr">
        <is>
          <t>'오늘 출석한 회원이 없습니다' EmptyState</t>
        </is>
      </c>
      <c r="AD68" s="34" t="inlineStr">
        <is>
          <t>SCR-020과 동일</t>
        </is>
      </c>
      <c r="AE68" s="34" t="inlineStr">
        <is>
          <t>GNB</t>
        </is>
      </c>
    </row>
    <row r="69">
      <c r="A69" s="33" t="inlineStr">
        <is>
          <t>SCR-020-E</t>
        </is>
      </c>
      <c r="B69" s="33" t="inlineStr">
        <is>
          <t>출석 관리 - 에러 상태</t>
        </is>
      </c>
      <c r="C69" s="33" t="inlineStr">
        <is>
          <t>Web</t>
        </is>
      </c>
      <c r="D69" s="34" t="inlineStr">
        <is>
          <t>/attendance</t>
        </is>
      </c>
      <c r="E69" s="34" t="inlineStr">
        <is>
          <t>출석 데이터 로딩 실패 시 에러 표시</t>
        </is>
      </c>
      <c r="F69" s="34" t="inlineStr">
        <is>
          <t>(해당 없음)</t>
        </is>
      </c>
      <c r="G69" s="34" t="inlineStr">
        <is>
          <t>재시도 버튼</t>
        </is>
      </c>
      <c r="H69" s="34" t="n"/>
      <c r="I69" s="34" t="n"/>
      <c r="J69" s="34" t="inlineStr">
        <is>
          <t>SCR-020 로딩 실패</t>
        </is>
      </c>
      <c r="K69" s="34" t="n"/>
      <c r="L69" s="34" t="inlineStr">
        <is>
          <t>'데이터를 불러올 수 없습니다' + 재시도</t>
        </is>
      </c>
      <c r="M69" s="34" t="n"/>
      <c r="N69" s="34" t="n"/>
      <c r="O69" s="34" t="n"/>
      <c r="P69" s="34" t="n"/>
      <c r="Q69" s="34" t="inlineStr">
        <is>
          <t>확정</t>
        </is>
      </c>
      <c r="R69" s="34" t="n"/>
      <c r="S69" s="34" t="n">
        <v>0</v>
      </c>
      <c r="T69" s="34" t="n">
        <v>1</v>
      </c>
      <c r="U69" s="34" t="n">
        <v>0</v>
      </c>
      <c r="V69" s="34" t="n"/>
      <c r="W69" s="34" t="n">
        <v>0</v>
      </c>
      <c r="X69" s="34" t="inlineStr">
        <is>
          <t>SCR-020과 동일</t>
        </is>
      </c>
      <c r="Y69" s="34" t="inlineStr">
        <is>
          <t>날짜 선택 → 출석 목록 → 수동 체크인</t>
        </is>
      </c>
      <c r="Z69" s="34" t="inlineStr">
        <is>
          <t>state (에러)</t>
        </is>
      </c>
      <c r="AA69" s="34" t="inlineStr">
        <is>
          <t>로딩 실패</t>
        </is>
      </c>
      <c r="AB69" s="34" t="inlineStr">
        <is>
          <t>없음</t>
        </is>
      </c>
      <c r="AC69" s="34" t="inlineStr">
        <is>
          <t>없음</t>
        </is>
      </c>
      <c r="AD69" s="34" t="inlineStr">
        <is>
          <t>SCR-020과 동일</t>
        </is>
      </c>
      <c r="AE69" s="34" t="inlineStr">
        <is>
          <t>GNB</t>
        </is>
      </c>
    </row>
    <row r="70">
      <c r="A70" s="33" t="inlineStr">
        <is>
          <t>SCR-020-CI</t>
        </is>
      </c>
      <c r="B70" s="33" t="inlineStr">
        <is>
          <t>출석 관리 - 수동 체크인 모달</t>
        </is>
      </c>
      <c r="C70" s="33" t="inlineStr">
        <is>
          <t>Web</t>
        </is>
      </c>
      <c r="D70" s="34" t="inlineStr">
        <is>
          <t>/attendance</t>
        </is>
      </c>
      <c r="E70" s="34" t="inlineStr">
        <is>
          <t>수동 체크인 모달. 회원 검색 + 체크인 유형 선택</t>
        </is>
      </c>
      <c r="F70" s="34" t="inlineStr">
        <is>
          <t>(해당 없음)</t>
        </is>
      </c>
      <c r="G70" s="34" t="inlineStr">
        <is>
          <t>회원 검색 자동완성, 유형 선택(정규/PT/GX/수동)</t>
        </is>
      </c>
      <c r="H70" s="34" t="n"/>
      <c r="I70" s="34" t="n"/>
      <c r="J70" s="34" t="inlineStr">
        <is>
          <t>SCR-020 체크인 버튼 클릭</t>
        </is>
      </c>
      <c r="K70" s="34" t="n"/>
      <c r="L70" s="34" t="inlineStr">
        <is>
          <t>회원 미선택 시 에러</t>
        </is>
      </c>
      <c r="M70" s="34" t="n"/>
      <c r="N70" s="34" t="n"/>
      <c r="O70" s="34" t="n"/>
      <c r="P70" s="34" t="n"/>
      <c r="Q70" s="34" t="inlineStr">
        <is>
          <t>확정</t>
        </is>
      </c>
      <c r="R70" s="34" t="n"/>
      <c r="S70" s="34" t="n">
        <v>0</v>
      </c>
      <c r="T70" s="34" t="n">
        <v>4</v>
      </c>
      <c r="U70" s="34" t="n">
        <v>0</v>
      </c>
      <c r="V70" s="34" t="n"/>
      <c r="W70" s="34" t="n">
        <v>0</v>
      </c>
      <c r="X70" s="34" t="inlineStr">
        <is>
          <t>오버레이 모달</t>
        </is>
      </c>
      <c r="Y70" s="34" t="inlineStr">
        <is>
          <t>모달 헤더 → 입력 폼 → 하단 버튼</t>
        </is>
      </c>
      <c r="Z70" s="34" t="inlineStr">
        <is>
          <t>modal</t>
        </is>
      </c>
      <c r="AA70" s="34" t="inlineStr">
        <is>
          <t>체크인 버튼 클릭</t>
        </is>
      </c>
      <c r="AB70" s="34" t="inlineStr">
        <is>
          <t>체크인 처리 중 스피너</t>
        </is>
      </c>
      <c r="AC70" s="34" t="inlineStr">
        <is>
          <t>없음</t>
        </is>
      </c>
      <c r="AD70" s="34" t="inlineStr">
        <is>
          <t>모달 내부 스크롤</t>
        </is>
      </c>
      <c r="AE70" s="34" t="inlineStr">
        <is>
          <t>모달 오버레이</t>
        </is>
      </c>
    </row>
    <row r="71">
      <c r="A71" s="33" t="inlineStr">
        <is>
          <t>SCR-020-M</t>
        </is>
      </c>
      <c r="B71" s="33" t="inlineStr">
        <is>
          <t>출석 관리 - 모바일 뷰</t>
        </is>
      </c>
      <c r="C71" s="33" t="inlineStr">
        <is>
          <t>Mobile</t>
        </is>
      </c>
      <c r="D71" s="34" t="inlineStr">
        <is>
          <t>/attendance</t>
        </is>
      </c>
      <c r="E71" s="34" t="inlineStr">
        <is>
          <t>모바일 출석 관리. 카드형 출석 목록</t>
        </is>
      </c>
      <c r="F71" s="34" t="inlineStr">
        <is>
          <t>(해당 없음)</t>
        </is>
      </c>
      <c r="G71" s="34" t="inlineStr">
        <is>
          <t>스와이프 체크아웃</t>
        </is>
      </c>
      <c r="H71" s="34" t="n"/>
      <c r="I71" s="34" t="inlineStr">
        <is>
          <t>터치 대응</t>
        </is>
      </c>
      <c r="J71" s="34" t="inlineStr">
        <is>
          <t>GNB 메뉴</t>
        </is>
      </c>
      <c r="K71" s="34" t="n"/>
      <c r="L71" s="34" t="inlineStr">
        <is>
          <t>SCR-020과 동일</t>
        </is>
      </c>
      <c r="M71" s="34" t="inlineStr">
        <is>
          <t>터치 44px</t>
        </is>
      </c>
      <c r="N71" s="34" t="inlineStr">
        <is>
          <t>&lt;768px</t>
        </is>
      </c>
      <c r="O71" s="34" t="n"/>
      <c r="P71" s="34" t="n"/>
      <c r="Q71" s="34" t="inlineStr">
        <is>
          <t>확정</t>
        </is>
      </c>
      <c r="R71" s="34" t="n"/>
      <c r="S71" s="34" t="n">
        <v>0</v>
      </c>
      <c r="T71" s="34" t="n">
        <v>1</v>
      </c>
      <c r="U71" s="34" t="n">
        <v>0</v>
      </c>
      <c r="V71" s="34" t="n"/>
      <c r="W71" s="34" t="n">
        <v>0</v>
      </c>
      <c r="X71" s="34" t="inlineStr">
        <is>
          <t>카드형 리스트</t>
        </is>
      </c>
      <c r="Y71" s="34" t="inlineStr">
        <is>
          <t>날짜 선택 → 출석 목록 → 수동 체크인</t>
        </is>
      </c>
      <c r="Z71" s="34" t="inlineStr">
        <is>
          <t>page (모바일)</t>
        </is>
      </c>
      <c r="AA71" s="34" t="inlineStr">
        <is>
          <t>GNB 메뉴</t>
        </is>
      </c>
      <c r="AB71" s="34" t="inlineStr">
        <is>
          <t>SCR-020과 동일</t>
        </is>
      </c>
      <c r="AC71" s="34" t="inlineStr">
        <is>
          <t>SCR-020과 동일</t>
        </is>
      </c>
      <c r="AD71" s="34" t="inlineStr">
        <is>
          <t>카드형 리스트</t>
        </is>
      </c>
      <c r="AE71" s="34" t="inlineStr">
        <is>
          <t>GNB</t>
        </is>
      </c>
    </row>
    <row r="72">
      <c r="A72" s="33" t="inlineStr">
        <is>
          <t>SCR-021-L</t>
        </is>
      </c>
      <c r="B72" s="33" t="inlineStr">
        <is>
          <t>캘린더 - 로딩 상태</t>
        </is>
      </c>
      <c r="C72" s="33" t="inlineStr">
        <is>
          <t>Web</t>
        </is>
      </c>
      <c r="D72" s="34" t="inlineStr">
        <is>
          <t>/calendar</t>
        </is>
      </c>
      <c r="E72" s="34" t="inlineStr">
        <is>
          <t>캘린더 일정 로딩 중 스켈레톤</t>
        </is>
      </c>
      <c r="F72" s="34" t="inlineStr">
        <is>
          <t>(해당 없음)</t>
        </is>
      </c>
      <c r="G72" s="34" t="inlineStr">
        <is>
          <t>캘린더 셀 스켈레톤</t>
        </is>
      </c>
      <c r="H72" s="34" t="n"/>
      <c r="I72" s="34" t="n"/>
      <c r="J72" s="34" t="inlineStr">
        <is>
          <t>SCR-021 진입/월 전환</t>
        </is>
      </c>
      <c r="K72" s="34" t="n"/>
      <c r="L72" s="34" t="inlineStr">
        <is>
          <t>로딩 실패 시 에러</t>
        </is>
      </c>
      <c r="M72" s="34" t="n"/>
      <c r="N72" s="34" t="n"/>
      <c r="O72" s="34" t="n"/>
      <c r="P72" s="34" t="n"/>
      <c r="Q72" s="34" t="inlineStr">
        <is>
          <t>확정</t>
        </is>
      </c>
      <c r="R72" s="34" t="n"/>
      <c r="S72" s="34" t="n">
        <v>0</v>
      </c>
      <c r="T72" s="34" t="n">
        <v>0</v>
      </c>
      <c r="U72" s="34" t="n">
        <v>0</v>
      </c>
      <c r="V72" s="34" t="n"/>
      <c r="W72" s="34" t="n">
        <v>0</v>
      </c>
      <c r="X72" s="34" t="inlineStr">
        <is>
          <t>SCR-021과 동일 (스켈레톤)</t>
        </is>
      </c>
      <c r="Y72" s="34" t="inlineStr">
        <is>
          <t>스켈레톤 UI</t>
        </is>
      </c>
      <c r="Z72" s="34" t="inlineStr">
        <is>
          <t>state (로딩)</t>
        </is>
      </c>
      <c r="AA72" s="34" t="inlineStr">
        <is>
          <t>페이지 진입/월 전환</t>
        </is>
      </c>
      <c r="AB72" s="34" t="inlineStr">
        <is>
          <t>캘린더 셀 스켈레톤</t>
        </is>
      </c>
      <c r="AC72" s="34" t="inlineStr">
        <is>
          <t>없음</t>
        </is>
      </c>
      <c r="AD72" s="34" t="inlineStr">
        <is>
          <t>SCR-021과 동일</t>
        </is>
      </c>
      <c r="AE72" s="34" t="inlineStr">
        <is>
          <t>GNB</t>
        </is>
      </c>
    </row>
    <row r="73">
      <c r="A73" s="33" t="inlineStr">
        <is>
          <t>SCR-021-EM</t>
        </is>
      </c>
      <c r="B73" s="33" t="inlineStr">
        <is>
          <t>캘린더 - 빈 상태</t>
        </is>
      </c>
      <c r="C73" s="33" t="inlineStr">
        <is>
          <t>Web</t>
        </is>
      </c>
      <c r="D73" s="34" t="inlineStr">
        <is>
          <t>/calendar</t>
        </is>
      </c>
      <c r="E73" s="34" t="inlineStr">
        <is>
          <t>선택 월에 일정 0건일 때</t>
        </is>
      </c>
      <c r="F73" s="34" t="inlineStr">
        <is>
          <t>(해당 없음)</t>
        </is>
      </c>
      <c r="G73" s="34" t="inlineStr">
        <is>
          <t>일정 추가 버튼</t>
        </is>
      </c>
      <c r="H73" s="34" t="n"/>
      <c r="I73" s="34" t="n"/>
      <c r="J73" s="34" t="inlineStr">
        <is>
          <t>SCR-021 (일정 0건)</t>
        </is>
      </c>
      <c r="K73" s="34" t="n"/>
      <c r="L73" s="34" t="inlineStr">
        <is>
          <t>'등록된 일정이 없습니다'</t>
        </is>
      </c>
      <c r="M73" s="34" t="n"/>
      <c r="N73" s="34" t="n"/>
      <c r="O73" s="34" t="n"/>
      <c r="P73" s="34" t="n"/>
      <c r="Q73" s="34" t="inlineStr">
        <is>
          <t>확정</t>
        </is>
      </c>
      <c r="R73" s="34" t="n"/>
      <c r="S73" s="34" t="n">
        <v>0</v>
      </c>
      <c r="T73" s="34" t="n">
        <v>1</v>
      </c>
      <c r="U73" s="34" t="n">
        <v>0</v>
      </c>
      <c r="V73" s="34" t="n"/>
      <c r="W73" s="34" t="n">
        <v>0</v>
      </c>
      <c r="X73" s="34" t="inlineStr">
        <is>
          <t>SCR-021과 동일</t>
        </is>
      </c>
      <c r="Y73" s="34" t="inlineStr">
        <is>
          <t>빈 상태 아이콘 → 안내 문구 → CTA 버튼</t>
        </is>
      </c>
      <c r="Z73" s="34" t="inlineStr">
        <is>
          <t>state (빈 상태)</t>
        </is>
      </c>
      <c r="AA73" s="34" t="inlineStr">
        <is>
          <t>일정 없는 월</t>
        </is>
      </c>
      <c r="AB73" s="34" t="inlineStr">
        <is>
          <t>없음</t>
        </is>
      </c>
      <c r="AC73" s="34" t="inlineStr">
        <is>
          <t>'등록된 일정이 없습니다'</t>
        </is>
      </c>
      <c r="AD73" s="34" t="inlineStr">
        <is>
          <t>SCR-021과 동일</t>
        </is>
      </c>
      <c r="AE73" s="34" t="inlineStr">
        <is>
          <t>GNB</t>
        </is>
      </c>
    </row>
    <row r="74">
      <c r="A74" s="33" t="inlineStr">
        <is>
          <t>SCR-021-ADD</t>
        </is>
      </c>
      <c r="B74" s="33" t="inlineStr">
        <is>
          <t>캘린더 - 일정 추가 모달</t>
        </is>
      </c>
      <c r="C74" s="33" t="inlineStr">
        <is>
          <t>Web</t>
        </is>
      </c>
      <c r="D74" s="34" t="inlineStr">
        <is>
          <t>/calendar</t>
        </is>
      </c>
      <c r="E74" s="34" t="inlineStr">
        <is>
          <t>새 일정/수업 추가 모달. 날짜/시간/유형/회원 선택</t>
        </is>
      </c>
      <c r="F74" s="34" t="inlineStr">
        <is>
          <t>(해당 없음)</t>
        </is>
      </c>
      <c r="G74" s="34" t="inlineStr">
        <is>
          <t>날짜/시간 피커, 회원 검색, 반복 설정</t>
        </is>
      </c>
      <c r="H74" s="34" t="n"/>
      <c r="I74" s="34" t="n"/>
      <c r="J74" s="34" t="inlineStr">
        <is>
          <t>SCR-021 일정 추가 클릭</t>
        </is>
      </c>
      <c r="K74" s="34" t="n"/>
      <c r="L74" s="34" t="inlineStr">
        <is>
          <t>시간 겹침 경고</t>
        </is>
      </c>
      <c r="M74" s="34" t="n"/>
      <c r="N74" s="34" t="n"/>
      <c r="O74" s="34" t="n"/>
      <c r="P74" s="34" t="n"/>
      <c r="Q74" s="34" t="inlineStr">
        <is>
          <t>확정</t>
        </is>
      </c>
      <c r="R74" s="34" t="n"/>
      <c r="S74" s="34" t="n">
        <v>0</v>
      </c>
      <c r="T74" s="34" t="n">
        <v>1</v>
      </c>
      <c r="U74" s="34" t="n">
        <v>0</v>
      </c>
      <c r="V74" s="34" t="n"/>
      <c r="W74" s="34" t="n">
        <v>0</v>
      </c>
      <c r="X74" s="34" t="inlineStr">
        <is>
          <t>오버레이 모달</t>
        </is>
      </c>
      <c r="Y74" s="34" t="inlineStr">
        <is>
          <t>모달 헤더 → 입력 폼 → 하단 버튼</t>
        </is>
      </c>
      <c r="Z74" s="34" t="inlineStr">
        <is>
          <t>modal</t>
        </is>
      </c>
      <c r="AA74" s="34" t="inlineStr">
        <is>
          <t>일정 추가 클릭</t>
        </is>
      </c>
      <c r="AB74" s="34" t="inlineStr">
        <is>
          <t>저장 중 스피너</t>
        </is>
      </c>
      <c r="AC74" s="34" t="inlineStr">
        <is>
          <t>없음</t>
        </is>
      </c>
      <c r="AD74" s="34" t="inlineStr">
        <is>
          <t>모달 내부 스크롤</t>
        </is>
      </c>
      <c r="AE74" s="34" t="inlineStr">
        <is>
          <t>모달 오버레이</t>
        </is>
      </c>
    </row>
    <row r="75">
      <c r="A75" s="33" t="inlineStr">
        <is>
          <t>SCR-021-M</t>
        </is>
      </c>
      <c r="B75" s="33" t="inlineStr">
        <is>
          <t>캘린더 - 모바일 뷰</t>
        </is>
      </c>
      <c r="C75" s="33" t="inlineStr">
        <is>
          <t>Mobile</t>
        </is>
      </c>
      <c r="D75" s="34" t="inlineStr">
        <is>
          <t>/calendar</t>
        </is>
      </c>
      <c r="E75" s="34" t="inlineStr">
        <is>
          <t>모바일 캘린더. 리스트 뷰 기본, 캘린더 접기/펼치기</t>
        </is>
      </c>
      <c r="F75" s="34" t="inlineStr">
        <is>
          <t>(해당 없음)</t>
        </is>
      </c>
      <c r="G75" s="34" t="inlineStr">
        <is>
          <t>캘린더 토글, 날짜 스와이프</t>
        </is>
      </c>
      <c r="H75" s="34" t="n"/>
      <c r="I75" s="34" t="inlineStr">
        <is>
          <t>스와이프 날짜 이동</t>
        </is>
      </c>
      <c r="J75" s="34" t="inlineStr">
        <is>
          <t>GNB 메뉴</t>
        </is>
      </c>
      <c r="K75" s="34" t="n"/>
      <c r="L75" s="34" t="inlineStr">
        <is>
          <t>SCR-021과 동일</t>
        </is>
      </c>
      <c r="M75" s="34" t="inlineStr">
        <is>
          <t>터치 44px</t>
        </is>
      </c>
      <c r="N75" s="34" t="inlineStr">
        <is>
          <t>&lt;768px</t>
        </is>
      </c>
      <c r="O75" s="34" t="n"/>
      <c r="P75" s="34" t="n"/>
      <c r="Q75" s="34" t="inlineStr">
        <is>
          <t>확정</t>
        </is>
      </c>
      <c r="R75" s="34" t="n"/>
      <c r="S75" s="34" t="n">
        <v>0</v>
      </c>
      <c r="T75" s="34" t="n">
        <v>1</v>
      </c>
      <c r="U75" s="34" t="n">
        <v>0</v>
      </c>
      <c r="V75" s="34" t="n"/>
      <c r="W75" s="34" t="n">
        <v>0</v>
      </c>
      <c r="X75" s="34" t="inlineStr">
        <is>
          <t>리스트 뷰 + 접이식 캘린더</t>
        </is>
      </c>
      <c r="Y75" s="34" t="inlineStr">
        <is>
          <t>캘린더 헤더 → 캘린더 그리드 → 일정 목록</t>
        </is>
      </c>
      <c r="Z75" s="34" t="inlineStr">
        <is>
          <t>page (모바일)</t>
        </is>
      </c>
      <c r="AA75" s="34" t="inlineStr">
        <is>
          <t>GNB 메뉴</t>
        </is>
      </c>
      <c r="AB75" s="34" t="inlineStr">
        <is>
          <t>SCR-021과 동일</t>
        </is>
      </c>
      <c r="AC75" s="34" t="inlineStr">
        <is>
          <t>SCR-021과 동일</t>
        </is>
      </c>
      <c r="AD75" s="34" t="inlineStr">
        <is>
          <t>리스트 뷰 기본</t>
        </is>
      </c>
      <c r="AE75" s="34" t="inlineStr">
        <is>
          <t>GNB</t>
        </is>
      </c>
    </row>
    <row r="76">
      <c r="A76" s="33" t="inlineStr">
        <is>
          <t>SCR-030-L</t>
        </is>
      </c>
      <c r="B76" s="33" t="inlineStr">
        <is>
          <t>매출 관리 - 로딩 상태</t>
        </is>
      </c>
      <c r="C76" s="33" t="inlineStr">
        <is>
          <t>Web</t>
        </is>
      </c>
      <c r="D76" s="34" t="inlineStr">
        <is>
          <t>/sales</t>
        </is>
      </c>
      <c r="E76" s="34" t="inlineStr">
        <is>
          <t>매출 데이터 로딩 중 스켈레톤</t>
        </is>
      </c>
      <c r="F76" s="34" t="inlineStr">
        <is>
          <t>(해당 없음)</t>
        </is>
      </c>
      <c r="G76" s="34" t="inlineStr">
        <is>
          <t>스켈레톤 표시</t>
        </is>
      </c>
      <c r="H76" s="34" t="n"/>
      <c r="I76" s="34" t="n"/>
      <c r="J76" s="34" t="inlineStr">
        <is>
          <t>SCR-030 진입</t>
        </is>
      </c>
      <c r="K76" s="34" t="n"/>
      <c r="L76" s="34" t="inlineStr">
        <is>
          <t>로딩 실패 시 에러</t>
        </is>
      </c>
      <c r="M76" s="34" t="n"/>
      <c r="N76" s="34" t="n"/>
      <c r="O76" s="34" t="n"/>
      <c r="P76" s="34" t="n"/>
      <c r="Q76" s="34" t="inlineStr">
        <is>
          <t>확정</t>
        </is>
      </c>
      <c r="R76" s="34" t="n"/>
      <c r="S76" s="34" t="n">
        <v>0</v>
      </c>
      <c r="T76" s="34" t="n">
        <v>0</v>
      </c>
      <c r="U76" s="34" t="n">
        <v>0</v>
      </c>
      <c r="V76" s="34" t="n"/>
      <c r="W76" s="34" t="n">
        <v>0</v>
      </c>
      <c r="X76" s="34" t="inlineStr">
        <is>
          <t>SCR-030과 동일 (스켈레톤)</t>
        </is>
      </c>
      <c r="Y76" s="34" t="inlineStr">
        <is>
          <t>스켈레톤 UI</t>
        </is>
      </c>
      <c r="Z76" s="34" t="inlineStr">
        <is>
          <t>state (로딩)</t>
        </is>
      </c>
      <c r="AA76" s="34" t="inlineStr">
        <is>
          <t>페이지 진입</t>
        </is>
      </c>
      <c r="AB76" s="34" t="inlineStr">
        <is>
          <t>통계 스켈레톤 + 테이블 스켈레톤</t>
        </is>
      </c>
      <c r="AC76" s="34" t="inlineStr">
        <is>
          <t>없음</t>
        </is>
      </c>
      <c r="AD76" s="34" t="inlineStr">
        <is>
          <t>SCR-030과 동일</t>
        </is>
      </c>
      <c r="AE76" s="34" t="inlineStr">
        <is>
          <t>GNB</t>
        </is>
      </c>
    </row>
    <row r="77">
      <c r="A77" s="33" t="inlineStr">
        <is>
          <t>SCR-030-EM</t>
        </is>
      </c>
      <c r="B77" s="33" t="inlineStr">
        <is>
          <t>매출 관리 - 빈 상태</t>
        </is>
      </c>
      <c r="C77" s="33" t="inlineStr">
        <is>
          <t>Web</t>
        </is>
      </c>
      <c r="D77" s="34" t="inlineStr">
        <is>
          <t>/sales</t>
        </is>
      </c>
      <c r="E77" s="34" t="inlineStr">
        <is>
          <t>매출 0건 시 EmptyState</t>
        </is>
      </c>
      <c r="F77" s="34" t="inlineStr">
        <is>
          <t>(해당 없음)</t>
        </is>
      </c>
      <c r="G77" s="34" t="inlineStr">
        <is>
          <t>매출 등록 바로가기</t>
        </is>
      </c>
      <c r="H77" s="34" t="n"/>
      <c r="I77" s="34" t="n"/>
      <c r="J77" s="34" t="inlineStr">
        <is>
          <t>SCR-030 (매출 0건)</t>
        </is>
      </c>
      <c r="K77" s="34" t="n"/>
      <c r="L77" s="34" t="inlineStr">
        <is>
          <t>'등록된 매출이 없습니다'</t>
        </is>
      </c>
      <c r="M77" s="34" t="n"/>
      <c r="N77" s="34" t="n"/>
      <c r="O77" s="34" t="n"/>
      <c r="P77" s="34" t="n"/>
      <c r="Q77" s="34" t="inlineStr">
        <is>
          <t>확정</t>
        </is>
      </c>
      <c r="R77" s="34" t="n"/>
      <c r="S77" s="34" t="n">
        <v>0</v>
      </c>
      <c r="T77" s="34" t="n">
        <v>1</v>
      </c>
      <c r="U77" s="34" t="n">
        <v>0</v>
      </c>
      <c r="V77" s="34" t="n"/>
      <c r="W77" s="34" t="n">
        <v>0</v>
      </c>
      <c r="X77" s="34" t="inlineStr">
        <is>
          <t>SCR-030과 동일</t>
        </is>
      </c>
      <c r="Y77" s="34" t="inlineStr">
        <is>
          <t>빈 상태 아이콘 → 안내 문구 → CTA 버튼</t>
        </is>
      </c>
      <c r="Z77" s="34" t="inlineStr">
        <is>
          <t>state (빈 상태)</t>
        </is>
      </c>
      <c r="AA77" s="34" t="inlineStr">
        <is>
          <t>매출 0건</t>
        </is>
      </c>
      <c r="AB77" s="34" t="inlineStr">
        <is>
          <t>없음</t>
        </is>
      </c>
      <c r="AC77" s="34" t="inlineStr">
        <is>
          <t>'등록된 매출이 없습니다'</t>
        </is>
      </c>
      <c r="AD77" s="34" t="inlineStr">
        <is>
          <t>SCR-030과 동일</t>
        </is>
      </c>
      <c r="AE77" s="34" t="inlineStr">
        <is>
          <t>GNB</t>
        </is>
      </c>
    </row>
    <row r="78">
      <c r="A78" s="33" t="inlineStr">
        <is>
          <t>SCR-030-E</t>
        </is>
      </c>
      <c r="B78" s="33" t="inlineStr">
        <is>
          <t>매출 관리 - 에러 상태</t>
        </is>
      </c>
      <c r="C78" s="33" t="inlineStr">
        <is>
          <t>Web</t>
        </is>
      </c>
      <c r="D78" s="34" t="inlineStr">
        <is>
          <t>/sales</t>
        </is>
      </c>
      <c r="E78" s="34" t="inlineStr">
        <is>
          <t>매출 로딩 실패 에러 표시</t>
        </is>
      </c>
      <c r="F78" s="34" t="inlineStr">
        <is>
          <t>(해당 없음)</t>
        </is>
      </c>
      <c r="G78" s="34" t="inlineStr">
        <is>
          <t>재시도 버튼</t>
        </is>
      </c>
      <c r="H78" s="34" t="n"/>
      <c r="I78" s="34" t="n"/>
      <c r="J78" s="34" t="inlineStr">
        <is>
          <t>SCR-030 로딩 실패</t>
        </is>
      </c>
      <c r="K78" s="34" t="n"/>
      <c r="L78" s="34" t="inlineStr">
        <is>
          <t>'데이터를 불러올 수 없습니다'</t>
        </is>
      </c>
      <c r="M78" s="34" t="n"/>
      <c r="N78" s="34" t="n"/>
      <c r="O78" s="34" t="n"/>
      <c r="P78" s="34" t="n"/>
      <c r="Q78" s="34" t="inlineStr">
        <is>
          <t>확정</t>
        </is>
      </c>
      <c r="R78" s="34" t="n"/>
      <c r="S78" s="34" t="n">
        <v>0</v>
      </c>
      <c r="T78" s="34" t="n">
        <v>0</v>
      </c>
      <c r="U78" s="34" t="n">
        <v>0</v>
      </c>
      <c r="V78" s="34" t="n"/>
      <c r="W78" s="34" t="n">
        <v>0</v>
      </c>
      <c r="X78" s="34" t="inlineStr">
        <is>
          <t>SCR-030과 동일</t>
        </is>
      </c>
      <c r="Y78" s="34" t="inlineStr">
        <is>
          <t>기간 필터 → 통계 카드 → 매출 테이블</t>
        </is>
      </c>
      <c r="Z78" s="34" t="inlineStr">
        <is>
          <t>state (에러)</t>
        </is>
      </c>
      <c r="AA78" s="34" t="inlineStr">
        <is>
          <t>로딩 실패</t>
        </is>
      </c>
      <c r="AB78" s="34" t="inlineStr">
        <is>
          <t>없음</t>
        </is>
      </c>
      <c r="AC78" s="34" t="inlineStr">
        <is>
          <t>없음</t>
        </is>
      </c>
      <c r="AD78" s="34" t="inlineStr">
        <is>
          <t>SCR-030과 동일</t>
        </is>
      </c>
      <c r="AE78" s="34" t="inlineStr">
        <is>
          <t>GNB</t>
        </is>
      </c>
    </row>
    <row r="79">
      <c r="A79" s="33" t="inlineStr">
        <is>
          <t>SCR-030-FLT</t>
        </is>
      </c>
      <c r="B79" s="33" t="inlineStr">
        <is>
          <t>매출 관리 - 기간필터 활성</t>
        </is>
      </c>
      <c r="C79" s="33" t="inlineStr">
        <is>
          <t>Web</t>
        </is>
      </c>
      <c r="D79" s="34" t="inlineStr">
        <is>
          <t>/sales</t>
        </is>
      </c>
      <c r="E79" s="34" t="inlineStr">
        <is>
          <t>기간 필터(오늘/이번주/이번달/커스텀) 선택 시 필터링된 결과</t>
        </is>
      </c>
      <c r="F79" s="34" t="inlineStr">
        <is>
          <t>(해당 없음)</t>
        </is>
      </c>
      <c r="G79" s="34" t="inlineStr">
        <is>
          <t>기간 선택, 날짜 피커, 필터 초기화</t>
        </is>
      </c>
      <c r="H79" s="34" t="n"/>
      <c r="I79" s="34" t="n"/>
      <c r="J79" s="34" t="inlineStr">
        <is>
          <t>SCR-030 기간필터 클릭</t>
        </is>
      </c>
      <c r="K79" s="34" t="n"/>
      <c r="L79" s="34" t="inlineStr">
        <is>
          <t>필터 결과 0건: '해당 기간 매출이 없습니다'</t>
        </is>
      </c>
      <c r="M79" s="34" t="n"/>
      <c r="N79" s="34" t="n"/>
      <c r="O79" s="34" t="n"/>
      <c r="P79" s="34" t="n"/>
      <c r="Q79" s="34" t="inlineStr">
        <is>
          <t>확정</t>
        </is>
      </c>
      <c r="R79" s="34" t="n"/>
      <c r="S79" s="34" t="n">
        <v>0</v>
      </c>
      <c r="T79" s="34" t="n">
        <v>1</v>
      </c>
      <c r="U79" s="34" t="n">
        <v>0</v>
      </c>
      <c r="V79" s="34" t="n"/>
      <c r="W79" s="34" t="n">
        <v>0</v>
      </c>
      <c r="X79" s="34" t="inlineStr">
        <is>
          <t>SCR-030과 동일</t>
        </is>
      </c>
      <c r="Y79" s="34" t="inlineStr">
        <is>
          <t>기간 필터 → 통계 카드 → 매출 테이블</t>
        </is>
      </c>
      <c r="Z79" s="34" t="inlineStr">
        <is>
          <t>state (필터)</t>
        </is>
      </c>
      <c r="AA79" s="34" t="inlineStr">
        <is>
          <t>기간 필터 클릭</t>
        </is>
      </c>
      <c r="AB79" s="34" t="inlineStr">
        <is>
          <t>SCR-030과 동일</t>
        </is>
      </c>
      <c r="AC79" s="34" t="inlineStr">
        <is>
          <t>결과 0건: EmptyState</t>
        </is>
      </c>
      <c r="AD79" s="34" t="inlineStr">
        <is>
          <t>SCR-030과 동일</t>
        </is>
      </c>
      <c r="AE79" s="34" t="inlineStr">
        <is>
          <t>GNB</t>
        </is>
      </c>
    </row>
    <row r="80">
      <c r="A80" s="33" t="inlineStr">
        <is>
          <t>SCR-030-M</t>
        </is>
      </c>
      <c r="B80" s="33" t="inlineStr">
        <is>
          <t>매출 관리 - 모바일 뷰</t>
        </is>
      </c>
      <c r="C80" s="33" t="inlineStr">
        <is>
          <t>Mobile</t>
        </is>
      </c>
      <c r="D80" s="34" t="inlineStr">
        <is>
          <t>/sales</t>
        </is>
      </c>
      <c r="E80" s="34" t="inlineStr">
        <is>
          <t>모바일 매출 관리. 카드형 리스트</t>
        </is>
      </c>
      <c r="F80" s="34" t="inlineStr">
        <is>
          <t>(해당 없음)</t>
        </is>
      </c>
      <c r="G80" s="34" t="inlineStr">
        <is>
          <t>스와이프, 무한스크롤</t>
        </is>
      </c>
      <c r="H80" s="34" t="n"/>
      <c r="I80" s="34" t="inlineStr">
        <is>
          <t>터치 대응</t>
        </is>
      </c>
      <c r="J80" s="34" t="inlineStr">
        <is>
          <t>GNB 메뉴</t>
        </is>
      </c>
      <c r="K80" s="34" t="n"/>
      <c r="L80" s="34" t="inlineStr">
        <is>
          <t>SCR-030과 동일</t>
        </is>
      </c>
      <c r="M80" s="34" t="inlineStr">
        <is>
          <t>터치 44px</t>
        </is>
      </c>
      <c r="N80" s="34" t="inlineStr">
        <is>
          <t>&lt;768px</t>
        </is>
      </c>
      <c r="O80" s="34" t="n"/>
      <c r="P80" s="34" t="n"/>
      <c r="Q80" s="34" t="inlineStr">
        <is>
          <t>확정</t>
        </is>
      </c>
      <c r="R80" s="34" t="n"/>
      <c r="S80" s="34" t="n">
        <v>0</v>
      </c>
      <c r="T80" s="34" t="n">
        <v>1</v>
      </c>
      <c r="U80" s="34" t="n">
        <v>0</v>
      </c>
      <c r="V80" s="34" t="n"/>
      <c r="W80" s="34" t="n">
        <v>0</v>
      </c>
      <c r="X80" s="34" t="inlineStr">
        <is>
          <t>카드형 리스트</t>
        </is>
      </c>
      <c r="Y80" s="34" t="inlineStr">
        <is>
          <t>기간 필터 → 통계 카드 → 매출 테이블</t>
        </is>
      </c>
      <c r="Z80" s="34" t="inlineStr">
        <is>
          <t>page (모바일)</t>
        </is>
      </c>
      <c r="AA80" s="34" t="inlineStr">
        <is>
          <t>GNB 메뉴</t>
        </is>
      </c>
      <c r="AB80" s="34" t="inlineStr">
        <is>
          <t>SCR-030과 동일</t>
        </is>
      </c>
      <c r="AC80" s="34" t="inlineStr">
        <is>
          <t>SCR-030과 동일</t>
        </is>
      </c>
      <c r="AD80" s="34" t="inlineStr">
        <is>
          <t>카드형 리스트</t>
        </is>
      </c>
      <c r="AE80" s="34" t="inlineStr">
        <is>
          <t>GNB</t>
        </is>
      </c>
    </row>
    <row r="81">
      <c r="A81" s="33" t="inlineStr">
        <is>
          <t>SCR-031-V</t>
        </is>
      </c>
      <c r="B81" s="33" t="inlineStr">
        <is>
          <t>POS 결제 - 유효성 에러</t>
        </is>
      </c>
      <c r="C81" s="33" t="inlineStr">
        <is>
          <t>Web</t>
        </is>
      </c>
      <c r="D81" s="34" t="inlineStr">
        <is>
          <t>/sales/pos</t>
        </is>
      </c>
      <c r="E81" s="34" t="inlineStr">
        <is>
          <t>POS 결제 폼 유효성 에러 상태</t>
        </is>
      </c>
      <c r="F81" s="34" t="inlineStr">
        <is>
          <t>(해당 없음)</t>
        </is>
      </c>
      <c r="G81" s="34" t="inlineStr">
        <is>
          <t>에러 필드 포커스</t>
        </is>
      </c>
      <c r="H81" s="34" t="n"/>
      <c r="I81" s="34" t="n"/>
      <c r="J81" s="34" t="inlineStr">
        <is>
          <t>SCR-031 결제 클릭</t>
        </is>
      </c>
      <c r="K81" s="34" t="n"/>
      <c r="L81" s="34" t="inlineStr">
        <is>
          <t>필수 항목 에러, 금액 불일치 에러</t>
        </is>
      </c>
      <c r="M81" s="34" t="n"/>
      <c r="N81" s="34" t="n"/>
      <c r="O81" s="34" t="n"/>
      <c r="P81" s="34" t="n"/>
      <c r="Q81" s="34" t="inlineStr">
        <is>
          <t>확정</t>
        </is>
      </c>
      <c r="R81" s="34" t="n"/>
      <c r="S81" s="34" t="n">
        <v>0</v>
      </c>
      <c r="T81" s="34" t="n">
        <v>1</v>
      </c>
      <c r="U81" s="34" t="n">
        <v>0</v>
      </c>
      <c r="V81" s="34" t="n"/>
      <c r="W81" s="34" t="n">
        <v>0</v>
      </c>
      <c r="X81" s="34" t="inlineStr">
        <is>
          <t>SCR-031과 동일</t>
        </is>
      </c>
      <c r="Y81" s="34" t="inlineStr">
        <is>
          <t>회원 선택 → 상품/결제 정보 → 결제 확인</t>
        </is>
      </c>
      <c r="Z81" s="34" t="inlineStr">
        <is>
          <t>state (유효성 에러)</t>
        </is>
      </c>
      <c r="AA81" s="34" t="inlineStr">
        <is>
          <t>결제 클릭 (유효성 실패)</t>
        </is>
      </c>
      <c r="AB81" s="34" t="inlineStr">
        <is>
          <t>SCR-031과 동일</t>
        </is>
      </c>
      <c r="AC81" s="34" t="inlineStr">
        <is>
          <t>없음</t>
        </is>
      </c>
      <c r="AD81" s="34" t="inlineStr">
        <is>
          <t>SCR-031과 동일</t>
        </is>
      </c>
      <c r="AE81" s="34" t="inlineStr">
        <is>
          <t>GNB</t>
        </is>
      </c>
    </row>
    <row r="82">
      <c r="A82" s="33" t="inlineStr">
        <is>
          <t>SCR-031-L</t>
        </is>
      </c>
      <c r="B82" s="33" t="inlineStr">
        <is>
          <t>POS 결제 - 처리 중</t>
        </is>
      </c>
      <c r="C82" s="33" t="inlineStr">
        <is>
          <t>Web</t>
        </is>
      </c>
      <c r="D82" s="34" t="inlineStr">
        <is>
          <t>/sales/pos</t>
        </is>
      </c>
      <c r="E82" s="34" t="inlineStr">
        <is>
          <t>결제 처리 중 로딩 상태. 버튼 비활성</t>
        </is>
      </c>
      <c r="F82" s="34" t="inlineStr">
        <is>
          <t>(해당 없음)</t>
        </is>
      </c>
      <c r="G82" s="34" t="inlineStr">
        <is>
          <t>결제 버튼 비활성, 폼 수정 불가</t>
        </is>
      </c>
      <c r="H82" s="34" t="n"/>
      <c r="I82" s="34" t="n"/>
      <c r="J82" s="34" t="inlineStr">
        <is>
          <t>SCR-031 결제 클릭</t>
        </is>
      </c>
      <c r="K82" s="34" t="n"/>
      <c r="L82" s="34" t="inlineStr">
        <is>
          <t>결제 실패 시 에러 toast</t>
        </is>
      </c>
      <c r="M82" s="34" t="n"/>
      <c r="N82" s="34" t="n"/>
      <c r="O82" s="34" t="n"/>
      <c r="P82" s="34" t="n"/>
      <c r="Q82" s="34" t="inlineStr">
        <is>
          <t>확정</t>
        </is>
      </c>
      <c r="R82" s="34" t="n"/>
      <c r="S82" s="34" t="n">
        <v>0</v>
      </c>
      <c r="T82" s="34" t="n">
        <v>0</v>
      </c>
      <c r="U82" s="34" t="n">
        <v>0</v>
      </c>
      <c r="V82" s="34" t="n"/>
      <c r="W82" s="34" t="n">
        <v>0</v>
      </c>
      <c r="X82" s="34" t="inlineStr">
        <is>
          <t>SCR-031과 동일</t>
        </is>
      </c>
      <c r="Y82" s="34" t="inlineStr">
        <is>
          <t>회원 선택 → 상품/결제 정보 → 결제 확인</t>
        </is>
      </c>
      <c r="Z82" s="34" t="inlineStr">
        <is>
          <t>state (처리 중)</t>
        </is>
      </c>
      <c r="AA82" s="34" t="inlineStr">
        <is>
          <t>결제 클릭</t>
        </is>
      </c>
      <c r="AB82" s="34" t="inlineStr">
        <is>
          <t>결제 버튼: 스피너 + '처리 중...'</t>
        </is>
      </c>
      <c r="AC82" s="34" t="inlineStr">
        <is>
          <t>없음</t>
        </is>
      </c>
      <c r="AD82" s="34" t="inlineStr">
        <is>
          <t>SCR-031과 동일</t>
        </is>
      </c>
      <c r="AE82" s="34" t="inlineStr">
        <is>
          <t>GNB</t>
        </is>
      </c>
    </row>
    <row r="83">
      <c r="A83" s="33" t="inlineStr">
        <is>
          <t>SCR-031-OK</t>
        </is>
      </c>
      <c r="B83" s="33" t="inlineStr">
        <is>
          <t>POS 결제 - 완료</t>
        </is>
      </c>
      <c r="C83" s="33" t="inlineStr">
        <is>
          <t>Web</t>
        </is>
      </c>
      <c r="D83" s="34" t="inlineStr">
        <is>
          <t>/sales/pos</t>
        </is>
      </c>
      <c r="E83" s="34" t="inlineStr">
        <is>
          <t>결제 완료 시 성공 화면. 영수증 출력 옵션</t>
        </is>
      </c>
      <c r="F83" s="34" t="inlineStr">
        <is>
          <t>(해당 없음)</t>
        </is>
      </c>
      <c r="G83" s="34" t="inlineStr">
        <is>
          <t>영수증 출력, 새 결제, 목록 이동 버튼</t>
        </is>
      </c>
      <c r="H83" s="34" t="n"/>
      <c r="I83" s="34" t="n"/>
      <c r="J83" s="34" t="inlineStr">
        <is>
          <t>SCR-031 결제 성공</t>
        </is>
      </c>
      <c r="K83" s="34" t="n"/>
      <c r="L83" s="34" t="inlineStr">
        <is>
          <t>없음</t>
        </is>
      </c>
      <c r="M83" s="34" t="n"/>
      <c r="N83" s="34" t="n"/>
      <c r="O83" s="34" t="n"/>
      <c r="P83" s="34" t="n"/>
      <c r="Q83" s="34" t="inlineStr">
        <is>
          <t>확정</t>
        </is>
      </c>
      <c r="R83" s="34" t="n"/>
      <c r="S83" s="34" t="n">
        <v>0</v>
      </c>
      <c r="T83" s="34" t="n">
        <v>1</v>
      </c>
      <c r="U83" s="34" t="n">
        <v>0</v>
      </c>
      <c r="V83" s="34" t="n"/>
      <c r="W83" s="34" t="n">
        <v>0</v>
      </c>
      <c r="X83" s="34" t="inlineStr">
        <is>
          <t>성공 아이콘 + 결제 요약</t>
        </is>
      </c>
      <c r="Y83" s="34" t="inlineStr">
        <is>
          <t>회원 선택 → 상품/결제 정보 → 결제 확인</t>
        </is>
      </c>
      <c r="Z83" s="34" t="inlineStr">
        <is>
          <t>state (완료)</t>
        </is>
      </c>
      <c r="AA83" s="34" t="inlineStr">
        <is>
          <t>결제 성공</t>
        </is>
      </c>
      <c r="AB83" s="34" t="inlineStr">
        <is>
          <t>없음</t>
        </is>
      </c>
      <c r="AC83" s="34" t="inlineStr">
        <is>
          <t>없음</t>
        </is>
      </c>
      <c r="AD83" s="34" t="inlineStr">
        <is>
          <t>SCR-031과 동일</t>
        </is>
      </c>
      <c r="AE83" s="34" t="inlineStr">
        <is>
          <t>GNB</t>
        </is>
      </c>
    </row>
    <row r="84">
      <c r="A84" s="33" t="inlineStr">
        <is>
          <t>SCR-032-L</t>
        </is>
      </c>
      <c r="B84" s="33" t="inlineStr">
        <is>
          <t>SalesPos - 로딩 상태</t>
        </is>
      </c>
      <c r="C84" s="33" t="inlineStr">
        <is>
          <t>Web</t>
        </is>
      </c>
      <c r="D84" s="34" t="inlineStr">
        <is>
          <t>/pos</t>
        </is>
      </c>
      <c r="E84" s="34" t="inlineStr">
        <is>
          <t>POS 화면 초기 로딩 (상품 목록, 회원 정보)</t>
        </is>
      </c>
      <c r="F84" s="34" t="inlineStr">
        <is>
          <t>(해당 없음)</t>
        </is>
      </c>
      <c r="G84" s="34" t="inlineStr">
        <is>
          <t>상품 그리드 스켈레톤</t>
        </is>
      </c>
      <c r="H84" s="34" t="n"/>
      <c r="I84" s="34" t="n"/>
      <c r="J84" s="34" t="inlineStr">
        <is>
          <t>SCR-032 진입</t>
        </is>
      </c>
      <c r="K84" s="34" t="n"/>
      <c r="L84" s="34" t="inlineStr">
        <is>
          <t>로딩 실패 에러</t>
        </is>
      </c>
      <c r="M84" s="34" t="n"/>
      <c r="N84" s="34" t="n"/>
      <c r="O84" s="34" t="n"/>
      <c r="P84" s="34" t="n"/>
      <c r="Q84" s="34" t="inlineStr">
        <is>
          <t>확정</t>
        </is>
      </c>
      <c r="R84" s="34" t="n"/>
      <c r="S84" s="34" t="n">
        <v>0</v>
      </c>
      <c r="T84" s="34" t="n">
        <v>1</v>
      </c>
      <c r="U84" s="34" t="n">
        <v>0</v>
      </c>
      <c r="V84" s="34" t="n"/>
      <c r="W84" s="34" t="n">
        <v>0</v>
      </c>
      <c r="X84" s="34" t="inlineStr">
        <is>
          <t>SCR-032와 동일 (스켈레톤)</t>
        </is>
      </c>
      <c r="Y84" s="34" t="inlineStr">
        <is>
          <t>스켈레톤 UI</t>
        </is>
      </c>
      <c r="Z84" s="34" t="inlineStr">
        <is>
          <t>state (로딩)</t>
        </is>
      </c>
      <c r="AA84" s="34" t="inlineStr">
        <is>
          <t>페이지 진입</t>
        </is>
      </c>
      <c r="AB84" s="34" t="inlineStr">
        <is>
          <t>상품 그리드 스켈레톤</t>
        </is>
      </c>
      <c r="AC84" s="34" t="inlineStr">
        <is>
          <t>없음</t>
        </is>
      </c>
      <c r="AD84" s="34" t="inlineStr">
        <is>
          <t>SCR-032와 동일</t>
        </is>
      </c>
      <c r="AE84" s="34" t="inlineStr">
        <is>
          <t>GNB</t>
        </is>
      </c>
    </row>
    <row r="85">
      <c r="A85" s="33" t="inlineStr">
        <is>
          <t>SCR-032-CART</t>
        </is>
      </c>
      <c r="B85" s="33" t="inlineStr">
        <is>
          <t>SalesPos - 장바구니 활성</t>
        </is>
      </c>
      <c r="C85" s="33" t="inlineStr">
        <is>
          <t>Web</t>
        </is>
      </c>
      <c r="D85" s="34" t="inlineStr">
        <is>
          <t>/pos</t>
        </is>
      </c>
      <c r="E85" s="34" t="inlineStr">
        <is>
          <t>상품 선택 후 장바구니에 아이템이 있는 상태</t>
        </is>
      </c>
      <c r="F85" s="34" t="inlineStr">
        <is>
          <t>(해당 없음)</t>
        </is>
      </c>
      <c r="G85" s="34" t="inlineStr">
        <is>
          <t>수량 변경, 삭제, 할인 적용</t>
        </is>
      </c>
      <c r="H85" s="34" t="n"/>
      <c r="I85" s="34" t="n"/>
      <c r="J85" s="34" t="inlineStr">
        <is>
          <t>SCR-032 상품 클릭</t>
        </is>
      </c>
      <c r="K85" s="34" t="n"/>
      <c r="L85" s="34" t="inlineStr">
        <is>
          <t>재고 초과 경고</t>
        </is>
      </c>
      <c r="M85" s="34" t="n"/>
      <c r="N85" s="34" t="n"/>
      <c r="O85" s="34" t="n"/>
      <c r="P85" s="34" t="n"/>
      <c r="Q85" s="34" t="inlineStr">
        <is>
          <t>확정</t>
        </is>
      </c>
      <c r="R85" s="34" t="n"/>
      <c r="S85" s="34" t="n">
        <v>0</v>
      </c>
      <c r="T85" s="34" t="n">
        <v>2</v>
      </c>
      <c r="U85" s="34" t="n">
        <v>0</v>
      </c>
      <c r="V85" s="34" t="n"/>
      <c r="W85" s="34" t="n">
        <v>0</v>
      </c>
      <c r="X85" s="34" t="inlineStr">
        <is>
          <t>SCR-032와 동일 + 장바구니 패널</t>
        </is>
      </c>
      <c r="Y85" s="34" t="inlineStr">
        <is>
          <t>페이지 헤더 → 메인 콘텐츠 → 하단 액션</t>
        </is>
      </c>
      <c r="Z85" s="34" t="inlineStr">
        <is>
          <t>state (장바구니)</t>
        </is>
      </c>
      <c r="AA85" s="34" t="inlineStr">
        <is>
          <t>상품 선택</t>
        </is>
      </c>
      <c r="AB85" s="34" t="inlineStr">
        <is>
          <t>SCR-032와 동일</t>
        </is>
      </c>
      <c r="AC85" s="34" t="inlineStr">
        <is>
          <t>없음</t>
        </is>
      </c>
      <c r="AD85" s="34" t="inlineStr">
        <is>
          <t>SCR-032와 동일</t>
        </is>
      </c>
      <c r="AE85" s="34" t="inlineStr">
        <is>
          <t>GNB + 장바구니 패널</t>
        </is>
      </c>
    </row>
    <row r="86">
      <c r="A86" s="33" t="inlineStr">
        <is>
          <t>SCR-040-L</t>
        </is>
      </c>
      <c r="B86" s="33" t="inlineStr">
        <is>
          <t>상품 목록 - 로딩 상태</t>
        </is>
      </c>
      <c r="C86" s="33" t="inlineStr">
        <is>
          <t>Web</t>
        </is>
      </c>
      <c r="D86" s="34" t="inlineStr">
        <is>
          <t>/products</t>
        </is>
      </c>
      <c r="E86" s="34" t="inlineStr">
        <is>
          <t>상품 목록 로딩 중 스켈레톤</t>
        </is>
      </c>
      <c r="F86" s="34" t="inlineStr">
        <is>
          <t>(해당 없음)</t>
        </is>
      </c>
      <c r="G86" s="34" t="inlineStr">
        <is>
          <t>스켈레톤 그리드</t>
        </is>
      </c>
      <c r="H86" s="34" t="n"/>
      <c r="I86" s="34" t="n"/>
      <c r="J86" s="34" t="inlineStr">
        <is>
          <t>SCR-040 진입</t>
        </is>
      </c>
      <c r="K86" s="34" t="n"/>
      <c r="L86" s="34" t="inlineStr">
        <is>
          <t>로딩 실패 에러</t>
        </is>
      </c>
      <c r="M86" s="34" t="n"/>
      <c r="N86" s="34" t="n"/>
      <c r="O86" s="34" t="n"/>
      <c r="P86" s="34" t="n"/>
      <c r="Q86" s="34" t="inlineStr">
        <is>
          <t>확정</t>
        </is>
      </c>
      <c r="R86" s="34" t="n"/>
      <c r="S86" s="34" t="n">
        <v>0</v>
      </c>
      <c r="T86" s="34" t="n">
        <v>0</v>
      </c>
      <c r="U86" s="34" t="n">
        <v>0</v>
      </c>
      <c r="V86" s="34" t="n"/>
      <c r="W86" s="34" t="n">
        <v>0</v>
      </c>
      <c r="X86" s="34" t="inlineStr">
        <is>
          <t>SCR-040과 동일 (스켈레톤)</t>
        </is>
      </c>
      <c r="Y86" s="34" t="inlineStr">
        <is>
          <t>스켈레톤 UI</t>
        </is>
      </c>
      <c r="Z86" s="34" t="inlineStr">
        <is>
          <t>state (로딩)</t>
        </is>
      </c>
      <c r="AA86" s="34" t="inlineStr">
        <is>
          <t>페이지 진입</t>
        </is>
      </c>
      <c r="AB86" s="34" t="inlineStr">
        <is>
          <t>상품 카드 스켈레톤</t>
        </is>
      </c>
      <c r="AC86" s="34" t="inlineStr">
        <is>
          <t>없음</t>
        </is>
      </c>
      <c r="AD86" s="34" t="inlineStr">
        <is>
          <t>SCR-040과 동일</t>
        </is>
      </c>
      <c r="AE86" s="34" t="inlineStr">
        <is>
          <t>GNB</t>
        </is>
      </c>
    </row>
    <row r="87">
      <c r="A87" s="33" t="inlineStr">
        <is>
          <t>SCR-040-EM</t>
        </is>
      </c>
      <c r="B87" s="33" t="inlineStr">
        <is>
          <t>상품 목록 - 빈 상태</t>
        </is>
      </c>
      <c r="C87" s="33" t="inlineStr">
        <is>
          <t>Web</t>
        </is>
      </c>
      <c r="D87" s="34" t="inlineStr">
        <is>
          <t>/products</t>
        </is>
      </c>
      <c r="E87" s="34" t="inlineStr">
        <is>
          <t>상품 0건 시 EmptyState</t>
        </is>
      </c>
      <c r="F87" s="34" t="inlineStr">
        <is>
          <t>(해당 없음)</t>
        </is>
      </c>
      <c r="G87" s="34" t="inlineStr">
        <is>
          <t>상품 등록 바로가기</t>
        </is>
      </c>
      <c r="H87" s="34" t="n"/>
      <c r="I87" s="34" t="n"/>
      <c r="J87" s="34" t="inlineStr">
        <is>
          <t>SCR-040 (상품 0건)</t>
        </is>
      </c>
      <c r="K87" s="34" t="n"/>
      <c r="L87" s="34" t="inlineStr">
        <is>
          <t>'등록된 상품이 없습니다'</t>
        </is>
      </c>
      <c r="M87" s="34" t="n"/>
      <c r="N87" s="34" t="n"/>
      <c r="O87" s="34" t="n"/>
      <c r="P87" s="34" t="n"/>
      <c r="Q87" s="34" t="inlineStr">
        <is>
          <t>확정</t>
        </is>
      </c>
      <c r="R87" s="34" t="n"/>
      <c r="S87" s="34" t="n">
        <v>0</v>
      </c>
      <c r="T87" s="34" t="n">
        <v>1</v>
      </c>
      <c r="U87" s="34" t="n">
        <v>0</v>
      </c>
      <c r="V87" s="34" t="n"/>
      <c r="W87" s="34" t="n">
        <v>0</v>
      </c>
      <c r="X87" s="34" t="inlineStr">
        <is>
          <t>SCR-040과 동일</t>
        </is>
      </c>
      <c r="Y87" s="34" t="inlineStr">
        <is>
          <t>빈 상태 아이콘 → 안내 문구 → CTA 버튼</t>
        </is>
      </c>
      <c r="Z87" s="34" t="inlineStr">
        <is>
          <t>state (빈 상태)</t>
        </is>
      </c>
      <c r="AA87" s="34" t="inlineStr">
        <is>
          <t>상품 0건</t>
        </is>
      </c>
      <c r="AB87" s="34" t="inlineStr">
        <is>
          <t>없음</t>
        </is>
      </c>
      <c r="AC87" s="34" t="inlineStr">
        <is>
          <t>'등록된 상품이 없습니다'</t>
        </is>
      </c>
      <c r="AD87" s="34" t="inlineStr">
        <is>
          <t>SCR-040과 동일</t>
        </is>
      </c>
      <c r="AE87" s="34" t="inlineStr">
        <is>
          <t>GNB</t>
        </is>
      </c>
    </row>
    <row r="88">
      <c r="A88" s="33" t="inlineStr">
        <is>
          <t>SCR-040-E</t>
        </is>
      </c>
      <c r="B88" s="33" t="inlineStr">
        <is>
          <t>상품 목록 - 에러 상태</t>
        </is>
      </c>
      <c r="C88" s="33" t="inlineStr">
        <is>
          <t>Web</t>
        </is>
      </c>
      <c r="D88" s="34" t="inlineStr">
        <is>
          <t>/products</t>
        </is>
      </c>
      <c r="E88" s="34" t="inlineStr">
        <is>
          <t>상품 로딩 실패 에러</t>
        </is>
      </c>
      <c r="F88" s="34" t="inlineStr">
        <is>
          <t>(해당 없음)</t>
        </is>
      </c>
      <c r="G88" s="34" t="inlineStr">
        <is>
          <t>재시도 버튼</t>
        </is>
      </c>
      <c r="H88" s="34" t="n"/>
      <c r="I88" s="34" t="n"/>
      <c r="J88" s="34" t="inlineStr">
        <is>
          <t>SCR-040 로딩 실패</t>
        </is>
      </c>
      <c r="K88" s="34" t="n"/>
      <c r="L88" s="34" t="inlineStr">
        <is>
          <t>'데이터를 불러올 수 없습니다'</t>
        </is>
      </c>
      <c r="M88" s="34" t="n"/>
      <c r="N88" s="34" t="n"/>
      <c r="O88" s="34" t="n"/>
      <c r="P88" s="34" t="n"/>
      <c r="Q88" s="34" t="inlineStr">
        <is>
          <t>확정</t>
        </is>
      </c>
      <c r="R88" s="34" t="n"/>
      <c r="S88" s="34" t="n">
        <v>0</v>
      </c>
      <c r="T88" s="34" t="n">
        <v>0</v>
      </c>
      <c r="U88" s="34" t="n">
        <v>0</v>
      </c>
      <c r="V88" s="34" t="n"/>
      <c r="W88" s="34" t="n">
        <v>0</v>
      </c>
      <c r="X88" s="34" t="inlineStr">
        <is>
          <t>SCR-040과 동일</t>
        </is>
      </c>
      <c r="Y88" s="34" t="inlineStr">
        <is>
          <t>검색/필터 바 → 데이터 테이블 → 페이지네이션</t>
        </is>
      </c>
      <c r="Z88" s="34" t="inlineStr">
        <is>
          <t>state (에러)</t>
        </is>
      </c>
      <c r="AA88" s="34" t="inlineStr">
        <is>
          <t>로딩 실패</t>
        </is>
      </c>
      <c r="AB88" s="34" t="inlineStr">
        <is>
          <t>없음</t>
        </is>
      </c>
      <c r="AC88" s="34" t="inlineStr">
        <is>
          <t>없음</t>
        </is>
      </c>
      <c r="AD88" s="34" t="inlineStr">
        <is>
          <t>SCR-040과 동일</t>
        </is>
      </c>
      <c r="AE88" s="34" t="inlineStr">
        <is>
          <t>GNB</t>
        </is>
      </c>
    </row>
    <row r="89">
      <c r="A89" s="33" t="inlineStr">
        <is>
          <t>SCR-040-FLT</t>
        </is>
      </c>
      <c r="B89" s="33" t="inlineStr">
        <is>
          <t>상품 목록 - 카테고리 필터</t>
        </is>
      </c>
      <c r="C89" s="33" t="inlineStr">
        <is>
          <t>Web</t>
        </is>
      </c>
      <c r="D89" s="34" t="inlineStr">
        <is>
          <t>/products</t>
        </is>
      </c>
      <c r="E89" s="34" t="inlineStr">
        <is>
          <t>카테고리 필터(PT/회원권/GX/상품/서비스) 선택 상태</t>
        </is>
      </c>
      <c r="F89" s="34" t="inlineStr">
        <is>
          <t>(해당 없음)</t>
        </is>
      </c>
      <c r="G89" s="34" t="inlineStr">
        <is>
          <t>카테고리 탭 전환, 활성/비활성 토글</t>
        </is>
      </c>
      <c r="H89" s="34" t="n"/>
      <c r="I89" s="34" t="n"/>
      <c r="J89" s="34" t="inlineStr">
        <is>
          <t>SCR-040 카테고리 탭 클릭</t>
        </is>
      </c>
      <c r="K89" s="34" t="n"/>
      <c r="L89" s="34" t="inlineStr">
        <is>
          <t>필터 결과 0건: '해당 카테고리 상품이 없습니다'</t>
        </is>
      </c>
      <c r="M89" s="34" t="n"/>
      <c r="N89" s="34" t="n"/>
      <c r="O89" s="34" t="n"/>
      <c r="P89" s="34" t="n"/>
      <c r="Q89" s="34" t="inlineStr">
        <is>
          <t>확정</t>
        </is>
      </c>
      <c r="R89" s="34" t="n"/>
      <c r="S89" s="34" t="n">
        <v>0</v>
      </c>
      <c r="T89" s="34" t="n">
        <v>2</v>
      </c>
      <c r="U89" s="34" t="n">
        <v>0</v>
      </c>
      <c r="V89" s="34" t="n"/>
      <c r="W89" s="34" t="n">
        <v>0</v>
      </c>
      <c r="X89" s="34" t="inlineStr">
        <is>
          <t>SCR-040과 동일</t>
        </is>
      </c>
      <c r="Y89" s="34" t="inlineStr">
        <is>
          <t>검색/필터 바 → 데이터 테이블 → 페이지네이션</t>
        </is>
      </c>
      <c r="Z89" s="34" t="inlineStr">
        <is>
          <t>state (필터)</t>
        </is>
      </c>
      <c r="AA89" s="34" t="inlineStr">
        <is>
          <t>카테고리 탭 클릭</t>
        </is>
      </c>
      <c r="AB89" s="34" t="inlineStr">
        <is>
          <t>SCR-040과 동일</t>
        </is>
      </c>
      <c r="AC89" s="34" t="inlineStr">
        <is>
          <t>결과 0건: EmptyState</t>
        </is>
      </c>
      <c r="AD89" s="34" t="inlineStr">
        <is>
          <t>SCR-040과 동일</t>
        </is>
      </c>
      <c r="AE89" s="34" t="inlineStr">
        <is>
          <t>GNB</t>
        </is>
      </c>
    </row>
    <row r="90">
      <c r="A90" s="33" t="inlineStr">
        <is>
          <t>SCR-040-M</t>
        </is>
      </c>
      <c r="B90" s="33" t="inlineStr">
        <is>
          <t>상품 목록 - 모바일 뷰</t>
        </is>
      </c>
      <c r="C90" s="33" t="inlineStr">
        <is>
          <t>Mobile</t>
        </is>
      </c>
      <c r="D90" s="34" t="inlineStr">
        <is>
          <t>/products</t>
        </is>
      </c>
      <c r="E90" s="34" t="inlineStr">
        <is>
          <t>모바일 상품 목록. 카드형</t>
        </is>
      </c>
      <c r="F90" s="34" t="inlineStr">
        <is>
          <t>(해당 없음)</t>
        </is>
      </c>
      <c r="G90" s="34" t="inlineStr">
        <is>
          <t>카드 터치, 무한스크롤</t>
        </is>
      </c>
      <c r="H90" s="34" t="n"/>
      <c r="I90" s="34" t="inlineStr">
        <is>
          <t>터치 대응</t>
        </is>
      </c>
      <c r="J90" s="34" t="inlineStr">
        <is>
          <t>GNB 메뉴</t>
        </is>
      </c>
      <c r="K90" s="34" t="n"/>
      <c r="L90" s="34" t="inlineStr">
        <is>
          <t>SCR-040과 동일</t>
        </is>
      </c>
      <c r="M90" s="34" t="inlineStr">
        <is>
          <t>터치 44px</t>
        </is>
      </c>
      <c r="N90" s="34" t="inlineStr">
        <is>
          <t>&lt;768px</t>
        </is>
      </c>
      <c r="O90" s="34" t="n"/>
      <c r="P90" s="34" t="n"/>
      <c r="Q90" s="34" t="inlineStr">
        <is>
          <t>확정</t>
        </is>
      </c>
      <c r="R90" s="34" t="n"/>
      <c r="S90" s="34" t="n">
        <v>0</v>
      </c>
      <c r="T90" s="34" t="n">
        <v>0</v>
      </c>
      <c r="U90" s="34" t="n">
        <v>0</v>
      </c>
      <c r="V90" s="34" t="n"/>
      <c r="W90" s="34" t="n">
        <v>0</v>
      </c>
      <c r="X90" s="34" t="inlineStr">
        <is>
          <t>카드형 2열 그리드</t>
        </is>
      </c>
      <c r="Y90" s="34" t="inlineStr">
        <is>
          <t>검색/필터 바 → 데이터 테이블 → 페이지네이션</t>
        </is>
      </c>
      <c r="Z90" s="34" t="inlineStr">
        <is>
          <t>page (모바일)</t>
        </is>
      </c>
      <c r="AA90" s="34" t="inlineStr">
        <is>
          <t>GNB 메뉴</t>
        </is>
      </c>
      <c r="AB90" s="34" t="inlineStr">
        <is>
          <t>SCR-040과 동일</t>
        </is>
      </c>
      <c r="AC90" s="34" t="inlineStr">
        <is>
          <t>SCR-040과 동일</t>
        </is>
      </c>
      <c r="AD90" s="34" t="inlineStr">
        <is>
          <t>카드형 2열</t>
        </is>
      </c>
      <c r="AE90" s="34" t="inlineStr">
        <is>
          <t>GNB</t>
        </is>
      </c>
    </row>
    <row r="91">
      <c r="A91" s="33" t="inlineStr">
        <is>
          <t>SCR-041-V</t>
        </is>
      </c>
      <c r="B91" s="33" t="inlineStr">
        <is>
          <t>상품 등록 - 유효성 에러</t>
        </is>
      </c>
      <c r="C91" s="33" t="inlineStr">
        <is>
          <t>Web</t>
        </is>
      </c>
      <c r="D91" s="34" t="inlineStr">
        <is>
          <t>/products/new</t>
        </is>
      </c>
      <c r="E91" s="34" t="inlineStr">
        <is>
          <t>상품 폼 유효성 에러 상태</t>
        </is>
      </c>
      <c r="F91" s="34" t="inlineStr">
        <is>
          <t>(해당 없음)</t>
        </is>
      </c>
      <c r="G91" s="34" t="inlineStr">
        <is>
          <t>에러 필드 포커스</t>
        </is>
      </c>
      <c r="H91" s="34" t="n"/>
      <c r="I91" s="34" t="n"/>
      <c r="J91" s="34" t="inlineStr">
        <is>
          <t>SCR-041 저장 클릭</t>
        </is>
      </c>
      <c r="K91" s="34" t="n"/>
      <c r="L91" s="34" t="inlineStr">
        <is>
          <t>필수 필드 에러, 가격 0원 이하 에러</t>
        </is>
      </c>
      <c r="M91" s="34" t="n"/>
      <c r="N91" s="34" t="n"/>
      <c r="O91" s="34" t="n"/>
      <c r="P91" s="34" t="n"/>
      <c r="Q91" s="34" t="inlineStr">
        <is>
          <t>확정</t>
        </is>
      </c>
      <c r="R91" s="34" t="n"/>
      <c r="S91" s="34" t="n">
        <v>0</v>
      </c>
      <c r="T91" s="34" t="n">
        <v>1</v>
      </c>
      <c r="U91" s="34" t="n">
        <v>0</v>
      </c>
      <c r="V91" s="34" t="n"/>
      <c r="W91" s="34" t="n">
        <v>0</v>
      </c>
      <c r="X91" s="34" t="inlineStr">
        <is>
          <t>SCR-041과 동일</t>
        </is>
      </c>
      <c r="Y91" s="34" t="inlineStr">
        <is>
          <t>폼 섹션 → 입력 필드 → 저장/취소 버튼</t>
        </is>
      </c>
      <c r="Z91" s="34" t="inlineStr">
        <is>
          <t>state (유효성 에러)</t>
        </is>
      </c>
      <c r="AA91" s="34" t="inlineStr">
        <is>
          <t>저장 클릭 (유효성 실패)</t>
        </is>
      </c>
      <c r="AB91" s="34" t="inlineStr">
        <is>
          <t>SCR-041과 동일</t>
        </is>
      </c>
      <c r="AC91" s="34" t="inlineStr">
        <is>
          <t>없음</t>
        </is>
      </c>
      <c r="AD91" s="34" t="inlineStr">
        <is>
          <t>SCR-041과 동일</t>
        </is>
      </c>
      <c r="AE91" s="34" t="inlineStr">
        <is>
          <t>GNB</t>
        </is>
      </c>
    </row>
    <row r="92">
      <c r="A92" s="33" t="inlineStr">
        <is>
          <t>SCR-041-L</t>
        </is>
      </c>
      <c r="B92" s="33" t="inlineStr">
        <is>
          <t>상품 등록 - 저장 중</t>
        </is>
      </c>
      <c r="C92" s="33" t="inlineStr">
        <is>
          <t>Web</t>
        </is>
      </c>
      <c r="D92" s="34" t="inlineStr">
        <is>
          <t>/products/new</t>
        </is>
      </c>
      <c r="E92" s="34" t="inlineStr">
        <is>
          <t>상품 등록 API 호출 중</t>
        </is>
      </c>
      <c r="F92" s="34" t="inlineStr">
        <is>
          <t>(해당 없음)</t>
        </is>
      </c>
      <c r="G92" s="34" t="inlineStr">
        <is>
          <t>저장 버튼 비활성</t>
        </is>
      </c>
      <c r="H92" s="34" t="n"/>
      <c r="I92" s="34" t="n"/>
      <c r="J92" s="34" t="inlineStr">
        <is>
          <t>SCR-041 저장 클릭</t>
        </is>
      </c>
      <c r="K92" s="34" t="n"/>
      <c r="L92" s="34" t="inlineStr">
        <is>
          <t>저장 실패 에러 toast</t>
        </is>
      </c>
      <c r="M92" s="34" t="n"/>
      <c r="N92" s="34" t="n"/>
      <c r="O92" s="34" t="n"/>
      <c r="P92" s="34" t="n"/>
      <c r="Q92" s="34" t="inlineStr">
        <is>
          <t>확정</t>
        </is>
      </c>
      <c r="R92" s="34" t="n"/>
      <c r="S92" s="34" t="n">
        <v>0</v>
      </c>
      <c r="T92" s="34" t="n">
        <v>0</v>
      </c>
      <c r="U92" s="34" t="n">
        <v>0</v>
      </c>
      <c r="V92" s="34" t="n"/>
      <c r="W92" s="34" t="n">
        <v>0</v>
      </c>
      <c r="X92" s="34" t="inlineStr">
        <is>
          <t>SCR-041과 동일</t>
        </is>
      </c>
      <c r="Y92" s="34" t="inlineStr">
        <is>
          <t>폼 섹션 → 입력 필드 → 저장/취소 버튼</t>
        </is>
      </c>
      <c r="Z92" s="34" t="inlineStr">
        <is>
          <t>state (저장 중)</t>
        </is>
      </c>
      <c r="AA92" s="34" t="inlineStr">
        <is>
          <t>저장 클릭</t>
        </is>
      </c>
      <c r="AB92" s="34" t="inlineStr">
        <is>
          <t>스피너 + '등록 중...'</t>
        </is>
      </c>
      <c r="AC92" s="34" t="inlineStr">
        <is>
          <t>없음</t>
        </is>
      </c>
      <c r="AD92" s="34" t="inlineStr">
        <is>
          <t>SCR-041과 동일</t>
        </is>
      </c>
      <c r="AE92" s="34" t="inlineStr">
        <is>
          <t>GNB</t>
        </is>
      </c>
    </row>
    <row r="93">
      <c r="A93" s="33" t="inlineStr">
        <is>
          <t>SCR-050-L</t>
        </is>
      </c>
      <c r="B93" s="33" t="inlineStr">
        <is>
          <t>직원 목록 - 로딩 상태</t>
        </is>
      </c>
      <c r="C93" s="33" t="inlineStr">
        <is>
          <t>Web</t>
        </is>
      </c>
      <c r="D93" s="34" t="inlineStr">
        <is>
          <t>/staff</t>
        </is>
      </c>
      <c r="E93" s="34" t="inlineStr">
        <is>
          <t>직원 목록 로딩 중 스켈레톤</t>
        </is>
      </c>
      <c r="F93" s="34" t="inlineStr">
        <is>
          <t>(해당 없음)</t>
        </is>
      </c>
      <c r="G93" s="34" t="inlineStr">
        <is>
          <t>스켈레톤 행 표시</t>
        </is>
      </c>
      <c r="H93" s="34" t="n"/>
      <c r="I93" s="34" t="n"/>
      <c r="J93" s="34" t="inlineStr">
        <is>
          <t>SCR-050 진입</t>
        </is>
      </c>
      <c r="K93" s="34" t="n"/>
      <c r="L93" s="34" t="inlineStr">
        <is>
          <t>로딩 실패 에러</t>
        </is>
      </c>
      <c r="M93" s="34" t="n"/>
      <c r="N93" s="34" t="n"/>
      <c r="O93" s="34" t="n"/>
      <c r="P93" s="34" t="n"/>
      <c r="Q93" s="34" t="inlineStr">
        <is>
          <t>확정</t>
        </is>
      </c>
      <c r="R93" s="34" t="n"/>
      <c r="S93" s="34" t="n">
        <v>0</v>
      </c>
      <c r="T93" s="34" t="n">
        <v>0</v>
      </c>
      <c r="U93" s="34" t="n">
        <v>0</v>
      </c>
      <c r="V93" s="34" t="n"/>
      <c r="W93" s="34" t="n">
        <v>0</v>
      </c>
      <c r="X93" s="34" t="inlineStr">
        <is>
          <t>SCR-050과 동일 (스켈레톤)</t>
        </is>
      </c>
      <c r="Y93" s="34" t="inlineStr">
        <is>
          <t>스켈레톤 UI</t>
        </is>
      </c>
      <c r="Z93" s="34" t="inlineStr">
        <is>
          <t>state (로딩)</t>
        </is>
      </c>
      <c r="AA93" s="34" t="inlineStr">
        <is>
          <t>페이지 진입</t>
        </is>
      </c>
      <c r="AB93" s="34" t="inlineStr">
        <is>
          <t>테이블 스켈레톤</t>
        </is>
      </c>
      <c r="AC93" s="34" t="inlineStr">
        <is>
          <t>없음</t>
        </is>
      </c>
      <c r="AD93" s="34" t="inlineStr">
        <is>
          <t>SCR-050과 동일</t>
        </is>
      </c>
      <c r="AE93" s="34" t="inlineStr">
        <is>
          <t>GNB</t>
        </is>
      </c>
    </row>
    <row r="94">
      <c r="A94" s="33" t="inlineStr">
        <is>
          <t>SCR-050-EM</t>
        </is>
      </c>
      <c r="B94" s="33" t="inlineStr">
        <is>
          <t>직원 목록 - 빈 상태</t>
        </is>
      </c>
      <c r="C94" s="33" t="inlineStr">
        <is>
          <t>Web</t>
        </is>
      </c>
      <c r="D94" s="34" t="inlineStr">
        <is>
          <t>/staff</t>
        </is>
      </c>
      <c r="E94" s="34" t="inlineStr">
        <is>
          <t>직원 0명 시 EmptyState</t>
        </is>
      </c>
      <c r="F94" s="34" t="inlineStr">
        <is>
          <t>(해당 없음)</t>
        </is>
      </c>
      <c r="G94" s="34" t="inlineStr">
        <is>
          <t>직원 등록 바로가기</t>
        </is>
      </c>
      <c r="H94" s="34" t="n"/>
      <c r="I94" s="34" t="n"/>
      <c r="J94" s="34" t="inlineStr">
        <is>
          <t>SCR-050 (직원 0명)</t>
        </is>
      </c>
      <c r="K94" s="34" t="n"/>
      <c r="L94" s="34" t="inlineStr">
        <is>
          <t>'등록된 직원이 없습니다'</t>
        </is>
      </c>
      <c r="M94" s="34" t="n"/>
      <c r="N94" s="34" t="n"/>
      <c r="O94" s="34" t="n"/>
      <c r="P94" s="34" t="n"/>
      <c r="Q94" s="34" t="inlineStr">
        <is>
          <t>확정</t>
        </is>
      </c>
      <c r="R94" s="34" t="n"/>
      <c r="S94" s="34" t="n">
        <v>0</v>
      </c>
      <c r="T94" s="34" t="n">
        <v>1</v>
      </c>
      <c r="U94" s="34" t="n">
        <v>0</v>
      </c>
      <c r="V94" s="34" t="n"/>
      <c r="W94" s="34" t="n">
        <v>0</v>
      </c>
      <c r="X94" s="34" t="inlineStr">
        <is>
          <t>SCR-050과 동일</t>
        </is>
      </c>
      <c r="Y94" s="34" t="inlineStr">
        <is>
          <t>빈 상태 아이콘 → 안내 문구 → CTA 버튼</t>
        </is>
      </c>
      <c r="Z94" s="34" t="inlineStr">
        <is>
          <t>state (빈 상태)</t>
        </is>
      </c>
      <c r="AA94" s="34" t="inlineStr">
        <is>
          <t>직원 0명</t>
        </is>
      </c>
      <c r="AB94" s="34" t="inlineStr">
        <is>
          <t>없음</t>
        </is>
      </c>
      <c r="AC94" s="34" t="inlineStr">
        <is>
          <t>'등록된 직원이 없습니다'</t>
        </is>
      </c>
      <c r="AD94" s="34" t="inlineStr">
        <is>
          <t>SCR-050과 동일</t>
        </is>
      </c>
      <c r="AE94" s="34" t="inlineStr">
        <is>
          <t>GNB</t>
        </is>
      </c>
    </row>
    <row r="95">
      <c r="A95" s="33" t="inlineStr">
        <is>
          <t>SCR-050-E</t>
        </is>
      </c>
      <c r="B95" s="33" t="inlineStr">
        <is>
          <t>직원 목록 - 에러 상태</t>
        </is>
      </c>
      <c r="C95" s="33" t="inlineStr">
        <is>
          <t>Web</t>
        </is>
      </c>
      <c r="D95" s="34" t="inlineStr">
        <is>
          <t>/staff</t>
        </is>
      </c>
      <c r="E95" s="34" t="inlineStr">
        <is>
          <t>직원 로딩 실패 에러</t>
        </is>
      </c>
      <c r="F95" s="34" t="inlineStr">
        <is>
          <t>(해당 없음)</t>
        </is>
      </c>
      <c r="G95" s="34" t="inlineStr">
        <is>
          <t>재시도 버튼</t>
        </is>
      </c>
      <c r="H95" s="34" t="n"/>
      <c r="I95" s="34" t="n"/>
      <c r="J95" s="34" t="inlineStr">
        <is>
          <t>SCR-050 로딩 실패</t>
        </is>
      </c>
      <c r="K95" s="34" t="n"/>
      <c r="L95" s="34" t="inlineStr">
        <is>
          <t>'데이터를 불러올 수 없습니다'</t>
        </is>
      </c>
      <c r="M95" s="34" t="n"/>
      <c r="N95" s="34" t="n"/>
      <c r="O95" s="34" t="n"/>
      <c r="P95" s="34" t="n"/>
      <c r="Q95" s="34" t="inlineStr">
        <is>
          <t>확정</t>
        </is>
      </c>
      <c r="R95" s="34" t="n"/>
      <c r="S95" s="34" t="n">
        <v>0</v>
      </c>
      <c r="T95" s="34" t="n">
        <v>0</v>
      </c>
      <c r="U95" s="34" t="n">
        <v>0</v>
      </c>
      <c r="V95" s="34" t="n"/>
      <c r="W95" s="34" t="n">
        <v>0</v>
      </c>
      <c r="X95" s="34" t="inlineStr">
        <is>
          <t>SCR-050과 동일</t>
        </is>
      </c>
      <c r="Y95" s="34" t="inlineStr">
        <is>
          <t>검색/필터 바 → 데이터 테이블 → 페이지네이션</t>
        </is>
      </c>
      <c r="Z95" s="34" t="inlineStr">
        <is>
          <t>state (에러)</t>
        </is>
      </c>
      <c r="AA95" s="34" t="inlineStr">
        <is>
          <t>로딩 실패</t>
        </is>
      </c>
      <c r="AB95" s="34" t="inlineStr">
        <is>
          <t>없음</t>
        </is>
      </c>
      <c r="AC95" s="34" t="inlineStr">
        <is>
          <t>없음</t>
        </is>
      </c>
      <c r="AD95" s="34" t="inlineStr">
        <is>
          <t>SCR-050과 동일</t>
        </is>
      </c>
      <c r="AE95" s="34" t="inlineStr">
        <is>
          <t>GNB</t>
        </is>
      </c>
    </row>
    <row r="96">
      <c r="A96" s="33" t="inlineStr">
        <is>
          <t>SCR-050-M</t>
        </is>
      </c>
      <c r="B96" s="33" t="inlineStr">
        <is>
          <t>직원 목록 - 모바일 뷰</t>
        </is>
      </c>
      <c r="C96" s="33" t="inlineStr">
        <is>
          <t>Mobile</t>
        </is>
      </c>
      <c r="D96" s="34" t="inlineStr">
        <is>
          <t>/staff</t>
        </is>
      </c>
      <c r="E96" s="34" t="inlineStr">
        <is>
          <t>모바일 직원 목록</t>
        </is>
      </c>
      <c r="F96" s="34" t="inlineStr">
        <is>
          <t>(해당 없음)</t>
        </is>
      </c>
      <c r="G96" s="34" t="inlineStr">
        <is>
          <t>카드형 리스트</t>
        </is>
      </c>
      <c r="H96" s="34" t="n"/>
      <c r="I96" s="34" t="inlineStr">
        <is>
          <t>터치 대응</t>
        </is>
      </c>
      <c r="J96" s="34" t="inlineStr">
        <is>
          <t>GNB 메뉴</t>
        </is>
      </c>
      <c r="K96" s="34" t="n"/>
      <c r="L96" s="34" t="inlineStr">
        <is>
          <t>SCR-050과 동일</t>
        </is>
      </c>
      <c r="M96" s="34" t="inlineStr">
        <is>
          <t>터치 44px</t>
        </is>
      </c>
      <c r="N96" s="34" t="inlineStr">
        <is>
          <t>&lt;768px</t>
        </is>
      </c>
      <c r="O96" s="34" t="n"/>
      <c r="P96" s="34" t="n"/>
      <c r="Q96" s="34" t="inlineStr">
        <is>
          <t>확정</t>
        </is>
      </c>
      <c r="R96" s="34" t="n"/>
      <c r="S96" s="34" t="n">
        <v>0</v>
      </c>
      <c r="T96" s="34" t="n">
        <v>1</v>
      </c>
      <c r="U96" s="34" t="n">
        <v>0</v>
      </c>
      <c r="V96" s="34" t="n"/>
      <c r="W96" s="34" t="n">
        <v>0</v>
      </c>
      <c r="X96" s="34" t="inlineStr">
        <is>
          <t>카드형 리스트</t>
        </is>
      </c>
      <c r="Y96" s="34" t="inlineStr">
        <is>
          <t>검색/필터 바 → 데이터 테이블 → 페이지네이션</t>
        </is>
      </c>
      <c r="Z96" s="34" t="inlineStr">
        <is>
          <t>page (모바일)</t>
        </is>
      </c>
      <c r="AA96" s="34" t="inlineStr">
        <is>
          <t>GNB 메뉴</t>
        </is>
      </c>
      <c r="AB96" s="34" t="inlineStr">
        <is>
          <t>SCR-050과 동일</t>
        </is>
      </c>
      <c r="AC96" s="34" t="inlineStr">
        <is>
          <t>SCR-050과 동일</t>
        </is>
      </c>
      <c r="AD96" s="34" t="inlineStr">
        <is>
          <t>카드형 리스트</t>
        </is>
      </c>
      <c r="AE96" s="34" t="inlineStr">
        <is>
          <t>GNB</t>
        </is>
      </c>
    </row>
    <row r="97">
      <c r="A97" s="33" t="inlineStr">
        <is>
          <t>SCR-051-V</t>
        </is>
      </c>
      <c r="B97" s="33" t="inlineStr">
        <is>
          <t>직원 등록 - 유효성 에러</t>
        </is>
      </c>
      <c r="C97" s="33" t="inlineStr">
        <is>
          <t>Web</t>
        </is>
      </c>
      <c r="D97" s="34" t="inlineStr">
        <is>
          <t>/staff/new</t>
        </is>
      </c>
      <c r="E97" s="34" t="inlineStr">
        <is>
          <t>직원 등록 폼 유효성 에러</t>
        </is>
      </c>
      <c r="F97" s="34" t="inlineStr">
        <is>
          <t>(해당 없음)</t>
        </is>
      </c>
      <c r="G97" s="34" t="inlineStr">
        <is>
          <t>에러 필드 포커스</t>
        </is>
      </c>
      <c r="H97" s="34" t="n"/>
      <c r="I97" s="34" t="n"/>
      <c r="J97" s="34" t="inlineStr">
        <is>
          <t>SCR-051 저장 클릭</t>
        </is>
      </c>
      <c r="K97" s="34" t="n"/>
      <c r="L97" s="34" t="inlineStr">
        <is>
          <t>필수 필드 에러</t>
        </is>
      </c>
      <c r="M97" s="34" t="n"/>
      <c r="N97" s="34" t="n"/>
      <c r="O97" s="34" t="n"/>
      <c r="P97" s="34" t="n"/>
      <c r="Q97" s="34" t="inlineStr">
        <is>
          <t>확정</t>
        </is>
      </c>
      <c r="R97" s="34" t="n"/>
      <c r="S97" s="34" t="n">
        <v>0</v>
      </c>
      <c r="T97" s="34" t="n">
        <v>1</v>
      </c>
      <c r="U97" s="34" t="n">
        <v>0</v>
      </c>
      <c r="V97" s="34" t="n"/>
      <c r="W97" s="34" t="n">
        <v>0</v>
      </c>
      <c r="X97" s="34" t="inlineStr">
        <is>
          <t>SCR-051과 동일</t>
        </is>
      </c>
      <c r="Y97" s="34" t="inlineStr">
        <is>
          <t>폼 섹션 → 입력 필드 → 저장/취소 버튼</t>
        </is>
      </c>
      <c r="Z97" s="34" t="inlineStr">
        <is>
          <t>state (유효성 에러)</t>
        </is>
      </c>
      <c r="AA97" s="34" t="inlineStr">
        <is>
          <t>저장 클릭 (실패)</t>
        </is>
      </c>
      <c r="AB97" s="34" t="inlineStr">
        <is>
          <t>SCR-051과 동일</t>
        </is>
      </c>
      <c r="AC97" s="34" t="inlineStr">
        <is>
          <t>없음</t>
        </is>
      </c>
      <c r="AD97" s="34" t="inlineStr">
        <is>
          <t>SCR-051과 동일</t>
        </is>
      </c>
      <c r="AE97" s="34" t="inlineStr">
        <is>
          <t>GNB</t>
        </is>
      </c>
    </row>
    <row r="98">
      <c r="A98" s="33" t="inlineStr">
        <is>
          <t>SCR-051-L</t>
        </is>
      </c>
      <c r="B98" s="33" t="inlineStr">
        <is>
          <t>직원 등록 - 저장 중</t>
        </is>
      </c>
      <c r="C98" s="33" t="inlineStr">
        <is>
          <t>Web</t>
        </is>
      </c>
      <c r="D98" s="34" t="inlineStr">
        <is>
          <t>/staff/new</t>
        </is>
      </c>
      <c r="E98" s="34" t="inlineStr">
        <is>
          <t>직원 등록 API 호출 중</t>
        </is>
      </c>
      <c r="F98" s="34" t="inlineStr">
        <is>
          <t>(해당 없음)</t>
        </is>
      </c>
      <c r="G98" s="34" t="inlineStr">
        <is>
          <t>저장 버튼 비활성</t>
        </is>
      </c>
      <c r="H98" s="34" t="n"/>
      <c r="I98" s="34" t="n"/>
      <c r="J98" s="34" t="inlineStr">
        <is>
          <t>SCR-051 저장 클릭</t>
        </is>
      </c>
      <c r="K98" s="34" t="n"/>
      <c r="L98" s="34" t="inlineStr">
        <is>
          <t>저장 실패 에러 toast</t>
        </is>
      </c>
      <c r="M98" s="34" t="n"/>
      <c r="N98" s="34" t="n"/>
      <c r="O98" s="34" t="n"/>
      <c r="P98" s="34" t="n"/>
      <c r="Q98" s="34" t="inlineStr">
        <is>
          <t>확정</t>
        </is>
      </c>
      <c r="R98" s="34" t="n"/>
      <c r="S98" s="34" t="n">
        <v>0</v>
      </c>
      <c r="T98" s="34" t="n">
        <v>0</v>
      </c>
      <c r="U98" s="34" t="n">
        <v>0</v>
      </c>
      <c r="V98" s="34" t="n"/>
      <c r="W98" s="34" t="n">
        <v>0</v>
      </c>
      <c r="X98" s="34" t="inlineStr">
        <is>
          <t>SCR-051과 동일</t>
        </is>
      </c>
      <c r="Y98" s="34" t="inlineStr">
        <is>
          <t>폼 섹션 → 입력 필드 → 저장/취소 버튼</t>
        </is>
      </c>
      <c r="Z98" s="34" t="inlineStr">
        <is>
          <t>state (저장 중)</t>
        </is>
      </c>
      <c r="AA98" s="34" t="inlineStr">
        <is>
          <t>저장 클릭</t>
        </is>
      </c>
      <c r="AB98" s="34" t="inlineStr">
        <is>
          <t>스피너 + '등록 중...'</t>
        </is>
      </c>
      <c r="AC98" s="34" t="inlineStr">
        <is>
          <t>없음</t>
        </is>
      </c>
      <c r="AD98" s="34" t="inlineStr">
        <is>
          <t>SCR-051과 동일</t>
        </is>
      </c>
      <c r="AE98" s="34" t="inlineStr">
        <is>
          <t>GNB</t>
        </is>
      </c>
    </row>
    <row r="99">
      <c r="A99" s="33" t="inlineStr">
        <is>
          <t>SCR-052-L</t>
        </is>
      </c>
      <c r="B99" s="33" t="inlineStr">
        <is>
          <t>급여 관리 - 로딩 상태</t>
        </is>
      </c>
      <c r="C99" s="33" t="inlineStr">
        <is>
          <t>Web</t>
        </is>
      </c>
      <c r="D99" s="34" t="inlineStr">
        <is>
          <t>/payroll</t>
        </is>
      </c>
      <c r="E99" s="34" t="inlineStr">
        <is>
          <t>급여 목록 로딩 중</t>
        </is>
      </c>
      <c r="F99" s="34" t="inlineStr">
        <is>
          <t>(해당 없음)</t>
        </is>
      </c>
      <c r="G99" s="34" t="inlineStr">
        <is>
          <t>스켈레톤 표시</t>
        </is>
      </c>
      <c r="H99" s="34" t="n"/>
      <c r="I99" s="34" t="n"/>
      <c r="J99" s="34" t="inlineStr">
        <is>
          <t>SCR-052 진입</t>
        </is>
      </c>
      <c r="K99" s="34" t="n"/>
      <c r="L99" s="34" t="inlineStr">
        <is>
          <t>로딩 실패 에러</t>
        </is>
      </c>
      <c r="M99" s="34" t="n"/>
      <c r="N99" s="34" t="n"/>
      <c r="O99" s="34" t="n"/>
      <c r="P99" s="34" t="n"/>
      <c r="Q99" s="34" t="inlineStr">
        <is>
          <t>확정</t>
        </is>
      </c>
      <c r="R99" s="34" t="n"/>
      <c r="S99" s="34" t="n">
        <v>0</v>
      </c>
      <c r="T99" s="34" t="n">
        <v>0</v>
      </c>
      <c r="U99" s="34" t="n">
        <v>0</v>
      </c>
      <c r="V99" s="34" t="n"/>
      <c r="W99" s="34" t="n">
        <v>0</v>
      </c>
      <c r="X99" s="34" t="inlineStr">
        <is>
          <t>SCR-052와 동일 (스켈레톤)</t>
        </is>
      </c>
      <c r="Y99" s="34" t="inlineStr">
        <is>
          <t>스켈레톤 UI</t>
        </is>
      </c>
      <c r="Z99" s="34" t="inlineStr">
        <is>
          <t>state (로딩)</t>
        </is>
      </c>
      <c r="AA99" s="34" t="inlineStr">
        <is>
          <t>페이지 진입</t>
        </is>
      </c>
      <c r="AB99" s="34" t="inlineStr">
        <is>
          <t>테이블 스켈레톤</t>
        </is>
      </c>
      <c r="AC99" s="34" t="inlineStr">
        <is>
          <t>없음</t>
        </is>
      </c>
      <c r="AD99" s="34" t="inlineStr">
        <is>
          <t>SCR-052와 동일</t>
        </is>
      </c>
      <c r="AE99" s="34" t="inlineStr">
        <is>
          <t>GNB</t>
        </is>
      </c>
    </row>
    <row r="100">
      <c r="A100" s="33" t="inlineStr">
        <is>
          <t>SCR-052-EM</t>
        </is>
      </c>
      <c r="B100" s="33" t="inlineStr">
        <is>
          <t>급여 관리 - 빈 상태</t>
        </is>
      </c>
      <c r="C100" s="33" t="inlineStr">
        <is>
          <t>Web</t>
        </is>
      </c>
      <c r="D100" s="34" t="inlineStr">
        <is>
          <t>/payroll</t>
        </is>
      </c>
      <c r="E100" s="34" t="inlineStr">
        <is>
          <t>급여 0건 시 EmptyState</t>
        </is>
      </c>
      <c r="F100" s="34" t="inlineStr">
        <is>
          <t>(해당 없음)</t>
        </is>
      </c>
      <c r="G100" s="34" t="inlineStr">
        <is>
          <t>급여 등록 바로가기</t>
        </is>
      </c>
      <c r="H100" s="34" t="n"/>
      <c r="I100" s="34" t="n"/>
      <c r="J100" s="34" t="inlineStr">
        <is>
          <t>SCR-052 (0건)</t>
        </is>
      </c>
      <c r="K100" s="34" t="n"/>
      <c r="L100" s="34" t="inlineStr">
        <is>
          <t>'등록된 급여 데이터가 없습니다'</t>
        </is>
      </c>
      <c r="M100" s="34" t="n"/>
      <c r="N100" s="34" t="n"/>
      <c r="O100" s="34" t="n"/>
      <c r="P100" s="34" t="n"/>
      <c r="Q100" s="34" t="inlineStr">
        <is>
          <t>확정</t>
        </is>
      </c>
      <c r="R100" s="34" t="n"/>
      <c r="S100" s="34" t="n">
        <v>0</v>
      </c>
      <c r="T100" s="34" t="n">
        <v>1</v>
      </c>
      <c r="U100" s="34" t="n">
        <v>0</v>
      </c>
      <c r="V100" s="34" t="n"/>
      <c r="W100" s="34" t="n">
        <v>0</v>
      </c>
      <c r="X100" s="34" t="inlineStr">
        <is>
          <t>SCR-052와 동일</t>
        </is>
      </c>
      <c r="Y100" s="34" t="inlineStr">
        <is>
          <t>빈 상태 아이콘 → 안내 문구 → CTA 버튼</t>
        </is>
      </c>
      <c r="Z100" s="34" t="inlineStr">
        <is>
          <t>state (빈 상태)</t>
        </is>
      </c>
      <c r="AA100" s="34" t="inlineStr">
        <is>
          <t>급여 0건</t>
        </is>
      </c>
      <c r="AB100" s="34" t="inlineStr">
        <is>
          <t>없음</t>
        </is>
      </c>
      <c r="AC100" s="34" t="inlineStr">
        <is>
          <t>'등록된 급여 데이터가 없습니다'</t>
        </is>
      </c>
      <c r="AD100" s="34" t="inlineStr">
        <is>
          <t>SCR-052와 동일</t>
        </is>
      </c>
      <c r="AE100" s="34" t="inlineStr">
        <is>
          <t>GNB</t>
        </is>
      </c>
    </row>
    <row r="101">
      <c r="A101" s="33" t="inlineStr">
        <is>
          <t>SCR-052-PAY</t>
        </is>
      </c>
      <c r="B101" s="33" t="inlineStr">
        <is>
          <t>급여 관리 - 지급 확인 모달</t>
        </is>
      </c>
      <c r="C101" s="33" t="inlineStr">
        <is>
          <t>Web</t>
        </is>
      </c>
      <c r="D101" s="34" t="inlineStr">
        <is>
          <t>/payroll</t>
        </is>
      </c>
      <c r="E101" s="34" t="inlineStr">
        <is>
          <t>급여 지급 처리 확인 다이얼로그</t>
        </is>
      </c>
      <c r="F101" s="34" t="inlineStr">
        <is>
          <t>(해당 없음)</t>
        </is>
      </c>
      <c r="G101" s="34" t="inlineStr">
        <is>
          <t>지급 확인, 취소, 금액 확인</t>
        </is>
      </c>
      <c r="H101" s="34" t="n"/>
      <c r="I101" s="34" t="n"/>
      <c r="J101" s="34" t="inlineStr">
        <is>
          <t>SCR-052 지급 버튼</t>
        </is>
      </c>
      <c r="K101" s="34" t="n"/>
      <c r="L101" s="34" t="inlineStr">
        <is>
          <t>지급 실패 에러 toast</t>
        </is>
      </c>
      <c r="M101" s="34" t="n"/>
      <c r="N101" s="34" t="n"/>
      <c r="O101" s="34" t="n"/>
      <c r="P101" s="34" t="n"/>
      <c r="Q101" s="34" t="inlineStr">
        <is>
          <t>확정</t>
        </is>
      </c>
      <c r="R101" s="34" t="n"/>
      <c r="S101" s="34" t="n">
        <v>0</v>
      </c>
      <c r="T101" s="34" t="n">
        <v>1</v>
      </c>
      <c r="U101" s="34" t="n">
        <v>0</v>
      </c>
      <c r="V101" s="34" t="n"/>
      <c r="W101" s="34" t="n">
        <v>0</v>
      </c>
      <c r="X101" s="34" t="inlineStr">
        <is>
          <t>AlertDialog</t>
        </is>
      </c>
      <c r="Y101" s="34" t="inlineStr">
        <is>
          <t>모달 헤더 → 입력 폼 → 하단 버튼</t>
        </is>
      </c>
      <c r="Z101" s="34" t="inlineStr">
        <is>
          <t>dialog</t>
        </is>
      </c>
      <c r="AA101" s="34" t="inlineStr">
        <is>
          <t>지급 버튼 클릭</t>
        </is>
      </c>
      <c r="AB101" s="34" t="inlineStr">
        <is>
          <t>지급 처리 중 스피너</t>
        </is>
      </c>
      <c r="AC101" s="34" t="inlineStr">
        <is>
          <t>없음</t>
        </is>
      </c>
      <c r="AD101" s="34" t="inlineStr">
        <is>
          <t>고정 너비</t>
        </is>
      </c>
      <c r="AE101" s="34" t="inlineStr">
        <is>
          <t>오버레이</t>
        </is>
      </c>
    </row>
    <row r="102">
      <c r="A102" s="33" t="inlineStr">
        <is>
          <t>SCR-052-M</t>
        </is>
      </c>
      <c r="B102" s="33" t="inlineStr">
        <is>
          <t>급여 관리 - 모바일 뷰</t>
        </is>
      </c>
      <c r="C102" s="33" t="inlineStr">
        <is>
          <t>Mobile</t>
        </is>
      </c>
      <c r="D102" s="34" t="inlineStr">
        <is>
          <t>/payroll</t>
        </is>
      </c>
      <c r="E102" s="34" t="inlineStr">
        <is>
          <t>모바일 급여 관리</t>
        </is>
      </c>
      <c r="F102" s="34" t="inlineStr">
        <is>
          <t>(해당 없음)</t>
        </is>
      </c>
      <c r="G102" s="34" t="inlineStr">
        <is>
          <t>카드형 리스트</t>
        </is>
      </c>
      <c r="H102" s="34" t="n"/>
      <c r="I102" s="34" t="inlineStr">
        <is>
          <t>터치 대응</t>
        </is>
      </c>
      <c r="J102" s="34" t="inlineStr">
        <is>
          <t>GNB 메뉴</t>
        </is>
      </c>
      <c r="K102" s="34" t="n"/>
      <c r="L102" s="34" t="inlineStr">
        <is>
          <t>SCR-052와 동일</t>
        </is>
      </c>
      <c r="M102" s="34" t="inlineStr">
        <is>
          <t>터치 44px</t>
        </is>
      </c>
      <c r="N102" s="34" t="inlineStr">
        <is>
          <t>&lt;768px</t>
        </is>
      </c>
      <c r="O102" s="34" t="n"/>
      <c r="P102" s="34" t="n"/>
      <c r="Q102" s="34" t="inlineStr">
        <is>
          <t>확정</t>
        </is>
      </c>
      <c r="R102" s="34" t="n"/>
      <c r="S102" s="34" t="n">
        <v>0</v>
      </c>
      <c r="T102" s="34" t="n">
        <v>0</v>
      </c>
      <c r="U102" s="34" t="n">
        <v>0</v>
      </c>
      <c r="V102" s="34" t="n"/>
      <c r="W102" s="34" t="n">
        <v>0</v>
      </c>
      <c r="X102" s="34" t="inlineStr">
        <is>
          <t>카드형 리스트</t>
        </is>
      </c>
      <c r="Y102" s="34" t="inlineStr">
        <is>
          <t>월 선택 → 급여 테이블 → 합계/액션</t>
        </is>
      </c>
      <c r="Z102" s="34" t="inlineStr">
        <is>
          <t>page (모바일)</t>
        </is>
      </c>
      <c r="AA102" s="34" t="inlineStr">
        <is>
          <t>GNB 메뉴</t>
        </is>
      </c>
      <c r="AB102" s="34" t="inlineStr">
        <is>
          <t>SCR-052와 동일</t>
        </is>
      </c>
      <c r="AC102" s="34" t="inlineStr">
        <is>
          <t>SCR-052와 동일</t>
        </is>
      </c>
      <c r="AD102" s="34" t="inlineStr">
        <is>
          <t>카드형</t>
        </is>
      </c>
      <c r="AE102" s="34" t="inlineStr">
        <is>
          <t>GNB</t>
        </is>
      </c>
    </row>
    <row r="103">
      <c r="A103" s="33" t="inlineStr">
        <is>
          <t>SCR-053-L</t>
        </is>
      </c>
      <c r="B103" s="33" t="inlineStr">
        <is>
          <t>급여 명세서 - 로딩 상태</t>
        </is>
      </c>
      <c r="C103" s="33" t="inlineStr">
        <is>
          <t>Web</t>
        </is>
      </c>
      <c r="D103" s="34" t="inlineStr">
        <is>
          <t>/payroll/statement</t>
        </is>
      </c>
      <c r="E103" s="34" t="inlineStr">
        <is>
          <t>명세서 로딩 중</t>
        </is>
      </c>
      <c r="F103" s="34" t="inlineStr">
        <is>
          <t>(해당 없음)</t>
        </is>
      </c>
      <c r="G103" s="34" t="inlineStr">
        <is>
          <t>스켈레톤 표시</t>
        </is>
      </c>
      <c r="H103" s="34" t="n"/>
      <c r="I103" s="34" t="n"/>
      <c r="J103" s="34" t="inlineStr">
        <is>
          <t>SCR-053 진입</t>
        </is>
      </c>
      <c r="K103" s="34" t="n"/>
      <c r="L103" s="34" t="inlineStr">
        <is>
          <t>로딩 실패 에러</t>
        </is>
      </c>
      <c r="M103" s="34" t="n"/>
      <c r="N103" s="34" t="n"/>
      <c r="O103" s="34" t="n"/>
      <c r="P103" s="34" t="n"/>
      <c r="Q103" s="34" t="inlineStr">
        <is>
          <t>확정</t>
        </is>
      </c>
      <c r="R103" s="34" t="n"/>
      <c r="S103" s="34" t="n">
        <v>0</v>
      </c>
      <c r="T103" s="34" t="n">
        <v>0</v>
      </c>
      <c r="U103" s="34" t="n">
        <v>0</v>
      </c>
      <c r="V103" s="34" t="n"/>
      <c r="W103" s="34" t="n">
        <v>0</v>
      </c>
      <c r="X103" s="34" t="inlineStr">
        <is>
          <t>SCR-053과 동일 (스켈레톤)</t>
        </is>
      </c>
      <c r="Y103" s="34" t="inlineStr">
        <is>
          <t>스켈레톤 UI</t>
        </is>
      </c>
      <c r="Z103" s="34" t="inlineStr">
        <is>
          <t>state (로딩)</t>
        </is>
      </c>
      <c r="AA103" s="34" t="inlineStr">
        <is>
          <t>페이지 진입</t>
        </is>
      </c>
      <c r="AB103" s="34" t="inlineStr">
        <is>
          <t>명세서 스켈레톤</t>
        </is>
      </c>
      <c r="AC103" s="34" t="inlineStr">
        <is>
          <t>없음</t>
        </is>
      </c>
      <c r="AD103" s="34" t="inlineStr">
        <is>
          <t>SCR-053과 동일</t>
        </is>
      </c>
      <c r="AE103" s="34" t="inlineStr">
        <is>
          <t>GNB</t>
        </is>
      </c>
    </row>
    <row r="104">
      <c r="A104" s="33" t="inlineStr">
        <is>
          <t>SCR-053-PRT</t>
        </is>
      </c>
      <c r="B104" s="33" t="inlineStr">
        <is>
          <t>급여 명세서 - 인쇄 미리보기</t>
        </is>
      </c>
      <c r="C104" s="33" t="inlineStr">
        <is>
          <t>Web</t>
        </is>
      </c>
      <c r="D104" s="34" t="inlineStr">
        <is>
          <t>/payroll/statement</t>
        </is>
      </c>
      <c r="E104" s="34" t="inlineStr">
        <is>
          <t>급여명세서 인쇄 미리보기 모달</t>
        </is>
      </c>
      <c r="F104" s="34" t="inlineStr">
        <is>
          <t>(해당 없음)</t>
        </is>
      </c>
      <c r="G104" s="34" t="inlineStr">
        <is>
          <t>인쇄 버튼, PDF 다운로드</t>
        </is>
      </c>
      <c r="H104" s="34" t="n"/>
      <c r="I104" s="34" t="n"/>
      <c r="J104" s="34" t="inlineStr">
        <is>
          <t>SCR-053 인쇄 클릭</t>
        </is>
      </c>
      <c r="K104" s="34" t="n"/>
      <c r="L104" s="34" t="inlineStr">
        <is>
          <t>인쇄 실패 에러</t>
        </is>
      </c>
      <c r="M104" s="34" t="n"/>
      <c r="N104" s="34" t="n"/>
      <c r="O104" s="34" t="n"/>
      <c r="P104" s="34" t="n"/>
      <c r="Q104" s="34" t="inlineStr">
        <is>
          <t>확정</t>
        </is>
      </c>
      <c r="R104" s="34" t="n"/>
      <c r="S104" s="34" t="n">
        <v>0</v>
      </c>
      <c r="T104" s="34" t="n">
        <v>1</v>
      </c>
      <c r="U104" s="34" t="n">
        <v>0</v>
      </c>
      <c r="V104" s="34" t="n"/>
      <c r="W104" s="34" t="n">
        <v>0</v>
      </c>
      <c r="X104" s="34" t="inlineStr">
        <is>
          <t>인쇄 미리보기 모달</t>
        </is>
      </c>
      <c r="Y104" s="34" t="inlineStr">
        <is>
          <t>모달 헤더 → 입력 폼 → 하단 버튼</t>
        </is>
      </c>
      <c r="Z104" s="34" t="inlineStr">
        <is>
          <t>modal</t>
        </is>
      </c>
      <c r="AA104" s="34" t="inlineStr">
        <is>
          <t>인쇄 클릭</t>
        </is>
      </c>
      <c r="AB104" s="34" t="inlineStr">
        <is>
          <t>없음</t>
        </is>
      </c>
      <c r="AC104" s="34" t="inlineStr">
        <is>
          <t>없음</t>
        </is>
      </c>
      <c r="AD104" s="34" t="inlineStr">
        <is>
          <t>인쇄용 레이아웃</t>
        </is>
      </c>
      <c r="AE104" s="34" t="inlineStr">
        <is>
          <t>오버레이</t>
        </is>
      </c>
    </row>
    <row r="105">
      <c r="A105" s="33" t="inlineStr">
        <is>
          <t>SCR-060-L</t>
        </is>
      </c>
      <c r="B105" s="33" t="inlineStr">
        <is>
          <t>락커 현황 - 로딩 상태</t>
        </is>
      </c>
      <c r="C105" s="33" t="inlineStr">
        <is>
          <t>Web</t>
        </is>
      </c>
      <c r="D105" s="34" t="inlineStr">
        <is>
          <t>/lockers</t>
        </is>
      </c>
      <c r="E105" s="34" t="inlineStr">
        <is>
          <t>락커 그리드 로딩 중</t>
        </is>
      </c>
      <c r="F105" s="34" t="inlineStr">
        <is>
          <t>(해당 없음)</t>
        </is>
      </c>
      <c r="G105" s="34" t="inlineStr">
        <is>
          <t>스켈레톤 그리드</t>
        </is>
      </c>
      <c r="H105" s="34" t="n"/>
      <c r="I105" s="34" t="n"/>
      <c r="J105" s="34" t="inlineStr">
        <is>
          <t>SCR-060 진입</t>
        </is>
      </c>
      <c r="K105" s="34" t="n"/>
      <c r="L105" s="34" t="inlineStr">
        <is>
          <t>로딩 실패 에러</t>
        </is>
      </c>
      <c r="M105" s="34" t="n"/>
      <c r="N105" s="34" t="n"/>
      <c r="O105" s="34" t="n"/>
      <c r="P105" s="34" t="n"/>
      <c r="Q105" s="34" t="inlineStr">
        <is>
          <t>확정</t>
        </is>
      </c>
      <c r="R105" s="34" t="n"/>
      <c r="S105" s="34" t="n">
        <v>0</v>
      </c>
      <c r="T105" s="34" t="n">
        <v>0</v>
      </c>
      <c r="U105" s="34" t="n">
        <v>0</v>
      </c>
      <c r="V105" s="34" t="n"/>
      <c r="W105" s="34" t="n">
        <v>0</v>
      </c>
      <c r="X105" s="34" t="inlineStr">
        <is>
          <t>SCR-060과 동일 (스켈레톤)</t>
        </is>
      </c>
      <c r="Y105" s="34" t="inlineStr">
        <is>
          <t>스켈레톤 UI</t>
        </is>
      </c>
      <c r="Z105" s="34" t="inlineStr">
        <is>
          <t>state (로딩)</t>
        </is>
      </c>
      <c r="AA105" s="34" t="inlineStr">
        <is>
          <t>페이지 진입</t>
        </is>
      </c>
      <c r="AB105" s="34" t="inlineStr">
        <is>
          <t>락커 그리드 스켈레톤</t>
        </is>
      </c>
      <c r="AC105" s="34" t="inlineStr">
        <is>
          <t>없음</t>
        </is>
      </c>
      <c r="AD105" s="34" t="inlineStr">
        <is>
          <t>SCR-060과 동일</t>
        </is>
      </c>
      <c r="AE105" s="34" t="inlineStr">
        <is>
          <t>GNB</t>
        </is>
      </c>
    </row>
    <row r="106">
      <c r="A106" s="33" t="inlineStr">
        <is>
          <t>SCR-060-ASN</t>
        </is>
      </c>
      <c r="B106" s="33" t="inlineStr">
        <is>
          <t>락커 현황 - 배정 모달</t>
        </is>
      </c>
      <c r="C106" s="33" t="inlineStr">
        <is>
          <t>Web</t>
        </is>
      </c>
      <c r="D106" s="34" t="inlineStr">
        <is>
          <t>/lockers</t>
        </is>
      </c>
      <c r="E106" s="34" t="inlineStr">
        <is>
          <t>락커 배정 모달. 회원 검색 + 만료일 설정</t>
        </is>
      </c>
      <c r="F106" s="34" t="inlineStr">
        <is>
          <t>(해당 없음)</t>
        </is>
      </c>
      <c r="G106" s="34" t="inlineStr">
        <is>
          <t>회원 검색 자동완성, 날짜 피커</t>
        </is>
      </c>
      <c r="H106" s="34" t="n"/>
      <c r="I106" s="34" t="n"/>
      <c r="J106" s="34" t="inlineStr">
        <is>
          <t>SCR-060 빈 락커 클릭</t>
        </is>
      </c>
      <c r="K106" s="34" t="n"/>
      <c r="L106" s="34" t="inlineStr">
        <is>
          <t>회원 미선택 에러, 이미 배정된 락커 에러</t>
        </is>
      </c>
      <c r="M106" s="34" t="n"/>
      <c r="N106" s="34" t="n"/>
      <c r="O106" s="34" t="n"/>
      <c r="P106" s="34" t="n"/>
      <c r="Q106" s="34" t="inlineStr">
        <is>
          <t>확정</t>
        </is>
      </c>
      <c r="R106" s="34" t="n"/>
      <c r="S106" s="34" t="n">
        <v>0</v>
      </c>
      <c r="T106" s="34" t="n">
        <v>1</v>
      </c>
      <c r="U106" s="34" t="n">
        <v>0</v>
      </c>
      <c r="V106" s="34" t="n"/>
      <c r="W106" s="34" t="n">
        <v>0</v>
      </c>
      <c r="X106" s="34" t="inlineStr">
        <is>
          <t>오버레이 모달</t>
        </is>
      </c>
      <c r="Y106" s="34" t="inlineStr">
        <is>
          <t>모달 헤더 → 입력 폼 → 하단 버튼</t>
        </is>
      </c>
      <c r="Z106" s="34" t="inlineStr">
        <is>
          <t>modal</t>
        </is>
      </c>
      <c r="AA106" s="34" t="inlineStr">
        <is>
          <t>빈 락커 클릭</t>
        </is>
      </c>
      <c r="AB106" s="34" t="inlineStr">
        <is>
          <t>배정 처리 중 스피너</t>
        </is>
      </c>
      <c r="AC106" s="34" t="inlineStr">
        <is>
          <t>없음</t>
        </is>
      </c>
      <c r="AD106" s="34" t="inlineStr">
        <is>
          <t>모달 내부 스크롤</t>
        </is>
      </c>
      <c r="AE106" s="34" t="inlineStr">
        <is>
          <t>오버레이</t>
        </is>
      </c>
    </row>
    <row r="107">
      <c r="A107" s="33" t="inlineStr">
        <is>
          <t>SCR-060-RLS</t>
        </is>
      </c>
      <c r="B107" s="33" t="inlineStr">
        <is>
          <t>락커 현황 - 반납 확인 모달</t>
        </is>
      </c>
      <c r="C107" s="33" t="inlineStr">
        <is>
          <t>Web</t>
        </is>
      </c>
      <c r="D107" s="34" t="inlineStr">
        <is>
          <t>/lockers</t>
        </is>
      </c>
      <c r="E107" s="34" t="inlineStr">
        <is>
          <t>락커 반납 확인 다이얼로그</t>
        </is>
      </c>
      <c r="F107" s="34" t="inlineStr">
        <is>
          <t>(해당 없음)</t>
        </is>
      </c>
      <c r="G107" s="34" t="inlineStr">
        <is>
          <t>확인/취소 버튼</t>
        </is>
      </c>
      <c r="H107" s="34" t="n"/>
      <c r="I107" s="34" t="n"/>
      <c r="J107" s="34" t="inlineStr">
        <is>
          <t>SCR-060 반납 클릭</t>
        </is>
      </c>
      <c r="K107" s="34" t="n"/>
      <c r="L107" s="34" t="inlineStr">
        <is>
          <t>반납 실패 에러 toast</t>
        </is>
      </c>
      <c r="M107" s="34" t="n"/>
      <c r="N107" s="34" t="n"/>
      <c r="O107" s="34" t="n"/>
      <c r="P107" s="34" t="n"/>
      <c r="Q107" s="34" t="inlineStr">
        <is>
          <t>확정</t>
        </is>
      </c>
      <c r="R107" s="34" t="n"/>
      <c r="S107" s="34" t="n">
        <v>0</v>
      </c>
      <c r="T107" s="34" t="n">
        <v>1</v>
      </c>
      <c r="U107" s="34" t="n">
        <v>0</v>
      </c>
      <c r="V107" s="34" t="n"/>
      <c r="W107" s="34" t="n">
        <v>0</v>
      </c>
      <c r="X107" s="34" t="inlineStr">
        <is>
          <t>AlertDialog</t>
        </is>
      </c>
      <c r="Y107" s="34" t="inlineStr">
        <is>
          <t>모달 헤더 → 입력 폼 → 하단 버튼</t>
        </is>
      </c>
      <c r="Z107" s="34" t="inlineStr">
        <is>
          <t>dialog</t>
        </is>
      </c>
      <c r="AA107" s="34" t="inlineStr">
        <is>
          <t>반납 클릭</t>
        </is>
      </c>
      <c r="AB107" s="34" t="inlineStr">
        <is>
          <t>반납 처리 중 스피너</t>
        </is>
      </c>
      <c r="AC107" s="34" t="inlineStr">
        <is>
          <t>없음</t>
        </is>
      </c>
      <c r="AD107" s="34" t="inlineStr">
        <is>
          <t>고정 너비</t>
        </is>
      </c>
      <c r="AE107" s="34" t="inlineStr">
        <is>
          <t>오버레이</t>
        </is>
      </c>
    </row>
    <row r="108">
      <c r="A108" s="33" t="inlineStr">
        <is>
          <t>SCR-060-M</t>
        </is>
      </c>
      <c r="B108" s="33" t="inlineStr">
        <is>
          <t>락커 현황 - 모바일 뷰</t>
        </is>
      </c>
      <c r="C108" s="33" t="inlineStr">
        <is>
          <t>Mobile</t>
        </is>
      </c>
      <c r="D108" s="34" t="inlineStr">
        <is>
          <t>/lockers</t>
        </is>
      </c>
      <c r="E108" s="34" t="inlineStr">
        <is>
          <t>모바일 락커 현황. 그리드 축소</t>
        </is>
      </c>
      <c r="F108" s="34" t="inlineStr">
        <is>
          <t>(해당 없음)</t>
        </is>
      </c>
      <c r="G108" s="34" t="inlineStr">
        <is>
          <t>터치로 락커 선택</t>
        </is>
      </c>
      <c r="H108" s="34" t="n"/>
      <c r="I108" s="34" t="inlineStr">
        <is>
          <t>터치 대응</t>
        </is>
      </c>
      <c r="J108" s="34" t="inlineStr">
        <is>
          <t>GNB 메뉴</t>
        </is>
      </c>
      <c r="K108" s="34" t="n"/>
      <c r="L108" s="34" t="inlineStr">
        <is>
          <t>SCR-060과 동일</t>
        </is>
      </c>
      <c r="M108" s="34" t="inlineStr">
        <is>
          <t>터치 44px</t>
        </is>
      </c>
      <c r="N108" s="34" t="inlineStr">
        <is>
          <t>&lt;768px</t>
        </is>
      </c>
      <c r="O108" s="34" t="n"/>
      <c r="P108" s="34" t="n"/>
      <c r="Q108" s="34" t="inlineStr">
        <is>
          <t>확정</t>
        </is>
      </c>
      <c r="R108" s="34" t="n"/>
      <c r="S108" s="34" t="n">
        <v>0</v>
      </c>
      <c r="T108" s="34" t="n">
        <v>1</v>
      </c>
      <c r="U108" s="34" t="n">
        <v>0</v>
      </c>
      <c r="V108" s="34" t="n"/>
      <c r="W108" s="34" t="n">
        <v>0</v>
      </c>
      <c r="X108" s="34" t="inlineStr">
        <is>
          <t>축소 그리드</t>
        </is>
      </c>
      <c r="Y108" s="34" t="inlineStr">
        <is>
          <t>락커 그리드 → 배정/반납 패널</t>
        </is>
      </c>
      <c r="Z108" s="34" t="inlineStr">
        <is>
          <t>page (모바일)</t>
        </is>
      </c>
      <c r="AA108" s="34" t="inlineStr">
        <is>
          <t>GNB 메뉴</t>
        </is>
      </c>
      <c r="AB108" s="34" t="inlineStr">
        <is>
          <t>SCR-060과 동일</t>
        </is>
      </c>
      <c r="AC108" s="34" t="inlineStr">
        <is>
          <t>SCR-060과 동일</t>
        </is>
      </c>
      <c r="AD108" s="34" t="inlineStr">
        <is>
          <t>그리드 축소</t>
        </is>
      </c>
      <c r="AE108" s="34" t="inlineStr">
        <is>
          <t>GNB</t>
        </is>
      </c>
    </row>
    <row r="109">
      <c r="A109" s="33" t="inlineStr">
        <is>
          <t>SCR-061-L</t>
        </is>
      </c>
      <c r="B109" s="33" t="inlineStr">
        <is>
          <t>락커 관리 - 로딩 상태</t>
        </is>
      </c>
      <c r="C109" s="33" t="inlineStr">
        <is>
          <t>Web</t>
        </is>
      </c>
      <c r="D109" s="34" t="inlineStr">
        <is>
          <t>/lockers/manage</t>
        </is>
      </c>
      <c r="E109" s="34" t="inlineStr">
        <is>
          <t>락커 설정 로딩 중</t>
        </is>
      </c>
      <c r="F109" s="34" t="inlineStr">
        <is>
          <t>(해당 없음)</t>
        </is>
      </c>
      <c r="G109" s="34" t="inlineStr">
        <is>
          <t>스켈레톤 표시</t>
        </is>
      </c>
      <c r="H109" s="34" t="n"/>
      <c r="I109" s="34" t="n"/>
      <c r="J109" s="34" t="inlineStr">
        <is>
          <t>SCR-061 진입</t>
        </is>
      </c>
      <c r="K109" s="34" t="n"/>
      <c r="L109" s="34" t="inlineStr">
        <is>
          <t>로딩 실패 에러</t>
        </is>
      </c>
      <c r="M109" s="34" t="n"/>
      <c r="N109" s="34" t="n"/>
      <c r="O109" s="34" t="n"/>
      <c r="P109" s="34" t="n"/>
      <c r="Q109" s="34" t="inlineStr">
        <is>
          <t>확정</t>
        </is>
      </c>
      <c r="R109" s="34" t="n"/>
      <c r="S109" s="34" t="n">
        <v>0</v>
      </c>
      <c r="T109" s="34" t="n">
        <v>0</v>
      </c>
      <c r="U109" s="34" t="n">
        <v>0</v>
      </c>
      <c r="V109" s="34" t="n"/>
      <c r="W109" s="34" t="n">
        <v>0</v>
      </c>
      <c r="X109" s="34" t="inlineStr">
        <is>
          <t>SCR-061과 동일 (스켈레톤)</t>
        </is>
      </c>
      <c r="Y109" s="34" t="inlineStr">
        <is>
          <t>스켈레톤 UI</t>
        </is>
      </c>
      <c r="Z109" s="34" t="inlineStr">
        <is>
          <t>state (로딩)</t>
        </is>
      </c>
      <c r="AA109" s="34" t="inlineStr">
        <is>
          <t>페이지 진입</t>
        </is>
      </c>
      <c r="AB109" s="34" t="inlineStr">
        <is>
          <t>설정 스켈레톤</t>
        </is>
      </c>
      <c r="AC109" s="34" t="inlineStr">
        <is>
          <t>없음</t>
        </is>
      </c>
      <c r="AD109" s="34" t="inlineStr">
        <is>
          <t>SCR-061과 동일</t>
        </is>
      </c>
      <c r="AE109" s="34" t="inlineStr">
        <is>
          <t>GNB</t>
        </is>
      </c>
    </row>
    <row r="110">
      <c r="A110" s="33" t="inlineStr">
        <is>
          <t>SCR-061-ADD</t>
        </is>
      </c>
      <c r="B110" s="33" t="inlineStr">
        <is>
          <t>락커 관리 - 락커 추가 모달</t>
        </is>
      </c>
      <c r="C110" s="33" t="inlineStr">
        <is>
          <t>Web</t>
        </is>
      </c>
      <c r="D110" s="34" t="inlineStr">
        <is>
          <t>/lockers/manage</t>
        </is>
      </c>
      <c r="E110" s="34" t="inlineStr">
        <is>
          <t>새 락커 번호 추가 모달</t>
        </is>
      </c>
      <c r="F110" s="34" t="inlineStr">
        <is>
          <t>(해당 없음)</t>
        </is>
      </c>
      <c r="G110" s="34" t="inlineStr">
        <is>
          <t>번호 입력, 범위 일괄 추가</t>
        </is>
      </c>
      <c r="H110" s="34" t="n"/>
      <c r="I110" s="34" t="n"/>
      <c r="J110" s="34" t="inlineStr">
        <is>
          <t>SCR-061 추가 클릭</t>
        </is>
      </c>
      <c r="K110" s="34" t="n"/>
      <c r="L110" s="34" t="inlineStr">
        <is>
          <t>번호 중복 에러</t>
        </is>
      </c>
      <c r="M110" s="34" t="n"/>
      <c r="N110" s="34" t="n"/>
      <c r="O110" s="34" t="n"/>
      <c r="P110" s="34" t="n"/>
      <c r="Q110" s="34" t="inlineStr">
        <is>
          <t>확정</t>
        </is>
      </c>
      <c r="R110" s="34" t="n"/>
      <c r="S110" s="34" t="n">
        <v>0</v>
      </c>
      <c r="T110" s="34" t="n">
        <v>0</v>
      </c>
      <c r="U110" s="34" t="n">
        <v>0</v>
      </c>
      <c r="V110" s="34" t="n"/>
      <c r="W110" s="34" t="n">
        <v>0</v>
      </c>
      <c r="X110" s="34" t="inlineStr">
        <is>
          <t>오버레이 모달</t>
        </is>
      </c>
      <c r="Y110" s="34" t="inlineStr">
        <is>
          <t>모달 헤더 → 입력 폼 → 하단 버튼</t>
        </is>
      </c>
      <c r="Z110" s="34" t="inlineStr">
        <is>
          <t>modal</t>
        </is>
      </c>
      <c r="AA110" s="34" t="inlineStr">
        <is>
          <t>추가 클릭</t>
        </is>
      </c>
      <c r="AB110" s="34" t="inlineStr">
        <is>
          <t>추가 중 스피너</t>
        </is>
      </c>
      <c r="AC110" s="34" t="inlineStr">
        <is>
          <t>없음</t>
        </is>
      </c>
      <c r="AD110" s="34" t="inlineStr">
        <is>
          <t>모달 내부</t>
        </is>
      </c>
      <c r="AE110" s="34" t="inlineStr">
        <is>
          <t>오버레이</t>
        </is>
      </c>
    </row>
    <row r="111">
      <c r="A111" s="33" t="inlineStr">
        <is>
          <t>SCR-062-L</t>
        </is>
      </c>
      <c r="B111" s="33" t="inlineStr">
        <is>
          <t>메시지 발송 - 로딩 상태</t>
        </is>
      </c>
      <c r="C111" s="33" t="inlineStr">
        <is>
          <t>Web</t>
        </is>
      </c>
      <c r="D111" s="34" t="inlineStr">
        <is>
          <t>/messages/send</t>
        </is>
      </c>
      <c r="E111" s="34" t="inlineStr">
        <is>
          <t>수신자 목록 로딩 중</t>
        </is>
      </c>
      <c r="F111" s="34" t="inlineStr">
        <is>
          <t>(해당 없음)</t>
        </is>
      </c>
      <c r="G111" s="34" t="inlineStr">
        <is>
          <t>스켈레톤 표시</t>
        </is>
      </c>
      <c r="H111" s="34" t="n"/>
      <c r="I111" s="34" t="n"/>
      <c r="J111" s="34" t="inlineStr">
        <is>
          <t>SCR-062 진입</t>
        </is>
      </c>
      <c r="K111" s="34" t="n"/>
      <c r="L111" s="34" t="inlineStr">
        <is>
          <t>로딩 실패 에러</t>
        </is>
      </c>
      <c r="M111" s="34" t="n"/>
      <c r="N111" s="34" t="n"/>
      <c r="O111" s="34" t="n"/>
      <c r="P111" s="34" t="n"/>
      <c r="Q111" s="34" t="inlineStr">
        <is>
          <t>확정</t>
        </is>
      </c>
      <c r="R111" s="34" t="n"/>
      <c r="S111" s="34" t="n">
        <v>0</v>
      </c>
      <c r="T111" s="34" t="n">
        <v>0</v>
      </c>
      <c r="U111" s="34" t="n">
        <v>0</v>
      </c>
      <c r="V111" s="34" t="n"/>
      <c r="W111" s="34" t="n">
        <v>0</v>
      </c>
      <c r="X111" s="34" t="inlineStr">
        <is>
          <t>SCR-062와 동일 (스켈레톤)</t>
        </is>
      </c>
      <c r="Y111" s="34" t="inlineStr">
        <is>
          <t>스켈레톤 UI</t>
        </is>
      </c>
      <c r="Z111" s="34" t="inlineStr">
        <is>
          <t>state (로딩)</t>
        </is>
      </c>
      <c r="AA111" s="34" t="inlineStr">
        <is>
          <t>페이지 진입</t>
        </is>
      </c>
      <c r="AB111" s="34" t="inlineStr">
        <is>
          <t>회원 목록 스켈레톤</t>
        </is>
      </c>
      <c r="AC111" s="34" t="inlineStr">
        <is>
          <t>없음</t>
        </is>
      </c>
      <c r="AD111" s="34" t="inlineStr">
        <is>
          <t>SCR-062와 동일</t>
        </is>
      </c>
      <c r="AE111" s="34" t="inlineStr">
        <is>
          <t>GNB</t>
        </is>
      </c>
    </row>
    <row r="112">
      <c r="A112" s="33" t="inlineStr">
        <is>
          <t>SCR-062-V</t>
        </is>
      </c>
      <c r="B112" s="33" t="inlineStr">
        <is>
          <t>메시지 발송 - 유효성 에러</t>
        </is>
      </c>
      <c r="C112" s="33" t="inlineStr">
        <is>
          <t>Web</t>
        </is>
      </c>
      <c r="D112" s="34" t="inlineStr">
        <is>
          <t>/messages/send</t>
        </is>
      </c>
      <c r="E112" s="34" t="inlineStr">
        <is>
          <t>발송 폼 유효성 에러. 수신자 미선택/내용 미입력</t>
        </is>
      </c>
      <c r="F112" s="34" t="inlineStr">
        <is>
          <t>(해당 없음)</t>
        </is>
      </c>
      <c r="G112" s="34" t="inlineStr">
        <is>
          <t>에러 표시</t>
        </is>
      </c>
      <c r="H112" s="34" t="n"/>
      <c r="I112" s="34" t="n"/>
      <c r="J112" s="34" t="inlineStr">
        <is>
          <t>SCR-062 발송 클릭</t>
        </is>
      </c>
      <c r="K112" s="34" t="n"/>
      <c r="L112" s="34" t="inlineStr">
        <is>
          <t>수신자 미선택, 내용 미입력 에러</t>
        </is>
      </c>
      <c r="M112" s="34" t="n"/>
      <c r="N112" s="34" t="n"/>
      <c r="O112" s="34" t="n"/>
      <c r="P112" s="34" t="n"/>
      <c r="Q112" s="34" t="inlineStr">
        <is>
          <t>확정</t>
        </is>
      </c>
      <c r="R112" s="34" t="n"/>
      <c r="S112" s="34" t="n">
        <v>0</v>
      </c>
      <c r="T112" s="34" t="n">
        <v>2</v>
      </c>
      <c r="U112" s="34" t="n">
        <v>0</v>
      </c>
      <c r="V112" s="34" t="n"/>
      <c r="W112" s="34" t="n">
        <v>0</v>
      </c>
      <c r="X112" s="34" t="inlineStr">
        <is>
          <t>SCR-062와 동일</t>
        </is>
      </c>
      <c r="Y112" s="34" t="inlineStr">
        <is>
          <t>수신자 선택 → 메시지 작성 → 발송/이력</t>
        </is>
      </c>
      <c r="Z112" s="34" t="inlineStr">
        <is>
          <t>state (유효성 에러)</t>
        </is>
      </c>
      <c r="AA112" s="34" t="inlineStr">
        <is>
          <t>발송 클릭 (실패)</t>
        </is>
      </c>
      <c r="AB112" s="34" t="inlineStr">
        <is>
          <t>SCR-062와 동일</t>
        </is>
      </c>
      <c r="AC112" s="34" t="inlineStr">
        <is>
          <t>없음</t>
        </is>
      </c>
      <c r="AD112" s="34" t="inlineStr">
        <is>
          <t>SCR-062와 동일</t>
        </is>
      </c>
      <c r="AE112" s="34" t="inlineStr">
        <is>
          <t>GNB</t>
        </is>
      </c>
    </row>
    <row r="113">
      <c r="A113" s="33" t="inlineStr">
        <is>
          <t>SCR-062-SND</t>
        </is>
      </c>
      <c r="B113" s="33" t="inlineStr">
        <is>
          <t>메시지 발송 - 발송 중</t>
        </is>
      </c>
      <c r="C113" s="33" t="inlineStr">
        <is>
          <t>Web</t>
        </is>
      </c>
      <c r="D113" s="34" t="inlineStr">
        <is>
          <t>/messages/send</t>
        </is>
      </c>
      <c r="E113" s="34" t="inlineStr">
        <is>
          <t>메시지 발송 API 호출 중</t>
        </is>
      </c>
      <c r="F113" s="34" t="inlineStr">
        <is>
          <t>(해당 없음)</t>
        </is>
      </c>
      <c r="G113" s="34" t="inlineStr">
        <is>
          <t>발송 버튼 비활성</t>
        </is>
      </c>
      <c r="H113" s="34" t="n"/>
      <c r="I113" s="34" t="n"/>
      <c r="J113" s="34" t="inlineStr">
        <is>
          <t>SCR-062 발송 클릭</t>
        </is>
      </c>
      <c r="K113" s="34" t="n"/>
      <c r="L113" s="34" t="inlineStr">
        <is>
          <t>발송 실패 에러 toast</t>
        </is>
      </c>
      <c r="M113" s="34" t="n"/>
      <c r="N113" s="34" t="n"/>
      <c r="O113" s="34" t="n"/>
      <c r="P113" s="34" t="n"/>
      <c r="Q113" s="34" t="inlineStr">
        <is>
          <t>확정</t>
        </is>
      </c>
      <c r="R113" s="34" t="n"/>
      <c r="S113" s="34" t="n">
        <v>0</v>
      </c>
      <c r="T113" s="34" t="n">
        <v>1</v>
      </c>
      <c r="U113" s="34" t="n">
        <v>0</v>
      </c>
      <c r="V113" s="34" t="n"/>
      <c r="W113" s="34" t="n">
        <v>0</v>
      </c>
      <c r="X113" s="34" t="inlineStr">
        <is>
          <t>SCR-062와 동일</t>
        </is>
      </c>
      <c r="Y113" s="34" t="inlineStr">
        <is>
          <t>수신자 선택 → 메시지 작성 → 발송/이력</t>
        </is>
      </c>
      <c r="Z113" s="34" t="inlineStr">
        <is>
          <t>state (발송 중)</t>
        </is>
      </c>
      <c r="AA113" s="34" t="inlineStr">
        <is>
          <t>발송 클릭</t>
        </is>
      </c>
      <c r="AB113" s="34" t="inlineStr">
        <is>
          <t>버튼: 스피너 + '발송 중...'</t>
        </is>
      </c>
      <c r="AC113" s="34" t="inlineStr">
        <is>
          <t>없음</t>
        </is>
      </c>
      <c r="AD113" s="34" t="inlineStr">
        <is>
          <t>SCR-062와 동일</t>
        </is>
      </c>
      <c r="AE113" s="34" t="inlineStr">
        <is>
          <t>GNB</t>
        </is>
      </c>
    </row>
    <row r="114">
      <c r="A114" s="33" t="inlineStr">
        <is>
          <t>SCR-062-OK</t>
        </is>
      </c>
      <c r="B114" s="33" t="inlineStr">
        <is>
          <t>메시지 발송 - 발송 완료</t>
        </is>
      </c>
      <c r="C114" s="33" t="inlineStr">
        <is>
          <t>Web</t>
        </is>
      </c>
      <c r="D114" s="34" t="inlineStr">
        <is>
          <t>/messages/send</t>
        </is>
      </c>
      <c r="E114" s="34" t="inlineStr">
        <is>
          <t>발송 성공 확인 상태</t>
        </is>
      </c>
      <c r="F114" s="34" t="inlineStr">
        <is>
          <t>(해당 없음)</t>
        </is>
      </c>
      <c r="G114" s="34" t="inlineStr">
        <is>
          <t>발송 내역 확인, 새 발송 버튼</t>
        </is>
      </c>
      <c r="H114" s="34" t="n"/>
      <c r="I114" s="34" t="n"/>
      <c r="J114" s="34" t="inlineStr">
        <is>
          <t>SCR-062 발송 성공</t>
        </is>
      </c>
      <c r="K114" s="34" t="n"/>
      <c r="L114" s="34" t="inlineStr">
        <is>
          <t>없음</t>
        </is>
      </c>
      <c r="M114" s="34" t="n"/>
      <c r="N114" s="34" t="n"/>
      <c r="O114" s="34" t="n"/>
      <c r="P114" s="34" t="n"/>
      <c r="Q114" s="34" t="inlineStr">
        <is>
          <t>확정</t>
        </is>
      </c>
      <c r="R114" s="34" t="n"/>
      <c r="S114" s="34" t="n">
        <v>0</v>
      </c>
      <c r="T114" s="34" t="n">
        <v>0</v>
      </c>
      <c r="U114" s="34" t="n">
        <v>0</v>
      </c>
      <c r="V114" s="34" t="n"/>
      <c r="W114" s="34" t="n">
        <v>0</v>
      </c>
      <c r="X114" s="34" t="inlineStr">
        <is>
          <t>성공 아이콘 + 발송 요약</t>
        </is>
      </c>
      <c r="Y114" s="34" t="inlineStr">
        <is>
          <t>수신자 선택 → 메시지 작성 → 발송/이력</t>
        </is>
      </c>
      <c r="Z114" s="34" t="inlineStr">
        <is>
          <t>state (완료)</t>
        </is>
      </c>
      <c r="AA114" s="34" t="inlineStr">
        <is>
          <t>발송 성공</t>
        </is>
      </c>
      <c r="AB114" s="34" t="inlineStr">
        <is>
          <t>없음</t>
        </is>
      </c>
      <c r="AC114" s="34" t="inlineStr">
        <is>
          <t>없음</t>
        </is>
      </c>
      <c r="AD114" s="34" t="inlineStr">
        <is>
          <t>SCR-062와 동일</t>
        </is>
      </c>
      <c r="AE114" s="34" t="inlineStr">
        <is>
          <t>GNB</t>
        </is>
      </c>
    </row>
    <row r="115">
      <c r="A115" s="33" t="inlineStr">
        <is>
          <t>SCR-070-L</t>
        </is>
      </c>
      <c r="B115" s="33" t="inlineStr">
        <is>
          <t>체성분 분석 - 로딩 상태</t>
        </is>
      </c>
      <c r="C115" s="33" t="inlineStr">
        <is>
          <t>Web</t>
        </is>
      </c>
      <c r="D115" s="34" t="inlineStr">
        <is>
          <t>/body-composition</t>
        </is>
      </c>
      <c r="E115" s="34" t="inlineStr">
        <is>
          <t>체성분 데이터 로딩 중</t>
        </is>
      </c>
      <c r="F115" s="34" t="inlineStr">
        <is>
          <t>(해당 없음)</t>
        </is>
      </c>
      <c r="G115" s="34" t="inlineStr">
        <is>
          <t>차트 스켈레톤</t>
        </is>
      </c>
      <c r="H115" s="34" t="n"/>
      <c r="I115" s="34" t="n"/>
      <c r="J115" s="34" t="inlineStr">
        <is>
          <t>SCR-070 진입</t>
        </is>
      </c>
      <c r="K115" s="34" t="n"/>
      <c r="L115" s="34" t="inlineStr">
        <is>
          <t>로딩 실패 에러</t>
        </is>
      </c>
      <c r="M115" s="34" t="n"/>
      <c r="N115" s="34" t="n"/>
      <c r="O115" s="34" t="n"/>
      <c r="P115" s="34" t="n"/>
      <c r="Q115" s="34" t="inlineStr">
        <is>
          <t>확정</t>
        </is>
      </c>
      <c r="R115" s="34" t="n"/>
      <c r="S115" s="34" t="n">
        <v>0</v>
      </c>
      <c r="T115" s="34" t="n">
        <v>0</v>
      </c>
      <c r="U115" s="34" t="n">
        <v>0</v>
      </c>
      <c r="V115" s="34" t="n"/>
      <c r="W115" s="34" t="n">
        <v>0</v>
      </c>
      <c r="X115" s="34" t="inlineStr">
        <is>
          <t>SCR-070과 동일 (스켈레톤)</t>
        </is>
      </c>
      <c r="Y115" s="34" t="inlineStr">
        <is>
          <t>스켈레톤 UI</t>
        </is>
      </c>
      <c r="Z115" s="34" t="inlineStr">
        <is>
          <t>state (로딩)</t>
        </is>
      </c>
      <c r="AA115" s="34" t="inlineStr">
        <is>
          <t>페이지 진입</t>
        </is>
      </c>
      <c r="AB115" s="34" t="inlineStr">
        <is>
          <t>차트 스켈레톤</t>
        </is>
      </c>
      <c r="AC115" s="34" t="inlineStr">
        <is>
          <t>없음</t>
        </is>
      </c>
      <c r="AD115" s="34" t="inlineStr">
        <is>
          <t>SCR-070과 동일</t>
        </is>
      </c>
      <c r="AE115" s="34" t="inlineStr">
        <is>
          <t>GNB</t>
        </is>
      </c>
    </row>
    <row r="116">
      <c r="A116" s="33" t="inlineStr">
        <is>
          <t>SCR-070-EM</t>
        </is>
      </c>
      <c r="B116" s="33" t="inlineStr">
        <is>
          <t>체성분 분석 - 빈 상태</t>
        </is>
      </c>
      <c r="C116" s="33" t="inlineStr">
        <is>
          <t>Web</t>
        </is>
      </c>
      <c r="D116" s="34" t="inlineStr">
        <is>
          <t>/body-composition</t>
        </is>
      </c>
      <c r="E116" s="34" t="inlineStr">
        <is>
          <t>측정 데이터 0건 시</t>
        </is>
      </c>
      <c r="F116" s="34" t="inlineStr">
        <is>
          <t>(해당 없음)</t>
        </is>
      </c>
      <c r="G116" s="34" t="inlineStr">
        <is>
          <t>측정 추가 안내</t>
        </is>
      </c>
      <c r="H116" s="34" t="n"/>
      <c r="I116" s="34" t="n"/>
      <c r="J116" s="34" t="inlineStr">
        <is>
          <t>SCR-070 (0건)</t>
        </is>
      </c>
      <c r="K116" s="34" t="n"/>
      <c r="L116" s="34" t="inlineStr">
        <is>
          <t>'체성분 측정 기록이 없습니다'</t>
        </is>
      </c>
      <c r="M116" s="34" t="n"/>
      <c r="N116" s="34" t="n"/>
      <c r="O116" s="34" t="n"/>
      <c r="P116" s="34" t="n"/>
      <c r="Q116" s="34" t="inlineStr">
        <is>
          <t>확정</t>
        </is>
      </c>
      <c r="R116" s="34" t="n"/>
      <c r="S116" s="34" t="n">
        <v>0</v>
      </c>
      <c r="T116" s="34" t="n">
        <v>1</v>
      </c>
      <c r="U116" s="34" t="n">
        <v>0</v>
      </c>
      <c r="V116" s="34" t="n"/>
      <c r="W116" s="34" t="n">
        <v>0</v>
      </c>
      <c r="X116" s="34" t="inlineStr">
        <is>
          <t>SCR-070과 동일</t>
        </is>
      </c>
      <c r="Y116" s="34" t="inlineStr">
        <is>
          <t>빈 상태 아이콘 → 안내 문구 → CTA 버튼</t>
        </is>
      </c>
      <c r="Z116" s="34" t="inlineStr">
        <is>
          <t>state (빈 상태)</t>
        </is>
      </c>
      <c r="AA116" s="34" t="inlineStr">
        <is>
          <t>데이터 0건</t>
        </is>
      </c>
      <c r="AB116" s="34" t="inlineStr">
        <is>
          <t>없음</t>
        </is>
      </c>
      <c r="AC116" s="34" t="inlineStr">
        <is>
          <t>'체성분 측정 기록이 없습니다'</t>
        </is>
      </c>
      <c r="AD116" s="34" t="inlineStr">
        <is>
          <t>SCR-070과 동일</t>
        </is>
      </c>
      <c r="AE116" s="34" t="inlineStr">
        <is>
          <t>GNB</t>
        </is>
      </c>
    </row>
    <row r="117">
      <c r="A117" s="33" t="inlineStr">
        <is>
          <t>SCR-071-S1</t>
        </is>
      </c>
      <c r="B117" s="33" t="inlineStr">
        <is>
          <t>계약 마법사 - Step 1 회원선택</t>
        </is>
      </c>
      <c r="C117" s="33" t="inlineStr">
        <is>
          <t>Web</t>
        </is>
      </c>
      <c r="D117" s="34" t="inlineStr">
        <is>
          <t>/contract</t>
        </is>
      </c>
      <c r="E117" s="34" t="inlineStr">
        <is>
          <t>계약 1단계: 회원 검색/선택</t>
        </is>
      </c>
      <c r="F117" s="34" t="inlineStr">
        <is>
          <t>(해당 없음)</t>
        </is>
      </c>
      <c r="G117" s="34" t="inlineStr">
        <is>
          <t>회원 검색 자동완성, 신규 회원 등록 링크</t>
        </is>
      </c>
      <c r="H117" s="34" t="n"/>
      <c r="I117" s="34" t="n"/>
      <c r="J117" s="34" t="inlineStr">
        <is>
          <t>SCR-071 진입</t>
        </is>
      </c>
      <c r="K117" s="34" t="n"/>
      <c r="L117" s="34" t="inlineStr">
        <is>
          <t>회원 미선택 시 다음단계 불가</t>
        </is>
      </c>
      <c r="M117" s="34" t="n"/>
      <c r="N117" s="34" t="n"/>
      <c r="O117" s="34" t="n"/>
      <c r="P117" s="34" t="n"/>
      <c r="Q117" s="34" t="inlineStr">
        <is>
          <t>확정</t>
        </is>
      </c>
      <c r="R117" s="34" t="n"/>
      <c r="S117" s="34" t="n">
        <v>0</v>
      </c>
      <c r="T117" s="34" t="n">
        <v>2</v>
      </c>
      <c r="U117" s="34" t="n">
        <v>0</v>
      </c>
      <c r="V117" s="34" t="n"/>
      <c r="W117" s="34" t="n">
        <v>0</v>
      </c>
      <c r="X117" s="34" t="inlineStr">
        <is>
          <t>SCR-071과 동일 (Step1)</t>
        </is>
      </c>
      <c r="Y117" s="34" t="inlineStr">
        <is>
          <t>스텝 인디케이터 → 현재 스텝 폼 → 이전/다음</t>
        </is>
      </c>
      <c r="Z117" s="34" t="inlineStr">
        <is>
          <t>state (Step1)</t>
        </is>
      </c>
      <c r="AA117" s="34" t="inlineStr">
        <is>
          <t>페이지 진입</t>
        </is>
      </c>
      <c r="AB117" s="34" t="inlineStr">
        <is>
          <t>회원 목록 로딩</t>
        </is>
      </c>
      <c r="AC117" s="34" t="inlineStr">
        <is>
          <t>없음</t>
        </is>
      </c>
      <c r="AD117" s="34" t="inlineStr">
        <is>
          <t>SCR-071과 동일</t>
        </is>
      </c>
      <c r="AE117" s="34" t="inlineStr">
        <is>
          <t>GNB + 스텝 인디케이터</t>
        </is>
      </c>
    </row>
    <row r="118">
      <c r="A118" s="33" t="inlineStr">
        <is>
          <t>SCR-071-S2</t>
        </is>
      </c>
      <c r="B118" s="33" t="inlineStr">
        <is>
          <t>계약 마법사 - Step 2 상품선택</t>
        </is>
      </c>
      <c r="C118" s="33" t="inlineStr">
        <is>
          <t>Web</t>
        </is>
      </c>
      <c r="D118" s="34" t="inlineStr">
        <is>
          <t>/contract</t>
        </is>
      </c>
      <c r="E118" s="34" t="inlineStr">
        <is>
          <t>계약 2단계: 상품 선택 + 옵션</t>
        </is>
      </c>
      <c r="F118" s="34" t="inlineStr">
        <is>
          <t>(해당 없음)</t>
        </is>
      </c>
      <c r="G118" s="34" t="inlineStr">
        <is>
          <t>상품 검색, 카테고리 필터, 기간/횟수 설정</t>
        </is>
      </c>
      <c r="H118" s="34" t="n"/>
      <c r="I118" s="34" t="n"/>
      <c r="J118" s="34" t="inlineStr">
        <is>
          <t>SCR-071 Step1 완료</t>
        </is>
      </c>
      <c r="K118" s="34" t="n"/>
      <c r="L118" s="34" t="inlineStr">
        <is>
          <t>상품 미선택 시 다음단계 불가</t>
        </is>
      </c>
      <c r="M118" s="34" t="n"/>
      <c r="N118" s="34" t="n"/>
      <c r="O118" s="34" t="n"/>
      <c r="P118" s="34" t="n"/>
      <c r="Q118" s="34" t="inlineStr">
        <is>
          <t>확정</t>
        </is>
      </c>
      <c r="R118" s="34" t="n"/>
      <c r="S118" s="34" t="n">
        <v>0</v>
      </c>
      <c r="T118" s="34" t="n">
        <v>2</v>
      </c>
      <c r="U118" s="34" t="n">
        <v>0</v>
      </c>
      <c r="V118" s="34" t="n"/>
      <c r="W118" s="34" t="n">
        <v>0</v>
      </c>
      <c r="X118" s="34" t="inlineStr">
        <is>
          <t>SCR-071과 동일 (Step2)</t>
        </is>
      </c>
      <c r="Y118" s="34" t="inlineStr">
        <is>
          <t>상품 목록 → 상품 등록/수정 폼</t>
        </is>
      </c>
      <c r="Z118" s="34" t="inlineStr">
        <is>
          <t>state (Step2)</t>
        </is>
      </c>
      <c r="AA118" s="34" t="inlineStr">
        <is>
          <t>Step1 완료</t>
        </is>
      </c>
      <c r="AB118" s="34" t="inlineStr">
        <is>
          <t>상품 목록 로딩</t>
        </is>
      </c>
      <c r="AC118" s="34" t="inlineStr">
        <is>
          <t>없음</t>
        </is>
      </c>
      <c r="AD118" s="34" t="inlineStr">
        <is>
          <t>SCR-071과 동일</t>
        </is>
      </c>
      <c r="AE118" s="34" t="inlineStr">
        <is>
          <t>GNB + 스텝 인디케이터</t>
        </is>
      </c>
    </row>
    <row r="119">
      <c r="A119" s="33" t="inlineStr">
        <is>
          <t>SCR-071-S3</t>
        </is>
      </c>
      <c r="B119" s="33" t="inlineStr">
        <is>
          <t>계약 마법사 - Step 3 결제</t>
        </is>
      </c>
      <c r="C119" s="33" t="inlineStr">
        <is>
          <t>Web</t>
        </is>
      </c>
      <c r="D119" s="34" t="inlineStr">
        <is>
          <t>/contract</t>
        </is>
      </c>
      <c r="E119" s="34" t="inlineStr">
        <is>
          <t>계약 3단계: 결제 방법 선택 + 금액 확인</t>
        </is>
      </c>
      <c r="F119" s="34" t="inlineStr">
        <is>
          <t>(해당 없음)</t>
        </is>
      </c>
      <c r="G119" s="34" t="inlineStr">
        <is>
          <t>결제수단 선택, 할인 적용, 분할결제</t>
        </is>
      </c>
      <c r="H119" s="34" t="n"/>
      <c r="I119" s="34" t="n"/>
      <c r="J119" s="34" t="inlineStr">
        <is>
          <t>SCR-071 Step2 완료</t>
        </is>
      </c>
      <c r="K119" s="34" t="n"/>
      <c r="L119" s="34" t="inlineStr">
        <is>
          <t>결제 실패 시 에러 표시</t>
        </is>
      </c>
      <c r="M119" s="34" t="n"/>
      <c r="N119" s="34" t="n"/>
      <c r="O119" s="34" t="n"/>
      <c r="P119" s="34" t="n"/>
      <c r="Q119" s="34" t="inlineStr">
        <is>
          <t>확정</t>
        </is>
      </c>
      <c r="R119" s="34" t="n"/>
      <c r="S119" s="34" t="n">
        <v>0</v>
      </c>
      <c r="T119" s="34" t="n">
        <v>1</v>
      </c>
      <c r="U119" s="34" t="n">
        <v>0</v>
      </c>
      <c r="V119" s="34" t="n"/>
      <c r="W119" s="34" t="n">
        <v>0</v>
      </c>
      <c r="X119" s="34" t="inlineStr">
        <is>
          <t>SCR-071과 동일 (Step3)</t>
        </is>
      </c>
      <c r="Y119" s="34" t="inlineStr">
        <is>
          <t>회원 선택 → 상품/결제 정보 → 결제 확인</t>
        </is>
      </c>
      <c r="Z119" s="34" t="inlineStr">
        <is>
          <t>state (Step3)</t>
        </is>
      </c>
      <c r="AA119" s="34" t="inlineStr">
        <is>
          <t>Step2 완료</t>
        </is>
      </c>
      <c r="AB119" s="34" t="inlineStr">
        <is>
          <t>없음</t>
        </is>
      </c>
      <c r="AC119" s="34" t="inlineStr">
        <is>
          <t>없음</t>
        </is>
      </c>
      <c r="AD119" s="34" t="inlineStr">
        <is>
          <t>SCR-071과 동일</t>
        </is>
      </c>
      <c r="AE119" s="34" t="inlineStr">
        <is>
          <t>GNB + 스텝 인디케이터</t>
        </is>
      </c>
    </row>
    <row r="120">
      <c r="A120" s="33" t="inlineStr">
        <is>
          <t>SCR-071-OK</t>
        </is>
      </c>
      <c r="B120" s="33" t="inlineStr">
        <is>
          <t>계약 마법사 - 완료</t>
        </is>
      </c>
      <c r="C120" s="33" t="inlineStr">
        <is>
          <t>Web</t>
        </is>
      </c>
      <c r="D120" s="34" t="inlineStr">
        <is>
          <t>/contract</t>
        </is>
      </c>
      <c r="E120" s="34" t="inlineStr">
        <is>
          <t>계약 완료 성공 화면. 계약서 출력 옵션</t>
        </is>
      </c>
      <c r="F120" s="34" t="inlineStr">
        <is>
          <t>(해당 없음)</t>
        </is>
      </c>
      <c r="G120" s="34" t="inlineStr">
        <is>
          <t>계약서 출력, 회원 상세 이동, 목록 이동</t>
        </is>
      </c>
      <c r="H120" s="34" t="n"/>
      <c r="I120" s="34" t="n"/>
      <c r="J120" s="34" t="inlineStr">
        <is>
          <t>SCR-071 결제 성공</t>
        </is>
      </c>
      <c r="K120" s="34" t="n"/>
      <c r="L120" s="34" t="inlineStr">
        <is>
          <t>없음</t>
        </is>
      </c>
      <c r="M120" s="34" t="n"/>
      <c r="N120" s="34" t="n"/>
      <c r="O120" s="34" t="n"/>
      <c r="P120" s="34" t="n"/>
      <c r="Q120" s="34" t="inlineStr">
        <is>
          <t>확정</t>
        </is>
      </c>
      <c r="R120" s="34" t="n"/>
      <c r="S120" s="34" t="n">
        <v>0</v>
      </c>
      <c r="T120" s="34" t="n">
        <v>1</v>
      </c>
      <c r="U120" s="34" t="n">
        <v>0</v>
      </c>
      <c r="V120" s="34" t="n"/>
      <c r="W120" s="34" t="n">
        <v>0</v>
      </c>
      <c r="X120" s="34" t="inlineStr">
        <is>
          <t>성공 아이콘 + 계약 요약</t>
        </is>
      </c>
      <c r="Y120" s="34" t="inlineStr">
        <is>
          <t>스텝 인디케이터 → 현재 스텝 폼 → 이전/다음</t>
        </is>
      </c>
      <c r="Z120" s="34" t="inlineStr">
        <is>
          <t>state (완료)</t>
        </is>
      </c>
      <c r="AA120" s="34" t="inlineStr">
        <is>
          <t>결제 성공</t>
        </is>
      </c>
      <c r="AB120" s="34" t="inlineStr">
        <is>
          <t>없음</t>
        </is>
      </c>
      <c r="AC120" s="34" t="inlineStr">
        <is>
          <t>없음</t>
        </is>
      </c>
      <c r="AD120" s="34" t="inlineStr">
        <is>
          <t>SCR-071과 동일</t>
        </is>
      </c>
      <c r="AE120" s="34" t="inlineStr">
        <is>
          <t>GNB</t>
        </is>
      </c>
    </row>
    <row r="121">
      <c r="A121" s="33" t="inlineStr">
        <is>
          <t>SCR-080-L</t>
        </is>
      </c>
      <c r="B121" s="33" t="inlineStr">
        <is>
          <t>설정 - 로딩 상태</t>
        </is>
      </c>
      <c r="C121" s="33" t="inlineStr">
        <is>
          <t>Web</t>
        </is>
      </c>
      <c r="D121" s="34" t="inlineStr">
        <is>
          <t>/settings</t>
        </is>
      </c>
      <c r="E121" s="34" t="inlineStr">
        <is>
          <t>설정 데이터 로딩 중</t>
        </is>
      </c>
      <c r="F121" s="34" t="inlineStr">
        <is>
          <t>(해당 없음)</t>
        </is>
      </c>
      <c r="G121" s="34" t="inlineStr">
        <is>
          <t>폼 스켈레톤</t>
        </is>
      </c>
      <c r="H121" s="34" t="n"/>
      <c r="I121" s="34" t="n"/>
      <c r="J121" s="34" t="inlineStr">
        <is>
          <t>SCR-080 진입</t>
        </is>
      </c>
      <c r="K121" s="34" t="n"/>
      <c r="L121" s="34" t="inlineStr">
        <is>
          <t>로딩 실패 에러</t>
        </is>
      </c>
      <c r="M121" s="34" t="n"/>
      <c r="N121" s="34" t="n"/>
      <c r="O121" s="34" t="n"/>
      <c r="P121" s="34" t="n"/>
      <c r="Q121" s="34" t="inlineStr">
        <is>
          <t>확정</t>
        </is>
      </c>
      <c r="R121" s="34" t="n"/>
      <c r="S121" s="34" t="n">
        <v>0</v>
      </c>
      <c r="T121" s="34" t="n">
        <v>1</v>
      </c>
      <c r="U121" s="34" t="n">
        <v>0</v>
      </c>
      <c r="V121" s="34" t="n"/>
      <c r="W121" s="34" t="n">
        <v>0</v>
      </c>
      <c r="X121" s="34" t="inlineStr">
        <is>
          <t>SCR-080과 동일 (스켈레톤)</t>
        </is>
      </c>
      <c r="Y121" s="34" t="inlineStr">
        <is>
          <t>스켈레톤 UI</t>
        </is>
      </c>
      <c r="Z121" s="34" t="inlineStr">
        <is>
          <t>state (로딩)</t>
        </is>
      </c>
      <c r="AA121" s="34" t="inlineStr">
        <is>
          <t>페이지 진입</t>
        </is>
      </c>
      <c r="AB121" s="34" t="inlineStr">
        <is>
          <t>폼 필드 스켈레톤</t>
        </is>
      </c>
      <c r="AC121" s="34" t="inlineStr">
        <is>
          <t>없음</t>
        </is>
      </c>
      <c r="AD121" s="34" t="inlineStr">
        <is>
          <t>SCR-080과 동일</t>
        </is>
      </c>
      <c r="AE121" s="34" t="inlineStr">
        <is>
          <t>GNB</t>
        </is>
      </c>
    </row>
    <row r="122">
      <c r="A122" s="33" t="inlineStr">
        <is>
          <t>SCR-080-SAV</t>
        </is>
      </c>
      <c r="B122" s="33" t="inlineStr">
        <is>
          <t>설정 - 저장 중</t>
        </is>
      </c>
      <c r="C122" s="33" t="inlineStr">
        <is>
          <t>Web</t>
        </is>
      </c>
      <c r="D122" s="34" t="inlineStr">
        <is>
          <t>/settings</t>
        </is>
      </c>
      <c r="E122" s="34" t="inlineStr">
        <is>
          <t>설정 저장 API 호출 중</t>
        </is>
      </c>
      <c r="F122" s="34" t="inlineStr">
        <is>
          <t>(해당 없음)</t>
        </is>
      </c>
      <c r="G122" s="34" t="inlineStr">
        <is>
          <t>저장 버튼 비활성</t>
        </is>
      </c>
      <c r="H122" s="34" t="n"/>
      <c r="I122" s="34" t="n"/>
      <c r="J122" s="34" t="inlineStr">
        <is>
          <t>SCR-080 저장 클릭</t>
        </is>
      </c>
      <c r="K122" s="34" t="n"/>
      <c r="L122" s="34" t="inlineStr">
        <is>
          <t>저장 실패 에러 toast</t>
        </is>
      </c>
      <c r="M122" s="34" t="n"/>
      <c r="N122" s="34" t="n"/>
      <c r="O122" s="34" t="n"/>
      <c r="P122" s="34" t="n"/>
      <c r="Q122" s="34" t="inlineStr">
        <is>
          <t>확정</t>
        </is>
      </c>
      <c r="R122" s="34" t="n"/>
      <c r="S122" s="34" t="n">
        <v>0</v>
      </c>
      <c r="T122" s="34" t="n">
        <v>1</v>
      </c>
      <c r="U122" s="34" t="n">
        <v>0</v>
      </c>
      <c r="V122" s="34" t="n"/>
      <c r="W122" s="34" t="n">
        <v>0</v>
      </c>
      <c r="X122" s="34" t="inlineStr">
        <is>
          <t>SCR-080과 동일</t>
        </is>
      </c>
      <c r="Y122" s="34" t="inlineStr">
        <is>
          <t>탭 네비게이션 → 설정 섹션 → 저장 버튼</t>
        </is>
      </c>
      <c r="Z122" s="34" t="inlineStr">
        <is>
          <t>state (저장 중)</t>
        </is>
      </c>
      <c r="AA122" s="34" t="inlineStr">
        <is>
          <t>저장 클릭</t>
        </is>
      </c>
      <c r="AB122" s="34" t="inlineStr">
        <is>
          <t>버튼: 스피너 + '저장 중...'</t>
        </is>
      </c>
      <c r="AC122" s="34" t="inlineStr">
        <is>
          <t>없음</t>
        </is>
      </c>
      <c r="AD122" s="34" t="inlineStr">
        <is>
          <t>SCR-080과 동일</t>
        </is>
      </c>
      <c r="AE122" s="34" t="inlineStr">
        <is>
          <t>GNB</t>
        </is>
      </c>
    </row>
    <row r="123">
      <c r="A123" s="33" t="inlineStr">
        <is>
          <t>SCR-081-L</t>
        </is>
      </c>
      <c r="B123" s="33" t="inlineStr">
        <is>
          <t>지점 관리 - 로딩 상태</t>
        </is>
      </c>
      <c r="C123" s="33" t="inlineStr">
        <is>
          <t>Web</t>
        </is>
      </c>
      <c r="D123" s="34" t="inlineStr">
        <is>
          <t>/branches</t>
        </is>
      </c>
      <c r="E123" s="34" t="inlineStr">
        <is>
          <t>지점 목록 로딩 중</t>
        </is>
      </c>
      <c r="F123" s="34" t="inlineStr">
        <is>
          <t>(해당 없음)</t>
        </is>
      </c>
      <c r="G123" s="34" t="inlineStr">
        <is>
          <t>스켈레톤 표시</t>
        </is>
      </c>
      <c r="H123" s="34" t="n"/>
      <c r="I123" s="34" t="n"/>
      <c r="J123" s="34" t="inlineStr">
        <is>
          <t>SCR-081 진입</t>
        </is>
      </c>
      <c r="K123" s="34" t="n"/>
      <c r="L123" s="34" t="inlineStr">
        <is>
          <t>로딩 실패 에러</t>
        </is>
      </c>
      <c r="M123" s="34" t="n"/>
      <c r="N123" s="34" t="n"/>
      <c r="O123" s="34" t="n"/>
      <c r="P123" s="34" t="n"/>
      <c r="Q123" s="34" t="inlineStr">
        <is>
          <t>확정</t>
        </is>
      </c>
      <c r="R123" s="34" t="n"/>
      <c r="S123" s="34" t="n">
        <v>0</v>
      </c>
      <c r="T123" s="34" t="n">
        <v>1</v>
      </c>
      <c r="U123" s="34" t="n">
        <v>0</v>
      </c>
      <c r="V123" s="34" t="n"/>
      <c r="W123" s="34" t="n">
        <v>0</v>
      </c>
      <c r="X123" s="34" t="inlineStr">
        <is>
          <t>SCR-081과 동일 (스켈레톤)</t>
        </is>
      </c>
      <c r="Y123" s="34" t="inlineStr">
        <is>
          <t>스켈레톤 UI</t>
        </is>
      </c>
      <c r="Z123" s="34" t="inlineStr">
        <is>
          <t>state (로딩)</t>
        </is>
      </c>
      <c r="AA123" s="34" t="inlineStr">
        <is>
          <t>페이지 진입</t>
        </is>
      </c>
      <c r="AB123" s="34" t="inlineStr">
        <is>
          <t>테이블 스켈레톤</t>
        </is>
      </c>
      <c r="AC123" s="34" t="inlineStr">
        <is>
          <t>없음</t>
        </is>
      </c>
      <c r="AD123" s="34" t="inlineStr">
        <is>
          <t>SCR-081과 동일</t>
        </is>
      </c>
      <c r="AE123" s="34" t="inlineStr">
        <is>
          <t>GNB</t>
        </is>
      </c>
    </row>
    <row r="124">
      <c r="A124" s="33" t="inlineStr">
        <is>
          <t>SCR-081-ADD</t>
        </is>
      </c>
      <c r="B124" s="33" t="inlineStr">
        <is>
          <t>지점 관리 - 지점 추가 모달</t>
        </is>
      </c>
      <c r="C124" s="33" t="inlineStr">
        <is>
          <t>Web</t>
        </is>
      </c>
      <c r="D124" s="34" t="inlineStr">
        <is>
          <t>/branches</t>
        </is>
      </c>
      <c r="E124" s="34" t="inlineStr">
        <is>
          <t>새 지점 등록 모달</t>
        </is>
      </c>
      <c r="F124" s="34" t="inlineStr">
        <is>
          <t>(해당 없음)</t>
        </is>
      </c>
      <c r="G124" s="34" t="inlineStr">
        <is>
          <t>지점명/주소/연락처 입력</t>
        </is>
      </c>
      <c r="H124" s="34" t="n"/>
      <c r="I124" s="34" t="n"/>
      <c r="J124" s="34" t="inlineStr">
        <is>
          <t>SCR-081 추가 클릭</t>
        </is>
      </c>
      <c r="K124" s="34" t="n"/>
      <c r="L124" s="34" t="inlineStr">
        <is>
          <t>필수 필드 에러</t>
        </is>
      </c>
      <c r="M124" s="34" t="n"/>
      <c r="N124" s="34" t="n"/>
      <c r="O124" s="34" t="n"/>
      <c r="P124" s="34" t="n"/>
      <c r="Q124" s="34" t="inlineStr">
        <is>
          <t>확정</t>
        </is>
      </c>
      <c r="R124" s="34" t="n"/>
      <c r="S124" s="34" t="n">
        <v>0</v>
      </c>
      <c r="T124" s="34" t="n">
        <v>2</v>
      </c>
      <c r="U124" s="34" t="n">
        <v>0</v>
      </c>
      <c r="V124" s="34" t="n"/>
      <c r="W124" s="34" t="n">
        <v>0</v>
      </c>
      <c r="X124" s="34" t="inlineStr">
        <is>
          <t>오버레이 모달</t>
        </is>
      </c>
      <c r="Y124" s="34" t="inlineStr">
        <is>
          <t>모달 헤더 → 입력 폼 → 하단 버튼</t>
        </is>
      </c>
      <c r="Z124" s="34" t="inlineStr">
        <is>
          <t>modal</t>
        </is>
      </c>
      <c r="AA124" s="34" t="inlineStr">
        <is>
          <t>추가 클릭</t>
        </is>
      </c>
      <c r="AB124" s="34" t="inlineStr">
        <is>
          <t>등록 중 스피너</t>
        </is>
      </c>
      <c r="AC124" s="34" t="inlineStr">
        <is>
          <t>없음</t>
        </is>
      </c>
      <c r="AD124" s="34" t="inlineStr">
        <is>
          <t>모달</t>
        </is>
      </c>
      <c r="AE124" s="34" t="inlineStr">
        <is>
          <t>오버레이</t>
        </is>
      </c>
    </row>
    <row r="125">
      <c r="A125" s="33" t="inlineStr">
        <is>
          <t>SCR-081-EDT</t>
        </is>
      </c>
      <c r="B125" s="33" t="inlineStr">
        <is>
          <t>지점 관리 - 지점 수정 모달</t>
        </is>
      </c>
      <c r="C125" s="33" t="inlineStr">
        <is>
          <t>Web</t>
        </is>
      </c>
      <c r="D125" s="34" t="inlineStr">
        <is>
          <t>/branches</t>
        </is>
      </c>
      <c r="E125" s="34" t="inlineStr">
        <is>
          <t>지점 정보 수정 모달</t>
        </is>
      </c>
      <c r="F125" s="34" t="inlineStr">
        <is>
          <t>(해당 없음)</t>
        </is>
      </c>
      <c r="G125" s="34" t="inlineStr">
        <is>
          <t>기존 데이터 프리필, 수정 가능</t>
        </is>
      </c>
      <c r="H125" s="34" t="n"/>
      <c r="I125" s="34" t="n"/>
      <c r="J125" s="34" t="inlineStr">
        <is>
          <t>SCR-081 수정 클릭</t>
        </is>
      </c>
      <c r="K125" s="34" t="n"/>
      <c r="L125" s="34" t="inlineStr">
        <is>
          <t>필수 필드 에러</t>
        </is>
      </c>
      <c r="M125" s="34" t="n"/>
      <c r="N125" s="34" t="n"/>
      <c r="O125" s="34" t="n"/>
      <c r="P125" s="34" t="n"/>
      <c r="Q125" s="34" t="inlineStr">
        <is>
          <t>확정</t>
        </is>
      </c>
      <c r="R125" s="34" t="n"/>
      <c r="S125" s="34" t="n">
        <v>0</v>
      </c>
      <c r="T125" s="34" t="n">
        <v>1</v>
      </c>
      <c r="U125" s="34" t="n">
        <v>0</v>
      </c>
      <c r="V125" s="34" t="n"/>
      <c r="W125" s="34" t="n">
        <v>0</v>
      </c>
      <c r="X125" s="34" t="inlineStr">
        <is>
          <t>오버레이 모달</t>
        </is>
      </c>
      <c r="Y125" s="34" t="inlineStr">
        <is>
          <t>모달 헤더 → 입력 폼 → 하단 버튼</t>
        </is>
      </c>
      <c r="Z125" s="34" t="inlineStr">
        <is>
          <t>modal</t>
        </is>
      </c>
      <c r="AA125" s="34" t="inlineStr">
        <is>
          <t>수정 클릭</t>
        </is>
      </c>
      <c r="AB125" s="34" t="inlineStr">
        <is>
          <t>수정 중 스피너</t>
        </is>
      </c>
      <c r="AC125" s="34" t="inlineStr">
        <is>
          <t>없음</t>
        </is>
      </c>
      <c r="AD125" s="34" t="inlineStr">
        <is>
          <t>모달</t>
        </is>
      </c>
      <c r="AE125" s="34" t="inlineStr">
        <is>
          <t>오버레이</t>
        </is>
      </c>
    </row>
    <row r="126">
      <c r="A126" s="33" t="inlineStr">
        <is>
          <t>SCR-090-L</t>
        </is>
      </c>
      <c r="B126" s="33" t="inlineStr">
        <is>
          <t>쿠폰 관리 - 로딩 상태</t>
        </is>
      </c>
      <c r="C126" s="33" t="inlineStr">
        <is>
          <t>Web</t>
        </is>
      </c>
      <c r="D126" s="34" t="inlineStr">
        <is>
          <t>/coupons</t>
        </is>
      </c>
      <c r="E126" s="34" t="inlineStr">
        <is>
          <t>쿠폰 목록 로딩 중</t>
        </is>
      </c>
      <c r="F126" s="34" t="inlineStr">
        <is>
          <t>(해당 없음)</t>
        </is>
      </c>
      <c r="G126" s="34" t="inlineStr">
        <is>
          <t>스켈레톤 표시</t>
        </is>
      </c>
      <c r="H126" s="34" t="n"/>
      <c r="I126" s="34" t="n"/>
      <c r="J126" s="34" t="inlineStr">
        <is>
          <t>SCR-090 진입</t>
        </is>
      </c>
      <c r="K126" s="34" t="n"/>
      <c r="L126" s="34" t="inlineStr">
        <is>
          <t>로딩 실패 에러</t>
        </is>
      </c>
      <c r="M126" s="34" t="n"/>
      <c r="N126" s="34" t="n"/>
      <c r="O126" s="34" t="n"/>
      <c r="P126" s="34" t="n"/>
      <c r="Q126" s="34" t="inlineStr">
        <is>
          <t>확정</t>
        </is>
      </c>
      <c r="R126" s="34" t="n"/>
      <c r="S126" s="34" t="n">
        <v>0</v>
      </c>
      <c r="T126" s="34" t="n">
        <v>0</v>
      </c>
      <c r="U126" s="34" t="n">
        <v>0</v>
      </c>
      <c r="V126" s="34" t="n"/>
      <c r="W126" s="34" t="n">
        <v>0</v>
      </c>
      <c r="X126" s="34" t="inlineStr">
        <is>
          <t>SCR-090과 동일 (스켈레톤)</t>
        </is>
      </c>
      <c r="Y126" s="34" t="inlineStr">
        <is>
          <t>스켈레톤 UI</t>
        </is>
      </c>
      <c r="Z126" s="34" t="inlineStr">
        <is>
          <t>state (로딩)</t>
        </is>
      </c>
      <c r="AA126" s="34" t="inlineStr">
        <is>
          <t>페이지 진입</t>
        </is>
      </c>
      <c r="AB126" s="34" t="inlineStr">
        <is>
          <t>카드 스켈레톤</t>
        </is>
      </c>
      <c r="AC126" s="34" t="inlineStr">
        <is>
          <t>없음</t>
        </is>
      </c>
      <c r="AD126" s="34" t="inlineStr">
        <is>
          <t>SCR-090과 동일</t>
        </is>
      </c>
      <c r="AE126" s="34" t="inlineStr">
        <is>
          <t>GNB</t>
        </is>
      </c>
    </row>
    <row r="127">
      <c r="A127" s="33" t="inlineStr">
        <is>
          <t>SCR-090-EM</t>
        </is>
      </c>
      <c r="B127" s="33" t="inlineStr">
        <is>
          <t>쿠폰 관리 - 빈 상태</t>
        </is>
      </c>
      <c r="C127" s="33" t="inlineStr">
        <is>
          <t>Web</t>
        </is>
      </c>
      <c r="D127" s="34" t="inlineStr">
        <is>
          <t>/coupons</t>
        </is>
      </c>
      <c r="E127" s="34" t="inlineStr">
        <is>
          <t>쿠폰 0건 시</t>
        </is>
      </c>
      <c r="F127" s="34" t="inlineStr">
        <is>
          <t>(해당 없음)</t>
        </is>
      </c>
      <c r="G127" s="34" t="inlineStr">
        <is>
          <t>쿠폰 생성 바로가기</t>
        </is>
      </c>
      <c r="H127" s="34" t="n"/>
      <c r="I127" s="34" t="n"/>
      <c r="J127" s="34" t="inlineStr">
        <is>
          <t>SCR-090 (0건)</t>
        </is>
      </c>
      <c r="K127" s="34" t="n"/>
      <c r="L127" s="34" t="inlineStr">
        <is>
          <t>'등록된 쿠폰이 없습니다'</t>
        </is>
      </c>
      <c r="M127" s="34" t="n"/>
      <c r="N127" s="34" t="n"/>
      <c r="O127" s="34" t="n"/>
      <c r="P127" s="34" t="n"/>
      <c r="Q127" s="34" t="inlineStr">
        <is>
          <t>확정</t>
        </is>
      </c>
      <c r="R127" s="34" t="n"/>
      <c r="S127" s="34" t="n">
        <v>0</v>
      </c>
      <c r="T127" s="34" t="n">
        <v>1</v>
      </c>
      <c r="U127" s="34" t="n">
        <v>0</v>
      </c>
      <c r="V127" s="34" t="n"/>
      <c r="W127" s="34" t="n">
        <v>0</v>
      </c>
      <c r="X127" s="34" t="inlineStr">
        <is>
          <t>SCR-090과 동일</t>
        </is>
      </c>
      <c r="Y127" s="34" t="inlineStr">
        <is>
          <t>빈 상태 아이콘 → 안내 문구 → CTA 버튼</t>
        </is>
      </c>
      <c r="Z127" s="34" t="inlineStr">
        <is>
          <t>state (빈 상태)</t>
        </is>
      </c>
      <c r="AA127" s="34" t="inlineStr">
        <is>
          <t>쿠폰 0건</t>
        </is>
      </c>
      <c r="AB127" s="34" t="inlineStr">
        <is>
          <t>없음</t>
        </is>
      </c>
      <c r="AC127" s="34" t="inlineStr">
        <is>
          <t>'등록된 쿠폰이 없습니다'</t>
        </is>
      </c>
      <c r="AD127" s="34" t="inlineStr">
        <is>
          <t>SCR-090과 동일</t>
        </is>
      </c>
      <c r="AE127" s="34" t="inlineStr">
        <is>
          <t>GNB</t>
        </is>
      </c>
    </row>
    <row r="128">
      <c r="A128" s="33" t="inlineStr">
        <is>
          <t>SCR-090-ADD</t>
        </is>
      </c>
      <c r="B128" s="33" t="inlineStr">
        <is>
          <t>쿠폰 관리 - 쿠폰 생성 모달</t>
        </is>
      </c>
      <c r="C128" s="33" t="inlineStr">
        <is>
          <t>Web</t>
        </is>
      </c>
      <c r="D128" s="34" t="inlineStr">
        <is>
          <t>/coupons</t>
        </is>
      </c>
      <c r="E128" s="34" t="inlineStr">
        <is>
          <t>신규 쿠폰 생성 모달</t>
        </is>
      </c>
      <c r="F128" s="34" t="inlineStr">
        <is>
          <t>(해당 없음)</t>
        </is>
      </c>
      <c r="G128" s="34" t="inlineStr">
        <is>
          <t>쿠폰 타입/금액/유효기간 입력</t>
        </is>
      </c>
      <c r="H128" s="34" t="n"/>
      <c r="I128" s="34" t="n"/>
      <c r="J128" s="34" t="inlineStr">
        <is>
          <t>SCR-090 생성 클릭</t>
        </is>
      </c>
      <c r="K128" s="34" t="n"/>
      <c r="L128" s="34" t="inlineStr">
        <is>
          <t>필수 필드 에러</t>
        </is>
      </c>
      <c r="M128" s="34" t="n"/>
      <c r="N128" s="34" t="n"/>
      <c r="O128" s="34" t="n"/>
      <c r="P128" s="34" t="n"/>
      <c r="Q128" s="34" t="inlineStr">
        <is>
          <t>확정</t>
        </is>
      </c>
      <c r="R128" s="34" t="n"/>
      <c r="S128" s="34" t="n">
        <v>0</v>
      </c>
      <c r="T128" s="34" t="n">
        <v>2</v>
      </c>
      <c r="U128" s="34" t="n">
        <v>0</v>
      </c>
      <c r="V128" s="34" t="n"/>
      <c r="W128" s="34" t="n">
        <v>0</v>
      </c>
      <c r="X128" s="34" t="inlineStr">
        <is>
          <t>오버레이 모달</t>
        </is>
      </c>
      <c r="Y128" s="34" t="inlineStr">
        <is>
          <t>모달 헤더 → 입력 폼 → 하단 버튼</t>
        </is>
      </c>
      <c r="Z128" s="34" t="inlineStr">
        <is>
          <t>modal</t>
        </is>
      </c>
      <c r="AA128" s="34" t="inlineStr">
        <is>
          <t>생성 클릭</t>
        </is>
      </c>
      <c r="AB128" s="34" t="inlineStr">
        <is>
          <t>생성 중 스피너</t>
        </is>
      </c>
      <c r="AC128" s="34" t="inlineStr">
        <is>
          <t>없음</t>
        </is>
      </c>
      <c r="AD128" s="34" t="inlineStr">
        <is>
          <t>모달</t>
        </is>
      </c>
      <c r="AE128" s="34" t="inlineStr">
        <is>
          <t>오버레이</t>
        </is>
      </c>
    </row>
    <row r="129">
      <c r="A129" s="33" t="inlineStr">
        <is>
          <t>SCR-091-L</t>
        </is>
      </c>
      <c r="B129" s="33" t="inlineStr">
        <is>
          <t>마일리지 관리 - 로딩 상태</t>
        </is>
      </c>
      <c r="C129" s="33" t="inlineStr">
        <is>
          <t>Web</t>
        </is>
      </c>
      <c r="D129" s="34" t="inlineStr">
        <is>
          <t>/mileage</t>
        </is>
      </c>
      <c r="E129" s="34" t="inlineStr">
        <is>
          <t>마일리지 로딩 중</t>
        </is>
      </c>
      <c r="F129" s="34" t="inlineStr">
        <is>
          <t>(해당 없음)</t>
        </is>
      </c>
      <c r="G129" s="34" t="inlineStr">
        <is>
          <t>스켈레톤 표시</t>
        </is>
      </c>
      <c r="H129" s="34" t="n"/>
      <c r="I129" s="34" t="n"/>
      <c r="J129" s="34" t="inlineStr">
        <is>
          <t>SCR-091 진입</t>
        </is>
      </c>
      <c r="K129" s="34" t="n"/>
      <c r="L129" s="34" t="inlineStr">
        <is>
          <t>로딩 실패 에러</t>
        </is>
      </c>
      <c r="M129" s="34" t="n"/>
      <c r="N129" s="34" t="n"/>
      <c r="O129" s="34" t="n"/>
      <c r="P129" s="34" t="n"/>
      <c r="Q129" s="34" t="inlineStr">
        <is>
          <t>확정</t>
        </is>
      </c>
      <c r="R129" s="34" t="n"/>
      <c r="S129" s="34" t="n">
        <v>0</v>
      </c>
      <c r="T129" s="34" t="n">
        <v>0</v>
      </c>
      <c r="U129" s="34" t="n">
        <v>0</v>
      </c>
      <c r="V129" s="34" t="n"/>
      <c r="W129" s="34" t="n">
        <v>0</v>
      </c>
      <c r="X129" s="34" t="inlineStr">
        <is>
          <t>SCR-091과 동일 (스켈레톤)</t>
        </is>
      </c>
      <c r="Y129" s="34" t="inlineStr">
        <is>
          <t>스켈레톤 UI</t>
        </is>
      </c>
      <c r="Z129" s="34" t="inlineStr">
        <is>
          <t>state (로딩)</t>
        </is>
      </c>
      <c r="AA129" s="34" t="inlineStr">
        <is>
          <t>페이지 진입</t>
        </is>
      </c>
      <c r="AB129" s="34" t="inlineStr">
        <is>
          <t>테이블 스켈레톤</t>
        </is>
      </c>
      <c r="AC129" s="34" t="inlineStr">
        <is>
          <t>없음</t>
        </is>
      </c>
      <c r="AD129" s="34" t="inlineStr">
        <is>
          <t>SCR-091과 동일</t>
        </is>
      </c>
      <c r="AE129" s="34" t="inlineStr">
        <is>
          <t>GNB</t>
        </is>
      </c>
    </row>
    <row r="130">
      <c r="A130" s="33" t="inlineStr">
        <is>
          <t>SCR-091-EM</t>
        </is>
      </c>
      <c r="B130" s="33" t="inlineStr">
        <is>
          <t>마일리지 관리 - 빈 상태</t>
        </is>
      </c>
      <c r="C130" s="33" t="inlineStr">
        <is>
          <t>Web</t>
        </is>
      </c>
      <c r="D130" s="34" t="inlineStr">
        <is>
          <t>/mileage</t>
        </is>
      </c>
      <c r="E130" s="34" t="inlineStr">
        <is>
          <t>마일리지 이력 0건</t>
        </is>
      </c>
      <c r="F130" s="34" t="inlineStr">
        <is>
          <t>(해당 없음)</t>
        </is>
      </c>
      <c r="G130" s="34" t="inlineStr">
        <is>
          <t>없음</t>
        </is>
      </c>
      <c r="H130" s="34" t="n"/>
      <c r="I130" s="34" t="n"/>
      <c r="J130" s="34" t="inlineStr">
        <is>
          <t>SCR-091 (0건)</t>
        </is>
      </c>
      <c r="K130" s="34" t="n"/>
      <c r="L130" s="34" t="inlineStr">
        <is>
          <t>'마일리지 이력이 없습니다'</t>
        </is>
      </c>
      <c r="M130" s="34" t="n"/>
      <c r="N130" s="34" t="n"/>
      <c r="O130" s="34" t="n"/>
      <c r="P130" s="34" t="n"/>
      <c r="Q130" s="34" t="inlineStr">
        <is>
          <t>확정</t>
        </is>
      </c>
      <c r="R130" s="34" t="n"/>
      <c r="S130" s="34" t="n">
        <v>0</v>
      </c>
      <c r="T130" s="34" t="n">
        <v>1</v>
      </c>
      <c r="U130" s="34" t="n">
        <v>0</v>
      </c>
      <c r="V130" s="34" t="n"/>
      <c r="W130" s="34" t="n">
        <v>0</v>
      </c>
      <c r="X130" s="34" t="inlineStr">
        <is>
          <t>SCR-091과 동일</t>
        </is>
      </c>
      <c r="Y130" s="34" t="inlineStr">
        <is>
          <t>빈 상태 아이콘 → 안내 문구 → CTA 버튼</t>
        </is>
      </c>
      <c r="Z130" s="34" t="inlineStr">
        <is>
          <t>state (빈 상태)</t>
        </is>
      </c>
      <c r="AA130" s="34" t="inlineStr">
        <is>
          <t>이력 0건</t>
        </is>
      </c>
      <c r="AB130" s="34" t="inlineStr">
        <is>
          <t>없음</t>
        </is>
      </c>
      <c r="AC130" s="34" t="inlineStr">
        <is>
          <t>'마일리지 이력이 없습니다'</t>
        </is>
      </c>
      <c r="AD130" s="34" t="inlineStr">
        <is>
          <t>SCR-091과 동일</t>
        </is>
      </c>
      <c r="AE130" s="34" t="inlineStr">
        <is>
          <t>GNB</t>
        </is>
      </c>
    </row>
    <row r="131">
      <c r="A131" s="33" t="inlineStr">
        <is>
          <t>SCR-092-L</t>
        </is>
      </c>
      <c r="B131" s="33" t="inlineStr">
        <is>
          <t>구독 관리 - 로딩 상태</t>
        </is>
      </c>
      <c r="C131" s="33" t="inlineStr">
        <is>
          <t>Web</t>
        </is>
      </c>
      <c r="D131" s="34" t="inlineStr">
        <is>
          <t>/subscription</t>
        </is>
      </c>
      <c r="E131" s="34" t="inlineStr">
        <is>
          <t>구독 정보 로딩 중</t>
        </is>
      </c>
      <c r="F131" s="34" t="inlineStr">
        <is>
          <t>(해당 없음)</t>
        </is>
      </c>
      <c r="G131" s="34" t="inlineStr">
        <is>
          <t>스켈레톤 표시</t>
        </is>
      </c>
      <c r="H131" s="34" t="n"/>
      <c r="I131" s="34" t="n"/>
      <c r="J131" s="34" t="inlineStr">
        <is>
          <t>SCR-092 진입</t>
        </is>
      </c>
      <c r="K131" s="34" t="n"/>
      <c r="L131" s="34" t="inlineStr">
        <is>
          <t>로딩 실패 에러</t>
        </is>
      </c>
      <c r="M131" s="34" t="n"/>
      <c r="N131" s="34" t="n"/>
      <c r="O131" s="34" t="n"/>
      <c r="P131" s="34" t="n"/>
      <c r="Q131" s="34" t="inlineStr">
        <is>
          <t>확정</t>
        </is>
      </c>
      <c r="R131" s="34" t="n"/>
      <c r="S131" s="34" t="n">
        <v>0</v>
      </c>
      <c r="T131" s="34" t="n">
        <v>0</v>
      </c>
      <c r="U131" s="34" t="n">
        <v>0</v>
      </c>
      <c r="V131" s="34" t="n"/>
      <c r="W131" s="34" t="n">
        <v>0</v>
      </c>
      <c r="X131" s="34" t="inlineStr">
        <is>
          <t>SCR-092와 동일 (스켈레톤)</t>
        </is>
      </c>
      <c r="Y131" s="34" t="inlineStr">
        <is>
          <t>스켈레톤 UI</t>
        </is>
      </c>
      <c r="Z131" s="34" t="inlineStr">
        <is>
          <t>state (로딩)</t>
        </is>
      </c>
      <c r="AA131" s="34" t="inlineStr">
        <is>
          <t>페이지 진입</t>
        </is>
      </c>
      <c r="AB131" s="34" t="inlineStr">
        <is>
          <t>구독 카드 스켈레톤</t>
        </is>
      </c>
      <c r="AC131" s="34" t="inlineStr">
        <is>
          <t>없음</t>
        </is>
      </c>
      <c r="AD131" s="34" t="inlineStr">
        <is>
          <t>SCR-092와 동일</t>
        </is>
      </c>
      <c r="AE131" s="34" t="inlineStr">
        <is>
          <t>GNB</t>
        </is>
      </c>
    </row>
    <row r="132">
      <c r="A132" s="33" t="inlineStr">
        <is>
          <t>SCR-093-L</t>
        </is>
      </c>
      <c r="B132" s="33" t="inlineStr">
        <is>
          <t>RFID 관리 - 로딩 상태</t>
        </is>
      </c>
      <c r="C132" s="33" t="inlineStr">
        <is>
          <t>Web</t>
        </is>
      </c>
      <c r="D132" s="34" t="inlineStr">
        <is>
          <t>/rfid</t>
        </is>
      </c>
      <c r="E132" s="34" t="inlineStr">
        <is>
          <t>RFID 카드 목록 로딩 중</t>
        </is>
      </c>
      <c r="F132" s="34" t="inlineStr">
        <is>
          <t>(해당 없음)</t>
        </is>
      </c>
      <c r="G132" s="34" t="inlineStr">
        <is>
          <t>스켈레톤 표시</t>
        </is>
      </c>
      <c r="H132" s="34" t="n"/>
      <c r="I132" s="34" t="n"/>
      <c r="J132" s="34" t="inlineStr">
        <is>
          <t>SCR-093 진입</t>
        </is>
      </c>
      <c r="K132" s="34" t="n"/>
      <c r="L132" s="34" t="inlineStr">
        <is>
          <t>로딩 실패 에러</t>
        </is>
      </c>
      <c r="M132" s="34" t="n"/>
      <c r="N132" s="34" t="n"/>
      <c r="O132" s="34" t="n"/>
      <c r="P132" s="34" t="n"/>
      <c r="Q132" s="34" t="inlineStr">
        <is>
          <t>확정</t>
        </is>
      </c>
      <c r="R132" s="34" t="n"/>
      <c r="S132" s="34" t="n">
        <v>0</v>
      </c>
      <c r="T132" s="34" t="n">
        <v>0</v>
      </c>
      <c r="U132" s="34" t="n">
        <v>0</v>
      </c>
      <c r="V132" s="34" t="n"/>
      <c r="W132" s="34" t="n">
        <v>0</v>
      </c>
      <c r="X132" s="34" t="inlineStr">
        <is>
          <t>SCR-093과 동일 (스켈레톤)</t>
        </is>
      </c>
      <c r="Y132" s="34" t="inlineStr">
        <is>
          <t>스켈레톤 UI</t>
        </is>
      </c>
      <c r="Z132" s="34" t="inlineStr">
        <is>
          <t>state (로딩)</t>
        </is>
      </c>
      <c r="AA132" s="34" t="inlineStr">
        <is>
          <t>페이지 진입</t>
        </is>
      </c>
      <c r="AB132" s="34" t="inlineStr">
        <is>
          <t>테이블 스켈레톤</t>
        </is>
      </c>
      <c r="AC132" s="34" t="inlineStr">
        <is>
          <t>없음</t>
        </is>
      </c>
      <c r="AD132" s="34" t="inlineStr">
        <is>
          <t>SCR-093과 동일</t>
        </is>
      </c>
      <c r="AE132" s="34" t="inlineStr">
        <is>
          <t>GNB</t>
        </is>
      </c>
    </row>
    <row r="133">
      <c r="A133" s="33" t="inlineStr">
        <is>
          <t>SCR-093-EM</t>
        </is>
      </c>
      <c r="B133" s="33" t="inlineStr">
        <is>
          <t>RFID 관리 - 빈 상태</t>
        </is>
      </c>
      <c r="C133" s="33" t="inlineStr">
        <is>
          <t>Web</t>
        </is>
      </c>
      <c r="D133" s="34" t="inlineStr">
        <is>
          <t>/rfid</t>
        </is>
      </c>
      <c r="E133" s="34" t="inlineStr">
        <is>
          <t>RFID 카드 0건</t>
        </is>
      </c>
      <c r="F133" s="34" t="inlineStr">
        <is>
          <t>(해당 없음)</t>
        </is>
      </c>
      <c r="G133" s="34" t="inlineStr">
        <is>
          <t>RFID 등록 안내</t>
        </is>
      </c>
      <c r="H133" s="34" t="n"/>
      <c r="I133" s="34" t="n"/>
      <c r="J133" s="34" t="inlineStr">
        <is>
          <t>SCR-093 (0건)</t>
        </is>
      </c>
      <c r="K133" s="34" t="n"/>
      <c r="L133" s="34" t="inlineStr">
        <is>
          <t>'등록된 RFID 카드가 없습니다'</t>
        </is>
      </c>
      <c r="M133" s="34" t="n"/>
      <c r="N133" s="34" t="n"/>
      <c r="O133" s="34" t="n"/>
      <c r="P133" s="34" t="n"/>
      <c r="Q133" s="34" t="inlineStr">
        <is>
          <t>확정</t>
        </is>
      </c>
      <c r="R133" s="34" t="n"/>
      <c r="S133" s="34" t="n">
        <v>0</v>
      </c>
      <c r="T133" s="34" t="n">
        <v>1</v>
      </c>
      <c r="U133" s="34" t="n">
        <v>0</v>
      </c>
      <c r="V133" s="34" t="n"/>
      <c r="W133" s="34" t="n">
        <v>0</v>
      </c>
      <c r="X133" s="34" t="inlineStr">
        <is>
          <t>SCR-093과 동일</t>
        </is>
      </c>
      <c r="Y133" s="34" t="inlineStr">
        <is>
          <t>빈 상태 아이콘 → 안내 문구 → CTA 버튼</t>
        </is>
      </c>
      <c r="Z133" s="34" t="inlineStr">
        <is>
          <t>state (빈 상태)</t>
        </is>
      </c>
      <c r="AA133" s="34" t="inlineStr">
        <is>
          <t>RFID 0건</t>
        </is>
      </c>
      <c r="AB133" s="34" t="inlineStr">
        <is>
          <t>없음</t>
        </is>
      </c>
      <c r="AC133" s="34" t="inlineStr">
        <is>
          <t>'등록된 RFID 카드가 없습니다'</t>
        </is>
      </c>
      <c r="AD133" s="34" t="inlineStr">
        <is>
          <t>SCR-093과 동일</t>
        </is>
      </c>
      <c r="AE133" s="34" t="inlineStr">
        <is>
          <t>GNB</t>
        </is>
      </c>
    </row>
    <row r="134">
      <c r="A134" s="33" t="inlineStr">
        <is>
          <t>SCR-094-L</t>
        </is>
      </c>
      <c r="B134" s="33" t="inlineStr">
        <is>
          <t>키오스크 설정 - 로딩 상태</t>
        </is>
      </c>
      <c r="C134" s="33" t="inlineStr">
        <is>
          <t>Web</t>
        </is>
      </c>
      <c r="D134" s="34" t="inlineStr">
        <is>
          <t>/kiosk</t>
        </is>
      </c>
      <c r="E134" s="34" t="inlineStr">
        <is>
          <t>키오스크 설정 로딩 중</t>
        </is>
      </c>
      <c r="F134" s="34" t="inlineStr">
        <is>
          <t>(해당 없음)</t>
        </is>
      </c>
      <c r="G134" s="34" t="inlineStr">
        <is>
          <t>스켈레톤 표시</t>
        </is>
      </c>
      <c r="H134" s="34" t="n"/>
      <c r="I134" s="34" t="n"/>
      <c r="J134" s="34" t="inlineStr">
        <is>
          <t>SCR-094 진입</t>
        </is>
      </c>
      <c r="K134" s="34" t="n"/>
      <c r="L134" s="34" t="inlineStr">
        <is>
          <t>로딩 실패 에러</t>
        </is>
      </c>
      <c r="M134" s="34" t="n"/>
      <c r="N134" s="34" t="n"/>
      <c r="O134" s="34" t="n"/>
      <c r="P134" s="34" t="n"/>
      <c r="Q134" s="34" t="inlineStr">
        <is>
          <t>확정</t>
        </is>
      </c>
      <c r="R134" s="34" t="n"/>
      <c r="S134" s="34" t="n">
        <v>0</v>
      </c>
      <c r="T134" s="34" t="n">
        <v>0</v>
      </c>
      <c r="U134" s="34" t="n">
        <v>0</v>
      </c>
      <c r="V134" s="34" t="n"/>
      <c r="W134" s="34" t="n">
        <v>0</v>
      </c>
      <c r="X134" s="34" t="inlineStr">
        <is>
          <t>SCR-094와 동일 (스켈레톤)</t>
        </is>
      </c>
      <c r="Y134" s="34" t="inlineStr">
        <is>
          <t>스켈레톤 UI</t>
        </is>
      </c>
      <c r="Z134" s="34" t="inlineStr">
        <is>
          <t>state (로딩)</t>
        </is>
      </c>
      <c r="AA134" s="34" t="inlineStr">
        <is>
          <t>페이지 진입</t>
        </is>
      </c>
      <c r="AB134" s="34" t="inlineStr">
        <is>
          <t>설정 스켈레톤</t>
        </is>
      </c>
      <c r="AC134" s="34" t="inlineStr">
        <is>
          <t>없음</t>
        </is>
      </c>
      <c r="AD134" s="34" t="inlineStr">
        <is>
          <t>SCR-094와 동일</t>
        </is>
      </c>
      <c r="AE134" s="34" t="inlineStr">
        <is>
          <t>GNB</t>
        </is>
      </c>
    </row>
    <row r="135">
      <c r="A135" s="33" t="inlineStr">
        <is>
          <t>SCR-CMN-SIDEBAR</t>
        </is>
      </c>
      <c r="B135" s="33" t="inlineStr">
        <is>
          <t>공통 - 사이드바</t>
        </is>
      </c>
      <c r="C135" s="33" t="inlineStr">
        <is>
          <t>Web</t>
        </is>
      </c>
      <c r="D135" s="34" t="inlineStr">
        <is>
          <t>모든 페이지</t>
        </is>
      </c>
      <c r="E135" s="34" t="inlineStr">
        <is>
          <t>GNB 사이드바. 메뉴 네비게이션 + 사용자 정보 + 로그아웃</t>
        </is>
      </c>
      <c r="F135" s="34" t="inlineStr">
        <is>
          <t>(해당 없음)</t>
        </is>
      </c>
      <c r="G135" s="34" t="inlineStr">
        <is>
          <t>메뉴 클릭 이동, 접기/펼치기, 로그아웃</t>
        </is>
      </c>
      <c r="H135" s="34" t="n"/>
      <c r="I135" s="34" t="n"/>
      <c r="J135" s="34" t="inlineStr">
        <is>
          <t>로그인 후 모든 페이지</t>
        </is>
      </c>
      <c r="K135" s="34" t="n"/>
      <c r="L135" s="34" t="inlineStr">
        <is>
          <t>로그아웃 실패 시 에러 toast</t>
        </is>
      </c>
      <c r="M135" s="34" t="n"/>
      <c r="N135" s="34" t="n"/>
      <c r="O135" s="34" t="n"/>
      <c r="P135" s="34" t="n"/>
      <c r="Q135" s="34" t="inlineStr">
        <is>
          <t>확정</t>
        </is>
      </c>
      <c r="R135" s="34" t="n"/>
      <c r="S135" s="34" t="n">
        <v>0</v>
      </c>
      <c r="T135" s="34" t="n">
        <v>4</v>
      </c>
      <c r="U135" s="34" t="n">
        <v>0</v>
      </c>
      <c r="V135" s="34" t="n"/>
      <c r="W135" s="34" t="n">
        <v>0</v>
      </c>
      <c r="X135" s="34" t="inlineStr">
        <is>
          <t>좌측 고정 사이드바 (240px → 60px 접기)</t>
        </is>
      </c>
      <c r="Y135" s="34" t="inlineStr">
        <is>
          <t>페이지 헤더 → 메인 콘텐츠 → 하단 액션</t>
        </is>
      </c>
      <c r="Z135" s="34" t="inlineStr">
        <is>
          <t>component</t>
        </is>
      </c>
      <c r="AA135" s="34" t="inlineStr">
        <is>
          <t>로그인 후</t>
        </is>
      </c>
      <c r="AB135" s="34" t="inlineStr">
        <is>
          <t>없음</t>
        </is>
      </c>
      <c r="AC135" s="34" t="inlineStr">
        <is>
          <t>없음</t>
        </is>
      </c>
      <c r="AD135" s="34" t="inlineStr">
        <is>
          <t>≥1024px 고정, &lt;1024px 오버레이</t>
        </is>
      </c>
      <c r="AE135" s="34" t="inlineStr">
        <is>
          <t>좌측 고정</t>
        </is>
      </c>
    </row>
    <row r="136">
      <c r="A136" s="33" t="inlineStr">
        <is>
          <t>SCR-CMN-SIDEBAR-M</t>
        </is>
      </c>
      <c r="B136" s="33" t="inlineStr">
        <is>
          <t>공통 - 사이드바 모바일</t>
        </is>
      </c>
      <c r="C136" s="33" t="inlineStr">
        <is>
          <t>Mobile</t>
        </is>
      </c>
      <c r="D136" s="34" t="inlineStr">
        <is>
          <t>모든 페이지</t>
        </is>
      </c>
      <c r="E136" s="34" t="inlineStr">
        <is>
          <t>모바일 사이드바. 햄버거 메뉴 → 슬라이드 오버레이</t>
        </is>
      </c>
      <c r="F136" s="34" t="inlineStr">
        <is>
          <t>(해당 없음)</t>
        </is>
      </c>
      <c r="G136" s="34" t="inlineStr">
        <is>
          <t>햄버거 클릭 열기, 바깥 클릭 닫기, 스와이프 닫기</t>
        </is>
      </c>
      <c r="H136" s="34" t="n"/>
      <c r="I136" s="34" t="inlineStr">
        <is>
          <t>스와이프 닫기</t>
        </is>
      </c>
      <c r="J136" s="34" t="inlineStr">
        <is>
          <t>햄버거 아이콘 클릭</t>
        </is>
      </c>
      <c r="K136" s="34" t="n"/>
      <c r="L136" s="34" t="inlineStr">
        <is>
          <t>SCR-CMN-SIDEBAR와 동일</t>
        </is>
      </c>
      <c r="M136" s="34" t="inlineStr">
        <is>
          <t>터치 44px</t>
        </is>
      </c>
      <c r="N136" s="34" t="inlineStr">
        <is>
          <t>&lt;768px</t>
        </is>
      </c>
      <c r="O136" s="34" t="n"/>
      <c r="P136" s="34" t="n"/>
      <c r="Q136" s="34" t="inlineStr">
        <is>
          <t>확정</t>
        </is>
      </c>
      <c r="R136" s="34" t="n"/>
      <c r="S136" s="34" t="n">
        <v>0</v>
      </c>
      <c r="T136" s="34" t="n">
        <v>1</v>
      </c>
      <c r="U136" s="34" t="n">
        <v>0</v>
      </c>
      <c r="V136" s="34" t="n"/>
      <c r="W136" s="34" t="n">
        <v>0</v>
      </c>
      <c r="X136" s="34" t="inlineStr">
        <is>
          <t>슬라이드 오버레이 (좌측에서)</t>
        </is>
      </c>
      <c r="Y136" s="34" t="inlineStr">
        <is>
          <t>페이지 헤더 → 메인 콘텐츠 → 하단 액션</t>
        </is>
      </c>
      <c r="Z136" s="34" t="inlineStr">
        <is>
          <t>component (모바일)</t>
        </is>
      </c>
      <c r="AA136" s="34" t="inlineStr">
        <is>
          <t>햄버거 클릭</t>
        </is>
      </c>
      <c r="AB136" s="34" t="inlineStr">
        <is>
          <t>없음</t>
        </is>
      </c>
      <c r="AC136" s="34" t="inlineStr">
        <is>
          <t>없음</t>
        </is>
      </c>
      <c r="AD136" s="34" t="inlineStr">
        <is>
          <t>오버레이 슬라이드</t>
        </is>
      </c>
      <c r="AE136" s="34" t="inlineStr">
        <is>
          <t>없음</t>
        </is>
      </c>
    </row>
    <row r="137">
      <c r="A137" s="33" t="inlineStr">
        <is>
          <t>SCR-CMN-HEADER</t>
        </is>
      </c>
      <c r="B137" s="33" t="inlineStr">
        <is>
          <t>공통 - 페이지 헤더</t>
        </is>
      </c>
      <c r="C137" s="33" t="inlineStr">
        <is>
          <t>Web</t>
        </is>
      </c>
      <c r="D137" s="34" t="inlineStr">
        <is>
          <t>모든 페이지</t>
        </is>
      </c>
      <c r="E137" s="34" t="inlineStr">
        <is>
          <t>페이지 상단 헤더. 제목 + 설명 + 액션 버튼</t>
        </is>
      </c>
      <c r="F137" s="34" t="inlineStr">
        <is>
          <t>(해당 없음)</t>
        </is>
      </c>
      <c r="G137" s="34" t="inlineStr">
        <is>
          <t>액션 버튼 클릭</t>
        </is>
      </c>
      <c r="H137" s="34" t="n"/>
      <c r="I137" s="34" t="n"/>
      <c r="J137" s="34" t="inlineStr">
        <is>
          <t>모든 페이지</t>
        </is>
      </c>
      <c r="K137" s="34" t="n"/>
      <c r="L137" s="34" t="inlineStr">
        <is>
          <t>없음</t>
        </is>
      </c>
      <c r="M137" s="34" t="n"/>
      <c r="N137" s="34" t="n"/>
      <c r="O137" s="34" t="n"/>
      <c r="P137" s="34" t="n"/>
      <c r="Q137" s="34" t="inlineStr">
        <is>
          <t>확정</t>
        </is>
      </c>
      <c r="R137" s="34" t="n"/>
      <c r="S137" s="34" t="n">
        <v>0</v>
      </c>
      <c r="T137" s="34" t="n">
        <v>0</v>
      </c>
      <c r="U137" s="34" t="n">
        <v>0</v>
      </c>
      <c r="V137" s="34" t="n"/>
      <c r="W137" s="34" t="n">
        <v>0</v>
      </c>
      <c r="X137" s="34" t="inlineStr">
        <is>
          <t>상단 고정 헤더 (제목 + 버튼)</t>
        </is>
      </c>
      <c r="Y137" s="34" t="inlineStr">
        <is>
          <t>페이지 헤더 → 메인 콘텐츠 → 하단 액션</t>
        </is>
      </c>
      <c r="Z137" s="34" t="inlineStr">
        <is>
          <t>component</t>
        </is>
      </c>
      <c r="AA137" s="34" t="inlineStr">
        <is>
          <t>페이지 진입</t>
        </is>
      </c>
      <c r="AB137" s="34" t="inlineStr">
        <is>
          <t>없음</t>
        </is>
      </c>
      <c r="AC137" s="34" t="inlineStr">
        <is>
          <t>없음</t>
        </is>
      </c>
      <c r="AD137" s="34" t="inlineStr">
        <is>
          <t>반응형</t>
        </is>
      </c>
      <c r="AE137" s="34" t="inlineStr">
        <is>
          <t>상단 고정</t>
        </is>
      </c>
    </row>
    <row r="138">
      <c r="A138" s="33" t="inlineStr">
        <is>
          <t>SCR-CMN-TABLE</t>
        </is>
      </c>
      <c r="B138" s="33" t="inlineStr">
        <is>
          <t>공통 - DataTable</t>
        </is>
      </c>
      <c r="C138" s="33" t="inlineStr">
        <is>
          <t>Web</t>
        </is>
      </c>
      <c r="D138" s="34" t="inlineStr">
        <is>
          <t>목록 페이지</t>
        </is>
      </c>
      <c r="E138" s="34" t="inlineStr">
        <is>
          <t>공통 테이블 컴포넌트. 정렬/페이지네이션/선택/가로스크롤</t>
        </is>
      </c>
      <c r="F138" s="34" t="inlineStr">
        <is>
          <t>(해당 없음)</t>
        </is>
      </c>
      <c r="G138" s="34" t="inlineStr">
        <is>
          <t>컬럼 정렬, 행 클릭, 체크박스 선택, 페이지 이동</t>
        </is>
      </c>
      <c r="H138" s="34" t="n"/>
      <c r="I138" s="34" t="n"/>
      <c r="J138" s="34" t="inlineStr">
        <is>
          <t>목록 페이지</t>
        </is>
      </c>
      <c r="K138" s="34" t="n"/>
      <c r="L138" s="34" t="inlineStr">
        <is>
          <t>데이터 없음: EmptyState</t>
        </is>
      </c>
      <c r="M138" s="34" t="n"/>
      <c r="N138" s="34" t="n"/>
      <c r="O138" s="34" t="n"/>
      <c r="P138" s="34" t="n"/>
      <c r="Q138" s="34" t="inlineStr">
        <is>
          <t>확정</t>
        </is>
      </c>
      <c r="R138" s="34" t="n"/>
      <c r="S138" s="34" t="n">
        <v>0</v>
      </c>
      <c r="T138" s="34" t="n">
        <v>2</v>
      </c>
      <c r="U138" s="34" t="n">
        <v>0</v>
      </c>
      <c r="V138" s="34" t="n"/>
      <c r="W138" s="34" t="n">
        <v>0</v>
      </c>
      <c r="X138" s="34" t="inlineStr">
        <is>
          <t>테이블 + 페이지네이션 하단</t>
        </is>
      </c>
      <c r="Y138" s="34" t="inlineStr">
        <is>
          <t>페이지 헤더 → 메인 콘텐츠 → 하단 액션</t>
        </is>
      </c>
      <c r="Z138" s="34" t="inlineStr">
        <is>
          <t>component</t>
        </is>
      </c>
      <c r="AA138" s="34" t="inlineStr">
        <is>
          <t>목록 페이지</t>
        </is>
      </c>
      <c r="AB138" s="34" t="inlineStr">
        <is>
          <t>행 스켈레톤</t>
        </is>
      </c>
      <c r="AC138" s="34" t="inlineStr">
        <is>
          <t>데이터 없음: '데이터가 없습니다'</t>
        </is>
      </c>
      <c r="AD138" s="34" t="inlineStr">
        <is>
          <t>좁은 화면 가로스크롤</t>
        </is>
      </c>
      <c r="AE138" s="34" t="inlineStr">
        <is>
          <t>없음</t>
        </is>
      </c>
    </row>
    <row r="139">
      <c r="A139" s="33" t="inlineStr">
        <is>
          <t>SCR-CMN-TOAST</t>
        </is>
      </c>
      <c r="B139" s="33" t="inlineStr">
        <is>
          <t>공통 - Toast 알림</t>
        </is>
      </c>
      <c r="C139" s="33" t="inlineStr">
        <is>
          <t>Web</t>
        </is>
      </c>
      <c r="D139" s="34" t="inlineStr">
        <is>
          <t>모든 페이지</t>
        </is>
      </c>
      <c r="E139" s="34" t="inlineStr">
        <is>
          <t>sonner Toast 알림. 성공/에러/경고/정보 4가지 유형</t>
        </is>
      </c>
      <c r="F139" s="34" t="inlineStr">
        <is>
          <t>(해당 없음)</t>
        </is>
      </c>
      <c r="G139" s="34" t="inlineStr">
        <is>
          <t>3초 후 자동 닫힘, 클릭 닫기</t>
        </is>
      </c>
      <c r="H139" s="34" t="n"/>
      <c r="I139" s="34" t="n"/>
      <c r="J139" s="34" t="inlineStr">
        <is>
          <t>API 응답 후</t>
        </is>
      </c>
      <c r="K139" s="34" t="n"/>
      <c r="L139" s="34" t="inlineStr">
        <is>
          <t>없음</t>
        </is>
      </c>
      <c r="M139" s="34" t="n"/>
      <c r="N139" s="34" t="n"/>
      <c r="O139" s="34" t="n"/>
      <c r="P139" s="34" t="n"/>
      <c r="Q139" s="34" t="inlineStr">
        <is>
          <t>확정</t>
        </is>
      </c>
      <c r="R139" s="34" t="n"/>
      <c r="S139" s="34" t="n">
        <v>0</v>
      </c>
      <c r="T139" s="34" t="n">
        <v>4</v>
      </c>
      <c r="U139" s="34" t="n">
        <v>0</v>
      </c>
      <c r="V139" s="34" t="n"/>
      <c r="W139" s="34" t="n">
        <v>0</v>
      </c>
      <c r="X139" s="34" t="inlineStr">
        <is>
          <t>우측 상단 고정</t>
        </is>
      </c>
      <c r="Y139" s="34" t="inlineStr">
        <is>
          <t>페이지 헤더 → 메인 콘텐츠 → 하단 액션</t>
        </is>
      </c>
      <c r="Z139" s="34" t="inlineStr">
        <is>
          <t>component</t>
        </is>
      </c>
      <c r="AA139" s="34" t="inlineStr">
        <is>
          <t>API 호출 후</t>
        </is>
      </c>
      <c r="AB139" s="34" t="inlineStr">
        <is>
          <t>없음</t>
        </is>
      </c>
      <c r="AC139" s="34" t="inlineStr">
        <is>
          <t>없음</t>
        </is>
      </c>
      <c r="AD139" s="34" t="inlineStr">
        <is>
          <t>우측 상단 고정</t>
        </is>
      </c>
      <c r="AE139" s="34" t="inlineStr">
        <is>
          <t>우측 상단</t>
        </is>
      </c>
    </row>
    <row r="140">
      <c r="A140" s="33" t="inlineStr">
        <is>
          <t>SCR-CMN-EMPTY</t>
        </is>
      </c>
      <c r="B140" s="33" t="inlineStr">
        <is>
          <t>공통 - EmptyState</t>
        </is>
      </c>
      <c r="C140" s="33" t="inlineStr">
        <is>
          <t>Web</t>
        </is>
      </c>
      <c r="D140" s="34" t="inlineStr">
        <is>
          <t>모든 페이지</t>
        </is>
      </c>
      <c r="E140" s="34" t="inlineStr">
        <is>
          <t>데이터 없음 빈 상태 컴포넌트. 아이콘 + 메시지 + CTA 버튼</t>
        </is>
      </c>
      <c r="F140" s="34" t="inlineStr">
        <is>
          <t>(해당 없음)</t>
        </is>
      </c>
      <c r="G140" s="34" t="inlineStr">
        <is>
          <t>CTA 버튼 클릭</t>
        </is>
      </c>
      <c r="H140" s="34" t="n"/>
      <c r="I140" s="34" t="n"/>
      <c r="J140" s="34" t="inlineStr">
        <is>
          <t>데이터 0건</t>
        </is>
      </c>
      <c r="K140" s="34" t="n"/>
      <c r="L140" s="34" t="inlineStr">
        <is>
          <t>없음</t>
        </is>
      </c>
      <c r="M140" s="34" t="n"/>
      <c r="N140" s="34" t="n"/>
      <c r="O140" s="34" t="n"/>
      <c r="P140" s="34" t="n"/>
      <c r="Q140" s="34" t="inlineStr">
        <is>
          <t>확정</t>
        </is>
      </c>
      <c r="R140" s="34" t="n"/>
      <c r="S140" s="34" t="n">
        <v>0</v>
      </c>
      <c r="T140" s="34" t="n">
        <v>1</v>
      </c>
      <c r="U140" s="34" t="n">
        <v>0</v>
      </c>
      <c r="V140" s="34" t="n"/>
      <c r="W140" s="34" t="n">
        <v>0</v>
      </c>
      <c r="X140" s="34" t="inlineStr">
        <is>
          <t>중앙 정렬 (아이콘 + 텍스트 + 버튼)</t>
        </is>
      </c>
      <c r="Y140" s="34" t="inlineStr">
        <is>
          <t>페이지 헤더 → 메인 콘텐츠 → 하단 액션</t>
        </is>
      </c>
      <c r="Z140" s="34" t="inlineStr">
        <is>
          <t>component</t>
        </is>
      </c>
      <c r="AA140" s="34" t="inlineStr">
        <is>
          <t>데이터 0건</t>
        </is>
      </c>
      <c r="AB140" s="34" t="inlineStr">
        <is>
          <t>없음</t>
        </is>
      </c>
      <c r="AC140" s="34" t="inlineStr">
        <is>
          <t>없음</t>
        </is>
      </c>
      <c r="AD140" s="34" t="inlineStr">
        <is>
          <t>반응형 (텍스트 축소)</t>
        </is>
      </c>
      <c r="AE140" s="34" t="inlineStr">
        <is>
          <t>없음</t>
        </is>
      </c>
    </row>
    <row r="141">
      <c r="A141" s="33" t="inlineStr">
        <is>
          <t>SCR-CMN-CONFIRM</t>
        </is>
      </c>
      <c r="B141" s="33" t="inlineStr">
        <is>
          <t>공통 - 확인 다이얼로그</t>
        </is>
      </c>
      <c r="C141" s="33" t="inlineStr">
        <is>
          <t>Web</t>
        </is>
      </c>
      <c r="D141" s="34" t="inlineStr">
        <is>
          <t>모든 페이지</t>
        </is>
      </c>
      <c r="E141" s="34" t="inlineStr">
        <is>
          <t>삭제/처리 확인 AlertDialog. 제목 + 메시지 + 확인/취소</t>
        </is>
      </c>
      <c r="F141" s="34" t="inlineStr">
        <is>
          <t>(해당 없음)</t>
        </is>
      </c>
      <c r="G141" s="34" t="inlineStr">
        <is>
          <t>확인/취소 클릭, ESC 닫기</t>
        </is>
      </c>
      <c r="H141" s="34" t="n"/>
      <c r="I141" s="34" t="n"/>
      <c r="J141" s="34" t="inlineStr">
        <is>
          <t>삭제/처리 버튼 클릭</t>
        </is>
      </c>
      <c r="K141" s="34" t="n"/>
      <c r="L141" s="34" t="inlineStr">
        <is>
          <t>없음</t>
        </is>
      </c>
      <c r="M141" s="34" t="n"/>
      <c r="N141" s="34" t="n"/>
      <c r="O141" s="34" t="n"/>
      <c r="P141" s="34" t="n"/>
      <c r="Q141" s="34" t="inlineStr">
        <is>
          <t>확정</t>
        </is>
      </c>
      <c r="R141" s="34" t="n"/>
      <c r="S141" s="34" t="n">
        <v>0</v>
      </c>
      <c r="T141" s="34" t="n">
        <v>1</v>
      </c>
      <c r="U141" s="34" t="n">
        <v>0</v>
      </c>
      <c r="V141" s="34" t="n"/>
      <c r="W141" s="34" t="n">
        <v>0</v>
      </c>
      <c r="X141" s="34" t="inlineStr">
        <is>
          <t>AlertDialog 중앙</t>
        </is>
      </c>
      <c r="Y141" s="34" t="inlineStr">
        <is>
          <t>페이지 헤더 → 메인 콘텐츠 → 하단 액션</t>
        </is>
      </c>
      <c r="Z141" s="34" t="inlineStr">
        <is>
          <t>component</t>
        </is>
      </c>
      <c r="AA141" s="34" t="inlineStr">
        <is>
          <t>삭제/처리 버튼</t>
        </is>
      </c>
      <c r="AB141" s="34" t="inlineStr">
        <is>
          <t>없음</t>
        </is>
      </c>
      <c r="AC141" s="34" t="inlineStr">
        <is>
          <t>없음</t>
        </is>
      </c>
      <c r="AD141" s="34" t="inlineStr">
        <is>
          <t>고정 너비</t>
        </is>
      </c>
      <c r="AE141" s="34" t="inlineStr">
        <is>
          <t>오버레이</t>
        </is>
      </c>
    </row>
    <row r="142">
      <c r="A142" s="33" t="inlineStr">
        <is>
          <t>SCR-CMN-LOADING</t>
        </is>
      </c>
      <c r="B142" s="33" t="inlineStr">
        <is>
          <t>공통 - 전체 로딩</t>
        </is>
      </c>
      <c r="C142" s="33" t="inlineStr">
        <is>
          <t>Web</t>
        </is>
      </c>
      <c r="D142" s="34" t="inlineStr">
        <is>
          <t>모든 페이지</t>
        </is>
      </c>
      <c r="E142" s="34" t="inlineStr">
        <is>
          <t>페이지 전체 로딩 오버레이 (페이지 전환 시)</t>
        </is>
      </c>
      <c r="F142" s="34" t="inlineStr">
        <is>
          <t>(해당 없음)</t>
        </is>
      </c>
      <c r="G142" s="34" t="inlineStr">
        <is>
          <t>없음 (자동)</t>
        </is>
      </c>
      <c r="H142" s="34" t="n"/>
      <c r="I142" s="34" t="n"/>
      <c r="J142" s="34" t="inlineStr">
        <is>
          <t>페이지 전환 시</t>
        </is>
      </c>
      <c r="K142" s="34" t="n"/>
      <c r="L142" s="34" t="inlineStr">
        <is>
          <t>없음</t>
        </is>
      </c>
      <c r="M142" s="34" t="n"/>
      <c r="N142" s="34" t="n"/>
      <c r="O142" s="34" t="n"/>
      <c r="P142" s="34" t="n"/>
      <c r="Q142" s="34" t="inlineStr">
        <is>
          <t>확정</t>
        </is>
      </c>
      <c r="R142" s="34" t="n"/>
      <c r="S142" s="34" t="n">
        <v>0</v>
      </c>
      <c r="T142" s="34" t="n">
        <v>0</v>
      </c>
      <c r="U142" s="34" t="n">
        <v>0</v>
      </c>
      <c r="V142" s="34" t="n"/>
      <c r="W142" s="34" t="n">
        <v>0</v>
      </c>
      <c r="X142" s="34" t="inlineStr">
        <is>
          <t>풀스크린 오버레이 + 중앙 스피너</t>
        </is>
      </c>
      <c r="Y142" s="34" t="inlineStr">
        <is>
          <t>스켈레톤 UI</t>
        </is>
      </c>
      <c r="Z142" s="34" t="inlineStr">
        <is>
          <t>component</t>
        </is>
      </c>
      <c r="AA142" s="34" t="inlineStr">
        <is>
          <t>페이지 전환</t>
        </is>
      </c>
      <c r="AB142" s="34" t="inlineStr">
        <is>
          <t>풀스크린 스피너</t>
        </is>
      </c>
      <c r="AC142" s="34" t="inlineStr">
        <is>
          <t>없음</t>
        </is>
      </c>
      <c r="AD142" s="34" t="inlineStr">
        <is>
          <t>풀스크린</t>
        </is>
      </c>
      <c r="AE142" s="34" t="inlineStr">
        <is>
          <t>오버레이</t>
        </is>
      </c>
    </row>
    <row r="143">
      <c r="A143" s="33" t="inlineStr">
        <is>
          <t>SCR-AUTO-L</t>
        </is>
      </c>
      <c r="B143" s="33" t="inlineStr">
        <is>
          <t>자동알림 설정 - 로딩 상태</t>
        </is>
      </c>
      <c r="C143" s="33" t="inlineStr">
        <is>
          <t>Web</t>
        </is>
      </c>
      <c r="D143" s="34" t="inlineStr">
        <is>
          <t>/auto-alarm</t>
        </is>
      </c>
      <c r="E143" s="34" t="inlineStr">
        <is>
          <t>자동알림 설정 로딩 중</t>
        </is>
      </c>
      <c r="F143" s="34" t="inlineStr">
        <is>
          <t>(해당 없음)</t>
        </is>
      </c>
      <c r="G143" s="34" t="inlineStr">
        <is>
          <t>스켈레톤 표시</t>
        </is>
      </c>
      <c r="H143" s="34" t="n"/>
      <c r="I143" s="34" t="n"/>
      <c r="J143" s="34" t="inlineStr">
        <is>
          <t>설정 메뉴</t>
        </is>
      </c>
      <c r="K143" s="34" t="n"/>
      <c r="L143" s="34" t="inlineStr">
        <is>
          <t>로딩 실패 에러</t>
        </is>
      </c>
      <c r="M143" s="34" t="n"/>
      <c r="N143" s="34" t="n"/>
      <c r="O143" s="34" t="n"/>
      <c r="P143" s="34" t="n"/>
      <c r="Q143" s="34" t="inlineStr">
        <is>
          <t>확정</t>
        </is>
      </c>
      <c r="R143" s="34" t="n"/>
      <c r="S143" s="34" t="n">
        <v>0</v>
      </c>
      <c r="T143" s="34" t="n">
        <v>1</v>
      </c>
      <c r="U143" s="34" t="n">
        <v>0</v>
      </c>
      <c r="V143" s="34" t="n"/>
      <c r="W143" s="34" t="n">
        <v>0</v>
      </c>
      <c r="X143" s="34" t="inlineStr">
        <is>
          <t>스켈레톤</t>
        </is>
      </c>
      <c r="Y143" s="34" t="inlineStr">
        <is>
          <t>스켈레톤 UI</t>
        </is>
      </c>
      <c r="Z143" s="34" t="inlineStr">
        <is>
          <t>state (로딩)</t>
        </is>
      </c>
      <c r="AA143" s="34" t="inlineStr">
        <is>
          <t>페이지 진입</t>
        </is>
      </c>
      <c r="AB143" s="34" t="inlineStr">
        <is>
          <t>카드 스켈레톤</t>
        </is>
      </c>
      <c r="AC143" s="34" t="inlineStr">
        <is>
          <t>없음</t>
        </is>
      </c>
      <c r="AD143" s="34" t="inlineStr">
        <is>
          <t>동일</t>
        </is>
      </c>
      <c r="AE143" s="34" t="inlineStr">
        <is>
          <t>GNB</t>
        </is>
      </c>
    </row>
    <row r="144">
      <c r="A144" s="33" t="inlineStr">
        <is>
          <t>SCR-IOT-L</t>
        </is>
      </c>
      <c r="B144" s="33" t="inlineStr">
        <is>
          <t>IoT 설정 - 로딩 상태</t>
        </is>
      </c>
      <c r="C144" s="33" t="inlineStr">
        <is>
          <t>Web</t>
        </is>
      </c>
      <c r="D144" s="34" t="inlineStr">
        <is>
          <t>/iot</t>
        </is>
      </c>
      <c r="E144" s="34" t="inlineStr">
        <is>
          <t>IoT 장비 목록 로딩 중</t>
        </is>
      </c>
      <c r="F144" s="34" t="inlineStr">
        <is>
          <t>(해당 없음)</t>
        </is>
      </c>
      <c r="G144" s="34" t="inlineStr">
        <is>
          <t>스켈레톤 표시</t>
        </is>
      </c>
      <c r="H144" s="34" t="n"/>
      <c r="I144" s="34" t="n"/>
      <c r="J144" s="34" t="inlineStr">
        <is>
          <t>설정 메뉴</t>
        </is>
      </c>
      <c r="K144" s="34" t="n"/>
      <c r="L144" s="34" t="inlineStr">
        <is>
          <t>로딩 실패 에러</t>
        </is>
      </c>
      <c r="M144" s="34" t="n"/>
      <c r="N144" s="34" t="n"/>
      <c r="O144" s="34" t="n"/>
      <c r="P144" s="34" t="n"/>
      <c r="Q144" s="34" t="inlineStr">
        <is>
          <t>확정</t>
        </is>
      </c>
      <c r="R144" s="34" t="n"/>
      <c r="S144" s="34" t="n">
        <v>0</v>
      </c>
      <c r="T144" s="34" t="n">
        <v>1</v>
      </c>
      <c r="U144" s="34" t="n">
        <v>0</v>
      </c>
      <c r="V144" s="34" t="n"/>
      <c r="W144" s="34" t="n">
        <v>0</v>
      </c>
      <c r="X144" s="34" t="inlineStr">
        <is>
          <t>스켈레톤</t>
        </is>
      </c>
      <c r="Y144" s="34" t="inlineStr">
        <is>
          <t>스켈레톤 UI</t>
        </is>
      </c>
      <c r="Z144" s="34" t="inlineStr">
        <is>
          <t>state (로딩)</t>
        </is>
      </c>
      <c r="AA144" s="34" t="inlineStr">
        <is>
          <t>페이지 진입</t>
        </is>
      </c>
      <c r="AB144" s="34" t="inlineStr">
        <is>
          <t>장비 카드 스켈레톤</t>
        </is>
      </c>
      <c r="AC144" s="34" t="inlineStr">
        <is>
          <t>없음</t>
        </is>
      </c>
      <c r="AD144" s="34" t="inlineStr">
        <is>
          <t>동일</t>
        </is>
      </c>
      <c r="AE144" s="34" t="inlineStr">
        <is>
          <t>GNB</t>
        </is>
      </c>
    </row>
    <row r="145">
      <c r="A145" s="33" t="inlineStr">
        <is>
          <t>SCR-IOT-EM</t>
        </is>
      </c>
      <c r="B145" s="33" t="inlineStr">
        <is>
          <t>IoT 설정 - 빈 상태</t>
        </is>
      </c>
      <c r="C145" s="33" t="inlineStr">
        <is>
          <t>Web</t>
        </is>
      </c>
      <c r="D145" s="34" t="inlineStr">
        <is>
          <t>/iot</t>
        </is>
      </c>
      <c r="E145" s="34" t="inlineStr">
        <is>
          <t>IoT 장비 0건</t>
        </is>
      </c>
      <c r="F145" s="34" t="inlineStr">
        <is>
          <t>(해당 없음)</t>
        </is>
      </c>
      <c r="G145" s="34" t="inlineStr">
        <is>
          <t>장비 추가 안내</t>
        </is>
      </c>
      <c r="H145" s="34" t="n"/>
      <c r="I145" s="34" t="n"/>
      <c r="J145" s="34" t="inlineStr">
        <is>
          <t>IoT 설정 (0건)</t>
        </is>
      </c>
      <c r="K145" s="34" t="n"/>
      <c r="L145" s="34" t="inlineStr">
        <is>
          <t>'등록된 IoT 장비가 없습니다'</t>
        </is>
      </c>
      <c r="M145" s="34" t="n"/>
      <c r="N145" s="34" t="n"/>
      <c r="O145" s="34" t="n"/>
      <c r="P145" s="34" t="n"/>
      <c r="Q145" s="34" t="inlineStr">
        <is>
          <t>확정</t>
        </is>
      </c>
      <c r="R145" s="34" t="n"/>
      <c r="S145" s="34" t="n">
        <v>0</v>
      </c>
      <c r="T145" s="34" t="n">
        <v>1</v>
      </c>
      <c r="U145" s="34" t="n">
        <v>0</v>
      </c>
      <c r="V145" s="34" t="n"/>
      <c r="W145" s="34" t="n">
        <v>0</v>
      </c>
      <c r="X145" s="34" t="inlineStr">
        <is>
          <t>동일</t>
        </is>
      </c>
      <c r="Y145" s="34" t="inlineStr">
        <is>
          <t>빈 상태 아이콘 → 안내 문구 → CTA 버튼</t>
        </is>
      </c>
      <c r="Z145" s="34" t="inlineStr">
        <is>
          <t>state (빈 상태)</t>
        </is>
      </c>
      <c r="AA145" s="34" t="inlineStr">
        <is>
          <t>장비 0건</t>
        </is>
      </c>
      <c r="AB145" s="34" t="inlineStr">
        <is>
          <t>없음</t>
        </is>
      </c>
      <c r="AC145" s="34" t="inlineStr">
        <is>
          <t>'등록된 IoT 장비가 없습니다'</t>
        </is>
      </c>
      <c r="AD145" s="34" t="inlineStr">
        <is>
          <t>동일</t>
        </is>
      </c>
      <c r="AE145" s="34" t="inlineStr">
        <is>
          <t>GNB</t>
        </is>
      </c>
    </row>
    <row r="146">
      <c r="A146" s="33" t="inlineStr">
        <is>
          <t>SCR-PERM-L</t>
        </is>
      </c>
      <c r="B146" s="33" t="inlineStr">
        <is>
          <t>권한 설정 - 로딩 상태</t>
        </is>
      </c>
      <c r="C146" s="33" t="inlineStr">
        <is>
          <t>Web</t>
        </is>
      </c>
      <c r="D146" s="34" t="inlineStr">
        <is>
          <t>/permissions</t>
        </is>
      </c>
      <c r="E146" s="34" t="inlineStr">
        <is>
          <t>권한 매트릭스 로딩 중</t>
        </is>
      </c>
      <c r="F146" s="34" t="inlineStr">
        <is>
          <t>(해당 없음)</t>
        </is>
      </c>
      <c r="G146" s="34" t="inlineStr">
        <is>
          <t>스켈레톤 표시</t>
        </is>
      </c>
      <c r="H146" s="34" t="n"/>
      <c r="I146" s="34" t="n"/>
      <c r="J146" s="34" t="inlineStr">
        <is>
          <t>설정 메뉴</t>
        </is>
      </c>
      <c r="K146" s="34" t="n"/>
      <c r="L146" s="34" t="inlineStr">
        <is>
          <t>로딩 실패 에러</t>
        </is>
      </c>
      <c r="M146" s="34" t="n"/>
      <c r="N146" s="34" t="n"/>
      <c r="O146" s="34" t="n"/>
      <c r="P146" s="34" t="n"/>
      <c r="Q146" s="34" t="inlineStr">
        <is>
          <t>확정</t>
        </is>
      </c>
      <c r="R146" s="34" t="n"/>
      <c r="S146" s="34" t="n">
        <v>0</v>
      </c>
      <c r="T146" s="34" t="n">
        <v>1</v>
      </c>
      <c r="U146" s="34" t="n">
        <v>0</v>
      </c>
      <c r="V146" s="34" t="n"/>
      <c r="W146" s="34" t="n">
        <v>0</v>
      </c>
      <c r="X146" s="34" t="inlineStr">
        <is>
          <t>스켈레톤</t>
        </is>
      </c>
      <c r="Y146" s="34" t="inlineStr">
        <is>
          <t>스켈레톤 UI</t>
        </is>
      </c>
      <c r="Z146" s="34" t="inlineStr">
        <is>
          <t>state (로딩)</t>
        </is>
      </c>
      <c r="AA146" s="34" t="inlineStr">
        <is>
          <t>페이지 진입</t>
        </is>
      </c>
      <c r="AB146" s="34" t="inlineStr">
        <is>
          <t>매트릭스 스켈레톤</t>
        </is>
      </c>
      <c r="AC146" s="34" t="inlineStr">
        <is>
          <t>없음</t>
        </is>
      </c>
      <c r="AD146" s="34" t="inlineStr">
        <is>
          <t>동일</t>
        </is>
      </c>
      <c r="AE146" s="34" t="inlineStr">
        <is>
          <t>GNB</t>
        </is>
      </c>
    </row>
    <row r="147">
      <c r="A147" s="33" t="inlineStr">
        <is>
          <t>SCR-ROOM-L</t>
        </is>
      </c>
      <c r="B147" s="33" t="inlineStr">
        <is>
          <t>시설 관리 - 로딩 상태</t>
        </is>
      </c>
      <c r="C147" s="33" t="inlineStr">
        <is>
          <t>Web</t>
        </is>
      </c>
      <c r="D147" s="34" t="inlineStr">
        <is>
          <t>/rooms</t>
        </is>
      </c>
      <c r="E147" s="34" t="inlineStr">
        <is>
          <t>시설/룸 목록 로딩 중</t>
        </is>
      </c>
      <c r="F147" s="34" t="inlineStr">
        <is>
          <t>(해당 없음)</t>
        </is>
      </c>
      <c r="G147" s="34" t="inlineStr">
        <is>
          <t>스켈레톤 표시</t>
        </is>
      </c>
      <c r="H147" s="34" t="n"/>
      <c r="I147" s="34" t="n"/>
      <c r="J147" s="34" t="inlineStr">
        <is>
          <t>설정 메뉴</t>
        </is>
      </c>
      <c r="K147" s="34" t="n"/>
      <c r="L147" s="34" t="inlineStr">
        <is>
          <t>로딩 실패 에러</t>
        </is>
      </c>
      <c r="M147" s="34" t="n"/>
      <c r="N147" s="34" t="n"/>
      <c r="O147" s="34" t="n"/>
      <c r="P147" s="34" t="n"/>
      <c r="Q147" s="34" t="inlineStr">
        <is>
          <t>확정</t>
        </is>
      </c>
      <c r="R147" s="34" t="n"/>
      <c r="S147" s="34" t="n">
        <v>0</v>
      </c>
      <c r="T147" s="34" t="n">
        <v>1</v>
      </c>
      <c r="U147" s="34" t="n">
        <v>0</v>
      </c>
      <c r="V147" s="34" t="n"/>
      <c r="W147" s="34" t="n">
        <v>0</v>
      </c>
      <c r="X147" s="34" t="inlineStr">
        <is>
          <t>스켈레톤</t>
        </is>
      </c>
      <c r="Y147" s="34" t="inlineStr">
        <is>
          <t>스켈레톤 UI</t>
        </is>
      </c>
      <c r="Z147" s="34" t="inlineStr">
        <is>
          <t>state (로딩)</t>
        </is>
      </c>
      <c r="AA147" s="34" t="inlineStr">
        <is>
          <t>페이지 진입</t>
        </is>
      </c>
      <c r="AB147" s="34" t="inlineStr">
        <is>
          <t>시설 카드 스켈레톤</t>
        </is>
      </c>
      <c r="AC147" s="34" t="inlineStr">
        <is>
          <t>없음</t>
        </is>
      </c>
      <c r="AD147" s="34" t="inlineStr">
        <is>
          <t>동일</t>
        </is>
      </c>
      <c r="AE147" s="34" t="inlineStr">
        <is>
          <t>GNB</t>
        </is>
      </c>
    </row>
    <row r="148">
      <c r="A148" s="33" t="inlineStr">
        <is>
          <t>SCR-ROOM-EM</t>
        </is>
      </c>
      <c r="B148" s="33" t="inlineStr">
        <is>
          <t>시설 관리 - 빈 상태</t>
        </is>
      </c>
      <c r="C148" s="33" t="inlineStr">
        <is>
          <t>Web</t>
        </is>
      </c>
      <c r="D148" s="34" t="inlineStr">
        <is>
          <t>/rooms</t>
        </is>
      </c>
      <c r="E148" s="34" t="inlineStr">
        <is>
          <t>시설 0건</t>
        </is>
      </c>
      <c r="F148" s="34" t="inlineStr">
        <is>
          <t>(해당 없음)</t>
        </is>
      </c>
      <c r="G148" s="34" t="inlineStr">
        <is>
          <t>시설 추가 안내</t>
        </is>
      </c>
      <c r="H148" s="34" t="n"/>
      <c r="I148" s="34" t="n"/>
      <c r="J148" s="34" t="inlineStr">
        <is>
          <t>시설 관리 (0건)</t>
        </is>
      </c>
      <c r="K148" s="34" t="n"/>
      <c r="L148" s="34" t="inlineStr">
        <is>
          <t>'등록된 시설이 없습니다'</t>
        </is>
      </c>
      <c r="M148" s="34" t="n"/>
      <c r="N148" s="34" t="n"/>
      <c r="O148" s="34" t="n"/>
      <c r="P148" s="34" t="n"/>
      <c r="Q148" s="34" t="inlineStr">
        <is>
          <t>확정</t>
        </is>
      </c>
      <c r="R148" s="34" t="n"/>
      <c r="S148" s="34" t="n">
        <v>0</v>
      </c>
      <c r="T148" s="34" t="n">
        <v>1</v>
      </c>
      <c r="U148" s="34" t="n">
        <v>0</v>
      </c>
      <c r="V148" s="34" t="n"/>
      <c r="W148" s="34" t="n">
        <v>0</v>
      </c>
      <c r="X148" s="34" t="inlineStr">
        <is>
          <t>동일</t>
        </is>
      </c>
      <c r="Y148" s="34" t="inlineStr">
        <is>
          <t>빈 상태 아이콘 → 안내 문구 → CTA 버튼</t>
        </is>
      </c>
      <c r="Z148" s="34" t="inlineStr">
        <is>
          <t>state (빈 상태)</t>
        </is>
      </c>
      <c r="AA148" s="34" t="inlineStr">
        <is>
          <t>시설 0건</t>
        </is>
      </c>
      <c r="AB148" s="34" t="inlineStr">
        <is>
          <t>없음</t>
        </is>
      </c>
      <c r="AC148" s="34" t="inlineStr">
        <is>
          <t>'등록된 시설이 없습니다'</t>
        </is>
      </c>
      <c r="AD148" s="34" t="inlineStr">
        <is>
          <t>동일</t>
        </is>
      </c>
      <c r="AE148" s="34" t="inlineStr">
        <is>
          <t>GNB</t>
        </is>
      </c>
    </row>
    <row r="149">
      <c r="A149" s="33" t="inlineStr">
        <is>
          <t>SCR-ROOM-ADD</t>
        </is>
      </c>
      <c r="B149" s="33" t="inlineStr">
        <is>
          <t>시설 관리 - 시설 추가 모달</t>
        </is>
      </c>
      <c r="C149" s="33" t="inlineStr">
        <is>
          <t>Web</t>
        </is>
      </c>
      <c r="D149" s="34" t="inlineStr">
        <is>
          <t>/rooms</t>
        </is>
      </c>
      <c r="E149" s="34" t="inlineStr">
        <is>
          <t>새 시설 등록 모달</t>
        </is>
      </c>
      <c r="F149" s="34" t="inlineStr">
        <is>
          <t>(해당 없음)</t>
        </is>
      </c>
      <c r="G149" s="34" t="inlineStr">
        <is>
          <t>시설명/유형/수용인원 입력</t>
        </is>
      </c>
      <c r="H149" s="34" t="n"/>
      <c r="I149" s="34" t="n"/>
      <c r="J149" s="34" t="inlineStr">
        <is>
          <t>시설 추가 클릭</t>
        </is>
      </c>
      <c r="K149" s="34" t="n"/>
      <c r="L149" s="34" t="inlineStr">
        <is>
          <t>필수 필드 에러</t>
        </is>
      </c>
      <c r="M149" s="34" t="n"/>
      <c r="N149" s="34" t="n"/>
      <c r="O149" s="34" t="n"/>
      <c r="P149" s="34" t="n"/>
      <c r="Q149" s="34" t="inlineStr">
        <is>
          <t>확정</t>
        </is>
      </c>
      <c r="R149" s="34" t="n"/>
      <c r="S149" s="34" t="n">
        <v>0</v>
      </c>
      <c r="T149" s="34" t="n">
        <v>1</v>
      </c>
      <c r="U149" s="34" t="n">
        <v>0</v>
      </c>
      <c r="V149" s="34" t="n"/>
      <c r="W149" s="34" t="n">
        <v>0</v>
      </c>
      <c r="X149" s="34" t="inlineStr">
        <is>
          <t>오버레이 모달</t>
        </is>
      </c>
      <c r="Y149" s="34" t="inlineStr">
        <is>
          <t>모달 헤더 → 입력 폼 → 하단 버튼</t>
        </is>
      </c>
      <c r="Z149" s="34" t="inlineStr">
        <is>
          <t>modal</t>
        </is>
      </c>
      <c r="AA149" s="34" t="inlineStr">
        <is>
          <t>추가 클릭</t>
        </is>
      </c>
      <c r="AB149" s="34" t="inlineStr">
        <is>
          <t>등록 중 스피너</t>
        </is>
      </c>
      <c r="AC149" s="34" t="inlineStr">
        <is>
          <t>없음</t>
        </is>
      </c>
      <c r="AD149" s="34" t="inlineStr">
        <is>
          <t>모달</t>
        </is>
      </c>
      <c r="AE149" s="34" t="inlineStr">
        <is>
          <t>오버레이</t>
        </is>
      </c>
    </row>
  </sheetData>
  <autoFilter ref="A1:V1"/>
  <dataValidations count="4">
    <dataValidation sqref="A2:A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C2:C200" showDropDown="0" showInputMessage="0" showErrorMessage="0" allowBlank="1" type="list">
      <formula1>"Web,App (iOS),App (Android),Web + App,공통"</formula1>
    </dataValidation>
    <dataValidation sqref="Q2:Q200" showDropDown="0" showInputMessage="0" showErrorMessage="0" allowBlank="1" type="list">
      <formula1>"작성중,검토중,확정,변경필요,삭제"</formula1>
    </dataValidation>
    <dataValidation sqref="R2:R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25" customWidth="1" min="5" max="5"/>
    <col width="30" customWidth="1" min="6" max="6"/>
    <col width="10" customWidth="1" min="7" max="7"/>
    <col width="10" customWidth="1" min="8" max="8"/>
    <col width="22" customWidth="1" min="9" max="9"/>
    <col width="14" customWidth="1" min="10" max="10"/>
    <col width="20" customWidth="1" min="11" max="11"/>
    <col width="20" customWidth="1" min="12" max="12"/>
    <col width="18" customWidth="1" min="13" max="13"/>
    <col width="10" customWidth="1" min="14" max="14"/>
    <col width="12" customWidth="1" min="15" max="15"/>
    <col width="16" customWidth="1" min="16" max="16"/>
    <col width="16" customWidth="1" min="17" max="17"/>
    <col width="20" customWidth="1" min="18" max="18"/>
    <col width="18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</cols>
  <sheetData>
    <row r="1">
      <c r="A1" s="1" t="inlineStr">
        <is>
          <t>요소 ID</t>
        </is>
      </c>
      <c r="B1" s="1" t="inlineStr">
        <is>
          <t>화면 ID</t>
        </is>
      </c>
      <c r="C1" s="1" t="inlineStr">
        <is>
          <t>요소명</t>
        </is>
      </c>
      <c r="D1" s="1" t="inlineStr">
        <is>
          <t>요소 유형</t>
        </is>
      </c>
      <c r="E1" s="1" t="inlineStr">
        <is>
          <t>요소 설명</t>
        </is>
      </c>
      <c r="F1" s="1" t="inlineStr">
        <is>
          <t>인터랙션 정의</t>
        </is>
      </c>
      <c r="G1" s="1" t="inlineStr">
        <is>
          <t>기능 ID</t>
        </is>
      </c>
      <c r="H1" s="1" t="inlineStr">
        <is>
          <t>API ID</t>
        </is>
      </c>
      <c r="I1" s="1" t="inlineStr">
        <is>
          <t>Web 구현</t>
        </is>
      </c>
      <c r="J1" s="1" t="inlineStr">
        <is>
          <t>App 구현</t>
        </is>
      </c>
      <c r="K1" s="1" t="inlineStr">
        <is>
          <t>유효성 검사</t>
        </is>
      </c>
      <c r="L1" s="1" t="inlineStr">
        <is>
          <t>에러 메시지</t>
        </is>
      </c>
      <c r="M1" s="1" t="inlineStr">
        <is>
          <t>접근성</t>
        </is>
      </c>
      <c r="N1" s="1" t="inlineStr">
        <is>
          <t>상태</t>
        </is>
      </c>
      <c r="O1" s="1" t="inlineStr">
        <is>
          <t>담당자</t>
        </is>
      </c>
      <c r="P1" s="1" t="inlineStr">
        <is>
          <t>[자동] 화면명</t>
        </is>
      </c>
      <c r="Q1" s="1" t="inlineStr">
        <is>
          <t>[자동] 기능명</t>
        </is>
      </c>
      <c r="R1" s="1" t="inlineStr">
        <is>
          <t>[자동] API 엔드포인트</t>
        </is>
      </c>
      <c r="S1" s="1" t="inlineStr">
        <is>
          <t>비고</t>
        </is>
      </c>
      <c r="T1" s="29" t="inlineStr">
        <is>
          <t>내부 구성</t>
        </is>
      </c>
      <c r="U1" s="29" t="inlineStr">
        <is>
          <t>크기/간격</t>
        </is>
      </c>
      <c r="V1" s="29" t="inlineStr">
        <is>
          <t>상태 목록</t>
        </is>
      </c>
      <c r="W1" s="29" t="inlineStr">
        <is>
          <t>호버/클릭 피드백</t>
        </is>
      </c>
      <c r="X1" s="29" t="inlineStr">
        <is>
          <t>소속 섹션</t>
        </is>
      </c>
      <c r="Y1" s="29" t="inlineStr">
        <is>
          <t>정렬 순서</t>
        </is>
      </c>
      <c r="Z1" s="29" t="inlineStr">
        <is>
          <t>조건부 표시</t>
        </is>
      </c>
      <c r="AA1" s="29" t="inlineStr">
        <is>
          <t>관련 디자인토큰</t>
        </is>
      </c>
    </row>
    <row r="2">
      <c r="A2" s="3" t="inlineStr">
        <is>
          <t>▼ SCR-001</t>
        </is>
      </c>
      <c r="B2" s="3" t="inlineStr">
        <is>
          <t>로그인 (5개 요소)</t>
        </is>
      </c>
      <c r="C2" s="3" t="inlineStr">
        <is>
          <t>5개 요소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4" t="n"/>
      <c r="U2" s="34" t="n"/>
      <c r="V2" s="34" t="n"/>
      <c r="W2" s="34" t="n"/>
      <c r="X2" s="34" t="n"/>
      <c r="Y2" s="34" t="n"/>
      <c r="Z2" s="34" t="n"/>
      <c r="AA2" s="34" t="n"/>
    </row>
    <row r="3" outlineLevel="1">
      <c r="A3" s="35" t="inlineStr">
        <is>
          <t>UI-001</t>
        </is>
      </c>
      <c r="B3" s="35" t="inlineStr">
        <is>
          <t>SCR-001</t>
        </is>
      </c>
      <c r="C3" s="35" t="inlineStr">
        <is>
          <t>이메일 입력</t>
        </is>
      </c>
      <c r="D3" s="36" t="inlineStr">
        <is>
          <t>Input</t>
        </is>
      </c>
      <c r="E3" s="36" t="inlineStr">
        <is>
          <t>로그인 이메일 주소 입력 필드</t>
        </is>
      </c>
      <c r="F3" s="36" t="inlineStr">
        <is>
          <t>포커스 시 라벨 상단 이동, 실시간 이메일 형식 검증</t>
        </is>
      </c>
      <c r="G3" s="36" t="inlineStr">
        <is>
          <t>FN-001</t>
        </is>
      </c>
      <c r="H3" s="36" t="inlineStr">
        <is>
          <t>API-001</t>
        </is>
      </c>
      <c r="I3" s="36" t="inlineStr">
        <is>
          <t>&lt;input type='email'&gt; + 실시간 validation</t>
        </is>
      </c>
      <c r="J3" s="36" t="n"/>
      <c r="K3" s="36" t="inlineStr">
        <is>
          <t>이메일 형식 검증 (regex)</t>
        </is>
      </c>
      <c r="L3" s="36" t="inlineStr">
        <is>
          <t>올바른 이메일 주소를 입력하세요</t>
        </is>
      </c>
      <c r="M3" s="36" t="inlineStr">
        <is>
          <t>aria-label='이메일'</t>
        </is>
      </c>
      <c r="N3" s="36" t="inlineStr">
        <is>
          <t>설계중</t>
        </is>
      </c>
      <c r="O3" s="36" t="n"/>
      <c r="P3" s="36" t="inlineStr">
        <is>
          <t>로그인</t>
        </is>
      </c>
      <c r="Q3" s="36" t="inlineStr">
        <is>
          <t>로그인</t>
        </is>
      </c>
      <c r="R3" s="36" t="inlineStr">
        <is>
          <t>/api/v1/auth/login</t>
        </is>
      </c>
      <c r="S3" s="36" t="n"/>
      <c r="T3" s="36" t="inlineStr">
        <is>
          <t>라벨('이메일') 상단 + input(type=email) + 실시간 형식검증</t>
        </is>
      </c>
      <c r="U3" s="36" t="inlineStr">
        <is>
          <t>w:100%, h:40px, padding:12px, label:14px gray-500</t>
        </is>
      </c>
      <c r="V3" s="36" t="inlineStr">
        <is>
          <t>default / focus(border-primary) / error(border-red + 에러텍스트) / filled</t>
        </is>
      </c>
      <c r="W3" s="36" t="inlineStr">
        <is>
          <t>focus: 라벨 상단이동 + border-primary
blur: 에러 시 border-red</t>
        </is>
      </c>
      <c r="X3" s="36" t="inlineStr">
        <is>
          <t>폼 영역</t>
        </is>
      </c>
      <c r="Y3" s="36" t="inlineStr">
        <is>
          <t>1</t>
        </is>
      </c>
      <c r="Z3" s="36" t="inlineStr">
        <is>
          <t>항상</t>
        </is>
      </c>
      <c r="AA3" s="36" t="inlineStr">
        <is>
          <t>TK-304(input radius), TK-206(높이), TK-024(라벨색)</t>
        </is>
      </c>
    </row>
    <row r="4" outlineLevel="1">
      <c r="A4" s="35" t="inlineStr">
        <is>
          <t>UI-002</t>
        </is>
      </c>
      <c r="B4" s="35" t="inlineStr">
        <is>
          <t>SCR-001</t>
        </is>
      </c>
      <c r="C4" s="35" t="inlineStr">
        <is>
          <t>비밀번호 입력</t>
        </is>
      </c>
      <c r="D4" s="36" t="inlineStr">
        <is>
          <t>Input</t>
        </is>
      </c>
      <c r="E4" s="36" t="inlineStr">
        <is>
          <t>로그인 비밀번호 입력 필드</t>
        </is>
      </c>
      <c r="F4" s="36" t="inlineStr">
        <is>
          <t>마스킹 토글 버튼, Enter키 로그인 트리거</t>
        </is>
      </c>
      <c r="G4" s="36" t="inlineStr">
        <is>
          <t>FN-001</t>
        </is>
      </c>
      <c r="H4" s="36" t="inlineStr">
        <is>
          <t>API-001</t>
        </is>
      </c>
      <c r="I4" s="36" t="inlineStr">
        <is>
          <t>&lt;input type='password'&gt; + visibility toggle</t>
        </is>
      </c>
      <c r="J4" s="36" t="n"/>
      <c r="K4" s="36" t="inlineStr">
        <is>
          <t>최소 1자 이상</t>
        </is>
      </c>
      <c r="L4" s="36" t="inlineStr">
        <is>
          <t>비밀번호를 입력하세요</t>
        </is>
      </c>
      <c r="M4" s="36" t="inlineStr">
        <is>
          <t>aria-label='비밀번호'</t>
        </is>
      </c>
      <c r="N4" s="36" t="inlineStr">
        <is>
          <t>설계중</t>
        </is>
      </c>
      <c r="O4" s="36" t="n"/>
      <c r="P4" s="36" t="inlineStr">
        <is>
          <t>로그인</t>
        </is>
      </c>
      <c r="Q4" s="36" t="inlineStr">
        <is>
          <t>로그인</t>
        </is>
      </c>
      <c r="R4" s="36" t="inlineStr">
        <is>
          <t>/api/v1/auth/login</t>
        </is>
      </c>
      <c r="S4" s="36" t="n"/>
      <c r="T4" s="36" t="inlineStr">
        <is>
          <t>라벨('비밀번호') + input(type=password) + Eye/EyeOff 토글버튼</t>
        </is>
      </c>
      <c r="U4" s="36" t="inlineStr">
        <is>
          <t>w:100%, h:40px, 토글버튼:24px 우측</t>
        </is>
      </c>
      <c r="V4" s="36" t="inlineStr">
        <is>
          <t>default / focus / error / masked / visible</t>
        </is>
      </c>
      <c r="W4" s="36" t="inlineStr">
        <is>
          <t>Eye클릭: password↔text 전환
Enter: 로그인 트리거</t>
        </is>
      </c>
      <c r="X4" s="36" t="inlineStr">
        <is>
          <t>폼 영역</t>
        </is>
      </c>
      <c r="Y4" s="36" t="inlineStr">
        <is>
          <t>2</t>
        </is>
      </c>
      <c r="Z4" s="36" t="inlineStr">
        <is>
          <t>항상</t>
        </is>
      </c>
      <c r="AA4" s="36" t="inlineStr">
        <is>
          <t>TK-304, TK-206</t>
        </is>
      </c>
    </row>
    <row r="5" outlineLevel="1">
      <c r="A5" s="35" t="inlineStr">
        <is>
          <t>UI-003</t>
        </is>
      </c>
      <c r="B5" s="35" t="inlineStr">
        <is>
          <t>SCR-001</t>
        </is>
      </c>
      <c r="C5" s="35" t="inlineStr">
        <is>
          <t>지점 선택</t>
        </is>
      </c>
      <c r="D5" s="36" t="inlineStr">
        <is>
          <t>Select</t>
        </is>
      </c>
      <c r="E5" s="36" t="inlineStr">
        <is>
          <t>로그인 시 접근할 지점 선택 드롭다운</t>
        </is>
      </c>
      <c r="F5" s="36" t="inlineStr">
        <is>
          <t>선택 시 지점 로고/색상 변경</t>
        </is>
      </c>
      <c r="G5" s="36" t="inlineStr">
        <is>
          <t>FN-001</t>
        </is>
      </c>
      <c r="H5" s="36" t="inlineStr">
        <is>
          <t>API-001</t>
        </is>
      </c>
      <c r="I5" s="36" t="inlineStr">
        <is>
          <t>&lt;select&gt; 커스텀 드롭다운</t>
        </is>
      </c>
      <c r="J5" s="36" t="n"/>
      <c r="K5" s="36" t="inlineStr">
        <is>
          <t>필수 선택</t>
        </is>
      </c>
      <c r="L5" s="36" t="inlineStr">
        <is>
          <t>지점을 선택하세요</t>
        </is>
      </c>
      <c r="M5" s="36" t="inlineStr">
        <is>
          <t>aria-label='지점 선택'</t>
        </is>
      </c>
      <c r="N5" s="36" t="inlineStr">
        <is>
          <t>설계중</t>
        </is>
      </c>
      <c r="O5" s="36" t="n"/>
      <c r="P5" s="36" t="inlineStr">
        <is>
          <t>로그인</t>
        </is>
      </c>
      <c r="Q5" s="36" t="inlineStr">
        <is>
          <t>로그인</t>
        </is>
      </c>
      <c r="R5" s="36" t="inlineStr">
        <is>
          <t>/api/v1/auth/login</t>
        </is>
      </c>
      <c r="S5" s="36" t="n"/>
      <c r="T5" s="36" t="inlineStr">
        <is>
          <t>MapPin아이콘 + select 드롭다운 + 옵션리스트</t>
        </is>
      </c>
      <c r="U5" s="36" t="inlineStr">
        <is>
          <t>w:100%, h:40px</t>
        </is>
      </c>
      <c r="V5" s="36" t="inlineStr">
        <is>
          <t>default / loading(Loader2) / open(드롭다운펼침) / selected / error</t>
        </is>
      </c>
      <c r="W5" s="36" t="inlineStr">
        <is>
          <t>click: 드롭다운 열기
선택: 지점 로고/색상 변경</t>
        </is>
      </c>
      <c r="X5" s="36" t="inlineStr">
        <is>
          <t>폼 영역</t>
        </is>
      </c>
      <c r="Y5" s="36" t="inlineStr">
        <is>
          <t>0 (폼 최상단)</t>
        </is>
      </c>
      <c r="Z5" s="36" t="inlineStr">
        <is>
          <t>항상</t>
        </is>
      </c>
      <c r="AA5" s="36" t="inlineStr">
        <is>
          <t>TK-304, TK-206, TK-036(선택됨)</t>
        </is>
      </c>
    </row>
    <row r="6" outlineLevel="1">
      <c r="A6" s="35" t="inlineStr">
        <is>
          <t>UI-004</t>
        </is>
      </c>
      <c r="B6" s="35" t="inlineStr">
        <is>
          <t>SCR-001</t>
        </is>
      </c>
      <c r="C6" s="35" t="inlineStr">
        <is>
          <t>로그인 버튼</t>
        </is>
      </c>
      <c r="D6" s="36" t="inlineStr">
        <is>
          <t>Button</t>
        </is>
      </c>
      <c r="E6" s="36" t="inlineStr">
        <is>
          <t>로그인 실행 버튼</t>
        </is>
      </c>
      <c r="F6" s="36" t="inlineStr">
        <is>
          <t>클릭/Enter 시 로그인 API 호출, 로딩 스피너</t>
        </is>
      </c>
      <c r="G6" s="36" t="inlineStr">
        <is>
          <t>FN-001</t>
        </is>
      </c>
      <c r="H6" s="36" t="inlineStr">
        <is>
          <t>API-001</t>
        </is>
      </c>
      <c r="I6" s="36" t="inlineStr">
        <is>
          <t>&lt;button&gt; + loading state</t>
        </is>
      </c>
      <c r="J6" s="36" t="n"/>
      <c r="K6" s="36" t="inlineStr">
        <is>
          <t>이메일/비밀번호/지점 모두 입력 시 활성화</t>
        </is>
      </c>
      <c r="L6" s="36" t="inlineStr">
        <is>
          <t>로그인에 실패했습니다</t>
        </is>
      </c>
      <c r="M6" s="36" t="inlineStr">
        <is>
          <t>aria-label='로그인'</t>
        </is>
      </c>
      <c r="N6" s="36" t="inlineStr">
        <is>
          <t>설계중</t>
        </is>
      </c>
      <c r="O6" s="36" t="n"/>
      <c r="P6" s="36" t="inlineStr">
        <is>
          <t>로그인</t>
        </is>
      </c>
      <c r="Q6" s="36" t="inlineStr">
        <is>
          <t>로그인</t>
        </is>
      </c>
      <c r="R6" s="36" t="inlineStr">
        <is>
          <t>/api/v1/auth/login</t>
        </is>
      </c>
      <c r="S6" s="36" t="n"/>
      <c r="T6" s="36" t="inlineStr">
        <is>
          <t>텍스트('로그인') + 조건부 Loader2 스핀</t>
        </is>
      </c>
      <c r="U6" s="36" t="inlineStr">
        <is>
          <t>w:100%, h:48px, font:16px bold white</t>
        </is>
      </c>
      <c r="V6" s="36" t="inlineStr">
        <is>
          <t>default(비활성, gray) / active(primary) / loading(스핀+'로그인 중...') / disabled</t>
        </is>
      </c>
      <c r="W6" s="36" t="inlineStr">
        <is>
          <t>hover: primary-600
click: scale(0.98)
loading: 클릭 불가</t>
        </is>
      </c>
      <c r="X6" s="36" t="inlineStr">
        <is>
          <t>폼 영역</t>
        </is>
      </c>
      <c r="Y6" s="36" t="inlineStr">
        <is>
          <t>5 (폼 하단)</t>
        </is>
      </c>
      <c r="Z6" s="36" t="inlineStr">
        <is>
          <t>이메일/비밀번호/지점 모두 입력 시 활성</t>
        </is>
      </c>
      <c r="AA6" s="36" t="inlineStr">
        <is>
          <t>TK-004(bg), TK-209(높이), TK-604(press)</t>
        </is>
      </c>
    </row>
    <row r="7" outlineLevel="1">
      <c r="A7" s="35" t="inlineStr">
        <is>
          <t>UI-005</t>
        </is>
      </c>
      <c r="B7" s="35" t="inlineStr">
        <is>
          <t>SCR-001</t>
        </is>
      </c>
      <c r="C7" s="35" t="inlineStr">
        <is>
          <t>비밀번호 찾기 링크</t>
        </is>
      </c>
      <c r="D7" s="36" t="inlineStr">
        <is>
          <t>Link</t>
        </is>
      </c>
      <c r="E7" s="36" t="inlineStr">
        <is>
          <t>비밀번호 재설정 페이지 이동 링크</t>
        </is>
      </c>
      <c r="F7" s="36" t="inlineStr">
        <is>
          <t>클릭 시 비밀번호 찾기 모달 오픈</t>
        </is>
      </c>
      <c r="G7" s="36" t="n"/>
      <c r="H7" s="36" t="n"/>
      <c r="I7" s="36" t="inlineStr">
        <is>
          <t>&lt;a&gt; + 모달 트리거</t>
        </is>
      </c>
      <c r="J7" s="36" t="n"/>
      <c r="K7" s="36" t="n"/>
      <c r="L7" s="36" t="n"/>
      <c r="M7" s="36" t="inlineStr">
        <is>
          <t>aria-label='비밀번호 찾기'</t>
        </is>
      </c>
      <c r="N7" s="36" t="inlineStr">
        <is>
          <t>설계중</t>
        </is>
      </c>
      <c r="O7" s="36" t="n"/>
      <c r="P7" s="36" t="inlineStr">
        <is>
          <t>로그인</t>
        </is>
      </c>
      <c r="Q7" s="36">
        <f>IFERROR(VLOOKUP(G7,기능명세서!A:B,2,FALSE()),"")</f>
        <v/>
      </c>
      <c r="R7" s="36">
        <f>IFERROR(VLOOKUP(H7,API명세서!A:D,4,FALSE()),"")</f>
        <v/>
      </c>
      <c r="S7" s="36" t="n"/>
      <c r="T7" s="36" t="inlineStr">
        <is>
          <t>텍스트 링크('비밀번호 찾기')</t>
        </is>
      </c>
      <c r="U7" s="36" t="inlineStr">
        <is>
          <t>font:13px, color:gray-500</t>
        </is>
      </c>
      <c r="V7" s="36" t="inlineStr">
        <is>
          <t>default / hover(underline)</t>
        </is>
      </c>
      <c r="W7" s="36" t="inlineStr">
        <is>
          <t>click: 비밀번호 찾기 모달 오픈</t>
        </is>
      </c>
      <c r="X7" s="36" t="inlineStr">
        <is>
          <t>옵션 영역</t>
        </is>
      </c>
      <c r="Y7" s="36" t="inlineStr">
        <is>
          <t>4</t>
        </is>
      </c>
      <c r="Z7" s="36" t="inlineStr">
        <is>
          <t>항상</t>
        </is>
      </c>
      <c r="AA7" s="36" t="inlineStr">
        <is>
          <t>TK-024(색상)</t>
        </is>
      </c>
    </row>
    <row r="8">
      <c r="A8" s="3" t="inlineStr">
        <is>
          <t>▼ SCR-002</t>
        </is>
      </c>
      <c r="B8" s="3" t="inlineStr">
        <is>
          <t>대시보드 (8개 요소)</t>
        </is>
      </c>
      <c r="C8" s="3" t="inlineStr">
        <is>
          <t>8개 요소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4" t="n"/>
      <c r="U8" s="34" t="n"/>
      <c r="V8" s="34" t="n"/>
      <c r="W8" s="34" t="n"/>
      <c r="X8" s="34" t="n"/>
      <c r="Y8" s="34" t="n"/>
      <c r="Z8" s="34" t="n"/>
      <c r="AA8" s="34" t="n"/>
    </row>
    <row r="9" outlineLevel="1">
      <c r="A9" s="35" t="inlineStr">
        <is>
          <t>UI-006</t>
        </is>
      </c>
      <c r="B9" s="35" t="inlineStr">
        <is>
          <t>SCR-002</t>
        </is>
      </c>
      <c r="C9" s="35" t="inlineStr">
        <is>
          <t>총회원 통계 카드</t>
        </is>
      </c>
      <c r="D9" s="36" t="inlineStr">
        <is>
          <t>Card</t>
        </is>
      </c>
      <c r="E9" s="36" t="inlineStr">
        <is>
          <t>전체 회원 수 표시 카드</t>
        </is>
      </c>
      <c r="F9" s="36" t="inlineStr">
        <is>
          <t>클릭 시 SCR-010 이동, 전일 대비 증감 표시</t>
        </is>
      </c>
      <c r="G9" s="36" t="inlineStr">
        <is>
          <t>FN-002</t>
        </is>
      </c>
      <c r="H9" s="36" t="inlineStr">
        <is>
          <t>API-003</t>
        </is>
      </c>
      <c r="I9" s="36" t="inlineStr">
        <is>
          <t>Card 컴포넌트 + 숫자 애니메이션</t>
        </is>
      </c>
      <c r="J9" s="36" t="n"/>
      <c r="K9" s="36" t="n"/>
      <c r="L9" s="36" t="n"/>
      <c r="M9" s="36" t="inlineStr">
        <is>
          <t>aria-label='총 회원 수'</t>
        </is>
      </c>
      <c r="N9" s="36" t="inlineStr">
        <is>
          <t>설계중</t>
        </is>
      </c>
      <c r="O9" s="36" t="n"/>
      <c r="P9" s="36" t="inlineStr">
        <is>
          <t>대시보드</t>
        </is>
      </c>
      <c r="Q9" s="36" t="inlineStr">
        <is>
          <t>대시보드 통계 조회</t>
        </is>
      </c>
      <c r="R9" s="36" t="inlineStr">
        <is>
          <t>/api/v1/dashboard/stats</t>
        </is>
      </c>
      <c r="S9" s="36" t="n"/>
      <c r="T9" s="36" t="inlineStr">
        <is>
          <t>[좌] Users아이콘(24px) + [중앙] 라벨('총 회원') 위 + 수치('450명') 아래 + [우하단] 증감배지('+3 ▲' 초록)</t>
        </is>
      </c>
      <c r="U9" s="36" t="inlineStr">
        <is>
          <t>w:카드1/6, h:auto, p:24px, 라벨:14px gray-500, 수치:32px bold</t>
        </is>
      </c>
      <c r="V9" s="36" t="inlineStr">
        <is>
          <t>default / hover(shadow-md) / loading(숫자 스켈레톤) / zero(수치0)</t>
        </is>
      </c>
      <c r="W9" s="36" t="inlineStr">
        <is>
          <t>hover: shadow-md + cursor-pointer
click: 회원목록 이동</t>
        </is>
      </c>
      <c r="X9" s="36" t="inlineStr">
        <is>
          <t>섹션1: 통계카드 영역</t>
        </is>
      </c>
      <c r="Y9" s="36" t="inlineStr">
        <is>
          <t>1 (6개 중 첫째)</t>
        </is>
      </c>
      <c r="Z9" s="36" t="inlineStr">
        <is>
          <t>항상</t>
        </is>
      </c>
      <c r="AA9" s="36" t="inlineStr">
        <is>
          <t>TK-108(숫자), TK-024(라벨), TK-030(증가), TK-032(감소)</t>
        </is>
      </c>
    </row>
    <row r="10" outlineLevel="1">
      <c r="A10" s="35" t="inlineStr">
        <is>
          <t>UI-007</t>
        </is>
      </c>
      <c r="B10" s="35" t="inlineStr">
        <is>
          <t>SCR-002</t>
        </is>
      </c>
      <c r="C10" s="35" t="inlineStr">
        <is>
          <t>활성회원 통계 카드</t>
        </is>
      </c>
      <c r="D10" s="36" t="inlineStr">
        <is>
          <t>Card</t>
        </is>
      </c>
      <c r="E10" s="36" t="inlineStr">
        <is>
          <t>활성(이용중) 회원 수 카드</t>
        </is>
      </c>
      <c r="F10" s="36" t="inlineStr">
        <is>
          <t>클릭 시 SCR-010 활성 필터 이동</t>
        </is>
      </c>
      <c r="G10" s="36" t="inlineStr">
        <is>
          <t>FN-002</t>
        </is>
      </c>
      <c r="H10" s="36" t="inlineStr">
        <is>
          <t>API-003</t>
        </is>
      </c>
      <c r="I10" s="36" t="inlineStr">
        <is>
          <t>Card 컴포넌트</t>
        </is>
      </c>
      <c r="J10" s="36" t="n"/>
      <c r="K10" s="36" t="n"/>
      <c r="L10" s="36" t="n"/>
      <c r="M10" s="36" t="inlineStr">
        <is>
          <t>aria-label='활성 회원 수'</t>
        </is>
      </c>
      <c r="N10" s="36" t="inlineStr">
        <is>
          <t>설계중</t>
        </is>
      </c>
      <c r="O10" s="36" t="n"/>
      <c r="P10" s="36" t="inlineStr">
        <is>
          <t>대시보드</t>
        </is>
      </c>
      <c r="Q10" s="36" t="inlineStr">
        <is>
          <t>대시보드 통계 조회</t>
        </is>
      </c>
      <c r="R10" s="36" t="inlineStr">
        <is>
          <t>/api/v1/dashboard/stats</t>
        </is>
      </c>
      <c r="S10" s="36" t="n"/>
      <c r="T10" s="36" t="inlineStr">
        <is>
          <t>[좌] UserCheck아이콘 + [중앙] '활성회원' + 수치 + 증감</t>
        </is>
      </c>
      <c r="U10" s="36" t="inlineStr">
        <is>
          <t>동일 StatCard 규격</t>
        </is>
      </c>
      <c r="V10" s="36" t="inlineStr">
        <is>
          <t>default / hover / loading / zero</t>
        </is>
      </c>
      <c r="W10" s="36" t="inlineStr">
        <is>
          <t>hover: shadow-md
click: 회원목록(활성필터) 이동</t>
        </is>
      </c>
      <c r="X10" s="36" t="inlineStr">
        <is>
          <t>섹션1: 통계카드 영역</t>
        </is>
      </c>
      <c r="Y10" s="36" t="inlineStr">
        <is>
          <t>2</t>
        </is>
      </c>
      <c r="Z10" s="36" t="inlineStr">
        <is>
          <t>항상</t>
        </is>
      </c>
      <c r="AA10" s="36" t="inlineStr">
        <is>
          <t>TK-108, TK-030</t>
        </is>
      </c>
    </row>
    <row r="11" outlineLevel="1">
      <c r="A11" s="35" t="inlineStr">
        <is>
          <t>UI-008</t>
        </is>
      </c>
      <c r="B11" s="35" t="inlineStr">
        <is>
          <t>SCR-002</t>
        </is>
      </c>
      <c r="C11" s="35" t="inlineStr">
        <is>
          <t>만료임박 통계 카드</t>
        </is>
      </c>
      <c r="D11" s="36" t="inlineStr">
        <is>
          <t>Card</t>
        </is>
      </c>
      <c r="E11" s="36" t="inlineStr">
        <is>
          <t>7일 내 만료 예정 회원 수 카드</t>
        </is>
      </c>
      <c r="F11" s="36" t="inlineStr">
        <is>
          <t>클릭 시 SCR-010 만료임박 필터 이동, 경고 색상</t>
        </is>
      </c>
      <c r="G11" s="36" t="inlineStr">
        <is>
          <t>FN-002</t>
        </is>
      </c>
      <c r="H11" s="36" t="inlineStr">
        <is>
          <t>API-006</t>
        </is>
      </c>
      <c r="I11" s="36" t="inlineStr">
        <is>
          <t>Card 컴포넌트 + 경고 스타일</t>
        </is>
      </c>
      <c r="J11" s="36" t="n"/>
      <c r="K11" s="36" t="n"/>
      <c r="L11" s="36" t="n"/>
      <c r="M11" s="36" t="inlineStr">
        <is>
          <t>aria-label='만료 임박 회원'</t>
        </is>
      </c>
      <c r="N11" s="36" t="inlineStr">
        <is>
          <t>설계중</t>
        </is>
      </c>
      <c r="O11" s="36" t="n"/>
      <c r="P11" s="36" t="inlineStr">
        <is>
          <t>대시보드</t>
        </is>
      </c>
      <c r="Q11" s="36" t="inlineStr">
        <is>
          <t>대시보드 통계 조회</t>
        </is>
      </c>
      <c r="R11" s="36" t="inlineStr">
        <is>
          <t>/api/v1/dashboard/expiring-members</t>
        </is>
      </c>
      <c r="S11" s="36" t="n"/>
      <c r="T11" s="36" t="inlineStr">
        <is>
          <t>[좌] AlertTriangle아이콘 + [중앙] '만료임박' + 수치 + 경고스타일</t>
        </is>
      </c>
      <c r="U11" s="36" t="inlineStr">
        <is>
          <t>동일 StatCard, 경고색상</t>
        </is>
      </c>
      <c r="V11" s="36" t="inlineStr">
        <is>
          <t>default / hover / loading / zero / warning(&gt;0일때 amber)</t>
        </is>
      </c>
      <c r="W11" s="36" t="inlineStr">
        <is>
          <t>hover: shadow-md
click: 회원목록(만료임박필터) 이동</t>
        </is>
      </c>
      <c r="X11" s="36" t="inlineStr">
        <is>
          <t>섹션1: 통계카드 영역</t>
        </is>
      </c>
      <c r="Y11" s="36" t="inlineStr">
        <is>
          <t>3</t>
        </is>
      </c>
      <c r="Z11" s="36" t="inlineStr">
        <is>
          <t>항상</t>
        </is>
      </c>
      <c r="AA11" s="36" t="inlineStr">
        <is>
          <t>TK-034(경고), TK-108</t>
        </is>
      </c>
    </row>
    <row r="12" outlineLevel="1">
      <c r="A12" s="35" t="inlineStr">
        <is>
          <t>UI-009</t>
        </is>
      </c>
      <c r="B12" s="35" t="inlineStr">
        <is>
          <t>SCR-002</t>
        </is>
      </c>
      <c r="C12" s="35" t="inlineStr">
        <is>
          <t>만료회원 통계 카드</t>
        </is>
      </c>
      <c r="D12" s="36" t="inlineStr">
        <is>
          <t>Card</t>
        </is>
      </c>
      <c r="E12" s="36" t="inlineStr">
        <is>
          <t>이용권 만료된 회원 수 카드</t>
        </is>
      </c>
      <c r="F12" s="36" t="inlineStr">
        <is>
          <t>클릭 시 SCR-010 만료 필터 이동</t>
        </is>
      </c>
      <c r="G12" s="36" t="inlineStr">
        <is>
          <t>FN-002</t>
        </is>
      </c>
      <c r="H12" s="36" t="inlineStr">
        <is>
          <t>API-003</t>
        </is>
      </c>
      <c r="I12" s="36" t="inlineStr">
        <is>
          <t>Card 컴포넌트</t>
        </is>
      </c>
      <c r="J12" s="36" t="n"/>
      <c r="K12" s="36" t="n"/>
      <c r="L12" s="36" t="n"/>
      <c r="M12" s="36" t="inlineStr">
        <is>
          <t>aria-label='만료 회원 수'</t>
        </is>
      </c>
      <c r="N12" s="36" t="inlineStr">
        <is>
          <t>설계중</t>
        </is>
      </c>
      <c r="O12" s="36" t="n"/>
      <c r="P12" s="36" t="inlineStr">
        <is>
          <t>대시보드</t>
        </is>
      </c>
      <c r="Q12" s="36" t="inlineStr">
        <is>
          <t>대시보드 통계 조회</t>
        </is>
      </c>
      <c r="R12" s="36" t="inlineStr">
        <is>
          <t>/api/v1/dashboard/stats</t>
        </is>
      </c>
      <c r="S12" s="36" t="n"/>
      <c r="T12" s="36" t="inlineStr">
        <is>
          <t>[좌] UserX아이콘 + [중앙] '만료회원' + 수치</t>
        </is>
      </c>
      <c r="U12" s="36" t="inlineStr">
        <is>
          <t>동일 StatCard 규격</t>
        </is>
      </c>
      <c r="V12" s="36" t="inlineStr">
        <is>
          <t>default / hover / loading / zero</t>
        </is>
      </c>
      <c r="W12" s="36" t="inlineStr">
        <is>
          <t>hover: shadow-md
click: 회원목록(만료필터) 이동</t>
        </is>
      </c>
      <c r="X12" s="36" t="inlineStr">
        <is>
          <t>섹션1: 통계카드 영역</t>
        </is>
      </c>
      <c r="Y12" s="36" t="inlineStr">
        <is>
          <t>4</t>
        </is>
      </c>
      <c r="Z12" s="36" t="inlineStr">
        <is>
          <t>항상</t>
        </is>
      </c>
      <c r="AA12" s="36" t="inlineStr">
        <is>
          <t>TK-108</t>
        </is>
      </c>
    </row>
    <row r="13" outlineLevel="1">
      <c r="A13" s="35" t="inlineStr">
        <is>
          <t>UI-010</t>
        </is>
      </c>
      <c r="B13" s="35" t="inlineStr">
        <is>
          <t>SCR-002</t>
        </is>
      </c>
      <c r="C13" s="35" t="inlineStr">
        <is>
          <t>생일회원 리스트</t>
        </is>
      </c>
      <c r="D13" s="36" t="inlineStr">
        <is>
          <t>List</t>
        </is>
      </c>
      <c r="E13" s="36" t="inlineStr">
        <is>
          <t>오늘 생일인 회원 목록</t>
        </is>
      </c>
      <c r="F13" s="36" t="inlineStr">
        <is>
          <t>회원명 클릭 시 SCR-011 이동</t>
        </is>
      </c>
      <c r="G13" s="36" t="inlineStr">
        <is>
          <t>FN-002</t>
        </is>
      </c>
      <c r="H13" s="36" t="inlineStr">
        <is>
          <t>API-004</t>
        </is>
      </c>
      <c r="I13" s="36" t="inlineStr">
        <is>
          <t>리스트 컴포넌트 (최대 5명)</t>
        </is>
      </c>
      <c r="J13" s="36" t="n"/>
      <c r="K13" s="36" t="n"/>
      <c r="L13" s="36" t="n"/>
      <c r="M13" s="36" t="inlineStr">
        <is>
          <t>aria-label='오늘 생일 회원'</t>
        </is>
      </c>
      <c r="N13" s="36" t="inlineStr">
        <is>
          <t>설계중</t>
        </is>
      </c>
      <c r="O13" s="36" t="n"/>
      <c r="P13" s="36" t="inlineStr">
        <is>
          <t>대시보드</t>
        </is>
      </c>
      <c r="Q13" s="36" t="inlineStr">
        <is>
          <t>대시보드 통계 조회</t>
        </is>
      </c>
      <c r="R13" s="36" t="inlineStr">
        <is>
          <t>/api/v1/dashboard/birthday-members</t>
        </is>
      </c>
      <c r="S13" s="36" t="n"/>
      <c r="T13" s="36" t="inlineStr">
        <is>
          <t>리스트: 회원명(링크) + 연락처 + 생일일자, 최대5명</t>
        </is>
      </c>
      <c r="U13" s="36" t="inlineStr">
        <is>
          <t>w:카드1/2, max-h:300px</t>
        </is>
      </c>
      <c r="V13" s="36" t="inlineStr">
        <is>
          <t>default / empty('오늘 생일인 회원이 없습니다') / loading(3줄 스켈레톤)</t>
        </is>
      </c>
      <c r="W13" s="36" t="inlineStr">
        <is>
          <t>회원명 click: 회원상세 이동</t>
        </is>
      </c>
      <c r="X13" s="36" t="inlineStr">
        <is>
          <t>섹션3: 리스트 카드</t>
        </is>
      </c>
      <c r="Y13" s="36" t="inlineStr">
        <is>
          <t>1 (4개 중)</t>
        </is>
      </c>
      <c r="Z13" s="36" t="inlineStr">
        <is>
          <t>항상</t>
        </is>
      </c>
      <c r="AA13" s="36" t="inlineStr">
        <is>
          <t>TK-004(링크)</t>
        </is>
      </c>
    </row>
    <row r="14" outlineLevel="1">
      <c r="A14" s="35" t="inlineStr">
        <is>
          <t>UI-011</t>
        </is>
      </c>
      <c r="B14" s="35" t="inlineStr">
        <is>
          <t>SCR-002</t>
        </is>
      </c>
      <c r="C14" s="35" t="inlineStr">
        <is>
          <t>미납회원 리스트</t>
        </is>
      </c>
      <c r="D14" s="36" t="inlineStr">
        <is>
          <t>List</t>
        </is>
      </c>
      <c r="E14" s="36" t="inlineStr">
        <is>
          <t>미납 내역이 있는 회원 목록</t>
        </is>
      </c>
      <c r="F14" s="36" t="inlineStr">
        <is>
          <t>회원명 클릭 시 SCR-011 이동, 미납 금액 표시</t>
        </is>
      </c>
      <c r="G14" s="36" t="inlineStr">
        <is>
          <t>FN-002</t>
        </is>
      </c>
      <c r="H14" s="36" t="inlineStr">
        <is>
          <t>API-005</t>
        </is>
      </c>
      <c r="I14" s="36" t="inlineStr">
        <is>
          <t>리스트 컴포넌트 + 금액 강조</t>
        </is>
      </c>
      <c r="J14" s="36" t="n"/>
      <c r="K14" s="36" t="n"/>
      <c r="L14" s="36" t="n"/>
      <c r="M14" s="36" t="inlineStr">
        <is>
          <t>aria-label='미납 회원'</t>
        </is>
      </c>
      <c r="N14" s="36" t="inlineStr">
        <is>
          <t>설계중</t>
        </is>
      </c>
      <c r="O14" s="36" t="n"/>
      <c r="P14" s="36" t="inlineStr">
        <is>
          <t>대시보드</t>
        </is>
      </c>
      <c r="Q14" s="36" t="inlineStr">
        <is>
          <t>대시보드 통계 조회</t>
        </is>
      </c>
      <c r="R14" s="36" t="inlineStr">
        <is>
          <t>/api/v1/dashboard/unpaid-members</t>
        </is>
      </c>
      <c r="S14" s="36" t="n"/>
      <c r="T14" s="36" t="inlineStr">
        <is>
          <t>리스트: 회원명(링크) + 미납금액(빨간) + 결제버튼</t>
        </is>
      </c>
      <c r="U14" s="36" t="inlineStr">
        <is>
          <t>w:카드1/2, 금액:빨간bold</t>
        </is>
      </c>
      <c r="V14" s="36" t="inlineStr">
        <is>
          <t>default / empty / loading</t>
        </is>
      </c>
      <c r="W14" s="36" t="inlineStr">
        <is>
          <t>회원명 click: 회원상세
결제 click: POS 이동</t>
        </is>
      </c>
      <c r="X14" s="36" t="inlineStr">
        <is>
          <t>섹션3: 리스트 카드</t>
        </is>
      </c>
      <c r="Y14" s="36" t="inlineStr">
        <is>
          <t>2</t>
        </is>
      </c>
      <c r="Z14" s="36" t="inlineStr">
        <is>
          <t>항상</t>
        </is>
      </c>
      <c r="AA14" s="36" t="inlineStr">
        <is>
          <t>TK-032(미납금액)</t>
        </is>
      </c>
    </row>
    <row r="15" outlineLevel="1">
      <c r="A15" s="35" t="inlineStr">
        <is>
          <t>UI-012</t>
        </is>
      </c>
      <c r="B15" s="35" t="inlineStr">
        <is>
          <t>SCR-002</t>
        </is>
      </c>
      <c r="C15" s="35" t="inlineStr">
        <is>
          <t>만료예정 리스트</t>
        </is>
      </c>
      <c r="D15" s="36" t="inlineStr">
        <is>
          <t>List</t>
        </is>
      </c>
      <c r="E15" s="36" t="inlineStr">
        <is>
          <t>7일 내 만료 예정 회원 목록</t>
        </is>
      </c>
      <c r="F15" s="36" t="inlineStr">
        <is>
          <t>회원명 클릭 시 SCR-011 이동, D-day 표시</t>
        </is>
      </c>
      <c r="G15" s="36" t="inlineStr">
        <is>
          <t>FN-002</t>
        </is>
      </c>
      <c r="H15" s="36" t="inlineStr">
        <is>
          <t>API-006</t>
        </is>
      </c>
      <c r="I15" s="36" t="inlineStr">
        <is>
          <t>리스트 컴포넌트 + D-day 배지</t>
        </is>
      </c>
      <c r="J15" s="36" t="n"/>
      <c r="K15" s="36" t="n"/>
      <c r="L15" s="36" t="n"/>
      <c r="M15" s="36" t="inlineStr">
        <is>
          <t>aria-label='만료 예정 회원'</t>
        </is>
      </c>
      <c r="N15" s="36" t="inlineStr">
        <is>
          <t>설계중</t>
        </is>
      </c>
      <c r="O15" s="36" t="n"/>
      <c r="P15" s="36" t="inlineStr">
        <is>
          <t>대시보드</t>
        </is>
      </c>
      <c r="Q15" s="36" t="inlineStr">
        <is>
          <t>대시보드 통계 조회</t>
        </is>
      </c>
      <c r="R15" s="36" t="inlineStr">
        <is>
          <t>/api/v1/dashboard/expiring-members</t>
        </is>
      </c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>
      <c r="A16" s="35" t="inlineStr">
        <is>
          <t>UI-013</t>
        </is>
      </c>
      <c r="B16" s="35" t="inlineStr">
        <is>
          <t>SCR-002</t>
        </is>
      </c>
      <c r="C16" s="35" t="inlineStr">
        <is>
          <t>매출 차트</t>
        </is>
      </c>
      <c r="D16" s="36" t="inlineStr">
        <is>
          <t>Card</t>
        </is>
      </c>
      <c r="E16" s="36" t="inlineStr">
        <is>
          <t>당월 매출 추이 라인 차트</t>
        </is>
      </c>
      <c r="F16" s="36" t="inlineStr">
        <is>
          <t>호버 시 일별 금액 툴팁, 기간 필터</t>
        </is>
      </c>
      <c r="G16" s="36" t="inlineStr">
        <is>
          <t>FN-002</t>
        </is>
      </c>
      <c r="H16" s="36" t="inlineStr">
        <is>
          <t>API-003</t>
        </is>
      </c>
      <c r="I16" s="36" t="inlineStr">
        <is>
          <t>Recharts LineChart</t>
        </is>
      </c>
      <c r="J16" s="36" t="n"/>
      <c r="K16" s="36" t="n"/>
      <c r="L16" s="36" t="n"/>
      <c r="M16" s="36" t="inlineStr">
        <is>
          <t>차트 데이터 테이블 대체 제공</t>
        </is>
      </c>
      <c r="N16" s="36" t="inlineStr">
        <is>
          <t>설계중</t>
        </is>
      </c>
      <c r="O16" s="36" t="n"/>
      <c r="P16" s="36" t="inlineStr">
        <is>
          <t>대시보드</t>
        </is>
      </c>
      <c r="Q16" s="36" t="inlineStr">
        <is>
          <t>대시보드 통계 조회</t>
        </is>
      </c>
      <c r="R16" s="36" t="inlineStr">
        <is>
          <t>/api/v1/dashboard/stats</t>
        </is>
      </c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>
      <c r="A17" s="3" t="inlineStr">
        <is>
          <t>▼ SCR-010</t>
        </is>
      </c>
      <c r="B17" s="3" t="inlineStr">
        <is>
          <t>회원 목록 (8개 요소)</t>
        </is>
      </c>
      <c r="C17" s="3" t="inlineStr">
        <is>
          <t>8개 요소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4" t="n"/>
      <c r="U17" s="34" t="n"/>
      <c r="V17" s="34" t="n"/>
      <c r="W17" s="34" t="n"/>
      <c r="X17" s="34" t="n"/>
      <c r="Y17" s="34" t="n"/>
      <c r="Z17" s="34" t="n"/>
      <c r="AA17" s="34" t="n"/>
    </row>
    <row r="18" outlineLevel="1">
      <c r="A18" s="35" t="inlineStr">
        <is>
          <t>UI-014</t>
        </is>
      </c>
      <c r="B18" s="35" t="inlineStr">
        <is>
          <t>SCR-010</t>
        </is>
      </c>
      <c r="C18" s="35" t="inlineStr">
        <is>
          <t>검색바</t>
        </is>
      </c>
      <c r="D18" s="36" t="inlineStr">
        <is>
          <t>Input</t>
        </is>
      </c>
      <c r="E18" s="36" t="inlineStr">
        <is>
          <t>회원 이름/연락처/번호 검색 입력</t>
        </is>
      </c>
      <c r="F18" s="36" t="inlineStr">
        <is>
          <t>실시간 검색 (300ms debounce), 검색 아이콘</t>
        </is>
      </c>
      <c r="G18" s="36" t="inlineStr">
        <is>
          <t>FN-003</t>
        </is>
      </c>
      <c r="H18" s="36" t="inlineStr">
        <is>
          <t>API-007</t>
        </is>
      </c>
      <c r="I18" s="36" t="inlineStr">
        <is>
          <t>SearchInput 컴포넌트</t>
        </is>
      </c>
      <c r="J18" s="36" t="n"/>
      <c r="K18" s="36" t="inlineStr">
        <is>
          <t>최소 2자 이상</t>
        </is>
      </c>
      <c r="L18" s="36" t="inlineStr">
        <is>
          <t>검색어를 입력하세요</t>
        </is>
      </c>
      <c r="M18" s="36" t="inlineStr">
        <is>
          <t>aria-label='회원 검색'</t>
        </is>
      </c>
      <c r="N18" s="36" t="inlineStr">
        <is>
          <t>설계중</t>
        </is>
      </c>
      <c r="O18" s="36" t="n"/>
      <c r="P18" s="36" t="inlineStr">
        <is>
          <t>회원 목록</t>
        </is>
      </c>
      <c r="Q18" s="36" t="inlineStr">
        <is>
          <t>회원 목록 조회/검색/필터</t>
        </is>
      </c>
      <c r="R18" s="36" t="inlineStr">
        <is>
          <t>/api/v1/members</t>
        </is>
      </c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>
      <c r="A19" s="35" t="inlineStr">
        <is>
          <t>UI-015</t>
        </is>
      </c>
      <c r="B19" s="35" t="inlineStr">
        <is>
          <t>SCR-010</t>
        </is>
      </c>
      <c r="C19" s="35" t="inlineStr">
        <is>
          <t>상태 필터</t>
        </is>
      </c>
      <c r="D19" s="36" t="inlineStr">
        <is>
          <t>Select</t>
        </is>
      </c>
      <c r="E19" s="36" t="inlineStr">
        <is>
          <t>회원 상태(활성/만료/휴회/탈퇴) 필터</t>
        </is>
      </c>
      <c r="F19" s="36" t="inlineStr">
        <is>
          <t>멀티 선택 가능, 선택 시 즉시 필터 적용</t>
        </is>
      </c>
      <c r="G19" s="36" t="inlineStr">
        <is>
          <t>FN-003</t>
        </is>
      </c>
      <c r="H19" s="36" t="inlineStr">
        <is>
          <t>API-007</t>
        </is>
      </c>
      <c r="I19" s="36" t="inlineStr">
        <is>
          <t>MultiSelect 컴포넌트</t>
        </is>
      </c>
      <c r="J19" s="36" t="n"/>
      <c r="K19" s="36" t="inlineStr">
        <is>
          <t>1개 이상 선택 필수</t>
        </is>
      </c>
      <c r="L19" s="36" t="inlineStr">
        <is>
          <t>상태 필터을(를) 선택하세요</t>
        </is>
      </c>
      <c r="M19" s="36" t="inlineStr">
        <is>
          <t>aria-label='상태 필터'</t>
        </is>
      </c>
      <c r="N19" s="36" t="inlineStr">
        <is>
          <t>설계중</t>
        </is>
      </c>
      <c r="O19" s="36" t="n"/>
      <c r="P19" s="36" t="inlineStr">
        <is>
          <t>회원 목록</t>
        </is>
      </c>
      <c r="Q19" s="36" t="inlineStr">
        <is>
          <t>회원 목록 조회/검색/필터</t>
        </is>
      </c>
      <c r="R19" s="36" t="inlineStr">
        <is>
          <t>/api/v1/members</t>
        </is>
      </c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>
      <c r="A20" s="35" t="inlineStr">
        <is>
          <t>UI-016</t>
        </is>
      </c>
      <c r="B20" s="35" t="inlineStr">
        <is>
          <t>SCR-010</t>
        </is>
      </c>
      <c r="C20" s="35" t="inlineStr">
        <is>
          <t>성별 필터</t>
        </is>
      </c>
      <c r="D20" s="36" t="inlineStr">
        <is>
          <t>Select</t>
        </is>
      </c>
      <c r="E20" s="36" t="inlineStr">
        <is>
          <t>성별(전체/남/여) 필터</t>
        </is>
      </c>
      <c r="F20" s="36" t="inlineStr">
        <is>
          <t>단일 선택, 즉시 적용</t>
        </is>
      </c>
      <c r="G20" s="36" t="inlineStr">
        <is>
          <t>FN-003</t>
        </is>
      </c>
      <c r="H20" s="36" t="inlineStr">
        <is>
          <t>API-007</t>
        </is>
      </c>
      <c r="I20" s="36" t="inlineStr">
        <is>
          <t>Select 컴포넌트</t>
        </is>
      </c>
      <c r="J20" s="36" t="n"/>
      <c r="K20" s="36" t="inlineStr">
        <is>
          <t>1개 이상 선택 필수</t>
        </is>
      </c>
      <c r="L20" s="36" t="inlineStr">
        <is>
          <t>성별 필터을(를) 선택하세요</t>
        </is>
      </c>
      <c r="M20" s="36" t="inlineStr">
        <is>
          <t>aria-label='성별 필터'</t>
        </is>
      </c>
      <c r="N20" s="36" t="inlineStr">
        <is>
          <t>설계중</t>
        </is>
      </c>
      <c r="O20" s="36" t="n"/>
      <c r="P20" s="36" t="inlineStr">
        <is>
          <t>회원 목록</t>
        </is>
      </c>
      <c r="Q20" s="36" t="inlineStr">
        <is>
          <t>회원 목록 조회/검색/필터</t>
        </is>
      </c>
      <c r="R20" s="36" t="inlineStr">
        <is>
          <t>/api/v1/members</t>
        </is>
      </c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>
      <c r="A21" s="35" t="inlineStr">
        <is>
          <t>UI-017</t>
        </is>
      </c>
      <c r="B21" s="35" t="inlineStr">
        <is>
          <t>SCR-010</t>
        </is>
      </c>
      <c r="C21" s="35" t="inlineStr">
        <is>
          <t>담당자 필터</t>
        </is>
      </c>
      <c r="D21" s="36" t="inlineStr">
        <is>
          <t>Select</t>
        </is>
      </c>
      <c r="E21" s="36" t="inlineStr">
        <is>
          <t>담당 FC 필터</t>
        </is>
      </c>
      <c r="F21" s="36" t="inlineStr">
        <is>
          <t>단일 선택, 즉시 적용</t>
        </is>
      </c>
      <c r="G21" s="36" t="inlineStr">
        <is>
          <t>FN-003</t>
        </is>
      </c>
      <c r="H21" s="36" t="inlineStr">
        <is>
          <t>API-007</t>
        </is>
      </c>
      <c r="I21" s="36" t="inlineStr">
        <is>
          <t>Select 컴포넌트</t>
        </is>
      </c>
      <c r="J21" s="36" t="n"/>
      <c r="K21" s="36" t="inlineStr">
        <is>
          <t>1개 이상 선택 필수</t>
        </is>
      </c>
      <c r="L21" s="36" t="inlineStr">
        <is>
          <t>담당자 필터을(를) 선택하세요</t>
        </is>
      </c>
      <c r="M21" s="36" t="inlineStr">
        <is>
          <t>aria-label='담당자 필터'</t>
        </is>
      </c>
      <c r="N21" s="36" t="inlineStr">
        <is>
          <t>설계중</t>
        </is>
      </c>
      <c r="O21" s="36" t="n"/>
      <c r="P21" s="36" t="inlineStr">
        <is>
          <t>회원 목록</t>
        </is>
      </c>
      <c r="Q21" s="36" t="inlineStr">
        <is>
          <t>회원 목록 조회/검색/필터</t>
        </is>
      </c>
      <c r="R21" s="36" t="inlineStr">
        <is>
          <t>/api/v1/members</t>
        </is>
      </c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>
      <c r="A22" s="35" t="inlineStr">
        <is>
          <t>UI-018</t>
        </is>
      </c>
      <c r="B22" s="35" t="inlineStr">
        <is>
          <t>SCR-010</t>
        </is>
      </c>
      <c r="C22" s="35" t="inlineStr">
        <is>
          <t>회원 테이블</t>
        </is>
      </c>
      <c r="D22" s="36" t="inlineStr">
        <is>
          <t>List</t>
        </is>
      </c>
      <c r="E22" s="36" t="inlineStr">
        <is>
          <t>회원 목록 데이터 테이블</t>
        </is>
      </c>
      <c r="F22" s="36" t="inlineStr">
        <is>
          <t>행 클릭 시 SCR-011 이동, 컬럼 정렬, 행 호버</t>
        </is>
      </c>
      <c r="G22" s="36" t="inlineStr">
        <is>
          <t>FN-003</t>
        </is>
      </c>
      <c r="H22" s="36" t="inlineStr">
        <is>
          <t>API-007</t>
        </is>
      </c>
      <c r="I22" s="36" t="inlineStr">
        <is>
          <t>DataTable 컴포넌트 + 정렬/페이지네이션</t>
        </is>
      </c>
      <c r="J22" s="36" t="n"/>
      <c r="K22" s="36" t="n"/>
      <c r="L22" s="36" t="n"/>
      <c r="M22" s="36" t="inlineStr">
        <is>
          <t>aria-label='회원 목록 테이블'</t>
        </is>
      </c>
      <c r="N22" s="36" t="inlineStr">
        <is>
          <t>설계중</t>
        </is>
      </c>
      <c r="O22" s="36" t="n"/>
      <c r="P22" s="36" t="inlineStr">
        <is>
          <t>회원 목록</t>
        </is>
      </c>
      <c r="Q22" s="36" t="inlineStr">
        <is>
          <t>회원 목록 조회/검색/필터</t>
        </is>
      </c>
      <c r="R22" s="36" t="inlineStr">
        <is>
          <t>/api/v1/members</t>
        </is>
      </c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>
      <c r="A23" s="35" t="inlineStr">
        <is>
          <t>UI-019</t>
        </is>
      </c>
      <c r="B23" s="35" t="inlineStr">
        <is>
          <t>SCR-010</t>
        </is>
      </c>
      <c r="C23" s="35" t="inlineStr">
        <is>
          <t>페이지네이션</t>
        </is>
      </c>
      <c r="D23" s="36" t="inlineStr">
        <is>
          <t>Nav</t>
        </is>
      </c>
      <c r="E23" s="36" t="inlineStr">
        <is>
          <t>테이블 하단 페이지 네비게이션</t>
        </is>
      </c>
      <c r="F23" s="36" t="inlineStr">
        <is>
          <t>페이지 이동, 페이지당 행 수 선택</t>
        </is>
      </c>
      <c r="G23" s="36" t="inlineStr">
        <is>
          <t>FN-003</t>
        </is>
      </c>
      <c r="H23" s="36" t="inlineStr">
        <is>
          <t>API-007</t>
        </is>
      </c>
      <c r="I23" s="36" t="inlineStr">
        <is>
          <t>Pagination 컴포넌트</t>
        </is>
      </c>
      <c r="J23" s="36" t="n"/>
      <c r="K23" s="36" t="n"/>
      <c r="L23" s="36" t="n"/>
      <c r="M23" s="36" t="inlineStr">
        <is>
          <t>aria-label='페이지 이동'</t>
        </is>
      </c>
      <c r="N23" s="36" t="inlineStr">
        <is>
          <t>설계중</t>
        </is>
      </c>
      <c r="O23" s="36" t="n"/>
      <c r="P23" s="36" t="inlineStr">
        <is>
          <t>회원 목록</t>
        </is>
      </c>
      <c r="Q23" s="36" t="inlineStr">
        <is>
          <t>회원 목록 조회/검색/필터</t>
        </is>
      </c>
      <c r="R23" s="36" t="inlineStr">
        <is>
          <t>/api/v1/members</t>
        </is>
      </c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outlineLevel="1">
      <c r="A24" s="35" t="inlineStr">
        <is>
          <t>UI-020</t>
        </is>
      </c>
      <c r="B24" s="35" t="inlineStr">
        <is>
          <t>SCR-010</t>
        </is>
      </c>
      <c r="C24" s="35" t="inlineStr">
        <is>
          <t>엑셀 다운로드</t>
        </is>
      </c>
      <c r="D24" s="36" t="inlineStr">
        <is>
          <t>Button</t>
        </is>
      </c>
      <c r="E24" s="36" t="inlineStr">
        <is>
          <t>현재 필터 결과 엑셀 다운로드</t>
        </is>
      </c>
      <c r="F24" s="36" t="inlineStr">
        <is>
          <t>클릭 시 xlsx 파일 다운로드, 로딩 표시</t>
        </is>
      </c>
      <c r="G24" s="36" t="inlineStr">
        <is>
          <t>FN-003</t>
        </is>
      </c>
      <c r="H24" s="36" t="inlineStr">
        <is>
          <t>API-007</t>
        </is>
      </c>
      <c r="I24" s="36" t="inlineStr">
        <is>
          <t>다운로드 버튼 + 로딩 스피너</t>
        </is>
      </c>
      <c r="J24" s="36" t="n"/>
      <c r="K24" s="36" t="n"/>
      <c r="L24" s="36" t="n"/>
      <c r="M24" s="36" t="inlineStr">
        <is>
          <t>aria-label='엑셀 다운로드'</t>
        </is>
      </c>
      <c r="N24" s="36" t="inlineStr">
        <is>
          <t>설계중</t>
        </is>
      </c>
      <c r="O24" s="36" t="n"/>
      <c r="P24" s="36" t="inlineStr">
        <is>
          <t>회원 목록</t>
        </is>
      </c>
      <c r="Q24" s="36" t="inlineStr">
        <is>
          <t>회원 목록 조회/검색/필터</t>
        </is>
      </c>
      <c r="R24" s="36" t="inlineStr">
        <is>
          <t>/api/v1/members</t>
        </is>
      </c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>
      <c r="A25" s="35" t="inlineStr">
        <is>
          <t>UI-021</t>
        </is>
      </c>
      <c r="B25" s="35" t="inlineStr">
        <is>
          <t>SCR-010</t>
        </is>
      </c>
      <c r="C25" s="35" t="inlineStr">
        <is>
          <t>회원등록 버튼</t>
        </is>
      </c>
      <c r="D25" s="36" t="inlineStr">
        <is>
          <t>Button</t>
        </is>
      </c>
      <c r="E25" s="36" t="inlineStr">
        <is>
          <t>신규 회원 등록 페이지 이동 버튼</t>
        </is>
      </c>
      <c r="F25" s="36" t="inlineStr">
        <is>
          <t>클릭 시 SCR-012 이동</t>
        </is>
      </c>
      <c r="G25" s="36" t="inlineStr">
        <is>
          <t>FN-004</t>
        </is>
      </c>
      <c r="H25" s="36" t="n"/>
      <c r="I25" s="36" t="inlineStr">
        <is>
          <t>Primary Button</t>
        </is>
      </c>
      <c r="J25" s="36" t="n"/>
      <c r="K25" s="36" t="n"/>
      <c r="L25" s="36" t="n"/>
      <c r="M25" s="36" t="inlineStr">
        <is>
          <t>aria-label='회원 등록'</t>
        </is>
      </c>
      <c r="N25" s="36" t="inlineStr">
        <is>
          <t>설계중</t>
        </is>
      </c>
      <c r="O25" s="36" t="n"/>
      <c r="P25" s="36" t="inlineStr">
        <is>
          <t>회원 목록</t>
        </is>
      </c>
      <c r="Q25" s="36" t="inlineStr">
        <is>
          <t>회원 등록</t>
        </is>
      </c>
      <c r="R25" s="36">
        <f>IFERROR(VLOOKUP(H25,API명세서!A:D,4,FALSE()),"")</f>
        <v/>
      </c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>
      <c r="A26" s="3" t="inlineStr">
        <is>
          <t>▼ SCR-011</t>
        </is>
      </c>
      <c r="B26" s="3" t="inlineStr">
        <is>
          <t>회원 상세 (6개 요소)</t>
        </is>
      </c>
      <c r="C26" s="3" t="inlineStr">
        <is>
          <t>6개 요소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4" t="n"/>
      <c r="U26" s="34" t="n"/>
      <c r="V26" s="34" t="n"/>
      <c r="W26" s="34" t="n"/>
      <c r="X26" s="34" t="n"/>
      <c r="Y26" s="34" t="n"/>
      <c r="Z26" s="34" t="n"/>
      <c r="AA26" s="34" t="n"/>
    </row>
    <row r="27" outlineLevel="1">
      <c r="A27" s="35" t="inlineStr">
        <is>
          <t>UI-022</t>
        </is>
      </c>
      <c r="B27" s="35" t="inlineStr">
        <is>
          <t>SCR-011</t>
        </is>
      </c>
      <c r="C27" s="35" t="inlineStr">
        <is>
          <t>프로필 영역</t>
        </is>
      </c>
      <c r="D27" s="36" t="inlineStr">
        <is>
          <t>Card</t>
        </is>
      </c>
      <c r="E27" s="36" t="inlineStr">
        <is>
          <t>회원 기본 정보 카드 (사진/이름/연락처/상태)</t>
        </is>
      </c>
      <c r="F27" s="36" t="inlineStr">
        <is>
          <t>수정 버튼 → SCR-013 이동</t>
        </is>
      </c>
      <c r="G27" s="36" t="inlineStr">
        <is>
          <t>FN-006</t>
        </is>
      </c>
      <c r="H27" s="36" t="inlineStr">
        <is>
          <t>API-008</t>
        </is>
      </c>
      <c r="I27" s="36" t="inlineStr">
        <is>
          <t>프로필 Card 컴포넌트</t>
        </is>
      </c>
      <c r="J27" s="36" t="n"/>
      <c r="K27" s="36" t="n"/>
      <c r="L27" s="36" t="n"/>
      <c r="M27" s="36" t="inlineStr">
        <is>
          <t>aria-label='회원 프로필'</t>
        </is>
      </c>
      <c r="N27" s="36" t="inlineStr">
        <is>
          <t>설계중</t>
        </is>
      </c>
      <c r="O27" s="36" t="n"/>
      <c r="P27" s="36" t="inlineStr">
        <is>
          <t>회원 상세</t>
        </is>
      </c>
      <c r="Q27" s="36" t="inlineStr">
        <is>
          <t>회원 상세 조회</t>
        </is>
      </c>
      <c r="R27" s="36" t="inlineStr">
        <is>
          <t>/api/v1/members/:id</t>
        </is>
      </c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outlineLevel="1">
      <c r="A28" s="35" t="inlineStr">
        <is>
          <t>UI-023</t>
        </is>
      </c>
      <c r="B28" s="35" t="inlineStr">
        <is>
          <t>SCR-011</t>
        </is>
      </c>
      <c r="C28" s="35" t="inlineStr">
        <is>
          <t>이용권 탭</t>
        </is>
      </c>
      <c r="D28" s="36" t="inlineStr">
        <is>
          <t>Tab</t>
        </is>
      </c>
      <c r="E28" s="36" t="inlineStr">
        <is>
          <t>보유 이용권 목록 탭</t>
        </is>
      </c>
      <c r="F28" s="36" t="inlineStr">
        <is>
          <t>만료일 강조, 잔여 횟수 표시</t>
        </is>
      </c>
      <c r="G28" s="36" t="inlineStr">
        <is>
          <t>FN-006</t>
        </is>
      </c>
      <c r="H28" s="36" t="inlineStr">
        <is>
          <t>API-008</t>
        </is>
      </c>
      <c r="I28" s="36" t="inlineStr">
        <is>
          <t>Tab + 이용권 리스트</t>
        </is>
      </c>
      <c r="J28" s="36" t="n"/>
      <c r="K28" s="36" t="n"/>
      <c r="L28" s="36" t="n"/>
      <c r="M28" s="36" t="inlineStr">
        <is>
          <t>aria-label='이용권 탭'</t>
        </is>
      </c>
      <c r="N28" s="36" t="inlineStr">
        <is>
          <t>설계중</t>
        </is>
      </c>
      <c r="O28" s="36" t="n"/>
      <c r="P28" s="36" t="inlineStr">
        <is>
          <t>회원 상세</t>
        </is>
      </c>
      <c r="Q28" s="36" t="inlineStr">
        <is>
          <t>회원 상세 조회</t>
        </is>
      </c>
      <c r="R28" s="36" t="inlineStr">
        <is>
          <t>/api/v1/members/:id</t>
        </is>
      </c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outlineLevel="1">
      <c r="A29" s="35" t="inlineStr">
        <is>
          <t>UI-024</t>
        </is>
      </c>
      <c r="B29" s="35" t="inlineStr">
        <is>
          <t>SCR-011</t>
        </is>
      </c>
      <c r="C29" s="35" t="inlineStr">
        <is>
          <t>출석 탭</t>
        </is>
      </c>
      <c r="D29" s="36" t="inlineStr">
        <is>
          <t>Tab</t>
        </is>
      </c>
      <c r="E29" s="36" t="inlineStr">
        <is>
          <t>출석 이력 탭 (히트맵 + 리스트)</t>
        </is>
      </c>
      <c r="F29" s="36" t="inlineStr">
        <is>
          <t>히트맵 날짜 클릭 시 상세, 타지점 출석 구분</t>
        </is>
      </c>
      <c r="G29" s="36" t="inlineStr">
        <is>
          <t>FN-006</t>
        </is>
      </c>
      <c r="H29" s="36" t="inlineStr">
        <is>
          <t>API-013</t>
        </is>
      </c>
      <c r="I29" s="36" t="inlineStr">
        <is>
          <t>Tab + 히트맵 + 테이블</t>
        </is>
      </c>
      <c r="J29" s="36" t="n"/>
      <c r="K29" s="36" t="n"/>
      <c r="L29" s="36" t="n"/>
      <c r="M29" s="36" t="inlineStr">
        <is>
          <t>aria-label='출석 탭'</t>
        </is>
      </c>
      <c r="N29" s="36" t="inlineStr">
        <is>
          <t>설계중</t>
        </is>
      </c>
      <c r="O29" s="36" t="n"/>
      <c r="P29" s="36" t="inlineStr">
        <is>
          <t>회원 상세</t>
        </is>
      </c>
      <c r="Q29" s="36" t="inlineStr">
        <is>
          <t>회원 상세 조회</t>
        </is>
      </c>
      <c r="R29" s="36" t="inlineStr">
        <is>
          <t>/api/v1/attendance</t>
        </is>
      </c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outlineLevel="1">
      <c r="A30" s="35" t="inlineStr">
        <is>
          <t>UI-025</t>
        </is>
      </c>
      <c r="B30" s="35" t="inlineStr">
        <is>
          <t>SCR-011</t>
        </is>
      </c>
      <c r="C30" s="35" t="inlineStr">
        <is>
          <t>결제 탭</t>
        </is>
      </c>
      <c r="D30" s="36" t="inlineStr">
        <is>
          <t>Tab</t>
        </is>
      </c>
      <c r="E30" s="36" t="inlineStr">
        <is>
          <t>결제/매출 이력 탭</t>
        </is>
      </c>
      <c r="F30" s="36" t="inlineStr">
        <is>
          <t>결제 상세 모달, 환불 처리</t>
        </is>
      </c>
      <c r="G30" s="36" t="inlineStr">
        <is>
          <t>FN-006</t>
        </is>
      </c>
      <c r="H30" s="36" t="inlineStr">
        <is>
          <t>API-015</t>
        </is>
      </c>
      <c r="I30" s="36" t="inlineStr">
        <is>
          <t>Tab + 결제 테이블</t>
        </is>
      </c>
      <c r="J30" s="36" t="n"/>
      <c r="K30" s="36" t="n"/>
      <c r="L30" s="36" t="n"/>
      <c r="M30" s="36" t="inlineStr">
        <is>
          <t>aria-label='결제 탭'</t>
        </is>
      </c>
      <c r="N30" s="36" t="inlineStr">
        <is>
          <t>설계중</t>
        </is>
      </c>
      <c r="O30" s="36" t="n"/>
      <c r="P30" s="36" t="inlineStr">
        <is>
          <t>회원 상세</t>
        </is>
      </c>
      <c r="Q30" s="36" t="inlineStr">
        <is>
          <t>회원 상세 조회</t>
        </is>
      </c>
      <c r="R30" s="36" t="inlineStr">
        <is>
          <t>/api/v1/sales</t>
        </is>
      </c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outlineLevel="1">
      <c r="A31" s="35" t="inlineStr">
        <is>
          <t>UI-026</t>
        </is>
      </c>
      <c r="B31" s="35" t="inlineStr">
        <is>
          <t>SCR-011</t>
        </is>
      </c>
      <c r="C31" s="35" t="inlineStr">
        <is>
          <t>체성분 탭</t>
        </is>
      </c>
      <c r="D31" s="36" t="inlineStr">
        <is>
          <t>Tab</t>
        </is>
      </c>
      <c r="E31" s="36" t="inlineStr">
        <is>
          <t>체성분 측정 이력 + 차트 탭</t>
        </is>
      </c>
      <c r="F31" s="36" t="inlineStr">
        <is>
          <t>측정 추가, 변화 추이 차트</t>
        </is>
      </c>
      <c r="G31" s="36" t="inlineStr">
        <is>
          <t>FN-007</t>
        </is>
      </c>
      <c r="H31" s="36" t="inlineStr">
        <is>
          <t>API-008</t>
        </is>
      </c>
      <c r="I31" s="36" t="inlineStr">
        <is>
          <t>Tab + 차트 + 입력 폼</t>
        </is>
      </c>
      <c r="J31" s="36" t="n"/>
      <c r="K31" s="36" t="n"/>
      <c r="L31" s="36" t="n"/>
      <c r="M31" s="36" t="inlineStr">
        <is>
          <t>aria-label='체성분 탭'</t>
        </is>
      </c>
      <c r="N31" s="36" t="inlineStr">
        <is>
          <t>설계중</t>
        </is>
      </c>
      <c r="O31" s="36" t="n"/>
      <c r="P31" s="36" t="inlineStr">
        <is>
          <t>회원 상세</t>
        </is>
      </c>
      <c r="Q31" s="36" t="inlineStr">
        <is>
          <t>체성분 기록/분석</t>
        </is>
      </c>
      <c r="R31" s="36" t="inlineStr">
        <is>
          <t>/api/v1/members/:id</t>
        </is>
      </c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outlineLevel="1">
      <c r="A32" s="35" t="inlineStr">
        <is>
          <t>UI-027</t>
        </is>
      </c>
      <c r="B32" s="35" t="inlineStr">
        <is>
          <t>SCR-011</t>
        </is>
      </c>
      <c r="C32" s="35" t="inlineStr">
        <is>
          <t>메모 탭</t>
        </is>
      </c>
      <c r="D32" s="36" t="inlineStr">
        <is>
          <t>Tab</t>
        </is>
      </c>
      <c r="E32" s="36" t="inlineStr">
        <is>
          <t>상담/메모 기록 탭</t>
        </is>
      </c>
      <c r="F32" s="36" t="inlineStr">
        <is>
          <t>메모 추가/수정/삭제, 시간순 정렬</t>
        </is>
      </c>
      <c r="G32" s="36" t="inlineStr">
        <is>
          <t>FN-006</t>
        </is>
      </c>
      <c r="H32" s="36" t="inlineStr">
        <is>
          <t>API-008</t>
        </is>
      </c>
      <c r="I32" s="36" t="inlineStr">
        <is>
          <t>Tab + 메모 리스트 + 에디터</t>
        </is>
      </c>
      <c r="J32" s="36" t="n"/>
      <c r="K32" s="36" t="n"/>
      <c r="L32" s="36" t="n"/>
      <c r="M32" s="36" t="inlineStr">
        <is>
          <t>aria-label='메모 탭'</t>
        </is>
      </c>
      <c r="N32" s="36" t="inlineStr">
        <is>
          <t>설계중</t>
        </is>
      </c>
      <c r="O32" s="36" t="n"/>
      <c r="P32" s="36" t="inlineStr">
        <is>
          <t>회원 상세</t>
        </is>
      </c>
      <c r="Q32" s="36" t="inlineStr">
        <is>
          <t>회원 상세 조회</t>
        </is>
      </c>
      <c r="R32" s="36" t="inlineStr">
        <is>
          <t>/api/v1/members/:id</t>
        </is>
      </c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>
      <c r="A33" s="3" t="inlineStr">
        <is>
          <t>▼ SCR-012</t>
        </is>
      </c>
      <c r="B33" s="3" t="inlineStr">
        <is>
          <t>회원 등록 (10개 요소)</t>
        </is>
      </c>
      <c r="C33" s="3" t="inlineStr">
        <is>
          <t>10개 요소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4" t="n"/>
      <c r="U33" s="34" t="n"/>
      <c r="V33" s="34" t="n"/>
      <c r="W33" s="34" t="n"/>
      <c r="X33" s="34" t="n"/>
      <c r="Y33" s="34" t="n"/>
      <c r="Z33" s="34" t="n"/>
      <c r="AA33" s="34" t="n"/>
    </row>
    <row r="34" outlineLevel="1">
      <c r="A34" s="35" t="inlineStr">
        <is>
          <t>UI-028</t>
        </is>
      </c>
      <c r="B34" s="35" t="inlineStr">
        <is>
          <t>SCR-012</t>
        </is>
      </c>
      <c r="C34" s="35" t="inlineStr">
        <is>
          <t>이름 입력</t>
        </is>
      </c>
      <c r="D34" s="36" t="inlineStr">
        <is>
          <t>Input</t>
        </is>
      </c>
      <c r="E34" s="36" t="inlineStr">
        <is>
          <t>회원 이름 입력 필드</t>
        </is>
      </c>
      <c r="F34" s="36" t="inlineStr">
        <is>
          <t>필수 항목, 한글 2~20자</t>
        </is>
      </c>
      <c r="G34" s="36" t="inlineStr">
        <is>
          <t>FN-004</t>
        </is>
      </c>
      <c r="H34" s="36" t="inlineStr">
        <is>
          <t>API-009</t>
        </is>
      </c>
      <c r="I34" s="36" t="inlineStr">
        <is>
          <t>&lt;input&gt; + validation</t>
        </is>
      </c>
      <c r="J34" s="36" t="n"/>
      <c r="K34" s="36" t="inlineStr">
        <is>
          <t>한글 2~20자</t>
        </is>
      </c>
      <c r="L34" s="36" t="inlineStr">
        <is>
          <t>이름을 입력하세요</t>
        </is>
      </c>
      <c r="M34" s="36" t="inlineStr">
        <is>
          <t>aria-required='true'</t>
        </is>
      </c>
      <c r="N34" s="36" t="inlineStr">
        <is>
          <t>설계중</t>
        </is>
      </c>
      <c r="O34" s="36" t="n"/>
      <c r="P34" s="36" t="inlineStr">
        <is>
          <t>회원 등록</t>
        </is>
      </c>
      <c r="Q34" s="36" t="inlineStr">
        <is>
          <t>회원 등록</t>
        </is>
      </c>
      <c r="R34" s="36" t="inlineStr">
        <is>
          <t>/api/v1/members</t>
        </is>
      </c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outlineLevel="1">
      <c r="A35" s="35" t="inlineStr">
        <is>
          <t>UI-029</t>
        </is>
      </c>
      <c r="B35" s="35" t="inlineStr">
        <is>
          <t>SCR-012</t>
        </is>
      </c>
      <c r="C35" s="35" t="inlineStr">
        <is>
          <t>성별 선택</t>
        </is>
      </c>
      <c r="D35" s="36" t="inlineStr">
        <is>
          <t>Radio</t>
        </is>
      </c>
      <c r="E35" s="36" t="inlineStr">
        <is>
          <t>성별 선택 (남/여)</t>
        </is>
      </c>
      <c r="F35" s="36" t="inlineStr">
        <is>
          <t>라디오 버튼 2개</t>
        </is>
      </c>
      <c r="G35" s="36" t="inlineStr">
        <is>
          <t>FN-004</t>
        </is>
      </c>
      <c r="H35" s="36" t="inlineStr">
        <is>
          <t>API-009</t>
        </is>
      </c>
      <c r="I35" s="36" t="inlineStr">
        <is>
          <t>RadioGroup 컴포넌트</t>
        </is>
      </c>
      <c r="J35" s="36" t="n"/>
      <c r="K35" s="36" t="inlineStr">
        <is>
          <t>필수 선택</t>
        </is>
      </c>
      <c r="L35" s="36" t="inlineStr">
        <is>
          <t>성별을 선택하세요</t>
        </is>
      </c>
      <c r="M35" s="36" t="inlineStr">
        <is>
          <t>role='radiogroup'</t>
        </is>
      </c>
      <c r="N35" s="36" t="inlineStr">
        <is>
          <t>설계중</t>
        </is>
      </c>
      <c r="O35" s="36" t="n"/>
      <c r="P35" s="36" t="inlineStr">
        <is>
          <t>회원 등록</t>
        </is>
      </c>
      <c r="Q35" s="36" t="inlineStr">
        <is>
          <t>회원 등록</t>
        </is>
      </c>
      <c r="R35" s="36" t="inlineStr">
        <is>
          <t>/api/v1/members</t>
        </is>
      </c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outlineLevel="1">
      <c r="A36" s="35" t="inlineStr">
        <is>
          <t>UI-030</t>
        </is>
      </c>
      <c r="B36" s="35" t="inlineStr">
        <is>
          <t>SCR-012</t>
        </is>
      </c>
      <c r="C36" s="35" t="inlineStr">
        <is>
          <t>생년월일</t>
        </is>
      </c>
      <c r="D36" s="36" t="inlineStr">
        <is>
          <t>Input</t>
        </is>
      </c>
      <c r="E36" s="36" t="inlineStr">
        <is>
          <t>생년월일 입력 (date picker)</t>
        </is>
      </c>
      <c r="F36" s="36" t="inlineStr">
        <is>
          <t>달력 팝업 또는 직접 입력</t>
        </is>
      </c>
      <c r="G36" s="36" t="inlineStr">
        <is>
          <t>FN-004</t>
        </is>
      </c>
      <c r="H36" s="36" t="inlineStr">
        <is>
          <t>API-009</t>
        </is>
      </c>
      <c r="I36" s="36" t="inlineStr">
        <is>
          <t>DatePicker 컴포넌트</t>
        </is>
      </c>
      <c r="J36" s="36" t="n"/>
      <c r="K36" s="36" t="inlineStr">
        <is>
          <t>미래 날짜 불가</t>
        </is>
      </c>
      <c r="L36" s="36" t="inlineStr">
        <is>
          <t>올바른 날짜를 입력하세요</t>
        </is>
      </c>
      <c r="M36" s="36" t="inlineStr">
        <is>
          <t>aria-label='생년월일'</t>
        </is>
      </c>
      <c r="N36" s="36" t="inlineStr">
        <is>
          <t>설계중</t>
        </is>
      </c>
      <c r="O36" s="36" t="n"/>
      <c r="P36" s="36" t="inlineStr">
        <is>
          <t>회원 등록</t>
        </is>
      </c>
      <c r="Q36" s="36" t="inlineStr">
        <is>
          <t>회원 등록</t>
        </is>
      </c>
      <c r="R36" s="36" t="inlineStr">
        <is>
          <t>/api/v1/members</t>
        </is>
      </c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outlineLevel="1">
      <c r="A37" s="35" t="inlineStr">
        <is>
          <t>UI-031</t>
        </is>
      </c>
      <c r="B37" s="35" t="inlineStr">
        <is>
          <t>SCR-012</t>
        </is>
      </c>
      <c r="C37" s="35" t="inlineStr">
        <is>
          <t>연락처 입력</t>
        </is>
      </c>
      <c r="D37" s="36" t="inlineStr">
        <is>
          <t>Input</t>
        </is>
      </c>
      <c r="E37" s="36" t="inlineStr">
        <is>
          <t>연락처 입력 (자동 하이픈)</t>
        </is>
      </c>
      <c r="F37" s="36" t="inlineStr">
        <is>
          <t>입력 시 자동 포맷 (010-xxxx-xxxx)</t>
        </is>
      </c>
      <c r="G37" s="36" t="inlineStr">
        <is>
          <t>FN-004</t>
        </is>
      </c>
      <c r="H37" s="36" t="inlineStr">
        <is>
          <t>API-009</t>
        </is>
      </c>
      <c r="I37" s="36" t="inlineStr">
        <is>
          <t>PhoneInput 컴포넌트</t>
        </is>
      </c>
      <c r="J37" s="36" t="n"/>
      <c r="K37" s="36" t="inlineStr">
        <is>
          <t>전화번호 형식 검증, 중복 체크</t>
        </is>
      </c>
      <c r="L37" s="36" t="inlineStr">
        <is>
          <t>올바른 연락처를 입력하세요</t>
        </is>
      </c>
      <c r="M37" s="36" t="inlineStr">
        <is>
          <t>aria-label='연락처'</t>
        </is>
      </c>
      <c r="N37" s="36" t="inlineStr">
        <is>
          <t>설계중</t>
        </is>
      </c>
      <c r="O37" s="36" t="n"/>
      <c r="P37" s="36" t="inlineStr">
        <is>
          <t>회원 등록</t>
        </is>
      </c>
      <c r="Q37" s="36" t="inlineStr">
        <is>
          <t>회원 등록</t>
        </is>
      </c>
      <c r="R37" s="36" t="inlineStr">
        <is>
          <t>/api/v1/members</t>
        </is>
      </c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outlineLevel="1">
      <c r="A38" s="35" t="inlineStr">
        <is>
          <t>UI-032</t>
        </is>
      </c>
      <c r="B38" s="35" t="inlineStr">
        <is>
          <t>SCR-012</t>
        </is>
      </c>
      <c r="C38" s="35" t="inlineStr">
        <is>
          <t>이메일 입력</t>
        </is>
      </c>
      <c r="D38" s="36" t="inlineStr">
        <is>
          <t>Input</t>
        </is>
      </c>
      <c r="E38" s="36" t="inlineStr">
        <is>
          <t>이메일 주소 입력</t>
        </is>
      </c>
      <c r="F38" s="36" t="inlineStr">
        <is>
          <t>선택 항목</t>
        </is>
      </c>
      <c r="G38" s="36" t="inlineStr">
        <is>
          <t>FN-004</t>
        </is>
      </c>
      <c r="H38" s="36" t="inlineStr">
        <is>
          <t>API-009</t>
        </is>
      </c>
      <c r="I38" s="36" t="inlineStr">
        <is>
          <t>&lt;input type='email'&gt;</t>
        </is>
      </c>
      <c r="J38" s="36" t="n"/>
      <c r="K38" s="36" t="inlineStr">
        <is>
          <t>이메일 형식 검증</t>
        </is>
      </c>
      <c r="L38" s="36" t="inlineStr">
        <is>
          <t>올바른 이메일을 입력하세요</t>
        </is>
      </c>
      <c r="M38" s="36" t="inlineStr">
        <is>
          <t>aria-label='이메일'</t>
        </is>
      </c>
      <c r="N38" s="36" t="inlineStr">
        <is>
          <t>설계중</t>
        </is>
      </c>
      <c r="O38" s="36" t="n"/>
      <c r="P38" s="36" t="inlineStr">
        <is>
          <t>회원 등록</t>
        </is>
      </c>
      <c r="Q38" s="36" t="inlineStr">
        <is>
          <t>회원 등록</t>
        </is>
      </c>
      <c r="R38" s="36" t="inlineStr">
        <is>
          <t>/api/v1/members</t>
        </is>
      </c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outlineLevel="1">
      <c r="A39" s="35" t="inlineStr">
        <is>
          <t>UI-033</t>
        </is>
      </c>
      <c r="B39" s="35" t="inlineStr">
        <is>
          <t>SCR-012</t>
        </is>
      </c>
      <c r="C39" s="35" t="inlineStr">
        <is>
          <t>주소 입력</t>
        </is>
      </c>
      <c r="D39" s="36" t="inlineStr">
        <is>
          <t>Input</t>
        </is>
      </c>
      <c r="E39" s="36" t="inlineStr">
        <is>
          <t>주소 검색 및 입력</t>
        </is>
      </c>
      <c r="F39" s="36" t="inlineStr">
        <is>
          <t>다음 주소 API 연동</t>
        </is>
      </c>
      <c r="G39" s="36" t="inlineStr">
        <is>
          <t>FN-004</t>
        </is>
      </c>
      <c r="H39" s="36" t="inlineStr">
        <is>
          <t>API-009</t>
        </is>
      </c>
      <c r="I39" s="36" t="inlineStr">
        <is>
          <t>AddressSearch 컴포넌트</t>
        </is>
      </c>
      <c r="J39" s="36" t="n"/>
      <c r="K39" s="36" t="inlineStr">
        <is>
          <t>최소 5자 이상</t>
        </is>
      </c>
      <c r="L39" s="36" t="inlineStr">
        <is>
          <t>주소를 입력하세요</t>
        </is>
      </c>
      <c r="M39" s="36" t="inlineStr">
        <is>
          <t>aria-label='주소'</t>
        </is>
      </c>
      <c r="N39" s="36" t="inlineStr">
        <is>
          <t>설계중</t>
        </is>
      </c>
      <c r="O39" s="36" t="n"/>
      <c r="P39" s="36" t="inlineStr">
        <is>
          <t>회원 등록</t>
        </is>
      </c>
      <c r="Q39" s="36" t="inlineStr">
        <is>
          <t>회원 등록</t>
        </is>
      </c>
      <c r="R39" s="36" t="inlineStr">
        <is>
          <t>/api/v1/members</t>
        </is>
      </c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outlineLevel="1">
      <c r="A40" s="35" t="inlineStr">
        <is>
          <t>UI-034</t>
        </is>
      </c>
      <c r="B40" s="35" t="inlineStr">
        <is>
          <t>SCR-012</t>
        </is>
      </c>
      <c r="C40" s="35" t="inlineStr">
        <is>
          <t>메모 입력</t>
        </is>
      </c>
      <c r="D40" s="36" t="inlineStr">
        <is>
          <t>Textarea</t>
        </is>
      </c>
      <c r="E40" s="36" t="inlineStr">
        <is>
          <t>관리자 메모 입력</t>
        </is>
      </c>
      <c r="F40" s="36" t="inlineStr">
        <is>
          <t>최대 500자, 글자수 카운터</t>
        </is>
      </c>
      <c r="G40" s="36" t="inlineStr">
        <is>
          <t>FN-004</t>
        </is>
      </c>
      <c r="H40" s="36" t="inlineStr">
        <is>
          <t>API-009</t>
        </is>
      </c>
      <c r="I40" s="36" t="inlineStr">
        <is>
          <t>&lt;textarea&gt; + counter</t>
        </is>
      </c>
      <c r="J40" s="36" t="n"/>
      <c r="K40" s="36" t="inlineStr">
        <is>
          <t>최대 500자</t>
        </is>
      </c>
      <c r="L40" s="36" t="inlineStr">
        <is>
          <t>메모 입력을(를) 입력하세요</t>
        </is>
      </c>
      <c r="M40" s="36" t="inlineStr">
        <is>
          <t>aria-label='메모'</t>
        </is>
      </c>
      <c r="N40" s="36" t="inlineStr">
        <is>
          <t>설계중</t>
        </is>
      </c>
      <c r="O40" s="36" t="n"/>
      <c r="P40" s="36" t="inlineStr">
        <is>
          <t>회원 등록</t>
        </is>
      </c>
      <c r="Q40" s="36" t="inlineStr">
        <is>
          <t>회원 등록</t>
        </is>
      </c>
      <c r="R40" s="36" t="inlineStr">
        <is>
          <t>/api/v1/members</t>
        </is>
      </c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outlineLevel="1">
      <c r="A41" s="35" t="inlineStr">
        <is>
          <t>UI-035</t>
        </is>
      </c>
      <c r="B41" s="35" t="inlineStr">
        <is>
          <t>SCR-012</t>
        </is>
      </c>
      <c r="C41" s="35" t="inlineStr">
        <is>
          <t>담당자 선택</t>
        </is>
      </c>
      <c r="D41" s="36" t="inlineStr">
        <is>
          <t>Select</t>
        </is>
      </c>
      <c r="E41" s="36" t="inlineStr">
        <is>
          <t>담당 FC 선택 드롭다운</t>
        </is>
      </c>
      <c r="F41" s="36" t="inlineStr">
        <is>
          <t>직원 목록에서 FC 역할만 필터</t>
        </is>
      </c>
      <c r="G41" s="36" t="inlineStr">
        <is>
          <t>FN-004</t>
        </is>
      </c>
      <c r="H41" s="36" t="inlineStr">
        <is>
          <t>API-009</t>
        </is>
      </c>
      <c r="I41" s="36" t="inlineStr">
        <is>
          <t>Select 컴포넌트</t>
        </is>
      </c>
      <c r="J41" s="36" t="n"/>
      <c r="K41" s="36" t="inlineStr">
        <is>
          <t>1개 이상 선택 필수</t>
        </is>
      </c>
      <c r="L41" s="36" t="inlineStr">
        <is>
          <t>담당자 선택을(를) 선택하세요</t>
        </is>
      </c>
      <c r="M41" s="36" t="inlineStr">
        <is>
          <t>aria-label='담당자 선택'</t>
        </is>
      </c>
      <c r="N41" s="36" t="inlineStr">
        <is>
          <t>설계중</t>
        </is>
      </c>
      <c r="O41" s="36" t="n"/>
      <c r="P41" s="36" t="inlineStr">
        <is>
          <t>회원 등록</t>
        </is>
      </c>
      <c r="Q41" s="36" t="inlineStr">
        <is>
          <t>회원 등록</t>
        </is>
      </c>
      <c r="R41" s="36" t="inlineStr">
        <is>
          <t>/api/v1/members</t>
        </is>
      </c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outlineLevel="1">
      <c r="A42" s="35" t="inlineStr">
        <is>
          <t>UI-036</t>
        </is>
      </c>
      <c r="B42" s="35" t="inlineStr">
        <is>
          <t>SCR-012</t>
        </is>
      </c>
      <c r="C42" s="35" t="inlineStr">
        <is>
          <t>저장 버튼</t>
        </is>
      </c>
      <c r="D42" s="36" t="inlineStr">
        <is>
          <t>Button</t>
        </is>
      </c>
      <c r="E42" s="36" t="inlineStr">
        <is>
          <t>회원 등록 저장</t>
        </is>
      </c>
      <c r="F42" s="36" t="inlineStr">
        <is>
          <t>모든 필수 항목 입력 시 활성화, 클릭 시 API 호출</t>
        </is>
      </c>
      <c r="G42" s="36" t="inlineStr">
        <is>
          <t>FN-004</t>
        </is>
      </c>
      <c r="H42" s="36" t="inlineStr">
        <is>
          <t>API-009</t>
        </is>
      </c>
      <c r="I42" s="36" t="inlineStr">
        <is>
          <t>Primary Button + loading</t>
        </is>
      </c>
      <c r="J42" s="36" t="n"/>
      <c r="K42" s="36" t="inlineStr">
        <is>
          <t>필수 항목 검증</t>
        </is>
      </c>
      <c r="L42" s="36" t="inlineStr">
        <is>
          <t>등록에 실패했습니다</t>
        </is>
      </c>
      <c r="M42" s="36" t="inlineStr">
        <is>
          <t>aria-label='저장'</t>
        </is>
      </c>
      <c r="N42" s="36" t="inlineStr">
        <is>
          <t>설계중</t>
        </is>
      </c>
      <c r="O42" s="36" t="n"/>
      <c r="P42" s="36" t="inlineStr">
        <is>
          <t>회원 등록</t>
        </is>
      </c>
      <c r="Q42" s="36" t="inlineStr">
        <is>
          <t>회원 등록</t>
        </is>
      </c>
      <c r="R42" s="36" t="inlineStr">
        <is>
          <t>/api/v1/members</t>
        </is>
      </c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outlineLevel="1">
      <c r="A43" s="35" t="inlineStr">
        <is>
          <t>UI-037</t>
        </is>
      </c>
      <c r="B43" s="35" t="inlineStr">
        <is>
          <t>SCR-012</t>
        </is>
      </c>
      <c r="C43" s="35" t="inlineStr">
        <is>
          <t>취소 버튼</t>
        </is>
      </c>
      <c r="D43" s="36" t="inlineStr">
        <is>
          <t>Button</t>
        </is>
      </c>
      <c r="E43" s="36" t="inlineStr">
        <is>
          <t>등록 취소, 목록으로 이동</t>
        </is>
      </c>
      <c r="F43" s="36" t="inlineStr">
        <is>
          <t>변경사항 있을 시 확인 모달</t>
        </is>
      </c>
      <c r="G43" s="36" t="n"/>
      <c r="H43" s="36" t="n"/>
      <c r="I43" s="36" t="inlineStr">
        <is>
          <t>Secondary Button</t>
        </is>
      </c>
      <c r="J43" s="36" t="n"/>
      <c r="K43" s="36" t="n"/>
      <c r="L43" s="36" t="n"/>
      <c r="M43" s="36" t="inlineStr">
        <is>
          <t>aria-label='취소'</t>
        </is>
      </c>
      <c r="N43" s="36" t="inlineStr">
        <is>
          <t>설계중</t>
        </is>
      </c>
      <c r="O43" s="36" t="n"/>
      <c r="P43" s="36" t="inlineStr">
        <is>
          <t>회원 등록</t>
        </is>
      </c>
      <c r="Q43" s="36">
        <f>IFERROR(VLOOKUP(G43,기능명세서!A:B,2,FALSE()),"")</f>
        <v/>
      </c>
      <c r="R43" s="36">
        <f>IFERROR(VLOOKUP(H43,API명세서!A:D,4,FALSE()),"")</f>
        <v/>
      </c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>
      <c r="A44" s="3" t="inlineStr">
        <is>
          <t>▼ SCR-030</t>
        </is>
      </c>
      <c r="B44" s="3" t="inlineStr">
        <is>
          <t>매출 조회 (7개 요소)</t>
        </is>
      </c>
      <c r="C44" s="3" t="inlineStr">
        <is>
          <t>7개 요소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4" t="n"/>
      <c r="U44" s="34" t="n"/>
      <c r="V44" s="34" t="n"/>
      <c r="W44" s="34" t="n"/>
      <c r="X44" s="34" t="n"/>
      <c r="Y44" s="34" t="n"/>
      <c r="Z44" s="34" t="n"/>
      <c r="AA44" s="34" t="n"/>
    </row>
    <row r="45" outlineLevel="1">
      <c r="A45" s="35" t="inlineStr">
        <is>
          <t>UI-038</t>
        </is>
      </c>
      <c r="B45" s="35" t="inlineStr">
        <is>
          <t>SCR-030</t>
        </is>
      </c>
      <c r="C45" s="35" t="inlineStr">
        <is>
          <t>날짜 범위 선택</t>
        </is>
      </c>
      <c r="D45" s="36" t="inlineStr">
        <is>
          <t>Input</t>
        </is>
      </c>
      <c r="E45" s="36" t="inlineStr">
        <is>
          <t>시작일~종료일 범위 선택</t>
        </is>
      </c>
      <c r="F45" s="36" t="inlineStr">
        <is>
          <t>DateRangePicker, 프리셋(오늘/이번주/이번달)</t>
        </is>
      </c>
      <c r="G45" s="36" t="inlineStr">
        <is>
          <t>FN-010</t>
        </is>
      </c>
      <c r="H45" s="36" t="inlineStr">
        <is>
          <t>API-015</t>
        </is>
      </c>
      <c r="I45" s="36" t="inlineStr">
        <is>
          <t>DateRangePicker 컴포넌트</t>
        </is>
      </c>
      <c r="J45" s="36" t="n"/>
      <c r="K45" s="36" t="inlineStr">
        <is>
          <t>시작일 ≤ 종료일</t>
        </is>
      </c>
      <c r="L45" s="36" t="inlineStr">
        <is>
          <t>올바른 기간을 선택하세요</t>
        </is>
      </c>
      <c r="M45" s="36" t="inlineStr">
        <is>
          <t>aria-label='조회 기간'</t>
        </is>
      </c>
      <c r="N45" s="36" t="inlineStr">
        <is>
          <t>설계중</t>
        </is>
      </c>
      <c r="O45" s="36" t="n"/>
      <c r="P45" s="36" t="inlineStr">
        <is>
          <t>매출 조회</t>
        </is>
      </c>
      <c r="Q45" s="36" t="inlineStr">
        <is>
          <t>매출 조회/통계</t>
        </is>
      </c>
      <c r="R45" s="36" t="inlineStr">
        <is>
          <t>/api/v1/sales</t>
        </is>
      </c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outlineLevel="1">
      <c r="A46" s="35" t="inlineStr">
        <is>
          <t>UI-039</t>
        </is>
      </c>
      <c r="B46" s="35" t="inlineStr">
        <is>
          <t>SCR-030</t>
        </is>
      </c>
      <c r="C46" s="35" t="inlineStr">
        <is>
          <t>유형 필터</t>
        </is>
      </c>
      <c r="D46" s="36" t="inlineStr">
        <is>
          <t>Select</t>
        </is>
      </c>
      <c r="E46" s="36" t="inlineStr">
        <is>
          <t>매출 유형(이용권/PT/상품/기타) 필터</t>
        </is>
      </c>
      <c r="F46" s="36" t="inlineStr">
        <is>
          <t>멀티 선택, 즉시 적용</t>
        </is>
      </c>
      <c r="G46" s="36" t="inlineStr">
        <is>
          <t>FN-010</t>
        </is>
      </c>
      <c r="H46" s="36" t="inlineStr">
        <is>
          <t>API-015</t>
        </is>
      </c>
      <c r="I46" s="36" t="inlineStr">
        <is>
          <t>MultiSelect 컴포넌트</t>
        </is>
      </c>
      <c r="J46" s="36" t="n"/>
      <c r="K46" s="36" t="inlineStr">
        <is>
          <t>1개 이상 선택 필수</t>
        </is>
      </c>
      <c r="L46" s="36" t="inlineStr">
        <is>
          <t>유형 필터을(를) 선택하세요</t>
        </is>
      </c>
      <c r="M46" s="36" t="inlineStr">
        <is>
          <t>aria-label='매출 유형'</t>
        </is>
      </c>
      <c r="N46" s="36" t="inlineStr">
        <is>
          <t>설계중</t>
        </is>
      </c>
      <c r="O46" s="36" t="n"/>
      <c r="P46" s="36" t="inlineStr">
        <is>
          <t>매출 조회</t>
        </is>
      </c>
      <c r="Q46" s="36" t="inlineStr">
        <is>
          <t>매출 조회/통계</t>
        </is>
      </c>
      <c r="R46" s="36" t="inlineStr">
        <is>
          <t>/api/v1/sales</t>
        </is>
      </c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outlineLevel="1">
      <c r="A47" s="35" t="inlineStr">
        <is>
          <t>UI-040</t>
        </is>
      </c>
      <c r="B47" s="35" t="inlineStr">
        <is>
          <t>SCR-030</t>
        </is>
      </c>
      <c r="C47" s="35" t="inlineStr">
        <is>
          <t>상태 필터</t>
        </is>
      </c>
      <c r="D47" s="36" t="inlineStr">
        <is>
          <t>Select</t>
        </is>
      </c>
      <c r="E47" s="36" t="inlineStr">
        <is>
          <t>결제 상태(완료/환불/미납) 필터</t>
        </is>
      </c>
      <c r="F47" s="36" t="inlineStr">
        <is>
          <t>멀티 선택, 즉시 적용</t>
        </is>
      </c>
      <c r="G47" s="36" t="inlineStr">
        <is>
          <t>FN-010</t>
        </is>
      </c>
      <c r="H47" s="36" t="inlineStr">
        <is>
          <t>API-015</t>
        </is>
      </c>
      <c r="I47" s="36" t="inlineStr">
        <is>
          <t>MultiSelect 컴포넌트</t>
        </is>
      </c>
      <c r="J47" s="36" t="n"/>
      <c r="K47" s="36" t="inlineStr">
        <is>
          <t>1개 이상 선택 필수</t>
        </is>
      </c>
      <c r="L47" s="36" t="inlineStr">
        <is>
          <t>상태 필터을(를) 선택하세요</t>
        </is>
      </c>
      <c r="M47" s="36" t="inlineStr">
        <is>
          <t>aria-label='결제 상태'</t>
        </is>
      </c>
      <c r="N47" s="36" t="inlineStr">
        <is>
          <t>설계중</t>
        </is>
      </c>
      <c r="O47" s="36" t="n"/>
      <c r="P47" s="36" t="inlineStr">
        <is>
          <t>매출 조회</t>
        </is>
      </c>
      <c r="Q47" s="36" t="inlineStr">
        <is>
          <t>매출 조회/통계</t>
        </is>
      </c>
      <c r="R47" s="36" t="inlineStr">
        <is>
          <t>/api/v1/sales</t>
        </is>
      </c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outlineLevel="1">
      <c r="A48" s="35" t="inlineStr">
        <is>
          <t>UI-041</t>
        </is>
      </c>
      <c r="B48" s="35" t="inlineStr">
        <is>
          <t>SCR-030</t>
        </is>
      </c>
      <c r="C48" s="35" t="inlineStr">
        <is>
          <t>검색바</t>
        </is>
      </c>
      <c r="D48" s="36" t="inlineStr">
        <is>
          <t>Input</t>
        </is>
      </c>
      <c r="E48" s="36" t="inlineStr">
        <is>
          <t>구매자/상품명 검색</t>
        </is>
      </c>
      <c r="F48" s="36" t="inlineStr">
        <is>
          <t>실시간 검색 (debounce)</t>
        </is>
      </c>
      <c r="G48" s="36" t="inlineStr">
        <is>
          <t>FN-010</t>
        </is>
      </c>
      <c r="H48" s="36" t="inlineStr">
        <is>
          <t>API-015</t>
        </is>
      </c>
      <c r="I48" s="36" t="inlineStr">
        <is>
          <t>SearchInput</t>
        </is>
      </c>
      <c r="J48" s="36" t="n"/>
      <c r="K48" s="36" t="inlineStr">
        <is>
          <t>최소 1자 이상</t>
        </is>
      </c>
      <c r="L48" s="36" t="inlineStr">
        <is>
          <t>검색어를 입력하세요</t>
        </is>
      </c>
      <c r="M48" s="36" t="inlineStr">
        <is>
          <t>aria-label='매출 검색'</t>
        </is>
      </c>
      <c r="N48" s="36" t="inlineStr">
        <is>
          <t>설계중</t>
        </is>
      </c>
      <c r="O48" s="36" t="n"/>
      <c r="P48" s="36" t="inlineStr">
        <is>
          <t>매출 조회</t>
        </is>
      </c>
      <c r="Q48" s="36" t="inlineStr">
        <is>
          <t>매출 조회/통계</t>
        </is>
      </c>
      <c r="R48" s="36" t="inlineStr">
        <is>
          <t>/api/v1/sales</t>
        </is>
      </c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outlineLevel="1">
      <c r="A49" s="35" t="inlineStr">
        <is>
          <t>UI-042</t>
        </is>
      </c>
      <c r="B49" s="35" t="inlineStr">
        <is>
          <t>SCR-030</t>
        </is>
      </c>
      <c r="C49" s="35" t="inlineStr">
        <is>
          <t>매출 테이블</t>
        </is>
      </c>
      <c r="D49" s="36" t="inlineStr">
        <is>
          <t>List</t>
        </is>
      </c>
      <c r="E49" s="36" t="inlineStr">
        <is>
          <t>매출 내역 데이터 테이블</t>
        </is>
      </c>
      <c r="F49" s="36" t="inlineStr">
        <is>
          <t>행 클릭 시 상세 모달, 정렬, 페이지네이션</t>
        </is>
      </c>
      <c r="G49" s="36" t="inlineStr">
        <is>
          <t>FN-010</t>
        </is>
      </c>
      <c r="H49" s="36" t="inlineStr">
        <is>
          <t>API-015</t>
        </is>
      </c>
      <c r="I49" s="36" t="inlineStr">
        <is>
          <t>DataTable 컴포넌트</t>
        </is>
      </c>
      <c r="J49" s="36" t="n"/>
      <c r="K49" s="36" t="n"/>
      <c r="L49" s="36" t="n"/>
      <c r="M49" s="36" t="inlineStr">
        <is>
          <t>aria-label='매출 목록'</t>
        </is>
      </c>
      <c r="N49" s="36" t="inlineStr">
        <is>
          <t>설계중</t>
        </is>
      </c>
      <c r="O49" s="36" t="n"/>
      <c r="P49" s="36" t="inlineStr">
        <is>
          <t>매출 조회</t>
        </is>
      </c>
      <c r="Q49" s="36" t="inlineStr">
        <is>
          <t>매출 조회/통계</t>
        </is>
      </c>
      <c r="R49" s="36" t="inlineStr">
        <is>
          <t>/api/v1/sales</t>
        </is>
      </c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outlineLevel="1">
      <c r="A50" s="35" t="inlineStr">
        <is>
          <t>UI-043</t>
        </is>
      </c>
      <c r="B50" s="35" t="inlineStr">
        <is>
          <t>SCR-030</t>
        </is>
      </c>
      <c r="C50" s="35" t="inlineStr">
        <is>
          <t>총매출 요약</t>
        </is>
      </c>
      <c r="D50" s="36" t="inlineStr">
        <is>
          <t>Card</t>
        </is>
      </c>
      <c r="E50" s="36" t="inlineStr">
        <is>
          <t>총매출/현금/카드/마일리지 요약 카드</t>
        </is>
      </c>
      <c r="F50" s="36" t="inlineStr">
        <is>
          <t>필터 변경 시 자동 갱신</t>
        </is>
      </c>
      <c r="G50" s="36" t="inlineStr">
        <is>
          <t>FN-010</t>
        </is>
      </c>
      <c r="H50" s="36" t="inlineStr">
        <is>
          <t>API-017</t>
        </is>
      </c>
      <c r="I50" s="36" t="inlineStr">
        <is>
          <t>요약 Card 4개</t>
        </is>
      </c>
      <c r="J50" s="36" t="n"/>
      <c r="K50" s="36" t="n"/>
      <c r="L50" s="36" t="n"/>
      <c r="M50" s="36" t="inlineStr">
        <is>
          <t>aria-label='매출 요약'</t>
        </is>
      </c>
      <c r="N50" s="36" t="inlineStr">
        <is>
          <t>설계중</t>
        </is>
      </c>
      <c r="O50" s="36" t="n"/>
      <c r="P50" s="36" t="inlineStr">
        <is>
          <t>매출 조회</t>
        </is>
      </c>
      <c r="Q50" s="36" t="inlineStr">
        <is>
          <t>매출 조회/통계</t>
        </is>
      </c>
      <c r="R50" s="36" t="inlineStr">
        <is>
          <t>/api/v1/sales/stats/summary</t>
        </is>
      </c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outlineLevel="1">
      <c r="A51" s="35" t="inlineStr">
        <is>
          <t>UI-044</t>
        </is>
      </c>
      <c r="B51" s="35" t="inlineStr">
        <is>
          <t>SCR-030</t>
        </is>
      </c>
      <c r="C51" s="35" t="inlineStr">
        <is>
          <t>엑셀 다운로드</t>
        </is>
      </c>
      <c r="D51" s="36" t="inlineStr">
        <is>
          <t>Button</t>
        </is>
      </c>
      <c r="E51" s="36" t="inlineStr">
        <is>
          <t>매출 데이터 엑셀 다운로드</t>
        </is>
      </c>
      <c r="F51" s="36" t="inlineStr">
        <is>
          <t>클릭 시 xlsx 다운로드</t>
        </is>
      </c>
      <c r="G51" s="36" t="inlineStr">
        <is>
          <t>FN-010</t>
        </is>
      </c>
      <c r="H51" s="36" t="inlineStr">
        <is>
          <t>API-015</t>
        </is>
      </c>
      <c r="I51" s="36" t="inlineStr">
        <is>
          <t>다운로드 버튼</t>
        </is>
      </c>
      <c r="J51" s="36" t="n"/>
      <c r="K51" s="36" t="n"/>
      <c r="L51" s="36" t="n"/>
      <c r="M51" s="36" t="inlineStr">
        <is>
          <t>aria-label='엑셀 다운로드'</t>
        </is>
      </c>
      <c r="N51" s="36" t="inlineStr">
        <is>
          <t>설계중</t>
        </is>
      </c>
      <c r="O51" s="36" t="n"/>
      <c r="P51" s="36" t="inlineStr">
        <is>
          <t>매출 조회</t>
        </is>
      </c>
      <c r="Q51" s="36" t="inlineStr">
        <is>
          <t>매출 조회/통계</t>
        </is>
      </c>
      <c r="R51" s="36" t="inlineStr">
        <is>
          <t>/api/v1/sales</t>
        </is>
      </c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>
      <c r="A52" s="3" t="inlineStr">
        <is>
          <t>▼ SCR-031</t>
        </is>
      </c>
      <c r="B52" s="3" t="inlineStr">
        <is>
          <t>POS (4개 요소)</t>
        </is>
      </c>
      <c r="C52" s="3" t="inlineStr">
        <is>
          <t>4개 요소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4" t="n"/>
      <c r="U52" s="34" t="n"/>
      <c r="V52" s="34" t="n"/>
      <c r="W52" s="34" t="n"/>
      <c r="X52" s="34" t="n"/>
      <c r="Y52" s="34" t="n"/>
      <c r="Z52" s="34" t="n"/>
      <c r="AA52" s="34" t="n"/>
    </row>
    <row r="53" outlineLevel="1">
      <c r="A53" s="35" t="inlineStr">
        <is>
          <t>UI-045</t>
        </is>
      </c>
      <c r="B53" s="35" t="inlineStr">
        <is>
          <t>SCR-031</t>
        </is>
      </c>
      <c r="C53" s="35" t="inlineStr">
        <is>
          <t>카테고리 탭</t>
        </is>
      </c>
      <c r="D53" s="36" t="inlineStr">
        <is>
          <t>Tab</t>
        </is>
      </c>
      <c r="E53" s="36" t="inlineStr">
        <is>
          <t>상품 카테고리 탭 (이용권/PT/GX/기타)</t>
        </is>
      </c>
      <c r="F53" s="36" t="inlineStr">
        <is>
          <t>탭 전환 시 상품 그리드 갱신</t>
        </is>
      </c>
      <c r="G53" s="36" t="inlineStr">
        <is>
          <t>FN-011</t>
        </is>
      </c>
      <c r="H53" s="36" t="inlineStr">
        <is>
          <t>API-018</t>
        </is>
      </c>
      <c r="I53" s="36" t="inlineStr">
        <is>
          <t>Tab 컴포넌트</t>
        </is>
      </c>
      <c r="J53" s="36" t="n"/>
      <c r="K53" s="36" t="n"/>
      <c r="L53" s="36" t="n"/>
      <c r="M53" s="36" t="inlineStr">
        <is>
          <t>aria-label='상품 카테고리'</t>
        </is>
      </c>
      <c r="N53" s="36" t="inlineStr">
        <is>
          <t>설계중</t>
        </is>
      </c>
      <c r="O53" s="36" t="n"/>
      <c r="P53" s="36" t="inlineStr">
        <is>
          <t>POS</t>
        </is>
      </c>
      <c r="Q53" s="36" t="inlineStr">
        <is>
          <t>POS 상품 선택/결제</t>
        </is>
      </c>
      <c r="R53" s="36" t="inlineStr">
        <is>
          <t>/api/v1/products</t>
        </is>
      </c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outlineLevel="1">
      <c r="A54" s="35" t="inlineStr">
        <is>
          <t>UI-046</t>
        </is>
      </c>
      <c r="B54" s="35" t="inlineStr">
        <is>
          <t>SCR-031</t>
        </is>
      </c>
      <c r="C54" s="35" t="inlineStr">
        <is>
          <t>상품 그리드</t>
        </is>
      </c>
      <c r="D54" s="36" t="inlineStr">
        <is>
          <t>List</t>
        </is>
      </c>
      <c r="E54" s="36" t="inlineStr">
        <is>
          <t>카테고리별 상품 카드 그리드</t>
        </is>
      </c>
      <c r="F54" s="36" t="inlineStr">
        <is>
          <t>카드 클릭 시 장바구니 추가</t>
        </is>
      </c>
      <c r="G54" s="36" t="inlineStr">
        <is>
          <t>FN-011</t>
        </is>
      </c>
      <c r="H54" s="36" t="inlineStr">
        <is>
          <t>API-018</t>
        </is>
      </c>
      <c r="I54" s="36" t="inlineStr">
        <is>
          <t>CSS Grid + Card</t>
        </is>
      </c>
      <c r="J54" s="36" t="n"/>
      <c r="K54" s="36" t="n"/>
      <c r="L54" s="36" t="n"/>
      <c r="M54" s="36" t="inlineStr">
        <is>
          <t>aria-label='상품 목록'</t>
        </is>
      </c>
      <c r="N54" s="36" t="inlineStr">
        <is>
          <t>설계중</t>
        </is>
      </c>
      <c r="O54" s="36" t="n"/>
      <c r="P54" s="36" t="inlineStr">
        <is>
          <t>POS</t>
        </is>
      </c>
      <c r="Q54" s="36" t="inlineStr">
        <is>
          <t>POS 상품 선택/결제</t>
        </is>
      </c>
      <c r="R54" s="36" t="inlineStr">
        <is>
          <t>/api/v1/products</t>
        </is>
      </c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outlineLevel="1">
      <c r="A55" s="35" t="inlineStr">
        <is>
          <t>UI-047</t>
        </is>
      </c>
      <c r="B55" s="35" t="inlineStr">
        <is>
          <t>SCR-031</t>
        </is>
      </c>
      <c r="C55" s="35" t="inlineStr">
        <is>
          <t>장바구니</t>
        </is>
      </c>
      <c r="D55" s="36" t="inlineStr">
        <is>
          <t>List</t>
        </is>
      </c>
      <c r="E55" s="36" t="inlineStr">
        <is>
          <t>선택한 상품 목록 + 합계</t>
        </is>
      </c>
      <c r="F55" s="36" t="inlineStr">
        <is>
          <t>수량 조절, 삭제, 합계 자동 계산</t>
        </is>
      </c>
      <c r="G55" s="36" t="inlineStr">
        <is>
          <t>FN-011</t>
        </is>
      </c>
      <c r="H55" s="36" t="n"/>
      <c r="I55" s="36" t="inlineStr">
        <is>
          <t>장바구니 컴포넌트</t>
        </is>
      </c>
      <c r="J55" s="36" t="n"/>
      <c r="K55" s="36" t="n"/>
      <c r="L55" s="36" t="n"/>
      <c r="M55" s="36" t="inlineStr">
        <is>
          <t>aria-label='장바구니'</t>
        </is>
      </c>
      <c r="N55" s="36" t="inlineStr">
        <is>
          <t>설계중</t>
        </is>
      </c>
      <c r="O55" s="36" t="n"/>
      <c r="P55" s="36" t="inlineStr">
        <is>
          <t>POS</t>
        </is>
      </c>
      <c r="Q55" s="36" t="inlineStr">
        <is>
          <t>POS 상품 선택/결제</t>
        </is>
      </c>
      <c r="R55" s="36">
        <f>IFERROR(VLOOKUP(H55,API명세서!A:D,4,FALSE()),"")</f>
        <v/>
      </c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outlineLevel="1">
      <c r="A56" s="35" t="inlineStr">
        <is>
          <t>UI-048</t>
        </is>
      </c>
      <c r="B56" s="35" t="inlineStr">
        <is>
          <t>SCR-031</t>
        </is>
      </c>
      <c r="C56" s="35" t="inlineStr">
        <is>
          <t>결제 버튼</t>
        </is>
      </c>
      <c r="D56" s="36" t="inlineStr">
        <is>
          <t>Button</t>
        </is>
      </c>
      <c r="E56" s="36" t="inlineStr">
        <is>
          <t>결제 화면(SCR-032) 이동</t>
        </is>
      </c>
      <c r="F56" s="36" t="inlineStr">
        <is>
          <t>장바구니 1개 이상 시 활성화</t>
        </is>
      </c>
      <c r="G56" s="36" t="inlineStr">
        <is>
          <t>FN-011</t>
        </is>
      </c>
      <c r="H56" s="36" t="n"/>
      <c r="I56" s="36" t="inlineStr">
        <is>
          <t>Primary Button</t>
        </is>
      </c>
      <c r="J56" s="36" t="n"/>
      <c r="K56" s="36" t="inlineStr">
        <is>
          <t>장바구니 비어있으면 비활성</t>
        </is>
      </c>
      <c r="L56" s="36" t="inlineStr">
        <is>
          <t>상품을 선택해주세요</t>
        </is>
      </c>
      <c r="M56" s="36" t="inlineStr">
        <is>
          <t>aria-label='결제하기'</t>
        </is>
      </c>
      <c r="N56" s="36" t="inlineStr">
        <is>
          <t>설계중</t>
        </is>
      </c>
      <c r="O56" s="36" t="n"/>
      <c r="P56" s="36" t="inlineStr">
        <is>
          <t>POS</t>
        </is>
      </c>
      <c r="Q56" s="36" t="inlineStr">
        <is>
          <t>POS 상품 선택/결제</t>
        </is>
      </c>
      <c r="R56" s="36">
        <f>IFERROR(VLOOKUP(H56,API명세서!A:D,4,FALSE()),"")</f>
        <v/>
      </c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>
      <c r="A57" s="3" t="inlineStr">
        <is>
          <t>▼ SCR-032</t>
        </is>
      </c>
      <c r="B57" s="3" t="inlineStr">
        <is>
          <t>POS 결제 (4개 요소)</t>
        </is>
      </c>
      <c r="C57" s="3" t="inlineStr">
        <is>
          <t>4개 요소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4" t="n"/>
      <c r="U57" s="34" t="n"/>
      <c r="V57" s="34" t="n"/>
      <c r="W57" s="34" t="n"/>
      <c r="X57" s="34" t="n"/>
      <c r="Y57" s="34" t="n"/>
      <c r="Z57" s="34" t="n"/>
      <c r="AA57" s="34" t="n"/>
    </row>
    <row r="58" outlineLevel="1">
      <c r="A58" s="35" t="inlineStr">
        <is>
          <t>UI-049</t>
        </is>
      </c>
      <c r="B58" s="35" t="inlineStr">
        <is>
          <t>SCR-032</t>
        </is>
      </c>
      <c r="C58" s="35" t="inlineStr">
        <is>
          <t>결제 요약</t>
        </is>
      </c>
      <c r="D58" s="36" t="inlineStr">
        <is>
          <t>Card</t>
        </is>
      </c>
      <c r="E58" s="36" t="inlineStr">
        <is>
          <t>결제 대상 상품 요약 및 총액</t>
        </is>
      </c>
      <c r="F58" s="36" t="inlineStr">
        <is>
          <t>상품명, 수량, 금액 표시</t>
        </is>
      </c>
      <c r="G58" s="36" t="inlineStr">
        <is>
          <t>FN-012</t>
        </is>
      </c>
      <c r="H58" s="36" t="inlineStr">
        <is>
          <t>API-016</t>
        </is>
      </c>
      <c r="I58" s="36" t="inlineStr">
        <is>
          <t>요약 Card</t>
        </is>
      </c>
      <c r="J58" s="36" t="n"/>
      <c r="K58" s="36" t="n"/>
      <c r="L58" s="36" t="n"/>
      <c r="M58" s="36" t="inlineStr">
        <is>
          <t>aria-label='결제 요약'</t>
        </is>
      </c>
      <c r="N58" s="36" t="inlineStr">
        <is>
          <t>설계중</t>
        </is>
      </c>
      <c r="O58" s="36" t="n"/>
      <c r="P58" s="36" t="inlineStr">
        <is>
          <t>POS 결제</t>
        </is>
      </c>
      <c r="Q58" s="36" t="inlineStr">
        <is>
          <t>POS 결제 처리</t>
        </is>
      </c>
      <c r="R58" s="36" t="inlineStr">
        <is>
          <t>/api/v1/sales</t>
        </is>
      </c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outlineLevel="1">
      <c r="A59" s="35" t="inlineStr">
        <is>
          <t>UI-050</t>
        </is>
      </c>
      <c r="B59" s="35" t="inlineStr">
        <is>
          <t>SCR-032</t>
        </is>
      </c>
      <c r="C59" s="35" t="inlineStr">
        <is>
          <t>결제수단 선택</t>
        </is>
      </c>
      <c r="D59" s="36" t="inlineStr">
        <is>
          <t>Radio</t>
        </is>
      </c>
      <c r="E59" s="36" t="inlineStr">
        <is>
          <t>현금/카드/마일리지/복합 선택</t>
        </is>
      </c>
      <c r="F59" s="36" t="inlineStr">
        <is>
          <t>복합 선택 시 금액 분배 입력 필드 표시</t>
        </is>
      </c>
      <c r="G59" s="36" t="inlineStr">
        <is>
          <t>FN-012</t>
        </is>
      </c>
      <c r="H59" s="36" t="inlineStr">
        <is>
          <t>API-016</t>
        </is>
      </c>
      <c r="I59" s="36" t="inlineStr">
        <is>
          <t>RadioGroup + 조건부 입력</t>
        </is>
      </c>
      <c r="J59" s="36" t="n"/>
      <c r="K59" s="36" t="inlineStr">
        <is>
          <t>필수 선택</t>
        </is>
      </c>
      <c r="L59" s="36" t="inlineStr">
        <is>
          <t>결제수단 선택을(를) 선택하세요</t>
        </is>
      </c>
      <c r="M59" s="36" t="inlineStr">
        <is>
          <t>role='radiogroup'</t>
        </is>
      </c>
      <c r="N59" s="36" t="inlineStr">
        <is>
          <t>설계중</t>
        </is>
      </c>
      <c r="O59" s="36" t="n"/>
      <c r="P59" s="36" t="inlineStr">
        <is>
          <t>POS 결제</t>
        </is>
      </c>
      <c r="Q59" s="36" t="inlineStr">
        <is>
          <t>POS 결제 처리</t>
        </is>
      </c>
      <c r="R59" s="36" t="inlineStr">
        <is>
          <t>/api/v1/sales</t>
        </is>
      </c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outlineLevel="1">
      <c r="A60" s="35" t="inlineStr">
        <is>
          <t>UI-051</t>
        </is>
      </c>
      <c r="B60" s="35" t="inlineStr">
        <is>
          <t>SCR-032</t>
        </is>
      </c>
      <c r="C60" s="35" t="inlineStr">
        <is>
          <t>회원 검색</t>
        </is>
      </c>
      <c r="D60" s="36" t="inlineStr">
        <is>
          <t>Input</t>
        </is>
      </c>
      <c r="E60" s="36" t="inlineStr">
        <is>
          <t>결제 대상 회원 검색</t>
        </is>
      </c>
      <c r="F60" s="36" t="inlineStr">
        <is>
          <t>회원 선택 시 마일리지 잔액 표시</t>
        </is>
      </c>
      <c r="G60" s="36" t="inlineStr">
        <is>
          <t>FN-012</t>
        </is>
      </c>
      <c r="H60" s="36" t="inlineStr">
        <is>
          <t>API-007</t>
        </is>
      </c>
      <c r="I60" s="36" t="inlineStr">
        <is>
          <t>AutoComplete 컴포넌트</t>
        </is>
      </c>
      <c r="J60" s="36" t="n"/>
      <c r="K60" s="36" t="inlineStr">
        <is>
          <t>최소 1자 이상</t>
        </is>
      </c>
      <c r="L60" s="36" t="inlineStr">
        <is>
          <t>검색어를 입력하세요</t>
        </is>
      </c>
      <c r="M60" s="36" t="inlineStr">
        <is>
          <t>aria-label='회원 검색'</t>
        </is>
      </c>
      <c r="N60" s="36" t="inlineStr">
        <is>
          <t>설계중</t>
        </is>
      </c>
      <c r="O60" s="36" t="n"/>
      <c r="P60" s="36" t="inlineStr">
        <is>
          <t>POS 결제</t>
        </is>
      </c>
      <c r="Q60" s="36" t="inlineStr">
        <is>
          <t>POS 결제 처리</t>
        </is>
      </c>
      <c r="R60" s="36" t="inlineStr">
        <is>
          <t>/api/v1/members</t>
        </is>
      </c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outlineLevel="1">
      <c r="A61" s="35" t="inlineStr">
        <is>
          <t>UI-052</t>
        </is>
      </c>
      <c r="B61" s="35" t="inlineStr">
        <is>
          <t>SCR-032</t>
        </is>
      </c>
      <c r="C61" s="35" t="inlineStr">
        <is>
          <t>결제 확인 버튼</t>
        </is>
      </c>
      <c r="D61" s="36" t="inlineStr">
        <is>
          <t>Button</t>
        </is>
      </c>
      <c r="E61" s="36" t="inlineStr">
        <is>
          <t>결제 실행</t>
        </is>
      </c>
      <c r="F61" s="36" t="inlineStr">
        <is>
          <t>결제 확인 모달 → API 호출 → 영수증</t>
        </is>
      </c>
      <c r="G61" s="36" t="inlineStr">
        <is>
          <t>FN-012</t>
        </is>
      </c>
      <c r="H61" s="36" t="inlineStr">
        <is>
          <t>API-016</t>
        </is>
      </c>
      <c r="I61" s="36" t="inlineStr">
        <is>
          <t>Primary Button + 확인 모달</t>
        </is>
      </c>
      <c r="J61" s="36" t="n"/>
      <c r="K61" s="36" t="inlineStr">
        <is>
          <t>결제수단/금액 검증</t>
        </is>
      </c>
      <c r="L61" s="36" t="inlineStr">
        <is>
          <t>결제에 실패했습니다</t>
        </is>
      </c>
      <c r="M61" s="36" t="inlineStr">
        <is>
          <t>aria-label='결제 확인'</t>
        </is>
      </c>
      <c r="N61" s="36" t="inlineStr">
        <is>
          <t>설계중</t>
        </is>
      </c>
      <c r="O61" s="36" t="n"/>
      <c r="P61" s="36" t="inlineStr">
        <is>
          <t>POS 결제</t>
        </is>
      </c>
      <c r="Q61" s="36" t="inlineStr">
        <is>
          <t>POS 결제 처리</t>
        </is>
      </c>
      <c r="R61" s="36" t="inlineStr">
        <is>
          <t>/api/v1/sales</t>
        </is>
      </c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>
      <c r="A62" s="3" t="inlineStr">
        <is>
          <t>▼ SCR-050</t>
        </is>
      </c>
      <c r="B62" s="3" t="inlineStr">
        <is>
          <t>락커 현황 (4개 요소)</t>
        </is>
      </c>
      <c r="C62" s="3" t="inlineStr">
        <is>
          <t>4개 요소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4" t="n"/>
      <c r="U62" s="34" t="n"/>
      <c r="V62" s="34" t="n"/>
      <c r="W62" s="34" t="n"/>
      <c r="X62" s="34" t="n"/>
      <c r="Y62" s="34" t="n"/>
      <c r="Z62" s="34" t="n"/>
      <c r="AA62" s="34" t="n"/>
    </row>
    <row r="63" outlineLevel="1">
      <c r="A63" s="35" t="inlineStr">
        <is>
          <t>UI-053</t>
        </is>
      </c>
      <c r="B63" s="35" t="inlineStr">
        <is>
          <t>SCR-050</t>
        </is>
      </c>
      <c r="C63" s="35" t="inlineStr">
        <is>
          <t>구역 탭</t>
        </is>
      </c>
      <c r="D63" s="36" t="inlineStr">
        <is>
          <t>Tab</t>
        </is>
      </c>
      <c r="E63" s="36" t="inlineStr">
        <is>
          <t>락커 구역(A/B/C...) 탭</t>
        </is>
      </c>
      <c r="F63" s="36" t="inlineStr">
        <is>
          <t>탭 전환 시 해당 구역 그리드 표시</t>
        </is>
      </c>
      <c r="G63" s="36" t="inlineStr">
        <is>
          <t>FN-015</t>
        </is>
      </c>
      <c r="H63" s="36" t="inlineStr">
        <is>
          <t>API-020</t>
        </is>
      </c>
      <c r="I63" s="36" t="inlineStr">
        <is>
          <t>Tab 컴포넌트</t>
        </is>
      </c>
      <c r="J63" s="36" t="n"/>
      <c r="K63" s="36" t="n"/>
      <c r="L63" s="36" t="n"/>
      <c r="M63" s="36" t="inlineStr">
        <is>
          <t>aria-label='락커 구역'</t>
        </is>
      </c>
      <c r="N63" s="36" t="inlineStr">
        <is>
          <t>설계중</t>
        </is>
      </c>
      <c r="O63" s="36" t="n"/>
      <c r="P63" s="36" t="inlineStr">
        <is>
          <t>락커 현황</t>
        </is>
      </c>
      <c r="Q63" s="36" t="inlineStr">
        <is>
          <t>락커 현황 조회</t>
        </is>
      </c>
      <c r="R63" s="36" t="inlineStr">
        <is>
          <t>/api/v1/lockers</t>
        </is>
      </c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outlineLevel="1">
      <c r="A64" s="35" t="inlineStr">
        <is>
          <t>UI-054</t>
        </is>
      </c>
      <c r="B64" s="35" t="inlineStr">
        <is>
          <t>SCR-050</t>
        </is>
      </c>
      <c r="C64" s="35" t="inlineStr">
        <is>
          <t>락커 그리드</t>
        </is>
      </c>
      <c r="D64" s="36" t="inlineStr">
        <is>
          <t>List</t>
        </is>
      </c>
      <c r="E64" s="36" t="inlineStr">
        <is>
          <t>락커 번호별 색상 그리드</t>
        </is>
      </c>
      <c r="F64" s="36" t="inlineStr">
        <is>
          <t>사용중(파랑)/빈(회색)/만료임박(주황)/고장(빨강)</t>
        </is>
      </c>
      <c r="G64" s="36" t="inlineStr">
        <is>
          <t>FN-015</t>
        </is>
      </c>
      <c r="H64" s="36" t="inlineStr">
        <is>
          <t>API-020</t>
        </is>
      </c>
      <c r="I64" s="36" t="inlineStr">
        <is>
          <t>CSS Grid + 색상 매핑</t>
        </is>
      </c>
      <c r="J64" s="36" t="n"/>
      <c r="K64" s="36" t="n"/>
      <c r="L64" s="36" t="n"/>
      <c r="M64" s="36" t="inlineStr">
        <is>
          <t>색상+패턴으로 상태 구분</t>
        </is>
      </c>
      <c r="N64" s="36" t="inlineStr">
        <is>
          <t>설계중</t>
        </is>
      </c>
      <c r="O64" s="36" t="n"/>
      <c r="P64" s="36" t="inlineStr">
        <is>
          <t>락커 현황</t>
        </is>
      </c>
      <c r="Q64" s="36" t="inlineStr">
        <is>
          <t>락커 현황 조회</t>
        </is>
      </c>
      <c r="R64" s="36" t="inlineStr">
        <is>
          <t>/api/v1/lockers</t>
        </is>
      </c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outlineLevel="1">
      <c r="A65" s="35" t="inlineStr">
        <is>
          <t>UI-055</t>
        </is>
      </c>
      <c r="B65" s="35" t="inlineStr">
        <is>
          <t>SCR-050</t>
        </is>
      </c>
      <c r="C65" s="35" t="inlineStr">
        <is>
          <t>범례</t>
        </is>
      </c>
      <c r="D65" s="36" t="inlineStr">
        <is>
          <t>Label</t>
        </is>
      </c>
      <c r="E65" s="36" t="inlineStr">
        <is>
          <t>락커 상태별 색상 범례</t>
        </is>
      </c>
      <c r="F65" s="36" t="inlineStr">
        <is>
          <t>4가지 상태 색상 설명</t>
        </is>
      </c>
      <c r="G65" s="36" t="n"/>
      <c r="H65" s="36" t="n"/>
      <c r="I65" s="36" t="inlineStr">
        <is>
          <t>범례 컴포넌트</t>
        </is>
      </c>
      <c r="J65" s="36" t="n"/>
      <c r="K65" s="36" t="n"/>
      <c r="L65" s="36" t="n"/>
      <c r="M65" s="36" t="inlineStr">
        <is>
          <t>aria-label='범례'</t>
        </is>
      </c>
      <c r="N65" s="36" t="inlineStr">
        <is>
          <t>설계중</t>
        </is>
      </c>
      <c r="O65" s="36" t="n"/>
      <c r="P65" s="36" t="inlineStr">
        <is>
          <t>락커 현황</t>
        </is>
      </c>
      <c r="Q65" s="36">
        <f>IFERROR(VLOOKUP(G65,기능명세서!A:B,2,FALSE()),"")</f>
        <v/>
      </c>
      <c r="R65" s="36">
        <f>IFERROR(VLOOKUP(H65,API명세서!A:D,4,FALSE()),"")</f>
        <v/>
      </c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outlineLevel="1">
      <c r="A66" s="35" t="inlineStr">
        <is>
          <t>UI-056</t>
        </is>
      </c>
      <c r="B66" s="35" t="inlineStr">
        <is>
          <t>SCR-050</t>
        </is>
      </c>
      <c r="C66" s="35" t="inlineStr">
        <is>
          <t>락커 상세 모달</t>
        </is>
      </c>
      <c r="D66" s="36" t="inlineStr">
        <is>
          <t>Modal</t>
        </is>
      </c>
      <c r="E66" s="36" t="inlineStr">
        <is>
          <t>락커 클릭 시 상세 정보 모달</t>
        </is>
      </c>
      <c r="F66" s="36" t="inlineStr">
        <is>
          <t>배정 회원, 만료일, 이력 표시</t>
        </is>
      </c>
      <c r="G66" s="36" t="inlineStr">
        <is>
          <t>FN-015</t>
        </is>
      </c>
      <c r="H66" s="36" t="inlineStr">
        <is>
          <t>API-020</t>
        </is>
      </c>
      <c r="I66" s="36" t="inlineStr">
        <is>
          <t>Modal 컴포넌트</t>
        </is>
      </c>
      <c r="J66" s="36" t="n"/>
      <c r="K66" s="36" t="n"/>
      <c r="L66" s="36" t="n"/>
      <c r="M66" s="36" t="inlineStr">
        <is>
          <t>aria-modal='true'</t>
        </is>
      </c>
      <c r="N66" s="36" t="inlineStr">
        <is>
          <t>설계중</t>
        </is>
      </c>
      <c r="O66" s="36" t="n"/>
      <c r="P66" s="36" t="inlineStr">
        <is>
          <t>락커 현황</t>
        </is>
      </c>
      <c r="Q66" s="36" t="inlineStr">
        <is>
          <t>락커 현황 조회</t>
        </is>
      </c>
      <c r="R66" s="36" t="inlineStr">
        <is>
          <t>/api/v1/lockers</t>
        </is>
      </c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>
      <c r="A67" s="3" t="inlineStr">
        <is>
          <t>▼ SCR-060</t>
        </is>
      </c>
      <c r="B67" s="3" t="inlineStr">
        <is>
          <t>직원 목록 (5개 요소)</t>
        </is>
      </c>
      <c r="C67" s="3" t="inlineStr">
        <is>
          <t>5개 요소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4" t="n"/>
      <c r="U67" s="34" t="n"/>
      <c r="V67" s="34" t="n"/>
      <c r="W67" s="34" t="n"/>
      <c r="X67" s="34" t="n"/>
      <c r="Y67" s="34" t="n"/>
      <c r="Z67" s="34" t="n"/>
      <c r="AA67" s="34" t="n"/>
    </row>
    <row r="68" outlineLevel="1">
      <c r="A68" s="35" t="inlineStr">
        <is>
          <t>UI-057</t>
        </is>
      </c>
      <c r="B68" s="35" t="inlineStr">
        <is>
          <t>SCR-060</t>
        </is>
      </c>
      <c r="C68" s="35" t="inlineStr">
        <is>
          <t>검색바</t>
        </is>
      </c>
      <c r="D68" s="36" t="inlineStr">
        <is>
          <t>Input</t>
        </is>
      </c>
      <c r="E68" s="36" t="inlineStr">
        <is>
          <t>직원 이름/연락처 검색</t>
        </is>
      </c>
      <c r="F68" s="36" t="inlineStr">
        <is>
          <t>실시간 검색</t>
        </is>
      </c>
      <c r="G68" s="36" t="inlineStr">
        <is>
          <t>FN-019</t>
        </is>
      </c>
      <c r="H68" s="36" t="inlineStr">
        <is>
          <t>API-022</t>
        </is>
      </c>
      <c r="I68" s="36" t="inlineStr">
        <is>
          <t>SearchInput</t>
        </is>
      </c>
      <c r="J68" s="36" t="n"/>
      <c r="K68" s="36" t="inlineStr">
        <is>
          <t>최소 1자 이상</t>
        </is>
      </c>
      <c r="L68" s="36" t="inlineStr">
        <is>
          <t>검색어를 입력하세요</t>
        </is>
      </c>
      <c r="M68" s="36" t="inlineStr">
        <is>
          <t>aria-label='직원 검색'</t>
        </is>
      </c>
      <c r="N68" s="36" t="inlineStr">
        <is>
          <t>설계중</t>
        </is>
      </c>
      <c r="O68" s="36" t="n"/>
      <c r="P68" s="36" t="inlineStr">
        <is>
          <t>직원 목록</t>
        </is>
      </c>
      <c r="Q68" s="36" t="inlineStr">
        <is>
          <t>직원 목록 조회</t>
        </is>
      </c>
      <c r="R68" s="36" t="inlineStr">
        <is>
          <t>/api/v1/staff</t>
        </is>
      </c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outlineLevel="1">
      <c r="A69" s="35" t="inlineStr">
        <is>
          <t>UI-058</t>
        </is>
      </c>
      <c r="B69" s="35" t="inlineStr">
        <is>
          <t>SCR-060</t>
        </is>
      </c>
      <c r="C69" s="35" t="inlineStr">
        <is>
          <t>역할 필터</t>
        </is>
      </c>
      <c r="D69" s="36" t="inlineStr">
        <is>
          <t>Select</t>
        </is>
      </c>
      <c r="E69" s="36" t="inlineStr">
        <is>
          <t>역할(센터장/매니저/FC/스태프) 필터</t>
        </is>
      </c>
      <c r="F69" s="36" t="inlineStr">
        <is>
          <t>단일 선택</t>
        </is>
      </c>
      <c r="G69" s="36" t="inlineStr">
        <is>
          <t>FN-019</t>
        </is>
      </c>
      <c r="H69" s="36" t="inlineStr">
        <is>
          <t>API-022</t>
        </is>
      </c>
      <c r="I69" s="36" t="inlineStr">
        <is>
          <t>Select</t>
        </is>
      </c>
      <c r="J69" s="36" t="n"/>
      <c r="K69" s="36" t="inlineStr">
        <is>
          <t>1개 이상 선택 필수</t>
        </is>
      </c>
      <c r="L69" s="36" t="inlineStr">
        <is>
          <t>역할 필터을(를) 선택하세요</t>
        </is>
      </c>
      <c r="M69" s="36" t="inlineStr">
        <is>
          <t>aria-label='역할 필터'</t>
        </is>
      </c>
      <c r="N69" s="36" t="inlineStr">
        <is>
          <t>설계중</t>
        </is>
      </c>
      <c r="O69" s="36" t="n"/>
      <c r="P69" s="36" t="inlineStr">
        <is>
          <t>직원 목록</t>
        </is>
      </c>
      <c r="Q69" s="36" t="inlineStr">
        <is>
          <t>직원 목록 조회</t>
        </is>
      </c>
      <c r="R69" s="36" t="inlineStr">
        <is>
          <t>/api/v1/staff</t>
        </is>
      </c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outlineLevel="1">
      <c r="A70" s="35" t="inlineStr">
        <is>
          <t>UI-059</t>
        </is>
      </c>
      <c r="B70" s="35" t="inlineStr">
        <is>
          <t>SCR-060</t>
        </is>
      </c>
      <c r="C70" s="35" t="inlineStr">
        <is>
          <t>상태 필터</t>
        </is>
      </c>
      <c r="D70" s="36" t="inlineStr">
        <is>
          <t>Select</t>
        </is>
      </c>
      <c r="E70" s="36" t="inlineStr">
        <is>
          <t>재직 상태(재직/휴직/퇴사) 필터</t>
        </is>
      </c>
      <c r="F70" s="36" t="inlineStr">
        <is>
          <t>단일 선택</t>
        </is>
      </c>
      <c r="G70" s="36" t="inlineStr">
        <is>
          <t>FN-019</t>
        </is>
      </c>
      <c r="H70" s="36" t="inlineStr">
        <is>
          <t>API-022</t>
        </is>
      </c>
      <c r="I70" s="36" t="inlineStr">
        <is>
          <t>Select</t>
        </is>
      </c>
      <c r="J70" s="36" t="n"/>
      <c r="K70" s="36" t="inlineStr">
        <is>
          <t>1개 이상 선택 필수</t>
        </is>
      </c>
      <c r="L70" s="36" t="inlineStr">
        <is>
          <t>상태 필터을(를) 선택하세요</t>
        </is>
      </c>
      <c r="M70" s="36" t="inlineStr">
        <is>
          <t>aria-label='상태 필터'</t>
        </is>
      </c>
      <c r="N70" s="36" t="inlineStr">
        <is>
          <t>설계중</t>
        </is>
      </c>
      <c r="O70" s="36" t="n"/>
      <c r="P70" s="36" t="inlineStr">
        <is>
          <t>직원 목록</t>
        </is>
      </c>
      <c r="Q70" s="36" t="inlineStr">
        <is>
          <t>직원 목록 조회</t>
        </is>
      </c>
      <c r="R70" s="36" t="inlineStr">
        <is>
          <t>/api/v1/staff</t>
        </is>
      </c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outlineLevel="1">
      <c r="A71" s="35" t="inlineStr">
        <is>
          <t>UI-060</t>
        </is>
      </c>
      <c r="B71" s="35" t="inlineStr">
        <is>
          <t>SCR-060</t>
        </is>
      </c>
      <c r="C71" s="35" t="inlineStr">
        <is>
          <t>직원 테이블</t>
        </is>
      </c>
      <c r="D71" s="36" t="inlineStr">
        <is>
          <t>List</t>
        </is>
      </c>
      <c r="E71" s="36" t="inlineStr">
        <is>
          <t>직원 목록 데이터 테이블</t>
        </is>
      </c>
      <c r="F71" s="36" t="inlineStr">
        <is>
          <t>행 클릭 시 상세 모달</t>
        </is>
      </c>
      <c r="G71" s="36" t="inlineStr">
        <is>
          <t>FN-019</t>
        </is>
      </c>
      <c r="H71" s="36" t="inlineStr">
        <is>
          <t>API-022</t>
        </is>
      </c>
      <c r="I71" s="36" t="inlineStr">
        <is>
          <t>DataTable</t>
        </is>
      </c>
      <c r="J71" s="36" t="n"/>
      <c r="K71" s="36" t="n"/>
      <c r="L71" s="36" t="n"/>
      <c r="M71" s="36" t="inlineStr">
        <is>
          <t>aria-label='직원 목록'</t>
        </is>
      </c>
      <c r="N71" s="36" t="inlineStr">
        <is>
          <t>설계중</t>
        </is>
      </c>
      <c r="O71" s="36" t="n"/>
      <c r="P71" s="36" t="inlineStr">
        <is>
          <t>직원 목록</t>
        </is>
      </c>
      <c r="Q71" s="36" t="inlineStr">
        <is>
          <t>직원 목록 조회</t>
        </is>
      </c>
      <c r="R71" s="36" t="inlineStr">
        <is>
          <t>/api/v1/staff</t>
        </is>
      </c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outlineLevel="1">
      <c r="A72" s="35" t="inlineStr">
        <is>
          <t>UI-061</t>
        </is>
      </c>
      <c r="B72" s="35" t="inlineStr">
        <is>
          <t>SCR-060</t>
        </is>
      </c>
      <c r="C72" s="35" t="inlineStr">
        <is>
          <t>직원등록 버튼</t>
        </is>
      </c>
      <c r="D72" s="36" t="inlineStr">
        <is>
          <t>Button</t>
        </is>
      </c>
      <c r="E72" s="36" t="inlineStr">
        <is>
          <t>SCR-061 이동</t>
        </is>
      </c>
      <c r="F72" s="36" t="inlineStr">
        <is>
          <t>클릭 시 등록 페이지 이동</t>
        </is>
      </c>
      <c r="G72" s="36" t="inlineStr">
        <is>
          <t>FN-020</t>
        </is>
      </c>
      <c r="H72" s="36" t="n"/>
      <c r="I72" s="36" t="inlineStr">
        <is>
          <t>Primary Button</t>
        </is>
      </c>
      <c r="J72" s="36" t="n"/>
      <c r="K72" s="36" t="n"/>
      <c r="L72" s="36" t="n"/>
      <c r="M72" s="36" t="inlineStr">
        <is>
          <t>aria-label='직원 등록'</t>
        </is>
      </c>
      <c r="N72" s="36" t="inlineStr">
        <is>
          <t>설계중</t>
        </is>
      </c>
      <c r="O72" s="36" t="n"/>
      <c r="P72" s="36" t="inlineStr">
        <is>
          <t>직원 목록</t>
        </is>
      </c>
      <c r="Q72" s="36" t="inlineStr">
        <is>
          <t>직원 등록/수정</t>
        </is>
      </c>
      <c r="R72" s="36">
        <f>IFERROR(VLOOKUP(H72,API명세서!A:D,4,FALSE()),"")</f>
        <v/>
      </c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>
      <c r="A73" s="3" t="inlineStr">
        <is>
          <t>▼ SCR-070</t>
        </is>
      </c>
      <c r="B73" s="3" t="inlineStr">
        <is>
          <t>메시지 발송 (5개 요소)</t>
        </is>
      </c>
      <c r="C73" s="3" t="inlineStr">
        <is>
          <t>5개 요소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4" t="n"/>
      <c r="U73" s="34" t="n"/>
      <c r="V73" s="34" t="n"/>
      <c r="W73" s="34" t="n"/>
      <c r="X73" s="34" t="n"/>
      <c r="Y73" s="34" t="n"/>
      <c r="Z73" s="34" t="n"/>
      <c r="AA73" s="34" t="n"/>
    </row>
    <row r="74" outlineLevel="1">
      <c r="A74" s="35" t="inlineStr">
        <is>
          <t>UI-062</t>
        </is>
      </c>
      <c r="B74" s="35" t="inlineStr">
        <is>
          <t>SCR-070</t>
        </is>
      </c>
      <c r="C74" s="35" t="inlineStr">
        <is>
          <t>수신자 선택</t>
        </is>
      </c>
      <c r="D74" s="36" t="inlineStr">
        <is>
          <t>Input</t>
        </is>
      </c>
      <c r="E74" s="36" t="inlineStr">
        <is>
          <t>회원 검색/그룹 선택으로 수신자 지정</t>
        </is>
      </c>
      <c r="F74" s="36" t="inlineStr">
        <is>
          <t>AutoComplete + 그룹 선택 토글</t>
        </is>
      </c>
      <c r="G74" s="36" t="inlineStr">
        <is>
          <t>FN-023</t>
        </is>
      </c>
      <c r="H74" s="36" t="n"/>
      <c r="I74" s="36" t="inlineStr">
        <is>
          <t>AutoComplete + ChipInput</t>
        </is>
      </c>
      <c r="J74" s="36" t="n"/>
      <c r="K74" s="36" t="inlineStr">
        <is>
          <t>필수 입력</t>
        </is>
      </c>
      <c r="L74" s="36" t="inlineStr">
        <is>
          <t>수신자 선택을(를) 입력하세요</t>
        </is>
      </c>
      <c r="M74" s="36" t="inlineStr">
        <is>
          <t>aria-label='수신자'</t>
        </is>
      </c>
      <c r="N74" s="36" t="inlineStr">
        <is>
          <t>설계중</t>
        </is>
      </c>
      <c r="O74" s="36" t="n"/>
      <c r="P74" s="36" t="inlineStr">
        <is>
          <t>메시지 발송</t>
        </is>
      </c>
      <c r="Q74" s="36" t="inlineStr">
        <is>
          <t>메시지 발송</t>
        </is>
      </c>
      <c r="R74" s="36">
        <f>IFERROR(VLOOKUP(H74,API명세서!A:D,4,FALSE()),"")</f>
        <v/>
      </c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outlineLevel="1">
      <c r="A75" s="35" t="inlineStr">
        <is>
          <t>UI-063</t>
        </is>
      </c>
      <c r="B75" s="35" t="inlineStr">
        <is>
          <t>SCR-070</t>
        </is>
      </c>
      <c r="C75" s="35" t="inlineStr">
        <is>
          <t>메시지 유형</t>
        </is>
      </c>
      <c r="D75" s="36" t="inlineStr">
        <is>
          <t>Tab</t>
        </is>
      </c>
      <c r="E75" s="36" t="inlineStr">
        <is>
          <t>SMS/카카오톡 탭</t>
        </is>
      </c>
      <c r="F75" s="36" t="inlineStr">
        <is>
          <t>탭에 따라 본문 제한 변경</t>
        </is>
      </c>
      <c r="G75" s="36" t="inlineStr">
        <is>
          <t>FN-023</t>
        </is>
      </c>
      <c r="H75" s="36" t="n"/>
      <c r="I75" s="36" t="inlineStr">
        <is>
          <t>Tab 컴포넌트</t>
        </is>
      </c>
      <c r="J75" s="36" t="n"/>
      <c r="K75" s="36" t="n"/>
      <c r="L75" s="36" t="n"/>
      <c r="M75" s="36" t="inlineStr">
        <is>
          <t>aria-label='메시지 유형'</t>
        </is>
      </c>
      <c r="N75" s="36" t="inlineStr">
        <is>
          <t>설계중</t>
        </is>
      </c>
      <c r="O75" s="36" t="n"/>
      <c r="P75" s="36" t="inlineStr">
        <is>
          <t>메시지 발송</t>
        </is>
      </c>
      <c r="Q75" s="36" t="inlineStr">
        <is>
          <t>메시지 발송</t>
        </is>
      </c>
      <c r="R75" s="36">
        <f>IFERROR(VLOOKUP(H75,API명세서!A:D,4,FALSE()),"")</f>
        <v/>
      </c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outlineLevel="1">
      <c r="A76" s="35" t="inlineStr">
        <is>
          <t>UI-064</t>
        </is>
      </c>
      <c r="B76" s="35" t="inlineStr">
        <is>
          <t>SCR-070</t>
        </is>
      </c>
      <c r="C76" s="35" t="inlineStr">
        <is>
          <t>본문 에디터</t>
        </is>
      </c>
      <c r="D76" s="36" t="inlineStr">
        <is>
          <t>Textarea</t>
        </is>
      </c>
      <c r="E76" s="36" t="inlineStr">
        <is>
          <t>메시지 본문 입력</t>
        </is>
      </c>
      <c r="F76" s="36" t="inlineStr">
        <is>
          <t>글자수 카운터, 변수 삽입 (#{이름} 등)</t>
        </is>
      </c>
      <c r="G76" s="36" t="inlineStr">
        <is>
          <t>FN-023</t>
        </is>
      </c>
      <c r="H76" s="36" t="n"/>
      <c r="I76" s="36" t="inlineStr">
        <is>
          <t>Textarea + 변수 버튼</t>
        </is>
      </c>
      <c r="J76" s="36" t="n"/>
      <c r="K76" s="36" t="inlineStr">
        <is>
          <t>SMS 90자/LMS 2000자</t>
        </is>
      </c>
      <c r="L76" s="36" t="inlineStr">
        <is>
          <t>본문 에디터을(를) 입력하세요</t>
        </is>
      </c>
      <c r="M76" s="36" t="inlineStr">
        <is>
          <t>aria-label='메시지 본문'</t>
        </is>
      </c>
      <c r="N76" s="36" t="inlineStr">
        <is>
          <t>설계중</t>
        </is>
      </c>
      <c r="O76" s="36" t="n"/>
      <c r="P76" s="36" t="inlineStr">
        <is>
          <t>메시지 발송</t>
        </is>
      </c>
      <c r="Q76" s="36" t="inlineStr">
        <is>
          <t>메시지 발송</t>
        </is>
      </c>
      <c r="R76" s="36">
        <f>IFERROR(VLOOKUP(H76,API명세서!A:D,4,FALSE()),"")</f>
        <v/>
      </c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outlineLevel="1">
      <c r="A77" s="35" t="inlineStr">
        <is>
          <t>UI-065</t>
        </is>
      </c>
      <c r="B77" s="35" t="inlineStr">
        <is>
          <t>SCR-070</t>
        </is>
      </c>
      <c r="C77" s="35" t="inlineStr">
        <is>
          <t>발송 버튼</t>
        </is>
      </c>
      <c r="D77" s="36" t="inlineStr">
        <is>
          <t>Button</t>
        </is>
      </c>
      <c r="E77" s="36" t="inlineStr">
        <is>
          <t>메시지 발송 실행</t>
        </is>
      </c>
      <c r="F77" s="36" t="inlineStr">
        <is>
          <t>발송 전 미리보기 확인 모달</t>
        </is>
      </c>
      <c r="G77" s="36" t="inlineStr">
        <is>
          <t>FN-023</t>
        </is>
      </c>
      <c r="H77" s="36" t="n"/>
      <c r="I77" s="36" t="inlineStr">
        <is>
          <t>Primary Button + 확인 모달</t>
        </is>
      </c>
      <c r="J77" s="36" t="n"/>
      <c r="K77" s="36" t="inlineStr">
        <is>
          <t>수신자/본문 필수</t>
        </is>
      </c>
      <c r="L77" s="36" t="inlineStr">
        <is>
          <t>수신자를 선택해주세요</t>
        </is>
      </c>
      <c r="M77" s="36" t="inlineStr">
        <is>
          <t>aria-label='발송'</t>
        </is>
      </c>
      <c r="N77" s="36" t="inlineStr">
        <is>
          <t>설계중</t>
        </is>
      </c>
      <c r="O77" s="36" t="n"/>
      <c r="P77" s="36" t="inlineStr">
        <is>
          <t>메시지 발송</t>
        </is>
      </c>
      <c r="Q77" s="36" t="inlineStr">
        <is>
          <t>메시지 발송</t>
        </is>
      </c>
      <c r="R77" s="36">
        <f>IFERROR(VLOOKUP(H77,API명세서!A:D,4,FALSE()),"")</f>
        <v/>
      </c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outlineLevel="1">
      <c r="A78" s="35" t="inlineStr">
        <is>
          <t>UI-066</t>
        </is>
      </c>
      <c r="B78" s="35" t="inlineStr">
        <is>
          <t>SCR-070</t>
        </is>
      </c>
      <c r="C78" s="35" t="inlineStr">
        <is>
          <t>발송 이력</t>
        </is>
      </c>
      <c r="D78" s="36" t="inlineStr">
        <is>
          <t>List</t>
        </is>
      </c>
      <c r="E78" s="36" t="inlineStr">
        <is>
          <t>발송 이력 테이블</t>
        </is>
      </c>
      <c r="F78" s="36" t="inlineStr">
        <is>
          <t>발송일시/유형/수신자수/성공률 표시</t>
        </is>
      </c>
      <c r="G78" s="36" t="inlineStr">
        <is>
          <t>FN-023</t>
        </is>
      </c>
      <c r="H78" s="36" t="n"/>
      <c r="I78" s="36" t="inlineStr">
        <is>
          <t>DataTable</t>
        </is>
      </c>
      <c r="J78" s="36" t="n"/>
      <c r="K78" s="36" t="n"/>
      <c r="L78" s="36" t="n"/>
      <c r="M78" s="36" t="inlineStr">
        <is>
          <t>aria-label='발송 이력'</t>
        </is>
      </c>
      <c r="N78" s="36" t="inlineStr">
        <is>
          <t>설계중</t>
        </is>
      </c>
      <c r="O78" s="36" t="n"/>
      <c r="P78" s="36" t="inlineStr">
        <is>
          <t>메시지 발송</t>
        </is>
      </c>
      <c r="Q78" s="36" t="inlineStr">
        <is>
          <t>메시지 발송</t>
        </is>
      </c>
      <c r="R78" s="36">
        <f>IFERROR(VLOOKUP(H78,API명세서!A:D,4,FALSE()),"")</f>
        <v/>
      </c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>
      <c r="A79" s="3" t="inlineStr">
        <is>
          <t>▼ SCR-080</t>
        </is>
      </c>
      <c r="B79" s="3" t="inlineStr">
        <is>
          <t>계약 마법사 (6개 요소)</t>
        </is>
      </c>
      <c r="C79" s="3" t="inlineStr">
        <is>
          <t>6개 요소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4" t="n"/>
      <c r="U79" s="34" t="n"/>
      <c r="V79" s="34" t="n"/>
      <c r="W79" s="34" t="n"/>
      <c r="X79" s="34" t="n"/>
      <c r="Y79" s="34" t="n"/>
      <c r="Z79" s="34" t="n"/>
      <c r="AA79" s="34" t="n"/>
    </row>
    <row r="80" outlineLevel="1">
      <c r="A80" s="35" t="inlineStr">
        <is>
          <t>UI-067</t>
        </is>
      </c>
      <c r="B80" s="35" t="inlineStr">
        <is>
          <t>SCR-080</t>
        </is>
      </c>
      <c r="C80" s="35" t="inlineStr">
        <is>
          <t>스텝 인디케이터</t>
        </is>
      </c>
      <c r="D80" s="36" t="inlineStr">
        <is>
          <t>Nav</t>
        </is>
      </c>
      <c r="E80" s="36" t="inlineStr">
        <is>
          <t>계약 단계 표시 (1.회원→2.상품→3.기간→4.결제→5.확인)</t>
        </is>
      </c>
      <c r="F80" s="36" t="inlineStr">
        <is>
          <t>현재 단계 강조, 완료 단계 체크마크</t>
        </is>
      </c>
      <c r="G80" s="36" t="inlineStr">
        <is>
          <t>FN-027</t>
        </is>
      </c>
      <c r="H80" s="36" t="n"/>
      <c r="I80" s="36" t="inlineStr">
        <is>
          <t>Stepper 컴포넌트</t>
        </is>
      </c>
      <c r="J80" s="36" t="n"/>
      <c r="K80" s="36" t="n"/>
      <c r="L80" s="36" t="n"/>
      <c r="M80" s="36" t="inlineStr">
        <is>
          <t>aria-label='계약 단계'</t>
        </is>
      </c>
      <c r="N80" s="36" t="inlineStr">
        <is>
          <t>설계중</t>
        </is>
      </c>
      <c r="O80" s="36" t="n"/>
      <c r="P80" s="36" t="inlineStr">
        <is>
          <t>계약 마법사</t>
        </is>
      </c>
      <c r="Q80" s="36" t="inlineStr">
        <is>
          <t>계약 등록</t>
        </is>
      </c>
      <c r="R80" s="36">
        <f>IFERROR(VLOOKUP(H80,API명세서!A:D,4,FALSE()),"")</f>
        <v/>
      </c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outlineLevel="1">
      <c r="A81" s="35" t="inlineStr">
        <is>
          <t>UI-068</t>
        </is>
      </c>
      <c r="B81" s="35" t="inlineStr">
        <is>
          <t>SCR-080</t>
        </is>
      </c>
      <c r="C81" s="35" t="inlineStr">
        <is>
          <t>회원 선택 스텝</t>
        </is>
      </c>
      <c r="D81" s="36" t="inlineStr">
        <is>
          <t>Card</t>
        </is>
      </c>
      <c r="E81" s="36" t="inlineStr">
        <is>
          <t>계약 대상 회원 검색/선택</t>
        </is>
      </c>
      <c r="F81" s="36" t="inlineStr">
        <is>
          <t>AutoComplete 검색, 선택 시 프로필 카드 표시</t>
        </is>
      </c>
      <c r="G81" s="36" t="inlineStr">
        <is>
          <t>FN-027</t>
        </is>
      </c>
      <c r="H81" s="36" t="inlineStr">
        <is>
          <t>API-007</t>
        </is>
      </c>
      <c r="I81" s="36" t="inlineStr">
        <is>
          <t>검색 + 프로필 Card</t>
        </is>
      </c>
      <c r="J81" s="36" t="n"/>
      <c r="K81" s="36" t="inlineStr">
        <is>
          <t>회원 필수 선택</t>
        </is>
      </c>
      <c r="L81" s="36" t="inlineStr">
        <is>
          <t>회원을 선택하세요</t>
        </is>
      </c>
      <c r="M81" s="36" t="inlineStr">
        <is>
          <t>aria-label='회원 선택'</t>
        </is>
      </c>
      <c r="N81" s="36" t="inlineStr">
        <is>
          <t>설계중</t>
        </is>
      </c>
      <c r="O81" s="36" t="n"/>
      <c r="P81" s="36" t="inlineStr">
        <is>
          <t>계약 마법사</t>
        </is>
      </c>
      <c r="Q81" s="36" t="inlineStr">
        <is>
          <t>계약 등록</t>
        </is>
      </c>
      <c r="R81" s="36" t="inlineStr">
        <is>
          <t>/api/v1/members</t>
        </is>
      </c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outlineLevel="1">
      <c r="A82" s="35" t="inlineStr">
        <is>
          <t>UI-069</t>
        </is>
      </c>
      <c r="B82" s="35" t="inlineStr">
        <is>
          <t>SCR-080</t>
        </is>
      </c>
      <c r="C82" s="35" t="inlineStr">
        <is>
          <t>상품 선택 스텝</t>
        </is>
      </c>
      <c r="D82" s="36" t="inlineStr">
        <is>
          <t>Card</t>
        </is>
      </c>
      <c r="E82" s="36" t="inlineStr">
        <is>
          <t>계약 상품 선택</t>
        </is>
      </c>
      <c r="F82" s="36" t="inlineStr">
        <is>
          <t>카테고리별 상품 목록, 복수 선택 가능</t>
        </is>
      </c>
      <c r="G82" s="36" t="inlineStr">
        <is>
          <t>FN-027</t>
        </is>
      </c>
      <c r="H82" s="36" t="inlineStr">
        <is>
          <t>API-018</t>
        </is>
      </c>
      <c r="I82" s="36" t="inlineStr">
        <is>
          <t>상품 Card Grid</t>
        </is>
      </c>
      <c r="J82" s="36" t="n"/>
      <c r="K82" s="36" t="inlineStr">
        <is>
          <t>상품 필수 선택</t>
        </is>
      </c>
      <c r="L82" s="36" t="inlineStr">
        <is>
          <t>상품을 선택하세요</t>
        </is>
      </c>
      <c r="M82" s="36" t="inlineStr">
        <is>
          <t>aria-label='상품 선택'</t>
        </is>
      </c>
      <c r="N82" s="36" t="inlineStr">
        <is>
          <t>설계중</t>
        </is>
      </c>
      <c r="O82" s="36" t="n"/>
      <c r="P82" s="36" t="inlineStr">
        <is>
          <t>계약 마법사</t>
        </is>
      </c>
      <c r="Q82" s="36" t="inlineStr">
        <is>
          <t>계약 등록</t>
        </is>
      </c>
      <c r="R82" s="36" t="inlineStr">
        <is>
          <t>/api/v1/products</t>
        </is>
      </c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outlineLevel="1">
      <c r="A83" s="35" t="inlineStr">
        <is>
          <t>UI-070</t>
        </is>
      </c>
      <c r="B83" s="35" t="inlineStr">
        <is>
          <t>SCR-080</t>
        </is>
      </c>
      <c r="C83" s="35" t="inlineStr">
        <is>
          <t>기간/금액 스텝</t>
        </is>
      </c>
      <c r="D83" s="36" t="inlineStr">
        <is>
          <t>Card</t>
        </is>
      </c>
      <c r="E83" s="36" t="inlineStr">
        <is>
          <t>계약 기간 및 결제 금액 설정</t>
        </is>
      </c>
      <c r="F83" s="36" t="inlineStr">
        <is>
          <t>시작일/종료일, 할인 적용, 총액 자동 계산</t>
        </is>
      </c>
      <c r="G83" s="36" t="inlineStr">
        <is>
          <t>FN-027</t>
        </is>
      </c>
      <c r="H83" s="36" t="n"/>
      <c r="I83" s="36" t="inlineStr">
        <is>
          <t>DatePicker + 금액 입력</t>
        </is>
      </c>
      <c r="J83" s="36" t="n"/>
      <c r="K83" s="36" t="inlineStr">
        <is>
          <t>시작일 필수</t>
        </is>
      </c>
      <c r="L83" s="36" t="inlineStr">
        <is>
          <t>기간을 설정하세요</t>
        </is>
      </c>
      <c r="M83" s="36" t="inlineStr">
        <is>
          <t>aria-label='기간 설정'</t>
        </is>
      </c>
      <c r="N83" s="36" t="inlineStr">
        <is>
          <t>설계중</t>
        </is>
      </c>
      <c r="O83" s="36" t="n"/>
      <c r="P83" s="36" t="inlineStr">
        <is>
          <t>계약 마법사</t>
        </is>
      </c>
      <c r="Q83" s="36" t="inlineStr">
        <is>
          <t>계약 등록</t>
        </is>
      </c>
      <c r="R83" s="36">
        <f>IFERROR(VLOOKUP(H83,API명세서!A:D,4,FALSE()),"")</f>
        <v/>
      </c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outlineLevel="1">
      <c r="A84" s="35" t="inlineStr">
        <is>
          <t>UI-071</t>
        </is>
      </c>
      <c r="B84" s="35" t="inlineStr">
        <is>
          <t>SCR-080</t>
        </is>
      </c>
      <c r="C84" s="35" t="inlineStr">
        <is>
          <t>결제 스텝</t>
        </is>
      </c>
      <c r="D84" s="36" t="inlineStr">
        <is>
          <t>Card</t>
        </is>
      </c>
      <c r="E84" s="36" t="inlineStr">
        <is>
          <t>결제 수단 선택 및 처리</t>
        </is>
      </c>
      <c r="F84" s="36" t="inlineStr">
        <is>
          <t>현금/카드/마일리지/복합결제</t>
        </is>
      </c>
      <c r="G84" s="36" t="inlineStr">
        <is>
          <t>FN-027</t>
        </is>
      </c>
      <c r="H84" s="36" t="inlineStr">
        <is>
          <t>API-016</t>
        </is>
      </c>
      <c r="I84" s="36" t="inlineStr">
        <is>
          <t>결제 컴포넌트</t>
        </is>
      </c>
      <c r="J84" s="36" t="n"/>
      <c r="K84" s="36" t="inlineStr">
        <is>
          <t>결제수단 필수</t>
        </is>
      </c>
      <c r="L84" s="36" t="inlineStr">
        <is>
          <t>결제에 실패했습니다</t>
        </is>
      </c>
      <c r="M84" s="36" t="inlineStr">
        <is>
          <t>aria-label='결제'</t>
        </is>
      </c>
      <c r="N84" s="36" t="inlineStr">
        <is>
          <t>설계중</t>
        </is>
      </c>
      <c r="O84" s="36" t="n"/>
      <c r="P84" s="36" t="inlineStr">
        <is>
          <t>계약 마법사</t>
        </is>
      </c>
      <c r="Q84" s="36" t="inlineStr">
        <is>
          <t>계약 등록</t>
        </is>
      </c>
      <c r="R84" s="36" t="inlineStr">
        <is>
          <t>/api/v1/sales</t>
        </is>
      </c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outlineLevel="1">
      <c r="A85" s="35" t="inlineStr">
        <is>
          <t>UI-072</t>
        </is>
      </c>
      <c r="B85" s="35" t="inlineStr">
        <is>
          <t>SCR-080</t>
        </is>
      </c>
      <c r="C85" s="35" t="inlineStr">
        <is>
          <t>확인 스텝</t>
        </is>
      </c>
      <c r="D85" s="36" t="inlineStr">
        <is>
          <t>Card</t>
        </is>
      </c>
      <c r="E85" s="36" t="inlineStr">
        <is>
          <t>계약 내용 최종 확인 및 완료</t>
        </is>
      </c>
      <c r="F85" s="36" t="inlineStr">
        <is>
          <t>계약 요약, 확인 버튼, 인쇄 옵션</t>
        </is>
      </c>
      <c r="G85" s="36" t="inlineStr">
        <is>
          <t>FN-027</t>
        </is>
      </c>
      <c r="H85" s="36" t="n"/>
      <c r="I85" s="36" t="inlineStr">
        <is>
          <t>요약 Card + 확인 버튼</t>
        </is>
      </c>
      <c r="J85" s="36" t="n"/>
      <c r="K85" s="36" t="n"/>
      <c r="L85" s="36" t="n"/>
      <c r="M85" s="36" t="inlineStr">
        <is>
          <t>aria-label='계약 확인'</t>
        </is>
      </c>
      <c r="N85" s="36" t="inlineStr">
        <is>
          <t>설계중</t>
        </is>
      </c>
      <c r="O85" s="36" t="n"/>
      <c r="P85" s="36" t="inlineStr">
        <is>
          <t>계약 마법사</t>
        </is>
      </c>
      <c r="Q85" s="36" t="inlineStr">
        <is>
          <t>계약 등록</t>
        </is>
      </c>
      <c r="R85" s="36">
        <f>IFERROR(VLOOKUP(H85,API명세서!A:D,4,FALSE()),"")</f>
        <v/>
      </c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>
      <c r="A86" s="3" t="inlineStr">
        <is>
          <t>▼ SCR-090</t>
        </is>
      </c>
      <c r="B86" s="3" t="inlineStr">
        <is>
          <t>설정 (3개 요소)</t>
        </is>
      </c>
      <c r="C86" s="3" t="inlineStr">
        <is>
          <t>3개 요소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4" t="n"/>
      <c r="U86" s="34" t="n"/>
      <c r="V86" s="34" t="n"/>
      <c r="W86" s="34" t="n"/>
      <c r="X86" s="34" t="n"/>
      <c r="Y86" s="34" t="n"/>
      <c r="Z86" s="34" t="n"/>
      <c r="AA86" s="34" t="n"/>
    </row>
    <row r="87" outlineLevel="1">
      <c r="A87" s="35" t="inlineStr">
        <is>
          <t>UI-073</t>
        </is>
      </c>
      <c r="B87" s="35" t="inlineStr">
        <is>
          <t>SCR-090</t>
        </is>
      </c>
      <c r="C87" s="35" t="inlineStr">
        <is>
          <t>기본 설정 탭</t>
        </is>
      </c>
      <c r="D87" s="36" t="inlineStr">
        <is>
          <t>Tab</t>
        </is>
      </c>
      <c r="E87" s="36" t="inlineStr">
        <is>
          <t>센터명/영업시간/연락처 등 기본 정보</t>
        </is>
      </c>
      <c r="F87" s="36" t="inlineStr">
        <is>
          <t>폼 입력, 저장 버튼</t>
        </is>
      </c>
      <c r="G87" s="36" t="inlineStr">
        <is>
          <t>FN-029</t>
        </is>
      </c>
      <c r="H87" s="36" t="n"/>
      <c r="I87" s="36" t="inlineStr">
        <is>
          <t>Tab + Form</t>
        </is>
      </c>
      <c r="J87" s="36" t="n"/>
      <c r="K87" s="36" t="n"/>
      <c r="L87" s="36" t="n"/>
      <c r="M87" s="36" t="inlineStr">
        <is>
          <t>aria-label='기본 설정'</t>
        </is>
      </c>
      <c r="N87" s="36" t="inlineStr">
        <is>
          <t>설계중</t>
        </is>
      </c>
      <c r="O87" s="36" t="n"/>
      <c r="P87" s="36" t="inlineStr">
        <is>
          <t>설정</t>
        </is>
      </c>
      <c r="Q87" s="36" t="inlineStr">
        <is>
          <t>시스템 설정</t>
        </is>
      </c>
      <c r="R87" s="36">
        <f>IFERROR(VLOOKUP(H87,API명세서!A:D,4,FALSE()),"")</f>
        <v/>
      </c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outlineLevel="1">
      <c r="A88" s="35" t="inlineStr">
        <is>
          <t>UI-074</t>
        </is>
      </c>
      <c r="B88" s="35" t="inlineStr">
        <is>
          <t>SCR-090</t>
        </is>
      </c>
      <c r="C88" s="35" t="inlineStr">
        <is>
          <t>알림 설정 탭</t>
        </is>
      </c>
      <c r="D88" s="36" t="inlineStr">
        <is>
          <t>Tab</t>
        </is>
      </c>
      <c r="E88" s="36" t="inlineStr">
        <is>
          <t>푸시/이메일/SMS 알림 ON/OFF</t>
        </is>
      </c>
      <c r="F88" s="36" t="inlineStr">
        <is>
          <t>토글 스위치</t>
        </is>
      </c>
      <c r="G88" s="36" t="inlineStr">
        <is>
          <t>FN-029</t>
        </is>
      </c>
      <c r="H88" s="36" t="n"/>
      <c r="I88" s="36" t="inlineStr">
        <is>
          <t>Tab + Toggle List</t>
        </is>
      </c>
      <c r="J88" s="36" t="n"/>
      <c r="K88" s="36" t="n"/>
      <c r="L88" s="36" t="n"/>
      <c r="M88" s="36" t="inlineStr">
        <is>
          <t>aria-label='알림 설정'</t>
        </is>
      </c>
      <c r="N88" s="36" t="inlineStr">
        <is>
          <t>설계중</t>
        </is>
      </c>
      <c r="O88" s="36" t="n"/>
      <c r="P88" s="36" t="inlineStr">
        <is>
          <t>설정</t>
        </is>
      </c>
      <c r="Q88" s="36" t="inlineStr">
        <is>
          <t>시스템 설정</t>
        </is>
      </c>
      <c r="R88" s="36">
        <f>IFERROR(VLOOKUP(H88,API명세서!A:D,4,FALSE()),"")</f>
        <v/>
      </c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outlineLevel="1">
      <c r="A89" s="35" t="inlineStr">
        <is>
          <t>UI-075</t>
        </is>
      </c>
      <c r="B89" s="35" t="inlineStr">
        <is>
          <t>SCR-090</t>
        </is>
      </c>
      <c r="C89" s="35" t="inlineStr">
        <is>
          <t>저장 버튼</t>
        </is>
      </c>
      <c r="D89" s="36" t="inlineStr">
        <is>
          <t>Button</t>
        </is>
      </c>
      <c r="E89" s="36" t="inlineStr">
        <is>
          <t>설정 저장</t>
        </is>
      </c>
      <c r="F89" s="36" t="inlineStr">
        <is>
          <t>변경사항 감지 시 활성화</t>
        </is>
      </c>
      <c r="G89" s="36" t="inlineStr">
        <is>
          <t>FN-029</t>
        </is>
      </c>
      <c r="H89" s="36" t="n"/>
      <c r="I89" s="36" t="inlineStr">
        <is>
          <t>Primary Button</t>
        </is>
      </c>
      <c r="J89" s="36" t="n"/>
      <c r="K89" s="36" t="n"/>
      <c r="L89" s="36" t="n"/>
      <c r="M89" s="36" t="inlineStr">
        <is>
          <t>aria-label='설정 저장'</t>
        </is>
      </c>
      <c r="N89" s="36" t="inlineStr">
        <is>
          <t>설계중</t>
        </is>
      </c>
      <c r="O89" s="36" t="n"/>
      <c r="P89" s="36" t="inlineStr">
        <is>
          <t>설정</t>
        </is>
      </c>
      <c r="Q89" s="36" t="inlineStr">
        <is>
          <t>시스템 설정</t>
        </is>
      </c>
      <c r="R89" s="36">
        <f>IFERROR(VLOOKUP(H89,API명세서!A:D,4,FALSE()),"")</f>
        <v/>
      </c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>
      <c r="A90" s="3" t="inlineStr">
        <is>
          <t>▼ SCR-091</t>
        </is>
      </c>
      <c r="B90" s="3" t="inlineStr">
        <is>
          <t>권한 설정 (3개 요소)</t>
        </is>
      </c>
      <c r="C90" s="3" t="inlineStr">
        <is>
          <t>3개 요소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4" t="n"/>
      <c r="U90" s="34" t="n"/>
      <c r="V90" s="34" t="n"/>
      <c r="W90" s="34" t="n"/>
      <c r="X90" s="34" t="n"/>
      <c r="Y90" s="34" t="n"/>
      <c r="Z90" s="34" t="n"/>
      <c r="AA90" s="34" t="n"/>
    </row>
    <row r="91" outlineLevel="1">
      <c r="A91" s="35" t="inlineStr">
        <is>
          <t>UI-076</t>
        </is>
      </c>
      <c r="B91" s="35" t="inlineStr">
        <is>
          <t>SCR-091</t>
        </is>
      </c>
      <c r="C91" s="35" t="inlineStr">
        <is>
          <t>역할 탭</t>
        </is>
      </c>
      <c r="D91" s="36" t="inlineStr">
        <is>
          <t>Tab</t>
        </is>
      </c>
      <c r="E91" s="36" t="inlineStr">
        <is>
          <t>6단계 역할별 탭</t>
        </is>
      </c>
      <c r="F91" s="36" t="inlineStr">
        <is>
          <t>탭 전환 시 해당 역할 권한 매트릭스</t>
        </is>
      </c>
      <c r="G91" s="36" t="inlineStr">
        <is>
          <t>FN-030</t>
        </is>
      </c>
      <c r="H91" s="36" t="n"/>
      <c r="I91" s="36" t="inlineStr">
        <is>
          <t>Tab 컴포넌트</t>
        </is>
      </c>
      <c r="J91" s="36" t="n"/>
      <c r="K91" s="36" t="n"/>
      <c r="L91" s="36" t="n"/>
      <c r="M91" s="36" t="inlineStr">
        <is>
          <t>aria-label='역할 선택'</t>
        </is>
      </c>
      <c r="N91" s="36" t="inlineStr">
        <is>
          <t>설계중</t>
        </is>
      </c>
      <c r="O91" s="36" t="n"/>
      <c r="P91" s="36" t="inlineStr">
        <is>
          <t>권한 설정</t>
        </is>
      </c>
      <c r="Q91" s="36" t="inlineStr">
        <is>
          <t>권한 관리</t>
        </is>
      </c>
      <c r="R91" s="36">
        <f>IFERROR(VLOOKUP(H91,API명세서!A:D,4,FALSE()),"")</f>
        <v/>
      </c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outlineLevel="1">
      <c r="A92" s="35" t="inlineStr">
        <is>
          <t>UI-077</t>
        </is>
      </c>
      <c r="B92" s="35" t="inlineStr">
        <is>
          <t>SCR-091</t>
        </is>
      </c>
      <c r="C92" s="35" t="inlineStr">
        <is>
          <t>권한 매트릭스</t>
        </is>
      </c>
      <c r="D92" s="36" t="inlineStr">
        <is>
          <t>List</t>
        </is>
      </c>
      <c r="E92" s="36" t="inlineStr">
        <is>
          <t>메뉴/기능별 읽기/쓰기/삭제 체크박스 테이블</t>
        </is>
      </c>
      <c r="F92" s="36" t="inlineStr">
        <is>
          <t>체크/해제 시 즉시 반영, 변경 이력 기록</t>
        </is>
      </c>
      <c r="G92" s="36" t="inlineStr">
        <is>
          <t>FN-030</t>
        </is>
      </c>
      <c r="H92" s="36" t="n"/>
      <c r="I92" s="36" t="inlineStr">
        <is>
          <t>체크박스 매트릭스 테이블</t>
        </is>
      </c>
      <c r="J92" s="36" t="n"/>
      <c r="K92" s="36" t="n"/>
      <c r="L92" s="36" t="n"/>
      <c r="M92" s="36" t="inlineStr">
        <is>
          <t>aria-label='권한 매트릭스'</t>
        </is>
      </c>
      <c r="N92" s="36" t="inlineStr">
        <is>
          <t>설계중</t>
        </is>
      </c>
      <c r="O92" s="36" t="n"/>
      <c r="P92" s="36" t="inlineStr">
        <is>
          <t>권한 설정</t>
        </is>
      </c>
      <c r="Q92" s="36" t="inlineStr">
        <is>
          <t>권한 관리</t>
        </is>
      </c>
      <c r="R92" s="36">
        <f>IFERROR(VLOOKUP(H92,API명세서!A:D,4,FALSE()),"")</f>
        <v/>
      </c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outlineLevel="1">
      <c r="A93" s="35" t="inlineStr">
        <is>
          <t>UI-078</t>
        </is>
      </c>
      <c r="B93" s="35" t="inlineStr">
        <is>
          <t>SCR-091</t>
        </is>
      </c>
      <c r="C93" s="35" t="inlineStr">
        <is>
          <t>일괄 설정 버튼</t>
        </is>
      </c>
      <c r="D93" s="36" t="inlineStr">
        <is>
          <t>Button</t>
        </is>
      </c>
      <c r="E93" s="36" t="inlineStr">
        <is>
          <t>전체 선택/해제</t>
        </is>
      </c>
      <c r="F93" s="36" t="inlineStr">
        <is>
          <t>메뉴 단위 일괄 설정</t>
        </is>
      </c>
      <c r="G93" s="36" t="inlineStr">
        <is>
          <t>FN-030</t>
        </is>
      </c>
      <c r="H93" s="36" t="n"/>
      <c r="I93" s="36" t="inlineStr">
        <is>
          <t>Toggle Button</t>
        </is>
      </c>
      <c r="J93" s="36" t="n"/>
      <c r="K93" s="36" t="n"/>
      <c r="L93" s="36" t="n"/>
      <c r="M93" s="36" t="inlineStr">
        <is>
          <t>aria-label='일괄 설정'</t>
        </is>
      </c>
      <c r="N93" s="36" t="inlineStr">
        <is>
          <t>설계중</t>
        </is>
      </c>
      <c r="O93" s="36" t="n"/>
      <c r="P93" s="36" t="inlineStr">
        <is>
          <t>권한 설정</t>
        </is>
      </c>
      <c r="Q93" s="36" t="inlineStr">
        <is>
          <t>권한 관리</t>
        </is>
      </c>
      <c r="R93" s="36">
        <f>IFERROR(VLOOKUP(H93,API명세서!A:D,4,FALSE()),"")</f>
        <v/>
      </c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>
      <c r="A94" s="3" t="inlineStr">
        <is>
          <t>▼ SCR-094</t>
        </is>
      </c>
      <c r="B94" s="3" t="inlineStr">
        <is>
          <t>지점 관리 (3개 요소)</t>
        </is>
      </c>
      <c r="C94" s="3" t="inlineStr">
        <is>
          <t>3개 요소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4" t="n"/>
      <c r="U94" s="34" t="n"/>
      <c r="V94" s="34" t="n"/>
      <c r="W94" s="34" t="n"/>
      <c r="X94" s="34" t="n"/>
      <c r="Y94" s="34" t="n"/>
      <c r="Z94" s="34" t="n"/>
      <c r="AA94" s="34" t="n"/>
    </row>
    <row r="95" outlineLevel="1">
      <c r="A95" s="35" t="inlineStr">
        <is>
          <t>UI-079</t>
        </is>
      </c>
      <c r="B95" s="35" t="inlineStr">
        <is>
          <t>SCR-094</t>
        </is>
      </c>
      <c r="C95" s="35" t="inlineStr">
        <is>
          <t>지점 카드 뷰</t>
        </is>
      </c>
      <c r="D95" s="36" t="inlineStr">
        <is>
          <t>Card</t>
        </is>
      </c>
      <c r="E95" s="36" t="inlineStr">
        <is>
          <t>지점별 카드 (이름/주소/회원수/상태)</t>
        </is>
      </c>
      <c r="F95" s="36" t="inlineStr">
        <is>
          <t>카드 클릭 시 상세 모달</t>
        </is>
      </c>
      <c r="G95" s="36" t="inlineStr">
        <is>
          <t>FN-033</t>
        </is>
      </c>
      <c r="H95" s="36" t="n"/>
      <c r="I95" s="36" t="inlineStr">
        <is>
          <t>Card Grid</t>
        </is>
      </c>
      <c r="J95" s="36" t="n"/>
      <c r="K95" s="36" t="n"/>
      <c r="L95" s="36" t="n"/>
      <c r="M95" s="36" t="inlineStr">
        <is>
          <t>aria-label='지점 목록'</t>
        </is>
      </c>
      <c r="N95" s="36" t="inlineStr">
        <is>
          <t>설계중</t>
        </is>
      </c>
      <c r="O95" s="36" t="n"/>
      <c r="P95" s="36" t="inlineStr">
        <is>
          <t>지점 관리</t>
        </is>
      </c>
      <c r="Q95" s="36" t="inlineStr">
        <is>
          <t>지점 관리</t>
        </is>
      </c>
      <c r="R95" s="36">
        <f>IFERROR(VLOOKUP(H95,API명세서!A:D,4,FALSE()),"")</f>
        <v/>
      </c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outlineLevel="1">
      <c r="A96" s="35" t="inlineStr">
        <is>
          <t>UI-080</t>
        </is>
      </c>
      <c r="B96" s="35" t="inlineStr">
        <is>
          <t>SCR-094</t>
        </is>
      </c>
      <c r="C96" s="35" t="inlineStr">
        <is>
          <t>지점 추가 버튼</t>
        </is>
      </c>
      <c r="D96" s="36" t="inlineStr">
        <is>
          <t>Button</t>
        </is>
      </c>
      <c r="E96" s="36" t="inlineStr">
        <is>
          <t>신규 지점 추가 모달 오픈</t>
        </is>
      </c>
      <c r="F96" s="36" t="inlineStr">
        <is>
          <t>모달 폼 (이름/코드/주소/연락처)</t>
        </is>
      </c>
      <c r="G96" s="36" t="inlineStr">
        <is>
          <t>FN-033</t>
        </is>
      </c>
      <c r="H96" s="36" t="n"/>
      <c r="I96" s="36" t="inlineStr">
        <is>
          <t>Primary Button + Modal</t>
        </is>
      </c>
      <c r="J96" s="36" t="n"/>
      <c r="K96" s="36" t="inlineStr">
        <is>
          <t>지점명/코드 필수</t>
        </is>
      </c>
      <c r="L96" s="36" t="inlineStr">
        <is>
          <t>지점명을 입력하세요</t>
        </is>
      </c>
      <c r="M96" s="36" t="inlineStr">
        <is>
          <t>aria-label='지점 추가'</t>
        </is>
      </c>
      <c r="N96" s="36" t="inlineStr">
        <is>
          <t>설계중</t>
        </is>
      </c>
      <c r="O96" s="36" t="n"/>
      <c r="P96" s="36" t="inlineStr">
        <is>
          <t>지점 관리</t>
        </is>
      </c>
      <c r="Q96" s="36" t="inlineStr">
        <is>
          <t>지점 관리</t>
        </is>
      </c>
      <c r="R96" s="36">
        <f>IFERROR(VLOOKUP(H96,API명세서!A:D,4,FALSE()),"")</f>
        <v/>
      </c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outlineLevel="1">
      <c r="A97" s="35" t="inlineStr">
        <is>
          <t>UI-081</t>
        </is>
      </c>
      <c r="B97" s="35" t="inlineStr">
        <is>
          <t>SCR-094</t>
        </is>
      </c>
      <c r="C97" s="35" t="inlineStr">
        <is>
          <t>데이터 초기화 버튼</t>
        </is>
      </c>
      <c r="D97" s="36" t="inlineStr">
        <is>
          <t>Button</t>
        </is>
      </c>
      <c r="E97" s="36" t="inlineStr">
        <is>
          <t>지점 데이터 초기화 (개발용)</t>
        </is>
      </c>
      <c r="F97" s="36" t="inlineStr">
        <is>
          <t>2중 확인 모달 (비밀번호 입력)</t>
        </is>
      </c>
      <c r="G97" s="36" t="inlineStr">
        <is>
          <t>FN-033</t>
        </is>
      </c>
      <c r="H97" s="36" t="inlineStr">
        <is>
          <t>API-027</t>
        </is>
      </c>
      <c r="I97" s="36" t="inlineStr">
        <is>
          <t>Danger Button + 확인 모달</t>
        </is>
      </c>
      <c r="J97" s="36" t="n"/>
      <c r="K97" s="36" t="inlineStr">
        <is>
          <t>관리자 비밀번호 필수</t>
        </is>
      </c>
      <c r="L97" s="36" t="inlineStr">
        <is>
          <t>비밀번호가 올바르지 않습니다</t>
        </is>
      </c>
      <c r="M97" s="36" t="inlineStr">
        <is>
          <t>aria-label='데이터 초기화'</t>
        </is>
      </c>
      <c r="N97" s="36" t="inlineStr">
        <is>
          <t>설계중</t>
        </is>
      </c>
      <c r="O97" s="36" t="n"/>
      <c r="P97" s="36" t="inlineStr">
        <is>
          <t>지점 관리</t>
        </is>
      </c>
      <c r="Q97" s="36" t="inlineStr">
        <is>
          <t>지점 관리</t>
        </is>
      </c>
      <c r="R97" s="36" t="inlineStr">
        <is>
          <t>/api/v1/system/reset</t>
        </is>
      </c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>
      <c r="A98" s="3" t="inlineStr">
        <is>
          <t>▼ SCR-040</t>
        </is>
      </c>
      <c r="B98" s="3" t="inlineStr">
        <is>
          <t>상품 목록 (3개 요소)</t>
        </is>
      </c>
      <c r="C98" s="3" t="inlineStr">
        <is>
          <t>3개 요소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4" t="n"/>
      <c r="U98" s="34" t="n"/>
      <c r="V98" s="34" t="n"/>
      <c r="W98" s="34" t="n"/>
      <c r="X98" s="34" t="n"/>
      <c r="Y98" s="34" t="n"/>
      <c r="Z98" s="34" t="n"/>
      <c r="AA98" s="34" t="n"/>
    </row>
    <row r="99" outlineLevel="1">
      <c r="A99" s="35" t="inlineStr">
        <is>
          <t>UI-082</t>
        </is>
      </c>
      <c r="B99" s="35" t="inlineStr">
        <is>
          <t>SCR-040</t>
        </is>
      </c>
      <c r="C99" s="35" t="inlineStr">
        <is>
          <t>카테고리 필터</t>
        </is>
      </c>
      <c r="D99" s="36" t="inlineStr">
        <is>
          <t>Select</t>
        </is>
      </c>
      <c r="E99" s="36" t="inlineStr">
        <is>
          <t>상품 카테고리 필터</t>
        </is>
      </c>
      <c r="F99" s="36" t="inlineStr">
        <is>
          <t>단일 선택, 즉시 적용</t>
        </is>
      </c>
      <c r="G99" s="36" t="inlineStr">
        <is>
          <t>FN-013</t>
        </is>
      </c>
      <c r="H99" s="36" t="inlineStr">
        <is>
          <t>API-018</t>
        </is>
      </c>
      <c r="I99" s="36" t="inlineStr">
        <is>
          <t>Select 컴포넌트</t>
        </is>
      </c>
      <c r="J99" s="36" t="n"/>
      <c r="K99" s="36" t="inlineStr">
        <is>
          <t>1개 이상 선택 필수</t>
        </is>
      </c>
      <c r="L99" s="36" t="inlineStr">
        <is>
          <t>카테고리 필터을(를) 선택하세요</t>
        </is>
      </c>
      <c r="M99" s="36" t="inlineStr">
        <is>
          <t>aria-label='카테고리'</t>
        </is>
      </c>
      <c r="N99" s="36" t="inlineStr">
        <is>
          <t>설계중</t>
        </is>
      </c>
      <c r="O99" s="36" t="n"/>
      <c r="P99" s="36" t="inlineStr">
        <is>
          <t>상품 목록</t>
        </is>
      </c>
      <c r="Q99" s="36" t="inlineStr">
        <is>
          <t>상품 목록 조회</t>
        </is>
      </c>
      <c r="R99" s="36" t="inlineStr">
        <is>
          <t>/api/v1/products</t>
        </is>
      </c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outlineLevel="1">
      <c r="A100" s="35" t="inlineStr">
        <is>
          <t>UI-083</t>
        </is>
      </c>
      <c r="B100" s="35" t="inlineStr">
        <is>
          <t>SCR-040</t>
        </is>
      </c>
      <c r="C100" s="35" t="inlineStr">
        <is>
          <t>상품 테이블</t>
        </is>
      </c>
      <c r="D100" s="36" t="inlineStr">
        <is>
          <t>List</t>
        </is>
      </c>
      <c r="E100" s="36" t="inlineStr">
        <is>
          <t>상품 목록 테이블</t>
        </is>
      </c>
      <c r="F100" s="36" t="inlineStr">
        <is>
          <t>정렬, 키오스크 노출 토글</t>
        </is>
      </c>
      <c r="G100" s="36" t="inlineStr">
        <is>
          <t>FN-013</t>
        </is>
      </c>
      <c r="H100" s="36" t="inlineStr">
        <is>
          <t>API-018</t>
        </is>
      </c>
      <c r="I100" s="36" t="inlineStr">
        <is>
          <t>DataTable + Toggle</t>
        </is>
      </c>
      <c r="J100" s="36" t="n"/>
      <c r="K100" s="36" t="n"/>
      <c r="L100" s="36" t="n"/>
      <c r="M100" s="36" t="inlineStr">
        <is>
          <t>aria-label='상품 목록'</t>
        </is>
      </c>
      <c r="N100" s="36" t="inlineStr">
        <is>
          <t>설계중</t>
        </is>
      </c>
      <c r="O100" s="36" t="n"/>
      <c r="P100" s="36" t="inlineStr">
        <is>
          <t>상품 목록</t>
        </is>
      </c>
      <c r="Q100" s="36" t="inlineStr">
        <is>
          <t>상품 목록 조회</t>
        </is>
      </c>
      <c r="R100" s="36" t="inlineStr">
        <is>
          <t>/api/v1/products</t>
        </is>
      </c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outlineLevel="1">
      <c r="A101" s="35" t="inlineStr">
        <is>
          <t>UI-084</t>
        </is>
      </c>
      <c r="B101" s="35" t="inlineStr">
        <is>
          <t>SCR-040</t>
        </is>
      </c>
      <c r="C101" s="35" t="inlineStr">
        <is>
          <t>상품등록 버튼</t>
        </is>
      </c>
      <c r="D101" s="36" t="inlineStr">
        <is>
          <t>Button</t>
        </is>
      </c>
      <c r="E101" s="36" t="inlineStr">
        <is>
          <t>SCR-041 이동</t>
        </is>
      </c>
      <c r="F101" s="36" t="inlineStr">
        <is>
          <t>클릭 시 등록 페이지</t>
        </is>
      </c>
      <c r="G101" s="36" t="inlineStr">
        <is>
          <t>FN-014</t>
        </is>
      </c>
      <c r="H101" s="36" t="n"/>
      <c r="I101" s="36" t="inlineStr">
        <is>
          <t>Primary Button</t>
        </is>
      </c>
      <c r="J101" s="36" t="n"/>
      <c r="K101" s="36" t="n"/>
      <c r="L101" s="36" t="n"/>
      <c r="M101" s="36" t="inlineStr">
        <is>
          <t>aria-label='상품 등록'</t>
        </is>
      </c>
      <c r="N101" s="36" t="inlineStr">
        <is>
          <t>설계중</t>
        </is>
      </c>
      <c r="O101" s="36" t="n"/>
      <c r="P101" s="36" t="inlineStr">
        <is>
          <t>상품 목록</t>
        </is>
      </c>
      <c r="Q101" s="36" t="inlineStr">
        <is>
          <t>상품 등록/수정</t>
        </is>
      </c>
      <c r="R101" s="36">
        <f>IFERROR(VLOOKUP(H101,API명세서!A:D,4,FALSE()),"")</f>
        <v/>
      </c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>
      <c r="A102" s="3" t="inlineStr">
        <is>
          <t>▼ SCR-041</t>
        </is>
      </c>
      <c r="B102" s="3" t="inlineStr">
        <is>
          <t>상품 등록 (4개 요소)</t>
        </is>
      </c>
      <c r="C102" s="3" t="inlineStr">
        <is>
          <t>4개 요소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4" t="n"/>
      <c r="U102" s="34" t="n"/>
      <c r="V102" s="34" t="n"/>
      <c r="W102" s="34" t="n"/>
      <c r="X102" s="34" t="n"/>
      <c r="Y102" s="34" t="n"/>
      <c r="Z102" s="34" t="n"/>
      <c r="AA102" s="34" t="n"/>
    </row>
    <row r="103" outlineLevel="1">
      <c r="A103" s="35" t="inlineStr">
        <is>
          <t>UI-085</t>
        </is>
      </c>
      <c r="B103" s="35" t="inlineStr">
        <is>
          <t>SCR-041</t>
        </is>
      </c>
      <c r="C103" s="35" t="inlineStr">
        <is>
          <t>카테고리 선택</t>
        </is>
      </c>
      <c r="D103" s="36" t="inlineStr">
        <is>
          <t>Select</t>
        </is>
      </c>
      <c r="E103" s="36" t="inlineStr">
        <is>
          <t>상품 카테고리 선택</t>
        </is>
      </c>
      <c r="F103" s="36" t="inlineStr">
        <is>
          <t>선택에 따라 하위 필드 동적 변경</t>
        </is>
      </c>
      <c r="G103" s="36" t="inlineStr">
        <is>
          <t>FN-014</t>
        </is>
      </c>
      <c r="H103" s="36" t="inlineStr">
        <is>
          <t>API-019</t>
        </is>
      </c>
      <c r="I103" s="36" t="inlineStr">
        <is>
          <t>Select + 조건부 필드</t>
        </is>
      </c>
      <c r="J103" s="36" t="n"/>
      <c r="K103" s="36" t="inlineStr">
        <is>
          <t>필수 선택</t>
        </is>
      </c>
      <c r="L103" s="36" t="inlineStr">
        <is>
          <t>카테고리를 선택하세요</t>
        </is>
      </c>
      <c r="M103" s="36" t="inlineStr">
        <is>
          <t>aria-required</t>
        </is>
      </c>
      <c r="N103" s="36" t="inlineStr">
        <is>
          <t>설계중</t>
        </is>
      </c>
      <c r="O103" s="36" t="n"/>
      <c r="P103" s="36" t="inlineStr">
        <is>
          <t>상품 등록</t>
        </is>
      </c>
      <c r="Q103" s="36" t="inlineStr">
        <is>
          <t>상품 등록/수정</t>
        </is>
      </c>
      <c r="R103" s="36" t="inlineStr">
        <is>
          <t>/api/v1/products</t>
        </is>
      </c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outlineLevel="1">
      <c r="A104" s="35" t="inlineStr">
        <is>
          <t>UI-086</t>
        </is>
      </c>
      <c r="B104" s="35" t="inlineStr">
        <is>
          <t>SCR-041</t>
        </is>
      </c>
      <c r="C104" s="35" t="inlineStr">
        <is>
          <t>상품명 입력</t>
        </is>
      </c>
      <c r="D104" s="36" t="inlineStr">
        <is>
          <t>Input</t>
        </is>
      </c>
      <c r="E104" s="36" t="inlineStr">
        <is>
          <t>상품명 입력</t>
        </is>
      </c>
      <c r="F104" s="36" t="inlineStr">
        <is>
          <t>중복 체크</t>
        </is>
      </c>
      <c r="G104" s="36" t="inlineStr">
        <is>
          <t>FN-014</t>
        </is>
      </c>
      <c r="H104" s="36" t="inlineStr">
        <is>
          <t>API-019</t>
        </is>
      </c>
      <c r="I104" s="36" t="inlineStr">
        <is>
          <t>&lt;input&gt; + 중복 체크</t>
        </is>
      </c>
      <c r="J104" s="36" t="n"/>
      <c r="K104" s="36" t="inlineStr">
        <is>
          <t>필수, 중복 불가</t>
        </is>
      </c>
      <c r="L104" s="36" t="inlineStr">
        <is>
          <t>상품명을 입력하세요</t>
        </is>
      </c>
      <c r="M104" s="36" t="inlineStr">
        <is>
          <t>aria-required</t>
        </is>
      </c>
      <c r="N104" s="36" t="inlineStr">
        <is>
          <t>설계중</t>
        </is>
      </c>
      <c r="O104" s="36" t="n"/>
      <c r="P104" s="36" t="inlineStr">
        <is>
          <t>상품 등록</t>
        </is>
      </c>
      <c r="Q104" s="36" t="inlineStr">
        <is>
          <t>상품 등록/수정</t>
        </is>
      </c>
      <c r="R104" s="36" t="inlineStr">
        <is>
          <t>/api/v1/products</t>
        </is>
      </c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outlineLevel="1">
      <c r="A105" s="35" t="inlineStr">
        <is>
          <t>UI-087</t>
        </is>
      </c>
      <c r="B105" s="35" t="inlineStr">
        <is>
          <t>SCR-041</t>
        </is>
      </c>
      <c r="C105" s="35" t="inlineStr">
        <is>
          <t>가격 입력</t>
        </is>
      </c>
      <c r="D105" s="36" t="inlineStr">
        <is>
          <t>Input</t>
        </is>
      </c>
      <c r="E105" s="36" t="inlineStr">
        <is>
          <t>현금가/카드가 입력</t>
        </is>
      </c>
      <c r="F105" s="36" t="inlineStr">
        <is>
          <t>숫자만 입력, 천단위 콤마 포맷</t>
        </is>
      </c>
      <c r="G105" s="36" t="inlineStr">
        <is>
          <t>FN-014</t>
        </is>
      </c>
      <c r="H105" s="36" t="inlineStr">
        <is>
          <t>API-019</t>
        </is>
      </c>
      <c r="I105" s="36" t="inlineStr">
        <is>
          <t>CurrencyInput</t>
        </is>
      </c>
      <c r="J105" s="36" t="n"/>
      <c r="K105" s="36" t="inlineStr">
        <is>
          <t>0 이상 숫자</t>
        </is>
      </c>
      <c r="L105" s="36" t="inlineStr">
        <is>
          <t>올바른 금액을 입력하세요</t>
        </is>
      </c>
      <c r="M105" s="36" t="inlineStr">
        <is>
          <t>aria-label='가격'</t>
        </is>
      </c>
      <c r="N105" s="36" t="inlineStr">
        <is>
          <t>설계중</t>
        </is>
      </c>
      <c r="O105" s="36" t="n"/>
      <c r="P105" s="36" t="inlineStr">
        <is>
          <t>상품 등록</t>
        </is>
      </c>
      <c r="Q105" s="36" t="inlineStr">
        <is>
          <t>상품 등록/수정</t>
        </is>
      </c>
      <c r="R105" s="36" t="inlineStr">
        <is>
          <t>/api/v1/products</t>
        </is>
      </c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outlineLevel="1">
      <c r="A106" s="35" t="inlineStr">
        <is>
          <t>UI-088</t>
        </is>
      </c>
      <c r="B106" s="35" t="inlineStr">
        <is>
          <t>SCR-041</t>
        </is>
      </c>
      <c r="C106" s="35" t="inlineStr">
        <is>
          <t>저장 버튼</t>
        </is>
      </c>
      <c r="D106" s="36" t="inlineStr">
        <is>
          <t>Button</t>
        </is>
      </c>
      <c r="E106" s="36" t="inlineStr">
        <is>
          <t>상품 등록 저장</t>
        </is>
      </c>
      <c r="F106" s="36" t="inlineStr">
        <is>
          <t>필수 항목 검증 후 API 호출</t>
        </is>
      </c>
      <c r="G106" s="36" t="inlineStr">
        <is>
          <t>FN-014</t>
        </is>
      </c>
      <c r="H106" s="36" t="inlineStr">
        <is>
          <t>API-019</t>
        </is>
      </c>
      <c r="I106" s="36" t="inlineStr">
        <is>
          <t>Primary Button</t>
        </is>
      </c>
      <c r="J106" s="36" t="n"/>
      <c r="K106" s="36" t="inlineStr">
        <is>
          <t>필수 항목 검증</t>
        </is>
      </c>
      <c r="L106" s="36" t="inlineStr">
        <is>
          <t>등록에 실패했습니다</t>
        </is>
      </c>
      <c r="M106" s="36" t="inlineStr">
        <is>
          <t>aria-label='저장'</t>
        </is>
      </c>
      <c r="N106" s="36" t="inlineStr">
        <is>
          <t>설계중</t>
        </is>
      </c>
      <c r="O106" s="36" t="n"/>
      <c r="P106" s="36" t="inlineStr">
        <is>
          <t>상품 등록</t>
        </is>
      </c>
      <c r="Q106" s="36" t="inlineStr">
        <is>
          <t>상품 등록/수정</t>
        </is>
      </c>
      <c r="R106" s="36" t="inlineStr">
        <is>
          <t>/api/v1/products</t>
        </is>
      </c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>
      <c r="A107" s="3" t="inlineStr">
        <is>
          <t>▼ SCR-051</t>
        </is>
      </c>
      <c r="B107" s="3" t="inlineStr">
        <is>
          <t>락커 관리 (4개 요소)</t>
        </is>
      </c>
      <c r="C107" s="3" t="inlineStr">
        <is>
          <t>4개 요소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4" t="n"/>
      <c r="U107" s="34" t="n"/>
      <c r="V107" s="34" t="n"/>
      <c r="W107" s="34" t="n"/>
      <c r="X107" s="34" t="n"/>
      <c r="Y107" s="34" t="n"/>
      <c r="Z107" s="34" t="n"/>
      <c r="AA107" s="34" t="n"/>
    </row>
    <row r="108" outlineLevel="1">
      <c r="A108" s="35" t="inlineStr">
        <is>
          <t>UI-089</t>
        </is>
      </c>
      <c r="B108" s="35" t="inlineStr">
        <is>
          <t>SCR-051</t>
        </is>
      </c>
      <c r="C108" s="35" t="inlineStr">
        <is>
          <t>회원 검색</t>
        </is>
      </c>
      <c r="D108" s="36" t="inlineStr">
        <is>
          <t>Input</t>
        </is>
      </c>
      <c r="E108" s="36" t="inlineStr">
        <is>
          <t>배정 대상 회원 검색</t>
        </is>
      </c>
      <c r="F108" s="36" t="inlineStr">
        <is>
          <t>AutoComplete</t>
        </is>
      </c>
      <c r="G108" s="36" t="inlineStr">
        <is>
          <t>FN-016</t>
        </is>
      </c>
      <c r="H108" s="36" t="inlineStr">
        <is>
          <t>API-007</t>
        </is>
      </c>
      <c r="I108" s="36" t="inlineStr">
        <is>
          <t>AutoComplete</t>
        </is>
      </c>
      <c r="J108" s="36" t="n"/>
      <c r="K108" s="36" t="inlineStr">
        <is>
          <t>최소 1자 이상</t>
        </is>
      </c>
      <c r="L108" s="36" t="inlineStr">
        <is>
          <t>검색어를 입력하세요</t>
        </is>
      </c>
      <c r="M108" s="36" t="inlineStr">
        <is>
          <t>aria-label='회원 검색'</t>
        </is>
      </c>
      <c r="N108" s="36" t="inlineStr">
        <is>
          <t>설계중</t>
        </is>
      </c>
      <c r="O108" s="36" t="n"/>
      <c r="P108" s="36" t="inlineStr">
        <is>
          <t>락커 관리</t>
        </is>
      </c>
      <c r="Q108" s="36" t="inlineStr">
        <is>
          <t>락커 배정/관리</t>
        </is>
      </c>
      <c r="R108" s="36" t="inlineStr">
        <is>
          <t>/api/v1/members</t>
        </is>
      </c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outlineLevel="1">
      <c r="A109" s="35" t="inlineStr">
        <is>
          <t>UI-090</t>
        </is>
      </c>
      <c r="B109" s="35" t="inlineStr">
        <is>
          <t>SCR-051</t>
        </is>
      </c>
      <c r="C109" s="35" t="inlineStr">
        <is>
          <t>빈 락커 선택</t>
        </is>
      </c>
      <c r="D109" s="36" t="inlineStr">
        <is>
          <t>List</t>
        </is>
      </c>
      <c r="E109" s="36" t="inlineStr">
        <is>
          <t>배정 가능한 빈 락커 그리드</t>
        </is>
      </c>
      <c r="F109" s="36" t="inlineStr">
        <is>
          <t>클릭 선택, 선택 시 강조</t>
        </is>
      </c>
      <c r="G109" s="36" t="inlineStr">
        <is>
          <t>FN-016</t>
        </is>
      </c>
      <c r="H109" s="36" t="inlineStr">
        <is>
          <t>API-020</t>
        </is>
      </c>
      <c r="I109" s="36" t="inlineStr">
        <is>
          <t>Grid + 선택 상태</t>
        </is>
      </c>
      <c r="J109" s="36" t="n"/>
      <c r="K109" s="36" t="n"/>
      <c r="L109" s="36" t="n"/>
      <c r="M109" s="36" t="inlineStr">
        <is>
          <t>aria-label='락커 선택'</t>
        </is>
      </c>
      <c r="N109" s="36" t="inlineStr">
        <is>
          <t>설계중</t>
        </is>
      </c>
      <c r="O109" s="36" t="n"/>
      <c r="P109" s="36" t="inlineStr">
        <is>
          <t>락커 관리</t>
        </is>
      </c>
      <c r="Q109" s="36" t="inlineStr">
        <is>
          <t>락커 배정/관리</t>
        </is>
      </c>
      <c r="R109" s="36" t="inlineStr">
        <is>
          <t>/api/v1/lockers</t>
        </is>
      </c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outlineLevel="1">
      <c r="A110" s="35" t="inlineStr">
        <is>
          <t>UI-091</t>
        </is>
      </c>
      <c r="B110" s="35" t="inlineStr">
        <is>
          <t>SCR-051</t>
        </is>
      </c>
      <c r="C110" s="35" t="inlineStr">
        <is>
          <t>배정 버튼</t>
        </is>
      </c>
      <c r="D110" s="36" t="inlineStr">
        <is>
          <t>Button</t>
        </is>
      </c>
      <c r="E110" s="36" t="inlineStr">
        <is>
          <t>락커 배정 실행</t>
        </is>
      </c>
      <c r="F110" s="36" t="inlineStr">
        <is>
          <t>회원+락커 선택 시 활성화</t>
        </is>
      </c>
      <c r="G110" s="36" t="inlineStr">
        <is>
          <t>FN-016</t>
        </is>
      </c>
      <c r="H110" s="36" t="inlineStr">
        <is>
          <t>API-021</t>
        </is>
      </c>
      <c r="I110" s="36" t="inlineStr">
        <is>
          <t>Primary Button</t>
        </is>
      </c>
      <c r="J110" s="36" t="n"/>
      <c r="K110" s="36" t="inlineStr">
        <is>
          <t>회원/락커 필수</t>
        </is>
      </c>
      <c r="L110" s="36" t="inlineStr">
        <is>
          <t>배정에 실패했습니다</t>
        </is>
      </c>
      <c r="M110" s="36" t="inlineStr">
        <is>
          <t>aria-label='배정'</t>
        </is>
      </c>
      <c r="N110" s="36" t="inlineStr">
        <is>
          <t>설계중</t>
        </is>
      </c>
      <c r="O110" s="36" t="n"/>
      <c r="P110" s="36" t="inlineStr">
        <is>
          <t>락커 관리</t>
        </is>
      </c>
      <c r="Q110" s="36" t="inlineStr">
        <is>
          <t>락커 배정/관리</t>
        </is>
      </c>
      <c r="R110" s="36" t="inlineStr">
        <is>
          <t>/api/v1/lockers/:id</t>
        </is>
      </c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outlineLevel="1">
      <c r="A111" s="35" t="inlineStr">
        <is>
          <t>UI-092</t>
        </is>
      </c>
      <c r="B111" s="35" t="inlineStr">
        <is>
          <t>SCR-051</t>
        </is>
      </c>
      <c r="C111" s="35" t="inlineStr">
        <is>
          <t>일괄 해제 버튼</t>
        </is>
      </c>
      <c r="D111" s="36" t="inlineStr">
        <is>
          <t>Button</t>
        </is>
      </c>
      <c r="E111" s="36" t="inlineStr">
        <is>
          <t>만료 락커 일괄 해제</t>
        </is>
      </c>
      <c r="F111" s="36" t="inlineStr">
        <is>
          <t>확인 모달 후 실행</t>
        </is>
      </c>
      <c r="G111" s="36" t="inlineStr">
        <is>
          <t>FN-016</t>
        </is>
      </c>
      <c r="H111" s="36" t="inlineStr">
        <is>
          <t>API-021</t>
        </is>
      </c>
      <c r="I111" s="36" t="inlineStr">
        <is>
          <t>Secondary Button</t>
        </is>
      </c>
      <c r="J111" s="36" t="n"/>
      <c r="K111" s="36" t="n"/>
      <c r="L111" s="36" t="n"/>
      <c r="M111" s="36" t="inlineStr">
        <is>
          <t>aria-label='일괄 해제'</t>
        </is>
      </c>
      <c r="N111" s="36" t="inlineStr">
        <is>
          <t>설계중</t>
        </is>
      </c>
      <c r="O111" s="36" t="n"/>
      <c r="P111" s="36" t="inlineStr">
        <is>
          <t>락커 관리</t>
        </is>
      </c>
      <c r="Q111" s="36" t="inlineStr">
        <is>
          <t>락커 배정/관리</t>
        </is>
      </c>
      <c r="R111" s="36" t="inlineStr">
        <is>
          <t>/api/v1/lockers/:id</t>
        </is>
      </c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>
      <c r="A112" s="3" t="inlineStr">
        <is>
          <t>▼ SCR-061</t>
        </is>
      </c>
      <c r="B112" s="3" t="inlineStr">
        <is>
          <t>직원 등록 (5개 요소)</t>
        </is>
      </c>
      <c r="C112" s="3" t="inlineStr">
        <is>
          <t>5개 요소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4" t="n"/>
      <c r="U112" s="34" t="n"/>
      <c r="V112" s="34" t="n"/>
      <c r="W112" s="34" t="n"/>
      <c r="X112" s="34" t="n"/>
      <c r="Y112" s="34" t="n"/>
      <c r="Z112" s="34" t="n"/>
      <c r="AA112" s="34" t="n"/>
    </row>
    <row r="113" outlineLevel="1">
      <c r="A113" s="35" t="inlineStr">
        <is>
          <t>UI-093</t>
        </is>
      </c>
      <c r="B113" s="35" t="inlineStr">
        <is>
          <t>SCR-061</t>
        </is>
      </c>
      <c r="C113" s="35" t="inlineStr">
        <is>
          <t>이름 입력</t>
        </is>
      </c>
      <c r="D113" s="36" t="inlineStr">
        <is>
          <t>Input</t>
        </is>
      </c>
      <c r="E113" s="36" t="inlineStr">
        <is>
          <t>직원 이름</t>
        </is>
      </c>
      <c r="F113" s="36" t="inlineStr">
        <is>
          <t>필수</t>
        </is>
      </c>
      <c r="G113" s="36" t="inlineStr">
        <is>
          <t>FN-020</t>
        </is>
      </c>
      <c r="H113" s="36" t="inlineStr">
        <is>
          <t>API-023</t>
        </is>
      </c>
      <c r="I113" s="36" t="inlineStr">
        <is>
          <t>&lt;input&gt;</t>
        </is>
      </c>
      <c r="J113" s="36" t="n"/>
      <c r="K113" s="36" t="inlineStr">
        <is>
          <t>필수</t>
        </is>
      </c>
      <c r="L113" s="36" t="inlineStr">
        <is>
          <t>이름을 입력하세요</t>
        </is>
      </c>
      <c r="M113" s="36" t="inlineStr">
        <is>
          <t>aria-required</t>
        </is>
      </c>
      <c r="N113" s="36" t="inlineStr">
        <is>
          <t>설계중</t>
        </is>
      </c>
      <c r="O113" s="36" t="n"/>
      <c r="P113" s="36" t="inlineStr">
        <is>
          <t>직원 등록</t>
        </is>
      </c>
      <c r="Q113" s="36" t="inlineStr">
        <is>
          <t>직원 등록/수정</t>
        </is>
      </c>
      <c r="R113" s="36" t="inlineStr">
        <is>
          <t>/api/v1/staff</t>
        </is>
      </c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outlineLevel="1">
      <c r="A114" s="35" t="inlineStr">
        <is>
          <t>UI-094</t>
        </is>
      </c>
      <c r="B114" s="35" t="inlineStr">
        <is>
          <t>SCR-061</t>
        </is>
      </c>
      <c r="C114" s="35" t="inlineStr">
        <is>
          <t>역할 선택</t>
        </is>
      </c>
      <c r="D114" s="36" t="inlineStr">
        <is>
          <t>Select</t>
        </is>
      </c>
      <c r="E114" s="36" t="inlineStr">
        <is>
          <t>직원 역할 선택</t>
        </is>
      </c>
      <c r="F114" s="36" t="inlineStr">
        <is>
          <t>선택 시 권한 미리보기 표시</t>
        </is>
      </c>
      <c r="G114" s="36" t="inlineStr">
        <is>
          <t>FN-020</t>
        </is>
      </c>
      <c r="H114" s="36" t="inlineStr">
        <is>
          <t>API-023</t>
        </is>
      </c>
      <c r="I114" s="36" t="inlineStr">
        <is>
          <t>Select + 권한 미리보기</t>
        </is>
      </c>
      <c r="J114" s="36" t="n"/>
      <c r="K114" s="36" t="inlineStr">
        <is>
          <t>필수</t>
        </is>
      </c>
      <c r="L114" s="36" t="inlineStr">
        <is>
          <t>역할을 선택하세요</t>
        </is>
      </c>
      <c r="M114" s="36" t="inlineStr">
        <is>
          <t>aria-required</t>
        </is>
      </c>
      <c r="N114" s="36" t="inlineStr">
        <is>
          <t>설계중</t>
        </is>
      </c>
      <c r="O114" s="36" t="n"/>
      <c r="P114" s="36" t="inlineStr">
        <is>
          <t>직원 등록</t>
        </is>
      </c>
      <c r="Q114" s="36" t="inlineStr">
        <is>
          <t>직원 등록/수정</t>
        </is>
      </c>
      <c r="R114" s="36" t="inlineStr">
        <is>
          <t>/api/v1/staff</t>
        </is>
      </c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outlineLevel="1">
      <c r="A115" s="35" t="inlineStr">
        <is>
          <t>UI-095</t>
        </is>
      </c>
      <c r="B115" s="35" t="inlineStr">
        <is>
          <t>SCR-061</t>
        </is>
      </c>
      <c r="C115" s="35" t="inlineStr">
        <is>
          <t>연락처 입력</t>
        </is>
      </c>
      <c r="D115" s="36" t="inlineStr">
        <is>
          <t>Input</t>
        </is>
      </c>
      <c r="E115" s="36" t="inlineStr">
        <is>
          <t>직원 연락처</t>
        </is>
      </c>
      <c r="F115" s="36" t="inlineStr">
        <is>
          <t>자동 포맷</t>
        </is>
      </c>
      <c r="G115" s="36" t="inlineStr">
        <is>
          <t>FN-020</t>
        </is>
      </c>
      <c r="H115" s="36" t="inlineStr">
        <is>
          <t>API-023</t>
        </is>
      </c>
      <c r="I115" s="36" t="inlineStr">
        <is>
          <t>PhoneInput</t>
        </is>
      </c>
      <c r="J115" s="36" t="n"/>
      <c r="K115" s="36" t="inlineStr">
        <is>
          <t>전화번호 형식</t>
        </is>
      </c>
      <c r="L115" s="36" t="inlineStr">
        <is>
          <t>올바른 연락처를 입력하세요</t>
        </is>
      </c>
      <c r="M115" s="36" t="inlineStr">
        <is>
          <t>aria-label='연락처'</t>
        </is>
      </c>
      <c r="N115" s="36" t="inlineStr">
        <is>
          <t>설계중</t>
        </is>
      </c>
      <c r="O115" s="36" t="n"/>
      <c r="P115" s="36" t="inlineStr">
        <is>
          <t>직원 등록</t>
        </is>
      </c>
      <c r="Q115" s="36" t="inlineStr">
        <is>
          <t>직원 등록/수정</t>
        </is>
      </c>
      <c r="R115" s="36" t="inlineStr">
        <is>
          <t>/api/v1/staff</t>
        </is>
      </c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outlineLevel="1">
      <c r="A116" s="35" t="inlineStr">
        <is>
          <t>UI-096</t>
        </is>
      </c>
      <c r="B116" s="35" t="inlineStr">
        <is>
          <t>SCR-061</t>
        </is>
      </c>
      <c r="C116" s="35" t="inlineStr">
        <is>
          <t>입사일 선택</t>
        </is>
      </c>
      <c r="D116" s="36" t="inlineStr">
        <is>
          <t>Input</t>
        </is>
      </c>
      <c r="E116" s="36" t="inlineStr">
        <is>
          <t>입사일 date picker</t>
        </is>
      </c>
      <c r="F116" s="36" t="inlineStr">
        <is>
          <t>달력 팝업</t>
        </is>
      </c>
      <c r="G116" s="36" t="inlineStr">
        <is>
          <t>FN-020</t>
        </is>
      </c>
      <c r="H116" s="36" t="inlineStr">
        <is>
          <t>API-023</t>
        </is>
      </c>
      <c r="I116" s="36" t="inlineStr">
        <is>
          <t>DatePicker</t>
        </is>
      </c>
      <c r="J116" s="36" t="n"/>
      <c r="K116" s="36" t="inlineStr">
        <is>
          <t>필수</t>
        </is>
      </c>
      <c r="L116" s="36" t="inlineStr">
        <is>
          <t>입사일을 선택하세요</t>
        </is>
      </c>
      <c r="M116" s="36" t="inlineStr">
        <is>
          <t>aria-label='입사일'</t>
        </is>
      </c>
      <c r="N116" s="36" t="inlineStr">
        <is>
          <t>설계중</t>
        </is>
      </c>
      <c r="O116" s="36" t="n"/>
      <c r="P116" s="36" t="inlineStr">
        <is>
          <t>직원 등록</t>
        </is>
      </c>
      <c r="Q116" s="36" t="inlineStr">
        <is>
          <t>직원 등록/수정</t>
        </is>
      </c>
      <c r="R116" s="36" t="inlineStr">
        <is>
          <t>/api/v1/staff</t>
        </is>
      </c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outlineLevel="1">
      <c r="A117" s="35" t="inlineStr">
        <is>
          <t>UI-097</t>
        </is>
      </c>
      <c r="B117" s="35" t="inlineStr">
        <is>
          <t>SCR-061</t>
        </is>
      </c>
      <c r="C117" s="35" t="inlineStr">
        <is>
          <t>저장 버튼</t>
        </is>
      </c>
      <c r="D117" s="36" t="inlineStr">
        <is>
          <t>Button</t>
        </is>
      </c>
      <c r="E117" s="36" t="inlineStr">
        <is>
          <t>직원 등록 저장</t>
        </is>
      </c>
      <c r="F117" s="36" t="inlineStr">
        <is>
          <t>필수 검증 후 저장</t>
        </is>
      </c>
      <c r="G117" s="36" t="inlineStr">
        <is>
          <t>FN-020</t>
        </is>
      </c>
      <c r="H117" s="36" t="inlineStr">
        <is>
          <t>API-023</t>
        </is>
      </c>
      <c r="I117" s="36" t="inlineStr">
        <is>
          <t>Primary Button</t>
        </is>
      </c>
      <c r="J117" s="36" t="n"/>
      <c r="K117" s="36" t="inlineStr">
        <is>
          <t>필수 항목</t>
        </is>
      </c>
      <c r="L117" s="36" t="inlineStr">
        <is>
          <t>등록에 실패했습니다</t>
        </is>
      </c>
      <c r="M117" s="36" t="inlineStr">
        <is>
          <t>aria-label='저장'</t>
        </is>
      </c>
      <c r="N117" s="36" t="inlineStr">
        <is>
          <t>설계중</t>
        </is>
      </c>
      <c r="O117" s="36" t="n"/>
      <c r="P117" s="36" t="inlineStr">
        <is>
          <t>직원 등록</t>
        </is>
      </c>
      <c r="Q117" s="36" t="inlineStr">
        <is>
          <t>직원 등록/수정</t>
        </is>
      </c>
      <c r="R117" s="36" t="inlineStr">
        <is>
          <t>/api/v1/staff</t>
        </is>
      </c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>
      <c r="A118" s="3" t="inlineStr">
        <is>
          <t>▼ SCR-062</t>
        </is>
      </c>
      <c r="B118" s="3" t="inlineStr">
        <is>
          <t>급여 현황 (3개 요소)</t>
        </is>
      </c>
      <c r="C118" s="3" t="inlineStr">
        <is>
          <t>3개 요소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4" t="n"/>
      <c r="U118" s="34" t="n"/>
      <c r="V118" s="34" t="n"/>
      <c r="W118" s="34" t="n"/>
      <c r="X118" s="34" t="n"/>
      <c r="Y118" s="34" t="n"/>
      <c r="Z118" s="34" t="n"/>
      <c r="AA118" s="34" t="n"/>
    </row>
    <row r="119" outlineLevel="1">
      <c r="A119" s="35" t="inlineStr">
        <is>
          <t>UI-098</t>
        </is>
      </c>
      <c r="B119" s="35" t="inlineStr">
        <is>
          <t>SCR-062</t>
        </is>
      </c>
      <c r="C119" s="35" t="inlineStr">
        <is>
          <t>월 선택</t>
        </is>
      </c>
      <c r="D119" s="36" t="inlineStr">
        <is>
          <t>Select</t>
        </is>
      </c>
      <c r="E119" s="36" t="inlineStr">
        <is>
          <t>급여 조회 월 선택</t>
        </is>
      </c>
      <c r="F119" s="36" t="inlineStr">
        <is>
          <t>월 변경 시 테이블 갱신</t>
        </is>
      </c>
      <c r="G119" s="36" t="inlineStr">
        <is>
          <t>FN-021</t>
        </is>
      </c>
      <c r="H119" s="36" t="n"/>
      <c r="I119" s="36" t="inlineStr">
        <is>
          <t>MonthPicker</t>
        </is>
      </c>
      <c r="J119" s="36" t="n"/>
      <c r="K119" s="36" t="inlineStr">
        <is>
          <t>1개 이상 선택 필수</t>
        </is>
      </c>
      <c r="L119" s="36" t="inlineStr">
        <is>
          <t>월 선택을(를) 선택하세요</t>
        </is>
      </c>
      <c r="M119" s="36" t="inlineStr">
        <is>
          <t>aria-label='조회 월'</t>
        </is>
      </c>
      <c r="N119" s="36" t="inlineStr">
        <is>
          <t>설계중</t>
        </is>
      </c>
      <c r="O119" s="36" t="n"/>
      <c r="P119" s="36" t="inlineStr">
        <is>
          <t>급여 현황</t>
        </is>
      </c>
      <c r="Q119" s="36" t="inlineStr">
        <is>
          <t>급여 관리</t>
        </is>
      </c>
      <c r="R119" s="36">
        <f>IFERROR(VLOOKUP(H119,API명세서!A:D,4,FALSE()),"")</f>
        <v/>
      </c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outlineLevel="1">
      <c r="A120" s="35" t="inlineStr">
        <is>
          <t>UI-099</t>
        </is>
      </c>
      <c r="B120" s="35" t="inlineStr">
        <is>
          <t>SCR-062</t>
        </is>
      </c>
      <c r="C120" s="35" t="inlineStr">
        <is>
          <t>급여 테이블</t>
        </is>
      </c>
      <c r="D120" s="36" t="inlineStr">
        <is>
          <t>List</t>
        </is>
      </c>
      <c r="E120" s="36" t="inlineStr">
        <is>
          <t>직원별 급여 테이블</t>
        </is>
      </c>
      <c r="F120" s="36" t="inlineStr">
        <is>
          <t>기본급/인센티브/공제/실지급액 컬럼</t>
        </is>
      </c>
      <c r="G120" s="36" t="inlineStr">
        <is>
          <t>FN-021</t>
        </is>
      </c>
      <c r="H120" s="36" t="n"/>
      <c r="I120" s="36" t="inlineStr">
        <is>
          <t>DataTable</t>
        </is>
      </c>
      <c r="J120" s="36" t="n"/>
      <c r="K120" s="36" t="n"/>
      <c r="L120" s="36" t="n"/>
      <c r="M120" s="36" t="inlineStr">
        <is>
          <t>aria-label='급여 현황'</t>
        </is>
      </c>
      <c r="N120" s="36" t="inlineStr">
        <is>
          <t>설계중</t>
        </is>
      </c>
      <c r="O120" s="36" t="n"/>
      <c r="P120" s="36" t="inlineStr">
        <is>
          <t>급여 현황</t>
        </is>
      </c>
      <c r="Q120" s="36" t="inlineStr">
        <is>
          <t>급여 관리</t>
        </is>
      </c>
      <c r="R120" s="36">
        <f>IFERROR(VLOOKUP(H120,API명세서!A:D,4,FALSE()),"")</f>
        <v/>
      </c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outlineLevel="1">
      <c r="A121" s="35" t="inlineStr">
        <is>
          <t>UI-100</t>
        </is>
      </c>
      <c r="B121" s="35" t="inlineStr">
        <is>
          <t>SCR-062</t>
        </is>
      </c>
      <c r="C121" s="35" t="inlineStr">
        <is>
          <t>합계 행</t>
        </is>
      </c>
      <c r="D121" s="36" t="inlineStr">
        <is>
          <t>Label</t>
        </is>
      </c>
      <c r="E121" s="36" t="inlineStr">
        <is>
          <t>전체 합계/평균 표시 행</t>
        </is>
      </c>
      <c r="F121" s="36" t="inlineStr">
        <is>
          <t>테이블 하단 고정</t>
        </is>
      </c>
      <c r="G121" s="36" t="inlineStr">
        <is>
          <t>FN-021</t>
        </is>
      </c>
      <c r="H121" s="36" t="n"/>
      <c r="I121" s="36" t="inlineStr">
        <is>
          <t>테이블 footer</t>
        </is>
      </c>
      <c r="J121" s="36" t="n"/>
      <c r="K121" s="36" t="n"/>
      <c r="L121" s="36" t="n"/>
      <c r="M121" s="36" t="inlineStr">
        <is>
          <t>aria-label='합계'</t>
        </is>
      </c>
      <c r="N121" s="36" t="inlineStr">
        <is>
          <t>설계중</t>
        </is>
      </c>
      <c r="O121" s="36" t="n"/>
      <c r="P121" s="36" t="inlineStr">
        <is>
          <t>급여 현황</t>
        </is>
      </c>
      <c r="Q121" s="36" t="inlineStr">
        <is>
          <t>급여 관리</t>
        </is>
      </c>
      <c r="R121" s="36">
        <f>IFERROR(VLOOKUP(H121,API명세서!A:D,4,FALSE()),"")</f>
        <v/>
      </c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>
      <c r="A122" s="3" t="inlineStr">
        <is>
          <t>▼ SCR-071</t>
        </is>
      </c>
      <c r="B122" s="3" t="inlineStr">
        <is>
          <t>자동 알림 (2개 요소)</t>
        </is>
      </c>
      <c r="C122" s="3" t="inlineStr">
        <is>
          <t>2개 요소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4" t="n"/>
      <c r="U122" s="34" t="n"/>
      <c r="V122" s="34" t="n"/>
      <c r="W122" s="34" t="n"/>
      <c r="X122" s="34" t="n"/>
      <c r="Y122" s="34" t="n"/>
      <c r="Z122" s="34" t="n"/>
      <c r="AA122" s="34" t="n"/>
    </row>
    <row r="123" outlineLevel="1">
      <c r="A123" s="35" t="inlineStr">
        <is>
          <t>UI-101</t>
        </is>
      </c>
      <c r="B123" s="35" t="inlineStr">
        <is>
          <t>SCR-071</t>
        </is>
      </c>
      <c r="C123" s="35" t="inlineStr">
        <is>
          <t>알림 규칙 리스트</t>
        </is>
      </c>
      <c r="D123" s="36" t="inlineStr">
        <is>
          <t>List</t>
        </is>
      </c>
      <c r="E123" s="36" t="inlineStr">
        <is>
          <t>자동 알림 규칙 목록</t>
        </is>
      </c>
      <c r="F123" s="36" t="inlineStr">
        <is>
          <t>각 규칙에 ON/OFF 토글</t>
        </is>
      </c>
      <c r="G123" s="36" t="inlineStr">
        <is>
          <t>FN-024</t>
        </is>
      </c>
      <c r="H123" s="36" t="n"/>
      <c r="I123" s="36" t="inlineStr">
        <is>
          <t>List + Toggle</t>
        </is>
      </c>
      <c r="J123" s="36" t="n"/>
      <c r="K123" s="36" t="n"/>
      <c r="L123" s="36" t="n"/>
      <c r="M123" s="36" t="inlineStr">
        <is>
          <t>aria-label='알림 규칙'</t>
        </is>
      </c>
      <c r="N123" s="36" t="inlineStr">
        <is>
          <t>설계중</t>
        </is>
      </c>
      <c r="O123" s="36" t="n"/>
      <c r="P123" s="36" t="inlineStr">
        <is>
          <t>자동 알림</t>
        </is>
      </c>
      <c r="Q123" s="36" t="inlineStr">
        <is>
          <t>자동 알림 설정</t>
        </is>
      </c>
      <c r="R123" s="36">
        <f>IFERROR(VLOOKUP(H123,API명세서!A:D,4,FALSE()),"")</f>
        <v/>
      </c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outlineLevel="1">
      <c r="A124" s="35" t="inlineStr">
        <is>
          <t>UI-102</t>
        </is>
      </c>
      <c r="B124" s="35" t="inlineStr">
        <is>
          <t>SCR-071</t>
        </is>
      </c>
      <c r="C124" s="35" t="inlineStr">
        <is>
          <t>규칙 설정 모달</t>
        </is>
      </c>
      <c r="D124" s="36" t="inlineStr">
        <is>
          <t>Modal</t>
        </is>
      </c>
      <c r="E124" s="36" t="inlineStr">
        <is>
          <t>알림 규칙 상세 설정</t>
        </is>
      </c>
      <c r="F124" s="36" t="inlineStr">
        <is>
          <t>발송 시점/대상/메시지 템플릿 설정</t>
        </is>
      </c>
      <c r="G124" s="36" t="inlineStr">
        <is>
          <t>FN-024</t>
        </is>
      </c>
      <c r="H124" s="36" t="n"/>
      <c r="I124" s="36" t="inlineStr">
        <is>
          <t>Modal + Form</t>
        </is>
      </c>
      <c r="J124" s="36" t="n"/>
      <c r="K124" s="36" t="n"/>
      <c r="L124" s="36" t="n"/>
      <c r="M124" s="36" t="inlineStr">
        <is>
          <t>aria-modal='true'</t>
        </is>
      </c>
      <c r="N124" s="36" t="inlineStr">
        <is>
          <t>설계중</t>
        </is>
      </c>
      <c r="O124" s="36" t="n"/>
      <c r="P124" s="36" t="inlineStr">
        <is>
          <t>자동 알림</t>
        </is>
      </c>
      <c r="Q124" s="36" t="inlineStr">
        <is>
          <t>자동 알림 설정</t>
        </is>
      </c>
      <c r="R124" s="36">
        <f>IFERROR(VLOOKUP(H124,API명세서!A:D,4,FALSE()),"")</f>
        <v/>
      </c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>
      <c r="A125" s="3" t="inlineStr">
        <is>
          <t>▼ SCR-072</t>
        </is>
      </c>
      <c r="B125" s="3" t="inlineStr">
        <is>
          <t>쿠폰 관리 (2개 요소)</t>
        </is>
      </c>
      <c r="C125" s="3" t="inlineStr">
        <is>
          <t>2개 요소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4" t="n"/>
      <c r="U125" s="34" t="n"/>
      <c r="V125" s="34" t="n"/>
      <c r="W125" s="34" t="n"/>
      <c r="X125" s="34" t="n"/>
      <c r="Y125" s="34" t="n"/>
      <c r="Z125" s="34" t="n"/>
      <c r="AA125" s="34" t="n"/>
    </row>
    <row r="126" outlineLevel="1">
      <c r="A126" s="35" t="inlineStr">
        <is>
          <t>UI-103</t>
        </is>
      </c>
      <c r="B126" s="35" t="inlineStr">
        <is>
          <t>SCR-072</t>
        </is>
      </c>
      <c r="C126" s="35" t="inlineStr">
        <is>
          <t>쿠폰 리스트</t>
        </is>
      </c>
      <c r="D126" s="36" t="inlineStr">
        <is>
          <t>List</t>
        </is>
      </c>
      <c r="E126" s="36" t="inlineStr">
        <is>
          <t>쿠폰 목록 테이블</t>
        </is>
      </c>
      <c r="F126" s="36" t="inlineStr">
        <is>
          <t>상태/유형별 필터</t>
        </is>
      </c>
      <c r="G126" s="36" t="inlineStr">
        <is>
          <t>FN-025</t>
        </is>
      </c>
      <c r="H126" s="36" t="n"/>
      <c r="I126" s="36" t="inlineStr">
        <is>
          <t>DataTable</t>
        </is>
      </c>
      <c r="J126" s="36" t="n"/>
      <c r="K126" s="36" t="n"/>
      <c r="L126" s="36" t="n"/>
      <c r="M126" s="36" t="inlineStr">
        <is>
          <t>aria-label='쿠폰 목록'</t>
        </is>
      </c>
      <c r="N126" s="36" t="inlineStr">
        <is>
          <t>설계중</t>
        </is>
      </c>
      <c r="O126" s="36" t="n"/>
      <c r="P126" s="36" t="inlineStr">
        <is>
          <t>쿠폰 관리</t>
        </is>
      </c>
      <c r="Q126" s="36" t="inlineStr">
        <is>
          <t>쿠폰 관리</t>
        </is>
      </c>
      <c r="R126" s="36">
        <f>IFERROR(VLOOKUP(H126,API명세서!A:D,4,FALSE()),"")</f>
        <v/>
      </c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outlineLevel="1">
      <c r="A127" s="35" t="inlineStr">
        <is>
          <t>UI-104</t>
        </is>
      </c>
      <c r="B127" s="35" t="inlineStr">
        <is>
          <t>SCR-072</t>
        </is>
      </c>
      <c r="C127" s="35" t="inlineStr">
        <is>
          <t>쿠폰 생성 버튼</t>
        </is>
      </c>
      <c r="D127" s="36" t="inlineStr">
        <is>
          <t>Button</t>
        </is>
      </c>
      <c r="E127" s="36" t="inlineStr">
        <is>
          <t>쿠폰 생성 모달 오픈</t>
        </is>
      </c>
      <c r="F127" s="36" t="inlineStr">
        <is>
          <t>모달 폼 (이름/유형/할인값/기간)</t>
        </is>
      </c>
      <c r="G127" s="36" t="inlineStr">
        <is>
          <t>FN-025</t>
        </is>
      </c>
      <c r="H127" s="36" t="n"/>
      <c r="I127" s="36" t="inlineStr">
        <is>
          <t>Primary Button + Modal</t>
        </is>
      </c>
      <c r="J127" s="36" t="n"/>
      <c r="K127" s="36" t="n"/>
      <c r="L127" s="36" t="n"/>
      <c r="M127" s="36" t="inlineStr">
        <is>
          <t>aria-label='쿠폰 생성'</t>
        </is>
      </c>
      <c r="N127" s="36" t="inlineStr">
        <is>
          <t>설계중</t>
        </is>
      </c>
      <c r="O127" s="36" t="n"/>
      <c r="P127" s="36" t="inlineStr">
        <is>
          <t>쿠폰 관리</t>
        </is>
      </c>
      <c r="Q127" s="36" t="inlineStr">
        <is>
          <t>쿠폰 관리</t>
        </is>
      </c>
      <c r="R127" s="36">
        <f>IFERROR(VLOOKUP(H127,API명세서!A:D,4,FALSE()),"")</f>
        <v/>
      </c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>
      <c r="A128" s="3" t="inlineStr">
        <is>
          <t>▼ SCR-073</t>
        </is>
      </c>
      <c r="B128" s="3" t="inlineStr">
        <is>
          <t>마일리지 관리 (3개 요소)</t>
        </is>
      </c>
      <c r="C128" s="3" t="inlineStr">
        <is>
          <t>3개 요소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4" t="n"/>
      <c r="U128" s="34" t="n"/>
      <c r="V128" s="34" t="n"/>
      <c r="W128" s="34" t="n"/>
      <c r="X128" s="34" t="n"/>
      <c r="Y128" s="34" t="n"/>
      <c r="Z128" s="34" t="n"/>
      <c r="AA128" s="34" t="n"/>
    </row>
    <row r="129" outlineLevel="1">
      <c r="A129" s="35" t="inlineStr">
        <is>
          <t>UI-105</t>
        </is>
      </c>
      <c r="B129" s="35" t="inlineStr">
        <is>
          <t>SCR-073</t>
        </is>
      </c>
      <c r="C129" s="35" t="inlineStr">
        <is>
          <t>회원 검색</t>
        </is>
      </c>
      <c r="D129" s="36" t="inlineStr">
        <is>
          <t>Input</t>
        </is>
      </c>
      <c r="E129" s="36" t="inlineStr">
        <is>
          <t>마일리지 조회 회원 검색</t>
        </is>
      </c>
      <c r="F129" s="36" t="inlineStr">
        <is>
          <t>AutoComplete</t>
        </is>
      </c>
      <c r="G129" s="36" t="inlineStr">
        <is>
          <t>FN-026</t>
        </is>
      </c>
      <c r="H129" s="36" t="n"/>
      <c r="I129" s="36" t="inlineStr">
        <is>
          <t>AutoComplete</t>
        </is>
      </c>
      <c r="J129" s="36" t="n"/>
      <c r="K129" s="36" t="inlineStr">
        <is>
          <t>최소 1자 이상</t>
        </is>
      </c>
      <c r="L129" s="36" t="inlineStr">
        <is>
          <t>검색어를 입력하세요</t>
        </is>
      </c>
      <c r="M129" s="36" t="inlineStr">
        <is>
          <t>aria-label='회원 검색'</t>
        </is>
      </c>
      <c r="N129" s="36" t="inlineStr">
        <is>
          <t>설계중</t>
        </is>
      </c>
      <c r="O129" s="36" t="n"/>
      <c r="P129" s="36" t="inlineStr">
        <is>
          <t>마일리지 관리</t>
        </is>
      </c>
      <c r="Q129" s="36" t="inlineStr">
        <is>
          <t>마일리지 관리</t>
        </is>
      </c>
      <c r="R129" s="36">
        <f>IFERROR(VLOOKUP(H129,API명세서!A:D,4,FALSE()),"")</f>
        <v/>
      </c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outlineLevel="1">
      <c r="A130" s="35" t="inlineStr">
        <is>
          <t>UI-106</t>
        </is>
      </c>
      <c r="B130" s="35" t="inlineStr">
        <is>
          <t>SCR-073</t>
        </is>
      </c>
      <c r="C130" s="35" t="inlineStr">
        <is>
          <t>마일리지 이력</t>
        </is>
      </c>
      <c r="D130" s="36" t="inlineStr">
        <is>
          <t>List</t>
        </is>
      </c>
      <c r="E130" s="36" t="inlineStr">
        <is>
          <t>적립/사용 이력 테이블</t>
        </is>
      </c>
      <c r="F130" s="36" t="inlineStr">
        <is>
          <t>유형/날짜/금액/잔액 표시</t>
        </is>
      </c>
      <c r="G130" s="36" t="inlineStr">
        <is>
          <t>FN-026</t>
        </is>
      </c>
      <c r="H130" s="36" t="n"/>
      <c r="I130" s="36" t="inlineStr">
        <is>
          <t>DataTable</t>
        </is>
      </c>
      <c r="J130" s="36" t="n"/>
      <c r="K130" s="36" t="n"/>
      <c r="L130" s="36" t="n"/>
      <c r="M130" s="36" t="inlineStr">
        <is>
          <t>aria-label='마일리지 이력'</t>
        </is>
      </c>
      <c r="N130" s="36" t="inlineStr">
        <is>
          <t>설계중</t>
        </is>
      </c>
      <c r="O130" s="36" t="n"/>
      <c r="P130" s="36" t="inlineStr">
        <is>
          <t>마일리지 관리</t>
        </is>
      </c>
      <c r="Q130" s="36" t="inlineStr">
        <is>
          <t>마일리지 관리</t>
        </is>
      </c>
      <c r="R130" s="36">
        <f>IFERROR(VLOOKUP(H130,API명세서!A:D,4,FALSE()),"")</f>
        <v/>
      </c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outlineLevel="1">
      <c r="A131" s="35" t="inlineStr">
        <is>
          <t>UI-107</t>
        </is>
      </c>
      <c r="B131" s="35" t="inlineStr">
        <is>
          <t>SCR-073</t>
        </is>
      </c>
      <c r="C131" s="35" t="inlineStr">
        <is>
          <t>적립/차감 버튼</t>
        </is>
      </c>
      <c r="D131" s="36" t="inlineStr">
        <is>
          <t>Button</t>
        </is>
      </c>
      <c r="E131" s="36" t="inlineStr">
        <is>
          <t>마일리지 적립/차감 모달</t>
        </is>
      </c>
      <c r="F131" s="36" t="inlineStr">
        <is>
          <t>금액 입력, 사유 선택</t>
        </is>
      </c>
      <c r="G131" s="36" t="inlineStr">
        <is>
          <t>FN-026</t>
        </is>
      </c>
      <c r="H131" s="36" t="n"/>
      <c r="I131" s="36" t="inlineStr">
        <is>
          <t>Button + Modal</t>
        </is>
      </c>
      <c r="J131" s="36" t="n"/>
      <c r="K131" s="36" t="inlineStr">
        <is>
          <t>금액 필수</t>
        </is>
      </c>
      <c r="L131" s="36" t="inlineStr">
        <is>
          <t>금액을 입력하세요</t>
        </is>
      </c>
      <c r="M131" s="36" t="inlineStr">
        <is>
          <t>aria-label='마일리지 변경'</t>
        </is>
      </c>
      <c r="N131" s="36" t="inlineStr">
        <is>
          <t>설계중</t>
        </is>
      </c>
      <c r="O131" s="36" t="n"/>
      <c r="P131" s="36" t="inlineStr">
        <is>
          <t>마일리지 관리</t>
        </is>
      </c>
      <c r="Q131" s="36" t="inlineStr">
        <is>
          <t>마일리지 관리</t>
        </is>
      </c>
      <c r="R131" s="36">
        <f>IFERROR(VLOOKUP(H131,API명세서!A:D,4,FALSE()),"")</f>
        <v/>
      </c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>
      <c r="A132" s="3" t="inlineStr">
        <is>
          <t>▼ SCR-052</t>
        </is>
      </c>
      <c r="B132" s="3" t="inlineStr">
        <is>
          <t>RFID 관리 (3개 요소)</t>
        </is>
      </c>
      <c r="C132" s="3" t="inlineStr">
        <is>
          <t>3개 요소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4" t="n"/>
      <c r="U132" s="34" t="n"/>
      <c r="V132" s="34" t="n"/>
      <c r="W132" s="34" t="n"/>
      <c r="X132" s="34" t="n"/>
      <c r="Y132" s="34" t="n"/>
      <c r="Z132" s="34" t="n"/>
      <c r="AA132" s="34" t="n"/>
    </row>
    <row r="133" outlineLevel="1">
      <c r="A133" s="35" t="inlineStr">
        <is>
          <t>UI-108</t>
        </is>
      </c>
      <c r="B133" s="35" t="inlineStr">
        <is>
          <t>SCR-052</t>
        </is>
      </c>
      <c r="C133" s="35" t="inlineStr">
        <is>
          <t>카드 번호 입력</t>
        </is>
      </c>
      <c r="D133" s="36" t="inlineStr">
        <is>
          <t>Input</t>
        </is>
      </c>
      <c r="E133" s="36" t="inlineStr">
        <is>
          <t>RFID 카드 번호 스캔/입력</t>
        </is>
      </c>
      <c r="F133" s="36" t="inlineStr">
        <is>
          <t>스캔 시 자동 입력, 직접 입력 가능</t>
        </is>
      </c>
      <c r="G133" s="36" t="inlineStr">
        <is>
          <t>FN-017</t>
        </is>
      </c>
      <c r="H133" s="36" t="n"/>
      <c r="I133" s="36" t="inlineStr">
        <is>
          <t>&lt;input&gt; + 스캔 연동</t>
        </is>
      </c>
      <c r="J133" s="36" t="n"/>
      <c r="K133" s="36" t="inlineStr">
        <is>
          <t>필수 입력</t>
        </is>
      </c>
      <c r="L133" s="36" t="inlineStr">
        <is>
          <t>카드 번호 입력을(를) 입력하세요</t>
        </is>
      </c>
      <c r="M133" s="36" t="inlineStr">
        <is>
          <t>aria-label='카드 번호'</t>
        </is>
      </c>
      <c r="N133" s="36" t="inlineStr">
        <is>
          <t>설계중</t>
        </is>
      </c>
      <c r="O133" s="36" t="n"/>
      <c r="P133" s="36" t="inlineStr">
        <is>
          <t>RFID 관리</t>
        </is>
      </c>
      <c r="Q133" s="36" t="inlineStr">
        <is>
          <t>RFID 관리</t>
        </is>
      </c>
      <c r="R133" s="36">
        <f>IFERROR(VLOOKUP(H133,API명세서!A:D,4,FALSE()),"")</f>
        <v/>
      </c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outlineLevel="1">
      <c r="A134" s="35" t="inlineStr">
        <is>
          <t>UI-109</t>
        </is>
      </c>
      <c r="B134" s="35" t="inlineStr">
        <is>
          <t>SCR-052</t>
        </is>
      </c>
      <c r="C134" s="35" t="inlineStr">
        <is>
          <t>회원 매핑</t>
        </is>
      </c>
      <c r="D134" s="36" t="inlineStr">
        <is>
          <t>Select</t>
        </is>
      </c>
      <c r="E134" s="36" t="inlineStr">
        <is>
          <t>카드-회원 매핑</t>
        </is>
      </c>
      <c r="F134" s="36" t="inlineStr">
        <is>
          <t>회원 검색 후 매핑</t>
        </is>
      </c>
      <c r="G134" s="36" t="inlineStr">
        <is>
          <t>FN-017</t>
        </is>
      </c>
      <c r="H134" s="36" t="n"/>
      <c r="I134" s="36" t="inlineStr">
        <is>
          <t>AutoComplete</t>
        </is>
      </c>
      <c r="J134" s="36" t="n"/>
      <c r="K134" s="36" t="inlineStr">
        <is>
          <t>1개 이상 선택 필수</t>
        </is>
      </c>
      <c r="L134" s="36" t="inlineStr">
        <is>
          <t>회원 매핑을(를) 선택하세요</t>
        </is>
      </c>
      <c r="M134" s="36" t="inlineStr">
        <is>
          <t>aria-label='회원 매핑'</t>
        </is>
      </c>
      <c r="N134" s="36" t="inlineStr">
        <is>
          <t>설계중</t>
        </is>
      </c>
      <c r="O134" s="36" t="n"/>
      <c r="P134" s="36" t="inlineStr">
        <is>
          <t>RFID 관리</t>
        </is>
      </c>
      <c r="Q134" s="36" t="inlineStr">
        <is>
          <t>RFID 관리</t>
        </is>
      </c>
      <c r="R134" s="36">
        <f>IFERROR(VLOOKUP(H134,API명세서!A:D,4,FALSE()),"")</f>
        <v/>
      </c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outlineLevel="1">
      <c r="A135" s="35" t="inlineStr">
        <is>
          <t>UI-110</t>
        </is>
      </c>
      <c r="B135" s="35" t="inlineStr">
        <is>
          <t>SCR-052</t>
        </is>
      </c>
      <c r="C135" s="35" t="inlineStr">
        <is>
          <t>카드 이력</t>
        </is>
      </c>
      <c r="D135" s="36" t="inlineStr">
        <is>
          <t>List</t>
        </is>
      </c>
      <c r="E135" s="36" t="inlineStr">
        <is>
          <t>카드 등록/해제 이력</t>
        </is>
      </c>
      <c r="F135" s="36" t="inlineStr">
        <is>
          <t>시간순 정렬</t>
        </is>
      </c>
      <c r="G135" s="36" t="inlineStr">
        <is>
          <t>FN-017</t>
        </is>
      </c>
      <c r="H135" s="36" t="n"/>
      <c r="I135" s="36" t="inlineStr">
        <is>
          <t>DataTable</t>
        </is>
      </c>
      <c r="J135" s="36" t="n"/>
      <c r="K135" s="36" t="n"/>
      <c r="L135" s="36" t="n"/>
      <c r="M135" s="36" t="inlineStr">
        <is>
          <t>aria-label='카드 이력'</t>
        </is>
      </c>
      <c r="N135" s="36" t="inlineStr">
        <is>
          <t>설계중</t>
        </is>
      </c>
      <c r="O135" s="36" t="n"/>
      <c r="P135" s="36" t="inlineStr">
        <is>
          <t>RFID 관리</t>
        </is>
      </c>
      <c r="Q135" s="36" t="inlineStr">
        <is>
          <t>RFID 관리</t>
        </is>
      </c>
      <c r="R135" s="36">
        <f>IFERROR(VLOOKUP(H135,API명세서!A:D,4,FALSE()),"")</f>
        <v/>
      </c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>
      <c r="A136" s="3" t="inlineStr">
        <is>
          <t>▼ SCR-053</t>
        </is>
      </c>
      <c r="B136" s="3" t="inlineStr">
        <is>
          <t>룸 관리 (2개 요소)</t>
        </is>
      </c>
      <c r="C136" s="3" t="inlineStr">
        <is>
          <t>2개 요소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4" t="n"/>
      <c r="U136" s="34" t="n"/>
      <c r="V136" s="34" t="n"/>
      <c r="W136" s="34" t="n"/>
      <c r="X136" s="34" t="n"/>
      <c r="Y136" s="34" t="n"/>
      <c r="Z136" s="34" t="n"/>
      <c r="AA136" s="34" t="n"/>
    </row>
    <row r="137" outlineLevel="1">
      <c r="A137" s="35" t="inlineStr">
        <is>
          <t>UI-111</t>
        </is>
      </c>
      <c r="B137" s="35" t="inlineStr">
        <is>
          <t>SCR-053</t>
        </is>
      </c>
      <c r="C137" s="35" t="inlineStr">
        <is>
          <t>룸 카드</t>
        </is>
      </c>
      <c r="D137" s="36" t="inlineStr">
        <is>
          <t>Card</t>
        </is>
      </c>
      <c r="E137" s="36" t="inlineStr">
        <is>
          <t>GX/PT 룸 카드 뷰</t>
        </is>
      </c>
      <c r="F137" s="36" t="inlineStr">
        <is>
          <t>룸명/수용인원/상태 표시</t>
        </is>
      </c>
      <c r="G137" s="36" t="inlineStr">
        <is>
          <t>FN-018</t>
        </is>
      </c>
      <c r="H137" s="36" t="n"/>
      <c r="I137" s="36" t="inlineStr">
        <is>
          <t>Card Grid</t>
        </is>
      </c>
      <c r="J137" s="36" t="n"/>
      <c r="K137" s="36" t="n"/>
      <c r="L137" s="36" t="n"/>
      <c r="M137" s="36" t="inlineStr">
        <is>
          <t>aria-label='룸 목록'</t>
        </is>
      </c>
      <c r="N137" s="36" t="inlineStr">
        <is>
          <t>설계중</t>
        </is>
      </c>
      <c r="O137" s="36" t="n"/>
      <c r="P137" s="36" t="inlineStr">
        <is>
          <t>룸 관리</t>
        </is>
      </c>
      <c r="Q137" s="36" t="inlineStr">
        <is>
          <t>룸 관리</t>
        </is>
      </c>
      <c r="R137" s="36">
        <f>IFERROR(VLOOKUP(H137,API명세서!A:D,4,FALSE()),"")</f>
        <v/>
      </c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outlineLevel="1">
      <c r="A138" s="35" t="inlineStr">
        <is>
          <t>UI-112</t>
        </is>
      </c>
      <c r="B138" s="35" t="inlineStr">
        <is>
          <t>SCR-053</t>
        </is>
      </c>
      <c r="C138" s="35" t="inlineStr">
        <is>
          <t>룸 등록 모달</t>
        </is>
      </c>
      <c r="D138" s="36" t="inlineStr">
        <is>
          <t>Modal</t>
        </is>
      </c>
      <c r="E138" s="36" t="inlineStr">
        <is>
          <t>신규 룸 등록</t>
        </is>
      </c>
      <c r="F138" s="36" t="inlineStr">
        <is>
          <t>룸명/유형/수용인원/시간대 설정</t>
        </is>
      </c>
      <c r="G138" s="36" t="inlineStr">
        <is>
          <t>FN-018</t>
        </is>
      </c>
      <c r="H138" s="36" t="n"/>
      <c r="I138" s="36" t="inlineStr">
        <is>
          <t>Modal + Form</t>
        </is>
      </c>
      <c r="J138" s="36" t="n"/>
      <c r="K138" s="36" t="inlineStr">
        <is>
          <t>룸명 필수</t>
        </is>
      </c>
      <c r="L138" s="36" t="inlineStr">
        <is>
          <t>룸명을 입력하세요</t>
        </is>
      </c>
      <c r="M138" s="36" t="inlineStr">
        <is>
          <t>aria-modal='true'</t>
        </is>
      </c>
      <c r="N138" s="36" t="inlineStr">
        <is>
          <t>설계중</t>
        </is>
      </c>
      <c r="O138" s="36" t="n"/>
      <c r="P138" s="36" t="inlineStr">
        <is>
          <t>룸 관리</t>
        </is>
      </c>
      <c r="Q138" s="36" t="inlineStr">
        <is>
          <t>룸 관리</t>
        </is>
      </c>
      <c r="R138" s="36">
        <f>IFERROR(VLOOKUP(H138,API명세서!A:D,4,FALSE()),"")</f>
        <v/>
      </c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>
      <c r="A139" s="3" t="inlineStr">
        <is>
          <t>▼ SCR-081</t>
        </is>
      </c>
      <c r="B139" s="3" t="inlineStr">
        <is>
          <t>구독 관리 (2개 요소)</t>
        </is>
      </c>
      <c r="C139" s="3" t="inlineStr">
        <is>
          <t>2개 요소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4" t="n"/>
      <c r="U139" s="34" t="n"/>
      <c r="V139" s="34" t="n"/>
      <c r="W139" s="34" t="n"/>
      <c r="X139" s="34" t="n"/>
      <c r="Y139" s="34" t="n"/>
      <c r="Z139" s="34" t="n"/>
      <c r="AA139" s="34" t="n"/>
    </row>
    <row r="140" outlineLevel="1">
      <c r="A140" s="35" t="inlineStr">
        <is>
          <t>UI-113</t>
        </is>
      </c>
      <c r="B140" s="35" t="inlineStr">
        <is>
          <t>SCR-081</t>
        </is>
      </c>
      <c r="C140" s="35" t="inlineStr">
        <is>
          <t>구독 목록</t>
        </is>
      </c>
      <c r="D140" s="36" t="inlineStr">
        <is>
          <t>List</t>
        </is>
      </c>
      <c r="E140" s="36" t="inlineStr">
        <is>
          <t>정기 구독 상품 목록</t>
        </is>
      </c>
      <c r="F140" s="36" t="inlineStr">
        <is>
          <t>상태/결제일/금액 표시</t>
        </is>
      </c>
      <c r="G140" s="36" t="inlineStr">
        <is>
          <t>FN-028</t>
        </is>
      </c>
      <c r="H140" s="36" t="n"/>
      <c r="I140" s="36" t="inlineStr">
        <is>
          <t>DataTable</t>
        </is>
      </c>
      <c r="J140" s="36" t="n"/>
      <c r="K140" s="36" t="n"/>
      <c r="L140" s="36" t="n"/>
      <c r="M140" s="36" t="inlineStr">
        <is>
          <t>aria-label='구독 목록'</t>
        </is>
      </c>
      <c r="N140" s="36" t="inlineStr">
        <is>
          <t>설계중</t>
        </is>
      </c>
      <c r="O140" s="36" t="n"/>
      <c r="P140" s="36" t="inlineStr">
        <is>
          <t>구독 관리</t>
        </is>
      </c>
      <c r="Q140" s="36" t="inlineStr">
        <is>
          <t>구독 관리</t>
        </is>
      </c>
      <c r="R140" s="36">
        <f>IFERROR(VLOOKUP(H140,API명세서!A:D,4,FALSE()),"")</f>
        <v/>
      </c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outlineLevel="1">
      <c r="A141" s="35" t="inlineStr">
        <is>
          <t>UI-114</t>
        </is>
      </c>
      <c r="B141" s="35" t="inlineStr">
        <is>
          <t>SCR-081</t>
        </is>
      </c>
      <c r="C141" s="35" t="inlineStr">
        <is>
          <t>구독 상세 모달</t>
        </is>
      </c>
      <c r="D141" s="36" t="inlineStr">
        <is>
          <t>Modal</t>
        </is>
      </c>
      <c r="E141" s="36" t="inlineStr">
        <is>
          <t>구독 상세 정보</t>
        </is>
      </c>
      <c r="F141" s="36" t="inlineStr">
        <is>
          <t>결제 이력, 해지 옵션</t>
        </is>
      </c>
      <c r="G141" s="36" t="inlineStr">
        <is>
          <t>FN-028</t>
        </is>
      </c>
      <c r="H141" s="36" t="n"/>
      <c r="I141" s="36" t="inlineStr">
        <is>
          <t>Modal</t>
        </is>
      </c>
      <c r="J141" s="36" t="n"/>
      <c r="K141" s="36" t="n"/>
      <c r="L141" s="36" t="n"/>
      <c r="M141" s="36" t="inlineStr">
        <is>
          <t>aria-modal='true'</t>
        </is>
      </c>
      <c r="N141" s="36" t="inlineStr">
        <is>
          <t>설계중</t>
        </is>
      </c>
      <c r="O141" s="36" t="n"/>
      <c r="P141" s="36" t="inlineStr">
        <is>
          <t>구독 관리</t>
        </is>
      </c>
      <c r="Q141" s="36" t="inlineStr">
        <is>
          <t>구독 관리</t>
        </is>
      </c>
      <c r="R141" s="36">
        <f>IFERROR(VLOOKUP(H141,API명세서!A:D,4,FALSE()),"")</f>
        <v/>
      </c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>
      <c r="A142" s="3" t="inlineStr">
        <is>
          <t>▼ SCR-092</t>
        </is>
      </c>
      <c r="B142" s="3" t="inlineStr">
        <is>
          <t>키오스크 설정 (2개 요소)</t>
        </is>
      </c>
      <c r="C142" s="3" t="inlineStr">
        <is>
          <t>2개 요소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4" t="n"/>
      <c r="U142" s="34" t="n"/>
      <c r="V142" s="34" t="n"/>
      <c r="W142" s="34" t="n"/>
      <c r="X142" s="34" t="n"/>
      <c r="Y142" s="34" t="n"/>
      <c r="Z142" s="34" t="n"/>
      <c r="AA142" s="34" t="n"/>
    </row>
    <row r="143" outlineLevel="1">
      <c r="A143" s="35" t="inlineStr">
        <is>
          <t>UI-115</t>
        </is>
      </c>
      <c r="B143" s="35" t="inlineStr">
        <is>
          <t>SCR-092</t>
        </is>
      </c>
      <c r="C143" s="35" t="inlineStr">
        <is>
          <t>미리보기</t>
        </is>
      </c>
      <c r="D143" s="36" t="inlineStr">
        <is>
          <t>Card</t>
        </is>
      </c>
      <c r="E143" s="36" t="inlineStr">
        <is>
          <t>키오스크 화면 미리보기</t>
        </is>
      </c>
      <c r="F143" s="36" t="inlineStr">
        <is>
          <t>실시간 설정 반영</t>
        </is>
      </c>
      <c r="G143" s="36" t="inlineStr">
        <is>
          <t>FN-031</t>
        </is>
      </c>
      <c r="H143" s="36" t="n"/>
      <c r="I143" s="36" t="inlineStr">
        <is>
          <t>Preview 컴포넌트</t>
        </is>
      </c>
      <c r="J143" s="36" t="n"/>
      <c r="K143" s="36" t="n"/>
      <c r="L143" s="36" t="n"/>
      <c r="M143" s="36" t="inlineStr">
        <is>
          <t>aria-label='미리보기'</t>
        </is>
      </c>
      <c r="N143" s="36" t="inlineStr">
        <is>
          <t>설계중</t>
        </is>
      </c>
      <c r="O143" s="36" t="n"/>
      <c r="P143" s="36" t="inlineStr">
        <is>
          <t>키오스크 설정</t>
        </is>
      </c>
      <c r="Q143" s="36" t="inlineStr">
        <is>
          <t>키오스크 설정</t>
        </is>
      </c>
      <c r="R143" s="36">
        <f>IFERROR(VLOOKUP(H143,API명세서!A:D,4,FALSE()),"")</f>
        <v/>
      </c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outlineLevel="1">
      <c r="A144" s="35" t="inlineStr">
        <is>
          <t>UI-116</t>
        </is>
      </c>
      <c r="B144" s="35" t="inlineStr">
        <is>
          <t>SCR-092</t>
        </is>
      </c>
      <c r="C144" s="35" t="inlineStr">
        <is>
          <t>로고 업로드</t>
        </is>
      </c>
      <c r="D144" s="36" t="inlineStr">
        <is>
          <t>Button</t>
        </is>
      </c>
      <c r="E144" s="36" t="inlineStr">
        <is>
          <t>센터 로고 업로드</t>
        </is>
      </c>
      <c r="F144" s="36" t="inlineStr">
        <is>
          <t>이미지 파일 선택, 5MB 제한</t>
        </is>
      </c>
      <c r="G144" s="36" t="inlineStr">
        <is>
          <t>FN-031</t>
        </is>
      </c>
      <c r="H144" s="36" t="n"/>
      <c r="I144" s="36" t="inlineStr">
        <is>
          <t>FileUpload</t>
        </is>
      </c>
      <c r="J144" s="36" t="n"/>
      <c r="K144" s="36" t="inlineStr">
        <is>
          <t>5MB 이하, JPG/PNG</t>
        </is>
      </c>
      <c r="L144" s="36" t="inlineStr">
        <is>
          <t>5MB 이하 파일만 가능</t>
        </is>
      </c>
      <c r="M144" s="36" t="inlineStr">
        <is>
          <t>aria-label='로고 업로드'</t>
        </is>
      </c>
      <c r="N144" s="36" t="inlineStr">
        <is>
          <t>설계중</t>
        </is>
      </c>
      <c r="O144" s="36" t="n"/>
      <c r="P144" s="36" t="inlineStr">
        <is>
          <t>키오스크 설정</t>
        </is>
      </c>
      <c r="Q144" s="36" t="inlineStr">
        <is>
          <t>키오스크 설정</t>
        </is>
      </c>
      <c r="R144" s="36">
        <f>IFERROR(VLOOKUP(H144,API명세서!A:D,4,FALSE()),"")</f>
        <v/>
      </c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>
      <c r="A145" s="3" t="inlineStr">
        <is>
          <t>▼ SCR-093</t>
        </is>
      </c>
      <c r="B145" s="3" t="inlineStr">
        <is>
          <t>IoT 설정 (2개 요소)</t>
        </is>
      </c>
      <c r="C145" s="3" t="inlineStr">
        <is>
          <t>2개 요소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4" t="n"/>
      <c r="U145" s="34" t="n"/>
      <c r="V145" s="34" t="n"/>
      <c r="W145" s="34" t="n"/>
      <c r="X145" s="34" t="n"/>
      <c r="Y145" s="34" t="n"/>
      <c r="Z145" s="34" t="n"/>
      <c r="AA145" s="34" t="n"/>
    </row>
    <row r="146" outlineLevel="1">
      <c r="A146" s="35" t="inlineStr">
        <is>
          <t>UI-117</t>
        </is>
      </c>
      <c r="B146" s="35" t="inlineStr">
        <is>
          <t>SCR-093</t>
        </is>
      </c>
      <c r="C146" s="35" t="inlineStr">
        <is>
          <t>기기 목록</t>
        </is>
      </c>
      <c r="D146" s="36" t="inlineStr">
        <is>
          <t>List</t>
        </is>
      </c>
      <c r="E146" s="36" t="inlineStr">
        <is>
          <t>연동 기기 목록</t>
        </is>
      </c>
      <c r="F146" s="36" t="inlineStr">
        <is>
          <t>연결상태 표시 (온라인/오프라인)</t>
        </is>
      </c>
      <c r="G146" s="36" t="inlineStr">
        <is>
          <t>FN-032</t>
        </is>
      </c>
      <c r="H146" s="36" t="n"/>
      <c r="I146" s="36" t="inlineStr">
        <is>
          <t>DataTable + 상태 아이콘</t>
        </is>
      </c>
      <c r="J146" s="36" t="n"/>
      <c r="K146" s="36" t="n"/>
      <c r="L146" s="36" t="n"/>
      <c r="M146" s="36" t="inlineStr">
        <is>
          <t>aria-label='기기 목록'</t>
        </is>
      </c>
      <c r="N146" s="36" t="inlineStr">
        <is>
          <t>설계중</t>
        </is>
      </c>
      <c r="O146" s="36" t="n"/>
      <c r="P146" s="36" t="inlineStr">
        <is>
          <t>IoT 설정</t>
        </is>
      </c>
      <c r="Q146" s="36" t="inlineStr">
        <is>
          <t>IoT 설정</t>
        </is>
      </c>
      <c r="R146" s="36">
        <f>IFERROR(VLOOKUP(H146,API명세서!A:D,4,FALSE()),"")</f>
        <v/>
      </c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outlineLevel="1">
      <c r="A147" s="35" t="inlineStr">
        <is>
          <t>UI-118</t>
        </is>
      </c>
      <c r="B147" s="35" t="inlineStr">
        <is>
          <t>SCR-093</t>
        </is>
      </c>
      <c r="C147" s="35" t="inlineStr">
        <is>
          <t>연결 테스트 버튼</t>
        </is>
      </c>
      <c r="D147" s="36" t="inlineStr">
        <is>
          <t>Button</t>
        </is>
      </c>
      <c r="E147" s="36" t="inlineStr">
        <is>
          <t>기기 연결 테스트</t>
        </is>
      </c>
      <c r="F147" s="36" t="inlineStr">
        <is>
          <t>클릭 시 ping 테스트, 결과 표시</t>
        </is>
      </c>
      <c r="G147" s="36" t="inlineStr">
        <is>
          <t>FN-032</t>
        </is>
      </c>
      <c r="H147" s="36" t="n"/>
      <c r="I147" s="36" t="inlineStr">
        <is>
          <t>Button + 결과 표시</t>
        </is>
      </c>
      <c r="J147" s="36" t="n"/>
      <c r="K147" s="36" t="n"/>
      <c r="L147" s="36" t="n"/>
      <c r="M147" s="36" t="inlineStr">
        <is>
          <t>aria-label='연결 테스트'</t>
        </is>
      </c>
      <c r="N147" s="36" t="inlineStr">
        <is>
          <t>설계중</t>
        </is>
      </c>
      <c r="O147" s="36" t="n"/>
      <c r="P147" s="36" t="inlineStr">
        <is>
          <t>IoT 설정</t>
        </is>
      </c>
      <c r="Q147" s="36" t="inlineStr">
        <is>
          <t>IoT 설정</t>
        </is>
      </c>
      <c r="R147" s="36">
        <f>IFERROR(VLOOKUP(H147,API명세서!A:D,4,FALSE()),"")</f>
        <v/>
      </c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>
      <c r="A148" s="3" t="inlineStr">
        <is>
          <t>▼ SCR-013</t>
        </is>
      </c>
      <c r="B148" s="3" t="inlineStr">
        <is>
          <t>회원 수정 (2개 요소)</t>
        </is>
      </c>
      <c r="C148" s="3" t="inlineStr">
        <is>
          <t>2개 요소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4" t="n"/>
      <c r="U148" s="34" t="n"/>
      <c r="V148" s="34" t="n"/>
      <c r="W148" s="34" t="n"/>
      <c r="X148" s="34" t="n"/>
      <c r="Y148" s="34" t="n"/>
      <c r="Z148" s="34" t="n"/>
      <c r="AA148" s="34" t="n"/>
    </row>
    <row r="149" outlineLevel="1">
      <c r="A149" s="35" t="inlineStr">
        <is>
          <t>UI-119</t>
        </is>
      </c>
      <c r="B149" s="35" t="inlineStr">
        <is>
          <t>SCR-013</t>
        </is>
      </c>
      <c r="C149" s="35" t="inlineStr">
        <is>
          <t>기존 정보 프리필 폼</t>
        </is>
      </c>
      <c r="D149" s="36" t="inlineStr">
        <is>
          <t>Card</t>
        </is>
      </c>
      <c r="E149" s="36" t="inlineStr">
        <is>
          <t>기존 회원 정보가 채워진 폼</t>
        </is>
      </c>
      <c r="F149" s="36" t="inlineStr">
        <is>
          <t>변경된 필드 강조 표시</t>
        </is>
      </c>
      <c r="G149" s="36" t="inlineStr">
        <is>
          <t>FN-005</t>
        </is>
      </c>
      <c r="H149" s="36" t="inlineStr">
        <is>
          <t>API-010</t>
        </is>
      </c>
      <c r="I149" s="36" t="inlineStr">
        <is>
          <t>폼 + diff 표시</t>
        </is>
      </c>
      <c r="J149" s="36" t="n"/>
      <c r="K149" s="36" t="n"/>
      <c r="L149" s="36" t="n"/>
      <c r="M149" s="36" t="inlineStr">
        <is>
          <t>aria-label='회원 정보 수정'</t>
        </is>
      </c>
      <c r="N149" s="36" t="inlineStr">
        <is>
          <t>설계중</t>
        </is>
      </c>
      <c r="O149" s="36" t="n"/>
      <c r="P149" s="36" t="inlineStr">
        <is>
          <t>회원 수정</t>
        </is>
      </c>
      <c r="Q149" s="36" t="inlineStr">
        <is>
          <t>회원 정보 수정</t>
        </is>
      </c>
      <c r="R149" s="36" t="inlineStr">
        <is>
          <t>/api/v1/members/:id</t>
        </is>
      </c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outlineLevel="1">
      <c r="A150" s="35" t="inlineStr">
        <is>
          <t>UI-120</t>
        </is>
      </c>
      <c r="B150" s="35" t="inlineStr">
        <is>
          <t>SCR-013</t>
        </is>
      </c>
      <c r="C150" s="35" t="inlineStr">
        <is>
          <t>저장 버튼</t>
        </is>
      </c>
      <c r="D150" s="36" t="inlineStr">
        <is>
          <t>Button</t>
        </is>
      </c>
      <c r="E150" s="36" t="inlineStr">
        <is>
          <t>수정 저장</t>
        </is>
      </c>
      <c r="F150" s="36" t="inlineStr">
        <is>
          <t>변경사항 확인 모달 후 저장</t>
        </is>
      </c>
      <c r="G150" s="36" t="inlineStr">
        <is>
          <t>FN-005</t>
        </is>
      </c>
      <c r="H150" s="36" t="inlineStr">
        <is>
          <t>API-010</t>
        </is>
      </c>
      <c r="I150" s="36" t="inlineStr">
        <is>
          <t>Primary Button + 확인 모달</t>
        </is>
      </c>
      <c r="J150" s="36" t="n"/>
      <c r="K150" s="36" t="inlineStr">
        <is>
          <t>변경사항 존재</t>
        </is>
      </c>
      <c r="L150" s="36" t="inlineStr">
        <is>
          <t>수정에 실패했습니다</t>
        </is>
      </c>
      <c r="M150" s="36" t="inlineStr">
        <is>
          <t>aria-label='저장'</t>
        </is>
      </c>
      <c r="N150" s="36" t="inlineStr">
        <is>
          <t>설계중</t>
        </is>
      </c>
      <c r="O150" s="36" t="n"/>
      <c r="P150" s="36" t="inlineStr">
        <is>
          <t>회원 수정</t>
        </is>
      </c>
      <c r="Q150" s="36" t="inlineStr">
        <is>
          <t>회원 정보 수정</t>
        </is>
      </c>
      <c r="R150" s="36" t="inlineStr">
        <is>
          <t>/api/v1/members/:id</t>
        </is>
      </c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>
      <c r="A151" s="3" t="inlineStr">
        <is>
          <t>▼ SCR-014</t>
        </is>
      </c>
      <c r="B151" s="3" t="inlineStr">
        <is>
          <t>체성분 분석 추가 (2개 요소)</t>
        </is>
      </c>
      <c r="C151" s="3" t="inlineStr">
        <is>
          <t>2개 요소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4" t="n"/>
      <c r="U151" s="34" t="n"/>
      <c r="V151" s="34" t="n"/>
      <c r="W151" s="34" t="n"/>
      <c r="X151" s="34" t="n"/>
      <c r="Y151" s="34" t="n"/>
      <c r="Z151" s="34" t="n"/>
      <c r="AA151" s="34" t="n"/>
    </row>
    <row r="152" outlineLevel="1">
      <c r="A152" s="35" t="inlineStr">
        <is>
          <t>UI-121</t>
        </is>
      </c>
      <c r="B152" s="35" t="inlineStr">
        <is>
          <t>SCR-014</t>
        </is>
      </c>
      <c r="C152" s="35" t="inlineStr">
        <is>
          <t>측정값 입력 폼</t>
        </is>
      </c>
      <c r="D152" s="36" t="inlineStr">
        <is>
          <t>Card</t>
        </is>
      </c>
      <c r="E152" s="36" t="inlineStr">
        <is>
          <t>체중/골격근/체지방률 등 입력</t>
        </is>
      </c>
      <c r="F152" s="36" t="inlineStr">
        <is>
          <t>숫자 입력, 단위 표시</t>
        </is>
      </c>
      <c r="G152" s="36" t="inlineStr">
        <is>
          <t>FN-007</t>
        </is>
      </c>
      <c r="H152" s="36" t="n"/>
      <c r="I152" s="36" t="inlineStr">
        <is>
          <t>입력 폼</t>
        </is>
      </c>
      <c r="J152" s="36" t="n"/>
      <c r="K152" s="36" t="n"/>
      <c r="L152" s="36" t="n"/>
      <c r="M152" s="36" t="inlineStr">
        <is>
          <t>aria-label='체성분 입력'</t>
        </is>
      </c>
      <c r="N152" s="36" t="inlineStr">
        <is>
          <t>설계중</t>
        </is>
      </c>
      <c r="O152" s="36" t="n"/>
      <c r="P152" s="36" t="inlineStr">
        <is>
          <t>체성분 분석</t>
        </is>
      </c>
      <c r="Q152" s="36" t="inlineStr">
        <is>
          <t>체성분 기록/분석</t>
        </is>
      </c>
      <c r="R152" s="36">
        <f>IFERROR(VLOOKUP(H152,API명세서!A:D,4,FALSE()),"")</f>
        <v/>
      </c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outlineLevel="1">
      <c r="A153" s="35" t="inlineStr">
        <is>
          <t>UI-122</t>
        </is>
      </c>
      <c r="B153" s="35" t="inlineStr">
        <is>
          <t>SCR-014</t>
        </is>
      </c>
      <c r="C153" s="35" t="inlineStr">
        <is>
          <t>변화 추이 차트</t>
        </is>
      </c>
      <c r="D153" s="36" t="inlineStr">
        <is>
          <t>Card</t>
        </is>
      </c>
      <c r="E153" s="36" t="inlineStr">
        <is>
          <t>측정일 기준 라인 차트</t>
        </is>
      </c>
      <c r="F153" s="36" t="inlineStr">
        <is>
          <t>항목별 토글, 호버 툴팁</t>
        </is>
      </c>
      <c r="G153" s="36" t="inlineStr">
        <is>
          <t>FN-007</t>
        </is>
      </c>
      <c r="H153" s="36" t="n"/>
      <c r="I153" s="36" t="inlineStr">
        <is>
          <t>Recharts LineChart</t>
        </is>
      </c>
      <c r="J153" s="36" t="n"/>
      <c r="K153" s="36" t="n"/>
      <c r="L153" s="36" t="n"/>
      <c r="M153" s="36" t="inlineStr">
        <is>
          <t>차트 데이터 테이블 대체</t>
        </is>
      </c>
      <c r="N153" s="36" t="inlineStr">
        <is>
          <t>설계중</t>
        </is>
      </c>
      <c r="O153" s="36" t="n"/>
      <c r="P153" s="36" t="inlineStr">
        <is>
          <t>체성분 분석</t>
        </is>
      </c>
      <c r="Q153" s="36" t="inlineStr">
        <is>
          <t>체성분 기록/분석</t>
        </is>
      </c>
      <c r="R153" s="36">
        <f>IFERROR(VLOOKUP(H153,API명세서!A:D,4,FALSE()),"")</f>
        <v/>
      </c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>
      <c r="A154" s="3" t="inlineStr">
        <is>
          <t>▼ SCR-020</t>
        </is>
      </c>
      <c r="B154" s="3" t="inlineStr">
        <is>
          <t>출석 기록 추가 (2개 요소)</t>
        </is>
      </c>
      <c r="C154" s="3" t="inlineStr">
        <is>
          <t>2개 요소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4" t="n"/>
      <c r="U154" s="34" t="n"/>
      <c r="V154" s="34" t="n"/>
      <c r="W154" s="34" t="n"/>
      <c r="X154" s="34" t="n"/>
      <c r="Y154" s="34" t="n"/>
      <c r="Z154" s="34" t="n"/>
      <c r="AA154" s="34" t="n"/>
    </row>
    <row r="155" outlineLevel="1">
      <c r="A155" s="35" t="inlineStr">
        <is>
          <t>UI-123</t>
        </is>
      </c>
      <c r="B155" s="35" t="inlineStr">
        <is>
          <t>SCR-020</t>
        </is>
      </c>
      <c r="C155" s="35" t="inlineStr">
        <is>
          <t>날짜 필터</t>
        </is>
      </c>
      <c r="D155" s="36" t="inlineStr">
        <is>
          <t>Input</t>
        </is>
      </c>
      <c r="E155" s="36" t="inlineStr">
        <is>
          <t>출석 조회 날짜 선택</t>
        </is>
      </c>
      <c r="F155" s="36" t="inlineStr">
        <is>
          <t>일별/주별/월별 토글</t>
        </is>
      </c>
      <c r="G155" s="36" t="inlineStr">
        <is>
          <t>FN-008</t>
        </is>
      </c>
      <c r="H155" s="36" t="inlineStr">
        <is>
          <t>API-013</t>
        </is>
      </c>
      <c r="I155" s="36" t="inlineStr">
        <is>
          <t>DatePicker + 뷰 토글</t>
        </is>
      </c>
      <c r="J155" s="36" t="n"/>
      <c r="K155" s="36" t="inlineStr">
        <is>
          <t>YYYY-MM-DD 형식, 유효한 날짜</t>
        </is>
      </c>
      <c r="L155" s="36" t="inlineStr">
        <is>
          <t>올바른 날짜를 입력하세요</t>
        </is>
      </c>
      <c r="M155" s="36" t="inlineStr">
        <is>
          <t>aria-label='날짜 필터'</t>
        </is>
      </c>
      <c r="N155" s="36" t="inlineStr">
        <is>
          <t>설계중</t>
        </is>
      </c>
      <c r="O155" s="36" t="n"/>
      <c r="P155" s="36" t="inlineStr">
        <is>
          <t>출석 기록</t>
        </is>
      </c>
      <c r="Q155" s="36" t="inlineStr">
        <is>
          <t>출석 기록 조회</t>
        </is>
      </c>
      <c r="R155" s="36" t="inlineStr">
        <is>
          <t>/api/v1/attendance</t>
        </is>
      </c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outlineLevel="1">
      <c r="A156" s="35" t="inlineStr">
        <is>
          <t>UI-124</t>
        </is>
      </c>
      <c r="B156" s="35" t="inlineStr">
        <is>
          <t>SCR-020</t>
        </is>
      </c>
      <c r="C156" s="35" t="inlineStr">
        <is>
          <t>출석 테이블</t>
        </is>
      </c>
      <c r="D156" s="36" t="inlineStr">
        <is>
          <t>List</t>
        </is>
      </c>
      <c r="E156" s="36" t="inlineStr">
        <is>
          <t>출석 이력 데이터 테이블</t>
        </is>
      </c>
      <c r="F156" s="36" t="inlineStr">
        <is>
          <t>유형/시간/타지점 여부 표시</t>
        </is>
      </c>
      <c r="G156" s="36" t="inlineStr">
        <is>
          <t>FN-008</t>
        </is>
      </c>
      <c r="H156" s="36" t="inlineStr">
        <is>
          <t>API-013</t>
        </is>
      </c>
      <c r="I156" s="36" t="inlineStr">
        <is>
          <t>DataTable</t>
        </is>
      </c>
      <c r="J156" s="36" t="n"/>
      <c r="K156" s="36" t="n"/>
      <c r="L156" s="36" t="n"/>
      <c r="M156" s="36" t="inlineStr">
        <is>
          <t>aria-label='출석 목록'</t>
        </is>
      </c>
      <c r="N156" s="36" t="inlineStr">
        <is>
          <t>설계중</t>
        </is>
      </c>
      <c r="O156" s="36" t="n"/>
      <c r="P156" s="36" t="inlineStr">
        <is>
          <t>출석 기록</t>
        </is>
      </c>
      <c r="Q156" s="36" t="inlineStr">
        <is>
          <t>출석 기록 조회</t>
        </is>
      </c>
      <c r="R156" s="36" t="inlineStr">
        <is>
          <t>/api/v1/attendance</t>
        </is>
      </c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>
      <c r="A157" s="3" t="inlineStr">
        <is>
          <t>▼ SCR-021</t>
        </is>
      </c>
      <c r="B157" s="3" t="inlineStr">
        <is>
          <t>일정 관리 추가 (2개 요소)</t>
        </is>
      </c>
      <c r="C157" s="3" t="inlineStr">
        <is>
          <t>2개 요소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4" t="n"/>
      <c r="U157" s="34" t="n"/>
      <c r="V157" s="34" t="n"/>
      <c r="W157" s="34" t="n"/>
      <c r="X157" s="34" t="n"/>
      <c r="Y157" s="34" t="n"/>
      <c r="Z157" s="34" t="n"/>
      <c r="AA157" s="34" t="n"/>
    </row>
    <row r="158" outlineLevel="1">
      <c r="A158" s="35" t="inlineStr">
        <is>
          <t>UI-125</t>
        </is>
      </c>
      <c r="B158" s="35" t="inlineStr">
        <is>
          <t>SCR-021</t>
        </is>
      </c>
      <c r="C158" s="35" t="inlineStr">
        <is>
          <t>캘린더 뷰</t>
        </is>
      </c>
      <c r="D158" s="36" t="inlineStr">
        <is>
          <t>Card</t>
        </is>
      </c>
      <c r="E158" s="36" t="inlineStr">
        <is>
          <t>월/주/일 캘린더</t>
        </is>
      </c>
      <c r="F158" s="36" t="inlineStr">
        <is>
          <t>드래그앤드롭 일정 이동</t>
        </is>
      </c>
      <c r="G158" s="36" t="inlineStr">
        <is>
          <t>FN-009</t>
        </is>
      </c>
      <c r="H158" s="36" t="n"/>
      <c r="I158" s="36" t="inlineStr">
        <is>
          <t>FullCalendar</t>
        </is>
      </c>
      <c r="J158" s="36" t="n"/>
      <c r="K158" s="36" t="n"/>
      <c r="L158" s="36" t="n"/>
      <c r="M158" s="36" t="inlineStr">
        <is>
          <t>키보드 네비게이션 지원</t>
        </is>
      </c>
      <c r="N158" s="36" t="inlineStr">
        <is>
          <t>설계중</t>
        </is>
      </c>
      <c r="O158" s="36" t="n"/>
      <c r="P158" s="36" t="inlineStr">
        <is>
          <t>일정 관리</t>
        </is>
      </c>
      <c r="Q158" s="36" t="inlineStr">
        <is>
          <t>일정 관리</t>
        </is>
      </c>
      <c r="R158" s="36">
        <f>IFERROR(VLOOKUP(H158,API명세서!A:D,4,FALSE()),"")</f>
        <v/>
      </c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outlineLevel="1">
      <c r="A159" s="35" t="inlineStr">
        <is>
          <t>UI-126</t>
        </is>
      </c>
      <c r="B159" s="35" t="inlineStr">
        <is>
          <t>SCR-021</t>
        </is>
      </c>
      <c r="C159" s="35" t="inlineStr">
        <is>
          <t>일정 상세 모달</t>
        </is>
      </c>
      <c r="D159" s="36" t="inlineStr">
        <is>
          <t>Modal</t>
        </is>
      </c>
      <c r="E159" s="36" t="inlineStr">
        <is>
          <t>일정 클릭 시 상세</t>
        </is>
      </c>
      <c r="F159" s="36" t="inlineStr">
        <is>
          <t>수정/삭제/회원 연결</t>
        </is>
      </c>
      <c r="G159" s="36" t="inlineStr">
        <is>
          <t>FN-009</t>
        </is>
      </c>
      <c r="H159" s="36" t="n"/>
      <c r="I159" s="36" t="inlineStr">
        <is>
          <t>Modal + Form</t>
        </is>
      </c>
      <c r="J159" s="36" t="n"/>
      <c r="K159" s="36" t="n"/>
      <c r="L159" s="36" t="n"/>
      <c r="M159" s="36" t="inlineStr">
        <is>
          <t>aria-modal='true'</t>
        </is>
      </c>
      <c r="N159" s="36" t="inlineStr">
        <is>
          <t>설계중</t>
        </is>
      </c>
      <c r="O159" s="36" t="n"/>
      <c r="P159" s="36" t="inlineStr">
        <is>
          <t>일정 관리</t>
        </is>
      </c>
      <c r="Q159" s="36" t="inlineStr">
        <is>
          <t>일정 관리</t>
        </is>
      </c>
      <c r="R159" s="36">
        <f>IFERROR(VLOOKUP(H159,API명세서!A:D,4,FALSE()),"")</f>
        <v/>
      </c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>
      <c r="A160" s="3" t="inlineStr">
        <is>
          <t>▼ SCR-063</t>
        </is>
      </c>
      <c r="B160" s="3" t="inlineStr">
        <is>
          <t>급여명세서 추가 (3개 요소)</t>
        </is>
      </c>
      <c r="C160" s="3" t="inlineStr">
        <is>
          <t>3개 요소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4" t="n"/>
      <c r="U160" s="34" t="n"/>
      <c r="V160" s="34" t="n"/>
      <c r="W160" s="34" t="n"/>
      <c r="X160" s="34" t="n"/>
      <c r="Y160" s="34" t="n"/>
      <c r="Z160" s="34" t="n"/>
      <c r="AA160" s="34" t="n"/>
    </row>
    <row r="161" outlineLevel="1">
      <c r="A161" s="35" t="inlineStr">
        <is>
          <t>UI-127</t>
        </is>
      </c>
      <c r="B161" s="35" t="inlineStr">
        <is>
          <t>SCR-063</t>
        </is>
      </c>
      <c r="C161" s="35" t="inlineStr">
        <is>
          <t>직원/월 선택</t>
        </is>
      </c>
      <c r="D161" s="36" t="inlineStr">
        <is>
          <t>Select</t>
        </is>
      </c>
      <c r="E161" s="36" t="inlineStr">
        <is>
          <t>급여명세서 조회 조건</t>
        </is>
      </c>
      <c r="F161" s="36" t="inlineStr">
        <is>
          <t>직원 + 월 선택</t>
        </is>
      </c>
      <c r="G161" s="36" t="inlineStr">
        <is>
          <t>FN-022</t>
        </is>
      </c>
      <c r="H161" s="36" t="n"/>
      <c r="I161" s="36" t="inlineStr">
        <is>
          <t>Select 2개</t>
        </is>
      </c>
      <c r="J161" s="36" t="n"/>
      <c r="K161" s="36" t="inlineStr">
        <is>
          <t>1개 이상 선택 필수</t>
        </is>
      </c>
      <c r="L161" s="36" t="inlineStr">
        <is>
          <t>직원/월 선택을(를) 선택하세요</t>
        </is>
      </c>
      <c r="M161" s="36" t="inlineStr">
        <is>
          <t>aria-label='조회 조건'</t>
        </is>
      </c>
      <c r="N161" s="36" t="inlineStr">
        <is>
          <t>설계중</t>
        </is>
      </c>
      <c r="O161" s="36" t="n"/>
      <c r="P161" s="36" t="inlineStr">
        <is>
          <t>급여명세서</t>
        </is>
      </c>
      <c r="Q161" s="36" t="inlineStr">
        <is>
          <t>급여명세서 조회</t>
        </is>
      </c>
      <c r="R161" s="36">
        <f>IFERROR(VLOOKUP(H161,API명세서!A:D,4,FALSE()),"")</f>
        <v/>
      </c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outlineLevel="1">
      <c r="A162" s="35" t="inlineStr">
        <is>
          <t>UI-128</t>
        </is>
      </c>
      <c r="B162" s="35" t="inlineStr">
        <is>
          <t>SCR-063</t>
        </is>
      </c>
      <c r="C162" s="35" t="inlineStr">
        <is>
          <t>명세서 상세</t>
        </is>
      </c>
      <c r="D162" s="36" t="inlineStr">
        <is>
          <t>Card</t>
        </is>
      </c>
      <c r="E162" s="36" t="inlineStr">
        <is>
          <t>급여명세서 상세 내역</t>
        </is>
      </c>
      <c r="F162" s="36" t="inlineStr">
        <is>
          <t>기본급/수당/공제/실지급 항목별 표시</t>
        </is>
      </c>
      <c r="G162" s="36" t="inlineStr">
        <is>
          <t>FN-022</t>
        </is>
      </c>
      <c r="H162" s="36" t="n"/>
      <c r="I162" s="36" t="inlineStr">
        <is>
          <t>명세서 Card</t>
        </is>
      </c>
      <c r="J162" s="36" t="n"/>
      <c r="K162" s="36" t="n"/>
      <c r="L162" s="36" t="n"/>
      <c r="M162" s="36" t="inlineStr">
        <is>
          <t>aria-label='급여명세서'</t>
        </is>
      </c>
      <c r="N162" s="36" t="inlineStr">
        <is>
          <t>설계중</t>
        </is>
      </c>
      <c r="O162" s="36" t="n"/>
      <c r="P162" s="36" t="inlineStr">
        <is>
          <t>급여명세서</t>
        </is>
      </c>
      <c r="Q162" s="36" t="inlineStr">
        <is>
          <t>급여명세서 조회</t>
        </is>
      </c>
      <c r="R162" s="36">
        <f>IFERROR(VLOOKUP(H162,API명세서!A:D,4,FALSE()),"")</f>
        <v/>
      </c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outlineLevel="1">
      <c r="A163" s="35" t="inlineStr">
        <is>
          <t>UI-129</t>
        </is>
      </c>
      <c r="B163" s="35" t="inlineStr">
        <is>
          <t>SCR-063</t>
        </is>
      </c>
      <c r="C163" s="35" t="inlineStr">
        <is>
          <t>PDF 다운로드</t>
        </is>
      </c>
      <c r="D163" s="36" t="inlineStr">
        <is>
          <t>Button</t>
        </is>
      </c>
      <c r="E163" s="36" t="inlineStr">
        <is>
          <t>명세서 PDF 다운로드</t>
        </is>
      </c>
      <c r="F163" s="36" t="inlineStr">
        <is>
          <t>클릭 시 PDF 생성/다운로드</t>
        </is>
      </c>
      <c r="G163" s="36" t="inlineStr">
        <is>
          <t>FN-022</t>
        </is>
      </c>
      <c r="H163" s="36" t="n"/>
      <c r="I163" s="36" t="inlineStr">
        <is>
          <t>Button + html2pdf</t>
        </is>
      </c>
      <c r="J163" s="36" t="n"/>
      <c r="K163" s="36" t="n"/>
      <c r="L163" s="36" t="n"/>
      <c r="M163" s="36" t="inlineStr">
        <is>
          <t>aria-label='PDF 다운로드'</t>
        </is>
      </c>
      <c r="N163" s="36" t="inlineStr">
        <is>
          <t>설계중</t>
        </is>
      </c>
      <c r="O163" s="36" t="n"/>
      <c r="P163" s="36" t="inlineStr">
        <is>
          <t>급여명세서</t>
        </is>
      </c>
      <c r="Q163" s="36" t="inlineStr">
        <is>
          <t>급여명세서 조회</t>
        </is>
      </c>
      <c r="R163" s="36">
        <f>IFERROR(VLOOKUP(H163,API명세서!A:D,4,FALSE()),"")</f>
        <v/>
      </c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>
      <c r="A164" s="3" t="inlineStr">
        <is>
          <t>▼ 공통</t>
        </is>
      </c>
      <c r="B164" s="3" t="inlineStr">
        <is>
          <t>공통 컴포넌트 (27개 요소)</t>
        </is>
      </c>
      <c r="C164" s="3" t="inlineStr">
        <is>
          <t>27개 요소</t>
        </is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4" t="n"/>
      <c r="U164" s="34" t="n"/>
      <c r="V164" s="34" t="n"/>
      <c r="W164" s="34" t="n"/>
      <c r="X164" s="34" t="n"/>
      <c r="Y164" s="34" t="n"/>
      <c r="Z164" s="34" t="n"/>
      <c r="AA164" s="34" t="n"/>
    </row>
    <row r="165">
      <c r="A165" s="35" t="inlineStr">
        <is>
          <t>UI-201</t>
        </is>
      </c>
      <c r="B165" s="35" t="inlineStr">
        <is>
          <t>공통</t>
        </is>
      </c>
      <c r="C165" s="35" t="inlineStr">
        <is>
          <t>AppLayout</t>
        </is>
      </c>
      <c r="D165" s="36" t="inlineStr">
        <is>
          <t>Layout</t>
        </is>
      </c>
      <c r="E165" s="36" t="inlineStr">
        <is>
          <t>전체 페이지 레이아웃 (사이드바 + 헤더 + 콘텐츠 영역)</t>
        </is>
      </c>
      <c r="F165" s="36" t="inlineStr">
        <is>
          <t>사이드바 접기/펼치기 시 콘텐츠 영역 자동 조정</t>
        </is>
      </c>
      <c r="G165" s="36" t="n"/>
      <c r="H165" s="36" t="n"/>
      <c r="I165" s="36" t="n"/>
      <c r="J165" s="36" t="n"/>
      <c r="K165" s="36" t="n"/>
      <c r="L165" s="36" t="n"/>
      <c r="M165" s="36" t="n"/>
      <c r="N165" s="36" t="inlineStr">
        <is>
          <t>확정</t>
        </is>
      </c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>
      <c r="A166" s="35" t="inlineStr">
        <is>
          <t>UI-202</t>
        </is>
      </c>
      <c r="B166" s="35" t="inlineStr">
        <is>
          <t>공통</t>
        </is>
      </c>
      <c r="C166" s="35" t="inlineStr">
        <is>
          <t>AppHeader (GNB)</t>
        </is>
      </c>
      <c r="D166" s="36" t="inlineStr">
        <is>
          <t>Navigation</t>
        </is>
      </c>
      <c r="E166" s="36" t="inlineStr">
        <is>
          <t>상단 글로벌 네비게이션 바: 로고, 햄버거 메뉴, 지점 선택 드롭다운, 글로벌 검색바, 알림 벨(배지), 사용자 프로필(역할+이름), 회원등록 CTA</t>
        </is>
      </c>
      <c r="F166" s="36" t="inlineStr">
        <is>
          <t>로고 클릭→대시보드, 지점 선택→데이터 전환, 검색→회원/연락처 실시간 검색, 벨→알림 패널 토글, 프로필→드롭다운(내 정보/비밀번호 변경/로그아웃)</t>
        </is>
      </c>
      <c r="G166" s="36" t="n"/>
      <c r="H166" s="36" t="n"/>
      <c r="I166" s="36" t="n"/>
      <c r="J166" s="36" t="n"/>
      <c r="K166" s="36" t="n"/>
      <c r="L166" s="36" t="n"/>
      <c r="M166" s="36" t="n"/>
      <c r="N166" s="36" t="inlineStr">
        <is>
          <t>확정</t>
        </is>
      </c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>
      <c r="A167" s="35" t="inlineStr">
        <is>
          <t>UI-203</t>
        </is>
      </c>
      <c r="B167" s="35" t="inlineStr">
        <is>
          <t>공통</t>
        </is>
      </c>
      <c r="C167" s="35" t="inlineStr">
        <is>
          <t>AppSidebar</t>
        </is>
      </c>
      <c r="D167" s="36" t="inlineStr">
        <is>
          <t>Navigation</t>
        </is>
      </c>
      <c r="E167" s="36" t="inlineStr">
        <is>
          <t>좌측 사이드바 네비게이션: 9개 메뉴 그룹(대시보드/회원/수업/매출/상품/시설/급여/메시지/설정), 서브메뉴 아코디언, 하단 프로필+로그아웃</t>
        </is>
      </c>
      <c r="F167" s="36" t="inlineStr">
        <is>
          <t>메뉴 클릭→페이지 이동+활성 하이라이트, 현재 경로 자동 메뉴 열기, 접기 시 아이콘만 표시(60px), 역할별 메뉴 필터링</t>
        </is>
      </c>
      <c r="G167" s="36" t="n"/>
      <c r="H167" s="36" t="n"/>
      <c r="I167" s="36" t="n"/>
      <c r="J167" s="36" t="n"/>
      <c r="K167" s="36" t="n"/>
      <c r="L167" s="36" t="n"/>
      <c r="M167" s="36" t="n"/>
      <c r="N167" s="36" t="inlineStr">
        <is>
          <t>확정</t>
        </is>
      </c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>
      <c r="A168" s="35" t="inlineStr">
        <is>
          <t>UI-204</t>
        </is>
      </c>
      <c r="B168" s="35" t="inlineStr">
        <is>
          <t>공통</t>
        </is>
      </c>
      <c r="C168" s="35" t="inlineStr">
        <is>
          <t>DataTable</t>
        </is>
      </c>
      <c r="D168" s="36" t="inlineStr">
        <is>
          <t>Table</t>
        </is>
      </c>
      <c r="E168" s="36" t="inlineStr">
        <is>
          <t>공통 데이터 테이블: 컬럼 정렬, 페이지네이션(20/50/100), 행 선택(체크박스), 엑셀 다운로드, 스켈레톤 로딩, 빈 상태 메시지, 타이틀+검색</t>
        </is>
      </c>
      <c r="F168" s="36" t="inlineStr">
        <is>
          <t>컬럼 헤더 클릭→정렬 토글(asc/desc), 체크박스→벌크 액션 바, 페이지 변경→데이터 리로드</t>
        </is>
      </c>
      <c r="G168" s="36" t="n"/>
      <c r="H168" s="36" t="n"/>
      <c r="I168" s="36" t="n"/>
      <c r="J168" s="36" t="n"/>
      <c r="K168" s="36" t="n"/>
      <c r="L168" s="36" t="n"/>
      <c r="M168" s="36" t="n"/>
      <c r="N168" s="36" t="inlineStr">
        <is>
          <t>확정</t>
        </is>
      </c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>
      <c r="A169" s="35" t="inlineStr">
        <is>
          <t>UI-205</t>
        </is>
      </c>
      <c r="B169" s="35" t="inlineStr">
        <is>
          <t>공통</t>
        </is>
      </c>
      <c r="C169" s="35" t="inlineStr">
        <is>
          <t>SearchFilter</t>
        </is>
      </c>
      <c r="D169" s="36" t="inlineStr">
        <is>
          <t>Filter</t>
        </is>
      </c>
      <c r="E169" s="36" t="inlineStr">
        <is>
          <t>검색+필터 콤보: 텍스트 검색(300ms debounce), 셀렉트/날짜범위 필터, 활성 필터 태그, 초기화 버튼</t>
        </is>
      </c>
      <c r="F169" s="36" t="inlineStr">
        <is>
          <t>검색어 입력→300ms 후 자동 필터, 필터 변경→즉시 반영, 초기화→모든 필터 제거</t>
        </is>
      </c>
      <c r="G169" s="36" t="n"/>
      <c r="H169" s="36" t="n"/>
      <c r="I169" s="36" t="n"/>
      <c r="J169" s="36" t="n"/>
      <c r="K169" s="36" t="n"/>
      <c r="L169" s="36" t="n"/>
      <c r="M169" s="36" t="n"/>
      <c r="N169" s="36" t="inlineStr">
        <is>
          <t>확정</t>
        </is>
      </c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>
      <c r="A170" s="35" t="inlineStr">
        <is>
          <t>UI-206</t>
        </is>
      </c>
      <c r="B170" s="35" t="inlineStr">
        <is>
          <t>공통</t>
        </is>
      </c>
      <c r="C170" s="35" t="inlineStr">
        <is>
          <t>Modal</t>
        </is>
      </c>
      <c r="D170" s="36" t="inlineStr">
        <is>
          <t>Dialog</t>
        </is>
      </c>
      <c r="E170" s="36" t="inlineStr">
        <is>
          <t>공통 모달: sm(400px)/md(500px)/lg(600px)/xl(800px) 사이즈, ESC 닫기, 배경 클릭 닫기, body 스크롤 잠금</t>
        </is>
      </c>
      <c r="F170" s="36" t="inlineStr">
        <is>
          <t>ESC키→닫기, 배경 클릭→닫기, 열기 시 body overflow:hidden</t>
        </is>
      </c>
      <c r="G170" s="36" t="n"/>
      <c r="H170" s="36" t="n"/>
      <c r="I170" s="36" t="n"/>
      <c r="J170" s="36" t="n"/>
      <c r="K170" s="36" t="n"/>
      <c r="L170" s="36" t="n"/>
      <c r="M170" s="36" t="n"/>
      <c r="N170" s="36" t="inlineStr">
        <is>
          <t>확정</t>
        </is>
      </c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>
      <c r="A171" s="35" t="inlineStr">
        <is>
          <t>UI-207</t>
        </is>
      </c>
      <c r="B171" s="35" t="inlineStr">
        <is>
          <t>공통</t>
        </is>
      </c>
      <c r="C171" s="35" t="inlineStr">
        <is>
          <t>ConfirmDialog</t>
        </is>
      </c>
      <c r="D171" s="36" t="inlineStr">
        <is>
          <t>Dialog</t>
        </is>
      </c>
      <c r="E171" s="36" t="inlineStr">
        <is>
          <t>확인 대화상자: 제목/설명/확인/취소 버튼, danger variant(빨간 확인 버튼), 텍스트 입력 확인(위험 작업)</t>
        </is>
      </c>
      <c r="F171" s="36" t="inlineStr">
        <is>
          <t>확인 클릭→콜백 실행, 취소/ESC→닫기, confirmationText 일치 시에만 확인 버튼 활성</t>
        </is>
      </c>
      <c r="G171" s="36" t="n"/>
      <c r="H171" s="36" t="n"/>
      <c r="I171" s="36" t="n"/>
      <c r="J171" s="36" t="n"/>
      <c r="K171" s="36" t="n"/>
      <c r="L171" s="36" t="n"/>
      <c r="M171" s="36" t="n"/>
      <c r="N171" s="36" t="inlineStr">
        <is>
          <t>확정</t>
        </is>
      </c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>
      <c r="A172" s="35" t="inlineStr">
        <is>
          <t>UI-208</t>
        </is>
      </c>
      <c r="B172" s="35" t="inlineStr">
        <is>
          <t>공통</t>
        </is>
      </c>
      <c r="C172" s="35" t="inlineStr">
        <is>
          <t>StatCard</t>
        </is>
      </c>
      <c r="D172" s="36" t="inlineStr">
        <is>
          <t>Card</t>
        </is>
      </c>
      <c r="E172" s="36" t="inlineStr">
        <is>
          <t>KPI 통계 카드: 레이블, 값, 아이콘, 변동률(증감 화살표), 설명, variant(default/mint/peach)</t>
        </is>
      </c>
      <c r="F172" s="36" t="inlineStr">
        <is>
          <t>호버 시 미세한 scale-up 효과</t>
        </is>
      </c>
      <c r="G172" s="36" t="n"/>
      <c r="H172" s="36" t="n"/>
      <c r="I172" s="36" t="n"/>
      <c r="J172" s="36" t="n"/>
      <c r="K172" s="36" t="n"/>
      <c r="L172" s="36" t="n"/>
      <c r="M172" s="36" t="n"/>
      <c r="N172" s="36" t="inlineStr">
        <is>
          <t>확정</t>
        </is>
      </c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>
      <c r="A173" s="35" t="inlineStr">
        <is>
          <t>UI-209</t>
        </is>
      </c>
      <c r="B173" s="35" t="inlineStr">
        <is>
          <t>공통</t>
        </is>
      </c>
      <c r="C173" s="35" t="inlineStr">
        <is>
          <t>StatusBadge</t>
        </is>
      </c>
      <c r="D173" s="36" t="inlineStr">
        <is>
          <t>Badge</t>
        </is>
      </c>
      <c r="E173" s="36" t="inlineStr">
        <is>
          <t>상태 배지: dot(●) + 레이블, variant(success/error/warning/default/info)</t>
        </is>
      </c>
      <c r="F173" s="36" t="inlineStr">
        <is>
          <t>정적 표시</t>
        </is>
      </c>
      <c r="G173" s="36" t="n"/>
      <c r="H173" s="36" t="n"/>
      <c r="I173" s="36" t="n"/>
      <c r="J173" s="36" t="n"/>
      <c r="K173" s="36" t="n"/>
      <c r="L173" s="36" t="n"/>
      <c r="M173" s="36" t="n"/>
      <c r="N173" s="36" t="inlineStr">
        <is>
          <t>확정</t>
        </is>
      </c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>
      <c r="A174" s="35" t="inlineStr">
        <is>
          <t>UI-210</t>
        </is>
      </c>
      <c r="B174" s="35" t="inlineStr">
        <is>
          <t>공통</t>
        </is>
      </c>
      <c r="C174" s="35" t="inlineStr">
        <is>
          <t>PageHeader</t>
        </is>
      </c>
      <c r="D174" s="36" t="inlineStr">
        <is>
          <t>Header</t>
        </is>
      </c>
      <c r="E174" s="36" t="inlineStr">
        <is>
          <t>페이지 상단 헤더: 제목(H1), 설명, 우측 액션 버튼 영역</t>
        </is>
      </c>
      <c r="F174" s="36" t="inlineStr">
        <is>
          <t>정적 표시</t>
        </is>
      </c>
      <c r="G174" s="36" t="n"/>
      <c r="H174" s="36" t="n"/>
      <c r="I174" s="36" t="n"/>
      <c r="J174" s="36" t="n"/>
      <c r="K174" s="36" t="n"/>
      <c r="L174" s="36" t="n"/>
      <c r="M174" s="36" t="n"/>
      <c r="N174" s="36" t="inlineStr">
        <is>
          <t>확정</t>
        </is>
      </c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>
      <c r="A175" s="35" t="inlineStr">
        <is>
          <t>UI-211</t>
        </is>
      </c>
      <c r="B175" s="35" t="inlineStr">
        <is>
          <t>공통</t>
        </is>
      </c>
      <c r="C175" s="35" t="inlineStr">
        <is>
          <t>TabNav</t>
        </is>
      </c>
      <c r="D175" s="36" t="inlineStr">
        <is>
          <t>Navigation</t>
        </is>
      </c>
      <c r="E175" s="36" t="inlineStr">
        <is>
          <t>탭 네비게이션: 탭 목록, 활성 탭 하이라이트, 아이콘 지원</t>
        </is>
      </c>
      <c r="F175" s="36" t="inlineStr">
        <is>
          <t>탭 클릭→콘텐츠 전환, 활성 탭 하단 인디케이터</t>
        </is>
      </c>
      <c r="G175" s="36" t="n"/>
      <c r="H175" s="36" t="n"/>
      <c r="I175" s="36" t="n"/>
      <c r="J175" s="36" t="n"/>
      <c r="K175" s="36" t="n"/>
      <c r="L175" s="36" t="n"/>
      <c r="M175" s="36" t="n"/>
      <c r="N175" s="36" t="inlineStr">
        <is>
          <t>확정</t>
        </is>
      </c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>
      <c r="A176" s="35" t="inlineStr">
        <is>
          <t>UI-212</t>
        </is>
      </c>
      <c r="B176" s="35" t="inlineStr">
        <is>
          <t>공통</t>
        </is>
      </c>
      <c r="C176" s="35" t="inlineStr">
        <is>
          <t>FormField</t>
        </is>
      </c>
      <c r="D176" s="36" t="inlineStr">
        <is>
          <t>Input</t>
        </is>
      </c>
      <c r="E176" s="36" t="inlineStr">
        <is>
          <t>폼 필드 래퍼: 라벨, 필수 표시(*), 에러 메시지, 힌트 텍스트</t>
        </is>
      </c>
      <c r="F176" s="36" t="inlineStr">
        <is>
          <t>에러 시 빨간 테두리+에러 메시지, 포커스 시 accent 테두리</t>
        </is>
      </c>
      <c r="G176" s="36" t="n"/>
      <c r="H176" s="36" t="n"/>
      <c r="I176" s="36" t="n"/>
      <c r="J176" s="36" t="n"/>
      <c r="K176" s="36" t="n"/>
      <c r="L176" s="36" t="n"/>
      <c r="M176" s="36" t="n"/>
      <c r="N176" s="36" t="inlineStr">
        <is>
          <t>확정</t>
        </is>
      </c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>
      <c r="A177" s="35" t="inlineStr">
        <is>
          <t>UI-213</t>
        </is>
      </c>
      <c r="B177" s="35" t="inlineStr">
        <is>
          <t>공통</t>
        </is>
      </c>
      <c r="C177" s="35" t="inlineStr">
        <is>
          <t>FormSection</t>
        </is>
      </c>
      <c r="D177" s="36" t="inlineStr">
        <is>
          <t>Container</t>
        </is>
      </c>
      <c r="E177" s="36" t="inlineStr">
        <is>
          <t>폼 섹션 그룹: 섹션 제목, 1~2컬럼 그리드, 구분선</t>
        </is>
      </c>
      <c r="F177" s="36" t="inlineStr">
        <is>
          <t>정적 레이아웃</t>
        </is>
      </c>
      <c r="G177" s="36" t="n"/>
      <c r="H177" s="36" t="n"/>
      <c r="I177" s="36" t="n"/>
      <c r="J177" s="36" t="n"/>
      <c r="K177" s="36" t="n"/>
      <c r="L177" s="36" t="n"/>
      <c r="M177" s="36" t="n"/>
      <c r="N177" s="36" t="inlineStr">
        <is>
          <t>확정</t>
        </is>
      </c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>
      <c r="A178" s="35" t="inlineStr">
        <is>
          <t>UI-214</t>
        </is>
      </c>
      <c r="B178" s="35" t="inlineStr">
        <is>
          <t>공통</t>
        </is>
      </c>
      <c r="C178" s="35" t="inlineStr">
        <is>
          <t>DatePicker</t>
        </is>
      </c>
      <c r="D178" s="36" t="inlineStr">
        <is>
          <t>Input</t>
        </is>
      </c>
      <c r="E178" s="36" t="inlineStr">
        <is>
          <t>날짜 선택기: 캘린더 팝업, 직접 입력, 포맷(YYYY-MM-DD)</t>
        </is>
      </c>
      <c r="F178" s="36" t="inlineStr">
        <is>
          <t>클릭→캘린더 팝업, 날짜 선택→값 설정</t>
        </is>
      </c>
      <c r="G178" s="36" t="n"/>
      <c r="H178" s="36" t="n"/>
      <c r="I178" s="36" t="n"/>
      <c r="J178" s="36" t="n"/>
      <c r="K178" s="36" t="n"/>
      <c r="L178" s="36" t="n"/>
      <c r="M178" s="36" t="n"/>
      <c r="N178" s="36" t="inlineStr">
        <is>
          <t>확정</t>
        </is>
      </c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>
      <c r="A179" s="35" t="inlineStr">
        <is>
          <t>UI-215</t>
        </is>
      </c>
      <c r="B179" s="35" t="inlineStr">
        <is>
          <t>공통</t>
        </is>
      </c>
      <c r="C179" s="35" t="inlineStr">
        <is>
          <t>DateRangePicker</t>
        </is>
      </c>
      <c r="D179" s="36" t="inlineStr">
        <is>
          <t>Input</t>
        </is>
      </c>
      <c r="E179" s="36" t="inlineStr">
        <is>
          <t>기간 선택기: 시작일~종료일, 프리셋(오늘/이번주/이번달/3개월)</t>
        </is>
      </c>
      <c r="F179" s="36" t="inlineStr">
        <is>
          <t>프리셋 클릭→자동 범위 설정, 직접 날짜 선택</t>
        </is>
      </c>
      <c r="G179" s="36" t="n"/>
      <c r="H179" s="36" t="n"/>
      <c r="I179" s="36" t="n"/>
      <c r="J179" s="36" t="n"/>
      <c r="K179" s="36" t="n"/>
      <c r="L179" s="36" t="n"/>
      <c r="M179" s="36" t="n"/>
      <c r="N179" s="36" t="inlineStr">
        <is>
          <t>확정</t>
        </is>
      </c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>
      <c r="A180" s="35" t="inlineStr">
        <is>
          <t>UI-216</t>
        </is>
      </c>
      <c r="B180" s="35" t="inlineStr">
        <is>
          <t>공통</t>
        </is>
      </c>
      <c r="C180" s="35" t="inlineStr">
        <is>
          <t>FileUpload</t>
        </is>
      </c>
      <c r="D180" s="36" t="inlineStr">
        <is>
          <t>Input</t>
        </is>
      </c>
      <c r="E180" s="36" t="inlineStr">
        <is>
          <t>파일 업로드: 드래그앤드롭, 클릭 선택, 미리보기(이미지), 크기 제한, Supabase Storage 연동, 업로드 진행률</t>
        </is>
      </c>
      <c r="F180" s="36" t="inlineStr">
        <is>
          <t>드래그→하이라이트, 파일 선택→미리보기+업로드, X→파일 제거</t>
        </is>
      </c>
      <c r="G180" s="36" t="n"/>
      <c r="H180" s="36" t="n"/>
      <c r="I180" s="36" t="n"/>
      <c r="J180" s="36" t="n"/>
      <c r="K180" s="36" t="n"/>
      <c r="L180" s="36" t="n"/>
      <c r="M180" s="36" t="n"/>
      <c r="N180" s="36" t="inlineStr">
        <is>
          <t>확정</t>
        </is>
      </c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>
      <c r="A181" s="35" t="inlineStr">
        <is>
          <t>UI-217</t>
        </is>
      </c>
      <c r="B181" s="35" t="inlineStr">
        <is>
          <t>공통</t>
        </is>
      </c>
      <c r="C181" s="35" t="inlineStr">
        <is>
          <t>SignaturePad</t>
        </is>
      </c>
      <c r="D181" s="36" t="inlineStr">
        <is>
          <t>Input</t>
        </is>
      </c>
      <c r="E181" s="36" t="inlineStr">
        <is>
          <t>전자서명 캔버스: 마우스+터치 드로잉, undo/clear, 서명 확인 버튼</t>
        </is>
      </c>
      <c r="F181" s="36" t="inlineStr">
        <is>
          <t>드로잉→실시간 캔버스 렌더, clear→초기화, 확인→base64 데이터URL 반환</t>
        </is>
      </c>
      <c r="G181" s="36" t="n"/>
      <c r="H181" s="36" t="n"/>
      <c r="I181" s="36" t="n"/>
      <c r="J181" s="36" t="n"/>
      <c r="K181" s="36" t="n"/>
      <c r="L181" s="36" t="n"/>
      <c r="M181" s="36" t="n"/>
      <c r="N181" s="36" t="inlineStr">
        <is>
          <t>확정</t>
        </is>
      </c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>
      <c r="A182" s="35" t="inlineStr">
        <is>
          <t>UI-218</t>
        </is>
      </c>
      <c r="B182" s="35" t="inlineStr">
        <is>
          <t>공통</t>
        </is>
      </c>
      <c r="C182" s="35" t="inlineStr">
        <is>
          <t>Skeleton</t>
        </is>
      </c>
      <c r="D182" s="36" t="inlineStr">
        <is>
          <t>Loading</t>
        </is>
      </c>
      <c r="E182" s="36" t="inlineStr">
        <is>
          <t>로딩 스켈레톤: base/card/table/text 변형, 펄스 애니메이션</t>
        </is>
      </c>
      <c r="F182" s="36" t="inlineStr">
        <is>
          <t>데이터 로딩 중 표시, 데이터 도착 시 자동 교체</t>
        </is>
      </c>
      <c r="G182" s="36" t="n"/>
      <c r="H182" s="36" t="n"/>
      <c r="I182" s="36" t="n"/>
      <c r="J182" s="36" t="n"/>
      <c r="K182" s="36" t="n"/>
      <c r="L182" s="36" t="n"/>
      <c r="M182" s="36" t="n"/>
      <c r="N182" s="36" t="inlineStr">
        <is>
          <t>확정</t>
        </is>
      </c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>
      <c r="A183" s="35" t="inlineStr">
        <is>
          <t>UI-219</t>
        </is>
      </c>
      <c r="B183" s="35" t="inlineStr">
        <is>
          <t>공통</t>
        </is>
      </c>
      <c r="C183" s="35" t="inlineStr">
        <is>
          <t>EmptyState</t>
        </is>
      </c>
      <c r="D183" s="36" t="inlineStr">
        <is>
          <t>Feedback</t>
        </is>
      </c>
      <c r="E183" s="36" t="inlineStr">
        <is>
          <t>빈 상태 표시: 아이콘, 제목, 설명, 액션 버튼</t>
        </is>
      </c>
      <c r="F183" s="36" t="inlineStr">
        <is>
          <t>데이터 0건 시 테이블/리스트 대신 표시</t>
        </is>
      </c>
      <c r="G183" s="36" t="n"/>
      <c r="H183" s="36" t="n"/>
      <c r="I183" s="36" t="n"/>
      <c r="J183" s="36" t="n"/>
      <c r="K183" s="36" t="n"/>
      <c r="L183" s="36" t="n"/>
      <c r="M183" s="36" t="n"/>
      <c r="N183" s="36" t="inlineStr">
        <is>
          <t>확정</t>
        </is>
      </c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>
      <c r="A184" s="35" t="inlineStr">
        <is>
          <t>UI-220</t>
        </is>
      </c>
      <c r="B184" s="35" t="inlineStr">
        <is>
          <t>공통</t>
        </is>
      </c>
      <c r="C184" s="35" t="inlineStr">
        <is>
          <t>Toast</t>
        </is>
      </c>
      <c r="D184" s="36" t="inlineStr">
        <is>
          <t>Feedback</t>
        </is>
      </c>
      <c r="E184" s="36" t="inlineStr">
        <is>
          <t>토스트 알림(sonner): success/error/info/warning, 자동 닫힘(3초), 우측 상단</t>
        </is>
      </c>
      <c r="F184" s="36" t="inlineStr">
        <is>
          <t>자동 소멸, 여러 개 스택, 닫기 버튼</t>
        </is>
      </c>
      <c r="G184" s="36" t="n"/>
      <c r="H184" s="36" t="n"/>
      <c r="I184" s="36" t="n"/>
      <c r="J184" s="36" t="n"/>
      <c r="K184" s="36" t="n"/>
      <c r="L184" s="36" t="n"/>
      <c r="M184" s="36" t="n"/>
      <c r="N184" s="36" t="inlineStr">
        <is>
          <t>확정</t>
        </is>
      </c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>
      <c r="A185" s="35" t="inlineStr">
        <is>
          <t>UI-221</t>
        </is>
      </c>
      <c r="B185" s="35" t="inlineStr">
        <is>
          <t>공통</t>
        </is>
      </c>
      <c r="C185" s="35" t="inlineStr">
        <is>
          <t>Toggle</t>
        </is>
      </c>
      <c r="D185" s="36" t="inlineStr">
        <is>
          <t>Input</t>
        </is>
      </c>
      <c r="E185" s="36" t="inlineStr">
        <is>
          <t>토글 스위치: on/off, 라벨, disabled 상태</t>
        </is>
      </c>
      <c r="F185" s="36" t="inlineStr">
        <is>
          <t>클릭→상태 전환</t>
        </is>
      </c>
      <c r="G185" s="36" t="n"/>
      <c r="H185" s="36" t="n"/>
      <c r="I185" s="36" t="n"/>
      <c r="J185" s="36" t="n"/>
      <c r="K185" s="36" t="n"/>
      <c r="L185" s="36" t="n"/>
      <c r="M185" s="36" t="n"/>
      <c r="N185" s="36" t="inlineStr">
        <is>
          <t>확정</t>
        </is>
      </c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>
      <c r="A186" s="35" t="inlineStr">
        <is>
          <t>UI-222</t>
        </is>
      </c>
      <c r="B186" s="35" t="inlineStr">
        <is>
          <t>공통</t>
        </is>
      </c>
      <c r="C186" s="35" t="inlineStr">
        <is>
          <t>Tooltip</t>
        </is>
      </c>
      <c r="D186" s="36" t="inlineStr">
        <is>
          <t>Feedback</t>
        </is>
      </c>
      <c r="E186" s="36" t="inlineStr">
        <is>
          <t>툴팁: 호버 시 표시, 상/하/좌/우 방향</t>
        </is>
      </c>
      <c r="F186" s="36" t="inlineStr">
        <is>
          <t>마우스 호버→표시, 마우스 아웃→숨김</t>
        </is>
      </c>
      <c r="G186" s="36" t="n"/>
      <c r="H186" s="36" t="n"/>
      <c r="I186" s="36" t="n"/>
      <c r="J186" s="36" t="n"/>
      <c r="K186" s="36" t="n"/>
      <c r="L186" s="36" t="n"/>
      <c r="M186" s="36" t="n"/>
      <c r="N186" s="36" t="inlineStr">
        <is>
          <t>확정</t>
        </is>
      </c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>
      <c r="A187" s="35" t="inlineStr">
        <is>
          <t>UI-223</t>
        </is>
      </c>
      <c r="B187" s="35" t="inlineStr">
        <is>
          <t>공통</t>
        </is>
      </c>
      <c r="C187" s="35" t="inlineStr">
        <is>
          <t>ProgressBar</t>
        </is>
      </c>
      <c r="D187" s="36" t="inlineStr">
        <is>
          <t>Feedback</t>
        </is>
      </c>
      <c r="E187" s="36" t="inlineStr">
        <is>
          <t>진행률 바: 0~100%, 라벨, 색상 variant</t>
        </is>
      </c>
      <c r="F187" s="36" t="inlineStr">
        <is>
          <t>정적 표시</t>
        </is>
      </c>
      <c r="G187" s="36" t="n"/>
      <c r="H187" s="36" t="n"/>
      <c r="I187" s="36" t="n"/>
      <c r="J187" s="36" t="n"/>
      <c r="K187" s="36" t="n"/>
      <c r="L187" s="36" t="n"/>
      <c r="M187" s="36" t="n"/>
      <c r="N187" s="36" t="inlineStr">
        <is>
          <t>확정</t>
        </is>
      </c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>
      <c r="A188" s="35" t="inlineStr">
        <is>
          <t>UI-224</t>
        </is>
      </c>
      <c r="B188" s="35" t="inlineStr">
        <is>
          <t>공통</t>
        </is>
      </c>
      <c r="C188" s="35" t="inlineStr">
        <is>
          <t>NumberInput</t>
        </is>
      </c>
      <c r="D188" s="36" t="inlineStr">
        <is>
          <t>Input</t>
        </is>
      </c>
      <c r="E188" s="36" t="inlineStr">
        <is>
          <t>숫자 입력: 천단위 콤마 포맷, +/- 버튼, min/max</t>
        </is>
      </c>
      <c r="F188" s="36" t="inlineStr">
        <is>
          <t>입력→자동 포맷, +/-→증감</t>
        </is>
      </c>
      <c r="G188" s="36" t="n"/>
      <c r="H188" s="36" t="n"/>
      <c r="I188" s="36" t="n"/>
      <c r="J188" s="36" t="n"/>
      <c r="K188" s="36" t="n"/>
      <c r="L188" s="36" t="n"/>
      <c r="M188" s="36" t="n"/>
      <c r="N188" s="36" t="inlineStr">
        <is>
          <t>확정</t>
        </is>
      </c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>
      <c r="A189" s="35" t="inlineStr">
        <is>
          <t>UI-225</t>
        </is>
      </c>
      <c r="B189" s="35" t="inlineStr">
        <is>
          <t>공통</t>
        </is>
      </c>
      <c r="C189" s="35" t="inlineStr">
        <is>
          <t>Badge</t>
        </is>
      </c>
      <c r="D189" s="36" t="inlineStr">
        <is>
          <t>Badge</t>
        </is>
      </c>
      <c r="E189" s="36" t="inlineStr">
        <is>
          <t>범용 배지: 텍스트, 색상 variant, 크기(sm/md)</t>
        </is>
      </c>
      <c r="F189" s="36" t="inlineStr">
        <is>
          <t>정적 표시</t>
        </is>
      </c>
      <c r="G189" s="36" t="n"/>
      <c r="H189" s="36" t="n"/>
      <c r="I189" s="36" t="n"/>
      <c r="J189" s="36" t="n"/>
      <c r="K189" s="36" t="n"/>
      <c r="L189" s="36" t="n"/>
      <c r="M189" s="36" t="n"/>
      <c r="N189" s="36" t="inlineStr">
        <is>
          <t>확정</t>
        </is>
      </c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>
      <c r="A190" s="35" t="inlineStr">
        <is>
          <t>UI-226</t>
        </is>
      </c>
      <c r="B190" s="35" t="inlineStr">
        <is>
          <t>공통</t>
        </is>
      </c>
      <c r="C190" s="35" t="inlineStr">
        <is>
          <t>ErrorBoundary</t>
        </is>
      </c>
      <c r="D190" s="36" t="inlineStr">
        <is>
          <t>Feedback</t>
        </is>
      </c>
      <c r="E190" s="36" t="inlineStr">
        <is>
          <t>React 에러 경계: 렌더 에러 캐치, 폴백 UI(에러 메시지+새로고침 버튼)</t>
        </is>
      </c>
      <c r="F190" s="36" t="inlineStr">
        <is>
          <t>에러 발생 시 폴백 UI 표시, 새로고침 버튼 클릭→페이지 리로드</t>
        </is>
      </c>
      <c r="G190" s="36" t="n"/>
      <c r="H190" s="36" t="n"/>
      <c r="I190" s="36" t="n"/>
      <c r="J190" s="36" t="n"/>
      <c r="K190" s="36" t="n"/>
      <c r="L190" s="36" t="n"/>
      <c r="M190" s="36" t="n"/>
      <c r="N190" s="36" t="inlineStr">
        <is>
          <t>확정</t>
        </is>
      </c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>
      <c r="A191" s="35" t="inlineStr">
        <is>
          <t>UI-227</t>
        </is>
      </c>
      <c r="B191" s="35" t="inlineStr">
        <is>
          <t>공통</t>
        </is>
      </c>
      <c r="C191" s="35" t="inlineStr">
        <is>
          <t>PrivateRoute</t>
        </is>
      </c>
      <c r="D191" s="36" t="inlineStr">
        <is>
          <t>Guard</t>
        </is>
      </c>
      <c r="E191" s="36" t="inlineStr">
        <is>
          <t>인증 가드: 미인증 시 /login 리다이렉트, 인증 확인 중 로딩 표시</t>
        </is>
      </c>
      <c r="F191" s="36" t="inlineStr">
        <is>
          <t>비인증→로그인 페이지 리다이렉트</t>
        </is>
      </c>
      <c r="G191" s="36" t="n"/>
      <c r="H191" s="36" t="n"/>
      <c r="I191" s="36" t="n"/>
      <c r="J191" s="36" t="n"/>
      <c r="K191" s="36" t="n"/>
      <c r="L191" s="36" t="n"/>
      <c r="M191" s="36" t="n"/>
      <c r="N191" s="36" t="inlineStr">
        <is>
          <t>확정</t>
        </is>
      </c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</sheetData>
  <autoFilter ref="A1:S1"/>
  <dataValidations count="6">
    <dataValidation sqref="B2:B5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D2:D500" showDropDown="0" showInputMessage="0" showErrorMessage="0" allowBlank="1" type="list">
      <formula1>"Button,Input,Textarea,Select,Checkbox,Radio,Toggle,Link,Nav,Tab,Slide,Card,List,Modal,Toast,Tooltip,Image,Icon,Badge,Label,Text,Divider,기타"</formula1>
    </dataValidation>
    <dataValidation sqref="G2:G5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H2:H5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  <dataValidation sqref="N2:N500" showDropDown="0" showInputMessage="0" showErrorMessage="0" allowBlank="1" type="list">
      <formula1>"설계중,개발중,개발완료,테스트중,완료"</formula1>
    </dataValidation>
    <dataValidation sqref="O2:O5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0" customWidth="1" min="5" max="5"/>
    <col width="35" customWidth="1" min="6" max="6"/>
    <col width="35" customWidth="1" min="7" max="7"/>
    <col width="12" customWidth="1" min="8" max="8"/>
    <col width="30" customWidth="1" min="9" max="9"/>
    <col width="25" customWidth="1" min="10" max="10"/>
    <col width="30" customWidth="1" min="11" max="11"/>
    <col width="25" customWidth="1" min="12" max="12"/>
    <col width="25" customWidth="1" min="13" max="13"/>
    <col width="14" customWidth="1" min="14" max="14"/>
    <col width="12" customWidth="1" min="15" max="15"/>
    <col width="10" customWidth="1" min="16" max="16"/>
    <col width="12" customWidth="1" min="17" max="17"/>
    <col width="18" customWidth="1" min="18" max="18"/>
    <col width="20" customWidth="1" min="19" max="19"/>
    <col width="20" customWidth="1" min="20" max="20"/>
    <col width="25" customWidth="1" min="21" max="21"/>
  </cols>
  <sheetData>
    <row r="1">
      <c r="A1" s="1" t="inlineStr">
        <is>
          <t>기능 ID</t>
        </is>
      </c>
      <c r="B1" s="1" t="inlineStr">
        <is>
          <t>기능명</t>
        </is>
      </c>
      <c r="C1" s="1" t="inlineStr">
        <is>
          <t>기능 분류</t>
        </is>
      </c>
      <c r="D1" s="1" t="inlineStr">
        <is>
          <t>플랫폼</t>
        </is>
      </c>
      <c r="E1" s="1" t="inlineStr">
        <is>
          <t>우선순위</t>
        </is>
      </c>
      <c r="F1" s="1" t="inlineStr">
        <is>
          <t>기능 설명</t>
        </is>
      </c>
      <c r="G1" s="1" t="inlineStr">
        <is>
          <t>상세 요구사항</t>
        </is>
      </c>
      <c r="H1" s="1" t="inlineStr">
        <is>
          <t>화면 ID</t>
        </is>
      </c>
      <c r="I1" s="1" t="inlineStr">
        <is>
          <t>입력 항목</t>
        </is>
      </c>
      <c r="J1" s="1" t="inlineStr">
        <is>
          <t>출력 항목</t>
        </is>
      </c>
      <c r="K1" s="1" t="inlineStr">
        <is>
          <t>비즈니스 규칙</t>
        </is>
      </c>
      <c r="L1" s="1" t="inlineStr">
        <is>
          <t>예외 처리</t>
        </is>
      </c>
      <c r="M1" s="1" t="inlineStr">
        <is>
          <t>Web 구현 사항</t>
        </is>
      </c>
      <c r="N1" s="1" t="inlineStr">
        <is>
          <t>App 구현 사항</t>
        </is>
      </c>
      <c r="O1" s="1" t="inlineStr">
        <is>
          <t>관련 API ID</t>
        </is>
      </c>
      <c r="P1" s="1" t="inlineStr">
        <is>
          <t>상태</t>
        </is>
      </c>
      <c r="Q1" s="1" t="inlineStr">
        <is>
          <t>담당자</t>
        </is>
      </c>
      <c r="R1" s="1" t="inlineStr">
        <is>
          <t>[자동] 화면명</t>
        </is>
      </c>
      <c r="S1" s="1" t="inlineStr">
        <is>
          <t>[자동] API 엔드포인트</t>
        </is>
      </c>
      <c r="T1" s="1" t="inlineStr">
        <is>
          <t>비고</t>
        </is>
      </c>
      <c r="U1" s="1" t="inlineStr">
        <is>
          <t>[자동] 관련 UI 요소</t>
        </is>
      </c>
    </row>
    <row r="2">
      <c r="A2" s="3" t="inlineStr">
        <is>
          <t>▼ SCR-001</t>
        </is>
      </c>
      <c r="B2" s="3" t="inlineStr">
        <is>
          <t>로그인 (1개 기능)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 outlineLevel="1">
      <c r="A3" s="35" t="inlineStr">
        <is>
          <t>FN-001</t>
        </is>
      </c>
      <c r="B3" s="35" t="inlineStr">
        <is>
          <t>로그인</t>
        </is>
      </c>
      <c r="C3" s="35" t="inlineStr">
        <is>
          <t>인증</t>
        </is>
      </c>
      <c r="D3" s="36" t="inlineStr">
        <is>
          <t>Web</t>
        </is>
      </c>
      <c r="E3" s="36" t="inlineStr">
        <is>
          <t>Critical</t>
        </is>
      </c>
      <c r="F3" s="36" t="inlineStr">
        <is>
          <t>Supabase Auth 기반 로그인 (signInWithPassword) + 평문 비밀번호 fallback. 지점 선택 포함.</t>
        </is>
      </c>
      <c r="G3" s="36" t="inlineStr">
        <is>
          <t>1) Supabase Auth signInWithPassword({email}@spogym.local, password) 1차 시도
2) Auth 실패 시 기존 평문 비밀번호 fallback (마이그레이션 호환)
3) 지점 선택 필수
4) 로그인 유지 체크 시 localStorage 아이디 저장
5) onAuthStateChange 리스너로 세션 자동 관리
6) TOKEN_REFRESHED 시 토큰 자동 갱신, SIGNED_OUT 시 자동 로그아웃</t>
        </is>
      </c>
      <c r="H3" s="36" t="inlineStr">
        <is>
          <t>SCR-001</t>
        </is>
      </c>
      <c r="I3" s="36" t="inlineStr">
        <is>
          <t>이메일, 비밀번호, 지점ID</t>
        </is>
      </c>
      <c r="J3" s="36" t="inlineStr">
        <is>
          <t>JWT 토큰, 사용자 정보, 권한 목록</t>
        </is>
      </c>
      <c r="K3" s="36" t="inlineStr">
        <is>
          <t>1) 5회 연속 실패 시 30분 계정 잠금
2) 비밀번호: 최소 8자, 영문+숫자+특수문자 조합 필수
3) 이전 3개 비밀번호 재사용 금지
4) 90일 경과 시 비밀번호 변경 권장 팝업 (강제 변경 or 건너뛰기)
5) 동시 세션 1개 제한 – 신규 로그인 시 기존 세션 강제 종료
6) 토큰 만료: 기본 2시간 / 로그인 유지 체크 시 7일 (refresh token)
7) 로그인 시 선택한 지점만 데이터 접근 허용
8) 탈퇴·비활성 계정 접근 불가</t>
        </is>
      </c>
      <c r="L3" s="36" t="inlineStr">
        <is>
          <t>계정 잠금: '5회 실패로 잠금. 30분 후 재시도 또는 비밀번호 찾기'
서버 오류: '일시적 오류. 잠시 후 다시 시도하세요'
탈퇴 계정: '탈퇴 처리된 계정입니다'
네트워크 오류: '인터넷 연결을 확인하세요'
지점 미선택: '지점을 선택해주세요'
잘못된 자격증명: '이메일 또는 비밀번호를 확인하세요'</t>
        </is>
      </c>
      <c r="M3" s="36" t="inlineStr">
        <is>
          <t>Supabase Auth + React Zustand 스토어
authStore.ts: initAuthListener() 세션 관리
비밀번호 변경: AppHeader 모달 → supabase.auth.updateUser()
감사로그: 로그인 실패/로그아웃 시 자동 기록</t>
        </is>
      </c>
      <c r="N3" s="36" t="n"/>
      <c r="O3" s="36" t="inlineStr">
        <is>
          <t>API-001</t>
        </is>
      </c>
      <c r="P3" s="36" t="inlineStr">
        <is>
          <t>개발완료</t>
        </is>
      </c>
      <c r="Q3" s="36" t="n"/>
      <c r="R3" s="36" t="inlineStr">
        <is>
          <t>로그인</t>
        </is>
      </c>
      <c r="S3" s="36" t="inlineStr">
        <is>
          <t>/api/v1/auth/login</t>
        </is>
      </c>
      <c r="T3" s="36" t="inlineStr">
        <is>
          <t>Supabase Auth 전환 완료 (2026-03-12). 비밀번호 변경 모달 구현 (2026-03-13). 로그인 유지 + 세션 자동관리 + 감사로그 연동</t>
        </is>
      </c>
      <c r="U3" s="36" t="n">
        <v>5</v>
      </c>
    </row>
    <row r="4">
      <c r="A4" s="3" t="inlineStr">
        <is>
          <t>▼ SCR-002</t>
        </is>
      </c>
      <c r="B4" s="3" t="inlineStr">
        <is>
          <t>대시보드 (1개 기능)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 outlineLevel="1">
      <c r="A5" s="35" t="inlineStr">
        <is>
          <t>FN-002</t>
        </is>
      </c>
      <c r="B5" s="35" t="inlineStr">
        <is>
          <t>대시보드 통계 조회</t>
        </is>
      </c>
      <c r="C5" s="35" t="inlineStr">
        <is>
          <t>대시보드</t>
        </is>
      </c>
      <c r="D5" s="36" t="inlineStr">
        <is>
          <t>Web</t>
        </is>
      </c>
      <c r="E5" s="36" t="inlineStr">
        <is>
          <t>Critical</t>
        </is>
      </c>
      <c r="F5" s="36" t="inlineStr">
        <is>
          <t>지점별 핵심 KPI 대시보드 (회원/매출/출석 요약)</t>
        </is>
      </c>
      <c r="G5" s="36" t="inlineStr">
        <is>
          <t>1) 총회원/활성/만료임박/만료 카운트
2) 오늘 생일 회원 리스트
3) 미납 회원 리스트
4) 만료 예정 회원
5) 당월 매출 차트</t>
        </is>
      </c>
      <c r="H5" s="36" t="inlineStr">
        <is>
          <t>SCR-002</t>
        </is>
      </c>
      <c r="I5" s="36" t="inlineStr">
        <is>
          <t>지점ID (JWT에서 추출)</t>
        </is>
      </c>
      <c r="J5" s="36" t="inlineStr">
        <is>
          <t>통계 데이터, 리스트, 차트 데이터</t>
        </is>
      </c>
      <c r="K5" s="36" t="inlineStr">
        <is>
          <t>1) 통계 카드: 페이지 진입 시 + 5분 주기 자동 갱신
2) 만료임박: D-7 이내 카운트, D-3 이내 긴급(빨간색), D-0 만료 처리
3) 미납: 결제예정일 초과 + 미결제 → 미납, 30일 초과 시 장기미납 표시
4) 차트: 페이지 진입 시 1회 조회 (BarChart/PieChart/LineChart)
5) 통계 카드 클릭 시 해당 목록으로 이동 (status 필터 자동 적용)
6) 지점별 데이터 격리 – branch_id 기준 필터 필수
7) 알림 리스트: 실시간 polling 30초 주기</t>
        </is>
      </c>
      <c r="L5" s="36" t="inlineStr">
        <is>
          <t>데이터 로드 실패: 각 섹션 독립 에러 표시 + 재시도 버튼
빈 데이터: '아직 데이터가 없습니다' Empty State UI
지점 미설정: '지점 정보를 설정하세요' 안내
네트워크 단절: 마지막 갱신 시각 표시 + 수동 갱신 버튼</t>
        </is>
      </c>
      <c r="M5" s="36" t="inlineStr">
        <is>
          <t>TanStack Query (5분 refetchInterval, staleTime 설정)
Recharts – BarChart, PieChart, LineChart
useNavigate() + query string으로 필터 목록 이동
Skeleton 로딩 UI (카드/차트 영역)
RefreshCw 아이콘 수동 갱신 버튼
date-fns 날짜 계산 (D-day)</t>
        </is>
      </c>
      <c r="N5" s="36" t="n"/>
      <c r="O5" s="36" t="inlineStr">
        <is>
          <t>API-003</t>
        </is>
      </c>
      <c r="P5" s="36" t="inlineStr">
        <is>
          <t>개발완료</t>
        </is>
      </c>
      <c r="Q5" s="36" t="n"/>
      <c r="R5" s="36" t="inlineStr">
        <is>
          <t>대시보드</t>
        </is>
      </c>
      <c r="S5" s="36" t="inlineStr">
        <is>
          <t>/api/v1/dashboard/stats</t>
        </is>
      </c>
      <c r="T5" s="36" t="inlineStr">
        <is>
          <t>실 데이터 차트 연동 완료. soft delete 필터 적용. 클릭 네비게이션 구현 (2026-03-13)</t>
        </is>
      </c>
      <c r="U5" s="36" t="n">
        <v>8</v>
      </c>
    </row>
    <row r="6">
      <c r="A6" s="3" t="inlineStr">
        <is>
          <t>▼ SCR-010</t>
        </is>
      </c>
      <c r="B6" s="3" t="inlineStr">
        <is>
          <t>회원 목록 (2개 기능)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outlineLevel="1">
      <c r="A7" s="35" t="inlineStr">
        <is>
          <t>FN-003</t>
        </is>
      </c>
      <c r="B7" s="35" t="inlineStr">
        <is>
          <t>회원 목록 조회/검색/필터</t>
        </is>
      </c>
      <c r="C7" s="35" t="inlineStr">
        <is>
          <t>회원관리</t>
        </is>
      </c>
      <c r="D7" s="36" t="inlineStr">
        <is>
          <t>Web</t>
        </is>
      </c>
      <c r="E7" s="36" t="inlineStr">
        <is>
          <t>Critical</t>
        </is>
      </c>
      <c r="F7" s="36" t="inlineStr">
        <is>
          <t>회원 검색, 필터, 페이지네이션 목록 조회</t>
        </is>
      </c>
      <c r="G7" s="36" t="inlineStr">
        <is>
          <t>1) 이름/연락처/회원번호 검색 (300ms debounce)
2) 상태/성별/담당자 필터 조합
3) 컬럼 정렬
4) 페이지당 20/50/100건
5) 엑셀 다운로드</t>
        </is>
      </c>
      <c r="H7" s="36" t="inlineStr">
        <is>
          <t>SCR-010</t>
        </is>
      </c>
      <c r="I7" s="36" t="inlineStr">
        <is>
          <t>검색어, 필터 조건, 페이지 번호, 정렬 기준</t>
        </is>
      </c>
      <c r="J7" s="36" t="inlineStr">
        <is>
          <t>회원 목록 (이름/연락처/상태/이용권/담당자)</t>
        </is>
      </c>
      <c r="K7" s="36" t="inlineStr">
        <is>
          <t>1) 검색: 이름 부분일치(2자 이상), 연락처 숫자만 추출 후 부분일치, 회원번호 완전일치
2) 검색 debounce 300ms 적용
3) 모든 필터는 AND 조합, 탭 필터와 상세 필터 동시 적용
4) 회원 상태: 활성/만료/예정/임박(D-30 이내)/홀딩/미등록 정의
5) 일괄 처리 최대 100명 동시 선택
6) 삭제 회원 기본 미표시, 옵션으로 표시 전환 가능
7) 권한별 조회 범위 제한 (FC: 담당 회원만, 스태프: 조회만)</t>
        </is>
      </c>
      <c r="L7" s="36" t="inlineStr">
        <is>
          <t>검색 결과 없음: '조건에 맞는 회원이 없습니다' Empty State
필터 오류: 필터 초기화 버튼 항상 노출
API 오류: '회원 목록을 불러오지 못했습니다. 재시도' 버튼
일괄 처리 100명 초과: '최대 100명까지 선택 가능합니다'
권한 없음: 해당 기능 버튼 비활성화 처리</t>
        </is>
      </c>
      <c r="M7" s="36" t="inlineStr">
        <is>
          <t>TanStack Query – GET /api/v1/members (캐싱)
useDebounce() 훅 (300ms)
DataTable 컴포넌트 (정렬/페이지네이션/다중선택)
URL 쿼리 파라미터로 필터 상태 동기화
xlsx 라이브러리 – 엑셀 다운로드
Checkbox 다중선택 + 일괄 처리 드롭다운</t>
        </is>
      </c>
      <c r="N7" s="36" t="n"/>
      <c r="O7" s="36" t="inlineStr">
        <is>
          <t>API-007</t>
        </is>
      </c>
      <c r="P7" s="36" t="inlineStr">
        <is>
          <t>개발완료</t>
        </is>
      </c>
      <c r="Q7" s="36" t="n"/>
      <c r="R7" s="36" t="inlineStr">
        <is>
          <t>회원 목록</t>
        </is>
      </c>
      <c r="S7" s="36" t="inlineStr">
        <is>
          <t>/api/v1/members</t>
        </is>
      </c>
      <c r="T7" s="36" t="inlineStr">
        <is>
          <t>서버사이드 페이지네이션/정렬/필터 완료. 상태 변경 모달 (window.prompt→셀렉트) 개선 (2026-03-13)</t>
        </is>
      </c>
      <c r="U7" s="36" t="n">
        <v>8</v>
      </c>
    </row>
    <row r="8" outlineLevel="1">
      <c r="A8" s="35" t="inlineStr">
        <is>
          <t>FN-004</t>
        </is>
      </c>
      <c r="B8" s="35" t="inlineStr">
        <is>
          <t>회원 등록</t>
        </is>
      </c>
      <c r="C8" s="35" t="inlineStr">
        <is>
          <t>회원관리</t>
        </is>
      </c>
      <c r="D8" s="36" t="inlineStr">
        <is>
          <t>Web</t>
        </is>
      </c>
      <c r="E8" s="36" t="inlineStr">
        <is>
          <t>Critical</t>
        </is>
      </c>
      <c r="F8" s="36" t="inlineStr">
        <is>
          <t>신규 회원 등록</t>
        </is>
      </c>
      <c r="G8" s="36" t="inlineStr">
        <is>
          <t>1) 필수: 이름, 성별, 연락처
2) 선택: 이메일, 주소, 생년월일, 메모
3) 담당 FC 배정
4) 연락처 중복 체크</t>
        </is>
      </c>
      <c r="H8" s="36" t="inlineStr">
        <is>
          <t>SCR-010</t>
        </is>
      </c>
      <c r="I8" s="36" t="inlineStr">
        <is>
          <t>이름, 성별, 생년월일, 연락처, 이메일, 주소, 메모, 담당자ID</t>
        </is>
      </c>
      <c r="J8" s="36" t="inlineStr">
        <is>
          <t>등록된 회원 정보</t>
        </is>
      </c>
      <c r="K8" s="36" t="inlineStr">
        <is>
          <t>1) 필수 입력: 이름(2~20자, 한글/영문), 성별, 연락처(010-XXXX-XXXX), 회원구분
2) 연락처: 동일 지점 내 중복 불가 (API 중복확인)
3) 회원번호 자동 생성: 지점코드-YYMMDD-순번
4) 출석번호 자동 생성: 4자리 랜덤 (중복 체크)
5) 기본 상태: '미등록' (이용권 구매 시 '활성'으로 자동 전환)
6) 프로필 사진: JPG/PNG, 5MB 이하
7) 생년월일: 미래 날짜 입력 불가
8) 이메일: RFC 5322 형식 검증</t>
        </is>
      </c>
      <c r="L8" s="36" t="inlineStr">
        <is>
          <t>연락처 중복: '이미 등록된 연락처입니다 (지점 내)'
이름 형식 오류: '이름은 2~20자 한글 또는 영문으로 입력하세요'
연락처 형식 오류: '010-XXXX-XXXX 형식으로 입력하세요'
파일 크기 초과: '이미지 파일은 5MB 이하만 업로드 가능합니다'
저장 실패: '회원 등록에 실패했습니다. 다시 시도하세요'
취소 시: '변경사항이 있습니다. 정말 나가시겠습니까?' 확인 다이얼로그</t>
        </is>
      </c>
      <c r="M8" s="36" t="inlineStr">
        <is>
          <t>React Hook Form + Zod 스키마 (2단계 폼)
useMutation – POST /api/v1/members
Kakao 주소 API 연동 (주소 검색 버튼)
이미지 업로드 – FileReader + presigned URL
연락처 입력 자동 하이픈 포맷팅
취소 확인 useBlocker() (React Router v6)</t>
        </is>
      </c>
      <c r="N8" s="36" t="n"/>
      <c r="O8" s="36" t="inlineStr">
        <is>
          <t>API-009</t>
        </is>
      </c>
      <c r="P8" s="36" t="inlineStr">
        <is>
          <t>개발완료</t>
        </is>
      </c>
      <c r="Q8" s="36" t="n"/>
      <c r="R8" s="36" t="inlineStr">
        <is>
          <t>회원 목록</t>
        </is>
      </c>
      <c r="S8" s="36" t="inlineStr">
        <is>
          <t>/api/v1/members</t>
        </is>
      </c>
      <c r="T8" s="36" t="n"/>
      <c r="U8" s="36" t="n">
        <v>8</v>
      </c>
    </row>
    <row r="9">
      <c r="A9" s="3" t="inlineStr">
        <is>
          <t>▼ SCR-011</t>
        </is>
      </c>
      <c r="B9" s="3" t="inlineStr">
        <is>
          <t>회원 상세 (2개 기능)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outlineLevel="1">
      <c r="A10" s="35" t="inlineStr">
        <is>
          <t>FN-005</t>
        </is>
      </c>
      <c r="B10" s="35" t="inlineStr">
        <is>
          <t>회원 정보 수정</t>
        </is>
      </c>
      <c r="C10" s="35" t="inlineStr">
        <is>
          <t>회원관리</t>
        </is>
      </c>
      <c r="D10" s="36" t="inlineStr">
        <is>
          <t>Web</t>
        </is>
      </c>
      <c r="E10" s="36" t="inlineStr">
        <is>
          <t>High</t>
        </is>
      </c>
      <c r="F10" s="36" t="inlineStr">
        <is>
          <t>기존 회원 정보 수정</t>
        </is>
      </c>
      <c r="G10" s="36" t="inlineStr">
        <is>
          <t>1) 기존 데이터 프리필
2) 변경 필드 강조
3) 변경 이력 자동 기록
4) 담당자 변경 가능</t>
        </is>
      </c>
      <c r="H10" s="36" t="inlineStr">
        <is>
          <t>SCR-011</t>
        </is>
      </c>
      <c r="I10" s="36" t="inlineStr">
        <is>
          <t>수정할 회원 정보</t>
        </is>
      </c>
      <c r="J10" s="36" t="inlineStr">
        <is>
          <t>수정된 회원 정보</t>
        </is>
      </c>
      <c r="K10" s="36" t="inlineStr">
        <is>
          <t>1) 수정 시 변경 전/후 값 audit log 자동 저장
2) 변경자 + 변경일시 자동 기록
3) 연락처 변경 시 재중복 체크 필수
4) 변경된 필드 강조 표시 (초록색 border)
5) 미납 건 있는 회원 삭제 불가
6) 유효 이용권 있는 회원 삭제 불가 (환불 선행 필요)
7) 소프트 삭제 (is_deleted 플래그), 삭제 후 30일 복구 가능</t>
        </is>
      </c>
      <c r="L10" s="36" t="inlineStr">
        <is>
          <t>수정 중 다른 관리자 수정 감지: '다른 사용자가 수정 중입니다'
미납 상태 삭제 시도: '미납 건이 있어 삭제할 수 없습니다'
유효 이용권 삭제 시도: '유효한 이용권이 있습니다. 환불 후 삭제 가능'
저장 실패: '회원 정보 수정에 실패했습니다'
연락처 중복: '이미 등록된 연락처입니다'</t>
        </is>
      </c>
      <c r="M10" s="36" t="inlineStr">
        <is>
          <t>React Hook Form + defaultValues 초기값 설정
useMutation – PATCH /api/v1/members/:id
dirtyFields로 변경 필드 감지 + 강조 표시
Optimistic update (TanStack Query)
삭제 확인 AlertDialog (shadcn/ui)
Kakao 주소 API 연동</t>
        </is>
      </c>
      <c r="N10" s="36" t="n"/>
      <c r="O10" s="36" t="inlineStr">
        <is>
          <t>API-010</t>
        </is>
      </c>
      <c r="P10" s="36" t="inlineStr">
        <is>
          <t>개발완료</t>
        </is>
      </c>
      <c r="Q10" s="36" t="n"/>
      <c r="R10" s="36" t="inlineStr">
        <is>
          <t>회원 상세</t>
        </is>
      </c>
      <c r="S10" s="36" t="inlineStr">
        <is>
          <t>/api/v1/members/:id</t>
        </is>
      </c>
      <c r="T10" s="36" t="n"/>
      <c r="U10" s="36" t="n">
        <v>6</v>
      </c>
    </row>
    <row r="11" outlineLevel="1">
      <c r="A11" s="35" t="inlineStr">
        <is>
          <t>FN-006</t>
        </is>
      </c>
      <c r="B11" s="35" t="inlineStr">
        <is>
          <t>회원 상세 조회</t>
        </is>
      </c>
      <c r="C11" s="35" t="inlineStr">
        <is>
          <t>회원관리</t>
        </is>
      </c>
      <c r="D11" s="36" t="inlineStr">
        <is>
          <t>Web</t>
        </is>
      </c>
      <c r="E11" s="36" t="inlineStr">
        <is>
          <t>High</t>
        </is>
      </c>
      <c r="F11" s="36" t="inlineStr">
        <is>
          <t>회원 프로필 + 탭별 상세 정보 조회</t>
        </is>
      </c>
      <c r="G11" s="36" t="inlineStr">
        <is>
          <t>1) 프로필: 기본 정보 + 사진
2) 이용권 탭: 보유 이용권 목록
3) 출석 탭: 히트맵 + 리스트
4) 결제 탭: 결제 이력
5) 체성분 탭: 측정 기록 + 차트
6) 메모 탭: 상담/메모</t>
        </is>
      </c>
      <c r="H11" s="36" t="inlineStr">
        <is>
          <t>SCR-011</t>
        </is>
      </c>
      <c r="I11" s="36" t="inlineStr">
        <is>
          <t>회원ID</t>
        </is>
      </c>
      <c r="J11" s="36" t="inlineStr">
        <is>
          <t>회원 전체 정보 (프로필+이용권+출석+결제+체성분+메모)</t>
        </is>
      </c>
      <c r="K11" s="36" t="inlineStr">
        <is>
          <t>1) 기본정보 탭: 페이지 진입 시 즉시 로드
2) 나머지 탭: 클릭 시 lazy 로드 (React.lazy + Suspense)
3) 탭 전환 시 이전 데이터 캐싱 유지
4) 탭 상태 URL 파라미터 유지 (?tab=attendance)
5) 출석 히트맵: 최근 6개월, 1회=연한색, 3회 이상=진한색
6) 이용권 유효 → 상단, 만료 → 하단 접힘, D-7 주황 경고
7) 회원 미존재 시 404 페이지 리다이렉트</t>
        </is>
      </c>
      <c r="L11" s="36" t="inlineStr">
        <is>
          <t>존재하지 않는 회원 ID: 404 페이지 이동
탭 데이터 로드 실패: 해당 탭 내 에러 메시지 + 재시도 버튼
네트워크 오류: 마지막 캐시 데이터 표시 + 경고 배너
권한 없는 탭 접근: 탭 비활성화 처리</t>
        </is>
      </c>
      <c r="M11" s="36" t="inlineStr">
        <is>
          <t>TanStack Query – GET /api/v1/members/:id
React.lazy() + Suspense 탭별 코드 스플리팅
useSearchParams()로 탭 URL 동기화
출석 히트맵 – react-calendar-heatmap
Skeleton 로딩 UI (탭 콘텐츠 영역)
date-fns – D-day, 날짜 포맷</t>
        </is>
      </c>
      <c r="N11" s="36" t="n"/>
      <c r="O11" s="36" t="inlineStr">
        <is>
          <t>API-008</t>
        </is>
      </c>
      <c r="P11" s="36" t="inlineStr">
        <is>
          <t>개발완료</t>
        </is>
      </c>
      <c r="Q11" s="36" t="n"/>
      <c r="R11" s="36" t="inlineStr">
        <is>
          <t>회원 상세</t>
        </is>
      </c>
      <c r="S11" s="36" t="inlineStr">
        <is>
          <t>/api/v1/members/:id</t>
        </is>
      </c>
      <c r="T11" s="36" t="inlineStr">
        <is>
          <t>Supabase 실데이터 전환 완료. 메모/목표 탭 구현 (2026-03-13)</t>
        </is>
      </c>
      <c r="U11" s="36" t="n">
        <v>6</v>
      </c>
    </row>
    <row r="12">
      <c r="A12" s="3" t="inlineStr">
        <is>
          <t>▼ SCR-014</t>
        </is>
      </c>
      <c r="B12" s="3" t="inlineStr">
        <is>
          <t>체성분 (1개 기능)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outlineLevel="1">
      <c r="A13" s="35" t="inlineStr">
        <is>
          <t>FN-007</t>
        </is>
      </c>
      <c r="B13" s="35" t="inlineStr">
        <is>
          <t>체성분 기록/분석</t>
        </is>
      </c>
      <c r="C13" s="35" t="inlineStr">
        <is>
          <t>회원관리</t>
        </is>
      </c>
      <c r="D13" s="36" t="inlineStr">
        <is>
          <t>Web</t>
        </is>
      </c>
      <c r="E13" s="36" t="inlineStr">
        <is>
          <t>High</t>
        </is>
      </c>
      <c r="F13" s="36" t="inlineStr">
        <is>
          <t>회원 체성분 측정 기록 입력 및 변화 추이 분석</t>
        </is>
      </c>
      <c r="G13" s="36" t="inlineStr">
        <is>
          <t>1) 체중/골격근/체지방률/BMI 등 입력
2) 측정일 기준 시계열 차트
3) 목표 대비 달성률 게이지</t>
        </is>
      </c>
      <c r="H13" s="36" t="inlineStr">
        <is>
          <t>SCR-014</t>
        </is>
      </c>
      <c r="I13" s="36" t="inlineStr">
        <is>
          <t>체중, 골격근, 체지방률, 측정일</t>
        </is>
      </c>
      <c r="J13" s="36" t="inlineStr">
        <is>
          <t>체성분 이력, 변화 차트</t>
        </is>
      </c>
      <c r="K13" s="36" t="inlineStr">
        <is>
          <t>1) 체중 유효 범위: 20~300kg, 골격근량: 5~80kg, 체지방률: 3~60%
2) BMI 자동 계산: 체중(kg) / 신장(m)²
3) 범위 초과 시: 경고 후 저장 허용 (강제 차단 아님)
4) 동일 날짜 기존 기록 존재 시 '덮어쓰기' 확인 모달
5) 미래 날짜 측정 불가
6) 목표 체중/체지방률 대비 달성률 게이지 표시
7) 달성 시 축하 메시지 표시</t>
        </is>
      </c>
      <c r="L13" s="36" t="inlineStr">
        <is>
          <t>범위 초과 입력: '입력값이 정상 범위를 벗어났습니다. 그래도 저장하시겠습니까?'
미래 날짜: '미래 날짜에는 측정 기록을 입력할 수 없습니다'
동일 날짜 중복: '해당 날짜에 이미 기록이 있습니다. 덮어쓰시겠습니까?'
저장 실패: '체성분 기록 저장에 실패했습니다'
신장 미입력: 'BMI 계산을 위해 회원 신장을 먼저 입력하세요'</t>
        </is>
      </c>
      <c r="M13" s="36" t="inlineStr">
        <is>
          <t>React Hook Form + Zod (범위 검증 + 경고)
useMutation – POST /api/v1/members/:id/body-composition
Recharts LineChart – 시계열 추이 차트
진행률 게이지 – shadcn/ui Progress
확인 모달 – AlertDialog (덮어쓰기)
date-fns – 날짜 비교/포맷</t>
        </is>
      </c>
      <c r="N13" s="36" t="n"/>
      <c r="O13" s="36" t="inlineStr">
        <is>
          <t>API-008</t>
        </is>
      </c>
      <c r="P13" s="36" t="inlineStr">
        <is>
          <t>개발완료</t>
        </is>
      </c>
      <c r="Q13" s="36" t="n"/>
      <c r="R13" s="36" t="inlineStr">
        <is>
          <t>체성분 분석</t>
        </is>
      </c>
      <c r="S13" s="36" t="inlineStr">
        <is>
          <t>/api/v1/members/:id</t>
        </is>
      </c>
      <c r="T13" s="36" t="n"/>
      <c r="U13" s="36" t="n">
        <v>2</v>
      </c>
    </row>
    <row r="14">
      <c r="A14" s="3" t="inlineStr">
        <is>
          <t>▼ SCR-020</t>
        </is>
      </c>
      <c r="B14" s="3" t="inlineStr">
        <is>
          <t>출석 (1개 기능)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outlineLevel="1">
      <c r="A15" s="35" t="inlineStr">
        <is>
          <t>FN-008</t>
        </is>
      </c>
      <c r="B15" s="35" t="inlineStr">
        <is>
          <t>출석 기록 조회</t>
        </is>
      </c>
      <c r="C15" s="35" t="inlineStr">
        <is>
          <t>출석관리</t>
        </is>
      </c>
      <c r="D15" s="36" t="inlineStr">
        <is>
          <t>Web</t>
        </is>
      </c>
      <c r="E15" s="36" t="inlineStr">
        <is>
          <t>High</t>
        </is>
      </c>
      <c r="F15" s="36" t="inlineStr">
        <is>
          <t>회원 출석 현황 조회 (일별/주별/월별)</t>
        </is>
      </c>
      <c r="G15" s="36" t="inlineStr">
        <is>
          <t>1) 날짜 필터 (일/주/월 뷰)
2) 출석 유형(일반/PT/GX) 필터
3) 타지점 출석 표시
4) 키오스크/앱 체크인 구분</t>
        </is>
      </c>
      <c r="H15" s="36" t="inlineStr">
        <is>
          <t>SCR-020</t>
        </is>
      </c>
      <c r="I15" s="36" t="inlineStr">
        <is>
          <t>날짜 범위, 필터 조건</t>
        </is>
      </c>
      <c r="J15" s="36" t="inlineStr">
        <is>
          <t>출석 목록, 통계</t>
        </is>
      </c>
      <c r="K15" s="36" t="inlineStr">
        <is>
          <t>1) 출석 유형: 일반(키오스크/앱), PT, GX, 수동(관리자)
2) 이용권 만료 회원: 출입 차단 (센터 설정에 따라 경고만 가능)
3) 미납 회원: 센터 설정에 따라 허용/경고/차단
4) 타지점 출석: 전지점 이용권 보유 시 허용, 원지점에 알림
5) 실시간 팝업: 5초 자동 종료, 거부 시 빨간색 팝업
6) 일별/주별/월별 뷰 제공
7) 수동 출석: 관리자 권한, 사유 필수 입력</t>
        </is>
      </c>
      <c r="L15" s="36" t="inlineStr">
        <is>
          <t>이용권 만료 회원 체크인: '이용권이 만료되었습니다. 관리자에게 문의하세요'
미납 회원 체크인: '미납이 있습니다. 결제 후 이용 가능합니다'
타지점 전용 이용권: '이 지점은 이용 불가한 이용권입니다'
데이터 로드 실패: '출석 기록을 불러오지 못했습니다'
날짜 범위 초과: '조회 가능한 최대 기간은 1년입니다'</t>
        </is>
      </c>
      <c r="M15" s="36" t="inlineStr">
        <is>
          <t>TanStack Query – GET /api/v1/attendance
WebSocket or SSE – 실시간 체크인 팝업
DataTable + 날짜 필터 (date-fns)
일별/주별/월별 뷰 탭 전환
유형별 색상 Badge (일반/PT/GX/수동)
수동 출석 등록 모달 (React Hook Form)</t>
        </is>
      </c>
      <c r="N15" s="36" t="n"/>
      <c r="O15" s="36" t="inlineStr">
        <is>
          <t>API-013</t>
        </is>
      </c>
      <c r="P15" s="36" t="inlineStr">
        <is>
          <t>개발완료</t>
        </is>
      </c>
      <c r="Q15" s="36" t="n"/>
      <c r="R15" s="36" t="inlineStr">
        <is>
          <t>출석 기록</t>
        </is>
      </c>
      <c r="S15" s="36" t="inlineStr">
        <is>
          <t>/api/v1/attendance</t>
        </is>
      </c>
      <c r="T15" s="36" t="inlineStr">
        <is>
          <t>주간/월간 통계 실 데이터 전환 완료 (2026-03-12). 날짜 필터 DataTable 연동 개선 (2026-03-13)</t>
        </is>
      </c>
      <c r="U15" s="36" t="n">
        <v>2</v>
      </c>
    </row>
    <row r="16">
      <c r="A16" s="3" t="inlineStr">
        <is>
          <t>▼ SCR-021</t>
        </is>
      </c>
      <c r="B16" s="3" t="inlineStr">
        <is>
          <t>일정 (1개 기능)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 outlineLevel="1">
      <c r="A17" s="35" t="inlineStr">
        <is>
          <t>FN-009</t>
        </is>
      </c>
      <c r="B17" s="35" t="inlineStr">
        <is>
          <t>일정 관리</t>
        </is>
      </c>
      <c r="C17" s="35" t="inlineStr">
        <is>
          <t>출석관리</t>
        </is>
      </c>
      <c r="D17" s="36" t="inlineStr">
        <is>
          <t>Web</t>
        </is>
      </c>
      <c r="E17" s="36" t="inlineStr">
        <is>
          <t>High</t>
        </is>
      </c>
      <c r="F17" s="36" t="inlineStr">
        <is>
          <t>PT/GX 일정 캘린더 관리</t>
        </is>
      </c>
      <c r="G17" s="36" t="inlineStr">
        <is>
          <t>1) 월/주/일 캘린더 뷰 전환
2) 드래그앤드롭 일정 이동
3) 트레이너별 색상 구분
4) 일정 충돌 감지</t>
        </is>
      </c>
      <c r="H17" s="36" t="inlineStr">
        <is>
          <t>SCR-021</t>
        </is>
      </c>
      <c r="I17" s="36" t="inlineStr">
        <is>
          <t>일정 제목, 시간, 트레이너, 회원, 룸</t>
        </is>
      </c>
      <c r="J17" s="36" t="inlineStr">
        <is>
          <t>캘린더 일정 목록</t>
        </is>
      </c>
      <c r="K17" s="36" t="inlineStr">
        <is>
          <t>1) 일정 충돌: 동일 시간대 + 동일 트레이너 or 동일 룸 → 경고
2) 1:1 PT: 트레이너당 동시 1건만 등록 가능
3) GX: 룸 수용인원 초과 불가
4) 과거 일정 수정/삭제 불가
5) 당일 일정: 시작 2시간 전까지 수정 가능
6) 반복 일정: 개별/전체 수정 선택
7) PT 예약 취소: 24시간 전 무료, 당일 취소 1회 차감, 노쇼 1회 차감 + 패널티
8) 페널티 3회 누적 → 관리자 알림</t>
        </is>
      </c>
      <c r="L17" s="36" t="inlineStr">
        <is>
          <t>일정 충돌: '해당 시간에 이미 일정이 있습니다 (트레이너/룸 충돌)'
수용인원 초과: '룸 수용 인원을 초과했습니다'
과거 일정 수정 시도: '과거 일정은 수정할 수 없습니다'
당일 2시간 내 수정: '수업 2시간 전부터 수정이 불가합니다'
반복 일정 수정: '이 일정만 수정' / '이후 모든 일정 수정' 선택 모달</t>
        </is>
      </c>
      <c r="M17" s="36" t="inlineStr">
        <is>
          <t>FullCalendar React (@fullcalendar/react + daygrid/timegrid/interaction 플러그인)
드래그앤드롭 일정 이동/리사이즈
주/월/일 뷰 전환
일정 추가/수정 모달
Supabase 연동 CRUD</t>
        </is>
      </c>
      <c r="N17" s="36" t="n"/>
      <c r="O17" s="36" t="n"/>
      <c r="P17" s="36" t="inlineStr">
        <is>
          <t>개발완료</t>
        </is>
      </c>
      <c r="Q17" s="36" t="n"/>
      <c r="R17" s="36" t="inlineStr">
        <is>
          <t>일정 관리</t>
        </is>
      </c>
      <c r="S17" s="36">
        <f>IFERROR(VLOOKUP(O17,API명세서!A:D,4,FALSE()),"")</f>
        <v/>
      </c>
      <c r="T17" s="36" t="inlineStr">
        <is>
          <t>FullCalendar 드래그앤드롭 리뉴얼 완료 (2026-03-13). 기존 커스텀 캘린더→FullCalendar 전환</t>
        </is>
      </c>
      <c r="U17" s="36" t="n">
        <v>2</v>
      </c>
    </row>
    <row r="18">
      <c r="A18" s="3" t="inlineStr">
        <is>
          <t>▼ SCR-030</t>
        </is>
      </c>
      <c r="B18" s="3" t="inlineStr">
        <is>
          <t>매출 (2개 기능)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 outlineLevel="1">
      <c r="A19" s="35" t="inlineStr">
        <is>
          <t>FN-010</t>
        </is>
      </c>
      <c r="B19" s="35" t="inlineStr">
        <is>
          <t>매출 조회/통계</t>
        </is>
      </c>
      <c r="C19" s="35" t="inlineStr">
        <is>
          <t>매출관리</t>
        </is>
      </c>
      <c r="D19" s="36" t="inlineStr">
        <is>
          <t>Web</t>
        </is>
      </c>
      <c r="E19" s="36" t="inlineStr">
        <is>
          <t>Critical</t>
        </is>
      </c>
      <c r="F19" s="36" t="inlineStr">
        <is>
          <t>매출 현황 조회 및 통계 요약</t>
        </is>
      </c>
      <c r="G19" s="36" t="inlineStr">
        <is>
          <t>1) 기간별 필터 (프리셋: 오늘/이번주/이번달/커스텀)
2) 유형별 필터 (이용권/PT/상품/기타)
3) 상태별 필터 (완료/환불/미납)
4) 통계 카드: 총매출/현금/카드/마일리지
5) 엑셀 다운로드</t>
        </is>
      </c>
      <c r="H19" s="36" t="inlineStr">
        <is>
          <t>SCR-030</t>
        </is>
      </c>
      <c r="I19" s="36" t="inlineStr">
        <is>
          <t>기간, 유형, 상태, 페이지</t>
        </is>
      </c>
      <c r="J19" s="36" t="inlineStr">
        <is>
          <t>매출 목록, 통계 요약</t>
        </is>
      </c>
      <c r="K19" s="36" t="inlineStr">
        <is>
          <t>1) 총매출 = 현금 + 카드 + 마일리지 - 환불
2) 순매출 = 총매출 - 부가세 (10%)
3) 일/주/월/연 단위 집계, 지점별 독립 집계
4) 환불 정책: 7일 이내 전액, 7일 초과~이용 전 위약금 10%, 이용 후 잔여일 일할 계산
5) 미납 7일 경과 시 SMS 자동 발송 (설정 시)
6) 미납 30일 경과 시 장기미납 분류
7) 기간 프리셋: 오늘/이번주/이번달/커스텀</t>
        </is>
      </c>
      <c r="L19" s="36" t="inlineStr">
        <is>
          <t>날짜 범위 오류: '시작일이 종료일보다 클 수 없습니다'
데이터 없음: 해당 기간 매출 없음 Empty State
엑셀 다운로드 실패: '파일 생성에 실패했습니다'
권한 없음: 매출 데이터 접근 불가 (FC 이하)
네트워크 오류: 마지막 조회 데이터 캐시 유지</t>
        </is>
      </c>
      <c r="M19" s="36" t="inlineStr">
        <is>
          <t>TanStack Query – GET /api/v1/sales
Recharts – BarChart, PieChart (매출 분포)
date-fns – 기간 프리셋, 날짜 포맷
xlsx 라이브러리 – 엑셀 다운로드
금액 포맷 – Intl.NumberFormat (천단위 콤마)
DataTable (23개 컬럼, 가로 스크롤)</t>
        </is>
      </c>
      <c r="N19" s="36" t="n"/>
      <c r="O19" s="36" t="inlineStr">
        <is>
          <t>API-015</t>
        </is>
      </c>
      <c r="P19" s="36" t="inlineStr">
        <is>
          <t>개발완료</t>
        </is>
      </c>
      <c r="Q19" s="36" t="n"/>
      <c r="R19" s="36" t="inlineStr">
        <is>
          <t>매출 조회</t>
        </is>
      </c>
      <c r="S19" s="36" t="inlineStr">
        <is>
          <t>/api/v1/sales</t>
        </is>
      </c>
      <c r="T19" s="36" t="inlineStr">
        <is>
          <t>매출 통계 Supabase 실데이터 연동 완료. 엑셀 다운로드 구현 (2026-03-13)</t>
        </is>
      </c>
      <c r="U19" s="36" t="n">
        <v>7</v>
      </c>
    </row>
    <row r="20" outlineLevel="1">
      <c r="A20" s="35" t="inlineStr">
        <is>
          <t>FN-011</t>
        </is>
      </c>
      <c r="B20" s="35" t="inlineStr">
        <is>
          <t>POS 상품 선택/결제</t>
        </is>
      </c>
      <c r="C20" s="35" t="inlineStr">
        <is>
          <t>매출관리</t>
        </is>
      </c>
      <c r="D20" s="36" t="inlineStr">
        <is>
          <t>Web</t>
        </is>
      </c>
      <c r="E20" s="36" t="inlineStr">
        <is>
          <t>Critical</t>
        </is>
      </c>
      <c r="F20" s="36" t="inlineStr">
        <is>
          <t>POS 상품 선택 및 장바구니 관리</t>
        </is>
      </c>
      <c r="G20" s="36" t="inlineStr">
        <is>
          <t>1) 카테고리별 상품 그리드
2) 상품 클릭 → 장바구니 추가
3) 수량 조절/삭제
4) 합계 자동 계산</t>
        </is>
      </c>
      <c r="H20" s="36" t="inlineStr">
        <is>
          <t>SCR-030</t>
        </is>
      </c>
      <c r="I20" s="36" t="inlineStr">
        <is>
          <t>상품 선택, 수량</t>
        </is>
      </c>
      <c r="J20" s="36" t="inlineStr">
        <is>
          <t>장바구니 목록, 합계</t>
        </is>
      </c>
      <c r="K20" s="36" t="inlineStr">
        <is>
          <t>1) 상품 그리드: 카테고리 탭 + 검색으로 필터
2) 재고 0인 상품 자동 비활성화 표시
3) 재고 5개 이하 경고 표시 (노란 뱃지)
4) 비회원 결제 시 마일리지 적립/사용 불가
5) 장바구니 수량 변경 시 즉시 소계 재계산
6) 부가세 10% 자동 계산 (포함/별도 상품별 설정)
7) 회원 검색: 이름/전화번호 검색</t>
        </is>
      </c>
      <c r="L20" s="36" t="inlineStr">
        <is>
          <t>재고 없는 상품 추가: '재고가 없는 상품입니다'
장바구니 비어있음: '상품을 선택해주세요'
회원 검색 결과 없음: '검색된 회원이 없습니다'
수량 0 이하 입력: '수량은 1 이상이어야 합니다'
상품 판매 중지: '현재 판매 중지된 상품입니다'</t>
        </is>
      </c>
      <c r="M20" s="36" t="inlineStr">
        <is>
          <t>Zustand cartStore (장바구니 상태 관리)
TanStack Query – GET /api/v1/products (카테고리별)
실시간 소계/합계 계산 (useMemo)
회원 검색 Combobox (debounce 300ms)
상품 이미지 lazy loading
Badge 컴포넌트 – 재고 상태 표시</t>
        </is>
      </c>
      <c r="N20" s="36" t="n"/>
      <c r="O20" s="36" t="inlineStr">
        <is>
          <t>API-018</t>
        </is>
      </c>
      <c r="P20" s="36" t="inlineStr">
        <is>
          <t>개발완료</t>
        </is>
      </c>
      <c r="Q20" s="36" t="n"/>
      <c r="R20" s="36" t="inlineStr">
        <is>
          <t>매출 조회</t>
        </is>
      </c>
      <c r="S20" s="36" t="inlineStr">
        <is>
          <t>/api/v1/products</t>
        </is>
      </c>
      <c r="T20" s="36" t="n"/>
      <c r="U20" s="36" t="n">
        <v>7</v>
      </c>
    </row>
    <row r="21">
      <c r="A21" s="3" t="inlineStr">
        <is>
          <t>▼ SCR-032</t>
        </is>
      </c>
      <c r="B21" s="3" t="inlineStr">
        <is>
          <t>POS 결제 (1개 기능)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 outlineLevel="1">
      <c r="A22" s="35" t="inlineStr">
        <is>
          <t>FN-012</t>
        </is>
      </c>
      <c r="B22" s="35" t="inlineStr">
        <is>
          <t>POS 결제 처리</t>
        </is>
      </c>
      <c r="C22" s="35" t="inlineStr">
        <is>
          <t>매출관리</t>
        </is>
      </c>
      <c r="D22" s="36" t="inlineStr">
        <is>
          <t>Web</t>
        </is>
      </c>
      <c r="E22" s="36" t="inlineStr">
        <is>
          <t>Critical</t>
        </is>
      </c>
      <c r="F22" s="36" t="inlineStr">
        <is>
          <t>결제 수단 선택 및 결제 실행</t>
        </is>
      </c>
      <c r="G22" s="36" t="inlineStr">
        <is>
          <t>1) 현금/카드/마일리지/복합결제
2) 회원 검색 → 마일리지 잔액 표시
3) 결제 확인 모달
4) 영수증 출력 옵션</t>
        </is>
      </c>
      <c r="H22" s="36" t="inlineStr">
        <is>
          <t>SCR-032</t>
        </is>
      </c>
      <c r="I22" s="36" t="inlineStr">
        <is>
          <t>결제수단, 금액, 회원ID</t>
        </is>
      </c>
      <c r="J22" s="36" t="inlineStr">
        <is>
          <t>결제 결과, 영수증</t>
        </is>
      </c>
      <c r="K22" s="36" t="inlineStr">
        <is>
          <t>1) 혼합결제: 각 수단 합계 = 총 결제금액 일치 필수
2) 마일리지: 잔액 초과 사용 불가, 최소 1,000원
3) 마일리지 최대 사용: 결제금액의 50% (센터 설정)
4) 현금 결제: 거스름돈 자동 계산
5) 당일 취소: 즉시 환불, 익일 이후: 환불 프로세스
6) 결제 완료 시 재고 자동 차감
7) 마일리지 자동 적립 (설정된 적립률 기준)
8) 영수증 자동 생성 + 프린트/문자 발송</t>
        </is>
      </c>
      <c r="L22" s="36" t="inlineStr">
        <is>
          <t>혼합결제 금액 불일치: '결제 수단 합계가 총 결제금액과 다릅니다'
마일리지 잔액 초과: '사용 가능한 마일리지가 부족합니다 (잔액: N원)'
결제 실패: '결제 처리에 실패했습니다. 다시 시도하세요'
카드 단말기 오류: '카드 단말기 연결을 확인하세요'
재고 부족: '결제 처리 중 재고가 부족해졌습니다'</t>
        </is>
      </c>
      <c r="M22" s="36" t="inlineStr">
        <is>
          <t>useMutation – POST /api/v1/sales/payment
결제 수단별 금액 입력 폼 (React Hook Form)
거스름돈 실시간 계산 (useMemo)
마일리지 잔액 조회 – GET /api/v1/members/:id/mileage
영수증 컴포넌트 – react-to-print
결제 성공 애니메이션 (Framer Motion)</t>
        </is>
      </c>
      <c r="N22" s="36" t="n"/>
      <c r="O22" s="36" t="inlineStr">
        <is>
          <t>API-016</t>
        </is>
      </c>
      <c r="P22" s="36" t="inlineStr">
        <is>
          <t>개발완료</t>
        </is>
      </c>
      <c r="Q22" s="36" t="n"/>
      <c r="R22" s="36" t="inlineStr">
        <is>
          <t>POS 결제</t>
        </is>
      </c>
      <c r="S22" s="36" t="inlineStr">
        <is>
          <t>/api/v1/sales</t>
        </is>
      </c>
      <c r="T22" s="36" t="n"/>
      <c r="U22" s="36" t="n">
        <v>4</v>
      </c>
    </row>
    <row r="23">
      <c r="A23" s="3" t="inlineStr">
        <is>
          <t>▼ SCR-040</t>
        </is>
      </c>
      <c r="B23" s="3" t="inlineStr">
        <is>
          <t>상품 (2개 기능)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 outlineLevel="1">
      <c r="A24" s="35" t="inlineStr">
        <is>
          <t>FN-013</t>
        </is>
      </c>
      <c r="B24" s="35" t="inlineStr">
        <is>
          <t>상품 목록 조회</t>
        </is>
      </c>
      <c r="C24" s="35" t="inlineStr">
        <is>
          <t>상품관리</t>
        </is>
      </c>
      <c r="D24" s="36" t="inlineStr">
        <is>
          <t>Web</t>
        </is>
      </c>
      <c r="E24" s="36" t="inlineStr">
        <is>
          <t>High</t>
        </is>
      </c>
      <c r="F24" s="36" t="inlineStr">
        <is>
          <t>이용권/PT/GX/기타 상품 목록 조회</t>
        </is>
      </c>
      <c r="G24" s="36" t="inlineStr">
        <is>
          <t>1) 카테고리 필터
2) 상태(판매중/중지) 필터
3) 키오스크 노출 토글</t>
        </is>
      </c>
      <c r="H24" s="36" t="inlineStr">
        <is>
          <t>SCR-040</t>
        </is>
      </c>
      <c r="I24" s="36" t="inlineStr">
        <is>
          <t>카테고리, 상태</t>
        </is>
      </c>
      <c r="J24" s="36" t="inlineStr">
        <is>
          <t>상품 목록</t>
        </is>
      </c>
      <c r="K24" s="36" t="inlineStr">
        <is>
          <t>1) 상품 카테고리: 시설이용권/수강권(PT)/수강권(GX)/대여/기타
2) 가격: 0원(무료) ~ 99,999,999원
3) 현금가 ≤ 카드가 권장 (강제 아님)
4) 판매 중지 상품: POS/키오스크 모두 비활성화
5) 키오스크 노출 ON/OFF 별도 관리
6) 상태별 탭: 전체/판매중/판매중지/재고소진
7) 검색: 상품명 부분일치</t>
        </is>
      </c>
      <c r="L24" s="36" t="inlineStr">
        <is>
          <t>검색 결과 없음: '검색된 상품이 없습니다' Empty State
데이터 로드 실패: '상품 목록을 불러오지 못했습니다'
권한 없음: 상품 등록/수정/삭제 버튼 비활성화 (FC 이하)
삭제 시도 (결제 이력 있음): '결제 이력이 있어 삭제할 수 없습니다'</t>
        </is>
      </c>
      <c r="M24" s="36" t="inlineStr">
        <is>
          <t>TanStack Query – GET /api/v1/products
DataTable (정렬, 페이지네이션)
카테고리 탭 필터 (URL 쿼리 파라미터 동기화)
xlsx 라이브러리 – 상품 목록 다운로드
상품 상태 Badge 색상 구분
Skeleton 로딩 UI</t>
        </is>
      </c>
      <c r="N24" s="36" t="n"/>
      <c r="O24" s="36" t="inlineStr">
        <is>
          <t>API-018</t>
        </is>
      </c>
      <c r="P24" s="36" t="inlineStr">
        <is>
          <t>개발완료</t>
        </is>
      </c>
      <c r="Q24" s="36" t="n"/>
      <c r="R24" s="36" t="inlineStr">
        <is>
          <t>상품 목록</t>
        </is>
      </c>
      <c r="S24" s="36" t="inlineStr">
        <is>
          <t>/api/v1/products</t>
        </is>
      </c>
      <c r="T24" s="36" t="n"/>
      <c r="U24" s="36" t="n">
        <v>3</v>
      </c>
    </row>
    <row r="25" outlineLevel="1">
      <c r="A25" s="35" t="inlineStr">
        <is>
          <t>FN-014</t>
        </is>
      </c>
      <c r="B25" s="35" t="inlineStr">
        <is>
          <t>상품 등록/수정</t>
        </is>
      </c>
      <c r="C25" s="35" t="inlineStr">
        <is>
          <t>상품관리</t>
        </is>
      </c>
      <c r="D25" s="36" t="inlineStr">
        <is>
          <t>Web</t>
        </is>
      </c>
      <c r="E25" s="36" t="inlineStr">
        <is>
          <t>High</t>
        </is>
      </c>
      <c r="F25" s="36" t="inlineStr">
        <is>
          <t>신규 상품 등록 및 기존 상품 수정</t>
        </is>
      </c>
      <c r="G25" s="36" t="inlineStr">
        <is>
          <t>1) 카테고리/이름/현금가/카드가/기간 입력
2) 키오스크 노출 설정
3) 상품명 중복 체크</t>
        </is>
      </c>
      <c r="H25" s="36" t="inlineStr">
        <is>
          <t>SCR-040</t>
        </is>
      </c>
      <c r="I25" s="36" t="inlineStr">
        <is>
          <t>카테고리, 이름, 가격, 기간</t>
        </is>
      </c>
      <c r="J25" s="36" t="inlineStr">
        <is>
          <t>등록/수정된 상품 정보</t>
        </is>
      </c>
      <c r="K25" s="36" t="inlineStr">
        <is>
          <t>1) 상품명: 동일 카테고리 내 중복 불가
2) 가격: 0 이상 정수, 음수 불가
3) 홀딩 설정: 최대 N일, 최대 N회 (상품별 개별 설정)
4) 홀딩 시 잔여일 정지 (소진 아님)
5) 만료 후 재활성화 불가 (재구매 필요)
6) 이용 시간 설정: 요일별/시간대별 이용 가능 설정
7) 부가세 포함/별도 선택
8) 이미지: JPG/PNG, 5MB 이하</t>
        </is>
      </c>
      <c r="L25" s="36" t="inlineStr">
        <is>
          <t>상품명 중복: '동일 카테고리에 같은 이름의 상품이 있습니다'
가격 음수/문자 입력: '가격은 0 이상의 숫자만 입력 가능합니다'
이미지 형식 오류: 'JPG 또는 PNG 파일만 업로드 가능합니다'
이미지 크기 초과: '이미지 파일은 5MB 이하만 가능합니다'
저장 실패: '상품 저장에 실패했습니다'
취소 시: '변경사항이 있습니다. 나가시겠습니까?'</t>
        </is>
      </c>
      <c r="M25" s="36" t="inlineStr">
        <is>
          <t>React Hook Form + Zod (상품 유형별 동적 스키마)
useMutation – POST/PATCH /api/v1/products
이미지 업로드 – FileReader + presigned URL
이용 시간 설정 – 요일별 체크박스 + 시간 범위 선택
상품 유형 선택 시 폼 필드 동적 변경
Tabs 컴포넌트 (기본/기간/추가설정)</t>
        </is>
      </c>
      <c r="N25" s="36" t="n"/>
      <c r="O25" s="36" t="inlineStr">
        <is>
          <t>API-019</t>
        </is>
      </c>
      <c r="P25" s="36" t="inlineStr">
        <is>
          <t>개발완료</t>
        </is>
      </c>
      <c r="Q25" s="36" t="n"/>
      <c r="R25" s="36" t="inlineStr">
        <is>
          <t>상품 목록</t>
        </is>
      </c>
      <c r="S25" s="36" t="inlineStr">
        <is>
          <t>/api/v1/products</t>
        </is>
      </c>
      <c r="T25" s="36" t="n"/>
      <c r="U25" s="36" t="n">
        <v>3</v>
      </c>
    </row>
    <row r="26">
      <c r="A26" s="3" t="inlineStr">
        <is>
          <t>▼ SCR-050</t>
        </is>
      </c>
      <c r="B26" s="3" t="inlineStr">
        <is>
          <t>락커 (2개 기능)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 outlineLevel="1">
      <c r="A27" s="35" t="inlineStr">
        <is>
          <t>FN-015</t>
        </is>
      </c>
      <c r="B27" s="35" t="inlineStr">
        <is>
          <t>락커 현황 조회</t>
        </is>
      </c>
      <c r="C27" s="35" t="inlineStr">
        <is>
          <t>시설관리</t>
        </is>
      </c>
      <c r="D27" s="36" t="inlineStr">
        <is>
          <t>Web</t>
        </is>
      </c>
      <c r="E27" s="36" t="inlineStr">
        <is>
          <t>High</t>
        </is>
      </c>
      <c r="F27" s="36" t="inlineStr">
        <is>
          <t>구역별 락커 배정 현황 조회 (색상 그리드)</t>
        </is>
      </c>
      <c r="G27" s="36" t="inlineStr">
        <is>
          <t>1) 구역별 탭
2) 색상 상태 (사용중/빈/만료임박/고장)
3) 클릭 시 상세 모달</t>
        </is>
      </c>
      <c r="H27" s="36" t="inlineStr">
        <is>
          <t>SCR-050</t>
        </is>
      </c>
      <c r="I27" s="36" t="inlineStr">
        <is>
          <t>구역</t>
        </is>
      </c>
      <c r="J27" s="36" t="inlineStr">
        <is>
          <t>락커 그리드 데이터</t>
        </is>
      </c>
      <c r="K27" s="36" t="inlineStr">
        <is>
          <t>1) 락커 상태: 사용중/빈/만료임박/고장 4가지
2) D-3 이내: 만료임박 (노란색), D-0: 만료 (빨간색)
3) D+3 초과: 자동 해제 여부 센터 설정에 따름
4) 고장 상태 락커: 배정 불가
5) 구역별 필터링, 그리드/리스트 뷰 전환
6) 통계: 전체/사용중/빈/만료임박/고장 카운트</t>
        </is>
      </c>
      <c r="L27" s="36" t="inlineStr">
        <is>
          <t>데이터 로드 실패: '락커 현황을 불러오지 못했습니다'
구역 없음: '등록된 구역이 없습니다. 구역을 먼저 설정하세요'
권한 없음: 배정/반납 버튼 비활성화</t>
        </is>
      </c>
      <c r="M27" s="36" t="inlineStr">
        <is>
          <t>TanStack Query – GET /api/v1/lockers
그리드/리스트 뷰 전환 토글
상태별 색상 코딩 (CSS variables)
구역별 필터 Select 컴포넌트
Skeleton 로딩 (그리드 레이아웃)
date-fns – D-day 계산</t>
        </is>
      </c>
      <c r="N27" s="36" t="n"/>
      <c r="O27" s="36" t="inlineStr">
        <is>
          <t>API-020</t>
        </is>
      </c>
      <c r="P27" s="36" t="inlineStr">
        <is>
          <t>개발완료</t>
        </is>
      </c>
      <c r="Q27" s="36" t="n"/>
      <c r="R27" s="36" t="inlineStr">
        <is>
          <t>락커 현황</t>
        </is>
      </c>
      <c r="S27" s="36" t="inlineStr">
        <is>
          <t>/api/v1/lockers</t>
        </is>
      </c>
      <c r="T27" s="36" t="n"/>
      <c r="U27" s="36" t="n">
        <v>4</v>
      </c>
    </row>
    <row r="28" outlineLevel="1">
      <c r="A28" s="35" t="inlineStr">
        <is>
          <t>FN-016</t>
        </is>
      </c>
      <c r="B28" s="35" t="inlineStr">
        <is>
          <t>락커 배정/관리</t>
        </is>
      </c>
      <c r="C28" s="35" t="inlineStr">
        <is>
          <t>시설관리</t>
        </is>
      </c>
      <c r="D28" s="36" t="inlineStr">
        <is>
          <t>Web</t>
        </is>
      </c>
      <c r="E28" s="36" t="inlineStr">
        <is>
          <t>High</t>
        </is>
      </c>
      <c r="F28" s="36" t="inlineStr">
        <is>
          <t>락커 배정/해제/일괄 관리</t>
        </is>
      </c>
      <c r="G28" s="36" t="inlineStr">
        <is>
          <t>1) 회원 검색 → 빈 락커 선택 → 배정
2) 만료일 설정
3) 일괄 해제 (만료 락커)
4) 고장 등록</t>
        </is>
      </c>
      <c r="H28" s="36" t="inlineStr">
        <is>
          <t>SCR-050</t>
        </is>
      </c>
      <c r="I28" s="36" t="inlineStr">
        <is>
          <t>회원ID, 락커번호, 만료일</t>
        </is>
      </c>
      <c r="J28" s="36" t="inlineStr">
        <is>
          <t>배정 결과</t>
        </is>
      </c>
      <c r="K28" s="36" t="inlineStr">
        <is>
          <t>1) 1회원 1락커 (동일 유형 내)
2) 배정 시 만료일 필수 (상품 기간 연동 or 수동 입력)
3) 이미 배정된 락커 재배정 불가
4) 배정 취소: 배정일 당일만 가능
5) 일괄 해제: 만료+N일 초과 건 일괄 처리
6) 고장 등록 시 해당 락커 배정 불가
7) 수리 완료 → 사용가능으로 복원</t>
        </is>
      </c>
      <c r="L28" s="36" t="inlineStr">
        <is>
          <t>이미 배정된 락커: '이미 사용 중인 락커입니다'
만료일 미입력: '만료일을 입력해주세요'
1인 1락커 초과: '해당 회원에게 이미 배정된 락커가 있습니다'
당일 이후 취소 시도: '배정일 당일만 취소 가능합니다'
API 오류: '락커 배정 처리에 실패했습니다'</t>
        </is>
      </c>
      <c r="M28" s="36" t="inlineStr">
        <is>
          <t>useMutation – PATCH /api/v1/lockers/:id
회원 검색 Combobox (배정 시)
DatePicker – 만료일 선택 (react-day-picker)
일괄 해제 – 체크박스 다중선택 + Confirm 모달
고장 등록/해제 AlertDialog
반납 처리 Confirm 다이얼로그</t>
        </is>
      </c>
      <c r="N28" s="36" t="n"/>
      <c r="O28" s="36" t="inlineStr">
        <is>
          <t>API-021</t>
        </is>
      </c>
      <c r="P28" s="36" t="inlineStr">
        <is>
          <t>개발완료</t>
        </is>
      </c>
      <c r="Q28" s="36" t="n"/>
      <c r="R28" s="36" t="inlineStr">
        <is>
          <t>락커 현황</t>
        </is>
      </c>
      <c r="S28" s="36" t="inlineStr">
        <is>
          <t>/api/v1/lockers/:id</t>
        </is>
      </c>
      <c r="T28" s="36" t="n"/>
      <c r="U28" s="36" t="n">
        <v>4</v>
      </c>
    </row>
    <row r="29">
      <c r="A29" s="3" t="inlineStr">
        <is>
          <t>▼ SCR-052</t>
        </is>
      </c>
      <c r="B29" s="3" t="inlineStr">
        <is>
          <t>RFID (1개 기능)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 outlineLevel="1">
      <c r="A30" s="35" t="inlineStr">
        <is>
          <t>FN-017</t>
        </is>
      </c>
      <c r="B30" s="35" t="inlineStr">
        <is>
          <t>RFID 관리</t>
        </is>
      </c>
      <c r="C30" s="35" t="inlineStr">
        <is>
          <t>시설관리</t>
        </is>
      </c>
      <c r="D30" s="36" t="inlineStr">
        <is>
          <t>Web</t>
        </is>
      </c>
      <c r="E30" s="36" t="inlineStr">
        <is>
          <t>Medium</t>
        </is>
      </c>
      <c r="F30" s="36" t="inlineStr">
        <is>
          <t>RFID 카드 등록/해제/이력 조회</t>
        </is>
      </c>
      <c r="G30" s="36" t="inlineStr">
        <is>
          <t>1) 카드 번호 스캔/수동 입력
2) 회원-카드 매핑
3) 분실 처리
4) 이력 조회</t>
        </is>
      </c>
      <c r="H30" s="36" t="inlineStr">
        <is>
          <t>SCR-052</t>
        </is>
      </c>
      <c r="I30" s="36" t="inlineStr">
        <is>
          <t>카드 번호, 회원ID</t>
        </is>
      </c>
      <c r="J30" s="36" t="inlineStr">
        <is>
          <t>매핑 결과, 이력</t>
        </is>
      </c>
      <c r="K30" s="36" t="inlineStr">
        <is>
          <t>1) 1회원 1카드 원칙 (활성 카드 기준)
2) 카드 번호: 10자리 영숫자 형식
3) 분실 신고 → 기존 카드 비활성화 → 신규 발급
4) 카드 반납 시 초기화 후 재사용 가능
5) RFID 태그 → 회원 조회 → 이용권 유효 확인 → 출입 허용/거부
6) 미등록 카드: '등록되지 않은 카드' 즉시 표시
7) 만료 회원: 센터 설정에 따라 허용/차단</t>
        </is>
      </c>
      <c r="L30" s="36" t="inlineStr">
        <is>
          <t>1인 1카드 초과: '해당 회원에게 이미 활성 카드가 등록되어 있습니다'
카드 번호 형식 오류: '카드 번호는 10자리 영숫자로 입력하세요'
중복 카드 번호: '이미 등록된 카드 번호입니다'
미등록 카드 태그: '등록되지 않은 카드입니다'
삭제 시 확인: '삭제하려면 카드 번호를 입력하세요' (확인 텍스트 입력)</t>
        </is>
      </c>
      <c r="M30" s="36" t="inlineStr">
        <is>
          <t>TanStack Query – GET/POST/PATCH/DELETE /api/v1/rfid
RFID 시뮬레이션 – WebSocket 이벤트
삭제 확인 – 텍스트 입력 방식 (Confirmation Input)
사용 이력 모달 – 페이지네이션 테이블
카드 번호 자동 대문자 변환
상태 Badge (활성/분실/반납/비활성)</t>
        </is>
      </c>
      <c r="N30" s="36" t="n"/>
      <c r="O30" s="36" t="n"/>
      <c r="P30" s="36" t="inlineStr">
        <is>
          <t>개발완료</t>
        </is>
      </c>
      <c r="Q30" s="36" t="n"/>
      <c r="R30" s="36" t="inlineStr">
        <is>
          <t>RFID 관리</t>
        </is>
      </c>
      <c r="S30" s="36">
        <f>IFERROR(VLOOKUP(O30,API명세서!A:D,4,FALSE()),"")</f>
        <v/>
      </c>
      <c r="T30" s="36" t="n"/>
      <c r="U30" s="36" t="n">
        <v>3</v>
      </c>
    </row>
    <row r="31">
      <c r="A31" s="3" t="inlineStr">
        <is>
          <t>▼ SCR-053</t>
        </is>
      </c>
      <c r="B31" s="3" t="inlineStr">
        <is>
          <t>룸 (1개 기능)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 outlineLevel="1">
      <c r="A32" s="35" t="inlineStr">
        <is>
          <t>FN-018</t>
        </is>
      </c>
      <c r="B32" s="35" t="inlineStr">
        <is>
          <t>룸 관리</t>
        </is>
      </c>
      <c r="C32" s="35" t="inlineStr">
        <is>
          <t>시설관리</t>
        </is>
      </c>
      <c r="D32" s="36" t="inlineStr">
        <is>
          <t>Web</t>
        </is>
      </c>
      <c r="E32" s="36" t="inlineStr">
        <is>
          <t>Medium</t>
        </is>
      </c>
      <c r="F32" s="36" t="inlineStr">
        <is>
          <t>GX룸/PT룸 등록/수정/삭제</t>
        </is>
      </c>
      <c r="G32" s="36" t="inlineStr">
        <is>
          <t>1) 룸 CRUD
2) 수용 인원 설정
3) 예약 가능 시간대 설정</t>
        </is>
      </c>
      <c r="H32" s="36" t="inlineStr">
        <is>
          <t>SCR-053</t>
        </is>
      </c>
      <c r="I32" s="36" t="inlineStr">
        <is>
          <t>룸명, 유형, 수용인원, 시간대</t>
        </is>
      </c>
      <c r="J32" s="36" t="inlineStr">
        <is>
          <t>룸 정보</t>
        </is>
      </c>
      <c r="K32" s="36" t="inlineStr">
        <is>
          <t>1) 룸명: 고유값, 2~20자
2) 수용 인원: 1~100명
3) 유형: PT룸/GX룸/다목적
4) 예약 가능 시간: 요일별 개별 설정
5) 미래 예약 존재 시 삭제 불가
6) 삭제 시 관련 일정에서 룸 정보 자동 제거
7) 비활성화: 신규 예약 차단 (기존 예약 유지)</t>
        </is>
      </c>
      <c r="L32" s="36" t="inlineStr">
        <is>
          <t>룸명 중복: '이미 사용 중인 룸 이름입니다'
수용 인원 범위 오류: '수용 인원은 1~100명으로 입력하세요'
예약 있는 룸 삭제 시도: '미래 예약이 있어 삭제할 수 없습니다'
저장 실패: '룸 정보 저장에 실패했습니다'</t>
        </is>
      </c>
      <c r="M32" s="36" t="inlineStr">
        <is>
          <t>TanStack Query – GET/POST/PATCH/DELETE /api/v1/rooms
React Hook Form + Zod 룸 폼 검증
요일별 시간 설정 UI (요일 체크박스 + 시간 범위)
배치도 탭 – 드래그 배치 (react-dnd)
삭제 확인 AlertDialog
상태 토글 Switch 컴포넌트</t>
        </is>
      </c>
      <c r="N32" s="36" t="n"/>
      <c r="O32" s="36" t="n"/>
      <c r="P32" s="36" t="inlineStr">
        <is>
          <t>개발완료</t>
        </is>
      </c>
      <c r="Q32" s="36" t="n"/>
      <c r="R32" s="36" t="inlineStr">
        <is>
          <t>룸 관리</t>
        </is>
      </c>
      <c r="S32" s="36">
        <f>IFERROR(VLOOKUP(O32,API명세서!A:D,4,FALSE()),"")</f>
        <v/>
      </c>
      <c r="T32" s="36" t="n"/>
      <c r="U32" s="36" t="n">
        <v>2</v>
      </c>
    </row>
    <row r="33">
      <c r="A33" s="3" t="inlineStr">
        <is>
          <t>▼ SCR-060</t>
        </is>
      </c>
      <c r="B33" s="3" t="inlineStr">
        <is>
          <t>직원 (2개 기능)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 outlineLevel="1">
      <c r="A34" s="35" t="inlineStr">
        <is>
          <t>FN-019</t>
        </is>
      </c>
      <c r="B34" s="35" t="inlineStr">
        <is>
          <t>직원 목록 조회</t>
        </is>
      </c>
      <c r="C34" s="35" t="inlineStr">
        <is>
          <t>직원관리</t>
        </is>
      </c>
      <c r="D34" s="36" t="inlineStr">
        <is>
          <t>Web</t>
        </is>
      </c>
      <c r="E34" s="36" t="inlineStr">
        <is>
          <t>High</t>
        </is>
      </c>
      <c r="F34" s="36" t="inlineStr">
        <is>
          <t>직원 검색/필터/목록 조회</t>
        </is>
      </c>
      <c r="G34" s="36" t="inlineStr">
        <is>
          <t>1) 이름/연락처 검색
2) 역할/상태 필터
3) 테이블 정렬</t>
        </is>
      </c>
      <c r="H34" s="36" t="inlineStr">
        <is>
          <t>SCR-060</t>
        </is>
      </c>
      <c r="I34" s="36" t="inlineStr">
        <is>
          <t>검색어, 필터</t>
        </is>
      </c>
      <c r="J34" s="36" t="inlineStr">
        <is>
          <t>직원 목록</t>
        </is>
      </c>
      <c r="K34" s="36" t="inlineStr">
        <is>
          <t>1) 역할 체계: 최고관리자/센터장/매니저/FC/스태프/조회전용
2) 역할별 기본 권한 자동 배정
3) 고용 유형: 정규직(월급)/계약직(월급+계약기간)/시간제(시급)
4) 퇴사 처리 시 관리자 계정 자동 비활성화
5) 담당 회원 재배정 알림 자동 발송
6) 검색: 이름 부분일치, debounce 300ms
7) 권한별 조회 범위 (FC: 본인 담당만)</t>
        </is>
      </c>
      <c r="L34" s="36" t="inlineStr">
        <is>
          <t>검색 결과 없음: '검색된 직원이 없습니다' Empty State
권한 없음: 직원 등록/수정/삭제 버튼 비활성화
퇴사 처리 확인: '퇴사 처리하면 계정이 비활성화됩니다. 진행하시겠습니까?'
데이터 로드 실패: '직원 목록을 불러오지 못했습니다'</t>
        </is>
      </c>
      <c r="M34" s="36" t="inlineStr">
        <is>
          <t>TanStack Query – GET /api/v1/staff
DataTable (정렬, 필터, 다중선택)
퇴사 처리 AlertDialog + useMutation
useDebounce() (300ms) 검색
역할별 색상 Badge
근태/급여 탭 컴포넌트 분리</t>
        </is>
      </c>
      <c r="N34" s="36" t="n"/>
      <c r="O34" s="36" t="inlineStr">
        <is>
          <t>API-022</t>
        </is>
      </c>
      <c r="P34" s="36" t="inlineStr">
        <is>
          <t>개발완료</t>
        </is>
      </c>
      <c r="Q34" s="36" t="n"/>
      <c r="R34" s="36" t="inlineStr">
        <is>
          <t>직원 목록</t>
        </is>
      </c>
      <c r="S34" s="36" t="inlineStr">
        <is>
          <t>/api/v1/staff</t>
        </is>
      </c>
      <c r="T34" s="36" t="inlineStr">
        <is>
          <t>페이지네이션 동작 수정 완료. 퇴사 처리 ConfirmDialog 구현 (2026-03-13)</t>
        </is>
      </c>
      <c r="U34" s="36" t="n">
        <v>5</v>
      </c>
    </row>
    <row r="35" outlineLevel="1">
      <c r="A35" s="35" t="inlineStr">
        <is>
          <t>FN-020</t>
        </is>
      </c>
      <c r="B35" s="35" t="inlineStr">
        <is>
          <t>직원 등록/수정</t>
        </is>
      </c>
      <c r="C35" s="35" t="inlineStr">
        <is>
          <t>직원관리</t>
        </is>
      </c>
      <c r="D35" s="36" t="inlineStr">
        <is>
          <t>Web</t>
        </is>
      </c>
      <c r="E35" s="36" t="inlineStr">
        <is>
          <t>High</t>
        </is>
      </c>
      <c r="F35" s="36" t="inlineStr">
        <is>
          <t>신규 직원 등록 및 기존 직원 수정</t>
        </is>
      </c>
      <c r="G35" s="36" t="inlineStr">
        <is>
          <t>1) 이름/역할/연락처/입사일 입력
2) 관리자 계정 자동 생성
3) 근무 유형 설정</t>
        </is>
      </c>
      <c r="H35" s="36" t="inlineStr">
        <is>
          <t>SCR-060</t>
        </is>
      </c>
      <c r="I35" s="36" t="inlineStr">
        <is>
          <t>이름, 역할, 연락처, 입사일</t>
        </is>
      </c>
      <c r="J35" s="36" t="inlineStr">
        <is>
          <t>등록된 직원 정보</t>
        </is>
      </c>
      <c r="K35" s="36" t="inlineStr">
        <is>
          <t>1) 이메일 기반 관리자 계정 자동 생성 (등록 시)
2) 역할 선택 시 기본 권한 자동 배정
3) 연락처: 동일 지점 내 중복 불가
4) 계약직: 계약 종료일 필수 입력
5) 수정 시 변경 이력 자동 기록
6) 프로필 사진: JPG/PNG, 5MB 이하
7) 퇴사 후 데이터: 6개월 보관 후 삭제 or 영구 보관 (설정)</t>
        </is>
      </c>
      <c r="L35" s="36" t="inlineStr">
        <is>
          <t>이메일 중복: '이미 사용 중인 이메일입니다'
연락처 중복: '이미 등록된 연락처입니다'
계약 종료일 미입력 (계약직): '계약직은 계약 종료일이 필수입니다'
저장 실패: '직원 정보 저장에 실패했습니다'
취소 시: '변경사항이 있습니다. 나가시겠습니까?'</t>
        </is>
      </c>
      <c r="M35" s="36" t="inlineStr">
        <is>
          <t>React Hook Form + Zod (고용유형별 동적 스키마)
useMutation – POST/PATCH /api/v1/staff
이미지 업로드 – presigned URL
역할 선택 시 권한 미리보기 표시
4섹션 Accordion 폼 (인적사항/근무/급여/계정)
useBlocker() – 미저장 이탈 방지</t>
        </is>
      </c>
      <c r="N35" s="36" t="n"/>
      <c r="O35" s="36" t="inlineStr">
        <is>
          <t>API-023</t>
        </is>
      </c>
      <c r="P35" s="36" t="inlineStr">
        <is>
          <t>개발완료</t>
        </is>
      </c>
      <c r="Q35" s="36" t="n"/>
      <c r="R35" s="36" t="inlineStr">
        <is>
          <t>직원 목록</t>
        </is>
      </c>
      <c r="S35" s="36" t="inlineStr">
        <is>
          <t>/api/v1/staff</t>
        </is>
      </c>
      <c r="T35" s="36" t="n"/>
      <c r="U35" s="36" t="n">
        <v>5</v>
      </c>
    </row>
    <row r="36">
      <c r="A36" s="3" t="inlineStr">
        <is>
          <t>▼ SCR-062</t>
        </is>
      </c>
      <c r="B36" s="3" t="inlineStr">
        <is>
          <t>급여 (2개 기능)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 outlineLevel="1">
      <c r="A37" s="35" t="inlineStr">
        <is>
          <t>FN-021</t>
        </is>
      </c>
      <c r="B37" s="35" t="inlineStr">
        <is>
          <t>급여 관리</t>
        </is>
      </c>
      <c r="C37" s="35" t="inlineStr">
        <is>
          <t>직원관리</t>
        </is>
      </c>
      <c r="D37" s="36" t="inlineStr">
        <is>
          <t>Web</t>
        </is>
      </c>
      <c r="E37" s="36" t="inlineStr">
        <is>
          <t>High</t>
        </is>
      </c>
      <c r="F37" s="36" t="inlineStr">
        <is>
          <t>월별 급여 현황 조회 및 관리</t>
        </is>
      </c>
      <c r="G37" s="36" t="inlineStr">
        <is>
          <t>1) 월별 급여 테이블
2) 기본급/인센티브/공제 내역
3) 지급 상태 관리
4) 합계/평균 요약</t>
        </is>
      </c>
      <c r="H37" s="36" t="inlineStr">
        <is>
          <t>SCR-062</t>
        </is>
      </c>
      <c r="I37" s="36" t="inlineStr">
        <is>
          <t>연월</t>
        </is>
      </c>
      <c r="J37" s="36" t="inlineStr">
        <is>
          <t>급여 목록, 합계</t>
        </is>
      </c>
      <c r="K37" s="36" t="inlineStr">
        <is>
          <t>1) 실지급액 = 기본급 + 인센티브 + 수당 - 4대보험 - 소득세
2) 인센티브: PT 건당 커미션 (예: 30%, 센터 설정)
3) 급여 상태 흐름: 미정산 → 임시저장 → 확정대기 → 확정완료
4) 확정완료 상태: 수정 불가 (최고관리자 해제 가능)
5) 마감: 매월 25일 (센터 설정 가능)
6) 이의제기: 직원 제출 → 관리자 재검토
7) 권한: 센터장 이상만 전체 조회, FC는 본인만</t>
        </is>
      </c>
      <c r="L37" s="36" t="inlineStr">
        <is>
          <t>확정완료 후 수정 시도: '확정된 급여는 수정할 수 없습니다 (관리자 해제 필요)'
계산 오류: '급여 계산 중 오류가 발생했습니다'
마감 후 수정: '마감 처리된 급여입니다'
권한 없음: 타인 급여 조회 불가
데이터 없음: '해당 월의 급여 데이터가 없습니다'</t>
        </is>
      </c>
      <c r="M37" s="36" t="inlineStr">
        <is>
          <t>TanStack Query – GET /api/v1/payroll
월 선택 DatePicker (year/month)
급여 계산 로직 (useMemo)
상태 흐름 표시 – Step Indicator
확정 처리 AlertDialog
DataTable (97명, 가상화 – react-virtual)</t>
        </is>
      </c>
      <c r="N37" s="36" t="n"/>
      <c r="O37" s="36" t="n"/>
      <c r="P37" s="36" t="inlineStr">
        <is>
          <t>개발완료</t>
        </is>
      </c>
      <c r="Q37" s="36" t="n"/>
      <c r="R37" s="36" t="inlineStr">
        <is>
          <t>급여 현황</t>
        </is>
      </c>
      <c r="S37" s="36">
        <f>IFERROR(VLOOKUP(O37,API명세서!A:D,4,FALSE()),"")</f>
        <v/>
      </c>
      <c r="T37" s="36" t="inlineStr">
        <is>
          <t>페이지네이션 동작 수정 완료. 필터/검색 시 페이지 리셋 (2026-03-13)</t>
        </is>
      </c>
      <c r="U37" s="36" t="n">
        <v>3</v>
      </c>
    </row>
    <row r="38" outlineLevel="1">
      <c r="A38" s="35" t="inlineStr">
        <is>
          <t>FN-022</t>
        </is>
      </c>
      <c r="B38" s="35" t="inlineStr">
        <is>
          <t>급여명세서 조회</t>
        </is>
      </c>
      <c r="C38" s="35" t="inlineStr">
        <is>
          <t>직원관리</t>
        </is>
      </c>
      <c r="D38" s="36" t="inlineStr">
        <is>
          <t>Web</t>
        </is>
      </c>
      <c r="E38" s="36" t="inlineStr">
        <is>
          <t>Medium</t>
        </is>
      </c>
      <c r="F38" s="36" t="inlineStr">
        <is>
          <t>직원별 급여명세서 상세 조회 및 PDF 다운로드</t>
        </is>
      </c>
      <c r="G38" s="36" t="inlineStr">
        <is>
          <t>1) 직원/월 선택
2) 상세 항목별 표시
3) PDF 다운로드</t>
        </is>
      </c>
      <c r="H38" s="36" t="inlineStr">
        <is>
          <t>SCR-062</t>
        </is>
      </c>
      <c r="I38" s="36" t="inlineStr">
        <is>
          <t>직원ID, 연월</t>
        </is>
      </c>
      <c r="J38" s="36" t="inlineStr">
        <is>
          <t>급여명세서 상세</t>
        </is>
      </c>
      <c r="K38" s="36" t="inlineStr">
        <is>
          <t>1) 명세서 조회 권한: 본인 or 센터장 이상
2) 확정완료 후 자동 생성
3) PDF 다운로드 지원
4) 이메일 자동 발송 (설정 시)
5) 이의제기 기능 제공
6) 조회 이력 로깅</t>
        </is>
      </c>
      <c r="L38" s="36" t="inlineStr">
        <is>
          <t>본인 외 명세서 접근: '조회 권한이 없습니다'
미확정 명세서: '아직 확정되지 않은 급여입니다'
PDF 생성 실패: '명세서 PDF 생성에 실패했습니다'
이메일 발송 실패: '이메일 발송에 실패했습니다. 직접 다운로드 해주세요'</t>
        </is>
      </c>
      <c r="M38" s="36" t="inlineStr">
        <is>
          <t>TanStack Query – GET /api/v1/payroll/statement
html2pdf.js – PDF 다운로드
명세서 상세 모달 (Dialog)
이의제기 Textarea 폼
이메일 발송 – POST /api/v1/payroll/statement/send
인쇄 – react-to-print</t>
        </is>
      </c>
      <c r="N38" s="36" t="n"/>
      <c r="O38" s="36" t="n"/>
      <c r="P38" s="36" t="inlineStr">
        <is>
          <t>개발완료</t>
        </is>
      </c>
      <c r="Q38" s="36" t="n"/>
      <c r="R38" s="36" t="inlineStr">
        <is>
          <t>급여 현황</t>
        </is>
      </c>
      <c r="S38" s="36">
        <f>IFERROR(VLOOKUP(O38,API명세서!A:D,4,FALSE()),"")</f>
        <v/>
      </c>
      <c r="T38" s="36" t="n"/>
      <c r="U38" s="36" t="n">
        <v>3</v>
      </c>
    </row>
    <row r="39">
      <c r="A39" s="3" t="inlineStr">
        <is>
          <t>▼ SCR-070</t>
        </is>
      </c>
      <c r="B39" s="3" t="inlineStr">
        <is>
          <t>메시지 (2개 기능)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 outlineLevel="1">
      <c r="A40" s="35" t="inlineStr">
        <is>
          <t>FN-023</t>
        </is>
      </c>
      <c r="B40" s="35" t="inlineStr">
        <is>
          <t>메시지 발송</t>
        </is>
      </c>
      <c r="C40" s="35" t="inlineStr">
        <is>
          <t>메시지/마케팅</t>
        </is>
      </c>
      <c r="D40" s="36" t="inlineStr">
        <is>
          <t>Web</t>
        </is>
      </c>
      <c r="E40" s="36" t="inlineStr">
        <is>
          <t>High</t>
        </is>
      </c>
      <c r="F40" s="36" t="inlineStr">
        <is>
          <t>SMS/카카오톡 메시지 발송</t>
        </is>
      </c>
      <c r="G40" s="36" t="inlineStr">
        <is>
          <t>1) 수신자 선택 (개별/그룹/전체)
2) 메시지 유형(SMS/LMS/카카오)
3) 변수 삽입 (#{이름})
4) 발송 이력 조회</t>
        </is>
      </c>
      <c r="H40" s="36" t="inlineStr">
        <is>
          <t>SCR-070</t>
        </is>
      </c>
      <c r="I40" s="36" t="inlineStr">
        <is>
          <t>수신자, 유형, 본문</t>
        </is>
      </c>
      <c r="J40" s="36" t="inlineStr">
        <is>
          <t>발송 결과</t>
        </is>
      </c>
      <c r="K40" s="36" t="inlineStr">
        <is>
          <t>1) SMS: 최대 90자 (초과 시 LMS 자동 전환)
2) LMS: 최대 2,000자
3) 카카오 알림톡: 최대 1,000자
4) 예약 발송: 최소 5분 후 ~ 최대 30일 후
5) 발송 전 비용 사전 표시 (SMS 70원, LMS 30원, 카카오 8원)
6) 치환 변수 지원: {이름}, {만료일}, {잔여일} 등
7) 중복 발송 방지: 동일 수신자 + 동일 내용 5분 내 차단</t>
        </is>
      </c>
      <c r="L40" s="36" t="inlineStr">
        <is>
          <t>수신자 없음: '수신자를 선택해주세요'
내용 없음: '메시지 내용을 입력해주세요'
잔액 부족: '발송 잔액이 부족합니다. 충전 후 이용하세요'
예약 시간 오류: '예약 시간은 5분 후부터 설정 가능합니다'
발송 실패: '메시지 발송에 실패했습니다 (N건 실패)'</t>
        </is>
      </c>
      <c r="M40" s="36" t="inlineStr">
        <is>
          <t>React Hook Form – 발송 폼
useMutation – POST /api/v1/messages/send
회원 선택 Combobox (다중선택, 검색)
글자 수 카운터 + 자동 LMS 전환 표시
치환 변수 삽입 버튼
DateTimePicker – 예약 발송
sonner 토스트 – 발송 결과</t>
        </is>
      </c>
      <c r="N40" s="36" t="n"/>
      <c r="O40" s="36" t="n"/>
      <c r="P40" s="36" t="inlineStr">
        <is>
          <t>개발완료</t>
        </is>
      </c>
      <c r="Q40" s="36" t="n"/>
      <c r="R40" s="36" t="inlineStr">
        <is>
          <t>메시지 발송</t>
        </is>
      </c>
      <c r="S40" s="36">
        <f>IFERROR(VLOOKUP(O40,API명세서!A:D,4,FALSE()),"")</f>
        <v/>
      </c>
      <c r="T40" s="36" t="n"/>
      <c r="U40" s="36" t="n">
        <v>5</v>
      </c>
    </row>
    <row r="41" outlineLevel="1">
      <c r="A41" s="35" t="inlineStr">
        <is>
          <t>FN-024</t>
        </is>
      </c>
      <c r="B41" s="35" t="inlineStr">
        <is>
          <t>자동 알림 설정</t>
        </is>
      </c>
      <c r="C41" s="35" t="inlineStr">
        <is>
          <t>메시지/마케팅</t>
        </is>
      </c>
      <c r="D41" s="36" t="inlineStr">
        <is>
          <t>Web</t>
        </is>
      </c>
      <c r="E41" s="36" t="inlineStr">
        <is>
          <t>Medium</t>
        </is>
      </c>
      <c r="F41" s="36" t="inlineStr">
        <is>
          <t>자동 알림 규칙 설정</t>
        </is>
      </c>
      <c r="G41" s="36" t="inlineStr">
        <is>
          <t>1) 만료 D-7/D-3/D-1 알림
2) 생일 축하 알림
3) 장기 미출석(30일) 알림
4) 규칙별 ON/OFF</t>
        </is>
      </c>
      <c r="H41" s="36" t="inlineStr">
        <is>
          <t>SCR-070</t>
        </is>
      </c>
      <c r="I41" s="36" t="inlineStr">
        <is>
          <t>규칙 설정</t>
        </is>
      </c>
      <c r="J41" s="36" t="inlineStr">
        <is>
          <t>알림 발송</t>
        </is>
      </c>
      <c r="K41" s="36" t="inlineStr">
        <is>
          <t>1) 13종 트리거 정의 (만료 D-7/D-3/D-1/당일, 생일, 장기미출석 30일 등)
2) 매일 오전 9시 스케줄러 실행
3) 중복 방지: 동일 회원 + 동일 규칙 → 1일 1회만 발송
4) 템플릿별 치환 변수 관리
5) 채널별 개별 ON/OFF 설정 (SMS/카카오)
6) 테스트 발송 기능 (본인 번호로)</t>
        </is>
      </c>
      <c r="L41" s="36" t="inlineStr">
        <is>
          <t>템플릿 내 잘못된 변수: '유효하지 않은 치환 변수입니다: {변수명}'
발송 채널 미선택: '최소 1개의 발송 채널을 선택하세요'
테스트 발송 실패: '테스트 발송에 실패했습니다'
저장 실패: '알림 설정 저장에 실패했습니다'</t>
        </is>
      </c>
      <c r="M41" s="36" t="inlineStr">
        <is>
          <t>Toggle Switch 컴포넌트 (13종 ON/OFF)
템플릿 편집 모달 (Textarea + 변수 삽입)
useMutation – PATCH /api/v1/auto-alarms
미리보기 렌더링 (치환 변수 치환 표시)
테스트 발송 버튼 + 로딩 상태
TanStack Query – GET /api/v1/auto-alarms</t>
        </is>
      </c>
      <c r="N41" s="36" t="n"/>
      <c r="O41" s="36" t="n"/>
      <c r="P41" s="36" t="inlineStr">
        <is>
          <t>개발완료</t>
        </is>
      </c>
      <c r="Q41" s="36" t="n"/>
      <c r="R41" s="36" t="inlineStr">
        <is>
          <t>메시지 발송</t>
        </is>
      </c>
      <c r="S41" s="36">
        <f>IFERROR(VLOOKUP(O41,API명세서!A:D,4,FALSE()),"")</f>
        <v/>
      </c>
      <c r="T41" s="36" t="n"/>
      <c r="U41" s="36" t="n">
        <v>5</v>
      </c>
    </row>
    <row r="42">
      <c r="A42" s="3" t="inlineStr">
        <is>
          <t>▼ SCR-072</t>
        </is>
      </c>
      <c r="B42" s="3" t="inlineStr">
        <is>
          <t>쿠폰/마일리지 (2개 기능)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 outlineLevel="1">
      <c r="A43" s="35" t="inlineStr">
        <is>
          <t>FN-025</t>
        </is>
      </c>
      <c r="B43" s="35" t="inlineStr">
        <is>
          <t>쿠폰 관리</t>
        </is>
      </c>
      <c r="C43" s="35" t="inlineStr">
        <is>
          <t>메시지/마케팅</t>
        </is>
      </c>
      <c r="D43" s="36" t="inlineStr">
        <is>
          <t>Web</t>
        </is>
      </c>
      <c r="E43" s="36" t="inlineStr">
        <is>
          <t>Medium</t>
        </is>
      </c>
      <c r="F43" s="36" t="inlineStr">
        <is>
          <t>쿠폰 생성/발급/이력 관리</t>
        </is>
      </c>
      <c r="G43" s="36" t="inlineStr">
        <is>
          <t>1) 할인율/금액 쿠폰 생성
2) 유효기간 설정
3) 사용 한도 설정
4) 발급 대상 선택
5) 사용 이력 추적</t>
        </is>
      </c>
      <c r="H43" s="36" t="inlineStr">
        <is>
          <t>SCR-072</t>
        </is>
      </c>
      <c r="I43" s="36" t="inlineStr">
        <is>
          <t>쿠폰 정보</t>
        </is>
      </c>
      <c r="J43" s="36" t="inlineStr">
        <is>
          <t>쿠폰 목록, 이력</t>
        </is>
      </c>
      <c r="K43" s="36" t="inlineStr">
        <is>
          <t>1) 쿠폰 유형: 정률(%)/정액(원)/무료 이용권
2) 유효기간: 특정 기간 or 발급일+N일
3) 사용 한도: 전체 N회 or 회원당 1회
4) 최소 주문 금액 설정 가능
5) 만료 쿠폰 자동 비활성화 (매일 자정)
6) 발급 건수 1개 이상인 쿠폰 삭제 불가
7) 쿠폰 코드: 8자리 영숫자 자동 생성</t>
        </is>
      </c>
      <c r="L43" s="36" t="inlineStr">
        <is>
          <t>발급 건수 있는 쿠폰 삭제: '발급된 쿠폰이 있어 삭제할 수 없습니다'
중복 쿠폰명: '이미 사용 중인 쿠폰 이름입니다'
할인율 범위 오류: '할인율은 1~100% 범위로 입력하세요'
최소 금액 이하 사용 시도: '최소 주문 금액(N원) 이상에서 사용 가능합니다'
만료 쿠폰 사용: '만료된 쿠폰입니다'
한도 초과: '쿠폰 사용 한도를 초과했습니다'</t>
        </is>
      </c>
      <c r="M43" s="36" t="inlineStr">
        <is>
          <t>React Hook Form + Zod (유형별 동적 폼)
useMutation – POST/PATCH/DELETE /api/v1/coupons
쿠폰 코드 자동 생성 버튼 (nanoid)
발급 모달 – 대상 회원 다중선택
DataTable – 쿠폰 목록/발급 이력
만료일 자동 계산 (발급일+N일)</t>
        </is>
      </c>
      <c r="N43" s="36" t="n"/>
      <c r="O43" s="36" t="n"/>
      <c r="P43" s="36" t="inlineStr">
        <is>
          <t>개발완료</t>
        </is>
      </c>
      <c r="Q43" s="36" t="n"/>
      <c r="R43" s="36" t="inlineStr">
        <is>
          <t>쿠폰 관리</t>
        </is>
      </c>
      <c r="S43" s="36">
        <f>IFERROR(VLOOKUP(O43,API명세서!A:D,4,FALSE()),"")</f>
        <v/>
      </c>
      <c r="T43" s="36" t="n"/>
      <c r="U43" s="36" t="n">
        <v>2</v>
      </c>
    </row>
    <row r="44" outlineLevel="1">
      <c r="A44" s="35" t="inlineStr">
        <is>
          <t>FN-026</t>
        </is>
      </c>
      <c r="B44" s="35" t="inlineStr">
        <is>
          <t>마일리지 관리</t>
        </is>
      </c>
      <c r="C44" s="35" t="inlineStr">
        <is>
          <t>메시지/마케팅</t>
        </is>
      </c>
      <c r="D44" s="36" t="inlineStr">
        <is>
          <t>Web</t>
        </is>
      </c>
      <c r="E44" s="36" t="inlineStr">
        <is>
          <t>Medium</t>
        </is>
      </c>
      <c r="F44" s="36" t="inlineStr">
        <is>
          <t>회원 마일리지 적립/사용 관리</t>
        </is>
      </c>
      <c r="G44" s="36" t="inlineStr">
        <is>
          <t>1) 마일리지 적립 (결제 시 자동/수동)
2) 마일리지 차감
3) 잔액 조회
4) 이력 조회</t>
        </is>
      </c>
      <c r="H44" s="36" t="inlineStr">
        <is>
          <t>SCR-072</t>
        </is>
      </c>
      <c r="I44" s="36" t="inlineStr">
        <is>
          <t>회원ID, 금액, 유형</t>
        </is>
      </c>
      <c r="J44" s="36" t="inlineStr">
        <is>
          <t>마일리지 잔액, 이력</t>
        </is>
      </c>
      <c r="K44" s="36" t="inlineStr">
        <is>
          <t>1) 기본 적립률: 결제금액의 N% (센터 설정)
2) 유효기간: N개월 기본 12개월
3) 최소 사용: 1,000원 이상
4) 최대 사용: 결제금액의 50% (센터 설정)
5) 현금 전환 불가
6) 만료 마일리지 자동 소멸 (매일 자정)
7) 수동 처리: 적립/차감 사유 필수 입력</t>
        </is>
      </c>
      <c r="L44" s="36" t="inlineStr">
        <is>
          <t>잔액 부족: '사용 가능한 마일리지가 부족합니다 (잔액: N원)'
최소 사용 미달: '마일리지는 최소 1,000원 이상 사용 가능합니다'
최대 사용 초과: '결제금액의 50%까지만 마일리지 사용 가능합니다'
만료 마일리지: '만료된 마일리지는 사용할 수 없습니다'
수동 처리 사유 미입력: '사유를 입력해주세요'</t>
        </is>
      </c>
      <c r="M44" s="36" t="inlineStr">
        <is>
          <t>TanStack Query – GET /api/v1/mileage
수동 처리 모달 (React Hook Form)
적립/차감 이력 DataTable
정책 설정 폼 – useMutation PATCH /api/v1/mileage/policy
만료 예정 마일리지 경고 표시
Intl.NumberFormat – 마일리지 금액 포맷</t>
        </is>
      </c>
      <c r="N44" s="36" t="n"/>
      <c r="O44" s="36" t="n"/>
      <c r="P44" s="36" t="inlineStr">
        <is>
          <t>개발완료</t>
        </is>
      </c>
      <c r="Q44" s="36" t="n"/>
      <c r="R44" s="36" t="inlineStr">
        <is>
          <t>쿠폰 관리</t>
        </is>
      </c>
      <c r="S44" s="36">
        <f>IFERROR(VLOOKUP(O44,API명세서!A:D,4,FALSE()),"")</f>
        <v/>
      </c>
      <c r="T44" s="36" t="inlineStr">
        <is>
          <t>마일리지 이력 탭 엑셀 다운로드 구현 완료 (2026-03-13). stub toast 제거</t>
        </is>
      </c>
      <c r="U44" s="36" t="n">
        <v>2</v>
      </c>
    </row>
    <row r="45">
      <c r="A45" s="3" t="inlineStr">
        <is>
          <t>▼ SCR-080</t>
        </is>
      </c>
      <c r="B45" s="3" t="inlineStr">
        <is>
          <t>계약/구독 (2개 기능)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 outlineLevel="1">
      <c r="A46" s="35" t="inlineStr">
        <is>
          <t>FN-027</t>
        </is>
      </c>
      <c r="B46" s="35" t="inlineStr">
        <is>
          <t>계약 등록</t>
        </is>
      </c>
      <c r="C46" s="35" t="inlineStr">
        <is>
          <t>계약/구독</t>
        </is>
      </c>
      <c r="D46" s="36" t="inlineStr">
        <is>
          <t>Web</t>
        </is>
      </c>
      <c r="E46" s="36" t="inlineStr">
        <is>
          <t>Critical</t>
        </is>
      </c>
      <c r="F46" s="36" t="inlineStr">
        <is>
          <t>단계별 계약 등록 위자드</t>
        </is>
      </c>
      <c r="G46" s="36" t="inlineStr">
        <is>
          <t>1) 회원 선택 → 상품 선택 → 기간/금액 설정 → 결제 → 확인
2) 할인 적용
3) 계약서 자동 생성
4) 결제 처리</t>
        </is>
      </c>
      <c r="H46" s="36" t="inlineStr">
        <is>
          <t>SCR-080</t>
        </is>
      </c>
      <c r="I46" s="36" t="inlineStr">
        <is>
          <t>회원ID, 상품ID, 기간, 금액, 결제수단</t>
        </is>
      </c>
      <c r="J46" s="36" t="inlineStr">
        <is>
          <t>계약 정보, 영수증</t>
        </is>
      </c>
      <c r="K46" s="36" t="inlineStr">
        <is>
          <t>1) 계약 5단계: 회원선택 → 상품선택 → 기간/금액설정 → 결제 → 전자서명
2) 할인 최대 50%, 할인 사유 필수 입력
3) 할인 유형: 재등록/신규/이벤트/관리자 재량
4) 계약 완료 시 이용권 자동 생성
5) 매출 자동 등록
6) 마일리지 자동 적립 (설정 시)
7) 환영 메시지 자동 발송 (설정 시)
8) 계약서 PDF 자동 생성 및 저장</t>
        </is>
      </c>
      <c r="L46" s="36" t="inlineStr">
        <is>
          <t>회원 미선택: '회원을 먼저 선택해주세요'
상품 미선택: '상품을 1개 이상 선택해주세요'
할인 50% 초과: '할인율은 최대 50%까지 가능합니다'
할인 사유 미입력: '할인 사유를 입력해주세요'
서명 미완료: '전자서명을 완료해주세요'
결제 실패: '결제 처리에 실패했습니다'</t>
        </is>
      </c>
      <c r="M46" s="36" t="inlineStr">
        <is>
          <t>5단계 Stepper 컴포넌트
useMutation – POST /api/v1/contracts
회원 검색 Combobox
Canvas 전자서명 (센터측+고객측 양방향)
서명 데이터 Base64 저장</t>
        </is>
      </c>
      <c r="N46" s="36" t="n"/>
      <c r="O46" s="36" t="inlineStr">
        <is>
          <t>API-016</t>
        </is>
      </c>
      <c r="P46" s="36" t="inlineStr">
        <is>
          <t>개발완료</t>
        </is>
      </c>
      <c r="Q46" s="36" t="n"/>
      <c r="R46" s="36" t="inlineStr">
        <is>
          <t>계약 마법사</t>
        </is>
      </c>
      <c r="S46" s="36" t="inlineStr">
        <is>
          <t>/api/v1/sales</t>
        </is>
      </c>
      <c r="T46" s="36" t="inlineStr">
        <is>
          <t>전자서명 (양방향: 센터/고객) Canvas 구현 완료 (2026-03-13)</t>
        </is>
      </c>
      <c r="U46" s="36" t="n">
        <v>6</v>
      </c>
    </row>
    <row r="47" outlineLevel="1">
      <c r="A47" s="35" t="inlineStr">
        <is>
          <t>FN-028</t>
        </is>
      </c>
      <c r="B47" s="35" t="inlineStr">
        <is>
          <t>구독 관리</t>
        </is>
      </c>
      <c r="C47" s="35" t="inlineStr">
        <is>
          <t>계약/구독</t>
        </is>
      </c>
      <c r="D47" s="36" t="inlineStr">
        <is>
          <t>Web</t>
        </is>
      </c>
      <c r="E47" s="36" t="inlineStr">
        <is>
          <t>Medium</t>
        </is>
      </c>
      <c r="F47" s="36" t="inlineStr">
        <is>
          <t>정기 구독 상품 관리</t>
        </is>
      </c>
      <c r="G47" s="36" t="inlineStr">
        <is>
          <t>1) 구독 상품 CRUD
2) 자동 결제 설정
3) 구독 현황 대시보드
4) 해지 처리</t>
        </is>
      </c>
      <c r="H47" s="36" t="inlineStr">
        <is>
          <t>SCR-080</t>
        </is>
      </c>
      <c r="I47" s="36" t="inlineStr">
        <is>
          <t>구독 상품 정보</t>
        </is>
      </c>
      <c r="J47" s="36" t="inlineStr">
        <is>
          <t>구독 목록, 결제 이력</t>
        </is>
      </c>
      <c r="K47" s="36" t="inlineStr">
        <is>
          <t>1) 플랜: Starter(회원 200명, 지점 1개)/Pro(1,000명, 3개)/Enterprise(무제한)
2) 연간 결제 시 20% 할인
3) 다운그레이드: 현재 사용량이 하위 플랜 제한 이하일 때만 가능
4) 구독 취소: 현재 기간 만료까지 사용 가능
5) 사용량 초과 시 업그레이드 안내
6) 결제 수단 등록 필수 (카드)</t>
        </is>
      </c>
      <c r="L47" s="36" t="inlineStr">
        <is>
          <t>다운그레이드 불가: '현재 회원 수(N명)가 하위 플랜 제한을 초과합니다'
결제 실패: '결제 처리에 실패했습니다. 카드 정보를 확인하세요'
구독 취소 확인: '취소 시 현재 기간(~날짜) 만료 후 서비스가 종료됩니다'
사용량 초과: '현재 플랜의 회원 수 한도에 도달했습니다. 업그레이드가 필요합니다'</t>
        </is>
      </c>
      <c r="M47" s="36" t="inlineStr">
        <is>
          <t>플랜 비교 카드 UI (Starter/Pro/Enterprise)
사용량 Progress Bar (회원수, 지점수)
결제 수단 관리 – Stripe 또는 토스페이먼츠
플랜 변경 AlertDialog
인보이스 목록 DataTable
인보이스 PDF 다운로드</t>
        </is>
      </c>
      <c r="N47" s="36" t="n"/>
      <c r="O47" s="36" t="n"/>
      <c r="P47" s="36" t="inlineStr">
        <is>
          <t>개발완료</t>
        </is>
      </c>
      <c r="Q47" s="36" t="n"/>
      <c r="R47" s="36" t="inlineStr">
        <is>
          <t>계약 마법사</t>
        </is>
      </c>
      <c r="S47" s="36">
        <f>IFERROR(VLOOKUP(O47,API명세서!A:D,4,FALSE()),"")</f>
        <v/>
      </c>
      <c r="T47" s="36" t="n"/>
      <c r="U47" s="36" t="n">
        <v>6</v>
      </c>
    </row>
    <row r="48">
      <c r="A48" s="3" t="inlineStr">
        <is>
          <t>▼ SCR-090</t>
        </is>
      </c>
      <c r="B48" s="3" t="inlineStr">
        <is>
          <t>설정/권한 (5개 기능)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outlineLevel="1">
      <c r="A49" s="35" t="inlineStr">
        <is>
          <t>FN-029</t>
        </is>
      </c>
      <c r="B49" s="35" t="inlineStr">
        <is>
          <t>시스템 설정</t>
        </is>
      </c>
      <c r="C49" s="35" t="inlineStr">
        <is>
          <t>설정</t>
        </is>
      </c>
      <c r="D49" s="36" t="inlineStr">
        <is>
          <t>Web</t>
        </is>
      </c>
      <c r="E49" s="36" t="inlineStr">
        <is>
          <t>Medium</t>
        </is>
      </c>
      <c r="F49" s="36" t="inlineStr">
        <is>
          <t>시스템 기본 설정 관리</t>
        </is>
      </c>
      <c r="G49" s="36" t="inlineStr">
        <is>
          <t>1) 센터명/영업시간/연락처 설정
2) 알림 기본값 설정
3) 테마 설정</t>
        </is>
      </c>
      <c r="H49" s="36" t="inlineStr">
        <is>
          <t>SCR-090</t>
        </is>
      </c>
      <c r="I49" s="36" t="inlineStr">
        <is>
          <t>설정 값</t>
        </is>
      </c>
      <c r="J49" s="36" t="inlineStr">
        <is>
          <t>저장 결과</t>
        </is>
      </c>
      <c r="K49" s="36" t="inlineStr">
        <is>
          <t>1) 설정 변경 시 즉시 반영 (페이지 새로고침 불필요)
2) 이미지 업로드: JPG/PNG, 2MB 이하
3) 주소: Kakao 주소 API 연동
4) 카드 단말기 연결 테스트 기능
5) 출입문 목록 관리 (IoT 연동)
6) 설정 변경 이력 로깅
7) 7개 탭: 기본/출입문/키오스크/앱/알림/권한/기타</t>
        </is>
      </c>
      <c r="L49" s="36" t="inlineStr">
        <is>
          <t>이미지 크기 초과: '이미지는 2MB 이하만 업로드 가능합니다'
필수 항목 미입력: '센터명은 필수 입력 항목입니다'
저장 실패: '설정 저장에 실패했습니다'
카드 단말기 연결 실패: '단말기 연결을 확인하세요'
권한 없음: 설정 메뉴 접근 불가 (매니저 이하)</t>
        </is>
      </c>
      <c r="M49" s="36" t="inlineStr">
        <is>
          <t>TanStack Query – GET /api/v1/settings
useMutation – PATCH /api/v1/settings
Tabs 컴포넌트 (7탭, URL 동기화)
이미지 업로드 + 미리보기
Kakao 주소 API
React Hook Form (탭별 폼 분리)
저장 성공 sonner 토스트</t>
        </is>
      </c>
      <c r="N49" s="36" t="n"/>
      <c r="O49" s="36" t="n"/>
      <c r="P49" s="36" t="inlineStr">
        <is>
          <t>개발완료</t>
        </is>
      </c>
      <c r="Q49" s="36" t="n"/>
      <c r="R49" s="36" t="inlineStr">
        <is>
          <t>설정</t>
        </is>
      </c>
      <c r="S49" s="36">
        <f>IFERROR(VLOOKUP(O49,API명세서!A:D,4,FALSE()),"")</f>
        <v/>
      </c>
      <c r="T49" s="36" t="n"/>
      <c r="U49" s="36" t="n">
        <v>3</v>
      </c>
    </row>
    <row r="50" outlineLevel="1">
      <c r="A50" s="35" t="inlineStr">
        <is>
          <t>FN-030</t>
        </is>
      </c>
      <c r="B50" s="35" t="inlineStr">
        <is>
          <t>권한 관리</t>
        </is>
      </c>
      <c r="C50" s="35" t="inlineStr">
        <is>
          <t>설정</t>
        </is>
      </c>
      <c r="D50" s="36" t="inlineStr">
        <is>
          <t>Web</t>
        </is>
      </c>
      <c r="E50" s="36" t="inlineStr">
        <is>
          <t>Critical</t>
        </is>
      </c>
      <c r="F50" s="36" t="inlineStr">
        <is>
          <t>역할별 메뉴/기능 권한 설정</t>
        </is>
      </c>
      <c r="G50" s="36" t="inlineStr">
        <is>
          <t>1) 6단계 역할 (최고관리자~조회전용)
2) 메뉴별 접근 권한
3) 기능별 읽기/쓰기/삭제
4) 변경 이력 로그</t>
        </is>
      </c>
      <c r="H50" s="36" t="inlineStr">
        <is>
          <t>SCR-090</t>
        </is>
      </c>
      <c r="I50" s="36" t="inlineStr">
        <is>
          <t>역할, 권한 매트릭스</t>
        </is>
      </c>
      <c r="J50" s="36" t="inlineStr">
        <is>
          <t>권한 설정 결과</t>
        </is>
      </c>
      <c r="K50" s="36" t="inlineStr">
        <is>
          <t>1) 권한 매트릭스: 6역할 × 10메뉴 × CRUD 조합
2) 최고관리자 권한 수정 불가
3) 커스텀 역할 생성 가능
4) 변경 감지 후 저장 버튼 활성화
5) 변경 이력 로깅
6) 역할 복사 기능</t>
        </is>
      </c>
      <c r="L50" s="36" t="inlineStr">
        <is>
          <t>최고관리자 권한 수정 시도: '최고관리자 권한은 수정할 수 없습니다'
권한 충돌: '하위 역할에 상위 역할보다 높은 권한을 부여할 수 없습니다'
저장 실패: '권한 설정 저장에 실패했습니다'
역할 삭제 시 소속 직원 있음: '소속 직원이 있어 역할을 삭제할 수 없습니다'</t>
        </is>
      </c>
      <c r="M50" s="36" t="inlineStr">
        <is>
          <t>권한 매트릭스 테이블 (Checkbox 그리드)
localStorage 기반 권한 저장/로드 (permissions_{roleCode})
역할별 userCount Supabase users 테이블에서 동적 집계
변경 감지 (dirtyFields) + 저장/초기화
전체 허용/차단 토글 버튼
커스텀 역할 추가/복사/삭제 모달
권한 충돌 검증 (삭제+미수정, 쓰기+미접근, 쓰기+미조회)</t>
        </is>
      </c>
      <c r="N50" s="36" t="n"/>
      <c r="O50" s="36" t="n"/>
      <c r="P50" s="36" t="inlineStr">
        <is>
          <t>개발완료</t>
        </is>
      </c>
      <c r="Q50" s="36" t="n"/>
      <c r="R50" s="36" t="inlineStr">
        <is>
          <t>설정</t>
        </is>
      </c>
      <c r="S50" s="36">
        <f>IFERROR(VLOOKUP(O50,API명세서!A:D,4,FALSE()),"")</f>
        <v/>
      </c>
      <c r="T50" s="36" t="n"/>
      <c r="U50" s="36" t="n">
        <v>3</v>
      </c>
    </row>
    <row r="51" outlineLevel="1">
      <c r="A51" s="35" t="inlineStr">
        <is>
          <t>FN-031</t>
        </is>
      </c>
      <c r="B51" s="35" t="inlineStr">
        <is>
          <t>키오스크 설정</t>
        </is>
      </c>
      <c r="C51" s="35" t="inlineStr">
        <is>
          <t>설정</t>
        </is>
      </c>
      <c r="D51" s="36" t="inlineStr">
        <is>
          <t>Web</t>
        </is>
      </c>
      <c r="E51" s="36" t="inlineStr">
        <is>
          <t>Medium</t>
        </is>
      </c>
      <c r="F51" s="36" t="inlineStr">
        <is>
          <t>키오스크 디스플레이/동작 설정</t>
        </is>
      </c>
      <c r="G51" s="36" t="inlineStr">
        <is>
          <t>1) 로고/배경 업로드
2) 동작 시나리오 설정
3) 미리보기</t>
        </is>
      </c>
      <c r="H51" s="36" t="inlineStr">
        <is>
          <t>SCR-090</t>
        </is>
      </c>
      <c r="I51" s="36" t="inlineStr">
        <is>
          <t>이미지 파일, 설정 값</t>
        </is>
      </c>
      <c r="J51" s="36" t="inlineStr">
        <is>
          <t>키오스크 설정</t>
        </is>
      </c>
      <c r="K51" s="36" t="inlineStr">
        <is>
          <t>1) 체크인 방식: QR코드/RFID/바코드/전화번호
2) 대기 화면: 로고+공지사항+광고 배너 슬라이드
3) 체크인 성공: TTS 음성 + 환영 메시지
4) 체크인 실패: TTS 음성 + 거부 사유 표시
5) 자동 로그아웃: 10초 (설정 가능)
6) 테마/폰트 크기 설정 가능
7) 기기별 설정 독립 관리</t>
        </is>
      </c>
      <c r="L51" s="36" t="inlineStr">
        <is>
          <t>TTS 지원 불가 브라우저: TTS 없이 텍스트만 표시
이미지 업로드 실패: '이미지 업로드에 실패했습니다'
키오스크 연결 실패: '키오스크 기기와 연결할 수 없습니다'
저장 실패: '키오스크 설정 저장에 실패했습니다'</t>
        </is>
      </c>
      <c r="M51" s="36" t="inlineStr">
        <is>
          <t>Web Speech API (TTS – speechSynthesis)
useMutation – PATCH /api/v1/kiosk/settings
이미지 업로드 + 미리보기 (배너/로고)
키오스크 미리보기 모달
4탭 (기본/화면/TTS/출입규칙)
자동 로그아웃 타이머 설정 Slider</t>
        </is>
      </c>
      <c r="N51" s="36" t="n"/>
      <c r="O51" s="36" t="n"/>
      <c r="P51" s="36" t="inlineStr">
        <is>
          <t>개발완료</t>
        </is>
      </c>
      <c r="Q51" s="36" t="n"/>
      <c r="R51" s="36" t="inlineStr">
        <is>
          <t>설정</t>
        </is>
      </c>
      <c r="S51" s="36">
        <f>IFERROR(VLOOKUP(O51,API명세서!A:D,4,FALSE()),"")</f>
        <v/>
      </c>
      <c r="T51" s="36" t="n"/>
      <c r="U51" s="36" t="n">
        <v>3</v>
      </c>
    </row>
    <row r="52" outlineLevel="1">
      <c r="A52" s="35" t="inlineStr">
        <is>
          <t>FN-032</t>
        </is>
      </c>
      <c r="B52" s="35" t="inlineStr">
        <is>
          <t>IoT 설정</t>
        </is>
      </c>
      <c r="C52" s="35" t="inlineStr">
        <is>
          <t>설정</t>
        </is>
      </c>
      <c r="D52" s="36" t="inlineStr">
        <is>
          <t>Web</t>
        </is>
      </c>
      <c r="E52" s="36" t="inlineStr">
        <is>
          <t>Medium</t>
        </is>
      </c>
      <c r="F52" s="36" t="inlineStr">
        <is>
          <t>출입문/체성분 기기 연동 설정</t>
        </is>
      </c>
      <c r="G52" s="36" t="inlineStr">
        <is>
          <t>1) 기기 등록/해제
2) 연결 상태 모니터링
3) 연결 테스트</t>
        </is>
      </c>
      <c r="H52" s="36" t="inlineStr">
        <is>
          <t>SCR-090</t>
        </is>
      </c>
      <c r="I52" s="36" t="inlineStr">
        <is>
          <t>기기 정보</t>
        </is>
      </c>
      <c r="J52" s="36" t="inlineStr">
        <is>
          <t>기기 목록, 연결 상태</t>
        </is>
      </c>
      <c r="K52" s="36" t="inlineStr">
        <is>
          <t>1) IoT 출입문 연결 상태: 5분 주기 갱신
2) 오프라인 30분 이상 → 관리자 알림
3) 원격 개방: 관리자 권한만 가능
4) 비상 해제: 화재/정전 시 전체 개방
5) 출입 로그: 실시간 기록
6) 기기 유형: 게이트/카메라/체성분계/기타</t>
        </is>
      </c>
      <c r="L52" s="36" t="inlineStr">
        <is>
          <t>IoT 기기 오프라인: '기기가 오프라인 상태입니다 (30분 이상)'
원격 개방 권한 없음: '원격 개방은 관리자 권한이 필요합니다'
원격 개방 확인: '출입문을 원격으로 개방하시겠습니까?'
기기 연결 실패: '기기 연결에 실패했습니다'
설정 저장 실패: 'IoT 설정 저장에 실패했습니다'</t>
        </is>
      </c>
      <c r="M52" s="36" t="inlineStr">
        <is>
          <t>WebSocket – 실시간 기기 상태 모니터링
TanStack Query (5분 refetchInterval) – 기기 상태
원격 개방 AlertDialog + useMutation
출입 로그 DataTable (실시간 갱신)
기기 상태 색상 표시 (온라인/오프라인/경고)
4탭 (게이트/기기/로그/규칙)</t>
        </is>
      </c>
      <c r="N52" s="36" t="n"/>
      <c r="O52" s="36" t="n"/>
      <c r="P52" s="36" t="inlineStr">
        <is>
          <t>개발완료</t>
        </is>
      </c>
      <c r="Q52" s="36" t="n"/>
      <c r="R52" s="36" t="inlineStr">
        <is>
          <t>설정</t>
        </is>
      </c>
      <c r="S52" s="36">
        <f>IFERROR(VLOOKUP(O52,API명세서!A:D,4,FALSE()),"")</f>
        <v/>
      </c>
      <c r="T52" s="36" t="n"/>
      <c r="U52" s="36" t="n">
        <v>3</v>
      </c>
    </row>
    <row r="53" outlineLevel="1">
      <c r="A53" s="35" t="inlineStr">
        <is>
          <t>FN-033</t>
        </is>
      </c>
      <c r="B53" s="35" t="inlineStr">
        <is>
          <t>지점 관리</t>
        </is>
      </c>
      <c r="C53" s="35" t="inlineStr">
        <is>
          <t>설정</t>
        </is>
      </c>
      <c r="D53" s="36" t="inlineStr">
        <is>
          <t>Web</t>
        </is>
      </c>
      <c r="E53" s="36" t="inlineStr">
        <is>
          <t>Critical</t>
        </is>
      </c>
      <c r="F53" s="36" t="inlineStr">
        <is>
          <t>지점 CRUD 및 멀티테넌트 관리</t>
        </is>
      </c>
      <c r="G53" s="36" t="inlineStr">
        <is>
          <t>1) 지점 추가 (이름/코드/주소/연락처)
2) 지점 수정
3) 지점 비활성화
4) 데이터 초기화 (개발용)</t>
        </is>
      </c>
      <c r="H53" s="36" t="inlineStr">
        <is>
          <t>SCR-090</t>
        </is>
      </c>
      <c r="I53" s="36" t="inlineStr">
        <is>
          <t>지점 정보</t>
        </is>
      </c>
      <c r="J53" s="36" t="inlineStr">
        <is>
          <t>지점 목록</t>
        </is>
      </c>
      <c r="K53" s="36" t="inlineStr">
        <is>
          <t>1) 지점 코드: 영문 2~5자 고유값
2) 지점별 데이터 완전 격리 (멀티테넌트 – branch_id)
3) 지점 비활성화: 소속 데이터 유지, 로그인 차단
4) 데이터 초기화: 최고관리자 + 비밀번호 확인 + 2중 확인 필수
5) 회원 지점 이동: 이용권 유지 or 신규 발급 선택
6) 지점 통합 현황 통계 (전체 지점 합산)
7) 최고관리자만 지점 생성/삭제 가능</t>
        </is>
      </c>
      <c r="L53" s="36" t="inlineStr">
        <is>
          <t>지점 코드 중복: '이미 사용 중인 지점 코드입니다'
지점 코드 형식 오류: '지점 코드는 영문 2~5자로 입력하세요'
비활성 지점 로그인: '비활성화된 지점입니다. 관리자에게 문의하세요'
데이터 초기화 확인: '지점명을 입력하여 초기화를 확인하세요'
지점 삭제 (회원 있음): '소속 회원이 있어 삭제할 수 없습니다'
권한 없음: '지점 관리는 최고관리자만 가능합니다'</t>
        </is>
      </c>
      <c r="M53" s="36" t="inlineStr">
        <is>
          <t>Supabase branches 테이블 CRUD (실 데이터)
지점별 회원 수: members 테이블 count(exact) per branchId
지점별 매출: sales 테이블 totalAmount 합산 per branchId
통합 통계 카드 (동적 합산)
파이차트: 지점별 회원 비율 동적 계산
지점 등록: Supabase insert + optimistic state update
지점 이동: 빈 이력 (DB 테이블 추가 필요)
지점 비활성화: 2단계 확인 모달</t>
        </is>
      </c>
      <c r="N53" s="36" t="n"/>
      <c r="O53" s="36" t="inlineStr">
        <is>
          <t>API-027</t>
        </is>
      </c>
      <c r="P53" s="36" t="inlineStr">
        <is>
          <t>개발완료</t>
        </is>
      </c>
      <c r="Q53" s="36" t="n"/>
      <c r="R53" s="36" t="inlineStr">
        <is>
          <t>설정</t>
        </is>
      </c>
      <c r="S53" s="36" t="inlineStr">
        <is>
          <t>/api/v1/system/reset</t>
        </is>
      </c>
      <c r="T53" s="36" t="inlineStr">
        <is>
          <t>Supabase branches 테이블 CRUD 실데이터 완료. 지점별 회원수 표시 (2026-03-13)</t>
        </is>
      </c>
      <c r="U53" s="36" t="n">
        <v>3</v>
      </c>
    </row>
    <row r="54">
      <c r="A54" s="35" t="inlineStr">
        <is>
          <t>▼ SCR-022</t>
        </is>
      </c>
      <c r="B54" s="35" t="inlineStr">
        <is>
          <t>GX 예약 관리 (3개 기능)</t>
        </is>
      </c>
      <c r="C54" s="35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</row>
    <row r="55">
      <c r="A55" s="35" t="inlineStr">
        <is>
          <t>FN-034</t>
        </is>
      </c>
      <c r="B55" s="35" t="inlineStr">
        <is>
          <t>GX 예약 오픈/관리</t>
        </is>
      </c>
      <c r="C55" s="35" t="inlineStr">
        <is>
          <t>출석관리</t>
        </is>
      </c>
      <c r="D55" s="36" t="inlineStr">
        <is>
          <t>Web</t>
        </is>
      </c>
      <c r="E55" s="36" t="inlineStr">
        <is>
          <t>Critical</t>
        </is>
      </c>
      <c r="F55" s="36" t="inlineStr">
        <is>
          <t>GX 프로그램 예약 생성, N시간 전 자동 오픈, 일괄 변경</t>
        </is>
      </c>
      <c r="G55" s="36" t="inlineStr">
        <is>
          <t>1) 수업별 예약 오픈 시간 설정(N시간 전 자동 오픈)
2) 강사 일괄 변경(기간 지정)
3) 수업 복사/반복 생성
4) 예약 정원 설정
5) 수업별 횟수권/기간권 구분 설정</t>
        </is>
      </c>
      <c r="H55" s="36" t="inlineStr">
        <is>
          <t>SCR-022</t>
        </is>
      </c>
      <c r="I55" s="36" t="inlineStr">
        <is>
          <t>수업명, 강사, 요일, 시간, 정원, 예약오픈시간</t>
        </is>
      </c>
      <c r="J55" s="36" t="inlineStr">
        <is>
          <t>예약 현황, 대기 목록</t>
        </is>
      </c>
      <c r="K55" s="36" t="inlineStr">
        <is>
          <t>1) 예약 오픈: 수업 시작 N시간 전 자동(설정값)
2) 일괄 오픈: 매주 금요일 특정 시간 등 설정 가능
3) 강사 변경 시 기존 예약 유지, 알림 발송</t>
        </is>
      </c>
      <c r="L55" s="36" t="inlineStr">
        <is>
          <t>정원 초과: 대기 등록 안내
강사 미배정: 예약 오픈 불가 경고</t>
        </is>
      </c>
      <c r="M55" s="36" t="inlineStr">
        <is>
          <t>React Calendar + Drag&amp;Drop</t>
        </is>
      </c>
      <c r="N55" s="36" t="n"/>
      <c r="O55" s="36" t="n"/>
      <c r="P55" s="36" t="inlineStr">
        <is>
          <t>개발완료</t>
        </is>
      </c>
      <c r="Q55" s="36" t="n"/>
      <c r="R55" s="36" t="inlineStr">
        <is>
          <t>GX 예약 관리</t>
        </is>
      </c>
      <c r="S55" s="36" t="inlineStr">
        <is>
          <t>(직접 Supabase 호출)</t>
        </is>
      </c>
      <c r="T55" s="36" t="n"/>
      <c r="U55" s="36" t="n"/>
    </row>
    <row r="56">
      <c r="A56" s="35" t="inlineStr">
        <is>
          <t>FN-035</t>
        </is>
      </c>
      <c r="B56" s="35" t="inlineStr">
        <is>
          <t>GX 출석 체크 자동화</t>
        </is>
      </c>
      <c r="C56" s="35" t="inlineStr">
        <is>
          <t>출석관리</t>
        </is>
      </c>
      <c r="D56" s="36" t="inlineStr">
        <is>
          <t>Web</t>
        </is>
      </c>
      <c r="E56" s="36" t="inlineStr">
        <is>
          <t>Critical</t>
        </is>
      </c>
      <c r="F56" s="36" t="inlineStr">
        <is>
          <t>GX/스피닝/필라테스 출석 자동 체크. QR/NFC/안면인식 연동</t>
        </is>
      </c>
      <c r="G56" s="36" t="inlineStr">
        <is>
          <t>1) QR코드 스캔 출석 체크(가장 저비용)
2) NFC 밴드 태그 출석 체크
3) 예약자 명단 대조 자동 체크
4) 미출석자 노쇼 자동 처리
5) 센터 입장과 프로그램 출석 연동</t>
        </is>
      </c>
      <c r="H56" s="36" t="inlineStr">
        <is>
          <t>SCR-022</t>
        </is>
      </c>
      <c r="I56" s="36" t="inlineStr">
        <is>
          <t>회원ID, 수업ID, 체크방식(QR/NFC/수동)</t>
        </is>
      </c>
      <c r="J56" s="36" t="inlineStr">
        <is>
          <t>출석 결과, 노쇼 목록</t>
        </is>
      </c>
      <c r="K56" s="36" t="inlineStr">
        <is>
          <t>1) 센터 입장 + 프로그램 예약 매칭 → 자동 출석
2) 예약 후 미출석: 수업 종료 시점에 노쇼 처리
3) 비예약자 참석 감지 → FC 알림</t>
        </is>
      </c>
      <c r="L56" s="36" t="inlineStr">
        <is>
          <t>QR 인식 실패: 수동 체크 폴백
중복 체크: 이미 출석 처리됨 안내</t>
        </is>
      </c>
      <c r="M56" s="36" t="inlineStr">
        <is>
          <t>QR Reader API + WebSocket 실시간</t>
        </is>
      </c>
      <c r="N56" s="36" t="n"/>
      <c r="O56" s="36" t="n"/>
      <c r="P56" s="36" t="inlineStr">
        <is>
          <t>개발완료</t>
        </is>
      </c>
      <c r="Q56" s="36" t="n"/>
      <c r="R56" s="36" t="inlineStr">
        <is>
          <t>GX 예약 관리</t>
        </is>
      </c>
      <c r="S56" s="36" t="inlineStr">
        <is>
          <t>(직접 Supabase 호출)</t>
        </is>
      </c>
      <c r="T56" s="36" t="inlineStr">
        <is>
          <t>주간/월간 통계 실 데이터 전환 완료 (2026-03-12). 하드코딩 제거.</t>
        </is>
      </c>
      <c r="U56" s="36" t="n"/>
    </row>
    <row r="57">
      <c r="A57" s="35" t="inlineStr">
        <is>
          <t>FN-036</t>
        </is>
      </c>
      <c r="B57" s="35" t="inlineStr">
        <is>
          <t>노쇼 페널티 자동 처리</t>
        </is>
      </c>
      <c r="C57" s="35" t="inlineStr">
        <is>
          <t>출석관리</t>
        </is>
      </c>
      <c r="D57" s="36" t="inlineStr">
        <is>
          <t>Web</t>
        </is>
      </c>
      <c r="E57" s="36" t="inlineStr">
        <is>
          <t>High</t>
        </is>
      </c>
      <c r="F57" s="36" t="inlineStr">
        <is>
          <t>GX/PT 노쇼 시 자동 페널티 부여. 횟수 차감 및 예약 제한</t>
        </is>
      </c>
      <c r="G57" s="36" t="inlineStr">
        <is>
          <t>1) 노쇼 시 횟수권 1회 자동 차감
2) N회 노쇼 시 일정 기간 예약 제한 페널티
3) 취소 가능 시한 설정(수업 N시간 전)
4) 시한 내 취소: 횟수 미차감
5) 페널티 이력 관리 및 알림</t>
        </is>
      </c>
      <c r="H57" s="36" t="inlineStr">
        <is>
          <t>SCR-022</t>
        </is>
      </c>
      <c r="I57" s="36" t="inlineStr">
        <is>
          <t>노쇼 기준시간, 페널티 횟수, 제한 기간</t>
        </is>
      </c>
      <c r="J57" s="36" t="inlineStr">
        <is>
          <t>페널티 현황, 이력</t>
        </is>
      </c>
      <c r="K57" s="36" t="inlineStr">
        <is>
          <t>1) 취소 시한 기본값: 수업 5시간 전
2) 노쇼 = 수업 진행으로 처리(횟수 차감)
3) 월 2회 노쇼: 1주 예약 제한</t>
        </is>
      </c>
      <c r="L57" s="36" t="inlineStr">
        <is>
          <t>페널티 부과 전 회원 알림 발송</t>
        </is>
      </c>
      <c r="M57" s="36" t="n"/>
      <c r="N57" s="36" t="n"/>
      <c r="O57" s="36" t="n"/>
      <c r="P57" s="36" t="inlineStr">
        <is>
          <t>개발완료</t>
        </is>
      </c>
      <c r="Q57" s="36" t="n"/>
      <c r="R57" s="36" t="inlineStr">
        <is>
          <t>GX 예약 관리</t>
        </is>
      </c>
      <c r="S57" s="36" t="inlineStr">
        <is>
          <t>(직접 Supabase 호출)</t>
        </is>
      </c>
      <c r="T57" s="36" t="n"/>
      <c r="U57" s="36" t="n"/>
    </row>
    <row r="58">
      <c r="A58" s="35" t="inlineStr">
        <is>
          <t>▼ SCR-023</t>
        </is>
      </c>
      <c r="B58" s="35" t="inlineStr">
        <is>
          <t>좌석 예약 관리 (2개 기능)</t>
        </is>
      </c>
      <c r="C58" s="35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</row>
    <row r="59">
      <c r="A59" s="35" t="inlineStr">
        <is>
          <t>FN-037</t>
        </is>
      </c>
      <c r="B59" s="35" t="inlineStr">
        <is>
          <t>스피닝/GX 좌석 예약</t>
        </is>
      </c>
      <c r="C59" s="35" t="inlineStr">
        <is>
          <t>출석관리</t>
        </is>
      </c>
      <c r="D59" s="36" t="inlineStr">
        <is>
          <t>Web</t>
        </is>
      </c>
      <c r="E59" s="36" t="inlineStr">
        <is>
          <t>High</t>
        </is>
      </c>
      <c r="F59" s="36" t="inlineStr">
        <is>
          <t>스피닝 바이크, GX 매트 등 좌석 지정 예약</t>
        </is>
      </c>
      <c r="G59" s="36" t="inlineStr">
        <is>
          <t>1) 좌석 배치도 시각화(바이크/매트 번호)
2) 예약 선착순 좌석 선택권 부여
3) 고장 좌석 비활성화 표시(사선)
4) 좌석별 예약자 확인
5) 회원 앱 예약 시 좌석 선택 가능</t>
        </is>
      </c>
      <c r="H59" s="36" t="inlineStr">
        <is>
          <t>SCR-023</t>
        </is>
      </c>
      <c r="I59" s="36" t="inlineStr">
        <is>
          <t>수업ID, 좌석번호, 회원ID</t>
        </is>
      </c>
      <c r="J59" s="36" t="inlineStr">
        <is>
          <t>좌석 배치 현황, 예약 확인</t>
        </is>
      </c>
      <c r="K59" s="36" t="inlineStr">
        <is>
          <t>1) 예약 시간순으로 좌석 선택 우선권
2) 고장 좌석: 관리자만 비활성화/활성화 가능
3) 좌석 미선택 시 자동 배정</t>
        </is>
      </c>
      <c r="L59" s="36" t="inlineStr">
        <is>
          <t>좌석 중복 선택: 이미 예약된 좌석 안내
고장 좌석 선택: 사용 불가 안내</t>
        </is>
      </c>
      <c r="M59" s="36" t="inlineStr">
        <is>
          <t>SVG 좌석 배치도 + 실시간 업데이트</t>
        </is>
      </c>
      <c r="N59" s="36" t="n"/>
      <c r="O59" s="36" t="n"/>
      <c r="P59" s="36" t="inlineStr">
        <is>
          <t>개발완료</t>
        </is>
      </c>
      <c r="Q59" s="36" t="n"/>
      <c r="R59" s="36" t="inlineStr">
        <is>
          <t>좌석 예약 관리</t>
        </is>
      </c>
      <c r="S59" s="36" t="inlineStr">
        <is>
          <t>(직접 Supabase 호출)</t>
        </is>
      </c>
      <c r="T59" s="36" t="n"/>
      <c r="U59" s="36" t="n"/>
    </row>
    <row r="60">
      <c r="A60" s="35" t="inlineStr">
        <is>
          <t>FN-038</t>
        </is>
      </c>
      <c r="B60" s="35" t="inlineStr">
        <is>
          <t>좌석 고장/관리</t>
        </is>
      </c>
      <c r="C60" s="35" t="inlineStr">
        <is>
          <t>시설관리</t>
        </is>
      </c>
      <c r="D60" s="36" t="inlineStr">
        <is>
          <t>Web</t>
        </is>
      </c>
      <c r="E60" s="36" t="inlineStr">
        <is>
          <t>Medium</t>
        </is>
      </c>
      <c r="F60" s="36" t="inlineStr">
        <is>
          <t>좌석(바이크/매트 등) 고장 등록, 수리 이력 관리</t>
        </is>
      </c>
      <c r="G60" s="36" t="inlineStr">
        <is>
          <t>1) 고장 등록 시 예약 자동 차단
2) 수리 완료 시 활성화 복구
3) 고장 이력/빈도 통계</t>
        </is>
      </c>
      <c r="H60" s="36" t="inlineStr">
        <is>
          <t>SCR-023</t>
        </is>
      </c>
      <c r="I60" s="36" t="inlineStr">
        <is>
          <t>좌석번호, 고장유형, 수리일</t>
        </is>
      </c>
      <c r="J60" s="36" t="inlineStr">
        <is>
          <t>고장 이력, 통계</t>
        </is>
      </c>
      <c r="K60" s="36" t="inlineStr">
        <is>
          <t>고장 등록 시 해당 좌석 기예약자에게 알림 발송</t>
        </is>
      </c>
      <c r="L60" s="36" t="n"/>
      <c r="M60" s="36" t="n"/>
      <c r="N60" s="36" t="n"/>
      <c r="O60" s="36" t="n"/>
      <c r="P60" s="36" t="inlineStr">
        <is>
          <t>개발완료</t>
        </is>
      </c>
      <c r="Q60" s="36" t="n"/>
      <c r="R60" s="36" t="inlineStr">
        <is>
          <t>좌석 예약 관리</t>
        </is>
      </c>
      <c r="S60" s="36" t="inlineStr">
        <is>
          <t>(직접 Supabase 호출)</t>
        </is>
      </c>
      <c r="T60" s="36" t="n"/>
      <c r="U60" s="36" t="n"/>
    </row>
    <row r="61">
      <c r="A61" s="35" t="inlineStr">
        <is>
          <t>▼ SCR-024</t>
        </is>
      </c>
      <c r="B61" s="35" t="inlineStr">
        <is>
          <t>레슨 기록/서명 (2개 기능)</t>
        </is>
      </c>
      <c r="C61" s="35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</row>
    <row r="62">
      <c r="A62" s="35" t="inlineStr">
        <is>
          <t>FN-039</t>
        </is>
      </c>
      <c r="B62" s="35" t="inlineStr">
        <is>
          <t>레슨 기록 및 고객 서명</t>
        </is>
      </c>
      <c r="C62" s="35" t="inlineStr">
        <is>
          <t>출석관리</t>
        </is>
      </c>
      <c r="D62" s="36" t="inlineStr">
        <is>
          <t>Web</t>
        </is>
      </c>
      <c r="E62" s="36" t="inlineStr">
        <is>
          <t>High</t>
        </is>
      </c>
      <c r="F62" s="36" t="inlineStr">
        <is>
          <t>PT/골프 레슨 수업 기록 작성 + 고객 서명으로 수업 진위 확인</t>
        </is>
      </c>
      <c r="G62" s="36" t="inlineStr">
        <is>
          <t>1) 트레이너가 수업 내용 기록(텍스트/템플릿)
2) 수업 완료 시 고객 터치 서명
3) 서명 미완료 시 24시간 후 자동 완료 처리
4) 서명 없으면 수업 인정 불가(정책 설정)
5) 모바일에서도 서명 가능</t>
        </is>
      </c>
      <c r="H62" s="36" t="inlineStr">
        <is>
          <t>SCR-024</t>
        </is>
      </c>
      <c r="I62" s="36" t="inlineStr">
        <is>
          <t>수업ID, 레슨내용, 고객서명이미지</t>
        </is>
      </c>
      <c r="J62" s="36" t="inlineStr">
        <is>
          <t>레슨 기록, 서명 확인 상태</t>
        </is>
      </c>
      <c r="K62" s="36" t="inlineStr">
        <is>
          <t>1) 서명 필수 정책: 센터별 ON/OFF 설정
2) 서명 없이 24시간 경과 → 자동 수업 완료(정책에 따라)
3) 노쇼는 수업 진행으로 카운트(취소와 구분)</t>
        </is>
      </c>
      <c r="L62" s="36" t="inlineStr">
        <is>
          <t>서명 거부 시: 관리자 확인 필요 알림</t>
        </is>
      </c>
      <c r="M62" s="36" t="inlineStr">
        <is>
          <t>Canvas 서명 패드 + 이미지 저장</t>
        </is>
      </c>
      <c r="N62" s="36" t="n"/>
      <c r="O62" s="36" t="n"/>
      <c r="P62" s="36" t="inlineStr">
        <is>
          <t>개발완료</t>
        </is>
      </c>
      <c r="Q62" s="36" t="n"/>
      <c r="R62" s="36" t="inlineStr">
        <is>
          <t>레슨 기록/서명</t>
        </is>
      </c>
      <c r="S62" s="36" t="inlineStr">
        <is>
          <t>(직접 Supabase 호출)</t>
        </is>
      </c>
      <c r="T62" s="36" t="n"/>
      <c r="U62" s="36" t="n"/>
    </row>
    <row r="63">
      <c r="A63" s="35" t="inlineStr">
        <is>
          <t>FN-040</t>
        </is>
      </c>
      <c r="B63" s="35" t="inlineStr">
        <is>
          <t>레슨 통계/리포트</t>
        </is>
      </c>
      <c r="C63" s="35" t="inlineStr">
        <is>
          <t>출석관리</t>
        </is>
      </c>
      <c r="D63" s="36" t="inlineStr">
        <is>
          <t>Web</t>
        </is>
      </c>
      <c r="E63" s="36" t="inlineStr">
        <is>
          <t>Medium</t>
        </is>
      </c>
      <c r="F63" s="36" t="inlineStr">
        <is>
          <t>트레이너별/회원별 레슨 진행 현황 통계</t>
        </is>
      </c>
      <c r="G63" s="36" t="inlineStr">
        <is>
          <t>1) 트레이너별 수업 건수/완료율
2) 회원별 레슨 소진율
3) 노쇼/취소/결석 비율
4) 기간별 통계 차트</t>
        </is>
      </c>
      <c r="H63" s="36" t="inlineStr">
        <is>
          <t>SCR-024</t>
        </is>
      </c>
      <c r="I63" s="36" t="inlineStr">
        <is>
          <t>기간, 트레이너ID, 회원ID</t>
        </is>
      </c>
      <c r="J63" s="36" t="inlineStr">
        <is>
          <t>통계 데이터, 차트</t>
        </is>
      </c>
      <c r="K63" s="36" t="inlineStr">
        <is>
          <t>일/주/월 단위 통계. 엑셀 다운로드 지원</t>
        </is>
      </c>
      <c r="L63" s="36" t="n"/>
      <c r="M63" s="36" t="inlineStr">
        <is>
          <t>Chart.js + 엑셀 Export</t>
        </is>
      </c>
      <c r="N63" s="36" t="n"/>
      <c r="O63" s="36" t="n"/>
      <c r="P63" s="36" t="inlineStr">
        <is>
          <t>개발완료</t>
        </is>
      </c>
      <c r="Q63" s="36" t="n"/>
      <c r="R63" s="36" t="inlineStr">
        <is>
          <t>레슨 기록/서명</t>
        </is>
      </c>
      <c r="S63" s="36" t="inlineStr">
        <is>
          <t>(직접 Supabase 호출)</t>
        </is>
      </c>
      <c r="T63" s="36" t="n"/>
      <c r="U63" s="36" t="n"/>
    </row>
    <row r="64">
      <c r="A64" s="35" t="inlineStr">
        <is>
          <t>▼ SCR-054</t>
        </is>
      </c>
      <c r="B64" s="35" t="inlineStr">
        <is>
          <t>골프 타석 관리 (2개 기능)</t>
        </is>
      </c>
      <c r="C64" s="35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</row>
    <row r="65">
      <c r="A65" s="35" t="inlineStr">
        <is>
          <t>FN-041</t>
        </is>
      </c>
      <c r="B65" s="35" t="inlineStr">
        <is>
          <t>골프 타석 예약/대기</t>
        </is>
      </c>
      <c r="C65" s="35" t="inlineStr">
        <is>
          <t>시설관리</t>
        </is>
      </c>
      <c r="D65" s="36" t="inlineStr">
        <is>
          <t>Web</t>
        </is>
      </c>
      <c r="E65" s="36" t="inlineStr">
        <is>
          <t>High</t>
        </is>
      </c>
      <c r="F65" s="36" t="inlineStr">
        <is>
          <t>골프 타석 꼬리물기 예약, 대기열 관리, 잔여시간 표시</t>
        </is>
      </c>
      <c r="G65" s="36" t="inlineStr">
        <is>
          <t>1) 타석별 현재 이용자/잔여시간 실시간 표시
2) 꼬리물기 방식 예약(현재 이용 종료 후 자동 시작)
3) 대기열 관리(모바일 원격 예약 가능)
4) 시간 표시: 시:분 형식(분 단위 아닌)
5) 1회 최대 이용시간 설정(기본 60분)</t>
        </is>
      </c>
      <c r="H65" s="36" t="inlineStr">
        <is>
          <t>SCR-054</t>
        </is>
      </c>
      <c r="I65" s="36" t="inlineStr">
        <is>
          <t>타석번호, 회원ID, 예약시간</t>
        </is>
      </c>
      <c r="J65" s="36" t="inlineStr">
        <is>
          <t>타석 현황, 대기열, 잔여시간</t>
        </is>
      </c>
      <c r="K65" s="36" t="inlineStr">
        <is>
          <t>1) 예약 후 15분 이내 미입장 시 노쇼 처리
2) 시간 표시: 시간:분 포맷(238분→3시간 58분)
3) 이용 종료 시 자동 다음 대기자 시작</t>
        </is>
      </c>
      <c r="L65" s="36" t="inlineStr">
        <is>
          <t>타석 고장: 예약 자동 취소 + 대기자 알림
노쇼: 예약 자동 해제</t>
        </is>
      </c>
      <c r="M65" s="36" t="inlineStr">
        <is>
          <t>실시간 타석 보드 UI</t>
        </is>
      </c>
      <c r="N65" s="36" t="n"/>
      <c r="O65" s="36" t="n"/>
      <c r="P65" s="36" t="inlineStr">
        <is>
          <t>기획완료</t>
        </is>
      </c>
      <c r="Q65" s="36" t="n"/>
      <c r="R65" s="36" t="inlineStr">
        <is>
          <t>골프 타석 관리</t>
        </is>
      </c>
      <c r="S65" s="36" t="inlineStr">
        <is>
          <t>(직접 Supabase 호출)</t>
        </is>
      </c>
      <c r="T65" s="36" t="n"/>
      <c r="U65" s="36" t="n"/>
    </row>
    <row r="66">
      <c r="A66" s="35" t="inlineStr">
        <is>
          <t>FN-042</t>
        </is>
      </c>
      <c r="B66" s="35" t="inlineStr">
        <is>
          <t>타석/키오스크 화면 제어</t>
        </is>
      </c>
      <c r="C66" s="35" t="inlineStr">
        <is>
          <t>시설관리</t>
        </is>
      </c>
      <c r="D66" s="36" t="inlineStr">
        <is>
          <t>Web</t>
        </is>
      </c>
      <c r="E66" s="36" t="inlineStr">
        <is>
          <t>High</t>
        </is>
      </c>
      <c r="F66" s="36" t="inlineStr">
        <is>
          <t>골프 타석 키오스크 화면 잠금/해제, 이용시간 기반 자동 제어</t>
        </is>
      </c>
      <c r="G66" s="36" t="inlineStr">
        <is>
          <t>1) 예약/결제 완료 시 화면 잠금 해제
2) 이용시간 종료 시 자동 화면 잠금
3) 관리자 원격 잠금/해제
4) 스크린 락 방식(UI 오버레이)</t>
        </is>
      </c>
      <c r="H66" s="36" t="inlineStr">
        <is>
          <t>SCR-054</t>
        </is>
      </c>
      <c r="I66" s="36" t="inlineStr">
        <is>
          <t>타석번호, 제어명령(잠금/해제)</t>
        </is>
      </c>
      <c r="J66" s="36" t="inlineStr">
        <is>
          <t>제어 결과</t>
        </is>
      </c>
      <c r="K66" s="36" t="inlineStr">
        <is>
          <t>이용 종료 10분 전 알림 표시
강제 종료 시 관리자 확인 필요</t>
        </is>
      </c>
      <c r="L66" s="36" t="n"/>
      <c r="M66" s="36" t="inlineStr">
        <is>
          <t>WebSocket 실시간 제어</t>
        </is>
      </c>
      <c r="N66" s="36" t="n"/>
      <c r="O66" s="36" t="n"/>
      <c r="P66" s="36" t="inlineStr">
        <is>
          <t>기획완료</t>
        </is>
      </c>
      <c r="Q66" s="36" t="n"/>
      <c r="R66" s="36" t="inlineStr">
        <is>
          <t>골프 타석 관리</t>
        </is>
      </c>
      <c r="S66" s="36" t="inlineStr">
        <is>
          <t>(직접 Supabase 호출)</t>
        </is>
      </c>
      <c r="T66" s="36" t="n"/>
      <c r="U66" s="36" t="n"/>
    </row>
    <row r="67">
      <c r="A67" s="35" t="inlineStr">
        <is>
          <t>▼ SCR-055</t>
        </is>
      </c>
      <c r="B67" s="35" t="inlineStr">
        <is>
          <t>기기 전원 제어 (1개 기능)</t>
        </is>
      </c>
      <c r="C67" s="35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</row>
    <row r="68">
      <c r="A68" s="35" t="inlineStr">
        <is>
          <t>FN-043</t>
        </is>
      </c>
      <c r="B68" s="35" t="inlineStr">
        <is>
          <t>키오스크/프로젝터 원격 전원 제어</t>
        </is>
      </c>
      <c r="C68" s="35" t="inlineStr">
        <is>
          <t>시설관리</t>
        </is>
      </c>
      <c r="D68" s="36" t="inlineStr">
        <is>
          <t>Web</t>
        </is>
      </c>
      <c r="E68" s="36" t="inlineStr">
        <is>
          <t>Critical</t>
        </is>
      </c>
      <c r="F68" s="36" t="inlineStr">
        <is>
          <t>전 매장 키오스크/프로젝터 원격 일괄 ON/OFF + 스케줄 자동 제어</t>
        </is>
      </c>
      <c r="G68" s="36" t="inlineStr">
        <is>
          <t>1) PC 관리화면에서 전체/개별 전원 ON/OFF
2) 오픈/마감 시간 스케줄 설정 → 자동 전원 제어
3) 키오스크: WOL(Wake-on-LAN) 원격 부팅
4) 프로젝터: PJ Link/RS232 프로토콜 제어
5) 전원 상태 실시간 모니터링
6) 30개+ 기기 일괄 제어(고척/서교 기준)</t>
        </is>
      </c>
      <c r="H68" s="36" t="inlineStr">
        <is>
          <t>SCR-055</t>
        </is>
      </c>
      <c r="I68" s="36" t="inlineStr">
        <is>
          <t>기기목록, 제어명령, 스케줄시간</t>
        </is>
      </c>
      <c r="J68" s="36" t="inlineStr">
        <is>
          <t>기기 상태, 제어 결과</t>
        </is>
      </c>
      <c r="K68" s="36" t="inlineStr">
        <is>
          <t>1) 오픈 시: 스케줄 시간 20분 전 자동 부팅
2) 마감 시: 영업종료 시간에 자동 셧다운
3) 기기별 상태(온라인/오프라인/고장) 표시</t>
        </is>
      </c>
      <c r="L68" s="36" t="inlineStr">
        <is>
          <t>기기 미응답: 3회 재시도 후 오프라인 표시
네트워크 장애: 로컬 제어 폴백</t>
        </is>
      </c>
      <c r="M68" s="36" t="inlineStr">
        <is>
          <t>WOL + PJ Link + 상태 모니터링 대시보드</t>
        </is>
      </c>
      <c r="N68" s="36" t="n"/>
      <c r="O68" s="36" t="n"/>
      <c r="P68" s="36" t="inlineStr">
        <is>
          <t>기획완료</t>
        </is>
      </c>
      <c r="Q68" s="36" t="n"/>
      <c r="R68" s="36" t="inlineStr">
        <is>
          <t>기기 전원 제어</t>
        </is>
      </c>
      <c r="S68" s="36" t="inlineStr">
        <is>
          <t>(직접 Supabase 호출)</t>
        </is>
      </c>
      <c r="T68" s="36" t="n"/>
      <c r="U68" s="36" t="n"/>
    </row>
    <row r="69">
      <c r="A69" s="35" t="inlineStr">
        <is>
          <t>▼ SCR-056</t>
        </is>
      </c>
      <c r="B69" s="35" t="inlineStr">
        <is>
          <t>수건/운동복 관리 (1개 기능)</t>
        </is>
      </c>
      <c r="C69" s="35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</row>
    <row r="70">
      <c r="A70" s="35" t="inlineStr">
        <is>
          <t>FN-044</t>
        </is>
      </c>
      <c r="B70" s="35" t="inlineStr">
        <is>
          <t>수건/운동복 발급 관리</t>
        </is>
      </c>
      <c r="C70" s="35" t="inlineStr">
        <is>
          <t>시설관리</t>
        </is>
      </c>
      <c r="D70" s="36" t="inlineStr">
        <is>
          <t>Web</t>
        </is>
      </c>
      <c r="E70" s="36" t="inlineStr">
        <is>
          <t>High</t>
        </is>
      </c>
      <c r="F70" s="36" t="inlineStr">
        <is>
          <t>수건/운동복 발급 수량 제어 + 사용량 통계. QR/안면인식 연동</t>
        </is>
      </c>
      <c r="G70" s="36" t="inlineStr">
        <is>
          <t>1) 회원별 1일 발급 수량 제한(수건 2장, 운동복 1벌 기본)
2) QR/안면인식으로 발급 기록 자동화
3) 반납 시 포인트 적립(선택)
4) 일별/월별 사용량 통계 + 세탁비 추정
5) 비정상 사용 패턴 알림(과다 발급)</t>
        </is>
      </c>
      <c r="H70" s="36" t="inlineStr">
        <is>
          <t>SCR-056</t>
        </is>
      </c>
      <c r="I70" s="36" t="inlineStr">
        <is>
          <t>회원ID, 품목, 수량</t>
        </is>
      </c>
      <c r="J70" s="36" t="inlineStr">
        <is>
          <t>발급 이력, 사용량 통계, 세탁비 추정</t>
        </is>
      </c>
      <c r="K70" s="36" t="inlineStr">
        <is>
          <t>1) 기본 제공: 수건 2장 + 운동복 1벌
2) 추가 발급: 유/무료 센터 설정
3) 월간 세탁비 자동 집계</t>
        </is>
      </c>
      <c r="L70" s="36" t="inlineStr">
        <is>
          <t>한도 초과: '오늘 발급 한도 초과' 안내
미회원: 발급 불가</t>
        </is>
      </c>
      <c r="M70" s="36" t="n"/>
      <c r="N70" s="36" t="n"/>
      <c r="O70" s="36" t="n"/>
      <c r="P70" s="36" t="inlineStr">
        <is>
          <t>개발완료</t>
        </is>
      </c>
      <c r="Q70" s="36" t="n"/>
      <c r="R70" s="36" t="inlineStr">
        <is>
          <t>수건/운동복 관리</t>
        </is>
      </c>
      <c r="S70" s="36" t="inlineStr">
        <is>
          <t>(직접 Supabase 호출)</t>
        </is>
      </c>
      <c r="T70" s="36" t="n"/>
      <c r="U70" s="36" t="n"/>
    </row>
    <row r="71">
      <c r="A71" s="35" t="inlineStr">
        <is>
          <t>▼ SCR-015</t>
        </is>
      </c>
      <c r="B71" s="35" t="inlineStr">
        <is>
          <t>FC 즐겨찾기/알림 (1개 기능)</t>
        </is>
      </c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</row>
    <row r="72">
      <c r="A72" s="35" t="inlineStr">
        <is>
          <t>FN-045</t>
        </is>
      </c>
      <c r="B72" s="35" t="inlineStr">
        <is>
          <t>FC 즐겨찾기 회원 방문 알림</t>
        </is>
      </c>
      <c r="C72" s="35" t="inlineStr">
        <is>
          <t>회원관리</t>
        </is>
      </c>
      <c r="D72" s="36" t="inlineStr">
        <is>
          <t>Web</t>
        </is>
      </c>
      <c r="E72" s="36" t="inlineStr">
        <is>
          <t>Critical</t>
        </is>
      </c>
      <c r="F72" s="36" t="inlineStr">
        <is>
          <t>담당 FC가 즐겨찾기한 회원 방문 시 실시간 알림. 이용권 임박 회원 자동 표시</t>
        </is>
      </c>
      <c r="G72" s="36" t="inlineStr">
        <is>
          <t>1) FC 개인 아이디별 즐겨찾기 회원 등록
2) 즐겨찾기 회원 입장 시 해당 FC 핸드폰 푸시 알림
3) 이용권 만료 임박(D-30~D-7) 회원 자동 즐겨찾기 등록
4) 방문 알림에 회원 상태 요약(잔여일, 미납 여부) 포함
5) 재등록 상담 필요 회원 하이라이트</t>
        </is>
      </c>
      <c r="H72" s="36" t="inlineStr">
        <is>
          <t>SCR-015</t>
        </is>
      </c>
      <c r="I72" s="36" t="inlineStr">
        <is>
          <t>FC ID, 회원ID, 알림 설정</t>
        </is>
      </c>
      <c r="J72" s="36" t="inlineStr">
        <is>
          <t>방문 알림, 임박 회원 목록</t>
        </is>
      </c>
      <c r="K72" s="36" t="inlineStr">
        <is>
          <t>1) 즐겨찾기 수 제한 없음
2) 알림 채널: 앱 푸시 + 관리자 화면 팝업
3) 이용권 만료 D-30 자동 즐겨찾기 추가(설정 시)</t>
        </is>
      </c>
      <c r="L72" s="36" t="inlineStr">
        <is>
          <t>알림 수신 거부 시 관리자 화면에만 표시</t>
        </is>
      </c>
      <c r="M72" s="36" t="inlineStr">
        <is>
          <t>FCM Push + WebSocket 실시간</t>
        </is>
      </c>
      <c r="N72" s="36" t="n"/>
      <c r="O72" s="36" t="n"/>
      <c r="P72" s="36" t="inlineStr">
        <is>
          <t>개발완료</t>
        </is>
      </c>
      <c r="Q72" s="36" t="n"/>
      <c r="R72" s="36" t="inlineStr">
        <is>
          <t>FC 즐겨찾기/알림</t>
        </is>
      </c>
      <c r="S72" s="36" t="inlineStr">
        <is>
          <t>(직접 Supabase 호출)</t>
        </is>
      </c>
      <c r="T72" s="36" t="n"/>
      <c r="U72" s="36" t="n"/>
    </row>
    <row r="73">
      <c r="A73" s="35" t="inlineStr">
        <is>
          <t>▼ SCR-095</t>
        </is>
      </c>
      <c r="B73" s="35" t="inlineStr">
        <is>
          <t>키오스크 타입 설정 (1개 기능)</t>
        </is>
      </c>
      <c r="C73" s="35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</row>
    <row r="74">
      <c r="A74" s="35" t="inlineStr">
        <is>
          <t>FN-046</t>
        </is>
      </c>
      <c r="B74" s="35" t="inlineStr">
        <is>
          <t>키오스크 타입별 UI 설정</t>
        </is>
      </c>
      <c r="C74" s="35" t="inlineStr">
        <is>
          <t>설정</t>
        </is>
      </c>
      <c r="D74" s="36" t="inlineStr">
        <is>
          <t>Web</t>
        </is>
      </c>
      <c r="E74" s="36" t="inlineStr">
        <is>
          <t>High</t>
        </is>
      </c>
      <c r="F74" s="36" t="inlineStr">
        <is>
          <t>키오스크 타입(결제형/비결제형) 지점별 설정. 화면 구성 자동 분기</t>
        </is>
      </c>
      <c r="G74" s="36" t="inlineStr">
        <is>
          <t>1) 타입A: 입장/퇴장/사물함 확인 전용(결제 없음)
2) 타입B: 1일권/시간권 현장 결제 포함
3) 어드민에서 지점별 타입 선택
4) 타입별 키오스크 UI 자동 구성
5) 1일권 결제 시 가상 ID 자동 생성 + 키 발급</t>
        </is>
      </c>
      <c r="H74" s="36" t="inlineStr">
        <is>
          <t>SCR-095</t>
        </is>
      </c>
      <c r="I74" s="36" t="inlineStr">
        <is>
          <t>지점ID, 키오스크타입</t>
        </is>
      </c>
      <c r="J74" s="36" t="inlineStr">
        <is>
          <t>키오스크 UI 설정</t>
        </is>
      </c>
      <c r="K74" s="36" t="inlineStr">
        <is>
          <t>1) 타입은 지점 단위 설정(키오스크 개별 불가)
2) 타입B는 PG사 결제 모듈 연동 필수</t>
        </is>
      </c>
      <c r="L74" s="36" t="inlineStr">
        <is>
          <t>결제 모듈 미연동 시 타입B 선택 불가 경고</t>
        </is>
      </c>
      <c r="M74" s="36" t="n"/>
      <c r="N74" s="36" t="n"/>
      <c r="O74" s="36" t="n"/>
      <c r="P74" s="36" t="inlineStr">
        <is>
          <t>개발완료</t>
        </is>
      </c>
      <c r="Q74" s="36" t="n"/>
      <c r="R74" s="36" t="inlineStr">
        <is>
          <t>키오스크 타입 설정</t>
        </is>
      </c>
      <c r="S74" s="36" t="inlineStr">
        <is>
          <t>(직접 Supabase 호출)</t>
        </is>
      </c>
      <c r="T74" s="36" t="n"/>
      <c r="U74" s="36" t="n"/>
    </row>
    <row r="75">
      <c r="A75" s="35" t="inlineStr">
        <is>
          <t>▼ SCR-096</t>
        </is>
      </c>
      <c r="B75" s="35" t="inlineStr">
        <is>
          <t>오프라인 모드 설정 (1개 기능)</t>
        </is>
      </c>
      <c r="C75" s="35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</row>
    <row r="76">
      <c r="A76" s="35" t="inlineStr">
        <is>
          <t>FN-047</t>
        </is>
      </c>
      <c r="B76" s="35" t="inlineStr">
        <is>
          <t>오프라인 모드 + 자동 동기화</t>
        </is>
      </c>
      <c r="C76" s="35" t="inlineStr">
        <is>
          <t>설정</t>
        </is>
      </c>
      <c r="D76" s="36" t="inlineStr">
        <is>
          <t>Web</t>
        </is>
      </c>
      <c r="E76" s="36" t="inlineStr">
        <is>
          <t>Critical</t>
        </is>
      </c>
      <c r="F76" s="36" t="inlineStr">
        <is>
          <t>네트워크 장애 시 로컬 모드 자동 전환. 복구 시 데이터 자동 동기화</t>
        </is>
      </c>
      <c r="G76" s="36" t="inlineStr">
        <is>
          <t>1) 네트워크 끊김 감지 → 자동 로컬 모드 전환
2) 로컬 모드: 출입/라커 배정/출석 기본 기능 동작
3) 로컬 저장: IndexedDB + Service Worker
4) 네트워크 복구 → 큐잉된 데이터 자동 동기화
5) 충돌 시 서버 우선 + 관리자 알림
6) 오프라인 상태 표시 배너</t>
        </is>
      </c>
      <c r="H76" s="36" t="inlineStr">
        <is>
          <t>SCR-096</t>
        </is>
      </c>
      <c r="I76" s="36" t="inlineStr">
        <is>
          <t>오프라인 허용 기능 목록, 동기화 정책</t>
        </is>
      </c>
      <c r="J76" s="36" t="inlineStr">
        <is>
          <t>동기화 상태, 충돌 로그</t>
        </is>
      </c>
      <c r="K76" s="36" t="inlineStr">
        <is>
          <t>1) 오프라인 필수 기능: 출입/라커/출석
2) 오프라인 불가 기능: 결제/환불/회원등록
3) 로컬 데이터 최대 보관: 72시간</t>
        </is>
      </c>
      <c r="L76" s="36" t="inlineStr">
        <is>
          <t>동기화 실패: 재시도 3회 후 관리자 수동 처리 안내</t>
        </is>
      </c>
      <c r="M76" s="36" t="inlineStr">
        <is>
          <t>Service Worker + IndexedDB + Sync Queue</t>
        </is>
      </c>
      <c r="N76" s="36" t="n"/>
      <c r="O76" s="36" t="n"/>
      <c r="P76" s="36" t="inlineStr">
        <is>
          <t>기획완료</t>
        </is>
      </c>
      <c r="Q76" s="36" t="n"/>
      <c r="R76" s="36" t="inlineStr">
        <is>
          <t>오프라인 모드 설정</t>
        </is>
      </c>
      <c r="S76" s="36" t="inlineStr">
        <is>
          <t>(직접 Supabase 호출)</t>
        </is>
      </c>
      <c r="T76" s="36" t="n"/>
      <c r="U76" s="36" t="n"/>
    </row>
    <row r="77">
      <c r="A77" s="35" t="inlineStr">
        <is>
          <t>▼ SCR-033</t>
        </is>
      </c>
      <c r="B77" s="35" t="inlineStr">
        <is>
          <t>데이터 통합 내보내기 (1개 기능)</t>
        </is>
      </c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</row>
    <row r="78">
      <c r="A78" s="35" t="inlineStr">
        <is>
          <t>FN-048</t>
        </is>
      </c>
      <c r="B78" s="35" t="inlineStr">
        <is>
          <t>전체 데이터 엑셀 내보내기</t>
        </is>
      </c>
      <c r="C78" s="35" t="inlineStr">
        <is>
          <t>매출관리</t>
        </is>
      </c>
      <c r="D78" s="36" t="inlineStr">
        <is>
          <t>Web</t>
        </is>
      </c>
      <c r="E78" s="36" t="inlineStr">
        <is>
          <t>High</t>
        </is>
      </c>
      <c r="F78" s="36" t="inlineStr">
        <is>
          <t>전체 데이터 원장을 엑셀로 내보내기. 권한별 컬럼 필터링</t>
        </is>
      </c>
      <c r="G78" s="36" t="inlineStr">
        <is>
          <t>1) 회원/매출/출석/레슨/상품 등 전체 원장 내보내기
2) 모든 필드 포함(필터링 없는 raw 데이터)
3) 권한별 열람 가능 컬럼 자동 필터
4) 기간/지점/카테고리 필터
5) CSV/XLSX 포맷 선택</t>
        </is>
      </c>
      <c r="H78" s="36" t="inlineStr">
        <is>
          <t>SCR-033</t>
        </is>
      </c>
      <c r="I78" s="36" t="inlineStr">
        <is>
          <t>데이터 유형, 기간, 지점, 포맷</t>
        </is>
      </c>
      <c r="J78" s="36" t="inlineStr">
        <is>
          <t>엑셀 파일 다운로드</t>
        </is>
      </c>
      <c r="K78" s="36" t="inlineStr">
        <is>
          <t>1) 센터장 이상: 전체 컬럼
2) 매니저: 급여/개인정보 제외
3) FC: 담당 회원만
4) 최대 내보내기: 10만 건/회</t>
        </is>
      </c>
      <c r="L78" s="36" t="inlineStr">
        <is>
          <t>대용량: 비동기 처리 + 이메일 발송</t>
        </is>
      </c>
      <c r="M78" s="36" t="inlineStr">
        <is>
          <t>엑셀 export: xlsx 라이브러리 기반 실제 XLSX 다운로드 구현
11개 페이지 (회원/매출/직원/상품/출석/락커/RFID/급여/마일리지/쿠폰/메시지)
exportToExcel() 공통 유틸리티</t>
        </is>
      </c>
      <c r="N78" s="36" t="n"/>
      <c r="O78" s="36" t="n"/>
      <c r="P78" s="36" t="inlineStr">
        <is>
          <t>개발완료</t>
        </is>
      </c>
      <c r="Q78" s="36" t="n"/>
      <c r="R78" s="36" t="inlineStr">
        <is>
          <t>데이터 통합 내보내기</t>
        </is>
      </c>
      <c r="S78" s="36" t="inlineStr">
        <is>
          <t>(직접 Supabase 호출)</t>
        </is>
      </c>
      <c r="T78" s="36" t="inlineStr">
        <is>
          <t>exportToExcel 공통 유틸 구현 완료 (2026-03-13). 전체 페이지 엑셀 다운로드 동작</t>
        </is>
      </c>
      <c r="U78" s="36" t="n"/>
    </row>
    <row r="79">
      <c r="A79" s="35" t="inlineStr">
        <is>
          <t>FN-049</t>
        </is>
      </c>
      <c r="B79" s="35" t="inlineStr">
        <is>
          <t>상품 한 화면 세팅</t>
        </is>
      </c>
      <c r="C79" s="35" t="inlineStr">
        <is>
          <t>상품관리</t>
        </is>
      </c>
      <c r="D79" s="36" t="inlineStr">
        <is>
          <t>Web</t>
        </is>
      </c>
      <c r="E79" s="36" t="inlineStr">
        <is>
          <t>Critical</t>
        </is>
      </c>
      <c r="F79" s="36" t="inlineStr">
        <is>
          <t>상품 등록/수정을 한 화면에서 완료. 요일별/시간별/횟수별/기간별 세팅 통합</t>
        </is>
      </c>
      <c r="G79" s="36" t="inlineStr">
        <is>
          <t>1) 한 화면에서 상품명/가격/기간/횟수/요일제한/시간제한 모두 설정
2) 주중권/주말권 분기 설정
3) 횟수제/기간제/혼합 선택
4) 주N회 제한 설정
5) 상품 클릭 시 구매 회원 목록 바로 확인
6) 이용 유효기간 + 횟수 동시 설정 가능</t>
        </is>
      </c>
      <c r="H79" s="36" t="inlineStr">
        <is>
          <t>SCR-041</t>
        </is>
      </c>
      <c r="I79" s="36" t="inlineStr">
        <is>
          <t>상품 전체 속성</t>
        </is>
      </c>
      <c r="J79" s="36" t="inlineStr">
        <is>
          <t>상품 설정 결과, 구매자 목록</t>
        </is>
      </c>
      <c r="K79" s="36" t="inlineStr">
        <is>
          <t>1) 레슨북 UI 벤치마크: 팝업 없이 인라인 설정
2) 요일 체크박스 + 시간 레인지 슬라이더
3) 상품 복제 기능 지원</t>
        </is>
      </c>
      <c r="L79" s="36" t="inlineStr">
        <is>
          <t>필수 항목 미입력: 인라인 에러 표시</t>
        </is>
      </c>
      <c r="M79" s="36" t="inlineStr">
        <is>
          <t>Single-page form + 실시간 미리보기</t>
        </is>
      </c>
      <c r="N79" s="36" t="n"/>
      <c r="O79" s="36" t="n"/>
      <c r="P79" s="36" t="inlineStr">
        <is>
          <t>개발완료</t>
        </is>
      </c>
      <c r="Q79" s="36" t="n"/>
      <c r="R79" s="36" t="inlineStr">
        <is>
          <t>상품 등록</t>
        </is>
      </c>
      <c r="S79" s="36" t="inlineStr">
        <is>
          <t>(직접 Supabase 호출)</t>
        </is>
      </c>
      <c r="T79" s="36" t="n"/>
      <c r="U79" s="36" t="inlineStr">
        <is>
          <t>UI-085, UI-086, UI-087, UI-088</t>
        </is>
      </c>
    </row>
    <row r="80">
      <c r="A80" s="35" t="inlineStr">
        <is>
          <t>FN-050</t>
        </is>
      </c>
      <c r="B80" s="35" t="inlineStr">
        <is>
          <t>라커 우선순위 배정</t>
        </is>
      </c>
      <c r="C80" s="35" t="inlineStr">
        <is>
          <t>시설관리</t>
        </is>
      </c>
      <c r="D80" s="36" t="inlineStr">
        <is>
          <t>Web</t>
        </is>
      </c>
      <c r="E80" s="36" t="inlineStr">
        <is>
          <t>High</t>
        </is>
      </c>
      <c r="F80" s="36" t="inlineStr">
        <is>
          <t>라커 자동 배정 시 상단/홀수 우선 등 우선순위 규칙 적용</t>
        </is>
      </c>
      <c r="G80" s="36" t="inlineStr">
        <is>
          <t>1) 배정 우선순위: 상단 &gt; 하단, 홀수 &gt; 짝수(설정 가능)
2) 회원 선호 라커 우선 배정(선택)
3) 고장/점유 라커 자동 스킵
4) 퇴실 시 라커 자동 해제(센터 설정)
5) 마감 시 전체 라커 일괄 해제 + 잔류물 체크리스트</t>
        </is>
      </c>
      <c r="H80" s="36" t="inlineStr">
        <is>
          <t>SCR-050</t>
        </is>
      </c>
      <c r="I80" s="36" t="inlineStr">
        <is>
          <t>배정규칙(상단우선/홀수우선 등)</t>
        </is>
      </c>
      <c r="J80" s="36" t="inlineStr">
        <is>
          <t>배정 결과</t>
        </is>
      </c>
      <c r="K80" s="36" t="inlineStr">
        <is>
          <t>1) 기본: 홀수 먼저 → 상단 먼저 배정
2) 마감 시 잠긴 라커: 마스터키 해제 → 잔류물 보관
3) 잔류물 15일 보관 후 폐기</t>
        </is>
      </c>
      <c r="L80" s="36" t="inlineStr">
        <is>
          <t>전체 라커 점유 시: 대기 등록 안내</t>
        </is>
      </c>
      <c r="M80" s="36" t="n"/>
      <c r="N80" s="36" t="n"/>
      <c r="O80" s="36" t="n"/>
      <c r="P80" s="36" t="inlineStr">
        <is>
          <t>개발완료</t>
        </is>
      </c>
      <c r="Q80" s="36" t="n"/>
      <c r="R80" s="36" t="inlineStr">
        <is>
          <t>락커 현황</t>
        </is>
      </c>
      <c r="S80" s="36" t="inlineStr">
        <is>
          <t>(직접 Supabase 호출)</t>
        </is>
      </c>
      <c r="T80" s="36" t="n"/>
      <c r="U80" s="36" t="inlineStr">
        <is>
          <t>UI-053, UI-054, UI-055, UI-056</t>
        </is>
      </c>
    </row>
    <row r="81">
      <c r="A81" s="35" t="inlineStr">
        <is>
          <t>FN-051</t>
        </is>
      </c>
      <c r="B81" s="35" t="inlineStr">
        <is>
          <t>실적 담당자/계약 처리자 분리</t>
        </is>
      </c>
      <c r="C81" s="35" t="inlineStr">
        <is>
          <t>매출관리</t>
        </is>
      </c>
      <c r="D81" s="36" t="inlineStr">
        <is>
          <t>Web</t>
        </is>
      </c>
      <c r="E81" s="36" t="inlineStr">
        <is>
          <t>High</t>
        </is>
      </c>
      <c r="F81" s="36" t="inlineStr">
        <is>
          <t>상담 실적 담당자와 실제 계약 처리자를 분리 관리. 실적 귀속 규칙 적용</t>
        </is>
      </c>
      <c r="G81" s="36" t="inlineStr">
        <is>
          <t>1) 계약 시 실적 담당자 + 계약 처리자 각각 지정
2) 최초 상담자 자동 실적 귀속(기본)
3) 상담 후 N일 경과 시 실적 귀속 해제(센터 설정)
4) 실적 담당자별 매출 집계
5) 분쟁 방지: 상담 이력 자동 기록</t>
        </is>
      </c>
      <c r="H81" s="36" t="inlineStr">
        <is>
          <t>SCR-030</t>
        </is>
      </c>
      <c r="I81" s="36" t="inlineStr">
        <is>
          <t>실적담당자ID, 계약처리자ID, 귀속기간</t>
        </is>
      </c>
      <c r="J81" s="36" t="inlineStr">
        <is>
          <t>실적 집계, 이력</t>
        </is>
      </c>
      <c r="K81" s="36" t="inlineStr">
        <is>
          <t>1) 최초 상담 → 실적 귀속 기본 30일
2) 30일 초과: 실적 귀속 해제, 새 상담자에게 이전
3) 팀 매출 vs 개인 매출 구분 집계</t>
        </is>
      </c>
      <c r="L81" s="36" t="inlineStr">
        <is>
          <t>담당자 퇴사 시: 실적 재배정 필요 알림</t>
        </is>
      </c>
      <c r="M81" s="36" t="n"/>
      <c r="N81" s="36" t="n"/>
      <c r="O81" s="36" t="n"/>
      <c r="P81" s="36" t="inlineStr">
        <is>
          <t>개발완료</t>
        </is>
      </c>
      <c r="Q81" s="36" t="n"/>
      <c r="R81" s="36" t="inlineStr">
        <is>
          <t>매출 조회</t>
        </is>
      </c>
      <c r="S81" s="36" t="inlineStr">
        <is>
          <t>(직접 Supabase 호출)</t>
        </is>
      </c>
      <c r="T81" s="36" t="n"/>
      <c r="U81" s="36" t="inlineStr">
        <is>
          <t>UI-038, UI-039, UI-040, UI-041, UI-042, UI-043, UI-044</t>
        </is>
      </c>
    </row>
    <row r="82">
      <c r="A82" s="35" t="inlineStr">
        <is>
          <t>FN-052</t>
        </is>
      </c>
      <c r="B82" s="35" t="inlineStr">
        <is>
          <t>프로모션 할인 자동 적용</t>
        </is>
      </c>
      <c r="C82" s="35" t="inlineStr">
        <is>
          <t>상품관리</t>
        </is>
      </c>
      <c r="D82" s="36" t="inlineStr">
        <is>
          <t>Web</t>
        </is>
      </c>
      <c r="E82" s="36" t="inlineStr">
        <is>
          <t>High</t>
        </is>
      </c>
      <c r="F82" s="36" t="inlineStr">
        <is>
          <t>월별 프로모션 할인율을 상품에 자동 적용. 신규/재등록/기간별 할인 분기</t>
        </is>
      </c>
      <c r="G82" s="36" t="inlineStr">
        <is>
          <t>1) 프로모션 기간/대상/할인율 사전 설정
2) 계약 시 해당 프로모션 자동 적용
3) 신규/재등록/휴면복귀 구분 할인
4) FC 재량 할인 한도 설정(예: 최대 5%)
5) 할인 적용 시 원가/할인가/최종가 자동 계산</t>
        </is>
      </c>
      <c r="H82" s="36" t="inlineStr">
        <is>
          <t>SCR-041</t>
        </is>
      </c>
      <c r="I82" s="36" t="inlineStr">
        <is>
          <t>프로모션ID, 기간, 대상유형, 할인율</t>
        </is>
      </c>
      <c r="J82" s="36" t="inlineStr">
        <is>
          <t>할인 적용 결과</t>
        </is>
      </c>
      <c r="K82" s="36" t="inlineStr">
        <is>
          <t>1) 프로모션 중복 적용 불가(최대 혜택 자동 선택)
2) FC 재량 할인: 센터장이 한도 설정
3) 할인 이력 전체 감사 로그 기록</t>
        </is>
      </c>
      <c r="L82" s="36" t="inlineStr">
        <is>
          <t>할인율 50% 초과: 센터장 승인 필요</t>
        </is>
      </c>
      <c r="M82" s="36" t="n"/>
      <c r="N82" s="36" t="n"/>
      <c r="O82" s="36" t="n"/>
      <c r="P82" s="36" t="inlineStr">
        <is>
          <t>개발완료</t>
        </is>
      </c>
      <c r="Q82" s="36" t="n"/>
      <c r="R82" s="36" t="inlineStr">
        <is>
          <t>상품 등록</t>
        </is>
      </c>
      <c r="S82" s="36" t="inlineStr">
        <is>
          <t>(직접 Supabase 호출)</t>
        </is>
      </c>
      <c r="T82" s="36" t="n"/>
      <c r="U82" s="36" t="inlineStr">
        <is>
          <t>UI-085, UI-086, UI-087, UI-088</t>
        </is>
      </c>
    </row>
    <row r="83">
      <c r="A83" s="35" t="inlineStr">
        <is>
          <t>▼ SCR-K01</t>
        </is>
      </c>
      <c r="B83" s="35" t="inlineStr">
        <is>
          <t>키오스크 입장 (1개 기능)</t>
        </is>
      </c>
      <c r="C83" s="35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</row>
    <row r="84">
      <c r="A84" s="35" t="inlineStr">
        <is>
          <t>FN-K01</t>
        </is>
      </c>
      <c r="B84" s="35" t="inlineStr">
        <is>
          <t>키오스크 회원 입장</t>
        </is>
      </c>
      <c r="C84" s="35" t="inlineStr">
        <is>
          <t>키오스크</t>
        </is>
      </c>
      <c r="D84" s="36" t="inlineStr">
        <is>
          <t>Kiosk</t>
        </is>
      </c>
      <c r="E84" s="36" t="inlineStr">
        <is>
          <t>Critical</t>
        </is>
      </c>
      <c r="F84" s="36" t="inlineStr">
        <is>
          <t>얼굴인식/전화번호/NFC 밴드로 회원 입장 처리</t>
        </is>
      </c>
      <c r="G84" s="36" t="inlineStr">
        <is>
          <t>1) 얼굴인식 입장(브로제이 방식): 카메라 인식 → 회원정보 표시 → 확인
2) 전화번호 입장: 번호 입력 → 회원정보 표시
3) NFC 밴드 태그 입장(온핏 방식)
4) 입장 시 라커 자동 배정 + 번호 표시
5) 동시 다중 인식 지원(얼굴인식 시)</t>
        </is>
      </c>
      <c r="H84" s="36" t="inlineStr">
        <is>
          <t>SCR-K01</t>
        </is>
      </c>
      <c r="I84" s="36" t="inlineStr">
        <is>
          <t>얼굴/전화번호/NFC</t>
        </is>
      </c>
      <c r="J84" s="36" t="inlineStr">
        <is>
          <t>회원정보, 라커번호, 입장시간</t>
        </is>
      </c>
      <c r="K84" s="36" t="inlineStr">
        <is>
          <t>1) 미등록 얼굴: '등록되지 않은 회원입니다' 안내
2) 만료 회원: 입장 허용 여부 센터 설정
3) 입장 로그 자동 기록</t>
        </is>
      </c>
      <c r="L84" s="36" t="inlineStr">
        <is>
          <t>인식 실패: 전화번호 폴백
네트워크 장애: 오프라인 모드 전환</t>
        </is>
      </c>
      <c r="M84" s="36" t="inlineStr">
        <is>
          <t>얼굴인식 SDK + NFC Reader</t>
        </is>
      </c>
      <c r="N84" s="36" t="n"/>
      <c r="O84" s="36" t="n"/>
      <c r="P84" s="36" t="inlineStr">
        <is>
          <t>기획완료</t>
        </is>
      </c>
      <c r="Q84" s="36" t="n"/>
      <c r="R84" s="36" t="inlineStr">
        <is>
          <t>키오스크 입장</t>
        </is>
      </c>
      <c r="S84" s="36" t="inlineStr">
        <is>
          <t>(직접 Supabase 호출)</t>
        </is>
      </c>
      <c r="T84" s="36" t="n"/>
      <c r="U84" s="36" t="n"/>
    </row>
    <row r="85">
      <c r="A85" s="35" t="inlineStr">
        <is>
          <t>▼ SCR-K02</t>
        </is>
      </c>
      <c r="B85" s="35" t="inlineStr">
        <is>
          <t>키오스크 퇴장 (1개 기능)</t>
        </is>
      </c>
      <c r="C85" s="35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</row>
    <row r="86">
      <c r="A86" s="35" t="inlineStr">
        <is>
          <t>FN-K02</t>
        </is>
      </c>
      <c r="B86" s="35" t="inlineStr">
        <is>
          <t>키오스크 회원 퇴장</t>
        </is>
      </c>
      <c r="C86" s="35" t="inlineStr">
        <is>
          <t>키오스크</t>
        </is>
      </c>
      <c r="D86" s="36" t="inlineStr">
        <is>
          <t>Kiosk</t>
        </is>
      </c>
      <c r="E86" s="36" t="inlineStr">
        <is>
          <t>Critical</t>
        </is>
      </c>
      <c r="F86" s="36" t="inlineStr">
        <is>
          <t>회원 퇴장 처리. 라커 자동 해제, 이용시간 기록</t>
        </is>
      </c>
      <c r="G86" s="36" t="inlineStr">
        <is>
          <t>1) 얼굴/전화번호/NFC로 퇴장 처리
2) 라커 자동 해제(센터 설정)
3) 이용시간 자동 기록
4) 대치점 방식: 라커키 반납 시 퇴장 처리</t>
        </is>
      </c>
      <c r="H86" s="36" t="inlineStr">
        <is>
          <t>SCR-K02</t>
        </is>
      </c>
      <c r="I86" s="36" t="inlineStr">
        <is>
          <t>회원인증</t>
        </is>
      </c>
      <c r="J86" s="36" t="inlineStr">
        <is>
          <t>퇴장시간, 이용시간</t>
        </is>
      </c>
      <c r="K86" s="36" t="inlineStr">
        <is>
          <t>퇴장 미처리 시 마감 일괄 퇴장 처리</t>
        </is>
      </c>
      <c r="L86" s="36" t="n"/>
      <c r="M86" s="36" t="n"/>
      <c r="N86" s="36" t="n"/>
      <c r="O86" s="36" t="n"/>
      <c r="P86" s="36" t="inlineStr">
        <is>
          <t>기획완료</t>
        </is>
      </c>
      <c r="Q86" s="36" t="n"/>
      <c r="R86" s="36" t="inlineStr">
        <is>
          <t>키오스크 퇴장</t>
        </is>
      </c>
      <c r="S86" s="36" t="inlineStr">
        <is>
          <t>(직접 Supabase 호출)</t>
        </is>
      </c>
      <c r="T86" s="36" t="n"/>
      <c r="U86" s="36" t="n"/>
    </row>
    <row r="87">
      <c r="A87" s="35" t="inlineStr">
        <is>
          <t>▼ SCR-K03</t>
        </is>
      </c>
      <c r="B87" s="35" t="inlineStr">
        <is>
          <t>키오스크 골프 타석 예약 (1개 기능)</t>
        </is>
      </c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</row>
    <row r="88">
      <c r="A88" s="35" t="inlineStr">
        <is>
          <t>FN-K03</t>
        </is>
      </c>
      <c r="B88" s="35" t="inlineStr">
        <is>
          <t>키오스크 골프 타석 예약/대기</t>
        </is>
      </c>
      <c r="C88" s="35" t="inlineStr">
        <is>
          <t>키오스크</t>
        </is>
      </c>
      <c r="D88" s="36" t="inlineStr">
        <is>
          <t>Kiosk</t>
        </is>
      </c>
      <c r="E88" s="36" t="inlineStr">
        <is>
          <t>High</t>
        </is>
      </c>
      <c r="F88" s="36" t="inlineStr">
        <is>
          <t>키오스크에서 골프 타석 예약 및 대기열 등록</t>
        </is>
      </c>
      <c r="G88" s="36" t="inlineStr">
        <is>
          <t>1) 빈 타석 실시간 표시(타석 배치도)
2) 대기 시간 시:분 형식 표시(분 단위 X)
3) 꼬리물기 예약: 현재 이용자 종료 후 자동 시작
4) 대기열 등록(바깥에서 앱으로도 가능)
5) 예약 후 15분 이내 입장 필수</t>
        </is>
      </c>
      <c r="H88" s="36" t="inlineStr">
        <is>
          <t>SCR-K03</t>
        </is>
      </c>
      <c r="I88" s="36" t="inlineStr">
        <is>
          <t>회원ID, 타석번호</t>
        </is>
      </c>
      <c r="J88" s="36" t="inlineStr">
        <is>
          <t>예약확인, 대기순번, 예상시간</t>
        </is>
      </c>
      <c r="K88" s="36" t="inlineStr">
        <is>
          <t>1) 시간 표시: 238분 → '3시간 58분'으로 변환
2) 1회 최대 60분(센터 설정)
3) 예약 후 15분 미입장 → 노쇼</t>
        </is>
      </c>
      <c r="L88" s="36" t="inlineStr">
        <is>
          <t>전체 타석 점유: 대기 등록만 가능</t>
        </is>
      </c>
      <c r="M88" s="36" t="inlineStr">
        <is>
          <t>실시간 WebSocket + 타석 배치도 UI</t>
        </is>
      </c>
      <c r="N88" s="36" t="n"/>
      <c r="O88" s="36" t="n"/>
      <c r="P88" s="36" t="inlineStr">
        <is>
          <t>기획완료</t>
        </is>
      </c>
      <c r="Q88" s="36" t="n"/>
      <c r="R88" s="36" t="inlineStr">
        <is>
          <t>키오스크 골프 타석 예약</t>
        </is>
      </c>
      <c r="S88" s="36" t="inlineStr">
        <is>
          <t>(직접 Supabase 호출)</t>
        </is>
      </c>
      <c r="T88" s="36" t="n"/>
      <c r="U88" s="36" t="n"/>
    </row>
    <row r="89">
      <c r="A89" s="35" t="inlineStr">
        <is>
          <t>▼ SCR-K04</t>
        </is>
      </c>
      <c r="B89" s="35" t="inlineStr">
        <is>
          <t>키오스크 사물함 확인 (1개 기능)</t>
        </is>
      </c>
      <c r="C89" s="35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</row>
    <row r="90">
      <c r="A90" s="35" t="inlineStr">
        <is>
          <t>FN-K04</t>
        </is>
      </c>
      <c r="B90" s="35" t="inlineStr">
        <is>
          <t>키오스크 사물함 번호 확인/영수증</t>
        </is>
      </c>
      <c r="C90" s="35" t="inlineStr">
        <is>
          <t>키오스크</t>
        </is>
      </c>
      <c r="D90" s="36" t="inlineStr">
        <is>
          <t>Kiosk</t>
        </is>
      </c>
      <c r="E90" s="36" t="inlineStr">
        <is>
          <t>High</t>
        </is>
      </c>
      <c r="F90" s="36" t="inlineStr">
        <is>
          <t>배정된 라커 번호 확인 및 영수증 출력</t>
        </is>
      </c>
      <c r="G90" s="36" t="inlineStr">
        <is>
          <t>1) 회원 인증 후 배정된 라커 번호 표시
2) 영수증 형태로 라커 번호 출력(대치점 방식)
3) 영수증에 라커 번호 크게 표시(고령 회원 배려)
4) 라커 위치 안내(층/구역)</t>
        </is>
      </c>
      <c r="H90" s="36" t="inlineStr">
        <is>
          <t>SCR-K04</t>
        </is>
      </c>
      <c r="I90" s="36" t="inlineStr">
        <is>
          <t>회원인증</t>
        </is>
      </c>
      <c r="J90" s="36" t="inlineStr">
        <is>
          <t>라커번호, 영수증</t>
        </is>
      </c>
      <c r="K90" s="36" t="inlineStr">
        <is>
          <t>영수증 출력은 대치점 방식 벤치마크(찜질방 스타일)</t>
        </is>
      </c>
      <c r="L90" s="36" t="inlineStr">
        <is>
          <t>미배정 시: 자동 배정 후 표시</t>
        </is>
      </c>
      <c r="M90" s="36" t="n"/>
      <c r="N90" s="36" t="n"/>
      <c r="O90" s="36" t="n"/>
      <c r="P90" s="36" t="inlineStr">
        <is>
          <t>기획완료</t>
        </is>
      </c>
      <c r="Q90" s="36" t="n"/>
      <c r="R90" s="36" t="inlineStr">
        <is>
          <t>키오스크 사물함 확인</t>
        </is>
      </c>
      <c r="S90" s="36" t="inlineStr">
        <is>
          <t>(직접 Supabase 호출)</t>
        </is>
      </c>
      <c r="T90" s="36" t="n"/>
      <c r="U90" s="36" t="n"/>
    </row>
    <row r="91">
      <c r="A91" s="35" t="inlineStr">
        <is>
          <t>▼ SCR-K05</t>
        </is>
      </c>
      <c r="B91" s="35" t="inlineStr">
        <is>
          <t>키오스크 1일권 결제 (1개 기능)</t>
        </is>
      </c>
      <c r="C91" s="35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</row>
    <row r="92">
      <c r="A92" s="35" t="inlineStr">
        <is>
          <t>FN-K05</t>
        </is>
      </c>
      <c r="B92" s="35" t="inlineStr">
        <is>
          <t>키오스크 1일권 현장 결제</t>
        </is>
      </c>
      <c r="C92" s="35" t="inlineStr">
        <is>
          <t>키오스크</t>
        </is>
      </c>
      <c r="D92" s="36" t="inlineStr">
        <is>
          <t>Kiosk</t>
        </is>
      </c>
      <c r="E92" s="36" t="inlineStr">
        <is>
          <t>High</t>
        </is>
      </c>
      <c r="F92" s="36" t="inlineStr">
        <is>
          <t>비회원 1일권/시간권 키오스크 현장 결제(타입B 전용)</t>
        </is>
      </c>
      <c r="G92" s="36" t="inlineStr">
        <is>
          <t>1) 전화번호 입력 → 가상 회원ID 자동 생성
2) 상품 선택(1일권/시간권 등)
3) 카드/간편결제(서울페이/제로페이 등)
4) 결제 완료 → 라커 배정 → 입장 처리
5) 당일 만료 자동 설정</t>
        </is>
      </c>
      <c r="H92" s="36" t="inlineStr">
        <is>
          <t>SCR-K05</t>
        </is>
      </c>
      <c r="I92" s="36" t="inlineStr">
        <is>
          <t>전화번호, 상품, 결제수단</t>
        </is>
      </c>
      <c r="J92" s="36" t="inlineStr">
        <is>
          <t>결제영수증, 라커번호, 입장확인</t>
        </is>
      </c>
      <c r="K92" s="36" t="inlineStr">
        <is>
          <t>1) 타입B 키오스크에서만 노출
2) 가상 회원: 당일 자동 만료
3) 결제 수단: 카드/간편결제(현금 X)</t>
        </is>
      </c>
      <c r="L92" s="36" t="inlineStr">
        <is>
          <t>결제 실패: 재시도 안내
PG 연동 실패: 프론트 데스크 안내</t>
        </is>
      </c>
      <c r="M92" s="36" t="inlineStr">
        <is>
          <t>PG SDK + 간편결제 모듈</t>
        </is>
      </c>
      <c r="N92" s="36" t="n"/>
      <c r="O92" s="36" t="n"/>
      <c r="P92" s="36" t="inlineStr">
        <is>
          <t>기획완료</t>
        </is>
      </c>
      <c r="Q92" s="36" t="n"/>
      <c r="R92" s="36" t="inlineStr">
        <is>
          <t>키오스크 1일권 결제</t>
        </is>
      </c>
      <c r="S92" s="36" t="inlineStr">
        <is>
          <t>(직접 Supabase 호출)</t>
        </is>
      </c>
      <c r="T92" s="36" t="n"/>
      <c r="U92" s="36" t="n"/>
    </row>
    <row r="93">
      <c r="A93" s="35" t="inlineStr">
        <is>
          <t>▼ SCR-K06</t>
        </is>
      </c>
      <c r="B93" s="35" t="inlineStr">
        <is>
          <t>키오스크 GX 예약 (1개 기능)</t>
        </is>
      </c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</row>
    <row r="94">
      <c r="A94" s="35" t="inlineStr">
        <is>
          <t>FN-K06</t>
        </is>
      </c>
      <c r="B94" s="35" t="inlineStr">
        <is>
          <t>키오스크 GX 프로그램 예약</t>
        </is>
      </c>
      <c r="C94" s="35" t="inlineStr">
        <is>
          <t>키오스크</t>
        </is>
      </c>
      <c r="D94" s="36" t="inlineStr">
        <is>
          <t>Kiosk</t>
        </is>
      </c>
      <c r="E94" s="36" t="inlineStr">
        <is>
          <t>High</t>
        </is>
      </c>
      <c r="F94" s="36" t="inlineStr">
        <is>
          <t>키오스크에서 GX 프로그램 예약/취소, 좌석 선택</t>
        </is>
      </c>
      <c r="G94" s="36" t="inlineStr">
        <is>
          <t>1) 오늘/이번 주 GX 시간표 표시
2) 잔여석 실시간 표시
3) 예약/취소 가능(취소 시한 내)
4) 스피닝: 바이크 좌석 배치도에서 선택
5) 횟수권 잔여 횟수 표시</t>
        </is>
      </c>
      <c r="H94" s="36" t="inlineStr">
        <is>
          <t>SCR-K06</t>
        </is>
      </c>
      <c r="I94" s="36" t="inlineStr">
        <is>
          <t>회원ID, 수업ID, 좌석번호</t>
        </is>
      </c>
      <c r="J94" s="36" t="inlineStr">
        <is>
          <t>예약확인, 잔여횟수</t>
        </is>
      </c>
      <c r="K94" s="36" t="inlineStr">
        <is>
          <t>1) 예약 오픈 전 수업: '예약 오픈 전' 표시
2) 정원 초과: 대기 등록
3) 횟수 소진: 추가 구매 안내</t>
        </is>
      </c>
      <c r="L94" s="36" t="inlineStr">
        <is>
          <t>잔여 횟수 0: '이용권을 구매해주세요' 안내</t>
        </is>
      </c>
      <c r="M94" s="36" t="n"/>
      <c r="N94" s="36" t="n"/>
      <c r="O94" s="36" t="n"/>
      <c r="P94" s="36" t="inlineStr">
        <is>
          <t>기획완료</t>
        </is>
      </c>
      <c r="Q94" s="36" t="n"/>
      <c r="R94" s="36" t="inlineStr">
        <is>
          <t>키오스크 GX 예약</t>
        </is>
      </c>
      <c r="S94" s="36" t="inlineStr">
        <is>
          <t>(직접 Supabase 호출)</t>
        </is>
      </c>
      <c r="T94" s="36" t="n"/>
      <c r="U94" s="36" t="n"/>
    </row>
    <row r="95">
      <c r="A95" s="35" t="inlineStr">
        <is>
          <t>▼ SCR-K07</t>
        </is>
      </c>
      <c r="B95" s="35" t="inlineStr">
        <is>
          <t>키오스크 골프 타석 입장 (1개 기능)</t>
        </is>
      </c>
      <c r="C95" s="35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</row>
    <row r="96">
      <c r="A96" s="35" t="inlineStr">
        <is>
          <t>FN-K07</t>
        </is>
      </c>
      <c r="B96" s="35" t="inlineStr">
        <is>
          <t>키오스크 골프 타석 입장/시작</t>
        </is>
      </c>
      <c r="C96" s="35" t="inlineStr">
        <is>
          <t>키오스크</t>
        </is>
      </c>
      <c r="D96" s="36" t="inlineStr">
        <is>
          <t>Kiosk</t>
        </is>
      </c>
      <c r="E96" s="36" t="inlineStr">
        <is>
          <t>High</t>
        </is>
      </c>
      <c r="F96" s="36" t="inlineStr">
        <is>
          <t>예약한 골프 타석 입장 인증 → 스크린 잠금 해제 → 이용 시작</t>
        </is>
      </c>
      <c r="G96" s="36" t="inlineStr">
        <is>
          <t>1) 전화번호/얼굴인식으로 예약 확인
2) 예약된 타석 스크린 잠금 자동 해제
3) 이용시간 카운트다운 시작
4) 종료 10분 전 알림
5) 시간 종료 시 자동 스크린 잠금</t>
        </is>
      </c>
      <c r="H96" s="36" t="inlineStr">
        <is>
          <t>SCR-K07</t>
        </is>
      </c>
      <c r="I96" s="36" t="inlineStr">
        <is>
          <t>회원인증, 예약번호</t>
        </is>
      </c>
      <c r="J96" s="36" t="inlineStr">
        <is>
          <t>타석번호, 잔여시간</t>
        </is>
      </c>
      <c r="K96" s="36" t="inlineStr">
        <is>
          <t>1) 예약 없이 입장 불가
2) 예약 후 15분 미입장 → 노쇼
3) 이용 중 타석 이동: 빈 타석으로만 가능</t>
        </is>
      </c>
      <c r="L96" s="36" t="inlineStr">
        <is>
          <t>예약 없음: '예약 후 이용해주세요' 안내</t>
        </is>
      </c>
      <c r="M96" s="36" t="n"/>
      <c r="N96" s="36" t="n"/>
      <c r="O96" s="36" t="n"/>
      <c r="P96" s="36" t="inlineStr">
        <is>
          <t>기획완료</t>
        </is>
      </c>
      <c r="Q96" s="36" t="n"/>
      <c r="R96" s="36" t="inlineStr">
        <is>
          <t>키오스크 골프 타석 입장</t>
        </is>
      </c>
      <c r="S96" s="36" t="inlineStr">
        <is>
          <t>(직접 Supabase 호출)</t>
        </is>
      </c>
      <c r="T96" s="36" t="n"/>
      <c r="U96" s="36" t="n"/>
    </row>
    <row r="97">
      <c r="A97" s="35" t="inlineStr">
        <is>
          <t>▼ SCR-M01</t>
        </is>
      </c>
      <c r="B97" s="35" t="inlineStr">
        <is>
          <t>앱 홈 (1개 기능)</t>
        </is>
      </c>
      <c r="C97" s="35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</row>
    <row r="98">
      <c r="A98" s="35" t="inlineStr">
        <is>
          <t>FN-M01</t>
        </is>
      </c>
      <c r="B98" s="35" t="inlineStr">
        <is>
          <t>회원 앱 홈 대시보드</t>
        </is>
      </c>
      <c r="C98" s="35" t="inlineStr">
        <is>
          <t>회원앱</t>
        </is>
      </c>
      <c r="D98" s="36" t="inlineStr">
        <is>
          <t>App</t>
        </is>
      </c>
      <c r="E98" s="36" t="inlineStr">
        <is>
          <t>Critical</t>
        </is>
      </c>
      <c r="F98" s="36" t="inlineStr">
        <is>
          <t>회원 앱 메인 화면. 이용권 잔여, 오늘 예약, 출석 현황 요약</t>
        </is>
      </c>
      <c r="G98" s="36" t="inlineStr">
        <is>
          <t>1) 이용권 잔여일/잔여횟수 카드
2) 오늘 예약 목록(GX/PT/골프)
3) 이번 달 출석 현황
4) 공지사항/프로모션 배너
5) 빠른 입장 QR 버튼</t>
        </is>
      </c>
      <c r="H98" s="36" t="inlineStr">
        <is>
          <t>SCR-M01</t>
        </is>
      </c>
      <c r="I98" s="36" t="inlineStr">
        <is>
          <t>회원 로그인</t>
        </is>
      </c>
      <c r="J98" s="36" t="inlineStr">
        <is>
          <t>이용권현황, 예약목록, 출석현황</t>
        </is>
      </c>
      <c r="K98" s="36" t="inlineStr">
        <is>
          <t>앱 실행 시 자동 로그인(생체인증/토큰)</t>
        </is>
      </c>
      <c r="L98" s="36" t="inlineStr">
        <is>
          <t>토큰 만료: 재로그인 안내</t>
        </is>
      </c>
      <c r="M98" s="36" t="inlineStr">
        <is>
          <t>React Native</t>
        </is>
      </c>
      <c r="N98" s="36" t="n"/>
      <c r="O98" s="36" t="n"/>
      <c r="P98" s="36" t="inlineStr">
        <is>
          <t>기획완료</t>
        </is>
      </c>
      <c r="Q98" s="36" t="n"/>
      <c r="R98" s="36" t="inlineStr">
        <is>
          <t>앱 홈</t>
        </is>
      </c>
      <c r="S98" s="36" t="inlineStr">
        <is>
          <t>(직접 Supabase 호출)</t>
        </is>
      </c>
      <c r="T98" s="36" t="n"/>
      <c r="U98" s="36" t="n"/>
    </row>
    <row r="99">
      <c r="A99" s="35" t="inlineStr">
        <is>
          <t>▼ SCR-M02</t>
        </is>
      </c>
      <c r="B99" s="35" t="inlineStr">
        <is>
          <t>앱 QR 입장 (1개 기능)</t>
        </is>
      </c>
      <c r="C99" s="35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</row>
    <row r="100">
      <c r="A100" s="35" t="inlineStr">
        <is>
          <t>FN-M02</t>
        </is>
      </c>
      <c r="B100" s="35" t="inlineStr">
        <is>
          <t>앱 QR코드 입장/퇴장</t>
        </is>
      </c>
      <c r="C100" s="35" t="inlineStr">
        <is>
          <t>회원앱</t>
        </is>
      </c>
      <c r="D100" s="36" t="inlineStr">
        <is>
          <t>App</t>
        </is>
      </c>
      <c r="E100" s="36" t="inlineStr">
        <is>
          <t>Critical</t>
        </is>
      </c>
      <c r="F100" s="36" t="inlineStr">
        <is>
          <t>앱에서 QR코드 표시하여 센터 입장/퇴장, 라커 번호 확인</t>
        </is>
      </c>
      <c r="G100" s="36" t="inlineStr">
        <is>
          <t>1) 입장용 QR코드 실시간 생성(30초 갱신)
2) QR 스캔 → 입장 처리 + 라커 배정
3) 배정된 라커 번호 앱에 표시
4) 퇴장 시 QR 스캔 → 라커 해제</t>
        </is>
      </c>
      <c r="H100" s="36" t="inlineStr">
        <is>
          <t>SCR-M02</t>
        </is>
      </c>
      <c r="I100" s="36" t="inlineStr">
        <is>
          <t>회원인증</t>
        </is>
      </c>
      <c r="J100" s="36" t="inlineStr">
        <is>
          <t>QR코드, 라커번호, 입장시간</t>
        </is>
      </c>
      <c r="K100" s="36" t="inlineStr">
        <is>
          <t>QR코드: 일회용, 30초마다 갱신(보안)</t>
        </is>
      </c>
      <c r="L100" s="36" t="inlineStr">
        <is>
          <t>오프라인: QR 생성 불가 안내</t>
        </is>
      </c>
      <c r="M100" s="36" t="inlineStr">
        <is>
          <t>QR 생성 라이브러리</t>
        </is>
      </c>
      <c r="N100" s="36" t="n"/>
      <c r="O100" s="36" t="n"/>
      <c r="P100" s="36" t="inlineStr">
        <is>
          <t>기획완료</t>
        </is>
      </c>
      <c r="Q100" s="36" t="n"/>
      <c r="R100" s="36" t="inlineStr">
        <is>
          <t>앱 QR 입장</t>
        </is>
      </c>
      <c r="S100" s="36" t="inlineStr">
        <is>
          <t>(직접 Supabase 호출)</t>
        </is>
      </c>
      <c r="T100" s="36" t="n"/>
      <c r="U100" s="36" t="n"/>
    </row>
    <row r="101">
      <c r="A101" s="35" t="inlineStr">
        <is>
          <t>▼ SCR-M03</t>
        </is>
      </c>
      <c r="B101" s="35" t="inlineStr">
        <is>
          <t>앱 GX 예약 (1개 기능)</t>
        </is>
      </c>
      <c r="C101" s="35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</row>
    <row r="102">
      <c r="A102" s="35" t="inlineStr">
        <is>
          <t>FN-M03</t>
        </is>
      </c>
      <c r="B102" s="35" t="inlineStr">
        <is>
          <t>앱 GX 예약/좌석 선택</t>
        </is>
      </c>
      <c r="C102" s="35" t="inlineStr">
        <is>
          <t>회원앱</t>
        </is>
      </c>
      <c r="D102" s="36" t="inlineStr">
        <is>
          <t>App</t>
        </is>
      </c>
      <c r="E102" s="36" t="inlineStr">
        <is>
          <t>Critical</t>
        </is>
      </c>
      <c r="F102" s="36" t="inlineStr">
        <is>
          <t>회원 앱에서 GX 예약, 스피닝 좌석 선택, 취소, 대기 등록</t>
        </is>
      </c>
      <c r="G102" s="36" t="inlineStr">
        <is>
          <t>1) 주간 GX 시간표 + 잔여석 표시
2) 수업 탭으로 예약(원터치)
3) 스피닝: 바이크 배치도에서 좌석 선택
4) 취소 가능 시한 표시(N시간 전)
5) 정원 초과 시 대기 등록 + 빈자리 알림
6) 예약 확정/변경/취소 푸시 알림</t>
        </is>
      </c>
      <c r="H102" s="36" t="inlineStr">
        <is>
          <t>SCR-M03</t>
        </is>
      </c>
      <c r="I102" s="36" t="inlineStr">
        <is>
          <t>수업ID, 좌석번호</t>
        </is>
      </c>
      <c r="J102" s="36" t="inlineStr">
        <is>
          <t>예약확인, 잔여횟수, 좌석번호</t>
        </is>
      </c>
      <c r="K102" s="36" t="inlineStr">
        <is>
          <t>1) 예약 오픈 시 앱 푸시 알림
2) 취소 시한 초과: 횟수 차감 경고 표시
3) 노쇼 페널티 이력 확인 가능</t>
        </is>
      </c>
      <c r="L102" s="36" t="inlineStr">
        <is>
          <t>정원 초과: 대기 등록 안내</t>
        </is>
      </c>
      <c r="M102" s="36" t="inlineStr">
        <is>
          <t>React Native + 좌석 배치 SVG</t>
        </is>
      </c>
      <c r="N102" s="36" t="n"/>
      <c r="O102" s="36" t="n"/>
      <c r="P102" s="36" t="inlineStr">
        <is>
          <t>기획완료</t>
        </is>
      </c>
      <c r="Q102" s="36" t="n"/>
      <c r="R102" s="36" t="inlineStr">
        <is>
          <t>앱 GX 예약</t>
        </is>
      </c>
      <c r="S102" s="36" t="inlineStr">
        <is>
          <t>(직접 Supabase 호출)</t>
        </is>
      </c>
      <c r="T102" s="36" t="n"/>
      <c r="U102" s="36" t="n"/>
    </row>
    <row r="103">
      <c r="A103" s="35" t="inlineStr">
        <is>
          <t>▼ SCR-M04</t>
        </is>
      </c>
      <c r="B103" s="35" t="inlineStr">
        <is>
          <t>앱 골프 예약 (1개 기능)</t>
        </is>
      </c>
      <c r="C103" s="35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</row>
    <row r="104">
      <c r="A104" s="35" t="inlineStr">
        <is>
          <t>FN-M04</t>
        </is>
      </c>
      <c r="B104" s="35" t="inlineStr">
        <is>
          <t>앱 골프 타석 원격 예약</t>
        </is>
      </c>
      <c r="C104" s="35" t="inlineStr">
        <is>
          <t>회원앱</t>
        </is>
      </c>
      <c r="D104" s="36" t="inlineStr">
        <is>
          <t>App</t>
        </is>
      </c>
      <c r="E104" s="36" t="inlineStr">
        <is>
          <t>High</t>
        </is>
      </c>
      <c r="F104" s="36" t="inlineStr">
        <is>
          <t>앱에서 골프 타석 원격 예약/대기. 현장 방문 없이 대기열 등록</t>
        </is>
      </c>
      <c r="G104" s="36" t="inlineStr">
        <is>
          <t>1) 타석별 실시간 현황(이용중/대기/빈 타석)
2) 잔여시간 시:분 형식 표시
3) 원격 대기열 등록 → 순번 알림
4) 내 순번 도달 시 푸시 알림
5) 예약 취소 가능</t>
        </is>
      </c>
      <c r="H104" s="36" t="inlineStr">
        <is>
          <t>SCR-M04</t>
        </is>
      </c>
      <c r="I104" s="36" t="inlineStr">
        <is>
          <t>타석번호, 회원ID</t>
        </is>
      </c>
      <c r="J104" s="36" t="inlineStr">
        <is>
          <t>예약확인, 대기순번, 예상시간</t>
        </is>
      </c>
      <c r="K104" s="36" t="inlineStr">
        <is>
          <t>현장 미방문 대기: 순번 도달 후 15분 이내 입장 필수</t>
        </is>
      </c>
      <c r="L104" s="36" t="inlineStr">
        <is>
          <t>입장 시한 초과: 자동 취소 + 다음 대기자</t>
        </is>
      </c>
      <c r="M104" s="36" t="n"/>
      <c r="N104" s="36" t="n"/>
      <c r="O104" s="36" t="n"/>
      <c r="P104" s="36" t="inlineStr">
        <is>
          <t>기획완료</t>
        </is>
      </c>
      <c r="Q104" s="36" t="n"/>
      <c r="R104" s="36" t="inlineStr">
        <is>
          <t>앱 골프 타석 예약</t>
        </is>
      </c>
      <c r="S104" s="36" t="inlineStr">
        <is>
          <t>(직접 Supabase 호출)</t>
        </is>
      </c>
      <c r="T104" s="36" t="n"/>
      <c r="U104" s="36" t="n"/>
    </row>
    <row r="105">
      <c r="A105" s="35" t="inlineStr">
        <is>
          <t>▼ SCR-M05</t>
        </is>
      </c>
      <c r="B105" s="35" t="inlineStr">
        <is>
          <t>앱 레슨 예약/서명 (1개 기능)</t>
        </is>
      </c>
      <c r="C105" s="35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</row>
    <row r="106">
      <c r="A106" s="35" t="inlineStr">
        <is>
          <t>FN-M05</t>
        </is>
      </c>
      <c r="B106" s="35" t="inlineStr">
        <is>
          <t>앱 레슨 예약 + 수업 후 서명</t>
        </is>
      </c>
      <c r="C106" s="35" t="inlineStr">
        <is>
          <t>회원앱</t>
        </is>
      </c>
      <c r="D106" s="36" t="inlineStr">
        <is>
          <t>App</t>
        </is>
      </c>
      <c r="E106" s="36" t="inlineStr">
        <is>
          <t>High</t>
        </is>
      </c>
      <c r="F106" s="36" t="inlineStr">
        <is>
          <t>PT/골프 레슨 예약, 수업 완료 후 터치 서명, 레슨 기록 열람</t>
        </is>
      </c>
      <c r="G106" s="36" t="inlineStr">
        <is>
          <t>1) 담당 트레이너 스케줄에서 예약
2) 수업 완료 후 트레이너 요청 → 서명 화면 팝업
3) 터치 서명으로 수업 확인
4) 레슨 기록(트레이너 작성) 열람
5) 잔여 횟수/기간 확인</t>
        </is>
      </c>
      <c r="H106" s="36" t="inlineStr">
        <is>
          <t>SCR-M05</t>
        </is>
      </c>
      <c r="I106" s="36" t="inlineStr">
        <is>
          <t>트레이너ID, 수업시간, 서명이미지</t>
        </is>
      </c>
      <c r="J106" s="36" t="inlineStr">
        <is>
          <t>예약확인, 레슨기록, 잔여횟수</t>
        </is>
      </c>
      <c r="K106" s="36" t="inlineStr">
        <is>
          <t>1) 서명 거부 시 관리자 알림
2) 24시간 내 미서명 → 자동 완료(정책에 따라)</t>
        </is>
      </c>
      <c r="L106" s="36" t="inlineStr">
        <is>
          <t>트레이너 스케줄 없음: '가능한 시간이 없습니다'</t>
        </is>
      </c>
      <c r="M106" s="36" t="inlineStr">
        <is>
          <t>Canvas 서명 + FCM Push</t>
        </is>
      </c>
      <c r="N106" s="36" t="n"/>
      <c r="O106" s="36" t="n"/>
      <c r="P106" s="36" t="inlineStr">
        <is>
          <t>기획완료</t>
        </is>
      </c>
      <c r="Q106" s="36" t="n"/>
      <c r="R106" s="36" t="inlineStr">
        <is>
          <t>앱 레슨 예약/서명</t>
        </is>
      </c>
      <c r="S106" s="36" t="inlineStr">
        <is>
          <t>(직접 Supabase 호출)</t>
        </is>
      </c>
      <c r="T106" s="36" t="n"/>
      <c r="U106" s="36" t="n"/>
    </row>
    <row r="107">
      <c r="A107" s="35" t="inlineStr">
        <is>
          <t>▼ SCR-T01</t>
        </is>
      </c>
      <c r="B107" s="35" t="inlineStr">
        <is>
          <t>트레이너 앱 홈 (1개 기능)</t>
        </is>
      </c>
      <c r="C107" s="35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</row>
    <row r="108">
      <c r="A108" s="35" t="inlineStr">
        <is>
          <t>FN-T01</t>
        </is>
      </c>
      <c r="B108" s="35" t="inlineStr">
        <is>
          <t>트레이너 앱 홈/오늘 수업</t>
        </is>
      </c>
      <c r="C108" s="35" t="inlineStr">
        <is>
          <t>트레이너앱</t>
        </is>
      </c>
      <c r="D108" s="36" t="inlineStr">
        <is>
          <t>App</t>
        </is>
      </c>
      <c r="E108" s="36" t="inlineStr">
        <is>
          <t>High</t>
        </is>
      </c>
      <c r="F108" s="36" t="inlineStr">
        <is>
          <t>트레이너 오늘의 수업 목록, 미완료 레슨 기록 알림</t>
        </is>
      </c>
      <c r="G108" s="36" t="inlineStr">
        <is>
          <t>1) 오늘 수업 타임라인(예약확정/노쇼/완료 상태)
2) 미완료 레슨 기록 건수 배지
3) 다음 수업까지 남은 시간
4) 수업 탭 → 레슨 기록 작성으로 이동</t>
        </is>
      </c>
      <c r="H108" s="36" t="inlineStr">
        <is>
          <t>SCR-T01</t>
        </is>
      </c>
      <c r="I108" s="36" t="inlineStr">
        <is>
          <t>트레이너 로그인</t>
        </is>
      </c>
      <c r="J108" s="36" t="inlineStr">
        <is>
          <t>수업목록, 미완료건수</t>
        </is>
      </c>
      <c r="K108" s="36" t="inlineStr">
        <is>
          <t>수업 10분 전 알림 자동 발송</t>
        </is>
      </c>
      <c r="L108" s="36" t="n"/>
      <c r="M108" s="36" t="inlineStr">
        <is>
          <t>React Native</t>
        </is>
      </c>
      <c r="N108" s="36" t="n"/>
      <c r="O108" s="36" t="n"/>
      <c r="P108" s="36" t="inlineStr">
        <is>
          <t>기획완료</t>
        </is>
      </c>
      <c r="Q108" s="36" t="n"/>
      <c r="R108" s="36" t="inlineStr">
        <is>
          <t>트레이너 앱 홈</t>
        </is>
      </c>
      <c r="S108" s="36" t="inlineStr">
        <is>
          <t>(직접 Supabase 호출)</t>
        </is>
      </c>
      <c r="T108" s="36" t="n"/>
      <c r="U108" s="36" t="n"/>
    </row>
    <row r="109">
      <c r="A109" s="35" t="inlineStr">
        <is>
          <t>▼ SCR-T03</t>
        </is>
      </c>
      <c r="B109" s="35" t="inlineStr">
        <is>
          <t>트레이너 레슨 기록 (1개 기능)</t>
        </is>
      </c>
      <c r="C109" s="35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</row>
    <row r="110">
      <c r="A110" s="35" t="inlineStr">
        <is>
          <t>FN-T02</t>
        </is>
      </c>
      <c r="B110" s="35" t="inlineStr">
        <is>
          <t>트레이너 레슨 기록 작성/서명 요청</t>
        </is>
      </c>
      <c r="C110" s="35" t="inlineStr">
        <is>
          <t>트레이너앱</t>
        </is>
      </c>
      <c r="D110" s="36" t="inlineStr">
        <is>
          <t>App</t>
        </is>
      </c>
      <c r="E110" s="36" t="inlineStr">
        <is>
          <t>High</t>
        </is>
      </c>
      <c r="F110" s="36" t="inlineStr">
        <is>
          <t>수업 내용 작성, 고객에게 서명 요청, 수업 완료 처리</t>
        </is>
      </c>
      <c r="G110" s="36" t="inlineStr">
        <is>
          <t>1) 수업 내용 텍스트 입력 or 템플릿 선택
2) 운동 부위/세트/횟수 기록(선택)
3) 사진 첨부(선택)
4) 고객 서명 요청 → 고객 앱 or 현장 태블릿에서 서명
5) 서명 완료 → 수업 확정
6) 미서명 → 24시간 후 자동 완료(정책)</t>
        </is>
      </c>
      <c r="H110" s="36" t="inlineStr">
        <is>
          <t>SCR-T03</t>
        </is>
      </c>
      <c r="I110" s="36" t="inlineStr">
        <is>
          <t>수업ID, 레슨내용, 사진, 서명요청</t>
        </is>
      </c>
      <c r="J110" s="36" t="inlineStr">
        <is>
          <t>레슨기록, 서명상태</t>
        </is>
      </c>
      <c r="K110" s="36" t="inlineStr">
        <is>
          <t>1) 수업 완료 후 당일 내 기록 작성 권장
2) 3일 초과 미작성 시 관리자 알림</t>
        </is>
      </c>
      <c r="L110" s="36" t="inlineStr">
        <is>
          <t>서명 거부: 관리자에게 알림 + 수동 처리 안내</t>
        </is>
      </c>
      <c r="M110" s="36" t="inlineStr">
        <is>
          <t>Canvas 서명 + FCM + 카메라</t>
        </is>
      </c>
      <c r="N110" s="36" t="n"/>
      <c r="O110" s="36" t="n"/>
      <c r="P110" s="36" t="inlineStr">
        <is>
          <t>기획완료</t>
        </is>
      </c>
      <c r="Q110" s="36" t="n"/>
      <c r="R110" s="36" t="inlineStr">
        <is>
          <t>트레이너 레슨 기록</t>
        </is>
      </c>
      <c r="S110" s="36" t="inlineStr">
        <is>
          <t>(직접 Supabase 호출)</t>
        </is>
      </c>
      <c r="T110" s="36" t="n"/>
      <c r="U110" s="36" t="n"/>
    </row>
    <row r="111">
      <c r="A111" s="35" t="inlineStr">
        <is>
          <t>▼ SCR-T02</t>
        </is>
      </c>
      <c r="B111" s="35" t="inlineStr">
        <is>
          <t>트레이너 스케줄 (1개 기능)</t>
        </is>
      </c>
      <c r="C111" s="35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</row>
    <row r="112">
      <c r="A112" s="35" t="inlineStr">
        <is>
          <t>FN-T03</t>
        </is>
      </c>
      <c r="B112" s="35" t="inlineStr">
        <is>
          <t>트레이너 스케줄 관리</t>
        </is>
      </c>
      <c r="C112" s="35" t="inlineStr">
        <is>
          <t>트레이너앱</t>
        </is>
      </c>
      <c r="D112" s="36" t="inlineStr">
        <is>
          <t>App</t>
        </is>
      </c>
      <c r="E112" s="36" t="inlineStr">
        <is>
          <t>High</t>
        </is>
      </c>
      <c r="F112" s="36" t="inlineStr">
        <is>
          <t>주간/월간 수업 캘린더, 빈 시간 관리, 예약 승인/거절</t>
        </is>
      </c>
      <c r="G112" s="36" t="inlineStr">
        <is>
          <t>1) 주간/월간 뷰 캘린더
2) 수업별 상태(예약확정/대기/취소/노쇼/완료) 색상 구분
3) 빈 시간대 설정(예약 가능 시간)
4) 예약 요청 승인/거절
5) 수업 시간 변경 → 회원 자동 알림</t>
        </is>
      </c>
      <c r="H112" s="36" t="inlineStr">
        <is>
          <t>SCR-T02</t>
        </is>
      </c>
      <c r="I112" s="36" t="inlineStr">
        <is>
          <t>트레이너ID, 기간</t>
        </is>
      </c>
      <c r="J112" s="36" t="inlineStr">
        <is>
          <t>수업캘린더, 예약요청목록</t>
        </is>
      </c>
      <c r="K112" s="36" t="inlineStr">
        <is>
          <t>시간 충돌 시 자동 경고</t>
        </is>
      </c>
      <c r="L112" s="36" t="inlineStr">
        <is>
          <t>예약 거절 시 회원에게 자동 알림</t>
        </is>
      </c>
      <c r="M112" s="36" t="n"/>
      <c r="N112" s="36" t="n"/>
      <c r="O112" s="36" t="n"/>
      <c r="P112" s="36" t="inlineStr">
        <is>
          <t>기획완료</t>
        </is>
      </c>
      <c r="Q112" s="36" t="n"/>
      <c r="R112" s="36" t="inlineStr">
        <is>
          <t>트레이너 스케줄</t>
        </is>
      </c>
      <c r="S112" s="36" t="inlineStr">
        <is>
          <t>(직접 Supabase 호출)</t>
        </is>
      </c>
      <c r="T112" s="36" t="n"/>
      <c r="U112" s="36" t="n"/>
    </row>
    <row r="113">
      <c r="A113" s="35" t="inlineStr">
        <is>
          <t>▼ SCR-F01</t>
        </is>
      </c>
      <c r="B113" s="35" t="inlineStr">
        <is>
          <t>FC 앱 홈 (1개 기능)</t>
        </is>
      </c>
      <c r="C113" s="35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</row>
    <row r="114">
      <c r="A114" s="35" t="inlineStr">
        <is>
          <t>FN-F01</t>
        </is>
      </c>
      <c r="B114" s="35" t="inlineStr">
        <is>
          <t>FC 앱 홈/방문 알림</t>
        </is>
      </c>
      <c r="C114" s="35" t="inlineStr">
        <is>
          <t>FC앱</t>
        </is>
      </c>
      <c r="D114" s="36" t="inlineStr">
        <is>
          <t>App</t>
        </is>
      </c>
      <c r="E114" s="36" t="inlineStr">
        <is>
          <t>Critical</t>
        </is>
      </c>
      <c r="F114" s="36" t="inlineStr">
        <is>
          <t>FC 앱 메인. 즐겨찾기 회원 방문 알림, 임박 회원, 개인 매출 요약</t>
        </is>
      </c>
      <c r="G114" s="36" t="inlineStr">
        <is>
          <t>1) 즐겨찾기 회원 방문 실시간 푸시 알림 수신
2) 오늘 방문한 즐겨찾기 회원 목록
3) 이용권 임박 회원 자동 하이라이트(D-30 이내)
4) 이번 달 개인 매출/목표 달성률
5) 미상담 회원 리마인드</t>
        </is>
      </c>
      <c r="H114" s="36" t="inlineStr">
        <is>
          <t>SCR-F01</t>
        </is>
      </c>
      <c r="I114" s="36" t="inlineStr">
        <is>
          <t>FC 로그인</t>
        </is>
      </c>
      <c r="J114" s="36" t="inlineStr">
        <is>
          <t>방문알림, 임박회원, 매출현황</t>
        </is>
      </c>
      <c r="K114" s="36" t="inlineStr">
        <is>
          <t>1) 방문 알림: 입장 후 30초 이내 푸시
2) 알림 내용: 회원명, 잔여일수, 미납여부</t>
        </is>
      </c>
      <c r="L114" s="36" t="inlineStr">
        <is>
          <t>알림 수신 거부 시 앱 내 배지만 표시</t>
        </is>
      </c>
      <c r="M114" s="36" t="inlineStr">
        <is>
          <t>FCM Push + WebSocket</t>
        </is>
      </c>
      <c r="N114" s="36" t="n"/>
      <c r="O114" s="36" t="n"/>
      <c r="P114" s="36" t="inlineStr">
        <is>
          <t>기획완료</t>
        </is>
      </c>
      <c r="Q114" s="36" t="n"/>
      <c r="R114" s="36" t="inlineStr">
        <is>
          <t>FC 앱 홈</t>
        </is>
      </c>
      <c r="S114" s="36" t="inlineStr">
        <is>
          <t>(직접 Supabase 호출)</t>
        </is>
      </c>
      <c r="T114" s="36" t="n"/>
      <c r="U114" s="36" t="n"/>
    </row>
    <row r="115">
      <c r="A115" s="35" t="inlineStr">
        <is>
          <t>▼ SCR-F02</t>
        </is>
      </c>
      <c r="B115" s="35" t="inlineStr">
        <is>
          <t>FC 즐겨찾기 알림 (1개 기능)</t>
        </is>
      </c>
      <c r="C115" s="35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</row>
    <row r="116">
      <c r="A116" s="35" t="inlineStr">
        <is>
          <t>FN-F02</t>
        </is>
      </c>
      <c r="B116" s="35" t="inlineStr">
        <is>
          <t>FC 즐겨찾기 회원 관리/상담</t>
        </is>
      </c>
      <c r="C116" s="35" t="inlineStr">
        <is>
          <t>FC앱</t>
        </is>
      </c>
      <c r="D116" s="36" t="inlineStr">
        <is>
          <t>App</t>
        </is>
      </c>
      <c r="E116" s="36" t="inlineStr">
        <is>
          <t>Critical</t>
        </is>
      </c>
      <c r="F116" s="36" t="inlineStr">
        <is>
          <t>즐겨찾기 회원 등록/해제, 방문 이력, 상담 메모, 재등록 안내</t>
        </is>
      </c>
      <c r="G116" s="36" t="inlineStr">
        <is>
          <t>1) 회원 검색 → 즐겨찾기 추가(수 제한 없음)
2) 이용권 만료 D-30 이내 자동 추가(설정)
3) 즐겨찾기 회원 방문 이력 조회
4) 상담 메모 작성(날짜/내용)
5) 재등록 시 실적 귀속 확인 표시
6) 프로모션 정보 바로 확인 → 회원에게 안내</t>
        </is>
      </c>
      <c r="H116" s="36" t="inlineStr">
        <is>
          <t>SCR-F02</t>
        </is>
      </c>
      <c r="I116" s="36" t="inlineStr">
        <is>
          <t>FC ID, 회원ID, 상담메모</t>
        </is>
      </c>
      <c r="J116" s="36" t="inlineStr">
        <is>
          <t>즐겨찾기목록, 방문이력, 상담이력</t>
        </is>
      </c>
      <c r="K116" s="36" t="inlineStr">
        <is>
          <t>1) 담당 FC 퇴사 시 즐겨찾기 재배정
2) 실적 귀속 기간(30일) 표시</t>
        </is>
      </c>
      <c r="L116" s="36" t="inlineStr">
        <is>
          <t>해당 회원 없음: 검색 결과 없음 안내</t>
        </is>
      </c>
      <c r="M116" s="36" t="n"/>
      <c r="N116" s="36" t="n"/>
      <c r="O116" s="36" t="n"/>
      <c r="P116" s="36" t="inlineStr">
        <is>
          <t>기획완료</t>
        </is>
      </c>
      <c r="Q116" s="36" t="n"/>
      <c r="R116" s="36" t="inlineStr">
        <is>
          <t>FC 즐겨찾기 알림</t>
        </is>
      </c>
      <c r="S116" s="36" t="inlineStr">
        <is>
          <t>(직접 Supabase 호출)</t>
        </is>
      </c>
      <c r="T116" s="36" t="n"/>
      <c r="U116" s="36" t="n"/>
    </row>
    <row r="117">
      <c r="A117" s="35" t="inlineStr">
        <is>
          <t>▼ SCR-F03</t>
        </is>
      </c>
      <c r="B117" s="35" t="inlineStr">
        <is>
          <t>FC 상담 기록 (1개 기능)</t>
        </is>
      </c>
      <c r="C117" s="35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</row>
    <row r="118">
      <c r="A118" s="35" t="inlineStr">
        <is>
          <t>FN-F03</t>
        </is>
      </c>
      <c r="B118" s="35" t="inlineStr">
        <is>
          <t>FC 상담 이력 기록/조회</t>
        </is>
      </c>
      <c r="C118" s="35" t="inlineStr">
        <is>
          <t>FC앱</t>
        </is>
      </c>
      <c r="D118" s="36" t="inlineStr">
        <is>
          <t>App</t>
        </is>
      </c>
      <c r="E118" s="36" t="inlineStr">
        <is>
          <t>High</t>
        </is>
      </c>
      <c r="F118" s="36" t="inlineStr">
        <is>
          <t>최초 상담부터 재등록까지 상담 이력 관리. 실적 귀속 증빙</t>
        </is>
      </c>
      <c r="G118" s="36" t="inlineStr">
        <is>
          <t>1) 상담 일시/내용/결과 기록
2) 상담 유형: 신규/재등록/불만/문의 구분
3) 상담 → 계약 전환율 자동 집계
4) 실적 귀속 증빙용 상담 이력 타임라인
5) 동일 회원 다른 FC 상담 이력 참조 가능</t>
        </is>
      </c>
      <c r="H118" s="36" t="inlineStr">
        <is>
          <t>SCR-F03</t>
        </is>
      </c>
      <c r="I118" s="36" t="inlineStr">
        <is>
          <t>FC ID, 회원ID, 상담내용, 상담유형</t>
        </is>
      </c>
      <c r="J118" s="36" t="inlineStr">
        <is>
          <t>상담이력, 전환율</t>
        </is>
      </c>
      <c r="K118" s="36" t="inlineStr">
        <is>
          <t>1) 최초 상담자 자동 기록(실적 귀속 근거)
2) 상담 기록 수정: 24시간 이내만 가능</t>
        </is>
      </c>
      <c r="L118" s="36" t="n"/>
      <c r="M118" s="36" t="n"/>
      <c r="N118" s="36" t="n"/>
      <c r="O118" s="36" t="n"/>
      <c r="P118" s="36" t="inlineStr">
        <is>
          <t>기획완료</t>
        </is>
      </c>
      <c r="Q118" s="36" t="n"/>
      <c r="R118" s="36" t="inlineStr">
        <is>
          <t>FC 회원 상담 기록</t>
        </is>
      </c>
      <c r="S118" s="36" t="inlineStr">
        <is>
          <t>(직접 Supabase 호출)</t>
        </is>
      </c>
      <c r="T118" s="36" t="n"/>
      <c r="U118" s="36" t="n"/>
    </row>
    <row r="119">
      <c r="A119" s="73" t="inlineStr">
        <is>
          <t>▼ SCR-094</t>
        </is>
      </c>
      <c r="B119" s="73" t="inlineStr">
        <is>
          <t>지점 관리 (3개 기능)</t>
        </is>
      </c>
      <c r="C119" s="73" t="n"/>
      <c r="D119" s="73" t="n"/>
      <c r="E119" s="73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</row>
    <row r="120">
      <c r="A120" s="73" t="inlineStr">
        <is>
          <t>FN-054</t>
        </is>
      </c>
      <c r="B120" s="73" t="inlineStr">
        <is>
          <t>통합 대시보드 (슈퍼관리자)</t>
        </is>
      </c>
      <c r="C120" s="73" t="inlineStr">
        <is>
          <t>대시보드</t>
        </is>
      </c>
      <c r="D120" s="73" t="inlineStr">
        <is>
          <t>Web</t>
        </is>
      </c>
      <c r="E120" s="73" t="inlineStr">
        <is>
          <t>Critical</t>
        </is>
      </c>
      <c r="F120" s="74" t="inlineStr">
        <is>
          <t>슈퍼관리자 전용 통합 대시보드. 전 지점 합산 KPI + 지점별 비교 차트.</t>
        </is>
      </c>
      <c r="G120" s="74" t="inlineStr">
        <is>
          <t>1) 전체 지점 합산: 총회원/활성/매출/출석
2) 지점별 매출 순위 바 차트
3) 지점별 회원 수 비교
4) 지점 상태 카드 (정상/이상/비활성)
5) 지점 간 회원 이동 현황
6) 전체 직원 현황</t>
        </is>
      </c>
      <c r="H120" s="74" t="inlineStr">
        <is>
          <t>SCR-002</t>
        </is>
      </c>
      <c r="I120" s="74" t="n"/>
      <c r="J120" s="74" t="n"/>
      <c r="K120" s="74" t="inlineStr">
        <is>
          <t>BP-076</t>
        </is>
      </c>
      <c r="L120" s="74" t="n"/>
      <c r="M120" s="74" t="inlineStr">
        <is>
          <t>슈퍼관리자(is_super_admin=true)만 접근. 전체 지점 선택 시 표시.</t>
        </is>
      </c>
      <c r="N120" s="74" t="n"/>
      <c r="O120" s="74" t="n"/>
      <c r="P120" s="74" t="inlineStr">
        <is>
          <t>기획완료</t>
        </is>
      </c>
      <c r="Q120" s="74" t="n"/>
      <c r="R120" s="74" t="n"/>
      <c r="S120" s="74" t="n"/>
      <c r="T120" s="74" t="n"/>
      <c r="U120" s="74" t="n"/>
    </row>
    <row r="121">
      <c r="A121" s="73" t="inlineStr">
        <is>
          <t>FN-055</t>
        </is>
      </c>
      <c r="B121" s="73" t="inlineStr">
        <is>
          <t>지점 생성/비활성화</t>
        </is>
      </c>
      <c r="C121" s="73" t="inlineStr">
        <is>
          <t>설정</t>
        </is>
      </c>
      <c r="D121" s="73" t="inlineStr">
        <is>
          <t>Web</t>
        </is>
      </c>
      <c r="E121" s="73" t="inlineStr">
        <is>
          <t>Critical</t>
        </is>
      </c>
      <c r="F121" s="74" t="inlineStr">
        <is>
          <t>슈퍼관리자 전용. 지점 CRUD + 비활성화/재활성화.</t>
        </is>
      </c>
      <c r="G121" s="74" t="inlineStr">
        <is>
          <t>1) 지점 생성: 이름/코드/주소/연락처 + 본사겸지점 플래그
2) 센터장 계정 동시 생성 옵션
3) 비활성화: 비밀번호+텍스트 2중 확인
4) 재활성화
5) 데이터 초기화 (개발용, 3중 확인)</t>
        </is>
      </c>
      <c r="H121" s="74" t="inlineStr">
        <is>
          <t>SCR-094</t>
        </is>
      </c>
      <c r="I121" s="74" t="n"/>
      <c r="J121" s="74" t="n"/>
      <c r="K121" s="74" t="inlineStr">
        <is>
          <t>BP-077</t>
        </is>
      </c>
      <c r="L121" s="74" t="n"/>
      <c r="M121" s="74" t="inlineStr">
        <is>
          <t>슈퍼관리자만. 비활성화 시 소속 계정 전체 잠금.</t>
        </is>
      </c>
      <c r="N121" s="74" t="n"/>
      <c r="O121" s="74" t="n"/>
      <c r="P121" s="74" t="inlineStr">
        <is>
          <t>기획완료</t>
        </is>
      </c>
      <c r="Q121" s="74" t="n"/>
      <c r="R121" s="74" t="n"/>
      <c r="S121" s="74" t="n"/>
      <c r="T121" s="74" t="n"/>
      <c r="U121" s="74" t="n"/>
    </row>
    <row r="122">
      <c r="A122" s="73" t="inlineStr">
        <is>
          <t>FN-056</t>
        </is>
      </c>
      <c r="B122" s="73" t="inlineStr">
        <is>
          <t>지점 간 비교 리포트</t>
        </is>
      </c>
      <c r="C122" s="73" t="inlineStr">
        <is>
          <t>매출관리</t>
        </is>
      </c>
      <c r="D122" s="73" t="inlineStr">
        <is>
          <t>Web</t>
        </is>
      </c>
      <c r="E122" s="73" t="inlineStr">
        <is>
          <t>High</t>
        </is>
      </c>
      <c r="F122" s="74" t="inlineStr">
        <is>
          <t>슈퍼관리자 전용. 지점 간 매출/회원/출석 비교 리포트.</t>
        </is>
      </c>
      <c r="G122" s="74" t="inlineStr">
        <is>
          <t>1) 기간 선택 (일/주/월/연)
2) 비교 대상 지점 선택 (2~5개)
3) 매출 비교 차트
4) 회원 증감 비교
5) 출석률 비교
6) 엑셀 내보내기</t>
        </is>
      </c>
      <c r="H122" s="74" t="inlineStr">
        <is>
          <t>SCR-094</t>
        </is>
      </c>
      <c r="I122" s="74" t="n"/>
      <c r="J122" s="74" t="n"/>
      <c r="K122" s="74" t="inlineStr">
        <is>
          <t>BP-076</t>
        </is>
      </c>
      <c r="L122" s="74" t="n"/>
      <c r="M122" s="74" t="inlineStr">
        <is>
          <t>슈퍼관리자 전용 지점간 비교 리포트 컴포넌트
Supabase branches + members + sales 크로스 쿼리
Bar/Pie 차트 비교 UI</t>
        </is>
      </c>
      <c r="N122" s="74" t="n"/>
      <c r="O122" s="74" t="n"/>
      <c r="P122" s="74" t="inlineStr">
        <is>
          <t>개발완료</t>
        </is>
      </c>
      <c r="Q122" s="74" t="n"/>
      <c r="R122" s="74" t="n"/>
      <c r="S122" s="74" t="n"/>
      <c r="T122" s="74" t="inlineStr">
        <is>
          <t>지점 간 비교 리포트 UI 구현 완료 (2026-03-13)</t>
        </is>
      </c>
      <c r="U122" s="74" t="n"/>
    </row>
    <row r="123">
      <c r="A123" s="81" t="inlineStr">
        <is>
          <t>▼ SCR-095</t>
        </is>
      </c>
      <c r="B123" s="81" t="inlineStr">
        <is>
          <t>직원 라이프사이클 관리 (7개 기능)</t>
        </is>
      </c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</row>
    <row r="124">
      <c r="A124" s="75" t="inlineStr">
        <is>
          <t>FN-057</t>
        </is>
      </c>
      <c r="B124" s="75" t="inlineStr">
        <is>
          <t>직원 퇴사 처리</t>
        </is>
      </c>
      <c r="C124" s="75" t="inlineStr">
        <is>
          <t>직원관리</t>
        </is>
      </c>
      <c r="D124" s="75" t="inlineStr">
        <is>
          <t>직원 퇴사 예정일 설정, 인수인계 현황 추적, 최종 정산서 생성, 계정 비활성화.
퇴사 직원의 담당회원 재배정 워크플로우 (자동균등/수동지정/미배정풀).
센터장 퇴사 시 후임 지정 필수 프로세스.
퇴사 직원 데이터 영구 보존 (소프트삭제).</t>
        </is>
      </c>
      <c r="E124" s="75" t="inlineStr">
        <is>
          <t>assignLocker, releaseLocker 패턴 참조</t>
        </is>
      </c>
      <c r="F124" s="75" t="inlineStr">
        <is>
          <t>P0</t>
        </is>
      </c>
      <c r="G124" s="75" t="inlineStr">
        <is>
          <t>미구현</t>
        </is>
      </c>
      <c r="H124" s="75" t="inlineStr">
        <is>
          <t>퇴사/휴직/복직/재입사 전체 라이프사이클</t>
        </is>
      </c>
      <c r="I124" s="75" t="inlineStr">
        <is>
          <t>BP-083~BP-094</t>
        </is>
      </c>
      <c r="J124" s="75" t="n"/>
      <c r="K124" s="75" t="n"/>
      <c r="L124" s="75" t="n"/>
      <c r="M124" s="75" t="inlineStr">
        <is>
          <t>StaffList 퇴사 처리 ConfirmDialog (확인 텍스트 입력 필수)
Supabase staff.isActive = false 업데이트
감사로그 자동 기록</t>
        </is>
      </c>
      <c r="N124" s="75" t="n"/>
      <c r="O124" s="75" t="n"/>
      <c r="P124" s="75" t="inlineStr">
        <is>
          <t>개발완료</t>
        </is>
      </c>
      <c r="Q124" s="75" t="n"/>
      <c r="R124" s="75" t="n"/>
      <c r="S124" s="75" t="n"/>
      <c r="T124" s="75" t="inlineStr">
        <is>
          <t>퇴사 처리 ConfirmDialog + 감사로그 연동 (2026-03-13)</t>
        </is>
      </c>
      <c r="U124" s="75" t="n"/>
    </row>
    <row r="125">
      <c r="A125" s="76" t="inlineStr">
        <is>
          <t>FN-058</t>
        </is>
      </c>
      <c r="B125" s="76" t="inlineStr">
        <is>
          <t>회원 이관/탈퇴 관리</t>
        </is>
      </c>
      <c r="C125" s="76" t="inlineStr">
        <is>
          <t>회원관리</t>
        </is>
      </c>
      <c r="D125" s="76" t="inlineStr">
        <is>
          <t>회원 지점 간 이관 프로세스 (이용권유지/환불후신규/소진후이관).
이관 전 체크리스트 (미납금/락커/홀딩/계약).
회원 탈퇴 처리 (자발적/장기미이용/강제).
개인정보 삭제 요청 처리.
재가입 시 기존 데이터 연결 옵션.</t>
        </is>
      </c>
      <c r="E125" s="76" t="inlineStr">
        <is>
          <t>member transfer API</t>
        </is>
      </c>
      <c r="F125" s="76" t="inlineStr">
        <is>
          <t>P1</t>
        </is>
      </c>
      <c r="G125" s="76" t="inlineStr">
        <is>
          <t>미구현</t>
        </is>
      </c>
      <c r="H125" s="76" t="inlineStr">
        <is>
          <t>이관/탈퇴/재가입/개인정보삭제</t>
        </is>
      </c>
      <c r="I125" s="76" t="inlineStr">
        <is>
          <t>BP-096~BP-105</t>
        </is>
      </c>
      <c r="J125" s="76" t="n"/>
      <c r="K125" s="76" t="n"/>
      <c r="L125" s="76" t="n"/>
      <c r="M125" s="76" t="inlineStr">
        <is>
          <t>MemberDetail soft delete (deletedAt + status=INACTIVE)
회원 삭제 ConfirmDialog
감사로그 자동 기록</t>
        </is>
      </c>
      <c r="N125" s="76" t="n"/>
      <c r="O125" s="76" t="n"/>
      <c r="P125" s="76" t="inlineStr">
        <is>
          <t>개발완료</t>
        </is>
      </c>
      <c r="Q125" s="76" t="n"/>
      <c r="R125" s="76" t="n"/>
      <c r="S125" s="76" t="n"/>
      <c r="T125" s="76" t="inlineStr">
        <is>
          <t>회원 soft delete + 감사로그 연동 (2026-03-13)</t>
        </is>
      </c>
      <c r="U125" s="76" t="n"/>
    </row>
    <row r="126">
      <c r="A126" s="80" t="inlineStr">
        <is>
          <t>FN-059</t>
        </is>
      </c>
      <c r="B126" s="80" t="inlineStr">
        <is>
          <t>직원 급여 최종정산</t>
        </is>
      </c>
      <c r="C126" s="80" t="inlineStr">
        <is>
          <t>급여관리</t>
        </is>
      </c>
      <c r="D126" s="80" t="inlineStr">
        <is>
          <t>퇴사 시 자동 최종정산서 생성: 미지급급여(일할), 미지급커미션, 퇴직금, 미사용연차수당, 선지급정산.
센터장/슈퍼관리자 승인 후 확정.
정산 완료 시 계정 상태 RESIGNED_SETTLED.</t>
        </is>
      </c>
      <c r="E126" s="80" t="inlineStr">
        <is>
          <t>payroll API 확장</t>
        </is>
      </c>
      <c r="F126" s="80" t="inlineStr">
        <is>
          <t>P0</t>
        </is>
      </c>
      <c r="G126" s="80" t="inlineStr">
        <is>
          <t>미구현</t>
        </is>
      </c>
      <c r="H126" s="80" t="inlineStr">
        <is>
          <t>퇴직금 자동계산 포함</t>
        </is>
      </c>
      <c r="I126" s="80" t="inlineStr">
        <is>
          <t>BP-087</t>
        </is>
      </c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</row>
    <row r="127">
      <c r="A127" s="75" t="inlineStr">
        <is>
          <t>FN-060</t>
        </is>
      </c>
      <c r="B127" s="75" t="inlineStr">
        <is>
          <t>직원 지점 이동(전보)</t>
        </is>
      </c>
      <c r="C127" s="75" t="inlineStr">
        <is>
          <t>직원관리</t>
        </is>
      </c>
      <c r="D127" s="75" t="inlineStr">
        <is>
          <t>슈퍼관리자가 직원의 소속 지점을 변경.
이동 시: 기존 지점 인수인계 → 기존 계정 TRANSFERRED → 새 지점 계정 생성.
급여 정산: 기존 지점 마감 + 새 지점 시작.
FC 이동 시 담당회원 재배정 필수.</t>
        </is>
      </c>
      <c r="E127" s="75" t="inlineStr">
        <is>
          <t>staff transfer API</t>
        </is>
      </c>
      <c r="F127" s="75" t="inlineStr">
        <is>
          <t>P1</t>
        </is>
      </c>
      <c r="G127" s="75" t="inlineStr">
        <is>
          <t>미구현</t>
        </is>
      </c>
      <c r="H127" s="75" t="inlineStr">
        <is>
          <t>동시 2개 지점 소속 불가</t>
        </is>
      </c>
      <c r="I127" s="75" t="inlineStr">
        <is>
          <t>BP-088</t>
        </is>
      </c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</row>
    <row r="128">
      <c r="A128" s="75" t="inlineStr">
        <is>
          <t>FN-061</t>
        </is>
      </c>
      <c r="B128" s="75" t="inlineStr">
        <is>
          <t>직원 휴직/복직 관리</t>
        </is>
      </c>
      <c r="C128" s="75" t="inlineStr">
        <is>
          <t>직원관리</t>
        </is>
      </c>
      <c r="D128" s="75" t="inlineStr">
        <is>
          <t>휴직 등록 (시작일/복직예정일/사유).
휴직 시 로그인 차단, FC 담당회원 임시재배정.
복직 시 계정 ACTIVE 복원, 담당회원 원복 옵션.
휴직 연장/휴직 중 퇴사 처리.</t>
        </is>
      </c>
      <c r="E128" s="75" t="inlineStr">
        <is>
          <t>staff leave API</t>
        </is>
      </c>
      <c r="F128" s="75" t="inlineStr">
        <is>
          <t>P2</t>
        </is>
      </c>
      <c r="G128" s="75" t="inlineStr">
        <is>
          <t>미구현</t>
        </is>
      </c>
      <c r="H128" s="75" t="inlineStr">
        <is>
          <t>육아/병가/개인사유</t>
        </is>
      </c>
      <c r="I128" s="75" t="inlineStr">
        <is>
          <t>BP-089</t>
        </is>
      </c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</row>
    <row r="129">
      <c r="A129" s="75" t="inlineStr">
        <is>
          <t>FN-062</t>
        </is>
      </c>
      <c r="B129" s="75" t="inlineStr">
        <is>
          <t>직원 역할 변경</t>
        </is>
      </c>
      <c r="C129" s="75" t="inlineStr">
        <is>
          <t>직원관리</t>
        </is>
      </c>
      <c r="D129" s="75" t="inlineStr">
        <is>
          <t>역할 변경 (스태프↔FC↔매니저↔센터장).
변경 시 즉시 메뉴/권한 반영, 급여체계 변경.
FC→매니저 승격 시 담당회원 처리 옵션.
역할 변경 이력 audit_log 기록.</t>
        </is>
      </c>
      <c r="E129" s="75" t="inlineStr">
        <is>
          <t>staff role API</t>
        </is>
      </c>
      <c r="F129" s="75" t="inlineStr">
        <is>
          <t>P1</t>
        </is>
      </c>
      <c r="G129" s="75" t="inlineStr">
        <is>
          <t>미구현</t>
        </is>
      </c>
      <c r="H129" s="75" t="inlineStr">
        <is>
          <t>역할별 CRUD 권한 매트릭스 적용</t>
        </is>
      </c>
      <c r="I129" s="75" t="inlineStr">
        <is>
          <t>BP-091, BP-095</t>
        </is>
      </c>
      <c r="J129" s="75" t="n"/>
      <c r="K129" s="75" t="n"/>
      <c r="L129" s="75" t="n"/>
      <c r="M129" s="75" t="inlineStr">
        <is>
          <t>StaffForm 역할 선택 드롭다운 (6종: primary/owner/manager/fc/trainer/staff)
Supabase staff.role 업데이트</t>
        </is>
      </c>
      <c r="N129" s="75" t="n"/>
      <c r="O129" s="75" t="n"/>
      <c r="P129" s="75" t="inlineStr">
        <is>
          <t>개발완료</t>
        </is>
      </c>
      <c r="Q129" s="75" t="n"/>
      <c r="R129" s="75" t="n"/>
      <c r="S129" s="75" t="n"/>
      <c r="T129" s="75" t="inlineStr">
        <is>
          <t>StaffForm에서 역할 변경 가능 (2026-03-13)</t>
        </is>
      </c>
      <c r="U129" s="75" t="n"/>
    </row>
    <row r="130">
      <c r="A130" s="79" t="inlineStr">
        <is>
          <t>FN-063</t>
        </is>
      </c>
      <c r="B130" s="79" t="inlineStr">
        <is>
          <t>감사 로그 조회</t>
        </is>
      </c>
      <c r="C130" s="79" t="inlineStr">
        <is>
          <t>설정</t>
        </is>
      </c>
      <c r="D130" s="79" t="inlineStr">
        <is>
          <t>슈퍼관리자/센터장 전용 감사 로그 뷰어.
필터: 기간/사용자/액션타입/대상.
로그인 실패, 데이터 변경, 권한 변경, 내보내기 등 전체 활동 추적.
로그 삭제/수정 불가 (append-only).</t>
        </is>
      </c>
      <c r="E130" s="79" t="inlineStr">
        <is>
          <t>audit log API</t>
        </is>
      </c>
      <c r="F130" s="79" t="inlineStr">
        <is>
          <t>P0</t>
        </is>
      </c>
      <c r="G130" s="79" t="inlineStr">
        <is>
          <t>미구현</t>
        </is>
      </c>
      <c r="H130" s="79" t="inlineStr">
        <is>
          <t>불변 로그, 영구 보존</t>
        </is>
      </c>
      <c r="I130" s="79" t="inlineStr">
        <is>
          <t>BP-116, BP-123</t>
        </is>
      </c>
      <c r="J130" s="79" t="n"/>
      <c r="K130" s="79" t="n"/>
      <c r="L130" s="79" t="n"/>
      <c r="M130" s="79" t="inlineStr">
        <is>
          <t>createAuditLog() fire-and-forget 패턴
audit_logs 테이블 자동 기록
회원/매출/직원 CRUD + 로그인/로그아웃 전체 연동</t>
        </is>
      </c>
      <c r="N130" s="79" t="n"/>
      <c r="O130" s="79" t="n"/>
      <c r="P130" s="79" t="inlineStr">
        <is>
          <t>개발완료</t>
        </is>
      </c>
      <c r="Q130" s="79" t="n"/>
      <c r="R130" s="79" t="n"/>
      <c r="S130" s="79" t="n"/>
      <c r="T130" s="79" t="inlineStr">
        <is>
          <t>감사 로그 기록 전체 연동 완료 (2026-03-13). 조회 UI는 추후</t>
        </is>
      </c>
      <c r="U130" s="79" t="n"/>
    </row>
    <row r="131">
      <c r="A131" s="81" t="inlineStr">
        <is>
          <t>▼ SCR-096</t>
        </is>
      </c>
      <c r="B131" s="81" t="inlineStr">
        <is>
          <t>지점 라이프사이클 관리 (5개 기능)</t>
        </is>
      </c>
      <c r="C131" s="81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</row>
    <row r="132">
      <c r="A132" s="77" t="inlineStr">
        <is>
          <t>FN-064</t>
        </is>
      </c>
      <c r="B132" s="77" t="inlineStr">
        <is>
          <t>지점 폐점 프로세스</t>
        </is>
      </c>
      <c r="C132" s="77" t="inlineStr">
        <is>
          <t>지점관리</t>
        </is>
      </c>
      <c r="D132" s="77" t="inlineStr">
        <is>
          <t>60일 폐점 프로세스 관리.
회원 일괄 처리 대시보드 (이관/환불/자연소멸).
직원 일괄 처리 (전보/퇴사/대기발령).
락커 전체 반납, 최종 정산서 생성.
폐점 지점 데이터 영구 보존 (읽기전용).</t>
        </is>
      </c>
      <c r="E132" s="77" t="inlineStr">
        <is>
          <t>branch close API</t>
        </is>
      </c>
      <c r="F132" s="77" t="inlineStr">
        <is>
          <t>P1</t>
        </is>
      </c>
      <c r="G132" s="77" t="inlineStr">
        <is>
          <t>미구현</t>
        </is>
      </c>
      <c r="H132" s="77" t="inlineStr">
        <is>
          <t>D-60~D+90 타임라인 관리</t>
        </is>
      </c>
      <c r="I132" s="77" t="inlineStr">
        <is>
          <t>BP-106, BP-107</t>
        </is>
      </c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</row>
    <row r="133">
      <c r="A133" s="77" t="inlineStr">
        <is>
          <t>FN-065</t>
        </is>
      </c>
      <c r="B133" s="77" t="inlineStr">
        <is>
          <t>지점 합병</t>
        </is>
      </c>
      <c r="C133" s="77" t="inlineStr">
        <is>
          <t>지점관리</t>
        </is>
      </c>
      <c r="D133" s="77" t="inlineStr">
        <is>
          <t>흡수합병/신설합병 프로세스.
중복 회원 탐지 및 통합.
직원 역할 충돌 해결.
데이터 합병 (매출/계약 원지점 태그 유지).
합병 전/후 필터 리포트.</t>
        </is>
      </c>
      <c r="E133" s="77" t="inlineStr">
        <is>
          <t>branch merge API</t>
        </is>
      </c>
      <c r="F133" s="77" t="inlineStr">
        <is>
          <t>P3</t>
        </is>
      </c>
      <c r="G133" s="77" t="inlineStr">
        <is>
          <t>미구현</t>
        </is>
      </c>
      <c r="H133" s="77" t="inlineStr">
        <is>
          <t>중복회원 자동탐지 (연락처/이름)</t>
        </is>
      </c>
      <c r="I133" s="77" t="inlineStr">
        <is>
          <t>BP-108</t>
        </is>
      </c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  <c r="S133" s="77" t="n"/>
      <c r="T133" s="77" t="n"/>
      <c r="U133" s="77" t="n"/>
    </row>
    <row r="134">
      <c r="A134" s="77" t="inlineStr">
        <is>
          <t>FN-066</t>
        </is>
      </c>
      <c r="B134" s="77" t="inlineStr">
        <is>
          <t>지점 일시 휴업</t>
        </is>
      </c>
      <c r="C134" s="77" t="inlineStr">
        <is>
          <t>지점관리</t>
        </is>
      </c>
      <c r="D134" s="77" t="inlineStr">
        <is>
          <t>시설공사/재난 등 일시 휴업 설정.
전 회원 이용권 자동 홀딩 + 재개 시 자동 해제/연장.
신규 예약/결제 차단.
키오스크 휴업 화면 전환.</t>
        </is>
      </c>
      <c r="E134" s="77" t="inlineStr">
        <is>
          <t>branch pause API</t>
        </is>
      </c>
      <c r="F134" s="77" t="inlineStr">
        <is>
          <t>P2</t>
        </is>
      </c>
      <c r="G134" s="77" t="inlineStr">
        <is>
          <t>미구현</t>
        </is>
      </c>
      <c r="H134" s="77" t="inlineStr">
        <is>
          <t>홀딩 사유: BRANCH_CLOSED</t>
        </is>
      </c>
      <c r="I134" s="77" t="inlineStr">
        <is>
          <t>BP-110</t>
        </is>
      </c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</row>
    <row r="135">
      <c r="A135" s="77" t="inlineStr">
        <is>
          <t>FN-067</t>
        </is>
      </c>
      <c r="B135" s="77" t="inlineStr">
        <is>
          <t>지점 정원/리소스 관리</t>
        </is>
      </c>
      <c r="C135" s="77" t="inlineStr">
        <is>
          <t>지점관리</t>
        </is>
      </c>
      <c r="D135" s="77" t="inlineStr">
        <is>
          <t>지점별 최대 회원/직원/락커 수 설정.
80% 도달 경고, 100% 도달 차단.
요금제별 제한 자동 적용.</t>
        </is>
      </c>
      <c r="E135" s="77" t="inlineStr">
        <is>
          <t>branch limits API</t>
        </is>
      </c>
      <c r="F135" s="77" t="inlineStr">
        <is>
          <t>P2</t>
        </is>
      </c>
      <c r="G135" s="77" t="inlineStr">
        <is>
          <t>미구현</t>
        </is>
      </c>
      <c r="H135" s="77" t="inlineStr">
        <is>
          <t>요금제 연동</t>
        </is>
      </c>
      <c r="I135" s="77" t="inlineStr">
        <is>
          <t>BP-112</t>
        </is>
      </c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  <c r="S135" s="77" t="n"/>
      <c r="T135" s="77" t="n"/>
      <c r="U135" s="77" t="n"/>
    </row>
    <row r="136">
      <c r="A136" s="77" t="inlineStr">
        <is>
          <t>FN-068</t>
        </is>
      </c>
      <c r="B136" s="77" t="inlineStr">
        <is>
          <t>신규 지점 초기화 위저드</t>
        </is>
      </c>
      <c r="C136" s="77" t="inlineStr">
        <is>
          <t>지점관리</t>
        </is>
      </c>
      <c r="D136" s="77" t="inlineStr">
        <is>
          <t>지점 생성 시 단계별 초기화 위저드.
기존 지점 설정/상품 복사.
센터장 계정 동시 생성.
오픈 준비 체크리스트.</t>
        </is>
      </c>
      <c r="E136" s="77" t="inlineStr">
        <is>
          <t>branch init API</t>
        </is>
      </c>
      <c r="F136" s="77" t="inlineStr">
        <is>
          <t>P1</t>
        </is>
      </c>
      <c r="G136" s="77" t="inlineStr">
        <is>
          <t>미구현</t>
        </is>
      </c>
      <c r="H136" s="77" t="inlineStr">
        <is>
          <t>상품템플릿 복사, 기본설정 복사</t>
        </is>
      </c>
      <c r="I136" s="77" t="inlineStr">
        <is>
          <t>BP-109</t>
        </is>
      </c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</row>
    <row r="137">
      <c r="A137" s="81" t="inlineStr">
        <is>
          <t>▼ SCR-097</t>
        </is>
      </c>
      <c r="B137" s="81" t="inlineStr">
        <is>
          <t>슈퍼관리자 관리 (5개 기능)</t>
        </is>
      </c>
      <c r="C137" s="81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</row>
    <row r="138">
      <c r="A138" s="79" t="inlineStr">
        <is>
          <t>FN-069</t>
        </is>
      </c>
      <c r="B138" s="79" t="inlineStr">
        <is>
          <t>슈퍼관리자 지정/해제</t>
        </is>
      </c>
      <c r="C138" s="79" t="inlineStr">
        <is>
          <t>설정</t>
        </is>
      </c>
      <c r="D138" s="79" t="inlineStr">
        <is>
          <t>슈퍼관리자 추가 (최대 3명).
슈퍼관리자 → 일반직원 강등 (소속지점/역할 지정 필수).
마지막 1명 해제 차단.
테넌트 소유자 이전.</t>
        </is>
      </c>
      <c r="E138" s="79" t="inlineStr">
        <is>
          <t>super admin API</t>
        </is>
      </c>
      <c r="F138" s="79" t="inlineStr">
        <is>
          <t>P0</t>
        </is>
      </c>
      <c r="G138" s="79" t="inlineStr">
        <is>
          <t>미구현</t>
        </is>
      </c>
      <c r="H138" s="79" t="inlineStr">
        <is>
          <t>최소 1인, 최대 3인</t>
        </is>
      </c>
      <c r="I138" s="79" t="inlineStr">
        <is>
          <t>BP-113, BP-114, BP-115</t>
        </is>
      </c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</row>
    <row r="139">
      <c r="A139" s="78" t="inlineStr">
        <is>
          <t>FN-070</t>
        </is>
      </c>
      <c r="B139" s="78" t="inlineStr">
        <is>
          <t>통합 리포트 (지점간 비교)</t>
        </is>
      </c>
      <c r="C139" s="78" t="inlineStr">
        <is>
          <t>대시보드</t>
        </is>
      </c>
      <c r="D139" s="78" t="inlineStr">
        <is>
          <t>전 지점 매출/회원/직원/출석 통합 리포트.
지점별 순위, 전월 대비 증감, 카테고리별 비교.
환불율/재등록율/FC당 회원수 등 KPI 비교.
엑셀 내보내기.</t>
        </is>
      </c>
      <c r="E139" s="78" t="inlineStr">
        <is>
          <t>report API</t>
        </is>
      </c>
      <c r="F139" s="78" t="inlineStr">
        <is>
          <t>P1</t>
        </is>
      </c>
      <c r="G139" s="78" t="inlineStr">
        <is>
          <t>미구현</t>
        </is>
      </c>
      <c r="H139" s="78" t="inlineStr">
        <is>
          <t>슈퍼관리자 전용</t>
        </is>
      </c>
      <c r="I139" s="78" t="inlineStr">
        <is>
          <t>BP-119</t>
        </is>
      </c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</row>
    <row r="140">
      <c r="A140" s="82" t="inlineStr">
        <is>
          <t>FN-071</t>
        </is>
      </c>
      <c r="B140" s="82" t="inlineStr">
        <is>
          <t>글로벌 상품/프로모션 관리</t>
        </is>
      </c>
      <c r="C140" s="82" t="inlineStr">
        <is>
          <t>상품관리</t>
        </is>
      </c>
      <c r="D140" s="82" t="inlineStr">
        <is>
          <t>공통 상품 템플릿 생성 → 전 지점 배포.
지점별 가격 수정 허용.
글로벌 프로모션 생성 (전 지점 강제 적용).
지점 프로모션 승인 관리.</t>
        </is>
      </c>
      <c r="E140" s="82" t="inlineStr">
        <is>
          <t>global product API</t>
        </is>
      </c>
      <c r="F140" s="82" t="inlineStr">
        <is>
          <t>P2</t>
        </is>
      </c>
      <c r="G140" s="82" t="inlineStr">
        <is>
          <t>미구현</t>
        </is>
      </c>
      <c r="H140" s="82" t="inlineStr">
        <is>
          <t>글로벌 vs 지점전용 구분</t>
        </is>
      </c>
      <c r="I140" s="82" t="inlineStr">
        <is>
          <t>BP-120</t>
        </is>
      </c>
      <c r="J140" s="82" t="n"/>
      <c r="K140" s="82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</row>
    <row r="141">
      <c r="A141" s="79" t="inlineStr">
        <is>
          <t>FN-072</t>
        </is>
      </c>
      <c r="B141" s="79" t="inlineStr">
        <is>
          <t>구독/요금제 관리</t>
        </is>
      </c>
      <c r="C141" s="79" t="inlineStr">
        <is>
          <t>설정</t>
        </is>
      </c>
      <c r="D141" s="79" t="inlineStr">
        <is>
          <t>테넌트 요금제 조회/변경.
결제 수단 관리 (소유자 전용).
미결제 시 단계별 제한.
업/다운그레이드 시 제한 초과 체크.</t>
        </is>
      </c>
      <c r="E141" s="79" t="inlineStr">
        <is>
          <t>subscription API</t>
        </is>
      </c>
      <c r="F141" s="79" t="inlineStr">
        <is>
          <t>P2</t>
        </is>
      </c>
      <c r="G141" s="79" t="inlineStr">
        <is>
          <t>미구현</t>
        </is>
      </c>
      <c r="H141" s="79" t="inlineStr">
        <is>
          <t>Basic/Standard/Premium</t>
        </is>
      </c>
      <c r="I141" s="79" t="inlineStr">
        <is>
          <t>BP-131</t>
        </is>
      </c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</row>
    <row r="142">
      <c r="A142" s="79" t="inlineStr">
        <is>
          <t>FN-073</t>
        </is>
      </c>
      <c r="B142" s="79" t="inlineStr">
        <is>
          <t>비상 복구/세션 관리</t>
        </is>
      </c>
      <c r="C142" s="79" t="inlineStr">
        <is>
          <t>설정</t>
        </is>
      </c>
      <c r="D142" s="79" t="inlineStr">
        <is>
          <t>계정 잠금 해제 (상위 권한자).
세션 강제 종료 (센터장/슈퍼관리자).
동시 접속 관리.
비밀번호 강제 초기화.
IP 기반 접근 제한.</t>
        </is>
      </c>
      <c r="E142" s="79" t="inlineStr">
        <is>
          <t>security API</t>
        </is>
      </c>
      <c r="F142" s="79" t="inlineStr">
        <is>
          <t>P1</t>
        </is>
      </c>
      <c r="G142" s="79" t="inlineStr">
        <is>
          <t>미구현</t>
        </is>
      </c>
      <c r="H142" s="79" t="inlineStr">
        <is>
          <t>동시접속 제한: 1/2/3 디바이스</t>
        </is>
      </c>
      <c r="I142" s="79" t="inlineStr">
        <is>
          <t>BP-093, BP-117, BP-126</t>
        </is>
      </c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</row>
  </sheetData>
  <autoFilter ref="A1:T1"/>
  <dataValidations count="5">
    <dataValidation sqref="D2:D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P2:P200" showDropDown="0" showInputMessage="0" showErrorMessage="0" allowBlank="1" type="list">
      <formula1>"작성중,검토중,확정,변경필요,삭제"</formula1>
    </dataValidation>
    <dataValidation sqref="Q2:Q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25" customWidth="1" min="4" max="4"/>
    <col width="30" customWidth="1" min="5" max="5"/>
    <col width="25" customWidth="1" min="6" max="6"/>
    <col width="35" customWidth="1" min="7" max="7"/>
    <col width="35" customWidth="1" min="8" max="8"/>
    <col width="3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8" customWidth="1" min="15" max="15"/>
    <col width="16" customWidth="1" min="16" max="16"/>
    <col width="20" customWidth="1" min="17" max="17"/>
    <col width="25" customWidth="1" min="18" max="18"/>
  </cols>
  <sheetData>
    <row r="1">
      <c r="A1" s="1" t="inlineStr">
        <is>
          <t>API ID</t>
        </is>
      </c>
      <c r="B1" s="1" t="inlineStr">
        <is>
          <t>API명</t>
        </is>
      </c>
      <c r="C1" s="1" t="inlineStr">
        <is>
          <t>Method</t>
        </is>
      </c>
      <c r="D1" s="1" t="inlineStr">
        <is>
          <t>엔드포인트</t>
        </is>
      </c>
      <c r="E1" s="1" t="inlineStr">
        <is>
          <t>설명</t>
        </is>
      </c>
      <c r="F1" s="1" t="inlineStr">
        <is>
          <t>Request Headers</t>
        </is>
      </c>
      <c r="G1" s="1" t="inlineStr">
        <is>
          <t>Request Body</t>
        </is>
      </c>
      <c r="H1" s="1" t="inlineStr">
        <is>
          <t>Response (성공)</t>
        </is>
      </c>
      <c r="I1" s="1" t="inlineStr">
        <is>
          <t>Response (실패)</t>
        </is>
      </c>
      <c r="J1" s="1" t="inlineStr">
        <is>
          <t>인증 필요</t>
        </is>
      </c>
      <c r="K1" s="1" t="inlineStr">
        <is>
          <t>화면 ID</t>
        </is>
      </c>
      <c r="L1" s="1" t="inlineStr">
        <is>
          <t>기능 ID</t>
        </is>
      </c>
      <c r="M1" s="1" t="inlineStr">
        <is>
          <t>상태</t>
        </is>
      </c>
      <c r="N1" s="1" t="inlineStr">
        <is>
          <t>담당자</t>
        </is>
      </c>
      <c r="O1" s="1" t="inlineStr">
        <is>
          <t>[자동] 화면명</t>
        </is>
      </c>
      <c r="P1" s="1" t="inlineStr">
        <is>
          <t>[자동] 기능명</t>
        </is>
      </c>
      <c r="Q1" s="1" t="inlineStr">
        <is>
          <t>비고</t>
        </is>
      </c>
      <c r="R1" s="1" t="inlineStr">
        <is>
          <t>[자동] 관련 UI 요소</t>
        </is>
      </c>
    </row>
    <row r="2">
      <c r="A2" s="33" t="inlineStr">
        <is>
          <t>API-001</t>
        </is>
      </c>
      <c r="B2" s="33" t="inlineStr">
        <is>
          <t>로그인</t>
        </is>
      </c>
      <c r="C2" s="33" t="inlineStr">
        <is>
          <t>POST</t>
        </is>
      </c>
      <c r="D2" s="34" t="inlineStr">
        <is>
          <t>/api/v1/auth/login</t>
        </is>
      </c>
      <c r="E2" s="34" t="inlineStr">
        <is>
          <t>이메일/비밀번호 로그인 인증</t>
        </is>
      </c>
      <c r="F2" s="34" t="inlineStr">
        <is>
          <t>Content-Type: application/json</t>
        </is>
      </c>
      <c r="G2" s="34" t="inlineStr">
        <is>
          <t>{
  "email": "string (username@spogym.local)",
  "password": "string"
}
* Supabase Auth signInWithPassword 사용
* Auth 실패 시 기존 평문 비밀번호 fallback</t>
        </is>
      </c>
      <c r="H2" s="34" t="inlineStr">
        <is>
          <t>{
  "token": "supabase_access_token",
  "user": { id, username, name, role, branchId }
}</t>
        </is>
      </c>
      <c r="I2" s="34" t="inlineStr">
        <is>
          <t>{
  "error": "INVALID_CREDENTIALS",
  "message": "이메일 또는 비밀번호가 올바르지 않습니다"
}</t>
        </is>
      </c>
      <c r="J2" s="34" t="inlineStr">
        <is>
          <t>N</t>
        </is>
      </c>
      <c r="K2" s="34" t="inlineStr">
        <is>
          <t>SCR-001</t>
        </is>
      </c>
      <c r="L2" s="34" t="inlineStr">
        <is>
          <t>FN-001</t>
        </is>
      </c>
      <c r="M2" s="34" t="inlineStr">
        <is>
          <t>개발완료</t>
        </is>
      </c>
      <c r="N2" s="34" t="n"/>
      <c r="O2" s="34" t="inlineStr">
        <is>
          <t>로그인</t>
        </is>
      </c>
      <c r="P2" s="34" t="inlineStr">
        <is>
          <t>로그인</t>
        </is>
      </c>
      <c r="Q2" s="34" t="inlineStr">
        <is>
          <t>Supabase Auth 전환 (2026-03-12). signInWithPassword + 평문 fallback.</t>
        </is>
      </c>
      <c r="R2" s="34" t="n">
        <v>5</v>
      </c>
    </row>
    <row r="3">
      <c r="A3" s="33" t="inlineStr">
        <is>
          <t>API-002</t>
        </is>
      </c>
      <c r="B3" s="33" t="inlineStr">
        <is>
          <t>로그아웃</t>
        </is>
      </c>
      <c r="C3" s="33" t="inlineStr">
        <is>
          <t>POST</t>
        </is>
      </c>
      <c r="D3" s="34" t="inlineStr">
        <is>
          <t>/api/v1/auth/logout</t>
        </is>
      </c>
      <c r="E3" s="34" t="inlineStr">
        <is>
          <t>세션 종료 및 토큰 무효화</t>
        </is>
      </c>
      <c r="F3" s="34" t="inlineStr">
        <is>
          <t>Authorization: Bearer {token}</t>
        </is>
      </c>
      <c r="G3" s="34" t="n"/>
      <c r="H3" s="34" t="inlineStr">
        <is>
          <t>{
  "message": "로그아웃 되었습니다"
}</t>
        </is>
      </c>
      <c r="I3" s="34" t="inlineStr">
        <is>
          <t>{
  "error": "UNAUTHORIZED",
  "message": "인증이 필요합니다"
}</t>
        </is>
      </c>
      <c r="J3" s="34" t="inlineStr">
        <is>
          <t>Y</t>
        </is>
      </c>
      <c r="K3" s="34" t="inlineStr">
        <is>
          <t>SCR-002</t>
        </is>
      </c>
      <c r="L3" s="34" t="inlineStr">
        <is>
          <t>FN-001</t>
        </is>
      </c>
      <c r="M3" s="34" t="inlineStr">
        <is>
          <t>개발완료</t>
        </is>
      </c>
      <c r="N3" s="34" t="n"/>
      <c r="O3" s="34" t="inlineStr">
        <is>
          <t>대시보드</t>
        </is>
      </c>
      <c r="P3" s="34" t="inlineStr">
        <is>
          <t>로그인</t>
        </is>
      </c>
      <c r="Q3" s="34" t="inlineStr">
        <is>
          <t>supabase.auth.signOut() 실제 호출 구현 (2026-03-12)</t>
        </is>
      </c>
      <c r="R3" s="34" t="n">
        <v>8</v>
      </c>
    </row>
    <row r="4">
      <c r="A4" s="33" t="inlineStr">
        <is>
          <t>API-003</t>
        </is>
      </c>
      <c r="B4" s="33" t="inlineStr">
        <is>
          <t>대시보드 통계</t>
        </is>
      </c>
      <c r="C4" s="33" t="inlineStr">
        <is>
          <t>GET</t>
        </is>
      </c>
      <c r="D4" s="34" t="inlineStr">
        <is>
          <t>/api/v1/dashboard/stats</t>
        </is>
      </c>
      <c r="E4" s="34" t="inlineStr">
        <is>
          <t>지점별 대시보드 핵심 KPI 조회</t>
        </is>
      </c>
      <c r="F4" s="34" t="inlineStr">
        <is>
          <t>Authorization: Bearer {token}</t>
        </is>
      </c>
      <c r="G4" s="34" t="n"/>
      <c r="H4" s="34" t="inlineStr">
        <is>
          <t>{
  "totalMembers": 450,
  "activeMembers": 320,
  "expiringMembers": 25,
  "expiredMembers": 105,
  "monthlySales": 15000000,
  "todayAttendance": 87
}</t>
        </is>
      </c>
      <c r="I4" s="34" t="inlineStr">
        <is>
          <t>{
  "error": "SERVER_ERROR",
  "message": "데이터를 불러올 수 없습니다"
}</t>
        </is>
      </c>
      <c r="J4" s="34" t="inlineStr">
        <is>
          <t>Y</t>
        </is>
      </c>
      <c r="K4" s="34" t="inlineStr">
        <is>
          <t>SCR-002</t>
        </is>
      </c>
      <c r="L4" s="34" t="inlineStr">
        <is>
          <t>FN-002</t>
        </is>
      </c>
      <c r="M4" s="34" t="inlineStr">
        <is>
          <t>개발완료</t>
        </is>
      </c>
      <c r="N4" s="34" t="n"/>
      <c r="O4" s="34" t="inlineStr">
        <is>
          <t>대시보드</t>
        </is>
      </c>
      <c r="P4" s="34" t="inlineStr">
        <is>
          <t>대시보드 통계 조회</t>
        </is>
      </c>
      <c r="Q4" s="34" t="n"/>
      <c r="R4" s="34" t="n">
        <v>8</v>
      </c>
    </row>
    <row r="5">
      <c r="A5" s="33" t="inlineStr">
        <is>
          <t>API-004</t>
        </is>
      </c>
      <c r="B5" s="33" t="inlineStr">
        <is>
          <t>생일 회원 조회</t>
        </is>
      </c>
      <c r="C5" s="33" t="inlineStr">
        <is>
          <t>GET</t>
        </is>
      </c>
      <c r="D5" s="34" t="inlineStr">
        <is>
          <t>/api/v1/dashboard/birthday-members</t>
        </is>
      </c>
      <c r="E5" s="34" t="inlineStr">
        <is>
          <t>오늘 생일인 회원 목록 조회</t>
        </is>
      </c>
      <c r="F5" s="34" t="inlineStr">
        <is>
          <t>Authorization: Bearer {token}</t>
        </is>
      </c>
      <c r="G5" s="34" t="n"/>
      <c r="H5" s="34" t="inlineStr">
        <is>
          <t>{
  "members": [
    {"id": 1, "name": "김회원", "phone": "010-1234-5678"}
  ]
}</t>
        </is>
      </c>
      <c r="I5" s="34" t="inlineStr">
        <is>
          <t>{
  "error": "SERVER_ERROR",
  "message": "데이터를 불러올 수 없습니다"
}</t>
        </is>
      </c>
      <c r="J5" s="34" t="inlineStr">
        <is>
          <t>Y</t>
        </is>
      </c>
      <c r="K5" s="34" t="inlineStr">
        <is>
          <t>SCR-002</t>
        </is>
      </c>
      <c r="L5" s="34" t="inlineStr">
        <is>
          <t>FN-002</t>
        </is>
      </c>
      <c r="M5" s="34" t="inlineStr">
        <is>
          <t>개발완료</t>
        </is>
      </c>
      <c r="N5" s="34" t="n"/>
      <c r="O5" s="34" t="inlineStr">
        <is>
          <t>대시보드</t>
        </is>
      </c>
      <c r="P5" s="34" t="inlineStr">
        <is>
          <t>대시보드 통계 조회</t>
        </is>
      </c>
      <c r="Q5" s="34" t="n"/>
      <c r="R5" s="34" t="n">
        <v>8</v>
      </c>
    </row>
    <row r="6">
      <c r="A6" s="33" t="inlineStr">
        <is>
          <t>API-005</t>
        </is>
      </c>
      <c r="B6" s="33" t="inlineStr">
        <is>
          <t>미납 회원 조회</t>
        </is>
      </c>
      <c r="C6" s="33" t="inlineStr">
        <is>
          <t>GET</t>
        </is>
      </c>
      <c r="D6" s="34" t="inlineStr">
        <is>
          <t>/api/v1/dashboard/unpaid-members</t>
        </is>
      </c>
      <c r="E6" s="34" t="inlineStr">
        <is>
          <t>미납 내역이 있는 회원 목록 조회</t>
        </is>
      </c>
      <c r="F6" s="34" t="inlineStr">
        <is>
          <t>Authorization: Bearer {token}</t>
        </is>
      </c>
      <c r="G6" s="34" t="n"/>
      <c r="H6" s="34" t="inlineStr">
        <is>
          <t>{
  "members": [
    {"id": 2, "name": "이회원", "unpaidAmount": 150000}
  ]
}</t>
        </is>
      </c>
      <c r="I6" s="34" t="inlineStr">
        <is>
          <t>{
  "error": "SERVER_ERROR",
  "message": "조회 실패"
}</t>
        </is>
      </c>
      <c r="J6" s="34" t="inlineStr">
        <is>
          <t>Y</t>
        </is>
      </c>
      <c r="K6" s="34" t="inlineStr">
        <is>
          <t>SCR-002</t>
        </is>
      </c>
      <c r="L6" s="34" t="inlineStr">
        <is>
          <t>FN-002</t>
        </is>
      </c>
      <c r="M6" s="34" t="inlineStr">
        <is>
          <t>개발완료</t>
        </is>
      </c>
      <c r="N6" s="34" t="n"/>
      <c r="O6" s="34" t="inlineStr">
        <is>
          <t>대시보드</t>
        </is>
      </c>
      <c r="P6" s="34" t="inlineStr">
        <is>
          <t>대시보드 통계 조회</t>
        </is>
      </c>
      <c r="Q6" s="34" t="n"/>
      <c r="R6" s="34" t="n">
        <v>8</v>
      </c>
    </row>
    <row r="7">
      <c r="A7" s="33" t="inlineStr">
        <is>
          <t>API-006</t>
        </is>
      </c>
      <c r="B7" s="33" t="inlineStr">
        <is>
          <t>만료예정 회원 조회</t>
        </is>
      </c>
      <c r="C7" s="33" t="inlineStr">
        <is>
          <t>GET</t>
        </is>
      </c>
      <c r="D7" s="34" t="inlineStr">
        <is>
          <t>/api/v1/dashboard/expiring-members</t>
        </is>
      </c>
      <c r="E7" s="34" t="inlineStr">
        <is>
          <t>7일 내 이용권 만료 예정 회원 조회</t>
        </is>
      </c>
      <c r="F7" s="34" t="inlineStr">
        <is>
          <t>Authorization: Bearer {token}</t>
        </is>
      </c>
      <c r="G7" s="34" t="n"/>
      <c r="H7" s="34" t="inlineStr">
        <is>
          <t>{
  "members": [
    {"id": 3, "name": "박회원", "expiryDate": "2026-03-18", "dDay": -7}
  ]
}</t>
        </is>
      </c>
      <c r="I7" s="34" t="inlineStr">
        <is>
          <t>{
  "error": "SERVER_ERROR",
  "message": "조회 실패"
}</t>
        </is>
      </c>
      <c r="J7" s="34" t="inlineStr">
        <is>
          <t>Y</t>
        </is>
      </c>
      <c r="K7" s="34" t="inlineStr">
        <is>
          <t>SCR-002</t>
        </is>
      </c>
      <c r="L7" s="34" t="inlineStr">
        <is>
          <t>FN-002</t>
        </is>
      </c>
      <c r="M7" s="34" t="inlineStr">
        <is>
          <t>개발완료</t>
        </is>
      </c>
      <c r="N7" s="34" t="n"/>
      <c r="O7" s="34" t="inlineStr">
        <is>
          <t>대시보드</t>
        </is>
      </c>
      <c r="P7" s="34" t="inlineStr">
        <is>
          <t>대시보드 통계 조회</t>
        </is>
      </c>
      <c r="Q7" s="34" t="n"/>
      <c r="R7" s="34" t="n">
        <v>8</v>
      </c>
    </row>
    <row r="8">
      <c r="A8" s="33" t="inlineStr">
        <is>
          <t>API-007</t>
        </is>
      </c>
      <c r="B8" s="33" t="inlineStr">
        <is>
          <t>회원 목록 조회</t>
        </is>
      </c>
      <c r="C8" s="33" t="inlineStr">
        <is>
          <t>GET</t>
        </is>
      </c>
      <c r="D8" s="34" t="inlineStr">
        <is>
          <t>/api/v1/members</t>
        </is>
      </c>
      <c r="E8" s="34" t="inlineStr">
        <is>
          <t>회원 목록 조회 (검색/필터/페이지네이션)</t>
        </is>
      </c>
      <c r="F8" s="34" t="inlineStr">
        <is>
          <t>Authorization: Bearer {token}</t>
        </is>
      </c>
      <c r="G8" s="34" t="inlineStr">
        <is>
          <t>Query: ?search=&amp;status=&amp;gender=&amp;manager_id=&amp;page=1&amp;size=20&amp;sort=name&amp;order=asc</t>
        </is>
      </c>
      <c r="H8" s="34" t="inlineStr">
        <is>
          <t>{
  "data": [
    {"id": 1, "name": "김회원", "phone": "010-1234-5678", "status": "active", "gender": "M"}
  ],
  "pagination": {"page": 1, "size": 20, "total": 450}
}</t>
        </is>
      </c>
      <c r="I8" s="34" t="inlineStr">
        <is>
          <t>{
  "error": "FORBIDDEN",
  "message": "접근 권한이 없습니다"
}</t>
        </is>
      </c>
      <c r="J8" s="34" t="inlineStr">
        <is>
          <t>Y</t>
        </is>
      </c>
      <c r="K8" s="34" t="inlineStr">
        <is>
          <t>SCR-010</t>
        </is>
      </c>
      <c r="L8" s="34" t="inlineStr">
        <is>
          <t>FN-003</t>
        </is>
      </c>
      <c r="M8" s="34" t="inlineStr">
        <is>
          <t>개발완료</t>
        </is>
      </c>
      <c r="N8" s="34" t="n"/>
      <c r="O8" s="34" t="inlineStr">
        <is>
          <t>회원 목록</t>
        </is>
      </c>
      <c r="P8" s="34" t="inlineStr">
        <is>
          <t>회원 목록 조회/검색/필터</t>
        </is>
      </c>
      <c r="Q8" s="34" t="n"/>
      <c r="R8" s="34" t="n">
        <v>8</v>
      </c>
    </row>
    <row r="9">
      <c r="A9" s="33" t="inlineStr">
        <is>
          <t>API-008</t>
        </is>
      </c>
      <c r="B9" s="33" t="inlineStr">
        <is>
          <t>회원 상세 조회</t>
        </is>
      </c>
      <c r="C9" s="33" t="inlineStr">
        <is>
          <t>GET</t>
        </is>
      </c>
      <c r="D9" s="34" t="inlineStr">
        <is>
          <t>/api/v1/members/:id</t>
        </is>
      </c>
      <c r="E9" s="34" t="inlineStr">
        <is>
          <t>회원 상세 정보 조회 (프로필+이용권+출석+결제+체성분+메모)</t>
        </is>
      </c>
      <c r="F9" s="34" t="inlineStr">
        <is>
          <t>Authorization: Bearer {token}</t>
        </is>
      </c>
      <c r="G9" s="34" t="n"/>
      <c r="H9" s="34" t="inlineStr">
        <is>
          <t>{
  "profile": {"id": 1, "name": "김회원", ...},
  "tickets": [...],
  "attendance": [...],
  "payments": [...],
  "bodyComposition": [...],
  "memos": [...]
}</t>
        </is>
      </c>
      <c r="I9" s="34" t="inlineStr">
        <is>
          <t>{
  "error": "NOT_FOUND",
  "message": "회원을 찾을 수 없습니다"
}</t>
        </is>
      </c>
      <c r="J9" s="34" t="inlineStr">
        <is>
          <t>Y</t>
        </is>
      </c>
      <c r="K9" s="34" t="inlineStr">
        <is>
          <t>SCR-011</t>
        </is>
      </c>
      <c r="L9" s="34" t="inlineStr">
        <is>
          <t>FN-006</t>
        </is>
      </c>
      <c r="M9" s="34" t="inlineStr">
        <is>
          <t>개발완료</t>
        </is>
      </c>
      <c r="N9" s="34" t="n"/>
      <c r="O9" s="34" t="inlineStr">
        <is>
          <t>회원 상세</t>
        </is>
      </c>
      <c r="P9" s="34" t="inlineStr">
        <is>
          <t>회원 상세 조회</t>
        </is>
      </c>
      <c r="Q9" s="34" t="n"/>
      <c r="R9" s="34" t="n">
        <v>6</v>
      </c>
    </row>
    <row r="10">
      <c r="A10" s="33" t="inlineStr">
        <is>
          <t>API-009</t>
        </is>
      </c>
      <c r="B10" s="33" t="inlineStr">
        <is>
          <t>회원 등록</t>
        </is>
      </c>
      <c r="C10" s="33" t="inlineStr">
        <is>
          <t>POST</t>
        </is>
      </c>
      <c r="D10" s="34" t="inlineStr">
        <is>
          <t>/api/v1/members</t>
        </is>
      </c>
      <c r="E10" s="34" t="inlineStr">
        <is>
          <t>신규 회원 등록</t>
        </is>
      </c>
      <c r="F10" s="34" t="inlineStr">
        <is>
          <t>Authorization: Bearer {token}
Content-Type: application/json</t>
        </is>
      </c>
      <c r="G10" s="34" t="inlineStr">
        <is>
          <t>{
  "name": "string",
  "gender": "M|F",
  "birthDate": "YYYY-MM-DD",
  "phone": "string",
  "email": "string",
  "address": "string",
  "memo": "string",
  "managerId": "number"
}</t>
        </is>
      </c>
      <c r="H10" s="34" t="inlineStr">
        <is>
          <t>{
  "id": 1,
  "name": "김회원",
  "status": "active",
  "createdAt": "2026-03-11T00:00:00Z"
}</t>
        </is>
      </c>
      <c r="I10" s="34" t="inlineStr">
        <is>
          <t>{
  "error": "DUPLICATE_PHONE",
  "message": "이미 등록된 연락처입니다"
}</t>
        </is>
      </c>
      <c r="J10" s="34" t="inlineStr">
        <is>
          <t>Y</t>
        </is>
      </c>
      <c r="K10" s="34" t="inlineStr">
        <is>
          <t>SCR-012</t>
        </is>
      </c>
      <c r="L10" s="34" t="inlineStr">
        <is>
          <t>FN-004</t>
        </is>
      </c>
      <c r="M10" s="34" t="inlineStr">
        <is>
          <t>개발완료</t>
        </is>
      </c>
      <c r="N10" s="34" t="n"/>
      <c r="O10" s="34" t="inlineStr">
        <is>
          <t>회원 등록</t>
        </is>
      </c>
      <c r="P10" s="34" t="inlineStr">
        <is>
          <t>회원 등록</t>
        </is>
      </c>
      <c r="Q10" s="34" t="n"/>
      <c r="R10" s="34" t="n">
        <v>10</v>
      </c>
    </row>
    <row r="11">
      <c r="A11" s="33" t="inlineStr">
        <is>
          <t>API-010</t>
        </is>
      </c>
      <c r="B11" s="33" t="inlineStr">
        <is>
          <t>회원 수정</t>
        </is>
      </c>
      <c r="C11" s="33" t="inlineStr">
        <is>
          <t>PUT</t>
        </is>
      </c>
      <c r="D11" s="34" t="inlineStr">
        <is>
          <t>/api/v1/members/:id</t>
        </is>
      </c>
      <c r="E11" s="34" t="inlineStr">
        <is>
          <t>기존 회원 정보 수정</t>
        </is>
      </c>
      <c r="F11" s="34" t="inlineStr">
        <is>
          <t>Authorization: Bearer {token}
Content-Type: application/json</t>
        </is>
      </c>
      <c r="G11" s="34" t="inlineStr">
        <is>
          <t>{
  "name": "string",
  "phone": "string",
  "email": "string",
  "address": "string",
  "memo": "string",
  "managerId": "number"
}</t>
        </is>
      </c>
      <c r="H11" s="34" t="inlineStr">
        <is>
          <t>{
  "id": 1,
  "name": "김회원(수정)",
  "updatedAt": "2026-03-11T00:00:00Z"
}</t>
        </is>
      </c>
      <c r="I11" s="34" t="inlineStr">
        <is>
          <t>{
  "error": "NOT_FOUND",
  "message": "회원을 찾을 수 없습니다"
}</t>
        </is>
      </c>
      <c r="J11" s="34" t="inlineStr">
        <is>
          <t>Y</t>
        </is>
      </c>
      <c r="K11" s="34" t="inlineStr">
        <is>
          <t>SCR-013</t>
        </is>
      </c>
      <c r="L11" s="34" t="inlineStr">
        <is>
          <t>FN-005</t>
        </is>
      </c>
      <c r="M11" s="34" t="inlineStr">
        <is>
          <t>개발완료</t>
        </is>
      </c>
      <c r="N11" s="34" t="n"/>
      <c r="O11" s="34" t="inlineStr">
        <is>
          <t>회원 수정</t>
        </is>
      </c>
      <c r="P11" s="34" t="inlineStr">
        <is>
          <t>회원 정보 수정</t>
        </is>
      </c>
      <c r="Q11" s="34" t="n"/>
      <c r="R11" s="34" t="n">
        <v>2</v>
      </c>
    </row>
    <row r="12">
      <c r="A12" s="33" t="inlineStr">
        <is>
          <t>API-011</t>
        </is>
      </c>
      <c r="B12" s="33" t="inlineStr">
        <is>
          <t>회원 삭제</t>
        </is>
      </c>
      <c r="C12" s="33" t="inlineStr">
        <is>
          <t>DELETE</t>
        </is>
      </c>
      <c r="D12" s="34" t="inlineStr">
        <is>
          <t>/api/v1/members/:id</t>
        </is>
      </c>
      <c r="E12" s="34" t="inlineStr">
        <is>
          <t>회원 삭제 (소프트 삭제)</t>
        </is>
      </c>
      <c r="F12" s="34" t="inlineStr">
        <is>
          <t>Authorization: Bearer {token}</t>
        </is>
      </c>
      <c r="G12" s="34" t="n"/>
      <c r="H12" s="34" t="inlineStr">
        <is>
          <t>{
  "message": "회원이 삭제되었습니다"
}</t>
        </is>
      </c>
      <c r="I12" s="34" t="inlineStr">
        <is>
          <t>{
  "error": "FORBIDDEN",
  "message": "삭제 권한이 없습니다"
}</t>
        </is>
      </c>
      <c r="J12" s="34" t="inlineStr">
        <is>
          <t>Y</t>
        </is>
      </c>
      <c r="K12" s="34" t="inlineStr">
        <is>
          <t>SCR-011</t>
        </is>
      </c>
      <c r="L12" s="34" t="inlineStr">
        <is>
          <t>FN-005</t>
        </is>
      </c>
      <c r="M12" s="34" t="inlineStr">
        <is>
          <t>개발완료</t>
        </is>
      </c>
      <c r="N12" s="34" t="n"/>
      <c r="O12" s="34" t="inlineStr">
        <is>
          <t>회원 상세</t>
        </is>
      </c>
      <c r="P12" s="34" t="inlineStr">
        <is>
          <t>회원 정보 수정</t>
        </is>
      </c>
      <c r="Q12" s="34" t="n"/>
      <c r="R12" s="34" t="n">
        <v>6</v>
      </c>
    </row>
    <row r="13">
      <c r="A13" s="33" t="inlineStr">
        <is>
          <t>API-012</t>
        </is>
      </c>
      <c r="B13" s="33" t="inlineStr">
        <is>
          <t>회원 통계 요약</t>
        </is>
      </c>
      <c r="C13" s="33" t="inlineStr">
        <is>
          <t>GET</t>
        </is>
      </c>
      <c r="D13" s="34" t="inlineStr">
        <is>
          <t>/api/v1/members/stats/summary</t>
        </is>
      </c>
      <c r="E13" s="34" t="inlineStr">
        <is>
          <t>회원 상태별 통계 요약</t>
        </is>
      </c>
      <c r="F13" s="34" t="inlineStr">
        <is>
          <t>Authorization: Bearer {token}</t>
        </is>
      </c>
      <c r="G13" s="34" t="n"/>
      <c r="H13" s="34" t="inlineStr">
        <is>
          <t>{
  "total": 450,
  "active": 320,
  "expired": 105,
  "suspended": 15,
  "withdrawn": 10
}</t>
        </is>
      </c>
      <c r="I13" s="34" t="inlineStr">
        <is>
          <t>{
  "error": "SERVER_ERROR",
  "message": "통계 조회 실패"
}</t>
        </is>
      </c>
      <c r="J13" s="34" t="inlineStr">
        <is>
          <t>Y</t>
        </is>
      </c>
      <c r="K13" s="34" t="inlineStr">
        <is>
          <t>SCR-010</t>
        </is>
      </c>
      <c r="L13" s="34" t="inlineStr">
        <is>
          <t>FN-003</t>
        </is>
      </c>
      <c r="M13" s="34" t="inlineStr">
        <is>
          <t>개발완료</t>
        </is>
      </c>
      <c r="N13" s="34" t="n"/>
      <c r="O13" s="34" t="inlineStr">
        <is>
          <t>회원 목록</t>
        </is>
      </c>
      <c r="P13" s="34" t="inlineStr">
        <is>
          <t>회원 목록 조회/검색/필터</t>
        </is>
      </c>
      <c r="Q13" s="34" t="n"/>
      <c r="R13" s="34" t="n">
        <v>8</v>
      </c>
    </row>
    <row r="14">
      <c r="A14" s="33" t="inlineStr">
        <is>
          <t>API-013</t>
        </is>
      </c>
      <c r="B14" s="33" t="inlineStr">
        <is>
          <t>출석 기록 조회</t>
        </is>
      </c>
      <c r="C14" s="33" t="inlineStr">
        <is>
          <t>GET</t>
        </is>
      </c>
      <c r="D14" s="34" t="inlineStr">
        <is>
          <t>/api/v1/attendance</t>
        </is>
      </c>
      <c r="E14" s="34" t="inlineStr">
        <is>
          <t>회원 출석 기록 조회</t>
        </is>
      </c>
      <c r="F14" s="34" t="inlineStr">
        <is>
          <t>Authorization: Bearer {token}</t>
        </is>
      </c>
      <c r="G14" s="34" t="inlineStr">
        <is>
          <t>Query: ?startDate=&amp;endDate=&amp;type=&amp;page=1&amp;size=50</t>
        </is>
      </c>
      <c r="H14" s="34" t="inlineStr">
        <is>
          <t>{
  "data": [
    {"id": 1, "memberId": 1, "memberName": "김회원", "type": "normal", "inTime": "2026-03-11T09:00:00"}
  ],
  "pagination": {...}
}</t>
        </is>
      </c>
      <c r="I14" s="34" t="inlineStr">
        <is>
          <t>{
  "error": "SERVER_ERROR",
  "message": "조회 실패"
}</t>
        </is>
      </c>
      <c r="J14" s="34" t="inlineStr">
        <is>
          <t>Y</t>
        </is>
      </c>
      <c r="K14" s="34" t="inlineStr">
        <is>
          <t>SCR-020</t>
        </is>
      </c>
      <c r="L14" s="34" t="inlineStr">
        <is>
          <t>FN-008</t>
        </is>
      </c>
      <c r="M14" s="34" t="inlineStr">
        <is>
          <t>개발완료</t>
        </is>
      </c>
      <c r="N14" s="34" t="n"/>
      <c r="O14" s="34" t="inlineStr">
        <is>
          <t>출석 기록</t>
        </is>
      </c>
      <c r="P14" s="34" t="inlineStr">
        <is>
          <t>출석 기록 조회</t>
        </is>
      </c>
      <c r="Q14" s="34" t="n"/>
      <c r="R14" s="34" t="n">
        <v>2</v>
      </c>
    </row>
    <row r="15">
      <c r="A15" s="33" t="inlineStr">
        <is>
          <t>API-014</t>
        </is>
      </c>
      <c r="B15" s="33" t="inlineStr">
        <is>
          <t>출석 등록</t>
        </is>
      </c>
      <c r="C15" s="33" t="inlineStr">
        <is>
          <t>POST</t>
        </is>
      </c>
      <c r="D15" s="34" t="inlineStr">
        <is>
          <t>/api/v1/attendance</t>
        </is>
      </c>
      <c r="E15" s="34" t="inlineStr">
        <is>
          <t>출석 체크인/체크아웃 등록</t>
        </is>
      </c>
      <c r="F15" s="34" t="inlineStr">
        <is>
          <t>Authorization: Bearer {token}
Content-Type: application/json</t>
        </is>
      </c>
      <c r="G15" s="34" t="inlineStr">
        <is>
          <t>{
  "memberId": "number",
  "type": "normal|pt|gx",
  "status": "checkIn|checkOut"
}</t>
        </is>
      </c>
      <c r="H15" s="34" t="inlineStr">
        <is>
          <t>{
  "id": 1,
  "memberId": 1,
  "inTime": "2026-03-11T09:00:00",
  "visitCount": 45
}</t>
        </is>
      </c>
      <c r="I15" s="34" t="inlineStr">
        <is>
          <t>{
  "error": "ALREADY_CHECKED_IN",
  "message": "이미 출석 처리되었습니다"
}</t>
        </is>
      </c>
      <c r="J15" s="34" t="inlineStr">
        <is>
          <t>Y</t>
        </is>
      </c>
      <c r="K15" s="34" t="inlineStr">
        <is>
          <t>SCR-020</t>
        </is>
      </c>
      <c r="L15" s="34" t="inlineStr">
        <is>
          <t>FN-008</t>
        </is>
      </c>
      <c r="M15" s="34" t="inlineStr">
        <is>
          <t>개발완료</t>
        </is>
      </c>
      <c r="N15" s="34" t="n"/>
      <c r="O15" s="34" t="inlineStr">
        <is>
          <t>출석 기록</t>
        </is>
      </c>
      <c r="P15" s="34" t="inlineStr">
        <is>
          <t>출석 기록 조회</t>
        </is>
      </c>
      <c r="Q15" s="34" t="n"/>
      <c r="R15" s="34" t="n">
        <v>2</v>
      </c>
    </row>
    <row r="16">
      <c r="A16" s="33" t="inlineStr">
        <is>
          <t>API-015</t>
        </is>
      </c>
      <c r="B16" s="33" t="inlineStr">
        <is>
          <t>매출 조회</t>
        </is>
      </c>
      <c r="C16" s="33" t="inlineStr">
        <is>
          <t>GET</t>
        </is>
      </c>
      <c r="D16" s="34" t="inlineStr">
        <is>
          <t>/api/v1/sales</t>
        </is>
      </c>
      <c r="E16" s="34" t="inlineStr">
        <is>
          <t>매출 내역 조회 (기간/유형/상태 필터)</t>
        </is>
      </c>
      <c r="F16" s="34" t="inlineStr">
        <is>
          <t>Authorization: Bearer {token}</t>
        </is>
      </c>
      <c r="G16" s="34" t="inlineStr">
        <is>
          <t>Query: ?startDate=&amp;endDate=&amp;type=&amp;status=&amp;page=1&amp;size=20</t>
        </is>
      </c>
      <c r="H16" s="34" t="inlineStr">
        <is>
          <t>{
  "data": [
    {"id": 1, "date": "2026-03-11", "productName": "3개월 이용권", "amount": 300000, "paymentMethod": "card"}
  ],
  "pagination": {...}
}</t>
        </is>
      </c>
      <c r="I16" s="34" t="inlineStr">
        <is>
          <t>{
  "error": "FORBIDDEN",
  "message": "매출 조회 권한이 없습니다"
}</t>
        </is>
      </c>
      <c r="J16" s="34" t="inlineStr">
        <is>
          <t>Y</t>
        </is>
      </c>
      <c r="K16" s="34" t="inlineStr">
        <is>
          <t>SCR-030</t>
        </is>
      </c>
      <c r="L16" s="34" t="inlineStr">
        <is>
          <t>FN-010</t>
        </is>
      </c>
      <c r="M16" s="34" t="inlineStr">
        <is>
          <t>개발완료</t>
        </is>
      </c>
      <c r="N16" s="34" t="n"/>
      <c r="O16" s="34" t="inlineStr">
        <is>
          <t>매출 조회</t>
        </is>
      </c>
      <c r="P16" s="34" t="inlineStr">
        <is>
          <t>매출 조회/통계</t>
        </is>
      </c>
      <c r="Q16" s="34" t="n"/>
      <c r="R16" s="34" t="n">
        <v>7</v>
      </c>
    </row>
    <row r="17">
      <c r="A17" s="33" t="inlineStr">
        <is>
          <t>API-016</t>
        </is>
      </c>
      <c r="B17" s="33" t="inlineStr">
        <is>
          <t>매출 등록 (결제)</t>
        </is>
      </c>
      <c r="C17" s="33" t="inlineStr">
        <is>
          <t>POST</t>
        </is>
      </c>
      <c r="D17" s="34" t="inlineStr">
        <is>
          <t>/api/v1/sales</t>
        </is>
      </c>
      <c r="E17" s="34" t="inlineStr">
        <is>
          <t>POS 결제 처리 및 매출 등록</t>
        </is>
      </c>
      <c r="F17" s="34" t="inlineStr">
        <is>
          <t>Authorization: Bearer {token}
Content-Type: application/json</t>
        </is>
      </c>
      <c r="G17" s="34" t="inlineStr">
        <is>
          <t>{
  "memberId": "number",
  "items": [{"productId": 1, "quantity": 1}],
  "paymentMethod": "cash|card|mileage|mixed",
  "cashAmount": 0,
  "cardAmount": 300000,
  "mileageAmount": 0
}</t>
        </is>
      </c>
      <c r="H17" s="34" t="inlineStr">
        <is>
          <t>{
  "saleId": 1,
  "totalAmount": 300000,
  "receiptNo": "R20260311001"
}</t>
        </is>
      </c>
      <c r="I17" s="34" t="inlineStr">
        <is>
          <t>{
  "error": "PAYMENT_FAILED",
  "message": "결제에 실패했습니다"
}</t>
        </is>
      </c>
      <c r="J17" s="34" t="inlineStr">
        <is>
          <t>Y</t>
        </is>
      </c>
      <c r="K17" s="34" t="inlineStr">
        <is>
          <t>SCR-032</t>
        </is>
      </c>
      <c r="L17" s="34" t="inlineStr">
        <is>
          <t>FN-012</t>
        </is>
      </c>
      <c r="M17" s="34" t="inlineStr">
        <is>
          <t>개발완료</t>
        </is>
      </c>
      <c r="N17" s="34" t="n"/>
      <c r="O17" s="34" t="inlineStr">
        <is>
          <t>POS 결제</t>
        </is>
      </c>
      <c r="P17" s="34" t="inlineStr">
        <is>
          <t>POS 결제 처리</t>
        </is>
      </c>
      <c r="Q17" s="34" t="n"/>
      <c r="R17" s="34" t="n">
        <v>4</v>
      </c>
    </row>
    <row r="18">
      <c r="A18" s="33" t="inlineStr">
        <is>
          <t>API-017</t>
        </is>
      </c>
      <c r="B18" s="33" t="inlineStr">
        <is>
          <t>매출 통계 요약</t>
        </is>
      </c>
      <c r="C18" s="33" t="inlineStr">
        <is>
          <t>GET</t>
        </is>
      </c>
      <c r="D18" s="34" t="inlineStr">
        <is>
          <t>/api/v1/sales/stats/summary</t>
        </is>
      </c>
      <c r="E18" s="34" t="inlineStr">
        <is>
          <t>매출 통계 요약 (총매출/현금/카드/마일리지)</t>
        </is>
      </c>
      <c r="F18" s="34" t="inlineStr">
        <is>
          <t>Authorization: Bearer {token}</t>
        </is>
      </c>
      <c r="G18" s="34" t="inlineStr">
        <is>
          <t>Query: ?startDate=&amp;endDate=</t>
        </is>
      </c>
      <c r="H18" s="34" t="inlineStr">
        <is>
          <t>{
  "totalSales": 15000000,
  "cashSales": 3000000,
  "cardSales": 11000000,
  "mileageSales": 1000000,
  "refundTotal": 500000
}</t>
        </is>
      </c>
      <c r="I18" s="34" t="inlineStr">
        <is>
          <t>{
  "error": "SERVER_ERROR",
  "message": "통계 조회 실패"
}</t>
        </is>
      </c>
      <c r="J18" s="34" t="inlineStr">
        <is>
          <t>Y</t>
        </is>
      </c>
      <c r="K18" s="34" t="inlineStr">
        <is>
          <t>SCR-030</t>
        </is>
      </c>
      <c r="L18" s="34" t="inlineStr">
        <is>
          <t>FN-010</t>
        </is>
      </c>
      <c r="M18" s="34" t="inlineStr">
        <is>
          <t>개발완료</t>
        </is>
      </c>
      <c r="N18" s="34" t="n"/>
      <c r="O18" s="34" t="inlineStr">
        <is>
          <t>매출 조회</t>
        </is>
      </c>
      <c r="P18" s="34" t="inlineStr">
        <is>
          <t>매출 조회/통계</t>
        </is>
      </c>
      <c r="Q18" s="34" t="n"/>
      <c r="R18" s="34" t="n">
        <v>7</v>
      </c>
    </row>
    <row r="19">
      <c r="A19" s="33" t="inlineStr">
        <is>
          <t>API-018</t>
        </is>
      </c>
      <c r="B19" s="33" t="inlineStr">
        <is>
          <t>상품 목록 조회</t>
        </is>
      </c>
      <c r="C19" s="33" t="inlineStr">
        <is>
          <t>GET</t>
        </is>
      </c>
      <c r="D19" s="34" t="inlineStr">
        <is>
          <t>/api/v1/products</t>
        </is>
      </c>
      <c r="E19" s="34" t="inlineStr">
        <is>
          <t>상품 목록 조회 (카테고리/상태 필터)</t>
        </is>
      </c>
      <c r="F19" s="34" t="inlineStr">
        <is>
          <t>Authorization: Bearer {token}</t>
        </is>
      </c>
      <c r="G19" s="34" t="inlineStr">
        <is>
          <t>Query: ?category=&amp;status=</t>
        </is>
      </c>
      <c r="H19" s="34" t="inlineStr">
        <is>
          <t>{
  "data": [
    {"id": 1, "name": "3개월 이용권", "category": "membership", "cashPrice": 280000, "cardPrice": 300000, "status": "active"}
  ]
}</t>
        </is>
      </c>
      <c r="I19" s="34" t="inlineStr">
        <is>
          <t>{
  "error": "SERVER_ERROR",
  "message": "조회 실패"
}</t>
        </is>
      </c>
      <c r="J19" s="34" t="inlineStr">
        <is>
          <t>Y</t>
        </is>
      </c>
      <c r="K19" s="34" t="inlineStr">
        <is>
          <t>SCR-040</t>
        </is>
      </c>
      <c r="L19" s="34" t="inlineStr">
        <is>
          <t>FN-013</t>
        </is>
      </c>
      <c r="M19" s="34" t="inlineStr">
        <is>
          <t>개발완료</t>
        </is>
      </c>
      <c r="N19" s="34" t="n"/>
      <c r="O19" s="34" t="inlineStr">
        <is>
          <t>상품 목록</t>
        </is>
      </c>
      <c r="P19" s="34" t="inlineStr">
        <is>
          <t>상품 목록 조회</t>
        </is>
      </c>
      <c r="Q19" s="34" t="n"/>
      <c r="R19" s="34" t="n">
        <v>3</v>
      </c>
    </row>
    <row r="20">
      <c r="A20" s="33" t="inlineStr">
        <is>
          <t>API-019</t>
        </is>
      </c>
      <c r="B20" s="33" t="inlineStr">
        <is>
          <t>상품 등록</t>
        </is>
      </c>
      <c r="C20" s="33" t="inlineStr">
        <is>
          <t>POST</t>
        </is>
      </c>
      <c r="D20" s="34" t="inlineStr">
        <is>
          <t>/api/v1/products</t>
        </is>
      </c>
      <c r="E20" s="34" t="inlineStr">
        <is>
          <t>신규 상품 등록</t>
        </is>
      </c>
      <c r="F20" s="34" t="inlineStr">
        <is>
          <t>Authorization: Bearer {token}
Content-Type: application/json</t>
        </is>
      </c>
      <c r="G20" s="34" t="inlineStr">
        <is>
          <t>{
  "category": "membership|pt|gx|etc",
  "name": "string",
  "cashPrice": "number",
  "cardPrice": "number",
  "period": "number (days)",
  "kioskExposure": "boolean"
}</t>
        </is>
      </c>
      <c r="H20" s="34" t="inlineStr">
        <is>
          <t>{
  "id": 1,
  "name": "3개월 이용권",
  "createdAt": "2026-03-11"
}</t>
        </is>
      </c>
      <c r="I20" s="34" t="inlineStr">
        <is>
          <t>{
  "error": "DUPLICATE_NAME",
  "message": "동일 카테고리에 같은 상품명이 있습니다"
}</t>
        </is>
      </c>
      <c r="J20" s="34" t="inlineStr">
        <is>
          <t>Y</t>
        </is>
      </c>
      <c r="K20" s="34" t="inlineStr">
        <is>
          <t>SCR-041</t>
        </is>
      </c>
      <c r="L20" s="34" t="inlineStr">
        <is>
          <t>FN-014</t>
        </is>
      </c>
      <c r="M20" s="34" t="inlineStr">
        <is>
          <t>개발완료</t>
        </is>
      </c>
      <c r="N20" s="34" t="n"/>
      <c r="O20" s="34" t="inlineStr">
        <is>
          <t>상품 등록</t>
        </is>
      </c>
      <c r="P20" s="34" t="inlineStr">
        <is>
          <t>상품 등록/수정</t>
        </is>
      </c>
      <c r="Q20" s="34" t="n"/>
      <c r="R20" s="34" t="n">
        <v>4</v>
      </c>
    </row>
    <row r="21">
      <c r="A21" s="33" t="inlineStr">
        <is>
          <t>API-020</t>
        </is>
      </c>
      <c r="B21" s="33" t="inlineStr">
        <is>
          <t>락커 목록 조회</t>
        </is>
      </c>
      <c r="C21" s="33" t="inlineStr">
        <is>
          <t>GET</t>
        </is>
      </c>
      <c r="D21" s="34" t="inlineStr">
        <is>
          <t>/api/v1/lockers</t>
        </is>
      </c>
      <c r="E21" s="34" t="inlineStr">
        <is>
          <t>구역별 락커 현황 조회</t>
        </is>
      </c>
      <c r="F21" s="34" t="inlineStr">
        <is>
          <t>Authorization: Bearer {token}</t>
        </is>
      </c>
      <c r="G21" s="34" t="inlineStr">
        <is>
          <t>Query: ?area=A</t>
        </is>
      </c>
      <c r="H21" s="34" t="inlineStr">
        <is>
          <t>{
  "data": [
    {"id": 1, "number": "A-001", "area": "A", "status": "available", "memberId": null}
  ]
}</t>
        </is>
      </c>
      <c r="I21" s="34" t="inlineStr">
        <is>
          <t>{
  "error": "SERVER_ERROR",
  "message": "조회 실패"
}</t>
        </is>
      </c>
      <c r="J21" s="34" t="inlineStr">
        <is>
          <t>Y</t>
        </is>
      </c>
      <c r="K21" s="34" t="inlineStr">
        <is>
          <t>SCR-050</t>
        </is>
      </c>
      <c r="L21" s="34" t="inlineStr">
        <is>
          <t>FN-015</t>
        </is>
      </c>
      <c r="M21" s="34" t="inlineStr">
        <is>
          <t>개발완료</t>
        </is>
      </c>
      <c r="N21" s="34" t="n"/>
      <c r="O21" s="34" t="inlineStr">
        <is>
          <t>락커 현황</t>
        </is>
      </c>
      <c r="P21" s="34" t="inlineStr">
        <is>
          <t>락커 현황 조회</t>
        </is>
      </c>
      <c r="Q21" s="34" t="n"/>
      <c r="R21" s="34" t="n">
        <v>4</v>
      </c>
    </row>
    <row r="22">
      <c r="A22" s="33" t="inlineStr">
        <is>
          <t>API-021</t>
        </is>
      </c>
      <c r="B22" s="33" t="inlineStr">
        <is>
          <t>락커 배정/해제</t>
        </is>
      </c>
      <c r="C22" s="33" t="inlineStr">
        <is>
          <t>PATCH</t>
        </is>
      </c>
      <c r="D22" s="34" t="inlineStr">
        <is>
          <t>/api/v1/lockers/:id</t>
        </is>
      </c>
      <c r="E22" s="34" t="inlineStr">
        <is>
          <t>락커 배정 또는 해제</t>
        </is>
      </c>
      <c r="F22" s="34" t="inlineStr">
        <is>
          <t>Authorization: Bearer {token}
Content-Type: application/json</t>
        </is>
      </c>
      <c r="G22" s="34" t="inlineStr">
        <is>
          <t>{
  "action": "assign|release",
  "memberId": "number",
  "expiryDate": "YYYY-MM-DD"
}</t>
        </is>
      </c>
      <c r="H22" s="34" t="inlineStr">
        <is>
          <t>{
  "id": 1,
  "number": "A-001",
  "status": "occupied",
  "memberId": 1
}</t>
        </is>
      </c>
      <c r="I22" s="34" t="inlineStr">
        <is>
          <t>{
  "error": "ALREADY_ASSIGNED",
  "message": "이미 사용중인 락커입니다"
}</t>
        </is>
      </c>
      <c r="J22" s="34" t="inlineStr">
        <is>
          <t>Y</t>
        </is>
      </c>
      <c r="K22" s="34" t="inlineStr">
        <is>
          <t>SCR-051</t>
        </is>
      </c>
      <c r="L22" s="34" t="inlineStr">
        <is>
          <t>FN-016</t>
        </is>
      </c>
      <c r="M22" s="34" t="inlineStr">
        <is>
          <t>개발완료</t>
        </is>
      </c>
      <c r="N22" s="34" t="n"/>
      <c r="O22" s="34" t="inlineStr">
        <is>
          <t>락커 관리</t>
        </is>
      </c>
      <c r="P22" s="34" t="inlineStr">
        <is>
          <t>락커 배정/관리</t>
        </is>
      </c>
      <c r="Q22" s="34" t="n"/>
      <c r="R22" s="34" t="n">
        <v>4</v>
      </c>
    </row>
    <row r="23">
      <c r="A23" s="33" t="inlineStr">
        <is>
          <t>API-022</t>
        </is>
      </c>
      <c r="B23" s="33" t="inlineStr">
        <is>
          <t>직원 목록 조회</t>
        </is>
      </c>
      <c r="C23" s="33" t="inlineStr">
        <is>
          <t>GET</t>
        </is>
      </c>
      <c r="D23" s="34" t="inlineStr">
        <is>
          <t>/api/v1/staff</t>
        </is>
      </c>
      <c r="E23" s="34" t="inlineStr">
        <is>
          <t>직원 목록 조회 (역할/상태 필터)</t>
        </is>
      </c>
      <c r="F23" s="34" t="inlineStr">
        <is>
          <t>Authorization: Bearer {token}</t>
        </is>
      </c>
      <c r="G23" s="34" t="inlineStr">
        <is>
          <t>Query: ?search=&amp;role=&amp;status=</t>
        </is>
      </c>
      <c r="H23" s="34" t="inlineStr">
        <is>
          <t>{
  "data": [
    {"id": 1, "name": "박트레이너", "role": "fc", "status": "active", "contact": "010-9999-8888"}
  ]
}</t>
        </is>
      </c>
      <c r="I23" s="34" t="inlineStr">
        <is>
          <t>{
  "error": "FORBIDDEN",
  "message": "직원 조회 권한이 없습니다"
}</t>
        </is>
      </c>
      <c r="J23" s="34" t="inlineStr">
        <is>
          <t>Y</t>
        </is>
      </c>
      <c r="K23" s="34" t="inlineStr">
        <is>
          <t>SCR-060</t>
        </is>
      </c>
      <c r="L23" s="34" t="inlineStr">
        <is>
          <t>FN-019</t>
        </is>
      </c>
      <c r="M23" s="34" t="inlineStr">
        <is>
          <t>개발완료</t>
        </is>
      </c>
      <c r="N23" s="34" t="n"/>
      <c r="O23" s="34" t="inlineStr">
        <is>
          <t>직원 목록</t>
        </is>
      </c>
      <c r="P23" s="34" t="inlineStr">
        <is>
          <t>직원 목록 조회</t>
        </is>
      </c>
      <c r="Q23" s="34" t="n"/>
      <c r="R23" s="34" t="n">
        <v>5</v>
      </c>
    </row>
    <row r="24">
      <c r="A24" s="33" t="inlineStr">
        <is>
          <t>API-023</t>
        </is>
      </c>
      <c r="B24" s="33" t="inlineStr">
        <is>
          <t>직원 등록</t>
        </is>
      </c>
      <c r="C24" s="33" t="inlineStr">
        <is>
          <t>POST</t>
        </is>
      </c>
      <c r="D24" s="34" t="inlineStr">
        <is>
          <t>/api/v1/staff</t>
        </is>
      </c>
      <c r="E24" s="34" t="inlineStr">
        <is>
          <t>신규 직원 등록</t>
        </is>
      </c>
      <c r="F24" s="34" t="inlineStr">
        <is>
          <t>Authorization: Bearer {token}
Content-Type: application/json</t>
        </is>
      </c>
      <c r="G24" s="34" t="inlineStr">
        <is>
          <t>{
  "name": "string",
  "gender": "M|F",
  "contact": "string",
  "role": "center_manager|manager|fc|staff",
  "joinDate": "YYYY-MM-DD",
  "workType": "full|part"
}</t>
        </is>
      </c>
      <c r="H24" s="34" t="inlineStr">
        <is>
          <t>{
  "id": 1,
  "name": "박트레이너",
  "adminId": "auto_generated_id"
}</t>
        </is>
      </c>
      <c r="I24" s="34" t="inlineStr">
        <is>
          <t>{
  "error": "DUPLICATE_EMAIL",
  "message": "이미 등록된 이메일입니다"
}</t>
        </is>
      </c>
      <c r="J24" s="34" t="inlineStr">
        <is>
          <t>Y</t>
        </is>
      </c>
      <c r="K24" s="34" t="inlineStr">
        <is>
          <t>SCR-061</t>
        </is>
      </c>
      <c r="L24" s="34" t="inlineStr">
        <is>
          <t>FN-020</t>
        </is>
      </c>
      <c r="M24" s="34" t="inlineStr">
        <is>
          <t>개발완료</t>
        </is>
      </c>
      <c r="N24" s="34" t="n"/>
      <c r="O24" s="34" t="inlineStr">
        <is>
          <t>직원 등록</t>
        </is>
      </c>
      <c r="P24" s="34" t="inlineStr">
        <is>
          <t>직원 등록/수정</t>
        </is>
      </c>
      <c r="Q24" s="34" t="n"/>
      <c r="R24" s="34" t="n">
        <v>5</v>
      </c>
    </row>
    <row r="25">
      <c r="A25" s="33" t="inlineStr">
        <is>
          <t>API-024</t>
        </is>
      </c>
      <c r="B25" s="33" t="inlineStr">
        <is>
          <t>직원 수정</t>
        </is>
      </c>
      <c r="C25" s="33" t="inlineStr">
        <is>
          <t>PUT</t>
        </is>
      </c>
      <c r="D25" s="34" t="inlineStr">
        <is>
          <t>/api/v1/staff/:id</t>
        </is>
      </c>
      <c r="E25" s="34" t="inlineStr">
        <is>
          <t>직원 정보 수정</t>
        </is>
      </c>
      <c r="F25" s="34" t="inlineStr">
        <is>
          <t>Authorization: Bearer {token}
Content-Type: application/json</t>
        </is>
      </c>
      <c r="G25" s="34" t="inlineStr">
        <is>
          <t>{
  "name": "string",
  "contact": "string",
  "role": "string",
  "status": "active|leave|resigned"
}</t>
        </is>
      </c>
      <c r="H25" s="34" t="inlineStr">
        <is>
          <t>{
  "id": 1,
  "name": "박트레이너(수정)",
  "updatedAt": "2026-03-11"
}</t>
        </is>
      </c>
      <c r="I25" s="34" t="inlineStr">
        <is>
          <t>{
  "error": "NOT_FOUND",
  "message": "직원을 찾을 수 없습니다"
}</t>
        </is>
      </c>
      <c r="J25" s="34" t="inlineStr">
        <is>
          <t>Y</t>
        </is>
      </c>
      <c r="K25" s="34" t="inlineStr">
        <is>
          <t>SCR-060</t>
        </is>
      </c>
      <c r="L25" s="34" t="inlineStr">
        <is>
          <t>FN-020</t>
        </is>
      </c>
      <c r="M25" s="34" t="inlineStr">
        <is>
          <t>개발완료</t>
        </is>
      </c>
      <c r="N25" s="34" t="n"/>
      <c r="O25" s="34" t="inlineStr">
        <is>
          <t>직원 목록</t>
        </is>
      </c>
      <c r="P25" s="34" t="inlineStr">
        <is>
          <t>직원 등록/수정</t>
        </is>
      </c>
      <c r="Q25" s="34" t="n"/>
      <c r="R25" s="34" t="n">
        <v>5</v>
      </c>
    </row>
    <row r="26">
      <c r="A26" s="33" t="inlineStr">
        <is>
          <t>API-025</t>
        </is>
      </c>
      <c r="B26" s="33" t="inlineStr">
        <is>
          <t>직원 삭제</t>
        </is>
      </c>
      <c r="C26" s="33" t="inlineStr">
        <is>
          <t>DELETE</t>
        </is>
      </c>
      <c r="D26" s="34" t="inlineStr">
        <is>
          <t>/api/v1/staff/:id</t>
        </is>
      </c>
      <c r="E26" s="34" t="inlineStr">
        <is>
          <t>직원 삭제 (소프트 삭제)</t>
        </is>
      </c>
      <c r="F26" s="34" t="inlineStr">
        <is>
          <t>Authorization: Bearer {token}</t>
        </is>
      </c>
      <c r="G26" s="34" t="n"/>
      <c r="H26" s="34" t="inlineStr">
        <is>
          <t>{
  "message": "직원이 삭제되었습니다"
}</t>
        </is>
      </c>
      <c r="I26" s="34" t="inlineStr">
        <is>
          <t>{
  "error": "FORBIDDEN",
  "message": "삭제 권한이 없습니다"
}</t>
        </is>
      </c>
      <c r="J26" s="34" t="inlineStr">
        <is>
          <t>Y</t>
        </is>
      </c>
      <c r="K26" s="34" t="inlineStr">
        <is>
          <t>SCR-060</t>
        </is>
      </c>
      <c r="L26" s="34" t="inlineStr">
        <is>
          <t>FN-020</t>
        </is>
      </c>
      <c r="M26" s="34" t="inlineStr">
        <is>
          <t>개발완료</t>
        </is>
      </c>
      <c r="N26" s="34" t="n"/>
      <c r="O26" s="34" t="inlineStr">
        <is>
          <t>직원 목록</t>
        </is>
      </c>
      <c r="P26" s="34" t="inlineStr">
        <is>
          <t>직원 등록/수정</t>
        </is>
      </c>
      <c r="Q26" s="34" t="n"/>
      <c r="R26" s="34" t="n">
        <v>5</v>
      </c>
    </row>
    <row r="27">
      <c r="A27" s="33" t="inlineStr">
        <is>
          <t>API-026</t>
        </is>
      </c>
      <c r="B27" s="33" t="inlineStr">
        <is>
          <t>직원 출근부 조회</t>
        </is>
      </c>
      <c r="C27" s="33" t="inlineStr">
        <is>
          <t>GET</t>
        </is>
      </c>
      <c r="D27" s="34" t="inlineStr">
        <is>
          <t>/api/v1/staff/attendance</t>
        </is>
      </c>
      <c r="E27" s="34" t="inlineStr">
        <is>
          <t>직원 출퇴근 기록 조회</t>
        </is>
      </c>
      <c r="F27" s="34" t="inlineStr">
        <is>
          <t>Authorization: Bearer {token}</t>
        </is>
      </c>
      <c r="G27" s="34" t="inlineStr">
        <is>
          <t>Query: ?staffId=&amp;yearMonth=2026-03</t>
        </is>
      </c>
      <c r="H27" s="34" t="inlineStr">
        <is>
          <t>{
  "data": [
    {"date": "2026-03-11", "staffId": 1, "checkIn": "09:00", "checkOut": "18:00", "status": "present"}
  ]
}</t>
        </is>
      </c>
      <c r="I27" s="34" t="inlineStr">
        <is>
          <t>{
  "error": "SERVER_ERROR",
  "message": "조회 실패"
}</t>
        </is>
      </c>
      <c r="J27" s="34" t="inlineStr">
        <is>
          <t>Y</t>
        </is>
      </c>
      <c r="K27" s="34" t="inlineStr">
        <is>
          <t>SCR-062</t>
        </is>
      </c>
      <c r="L27" s="34" t="inlineStr">
        <is>
          <t>FN-021</t>
        </is>
      </c>
      <c r="M27" s="34" t="inlineStr">
        <is>
          <t>개발완료</t>
        </is>
      </c>
      <c r="N27" s="34" t="n"/>
      <c r="O27" s="34" t="inlineStr">
        <is>
          <t>급여 현황</t>
        </is>
      </c>
      <c r="P27" s="34" t="inlineStr">
        <is>
          <t>급여 관리</t>
        </is>
      </c>
      <c r="Q27" s="34" t="n"/>
      <c r="R27" s="34" t="n">
        <v>3</v>
      </c>
    </row>
    <row r="28">
      <c r="A28" s="33" t="inlineStr">
        <is>
          <t>API-027</t>
        </is>
      </c>
      <c r="B28" s="33" t="inlineStr">
        <is>
          <t>시스템 초기화</t>
        </is>
      </c>
      <c r="C28" s="33" t="inlineStr">
        <is>
          <t>POST</t>
        </is>
      </c>
      <c r="D28" s="34" t="inlineStr">
        <is>
          <t>/api/v1/system/reset</t>
        </is>
      </c>
      <c r="E28" s="34" t="inlineStr">
        <is>
          <t>지점 데이터 초기화 (개발/테스트용)</t>
        </is>
      </c>
      <c r="F28" s="34" t="inlineStr">
        <is>
          <t>Authorization: Bearer {token}
Content-Type: application/json</t>
        </is>
      </c>
      <c r="G28" s="34" t="inlineStr">
        <is>
          <t>{
  "branchId": "number",
  "confirmPassword": "string",
  "targets": ["members","sales","attendance"]
}</t>
        </is>
      </c>
      <c r="H28" s="34" t="inlineStr">
        <is>
          <t>{
  "message": "데이터가 초기화되었습니다",
  "resetTargets": ["members","sales","attendance"]
}</t>
        </is>
      </c>
      <c r="I28" s="34" t="inlineStr">
        <is>
          <t>{
  "error": "INVALID_PASSWORD",
  "message": "비밀번호가 올바르지 않습니다"
}</t>
        </is>
      </c>
      <c r="J28" s="34" t="inlineStr">
        <is>
          <t>Y</t>
        </is>
      </c>
      <c r="K28" s="34" t="inlineStr">
        <is>
          <t>SCR-094</t>
        </is>
      </c>
      <c r="L28" s="34" t="inlineStr">
        <is>
          <t>FN-033</t>
        </is>
      </c>
      <c r="M28" s="34" t="inlineStr">
        <is>
          <t>개발완료</t>
        </is>
      </c>
      <c r="N28" s="34" t="n"/>
      <c r="O28" s="34" t="inlineStr">
        <is>
          <t>지점 관리</t>
        </is>
      </c>
      <c r="P28" s="34" t="inlineStr">
        <is>
          <t>지점 관리</t>
        </is>
      </c>
      <c r="Q28" s="34" t="n"/>
      <c r="R28" s="34" t="n">
        <v>3</v>
      </c>
    </row>
    <row r="29">
      <c r="A29" s="33" t="inlineStr">
        <is>
          <t>API-030</t>
        </is>
      </c>
      <c r="B29" s="33" t="inlineStr">
        <is>
          <t>매출 목록 조회</t>
        </is>
      </c>
      <c r="C29" s="33" t="inlineStr">
        <is>
          <t>GET</t>
        </is>
      </c>
      <c r="D29" s="34" t="inlineStr">
        <is>
          <t>/api/v1/sales</t>
        </is>
      </c>
      <c r="E29" s="34" t="inlineStr">
        <is>
          <t>매출 목록 조회. 기간/회원 필터, 페이지네이션</t>
        </is>
      </c>
      <c r="F29" s="34" t="inlineStr">
        <is>
          <t>Authorization: Bearer {token}</t>
        </is>
      </c>
      <c r="G29" s="34" t="inlineStr">
        <is>
          <t>Query: page, size, startDate, endDate, memberId</t>
        </is>
      </c>
      <c r="H29" s="34" t="inlineStr">
        <is>
          <t>{
  "data": [Sale[]],
  "pagination": {...}
}</t>
        </is>
      </c>
      <c r="I29" s="34" t="inlineStr">
        <is>
          <t>{
  "error": "SERVER_ERROR"
}</t>
        </is>
      </c>
      <c r="J29" s="34" t="inlineStr">
        <is>
          <t>Y</t>
        </is>
      </c>
      <c r="K29" s="34" t="inlineStr">
        <is>
          <t>SCR-030</t>
        </is>
      </c>
      <c r="L29" s="34" t="inlineStr">
        <is>
          <t>FN-011</t>
        </is>
      </c>
      <c r="M29" s="34" t="inlineStr">
        <is>
          <t>개발완료</t>
        </is>
      </c>
      <c r="N29" s="34" t="n"/>
      <c r="O29" s="34" t="inlineStr">
        <is>
          <t>매출 관리</t>
        </is>
      </c>
      <c r="P29" s="34" t="inlineStr">
        <is>
          <t>매출 조회</t>
        </is>
      </c>
      <c r="Q29" s="34" t="inlineStr">
        <is>
          <t>saleDate desc 정렬, branchId 필터</t>
        </is>
      </c>
      <c r="R29" s="34" t="inlineStr">
        <is>
          <t>UI-038, UI-039, UI-040, UI-041, UI-042, UI-043, UI-044</t>
        </is>
      </c>
    </row>
    <row r="30">
      <c r="A30" s="33" t="inlineStr">
        <is>
          <t>API-031</t>
        </is>
      </c>
      <c r="B30" s="33" t="inlineStr">
        <is>
          <t>매출 상세 조회</t>
        </is>
      </c>
      <c r="C30" s="33" t="inlineStr">
        <is>
          <t>GET</t>
        </is>
      </c>
      <c r="D30" s="34" t="inlineStr">
        <is>
          <t>/api/v1/sales/{id}</t>
        </is>
      </c>
      <c r="E30" s="34" t="inlineStr">
        <is>
          <t>매출 단건 상세 조회</t>
        </is>
      </c>
      <c r="F30" s="34" t="inlineStr">
        <is>
          <t>Authorization: Bearer {token}</t>
        </is>
      </c>
      <c r="G30" s="34" t="inlineStr">
        <is>
          <t>Path: id</t>
        </is>
      </c>
      <c r="H30" s="34" t="inlineStr">
        <is>
          <t>{
  "data": Sale
}</t>
        </is>
      </c>
      <c r="I30" s="34" t="inlineStr">
        <is>
          <t>{
  "error": "NOT_FOUND"
}</t>
        </is>
      </c>
      <c r="J30" s="34" t="inlineStr">
        <is>
          <t>Y</t>
        </is>
      </c>
      <c r="K30" s="34" t="inlineStr">
        <is>
          <t>SCR-030</t>
        </is>
      </c>
      <c r="L30" s="34" t="inlineStr">
        <is>
          <t>FN-011</t>
        </is>
      </c>
      <c r="M30" s="34" t="inlineStr">
        <is>
          <t>개발완료</t>
        </is>
      </c>
      <c r="N30" s="34" t="n"/>
      <c r="O30" s="34" t="inlineStr">
        <is>
          <t>매출 관리</t>
        </is>
      </c>
      <c r="P30" s="34" t="inlineStr">
        <is>
          <t>매출 조회</t>
        </is>
      </c>
      <c r="Q30" s="34" t="inlineStr">
        <is>
          <t>supabase.from("sales").eq("id").single()</t>
        </is>
      </c>
      <c r="R30" s="34" t="inlineStr">
        <is>
          <t>UI-038, UI-039, UI-040, UI-041, UI-042, UI-043, UI-044</t>
        </is>
      </c>
    </row>
    <row r="31">
      <c r="A31" s="33" t="inlineStr">
        <is>
          <t>API-032</t>
        </is>
      </c>
      <c r="B31" s="33" t="inlineStr">
        <is>
          <t>매출 등록</t>
        </is>
      </c>
      <c r="C31" s="33" t="inlineStr">
        <is>
          <t>POST</t>
        </is>
      </c>
      <c r="D31" s="34" t="inlineStr">
        <is>
          <t>/api/v1/sales</t>
        </is>
      </c>
      <c r="E31" s="34" t="inlineStr">
        <is>
          <t>새 매출 등록. saleDate 미전달 시 현재 시각, status 기본 COMPLETED</t>
        </is>
      </c>
      <c r="F31" s="34" t="inlineStr">
        <is>
          <t>Authorization: Bearer {token}</t>
        </is>
      </c>
      <c r="G31" s="34" t="inlineStr">
        <is>
          <t>{
  "memberId": "number (필수)",
  "productId": "number (필수)",
  "amount": "number (필수)",
  "paymentMethod": "CARD|CASH|TRANSFER|MILEAGE (필수)",
  ... (memberName, productName, salePrice, discountPrice, cash, card, mileageUsed, cardCompany, cardNumber, approvalNo, unpaid, staffId, staffName, memo, saleDate)
}</t>
        </is>
      </c>
      <c r="H31" s="34" t="inlineStr">
        <is>
          <t>{
  "data": Sale,
  "message": "매출이 등록되었습니다."
}</t>
        </is>
      </c>
      <c r="I31" s="34" t="inlineStr">
        <is>
          <t>{
  "error": "CREATE_FAILED"
}</t>
        </is>
      </c>
      <c r="J31" s="34" t="inlineStr">
        <is>
          <t>Y</t>
        </is>
      </c>
      <c r="K31" s="34" t="inlineStr">
        <is>
          <t>SCR-031</t>
        </is>
      </c>
      <c r="L31" s="34" t="inlineStr">
        <is>
          <t>FN-012</t>
        </is>
      </c>
      <c r="M31" s="34" t="inlineStr">
        <is>
          <t>개발완료</t>
        </is>
      </c>
      <c r="N31" s="34" t="n"/>
      <c r="O31" s="34" t="inlineStr">
        <is>
          <t>POS 결제</t>
        </is>
      </c>
      <c r="P31" s="34" t="inlineStr">
        <is>
          <t>매출 등록</t>
        </is>
      </c>
      <c r="Q31" s="34" t="inlineStr">
        <is>
          <t>branchId 자동 설정</t>
        </is>
      </c>
      <c r="R31" s="34" t="inlineStr">
        <is>
          <t>UI-045, UI-046, UI-047, UI-048</t>
        </is>
      </c>
    </row>
    <row r="32">
      <c r="A32" s="33" t="inlineStr">
        <is>
          <t>API-033</t>
        </is>
      </c>
      <c r="B32" s="33" t="inlineStr">
        <is>
          <t>매출 수정</t>
        </is>
      </c>
      <c r="C32" s="33" t="inlineStr">
        <is>
          <t>PUT</t>
        </is>
      </c>
      <c r="D32" s="34" t="inlineStr">
        <is>
          <t>/api/v1/sales/{id}</t>
        </is>
      </c>
      <c r="E32" s="34" t="inlineStr">
        <is>
          <t>매출 부분 수정</t>
        </is>
      </c>
      <c r="F32" s="34" t="inlineStr">
        <is>
          <t>Authorization: Bearer {token}</t>
        </is>
      </c>
      <c r="G32" s="34" t="inlineStr">
        <is>
          <t>Path: id
Body: Partial&lt;SaleRequest&gt;</t>
        </is>
      </c>
      <c r="H32" s="34" t="inlineStr">
        <is>
          <t>{
  "data": Sale,
  "message": "매출이 수정되었습니다."
}</t>
        </is>
      </c>
      <c r="I32" s="34" t="inlineStr">
        <is>
          <t>{
  "error": "UPDATE_FAILED"
}</t>
        </is>
      </c>
      <c r="J32" s="34" t="inlineStr">
        <is>
          <t>Y</t>
        </is>
      </c>
      <c r="K32" s="34" t="inlineStr">
        <is>
          <t>SCR-030</t>
        </is>
      </c>
      <c r="L32" s="34" t="inlineStr">
        <is>
          <t>FN-013</t>
        </is>
      </c>
      <c r="M32" s="34" t="inlineStr">
        <is>
          <t>개발완료</t>
        </is>
      </c>
      <c r="N32" s="34" t="n"/>
      <c r="O32" s="34" t="inlineStr">
        <is>
          <t>매출 관리</t>
        </is>
      </c>
      <c r="P32" s="34" t="inlineStr">
        <is>
          <t>매출 수정</t>
        </is>
      </c>
      <c r="Q32" s="34" t="n"/>
      <c r="R32" s="34" t="inlineStr">
        <is>
          <t>UI-038, UI-039, UI-040, UI-041, UI-042, UI-043, UI-044</t>
        </is>
      </c>
    </row>
    <row r="33">
      <c r="A33" s="33" t="inlineStr">
        <is>
          <t>API-034</t>
        </is>
      </c>
      <c r="B33" s="33" t="inlineStr">
        <is>
          <t>매출 삭제</t>
        </is>
      </c>
      <c r="C33" s="33" t="inlineStr">
        <is>
          <t>DELETE</t>
        </is>
      </c>
      <c r="D33" s="34" t="inlineStr">
        <is>
          <t>/api/v1/sales/{id}</t>
        </is>
      </c>
      <c r="E33" s="34" t="inlineStr">
        <is>
          <t>매출 삭제 (hard delete)</t>
        </is>
      </c>
      <c r="F33" s="34" t="inlineStr">
        <is>
          <t>Authorization: Bearer {token}</t>
        </is>
      </c>
      <c r="G33" s="34" t="inlineStr">
        <is>
          <t>Path: id</t>
        </is>
      </c>
      <c r="H33" s="34" t="inlineStr">
        <is>
          <t>{
  "message": "매출이 삭제되었습니다."
}</t>
        </is>
      </c>
      <c r="I33" s="34" t="inlineStr">
        <is>
          <t>{
  "error": "DELETE_FAILED"
}</t>
        </is>
      </c>
      <c r="J33" s="34" t="inlineStr">
        <is>
          <t>Y</t>
        </is>
      </c>
      <c r="K33" s="34" t="inlineStr">
        <is>
          <t>SCR-030</t>
        </is>
      </c>
      <c r="L33" s="34" t="inlineStr">
        <is>
          <t>FN-014</t>
        </is>
      </c>
      <c r="M33" s="34" t="inlineStr">
        <is>
          <t>개발완료</t>
        </is>
      </c>
      <c r="N33" s="34" t="n"/>
      <c r="O33" s="34" t="inlineStr">
        <is>
          <t>매출 관리</t>
        </is>
      </c>
      <c r="P33" s="34" t="inlineStr">
        <is>
          <t>매출 삭제</t>
        </is>
      </c>
      <c r="Q33" s="34" t="inlineStr">
        <is>
          <t>hard delete (실제 행 삭제)</t>
        </is>
      </c>
      <c r="R33" s="34" t="inlineStr">
        <is>
          <t>UI-038, UI-039, UI-040, UI-041, UI-042, UI-043, UI-044</t>
        </is>
      </c>
    </row>
    <row r="34">
      <c r="A34" s="33" t="inlineStr">
        <is>
          <t>API-035</t>
        </is>
      </c>
      <c r="B34" s="33" t="inlineStr">
        <is>
          <t>매출 통계 조회</t>
        </is>
      </c>
      <c r="C34" s="33" t="inlineStr">
        <is>
          <t>GET</t>
        </is>
      </c>
      <c r="D34" s="34" t="inlineStr">
        <is>
          <t>/api/v1/sales/stats</t>
        </is>
      </c>
      <c r="E34" s="34" t="inlineStr">
        <is>
          <t>매출 통계 (전체금액/건수/월별금액/건수/결제수단별). 기간 필터 지원</t>
        </is>
      </c>
      <c r="F34" s="34" t="inlineStr">
        <is>
          <t>Authorization: Bearer {token}</t>
        </is>
      </c>
      <c r="G34" s="34" t="inlineStr">
        <is>
          <t>Query: startDate, endDate</t>
        </is>
      </c>
      <c r="H34" s="34" t="inlineStr">
        <is>
          <t>{
  "data": {
    "totalAmount": 50000000,
    "totalCount": 350,
    "monthlyAmount": 15000000,
    "monthlyCount": 120,
    "byPaymentMethod": {"CARD": 10000000, "CASH": 3000000, ...}
  }
}</t>
        </is>
      </c>
      <c r="I34" s="34" t="inlineStr">
        <is>
          <t>{
  "error": "SERVER_ERROR"
}</t>
        </is>
      </c>
      <c r="J34" s="34" t="inlineStr">
        <is>
          <t>Y</t>
        </is>
      </c>
      <c r="K34" s="34" t="inlineStr">
        <is>
          <t>SCR-030</t>
        </is>
      </c>
      <c r="L34" s="34" t="inlineStr">
        <is>
          <t>FN-011</t>
        </is>
      </c>
      <c r="M34" s="34" t="inlineStr">
        <is>
          <t>개발완료</t>
        </is>
      </c>
      <c r="N34" s="34" t="n"/>
      <c r="O34" s="34" t="inlineStr">
        <is>
          <t>매출 관리</t>
        </is>
      </c>
      <c r="P34" s="34" t="inlineStr">
        <is>
          <t>매출 조회</t>
        </is>
      </c>
      <c r="Q34" s="34" t="inlineStr">
        <is>
          <t>2개 쿼리(전체+월별) 순차 실행, reduce로 합산</t>
        </is>
      </c>
      <c r="R34" s="34" t="inlineStr">
        <is>
          <t>UI-038, UI-039, UI-040, UI-041, UI-042, UI-043, UI-044</t>
        </is>
      </c>
    </row>
    <row r="35">
      <c r="A35" s="33" t="inlineStr">
        <is>
          <t>API-040</t>
        </is>
      </c>
      <c r="B35" s="33" t="inlineStr">
        <is>
          <t>상품 목록 조회</t>
        </is>
      </c>
      <c r="C35" s="33" t="inlineStr">
        <is>
          <t>GET</t>
        </is>
      </c>
      <c r="D35" s="34" t="inlineStr">
        <is>
          <t>/api/v1/products</t>
        </is>
      </c>
      <c r="E35" s="34" t="inlineStr">
        <is>
          <t>상품 목록 조회. 카테고리/활성 필터, 페이지네이션</t>
        </is>
      </c>
      <c r="F35" s="34" t="inlineStr">
        <is>
          <t>Authorization: Bearer {token}</t>
        </is>
      </c>
      <c r="G35" s="34" t="inlineStr">
        <is>
          <t>Query: page, size(기본50), category, isActive</t>
        </is>
      </c>
      <c r="H35" s="34" t="inlineStr">
        <is>
          <t>{
  "data": [Product[]],
  "pagination": {...}
}</t>
        </is>
      </c>
      <c r="I35" s="34" t="inlineStr">
        <is>
          <t>{
  "error": "SERVER_ERROR"
}</t>
        </is>
      </c>
      <c r="J35" s="34" t="inlineStr">
        <is>
          <t>Y</t>
        </is>
      </c>
      <c r="K35" s="34" t="inlineStr">
        <is>
          <t>SCR-040</t>
        </is>
      </c>
      <c r="L35" s="34" t="inlineStr">
        <is>
          <t>FN-015</t>
        </is>
      </c>
      <c r="M35" s="34" t="inlineStr">
        <is>
          <t>개발완료</t>
        </is>
      </c>
      <c r="N35" s="34" t="n"/>
      <c r="O35" s="34" t="inlineStr">
        <is>
          <t>상품 목록</t>
        </is>
      </c>
      <c r="P35" s="34" t="inlineStr">
        <is>
          <t>상품 조회</t>
        </is>
      </c>
      <c r="Q35" s="34" t="inlineStr">
        <is>
          <t>name asc 정렬, branchId 필터</t>
        </is>
      </c>
      <c r="R35" s="34" t="inlineStr">
        <is>
          <t>UI-082, UI-083, UI-084</t>
        </is>
      </c>
    </row>
    <row r="36">
      <c r="A36" s="33" t="inlineStr">
        <is>
          <t>API-041</t>
        </is>
      </c>
      <c r="B36" s="33" t="inlineStr">
        <is>
          <t>상품 상세 조회</t>
        </is>
      </c>
      <c r="C36" s="33" t="inlineStr">
        <is>
          <t>GET</t>
        </is>
      </c>
      <c r="D36" s="34" t="inlineStr">
        <is>
          <t>/api/v1/products/{id}</t>
        </is>
      </c>
      <c r="E36" s="34" t="inlineStr">
        <is>
          <t>상품 단건 조회</t>
        </is>
      </c>
      <c r="F36" s="34" t="inlineStr">
        <is>
          <t>Authorization: Bearer {token}</t>
        </is>
      </c>
      <c r="G36" s="34" t="inlineStr">
        <is>
          <t>Path: id</t>
        </is>
      </c>
      <c r="H36" s="34" t="inlineStr">
        <is>
          <t>{
  "data": Product
}</t>
        </is>
      </c>
      <c r="I36" s="34" t="inlineStr">
        <is>
          <t>{
  "error": "NOT_FOUND"
}</t>
        </is>
      </c>
      <c r="J36" s="34" t="inlineStr">
        <is>
          <t>Y</t>
        </is>
      </c>
      <c r="K36" s="34" t="inlineStr">
        <is>
          <t>SCR-040</t>
        </is>
      </c>
      <c r="L36" s="34" t="inlineStr">
        <is>
          <t>FN-015</t>
        </is>
      </c>
      <c r="M36" s="34" t="inlineStr">
        <is>
          <t>개발완료</t>
        </is>
      </c>
      <c r="N36" s="34" t="n"/>
      <c r="O36" s="34" t="inlineStr">
        <is>
          <t>상품 목록</t>
        </is>
      </c>
      <c r="P36" s="34" t="inlineStr">
        <is>
          <t>상품 조회</t>
        </is>
      </c>
      <c r="Q36" s="34" t="n"/>
      <c r="R36" s="34" t="inlineStr">
        <is>
          <t>UI-082, UI-083, UI-084</t>
        </is>
      </c>
    </row>
    <row r="37">
      <c r="A37" s="33" t="inlineStr">
        <is>
          <t>API-042</t>
        </is>
      </c>
      <c r="B37" s="33" t="inlineStr">
        <is>
          <t>상품 등록</t>
        </is>
      </c>
      <c r="C37" s="33" t="inlineStr">
        <is>
          <t>POST</t>
        </is>
      </c>
      <c r="D37" s="34" t="inlineStr">
        <is>
          <t>/api/v1/products</t>
        </is>
      </c>
      <c r="E37" s="34" t="inlineStr">
        <is>
          <t>신규 상품 등록</t>
        </is>
      </c>
      <c r="F37" s="34" t="inlineStr">
        <is>
          <t>Authorization: Bearer {token}</t>
        </is>
      </c>
      <c r="G37" s="34" t="inlineStr">
        <is>
          <t>{
  "name": "string (필수)",
  "category": "PT|MEMBERSHIP|GX|PRODUCT|SERVICE (필수)",
  "price": "number (필수)",
  "duration?": "number",
  "sessions?": "number",
  "description?": "string",
  "isActive?": "boolean (기본true)"
}</t>
        </is>
      </c>
      <c r="H37" s="34" t="inlineStr">
        <is>
          <t>{
  "data": Product,
  "message": "상품이 등록되었습니다."
}</t>
        </is>
      </c>
      <c r="I37" s="34" t="inlineStr">
        <is>
          <t>{
  "error": "CREATE_FAILED"
}</t>
        </is>
      </c>
      <c r="J37" s="34" t="inlineStr">
        <is>
          <t>Y</t>
        </is>
      </c>
      <c r="K37" s="34" t="inlineStr">
        <is>
          <t>SCR-041</t>
        </is>
      </c>
      <c r="L37" s="34" t="inlineStr">
        <is>
          <t>FN-016</t>
        </is>
      </c>
      <c r="M37" s="34" t="inlineStr">
        <is>
          <t>개발완료</t>
        </is>
      </c>
      <c r="N37" s="34" t="n"/>
      <c r="O37" s="34" t="inlineStr">
        <is>
          <t>상품 등록</t>
        </is>
      </c>
      <c r="P37" s="34" t="inlineStr">
        <is>
          <t>상품 등록</t>
        </is>
      </c>
      <c r="Q37" s="34" t="inlineStr">
        <is>
          <t>isActive 기본 true, branchId 자동</t>
        </is>
      </c>
      <c r="R37" s="34" t="inlineStr">
        <is>
          <t>UI-085, UI-086, UI-087, UI-088</t>
        </is>
      </c>
    </row>
    <row r="38">
      <c r="A38" s="33" t="inlineStr">
        <is>
          <t>API-043</t>
        </is>
      </c>
      <c r="B38" s="33" t="inlineStr">
        <is>
          <t>상품 수정</t>
        </is>
      </c>
      <c r="C38" s="33" t="inlineStr">
        <is>
          <t>PUT</t>
        </is>
      </c>
      <c r="D38" s="34" t="inlineStr">
        <is>
          <t>/api/v1/products/{id}</t>
        </is>
      </c>
      <c r="E38" s="34" t="inlineStr">
        <is>
          <t>상품 부분 수정</t>
        </is>
      </c>
      <c r="F38" s="34" t="inlineStr">
        <is>
          <t>Authorization: Bearer {token}</t>
        </is>
      </c>
      <c r="G38" s="34" t="inlineStr">
        <is>
          <t>Path: id
Body: Partial&lt;ProductRequest&gt;</t>
        </is>
      </c>
      <c r="H38" s="34" t="inlineStr">
        <is>
          <t>{
  "data": Product,
  "message": "상품이 수정되었습니다."
}</t>
        </is>
      </c>
      <c r="I38" s="34" t="inlineStr">
        <is>
          <t>{
  "error": "UPDATE_FAILED"
}</t>
        </is>
      </c>
      <c r="J38" s="34" t="inlineStr">
        <is>
          <t>Y</t>
        </is>
      </c>
      <c r="K38" s="34" t="inlineStr">
        <is>
          <t>SCR-041</t>
        </is>
      </c>
      <c r="L38" s="34" t="inlineStr">
        <is>
          <t>FN-017</t>
        </is>
      </c>
      <c r="M38" s="34" t="inlineStr">
        <is>
          <t>개발완료</t>
        </is>
      </c>
      <c r="N38" s="34" t="n"/>
      <c r="O38" s="34" t="inlineStr">
        <is>
          <t>상품 등록</t>
        </is>
      </c>
      <c r="P38" s="34" t="inlineStr">
        <is>
          <t>상품 수정</t>
        </is>
      </c>
      <c r="Q38" s="34" t="n"/>
      <c r="R38" s="34" t="inlineStr">
        <is>
          <t>UI-085, UI-086, UI-087, UI-088</t>
        </is>
      </c>
    </row>
    <row r="39">
      <c r="A39" s="33" t="inlineStr">
        <is>
          <t>API-044</t>
        </is>
      </c>
      <c r="B39" s="33" t="inlineStr">
        <is>
          <t>상품 삭제</t>
        </is>
      </c>
      <c r="C39" s="33" t="inlineStr">
        <is>
          <t>DELETE</t>
        </is>
      </c>
      <c r="D39" s="34" t="inlineStr">
        <is>
          <t>/api/v1/products/{id}</t>
        </is>
      </c>
      <c r="E39" s="34" t="inlineStr">
        <is>
          <t>상품 삭제 (hard delete)</t>
        </is>
      </c>
      <c r="F39" s="34" t="inlineStr">
        <is>
          <t>Authorization: Bearer {token}</t>
        </is>
      </c>
      <c r="G39" s="34" t="inlineStr">
        <is>
          <t>Path: id</t>
        </is>
      </c>
      <c r="H39" s="34" t="inlineStr">
        <is>
          <t>{
  "message": "상품이 삭제되었습니다."
}</t>
        </is>
      </c>
      <c r="I39" s="34" t="inlineStr">
        <is>
          <t>{
  "error": "DELETE_FAILED"
}</t>
        </is>
      </c>
      <c r="J39" s="34" t="inlineStr">
        <is>
          <t>Y</t>
        </is>
      </c>
      <c r="K39" s="34" t="inlineStr">
        <is>
          <t>SCR-040</t>
        </is>
      </c>
      <c r="L39" s="34" t="inlineStr">
        <is>
          <t>FN-018</t>
        </is>
      </c>
      <c r="M39" s="34" t="inlineStr">
        <is>
          <t>개발완료</t>
        </is>
      </c>
      <c r="N39" s="34" t="n"/>
      <c r="O39" s="34" t="inlineStr">
        <is>
          <t>상품 목록</t>
        </is>
      </c>
      <c r="P39" s="34" t="inlineStr">
        <is>
          <t>상품 삭제</t>
        </is>
      </c>
      <c r="Q39" s="34" t="inlineStr">
        <is>
          <t>hard delete</t>
        </is>
      </c>
      <c r="R39" s="34" t="inlineStr">
        <is>
          <t>UI-082, UI-083, UI-084</t>
        </is>
      </c>
    </row>
    <row r="40">
      <c r="A40" s="33" t="inlineStr">
        <is>
          <t>API-050</t>
        </is>
      </c>
      <c r="B40" s="33" t="inlineStr">
        <is>
          <t>락커 목록 조회</t>
        </is>
      </c>
      <c r="C40" s="33" t="inlineStr">
        <is>
          <t>GET</t>
        </is>
      </c>
      <c r="D40" s="34" t="inlineStr">
        <is>
          <t>/api/v1/lockers</t>
        </is>
      </c>
      <c r="E40" s="34" t="inlineStr">
        <is>
          <t>락커 목록 조회. 상태 필터, 페이지네이션</t>
        </is>
      </c>
      <c r="F40" s="34" t="inlineStr">
        <is>
          <t>Authorization: Bearer {token}</t>
        </is>
      </c>
      <c r="G40" s="34" t="inlineStr">
        <is>
          <t>Query: page, size(기본50), status</t>
        </is>
      </c>
      <c r="H40" s="34" t="inlineStr">
        <is>
          <t>{
  "data": [Locker[]],
  "pagination": {...}
}</t>
        </is>
      </c>
      <c r="I40" s="34" t="inlineStr">
        <is>
          <t>{
  "error": "SERVER_ERROR",
  "message": "락커 목록 조회에 실패했습니다."
}</t>
        </is>
      </c>
      <c r="J40" s="34" t="inlineStr">
        <is>
          <t>Y</t>
        </is>
      </c>
      <c r="K40" s="34" t="inlineStr">
        <is>
          <t>SCR-060</t>
        </is>
      </c>
      <c r="L40" s="34" t="inlineStr">
        <is>
          <t>FN-019</t>
        </is>
      </c>
      <c r="M40" s="34" t="inlineStr">
        <is>
          <t>개발완료</t>
        </is>
      </c>
      <c r="N40" s="34" t="n"/>
      <c r="O40" s="34" t="inlineStr">
        <is>
          <t>락커 현황</t>
        </is>
      </c>
      <c r="P40" s="34" t="inlineStr">
        <is>
          <t>락커 조회</t>
        </is>
      </c>
      <c r="Q40" s="34" t="inlineStr">
        <is>
          <t>number asc 정렬, branchId=1</t>
        </is>
      </c>
      <c r="R40" s="34" t="inlineStr">
        <is>
          <t>UI-057, UI-058, UI-059, UI-060, UI-061</t>
        </is>
      </c>
    </row>
    <row r="41">
      <c r="A41" s="33" t="inlineStr">
        <is>
          <t>API-051</t>
        </is>
      </c>
      <c r="B41" s="33" t="inlineStr">
        <is>
          <t>락커 배정</t>
        </is>
      </c>
      <c r="C41" s="33" t="inlineStr">
        <is>
          <t>PUT</t>
        </is>
      </c>
      <c r="D41" s="34" t="inlineStr">
        <is>
          <t>/api/v1/lockers/{id}/assign</t>
        </is>
      </c>
      <c r="E41" s="34" t="inlineStr">
        <is>
          <t>락커 배정. 회원+만료일 설정, status=IN_USE</t>
        </is>
      </c>
      <c r="F41" s="34" t="inlineStr">
        <is>
          <t>Authorization: Bearer {token}</t>
        </is>
      </c>
      <c r="G41" s="34" t="inlineStr">
        <is>
          <t>{
  "lockerId": "number (필수)",
  "memberId": "number (필수)",
  "memberName": "string (필수)",
  "expiresAt": "string (필수)"
}</t>
        </is>
      </c>
      <c r="H41" s="34" t="inlineStr">
        <is>
          <t>{
  "data": Locker,
  "message": "락커가 배정되었습니다."
}</t>
        </is>
      </c>
      <c r="I41" s="34" t="inlineStr">
        <is>
          <t>{
  "error": "ASSIGN_FAILED",
  "message": "락커 배정에 실패했습니다."
}</t>
        </is>
      </c>
      <c r="J41" s="34" t="inlineStr">
        <is>
          <t>Y</t>
        </is>
      </c>
      <c r="K41" s="34" t="inlineStr">
        <is>
          <t>SCR-060</t>
        </is>
      </c>
      <c r="L41" s="34" t="inlineStr">
        <is>
          <t>FN-020</t>
        </is>
      </c>
      <c r="M41" s="34" t="inlineStr">
        <is>
          <t>개발완료</t>
        </is>
      </c>
      <c r="N41" s="34" t="n"/>
      <c r="O41" s="34" t="inlineStr">
        <is>
          <t>락커 현황</t>
        </is>
      </c>
      <c r="P41" s="34" t="inlineStr">
        <is>
          <t>락커 배정</t>
        </is>
      </c>
      <c r="Q41" s="34" t="inlineStr">
        <is>
          <t>assignedAt 자동 설정</t>
        </is>
      </c>
      <c r="R41" s="34" t="inlineStr">
        <is>
          <t>UI-057, UI-058, UI-059, UI-060, UI-061</t>
        </is>
      </c>
    </row>
    <row r="42">
      <c r="A42" s="33" t="inlineStr">
        <is>
          <t>API-052</t>
        </is>
      </c>
      <c r="B42" s="33" t="inlineStr">
        <is>
          <t>락커 반납</t>
        </is>
      </c>
      <c r="C42" s="33" t="inlineStr">
        <is>
          <t>PUT</t>
        </is>
      </c>
      <c r="D42" s="34" t="inlineStr">
        <is>
          <t>/api/v1/lockers/{id}/release</t>
        </is>
      </c>
      <c r="E42" s="34" t="inlineStr">
        <is>
          <t>락커 반납. 회원/날짜 정보 null, status=AVAILABLE</t>
        </is>
      </c>
      <c r="F42" s="34" t="inlineStr">
        <is>
          <t>Authorization: Bearer {token}</t>
        </is>
      </c>
      <c r="G42" s="34" t="inlineStr">
        <is>
          <t>Path: id</t>
        </is>
      </c>
      <c r="H42" s="34" t="inlineStr">
        <is>
          <t>{
  "data": Locker,
  "message": "락커가 반납되었습니다."
}</t>
        </is>
      </c>
      <c r="I42" s="34" t="inlineStr">
        <is>
          <t>{
  "error": "RELEASE_FAILED",
  "message": "락커 반납에 실패했습니다."
}</t>
        </is>
      </c>
      <c r="J42" s="34" t="inlineStr">
        <is>
          <t>Y</t>
        </is>
      </c>
      <c r="K42" s="34" t="inlineStr">
        <is>
          <t>SCR-060</t>
        </is>
      </c>
      <c r="L42" s="34" t="inlineStr">
        <is>
          <t>FN-021</t>
        </is>
      </c>
      <c r="M42" s="34" t="inlineStr">
        <is>
          <t>개발완료</t>
        </is>
      </c>
      <c r="N42" s="34" t="n"/>
      <c r="O42" s="34" t="inlineStr">
        <is>
          <t>락커 현황</t>
        </is>
      </c>
      <c r="P42" s="34" t="inlineStr">
        <is>
          <t>락커 반납</t>
        </is>
      </c>
      <c r="Q42" s="34" t="inlineStr">
        <is>
          <t>memberId/memberName/assignedAt/expiresAt null 처리</t>
        </is>
      </c>
      <c r="R42" s="34" t="inlineStr">
        <is>
          <t>UI-057, UI-058, UI-059, UI-060, UI-061</t>
        </is>
      </c>
    </row>
    <row r="43">
      <c r="A43" s="33" t="inlineStr">
        <is>
          <t>API-053</t>
        </is>
      </c>
      <c r="B43" s="33" t="inlineStr">
        <is>
          <t>락커 상태 변경</t>
        </is>
      </c>
      <c r="C43" s="33" t="inlineStr">
        <is>
          <t>PUT</t>
        </is>
      </c>
      <c r="D43" s="34" t="inlineStr">
        <is>
          <t>/api/v1/lockers/{id}/status</t>
        </is>
      </c>
      <c r="E43" s="34" t="inlineStr">
        <is>
          <t>락커 상태 변경 (점검/사용가능 등)</t>
        </is>
      </c>
      <c r="F43" s="34" t="inlineStr">
        <is>
          <t>Authorization: Bearer {token}</t>
        </is>
      </c>
      <c r="G43" s="34" t="inlineStr">
        <is>
          <t>{
  "status": "AVAILABLE|IN_USE|MAINTENANCE"
}</t>
        </is>
      </c>
      <c r="H43" s="34" t="inlineStr">
        <is>
          <t>{
  "data": Locker,
  "message": "락커 상태가 변경되었습니다."
}</t>
        </is>
      </c>
      <c r="I43" s="34" t="inlineStr">
        <is>
          <t>{
  "error": "UPDATE_FAILED",
  "message": "락커 상태 변경에 실패했습니다."
}</t>
        </is>
      </c>
      <c r="J43" s="34" t="inlineStr">
        <is>
          <t>Y</t>
        </is>
      </c>
      <c r="K43" s="34" t="inlineStr">
        <is>
          <t>SCR-061</t>
        </is>
      </c>
      <c r="L43" s="34" t="inlineStr">
        <is>
          <t>FN-022</t>
        </is>
      </c>
      <c r="M43" s="34" t="inlineStr">
        <is>
          <t>개발완료</t>
        </is>
      </c>
      <c r="N43" s="34" t="n"/>
      <c r="O43" s="34" t="inlineStr">
        <is>
          <t>락커 관리</t>
        </is>
      </c>
      <c r="P43" s="34" t="inlineStr">
        <is>
          <t>락커 상태변경</t>
        </is>
      </c>
      <c r="Q43" s="34" t="n"/>
      <c r="R43" s="34" t="inlineStr">
        <is>
          <t>UI-093, UI-094, UI-095, UI-096, UI-097</t>
        </is>
      </c>
    </row>
    <row r="44">
      <c r="A44" s="33" t="inlineStr">
        <is>
          <t>API-060</t>
        </is>
      </c>
      <c r="B44" s="33" t="inlineStr">
        <is>
          <t>직원 목록 조회</t>
        </is>
      </c>
      <c r="C44" s="33" t="inlineStr">
        <is>
          <t>GET</t>
        </is>
      </c>
      <c r="D44" s="34" t="inlineStr">
        <is>
          <t>/api/v1/staff</t>
        </is>
      </c>
      <c r="E44" s="34" t="inlineStr">
        <is>
          <t>직원 목록 조회. 역할/활성 필터, 페이지네이션</t>
        </is>
      </c>
      <c r="F44" s="34" t="inlineStr">
        <is>
          <t>Authorization: Bearer {token}</t>
        </is>
      </c>
      <c r="G44" s="34" t="inlineStr">
        <is>
          <t>Query: page, size, role, isActive</t>
        </is>
      </c>
      <c r="H44" s="34" t="inlineStr">
        <is>
          <t>{
  "data": [Staff[]],
  "pagination": {...}
}</t>
        </is>
      </c>
      <c r="I44" s="34" t="inlineStr">
        <is>
          <t>{
  "error": "SERVER_ERROR",
  "message": "직원 목록 조회에 실패했습니다."
}</t>
        </is>
      </c>
      <c r="J44" s="34" t="inlineStr">
        <is>
          <t>Y</t>
        </is>
      </c>
      <c r="K44" s="34" t="inlineStr">
        <is>
          <t>SCR-050</t>
        </is>
      </c>
      <c r="L44" s="34" t="inlineStr">
        <is>
          <t>FN-023</t>
        </is>
      </c>
      <c r="M44" s="34" t="inlineStr">
        <is>
          <t>개발완료</t>
        </is>
      </c>
      <c r="N44" s="34" t="n"/>
      <c r="O44" s="34" t="inlineStr">
        <is>
          <t>직원 목록</t>
        </is>
      </c>
      <c r="P44" s="34" t="inlineStr">
        <is>
          <t>직원 조회</t>
        </is>
      </c>
      <c r="Q44" s="34" t="inlineStr">
        <is>
          <t>name asc 정렬, branchId=1</t>
        </is>
      </c>
      <c r="R44" s="34" t="inlineStr">
        <is>
          <t>UI-053, UI-054, UI-055, UI-056</t>
        </is>
      </c>
    </row>
    <row r="45">
      <c r="A45" s="33" t="inlineStr">
        <is>
          <t>API-061</t>
        </is>
      </c>
      <c r="B45" s="33" t="inlineStr">
        <is>
          <t>직원 단건 조회</t>
        </is>
      </c>
      <c r="C45" s="33" t="inlineStr">
        <is>
          <t>GET</t>
        </is>
      </c>
      <c r="D45" s="34" t="inlineStr">
        <is>
          <t>/api/v1/staff/{id}</t>
        </is>
      </c>
      <c r="E45" s="34" t="inlineStr">
        <is>
          <t>직원 ID로 상세 조회</t>
        </is>
      </c>
      <c r="F45" s="34" t="inlineStr">
        <is>
          <t>Authorization: Bearer {token}</t>
        </is>
      </c>
      <c r="G45" s="34" t="inlineStr">
        <is>
          <t>Path: id</t>
        </is>
      </c>
      <c r="H45" s="34" t="inlineStr">
        <is>
          <t>{
  "data": Staff
}</t>
        </is>
      </c>
      <c r="I45" s="34" t="inlineStr">
        <is>
          <t>{
  "error": "NOT_FOUND",
  "message": "직원 조회에 실패했습니다."
}</t>
        </is>
      </c>
      <c r="J45" s="34" t="inlineStr">
        <is>
          <t>Y</t>
        </is>
      </c>
      <c r="K45" s="34" t="inlineStr">
        <is>
          <t>SCR-050</t>
        </is>
      </c>
      <c r="L45" s="34" t="inlineStr">
        <is>
          <t>FN-023</t>
        </is>
      </c>
      <c r="M45" s="34" t="inlineStr">
        <is>
          <t>개발완료</t>
        </is>
      </c>
      <c r="N45" s="34" t="n"/>
      <c r="O45" s="34" t="inlineStr">
        <is>
          <t>직원 목록</t>
        </is>
      </c>
      <c r="P45" s="34" t="inlineStr">
        <is>
          <t>직원 조회</t>
        </is>
      </c>
      <c r="Q45" s="34" t="n"/>
      <c r="R45" s="34" t="inlineStr">
        <is>
          <t>UI-053, UI-054, UI-055, UI-056</t>
        </is>
      </c>
    </row>
    <row r="46">
      <c r="A46" s="33" t="inlineStr">
        <is>
          <t>API-062</t>
        </is>
      </c>
      <c r="B46" s="33" t="inlineStr">
        <is>
          <t>직원 등록</t>
        </is>
      </c>
      <c r="C46" s="33" t="inlineStr">
        <is>
          <t>POST</t>
        </is>
      </c>
      <c r="D46" s="34" t="inlineStr">
        <is>
          <t>/api/v1/staff</t>
        </is>
      </c>
      <c r="E46" s="34" t="inlineStr">
        <is>
          <t>신규 직원 등록</t>
        </is>
      </c>
      <c r="F46" s="34" t="inlineStr">
        <is>
          <t>Authorization: Bearer {token}</t>
        </is>
      </c>
      <c r="G46" s="34" t="inlineStr">
        <is>
          <t>{
  "name": "string (필수)",
  "phone": "string (필수)",
  "role": "string (필수)",
  "position": "string (필수)",
  "hireDate": "string (필수)",
  "email?": "string",
  "salary?": "number",
  "color?": "string"
}</t>
        </is>
      </c>
      <c r="H46" s="34" t="inlineStr">
        <is>
          <t>{
  "data": Staff,
  "message": "직원이 등록되었습니다."
}</t>
        </is>
      </c>
      <c r="I46" s="34" t="inlineStr">
        <is>
          <t>{
  "error": "CREATE_FAILED",
  "message": "직원 등록에 실패했습니다."
}</t>
        </is>
      </c>
      <c r="J46" s="34" t="inlineStr">
        <is>
          <t>Y</t>
        </is>
      </c>
      <c r="K46" s="34" t="inlineStr">
        <is>
          <t>SCR-051</t>
        </is>
      </c>
      <c r="L46" s="34" t="inlineStr">
        <is>
          <t>FN-024</t>
        </is>
      </c>
      <c r="M46" s="34" t="inlineStr">
        <is>
          <t>개발완료</t>
        </is>
      </c>
      <c r="N46" s="34" t="n"/>
      <c r="O46" s="34" t="inlineStr">
        <is>
          <t>직원 등록</t>
        </is>
      </c>
      <c r="P46" s="34" t="inlineStr">
        <is>
          <t>직원 등록</t>
        </is>
      </c>
      <c r="Q46" s="34" t="inlineStr">
        <is>
          <t>isActive=true, branchId=1 자동</t>
        </is>
      </c>
      <c r="R46" s="34" t="inlineStr">
        <is>
          <t>UI-089, UI-090, UI-091, UI-092</t>
        </is>
      </c>
    </row>
    <row r="47">
      <c r="A47" s="33" t="inlineStr">
        <is>
          <t>API-063</t>
        </is>
      </c>
      <c r="B47" s="33" t="inlineStr">
        <is>
          <t>직원 수정</t>
        </is>
      </c>
      <c r="C47" s="33" t="inlineStr">
        <is>
          <t>PUT</t>
        </is>
      </c>
      <c r="D47" s="34" t="inlineStr">
        <is>
          <t>/api/v1/staff/{id}</t>
        </is>
      </c>
      <c r="E47" s="34" t="inlineStr">
        <is>
          <t>직원 정보 부분 수정</t>
        </is>
      </c>
      <c r="F47" s="34" t="inlineStr">
        <is>
          <t>Authorization: Bearer {token}</t>
        </is>
      </c>
      <c r="G47" s="34" t="inlineStr">
        <is>
          <t>Path: id
Body: Partial&lt;StaffRequest&gt;</t>
        </is>
      </c>
      <c r="H47" s="34" t="inlineStr">
        <is>
          <t>{
  "data": Staff,
  "message": "직원 정보가 수정되었습니다."
}</t>
        </is>
      </c>
      <c r="I47" s="34" t="inlineStr">
        <is>
          <t>{
  "error": "UPDATE_FAILED",
  "message": "직원 수정에 실패했습니다."
}</t>
        </is>
      </c>
      <c r="J47" s="34" t="inlineStr">
        <is>
          <t>Y</t>
        </is>
      </c>
      <c r="K47" s="34" t="inlineStr">
        <is>
          <t>SCR-051</t>
        </is>
      </c>
      <c r="L47" s="34" t="inlineStr">
        <is>
          <t>FN-025</t>
        </is>
      </c>
      <c r="M47" s="34" t="inlineStr">
        <is>
          <t>개발완료</t>
        </is>
      </c>
      <c r="N47" s="34" t="n"/>
      <c r="O47" s="34" t="inlineStr">
        <is>
          <t>직원 등록</t>
        </is>
      </c>
      <c r="P47" s="34" t="inlineStr">
        <is>
          <t>직원 수정</t>
        </is>
      </c>
      <c r="Q47" s="34" t="n"/>
      <c r="R47" s="34" t="inlineStr">
        <is>
          <t>UI-089, UI-090, UI-091, UI-092</t>
        </is>
      </c>
    </row>
    <row r="48">
      <c r="A48" s="33" t="inlineStr">
        <is>
          <t>API-064</t>
        </is>
      </c>
      <c r="B48" s="33" t="inlineStr">
        <is>
          <t>직원 삭제</t>
        </is>
      </c>
      <c r="C48" s="33" t="inlineStr">
        <is>
          <t>DELETE</t>
        </is>
      </c>
      <c r="D48" s="34" t="inlineStr">
        <is>
          <t>/api/v1/staff/{id}</t>
        </is>
      </c>
      <c r="E48" s="34" t="inlineStr">
        <is>
          <t>직원 비활성화 (isActive=false)</t>
        </is>
      </c>
      <c r="F48" s="34" t="inlineStr">
        <is>
          <t>Authorization: Bearer {token}</t>
        </is>
      </c>
      <c r="G48" s="34" t="inlineStr">
        <is>
          <t>Path: id</t>
        </is>
      </c>
      <c r="H48" s="34" t="inlineStr">
        <is>
          <t>{
  "message": "직원이 삭제되었습니다."
}</t>
        </is>
      </c>
      <c r="I48" s="34" t="inlineStr">
        <is>
          <t>{
  "error": "DELETE_FAILED",
  "message": "직원 삭제에 실패했습니다."
}</t>
        </is>
      </c>
      <c r="J48" s="34" t="inlineStr">
        <is>
          <t>Y</t>
        </is>
      </c>
      <c r="K48" s="34" t="inlineStr">
        <is>
          <t>SCR-050</t>
        </is>
      </c>
      <c r="L48" s="34" t="inlineStr">
        <is>
          <t>FN-026</t>
        </is>
      </c>
      <c r="M48" s="34" t="inlineStr">
        <is>
          <t>개발완료</t>
        </is>
      </c>
      <c r="N48" s="34" t="n"/>
      <c r="O48" s="34" t="inlineStr">
        <is>
          <t>직원 목록</t>
        </is>
      </c>
      <c r="P48" s="34" t="inlineStr">
        <is>
          <t>직원 삭제</t>
        </is>
      </c>
      <c r="Q48" s="34" t="inlineStr">
        <is>
          <t>soft delete: isActive=false</t>
        </is>
      </c>
      <c r="R48" s="34" t="inlineStr">
        <is>
          <t>UI-053, UI-054, UI-055, UI-056</t>
        </is>
      </c>
    </row>
    <row r="49">
      <c r="A49" s="33" t="inlineStr">
        <is>
          <t>API-070</t>
        </is>
      </c>
      <c r="B49" s="33" t="inlineStr">
        <is>
          <t>급여 목록 조회</t>
        </is>
      </c>
      <c r="C49" s="33" t="inlineStr">
        <is>
          <t>GET</t>
        </is>
      </c>
      <c r="D49" s="34" t="inlineStr">
        <is>
          <t>/api/v1/payroll</t>
        </is>
      </c>
      <c r="E49" s="34" t="inlineStr">
        <is>
          <t>급여 목록 조회. 년/월/직원 필터, 페이지네이션</t>
        </is>
      </c>
      <c r="F49" s="34" t="inlineStr">
        <is>
          <t>Authorization: Bearer {token}</t>
        </is>
      </c>
      <c r="G49" s="34" t="inlineStr">
        <is>
          <t>Query: page, size, year, month, staffId</t>
        </is>
      </c>
      <c r="H49" s="34" t="inlineStr">
        <is>
          <t>{
  "data": [Payroll[]],
  "pagination": {...}
}</t>
        </is>
      </c>
      <c r="I49" s="34" t="inlineStr">
        <is>
          <t>{
  "error": "SERVER_ERROR",
  "message": "급여 목록 조회에 실패했습니다."
}</t>
        </is>
      </c>
      <c r="J49" s="34" t="inlineStr">
        <is>
          <t>Y</t>
        </is>
      </c>
      <c r="K49" s="34" t="inlineStr">
        <is>
          <t>SCR-052</t>
        </is>
      </c>
      <c r="L49" s="34" t="inlineStr">
        <is>
          <t>FN-027</t>
        </is>
      </c>
      <c r="M49" s="34" t="inlineStr">
        <is>
          <t>개발완료</t>
        </is>
      </c>
      <c r="N49" s="34" t="n"/>
      <c r="O49" s="34" t="inlineStr">
        <is>
          <t>급여 관리</t>
        </is>
      </c>
      <c r="P49" s="34" t="inlineStr">
        <is>
          <t>급여 조회</t>
        </is>
      </c>
      <c r="Q49" s="34" t="inlineStr">
        <is>
          <t>year desc, month desc 정렬</t>
        </is>
      </c>
      <c r="R49" s="34" t="inlineStr">
        <is>
          <t>UI-108, UI-109, UI-110</t>
        </is>
      </c>
    </row>
    <row r="50">
      <c r="A50" s="33" t="inlineStr">
        <is>
          <t>API-071</t>
        </is>
      </c>
      <c r="B50" s="33" t="inlineStr">
        <is>
          <t>급여 명세서 조회</t>
        </is>
      </c>
      <c r="C50" s="33" t="inlineStr">
        <is>
          <t>GET</t>
        </is>
      </c>
      <c r="D50" s="34" t="inlineStr">
        <is>
          <t>/api/v1/payroll/{id}/statement</t>
        </is>
      </c>
      <c r="E50" s="34" t="inlineStr">
        <is>
          <t>급여 명세서 상세 조회. payroll + details(JSON 배열)</t>
        </is>
      </c>
      <c r="F50" s="34" t="inlineStr">
        <is>
          <t>Authorization: Bearer {token}</t>
        </is>
      </c>
      <c r="G50" s="34" t="inlineStr">
        <is>
          <t>Path: payrollId</t>
        </is>
      </c>
      <c r="H50" s="34" t="inlineStr">
        <is>
          <t>{
  "data": {
    "payroll": Payroll,
    "details": [PayrollDetail[]]
  }
}</t>
        </is>
      </c>
      <c r="I50" s="34" t="inlineStr">
        <is>
          <t>{
  "error": "NOT_FOUND",
  "message": "급여 명세서 조회에 실패했습니다."
}</t>
        </is>
      </c>
      <c r="J50" s="34" t="inlineStr">
        <is>
          <t>Y</t>
        </is>
      </c>
      <c r="K50" s="34" t="inlineStr">
        <is>
          <t>SCR-053</t>
        </is>
      </c>
      <c r="L50" s="34" t="inlineStr">
        <is>
          <t>FN-028</t>
        </is>
      </c>
      <c r="M50" s="34" t="inlineStr">
        <is>
          <t>개발완료</t>
        </is>
      </c>
      <c r="N50" s="34" t="n"/>
      <c r="O50" s="34" t="inlineStr">
        <is>
          <t>급여 명세서</t>
        </is>
      </c>
      <c r="P50" s="34" t="inlineStr">
        <is>
          <t>급여 명세서 조회</t>
        </is>
      </c>
      <c r="Q50" s="34" t="inlineStr">
        <is>
          <t>details: JSON 배열 파싱</t>
        </is>
      </c>
      <c r="R50" s="34" t="inlineStr">
        <is>
          <t>UI-111, UI-112</t>
        </is>
      </c>
    </row>
    <row r="51">
      <c r="A51" s="33" t="inlineStr">
        <is>
          <t>API-072</t>
        </is>
      </c>
      <c r="B51" s="33" t="inlineStr">
        <is>
          <t>급여 등록</t>
        </is>
      </c>
      <c r="C51" s="33" t="inlineStr">
        <is>
          <t>POST</t>
        </is>
      </c>
      <c r="D51" s="34" t="inlineStr">
        <is>
          <t>/api/v1/payroll</t>
        </is>
      </c>
      <c r="E51" s="34" t="inlineStr">
        <is>
          <t>새 급여 데이터 등록. netSalary 자동 계산(baseSalary+bonus-deduction)</t>
        </is>
      </c>
      <c r="F51" s="34" t="inlineStr">
        <is>
          <t>Authorization: Bearer {token}</t>
        </is>
      </c>
      <c r="G51" s="34" t="inlineStr">
        <is>
          <t>{
  "staffId": "number (필수)",
  "staffName": "string (필수)",
  "year": "number (필수)",
  "month": "number (필수)",
  "baseSalary": "number (필수)",
  "bonus?": "number",
  "deduction?": "number",
  "details?": "PayrollDetail[]"
}</t>
        </is>
      </c>
      <c r="H51" s="34" t="inlineStr">
        <is>
          <t>{
  "data": Payroll,
  "message": "급여가 등록되었습니다."
}</t>
        </is>
      </c>
      <c r="I51" s="34" t="inlineStr">
        <is>
          <t>{
  "error": "CREATE_FAILED",
  "message": "급여 등록에 실패했습니다."
}</t>
        </is>
      </c>
      <c r="J51" s="34" t="inlineStr">
        <is>
          <t>Y</t>
        </is>
      </c>
      <c r="K51" s="34" t="inlineStr">
        <is>
          <t>SCR-052</t>
        </is>
      </c>
      <c r="L51" s="34" t="inlineStr">
        <is>
          <t>FN-029</t>
        </is>
      </c>
      <c r="M51" s="34" t="inlineStr">
        <is>
          <t>개발완료</t>
        </is>
      </c>
      <c r="N51" s="34" t="n"/>
      <c r="O51" s="34" t="inlineStr">
        <is>
          <t>급여 관리</t>
        </is>
      </c>
      <c r="P51" s="34" t="inlineStr">
        <is>
          <t>급여 등록</t>
        </is>
      </c>
      <c r="Q51" s="34" t="inlineStr">
        <is>
          <t>netSalary = baseSalary + bonus - deduction, status=PENDING</t>
        </is>
      </c>
      <c r="R51" s="34" t="inlineStr">
        <is>
          <t>UI-108, UI-109, UI-110</t>
        </is>
      </c>
    </row>
    <row r="52">
      <c r="A52" s="33" t="inlineStr">
        <is>
          <t>API-073</t>
        </is>
      </c>
      <c r="B52" s="33" t="inlineStr">
        <is>
          <t>급여 지급 처리</t>
        </is>
      </c>
      <c r="C52" s="33" t="inlineStr">
        <is>
          <t>PUT</t>
        </is>
      </c>
      <c r="D52" s="34" t="inlineStr">
        <is>
          <t>/api/v1/payroll/{id}/process</t>
        </is>
      </c>
      <c r="E52" s="34" t="inlineStr">
        <is>
          <t>급여 지급 처리. status=PAID, paidAt=now</t>
        </is>
      </c>
      <c r="F52" s="34" t="inlineStr">
        <is>
          <t>Authorization: Bearer {token}</t>
        </is>
      </c>
      <c r="G52" s="34" t="inlineStr">
        <is>
          <t>Path: payrollId</t>
        </is>
      </c>
      <c r="H52" s="34" t="inlineStr">
        <is>
          <t>{
  "data": Payroll,
  "message": "급여가 지급 처리되었습니다."
}</t>
        </is>
      </c>
      <c r="I52" s="34" t="inlineStr">
        <is>
          <t>{
  "error": "PROCESS_FAILED",
  "message": "급여 지급 처리에 실패했습니다."
}</t>
        </is>
      </c>
      <c r="J52" s="34" t="inlineStr">
        <is>
          <t>Y</t>
        </is>
      </c>
      <c r="K52" s="34" t="inlineStr">
        <is>
          <t>SCR-052</t>
        </is>
      </c>
      <c r="L52" s="34" t="inlineStr">
        <is>
          <t>FN-030</t>
        </is>
      </c>
      <c r="M52" s="34" t="inlineStr">
        <is>
          <t>개발완료</t>
        </is>
      </c>
      <c r="N52" s="34" t="n"/>
      <c r="O52" s="34" t="inlineStr">
        <is>
          <t>급여 관리</t>
        </is>
      </c>
      <c r="P52" s="34" t="inlineStr">
        <is>
          <t>급여 지급</t>
        </is>
      </c>
      <c r="Q52" s="34" t="inlineStr">
        <is>
          <t>status: PENDING→PAID, paidAt 자동 설정</t>
        </is>
      </c>
      <c r="R52" s="34" t="inlineStr">
        <is>
          <t>UI-108, UI-109, UI-110</t>
        </is>
      </c>
    </row>
    <row r="53">
      <c r="A53" s="33" t="inlineStr">
        <is>
          <t>API-080</t>
        </is>
      </c>
      <c r="B53" s="33" t="inlineStr">
        <is>
          <t>메시지 발송</t>
        </is>
      </c>
      <c r="C53" s="33" t="inlineStr">
        <is>
          <t>POST</t>
        </is>
      </c>
      <c r="D53" s="34" t="inlineStr">
        <is>
          <t>/api/v1/messages/send</t>
        </is>
      </c>
      <c r="E53" s="34" t="inlineStr">
        <is>
          <t>메시지 발송 (SMS/카카오/푸시). 예약 발송 지원</t>
        </is>
      </c>
      <c r="F53" s="34" t="inlineStr">
        <is>
          <t>Authorization: Bearer {token}</t>
        </is>
      </c>
      <c r="G53" s="34" t="inlineStr">
        <is>
          <t>{
  "type": "SMS|KAKAO|PUSH (필수)",
  "recipients": "string[] (필수)",
  "content": "string (필수)",
  "title?": "string",
  "scheduledAt?": "string (예약시간)"
}</t>
        </is>
      </c>
      <c r="H53" s="34" t="inlineStr">
        <is>
          <t>{
  "data": Message,
  "message": "메시지가 발송되었습니다." | "메시지가 예약되었습니다."
}</t>
        </is>
      </c>
      <c r="I53" s="34" t="inlineStr">
        <is>
          <t>{
  "error": "SEND_FAILED",
  "message": "error.message"
}</t>
        </is>
      </c>
      <c r="J53" s="34" t="inlineStr">
        <is>
          <t>Y</t>
        </is>
      </c>
      <c r="K53" s="34" t="inlineStr">
        <is>
          <t>SCR-062</t>
        </is>
      </c>
      <c r="L53" s="34" t="inlineStr">
        <is>
          <t>FN-031</t>
        </is>
      </c>
      <c r="M53" s="34" t="inlineStr">
        <is>
          <t>개발완료</t>
        </is>
      </c>
      <c r="N53" s="34" t="n"/>
      <c r="O53" s="34" t="inlineStr">
        <is>
          <t>메시지 발송</t>
        </is>
      </c>
      <c r="P53" s="34" t="inlineStr">
        <is>
          <t>메시지 발송</t>
        </is>
      </c>
      <c r="Q53" s="34" t="inlineStr">
        <is>
          <t>scheduledAt 있으면 SCHEDULED, 없으면 SENT + sentAt=now</t>
        </is>
      </c>
      <c r="R53" s="34" t="inlineStr">
        <is>
          <t>UI-098, UI-099, UI-100</t>
        </is>
      </c>
    </row>
    <row r="54">
      <c r="A54" s="33" t="inlineStr">
        <is>
          <t>API-081</t>
        </is>
      </c>
      <c r="B54" s="33" t="inlineStr">
        <is>
          <t>메시지 이력 조회</t>
        </is>
      </c>
      <c r="C54" s="33" t="inlineStr">
        <is>
          <t>GET</t>
        </is>
      </c>
      <c r="D54" s="34" t="inlineStr">
        <is>
          <t>/api/v1/messages/history</t>
        </is>
      </c>
      <c r="E54" s="34" t="inlineStr">
        <is>
          <t>메시지 발송 이력 조회. 유형/기간 필터, 페이지네이션</t>
        </is>
      </c>
      <c r="F54" s="34" t="inlineStr">
        <is>
          <t>Authorization: Bearer {token}</t>
        </is>
      </c>
      <c r="G54" s="34" t="inlineStr">
        <is>
          <t>Query: page, size(기본10), type, startDate, endDate</t>
        </is>
      </c>
      <c r="H54" s="34" t="inlineStr">
        <is>
          <t>{
  "data": [Message[]],
  "pagination": {...}
}</t>
        </is>
      </c>
      <c r="I54" s="34" t="inlineStr">
        <is>
          <t>{
  "error": "SERVER_ERROR",
  "message": "error.message"
}</t>
        </is>
      </c>
      <c r="J54" s="34" t="inlineStr">
        <is>
          <t>Y</t>
        </is>
      </c>
      <c r="K54" s="34" t="inlineStr">
        <is>
          <t>SCR-063</t>
        </is>
      </c>
      <c r="L54" s="34" t="inlineStr">
        <is>
          <t>FN-032</t>
        </is>
      </c>
      <c r="M54" s="34" t="inlineStr">
        <is>
          <t>개발완료</t>
        </is>
      </c>
      <c r="N54" s="34" t="n"/>
      <c r="O54" s="34" t="inlineStr">
        <is>
          <t>메시지 이력</t>
        </is>
      </c>
      <c r="P54" s="34" t="inlineStr">
        <is>
          <t>메시지 이력 조회</t>
        </is>
      </c>
      <c r="Q54" s="34" t="inlineStr">
        <is>
          <t>sentAt desc 정렬, branchId 필터</t>
        </is>
      </c>
      <c r="R54" s="34" t="inlineStr">
        <is>
          <t>UI-127, UI-128, UI-129</t>
        </is>
      </c>
    </row>
    <row r="55">
      <c r="A55" s="33" t="inlineStr">
        <is>
          <t>API-090</t>
        </is>
      </c>
      <c r="B55" s="33" t="inlineStr">
        <is>
          <t>설정 조회</t>
        </is>
      </c>
      <c r="C55" s="33" t="inlineStr">
        <is>
          <t>GET</t>
        </is>
      </c>
      <c r="D55" s="34" t="inlineStr">
        <is>
          <t>/api/v1/settings</t>
        </is>
      </c>
      <c r="E55" s="34" t="inlineStr">
        <is>
          <t>지점 설정 조회 (영업시간/알림/회원권)</t>
        </is>
      </c>
      <c r="F55" s="34" t="inlineStr">
        <is>
          <t>Authorization: Bearer {token}</t>
        </is>
      </c>
      <c r="G55" s="34" t="inlineStr">
        <is>
          <t>Query: branchId (기본1)</t>
        </is>
      </c>
      <c r="H55" s="34" t="inlineStr">
        <is>
          <t>{
  "data": {
    "branchName": "string",
    "businessHours": {"open": "06:00", "close": "22:00", "holidays": []},
    "notifications": {"smsEnabled": false, "kakaoEnabled": false, "pushEnabled": false},
    "membership": {"autoExpireNotification": false, "expireNoticeDays": 7}
  }
}</t>
        </is>
      </c>
      <c r="I55" s="34" t="inlineStr">
        <is>
          <t>{
  "error": "NOT_FOUND",
  "message": "설정 데이터를 찾을 수 없습니다."
}</t>
        </is>
      </c>
      <c r="J55" s="34" t="inlineStr">
        <is>
          <t>Y</t>
        </is>
      </c>
      <c r="K55" s="34" t="inlineStr">
        <is>
          <t>SCR-080</t>
        </is>
      </c>
      <c r="L55" s="34" t="inlineStr">
        <is>
          <t>FN-033</t>
        </is>
      </c>
      <c r="M55" s="34" t="inlineStr">
        <is>
          <t>개발완료</t>
        </is>
      </c>
      <c r="N55" s="34" t="n"/>
      <c r="O55" s="34" t="inlineStr">
        <is>
          <t>설정</t>
        </is>
      </c>
      <c r="P55" s="34" t="inlineStr">
        <is>
          <t>설정 조회</t>
        </is>
      </c>
      <c r="Q55" s="34" t="inlineStr">
        <is>
          <t>maybeSingle: 데이터 없으면 null</t>
        </is>
      </c>
      <c r="R55" s="34" t="inlineStr">
        <is>
          <t>UI-067, UI-068, UI-069, UI-070, UI-071, UI-072</t>
        </is>
      </c>
    </row>
    <row r="56">
      <c r="A56" s="33" t="inlineStr">
        <is>
          <t>API-091</t>
        </is>
      </c>
      <c r="B56" s="33" t="inlineStr">
        <is>
          <t>설정 수정</t>
        </is>
      </c>
      <c r="C56" s="33" t="inlineStr">
        <is>
          <t>PUT</t>
        </is>
      </c>
      <c r="D56" s="34" t="inlineStr">
        <is>
          <t>/api/v1/settings</t>
        </is>
      </c>
      <c r="E56" s="34" t="inlineStr">
        <is>
          <t>지점 설정 수정. 부분 업데이트 지원</t>
        </is>
      </c>
      <c r="F56" s="34" t="inlineStr">
        <is>
          <t>Authorization: Bearer {token}</t>
        </is>
      </c>
      <c r="G56" s="34" t="inlineStr">
        <is>
          <t>Body: Partial&lt;Settings&gt;
(branchName, businessHours.open/close/holidays, notifications.sms/kakao/push, membership.autoExpire/days)</t>
        </is>
      </c>
      <c r="H56" s="34" t="inlineStr">
        <is>
          <t>{
  "data": Settings,
  "message": "설정이 저장되었습니다."
}</t>
        </is>
      </c>
      <c r="I56" s="34" t="inlineStr">
        <is>
          <t>{
  "error": "UPDATE_FAILED",
  "message": "error.message"
}</t>
        </is>
      </c>
      <c r="J56" s="34" t="inlineStr">
        <is>
          <t>Y</t>
        </is>
      </c>
      <c r="K56" s="34" t="inlineStr">
        <is>
          <t>SCR-080</t>
        </is>
      </c>
      <c r="L56" s="34" t="inlineStr">
        <is>
          <t>FN-034</t>
        </is>
      </c>
      <c r="M56" s="34" t="inlineStr">
        <is>
          <t>개발완료</t>
        </is>
      </c>
      <c r="N56" s="34" t="n"/>
      <c r="O56" s="34" t="inlineStr">
        <is>
          <t>설정</t>
        </is>
      </c>
      <c r="P56" s="34" t="inlineStr">
        <is>
          <t>설정 수정</t>
        </is>
      </c>
      <c r="Q56" s="34" t="inlineStr">
        <is>
          <t>DB 컬럼명 매핑: centerName, businessHoursOpen/Close 등</t>
        </is>
      </c>
      <c r="R56" s="34" t="inlineStr">
        <is>
          <t>UI-067, UI-068, UI-069, UI-070, UI-071, UI-072</t>
        </is>
      </c>
    </row>
    <row r="57">
      <c r="A57" s="33" t="inlineStr">
        <is>
          <t>API-100</t>
        </is>
      </c>
      <c r="B57" s="33" t="inlineStr">
        <is>
          <t>지점 목록 조회 (페이지네이션)</t>
        </is>
      </c>
      <c r="C57" s="33" t="inlineStr">
        <is>
          <t>GET</t>
        </is>
      </c>
      <c r="D57" s="34" t="inlineStr">
        <is>
          <t>/api/v1/branches/paginated</t>
        </is>
      </c>
      <c r="E57" s="34" t="inlineStr">
        <is>
          <t>관리자용 지점 목록 조회. 페이지네이션</t>
        </is>
      </c>
      <c r="F57" s="34" t="inlineStr">
        <is>
          <t>Authorization: Bearer {token}</t>
        </is>
      </c>
      <c r="G57" s="34" t="inlineStr">
        <is>
          <t>Query: page, size(기본10)</t>
        </is>
      </c>
      <c r="H57" s="34" t="inlineStr">
        <is>
          <t>{
  "data": [BranchDetail[]],
  "pagination": {...}
}</t>
        </is>
      </c>
      <c r="I57" s="34" t="inlineStr">
        <is>
          <t>{
  "error": "SERVER_ERROR",
  "message": "error.message"
}</t>
        </is>
      </c>
      <c r="J57" s="34" t="inlineStr">
        <is>
          <t>Y</t>
        </is>
      </c>
      <c r="K57" s="34" t="inlineStr">
        <is>
          <t>SCR-081</t>
        </is>
      </c>
      <c r="L57" s="34" t="inlineStr">
        <is>
          <t>FN-035</t>
        </is>
      </c>
      <c r="M57" s="34" t="inlineStr">
        <is>
          <t>개발완료</t>
        </is>
      </c>
      <c r="N57" s="34" t="n"/>
      <c r="O57" s="34" t="inlineStr">
        <is>
          <t>지점 관리</t>
        </is>
      </c>
      <c r="P57" s="34" t="inlineStr">
        <is>
          <t>지점 조회</t>
        </is>
      </c>
      <c r="Q57" s="34" t="inlineStr">
        <is>
          <t>id asc 정렬</t>
        </is>
      </c>
      <c r="R57" s="34" t="inlineStr">
        <is>
          <t>UI-113, UI-114</t>
        </is>
      </c>
    </row>
    <row r="58">
      <c r="A58" s="33" t="inlineStr">
        <is>
          <t>API-101</t>
        </is>
      </c>
      <c r="B58" s="33" t="inlineStr">
        <is>
          <t>지점 상세 조회</t>
        </is>
      </c>
      <c r="C58" s="33" t="inlineStr">
        <is>
          <t>GET</t>
        </is>
      </c>
      <c r="D58" s="34" t="inlineStr">
        <is>
          <t>/api/v1/branches/{id}</t>
        </is>
      </c>
      <c r="E58" s="34" t="inlineStr">
        <is>
          <t>지점 단건 상세 조회</t>
        </is>
      </c>
      <c r="F58" s="34" t="inlineStr">
        <is>
          <t>Authorization: Bearer {token}</t>
        </is>
      </c>
      <c r="G58" s="34" t="inlineStr">
        <is>
          <t>Path: id</t>
        </is>
      </c>
      <c r="H58" s="34" t="inlineStr">
        <is>
          <t>{
  "data": BranchDetail
}</t>
        </is>
      </c>
      <c r="I58" s="34" t="inlineStr">
        <is>
          <t>{
  "error": "NOT_FOUND",
  "message": "error.message"
}</t>
        </is>
      </c>
      <c r="J58" s="34" t="inlineStr">
        <is>
          <t>Y</t>
        </is>
      </c>
      <c r="K58" s="34" t="inlineStr">
        <is>
          <t>SCR-081</t>
        </is>
      </c>
      <c r="L58" s="34" t="inlineStr">
        <is>
          <t>FN-035</t>
        </is>
      </c>
      <c r="M58" s="34" t="inlineStr">
        <is>
          <t>개발완료</t>
        </is>
      </c>
      <c r="N58" s="34" t="n"/>
      <c r="O58" s="34" t="inlineStr">
        <is>
          <t>지점 관리</t>
        </is>
      </c>
      <c r="P58" s="34" t="inlineStr">
        <is>
          <t>지점 조회</t>
        </is>
      </c>
      <c r="Q58" s="34" t="n"/>
      <c r="R58" s="34" t="inlineStr">
        <is>
          <t>UI-113, UI-114</t>
        </is>
      </c>
    </row>
    <row r="59">
      <c r="A59" s="33" t="inlineStr">
        <is>
          <t>API-102</t>
        </is>
      </c>
      <c r="B59" s="33" t="inlineStr">
        <is>
          <t>지점 등록</t>
        </is>
      </c>
      <c r="C59" s="33" t="inlineStr">
        <is>
          <t>POST</t>
        </is>
      </c>
      <c r="D59" s="34" t="inlineStr">
        <is>
          <t>/api/v1/branches</t>
        </is>
      </c>
      <c r="E59" s="34" t="inlineStr">
        <is>
          <t>신규 지점 등록</t>
        </is>
      </c>
      <c r="F59" s="34" t="inlineStr">
        <is>
          <t>Authorization: Bearer {token}</t>
        </is>
      </c>
      <c r="G59" s="34" t="inlineStr">
        <is>
          <t>{
  "name": "string (필수)",
  "address": "string (필수)",
  "phone": "string (필수)",
  "status?": "string",
  "managerId?": "number",
  "managerName?": "string"
}</t>
        </is>
      </c>
      <c r="H59" s="34" t="inlineStr">
        <is>
          <t>{
  "data": BranchDetail,
  "message": "지점이 등록되었습니다."
}</t>
        </is>
      </c>
      <c r="I59" s="34" t="inlineStr">
        <is>
          <t>{
  "error": "CREATE_FAILED",
  "message": "error.message"
}</t>
        </is>
      </c>
      <c r="J59" s="34" t="inlineStr">
        <is>
          <t>Y</t>
        </is>
      </c>
      <c r="K59" s="34" t="inlineStr">
        <is>
          <t>SCR-081</t>
        </is>
      </c>
      <c r="L59" s="34" t="inlineStr">
        <is>
          <t>FN-036</t>
        </is>
      </c>
      <c r="M59" s="34" t="inlineStr">
        <is>
          <t>개발완료</t>
        </is>
      </c>
      <c r="N59" s="34" t="n"/>
      <c r="O59" s="34" t="inlineStr">
        <is>
          <t>지점 관리</t>
        </is>
      </c>
      <c r="P59" s="34" t="inlineStr">
        <is>
          <t>지점 등록</t>
        </is>
      </c>
      <c r="Q59" s="34" t="inlineStr">
        <is>
          <t>isActive=true 자동 설정</t>
        </is>
      </c>
      <c r="R59" s="34" t="inlineStr">
        <is>
          <t>UI-113, UI-114</t>
        </is>
      </c>
    </row>
    <row r="60">
      <c r="A60" s="33" t="inlineStr">
        <is>
          <t>API-103</t>
        </is>
      </c>
      <c r="B60" s="33" t="inlineStr">
        <is>
          <t>지점 수정</t>
        </is>
      </c>
      <c r="C60" s="33" t="inlineStr">
        <is>
          <t>PUT</t>
        </is>
      </c>
      <c r="D60" s="34" t="inlineStr">
        <is>
          <t>/api/v1/branches/{id}</t>
        </is>
      </c>
      <c r="E60" s="34" t="inlineStr">
        <is>
          <t>지점 정보 부분 수정</t>
        </is>
      </c>
      <c r="F60" s="34" t="inlineStr">
        <is>
          <t>Authorization: Bearer {token}</t>
        </is>
      </c>
      <c r="G60" s="34" t="inlineStr">
        <is>
          <t>Path: id
Body: Partial&lt;BranchRequest&gt;</t>
        </is>
      </c>
      <c r="H60" s="34" t="inlineStr">
        <is>
          <t>{
  "data": BranchDetail,
  "message": "지점 정보가 수정되었습니다."
}</t>
        </is>
      </c>
      <c r="I60" s="34" t="inlineStr">
        <is>
          <t>{
  "error": "UPDATE_FAILED",
  "message": "error.message"
}</t>
        </is>
      </c>
      <c r="J60" s="34" t="inlineStr">
        <is>
          <t>Y</t>
        </is>
      </c>
      <c r="K60" s="34" t="inlineStr">
        <is>
          <t>SCR-081</t>
        </is>
      </c>
      <c r="L60" s="34" t="inlineStr">
        <is>
          <t>FN-037</t>
        </is>
      </c>
      <c r="M60" s="34" t="inlineStr">
        <is>
          <t>개발완료</t>
        </is>
      </c>
      <c r="N60" s="34" t="n"/>
      <c r="O60" s="34" t="inlineStr">
        <is>
          <t>지점 관리</t>
        </is>
      </c>
      <c r="P60" s="34" t="inlineStr">
        <is>
          <t>지점 수정</t>
        </is>
      </c>
      <c r="Q60" s="34" t="inlineStr">
        <is>
          <t>undefined 필드 제외</t>
        </is>
      </c>
      <c r="R60" s="34" t="inlineStr">
        <is>
          <t>UI-113, UI-114</t>
        </is>
      </c>
    </row>
  </sheetData>
  <autoFilter ref="A1:Q1"/>
  <dataValidations count="6">
    <dataValidation sqref="C2:C200" showDropDown="0" showInputMessage="0" showErrorMessage="0" allowBlank="1" type="list">
      <formula1>"GET,POST,PUT,PATCH,DELETE"</formula1>
    </dataValidation>
    <dataValidation sqref="J2:J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L2:L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M2:M200" showDropDown="0" showInputMessage="0" showErrorMessage="0" allowBlank="1" type="list">
      <formula1>"설계중,개발중,개발완료,테스트중,배포완료"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" customWidth="1" min="4" max="4"/>
    <col width="10" customWidth="1" min="5" max="5"/>
    <col width="12" customWidth="1" min="6" max="6"/>
    <col width="6" customWidth="1" min="7" max="7"/>
    <col width="16" customWidth="1" min="8" max="8"/>
    <col width="10" customWidth="1" min="9" max="9"/>
    <col width="30" customWidth="1" min="10" max="10"/>
    <col width="12" customWidth="1" min="11" max="11"/>
    <col width="10" customWidth="1" min="12" max="12"/>
    <col width="20" customWidth="1" min="13" max="13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데이터 타입</t>
        </is>
      </c>
      <c r="D1" s="1" t="inlineStr">
        <is>
          <t>길이</t>
        </is>
      </c>
      <c r="E1" s="1" t="inlineStr">
        <is>
          <t>NULL 허용</t>
        </is>
      </c>
      <c r="F1" s="1" t="inlineStr">
        <is>
          <t>기본값</t>
        </is>
      </c>
      <c r="G1" s="1" t="inlineStr">
        <is>
          <t>PK</t>
        </is>
      </c>
      <c r="H1" s="1" t="inlineStr">
        <is>
          <t>FK</t>
        </is>
      </c>
      <c r="I1" s="1" t="inlineStr">
        <is>
          <t>인덱스</t>
        </is>
      </c>
      <c r="J1" s="1" t="inlineStr">
        <is>
          <t>설명</t>
        </is>
      </c>
      <c r="K1" s="1" t="inlineStr">
        <is>
          <t>관련 API ID</t>
        </is>
      </c>
      <c r="L1" s="1" t="inlineStr">
        <is>
          <t>상태</t>
        </is>
      </c>
      <c r="M1" s="1" t="inlineStr">
        <is>
          <t>비고</t>
        </is>
      </c>
    </row>
    <row r="2">
      <c r="A2" s="33" t="inlineStr">
        <is>
          <t>tenants</t>
        </is>
      </c>
      <c r="B2" s="33" t="inlineStr">
        <is>
          <t>id</t>
        </is>
      </c>
      <c r="C2" s="33" t="inlineStr">
        <is>
          <t>BIGINT</t>
        </is>
      </c>
      <c r="D2" s="34" t="n"/>
      <c r="E2" s="34" t="inlineStr">
        <is>
          <t>N</t>
        </is>
      </c>
      <c r="F2" s="34" t="n"/>
      <c r="G2" s="34" t="inlineStr">
        <is>
          <t>Y</t>
        </is>
      </c>
      <c r="H2" s="34" t="n"/>
      <c r="I2" s="34" t="inlineStr">
        <is>
          <t>Y</t>
        </is>
      </c>
      <c r="J2" s="34" t="inlineStr">
        <is>
          <t>테넌트 고유 ID (auto increment)</t>
        </is>
      </c>
      <c r="K2" s="34" t="inlineStr">
        <is>
          <t>API-003</t>
        </is>
      </c>
      <c r="L2" s="34" t="inlineStr">
        <is>
          <t>확정</t>
        </is>
      </c>
      <c r="M2" s="34" t="n"/>
    </row>
    <row r="3">
      <c r="A3" s="33" t="inlineStr">
        <is>
          <t>tenants</t>
        </is>
      </c>
      <c r="B3" s="33" t="inlineStr">
        <is>
          <t>name</t>
        </is>
      </c>
      <c r="C3" s="33" t="inlineStr">
        <is>
          <t>VARCHAR</t>
        </is>
      </c>
      <c r="D3" s="34" t="n">
        <v>100</v>
      </c>
      <c r="E3" s="34" t="inlineStr">
        <is>
          <t>N</t>
        </is>
      </c>
      <c r="F3" s="34" t="n"/>
      <c r="G3" s="34" t="inlineStr">
        <is>
          <t>N</t>
        </is>
      </c>
      <c r="H3" s="34" t="n"/>
      <c r="I3" s="34" t="inlineStr">
        <is>
          <t>N</t>
        </is>
      </c>
      <c r="J3" s="34" t="inlineStr">
        <is>
          <t>테넌트(본사) 이름</t>
        </is>
      </c>
      <c r="K3" s="34" t="inlineStr">
        <is>
          <t>API-001</t>
        </is>
      </c>
      <c r="L3" s="34" t="inlineStr">
        <is>
          <t>확정</t>
        </is>
      </c>
      <c r="M3" s="34" t="n"/>
    </row>
    <row r="4">
      <c r="A4" s="33" t="inlineStr">
        <is>
          <t>tenants</t>
        </is>
      </c>
      <c r="B4" s="33" t="inlineStr">
        <is>
          <t>code</t>
        </is>
      </c>
      <c r="C4" s="33" t="inlineStr">
        <is>
          <t>VARCHAR</t>
        </is>
      </c>
      <c r="D4" s="34" t="n">
        <v>20</v>
      </c>
      <c r="E4" s="34" t="inlineStr">
        <is>
          <t>N</t>
        </is>
      </c>
      <c r="F4" s="34" t="n"/>
      <c r="G4" s="34" t="inlineStr">
        <is>
          <t>N</t>
        </is>
      </c>
      <c r="H4" s="34" t="n"/>
      <c r="I4" s="34" t="inlineStr">
        <is>
          <t>UNIQUE</t>
        </is>
      </c>
      <c r="J4" s="34" t="inlineStr">
        <is>
          <t>테넌트 코드 (고유)</t>
        </is>
      </c>
      <c r="K4" s="34" t="inlineStr">
        <is>
          <t>API-001</t>
        </is>
      </c>
      <c r="L4" s="34" t="inlineStr">
        <is>
          <t>확정</t>
        </is>
      </c>
      <c r="M4" s="34" t="n"/>
    </row>
    <row r="5">
      <c r="A5" s="33" t="inlineStr">
        <is>
          <t>tenants</t>
        </is>
      </c>
      <c r="B5" s="33" t="inlineStr">
        <is>
          <t>plan</t>
        </is>
      </c>
      <c r="C5" s="33" t="inlineStr">
        <is>
          <t>ENUM</t>
        </is>
      </c>
      <c r="D5" s="34" t="n"/>
      <c r="E5" s="34" t="inlineStr">
        <is>
          <t>N</t>
        </is>
      </c>
      <c r="F5" s="34" t="inlineStr">
        <is>
          <t>basic</t>
        </is>
      </c>
      <c r="G5" s="34" t="inlineStr">
        <is>
          <t>N</t>
        </is>
      </c>
      <c r="H5" s="34" t="n"/>
      <c r="I5" s="34" t="inlineStr">
        <is>
          <t>N</t>
        </is>
      </c>
      <c r="J5" s="34" t="inlineStr">
        <is>
          <t>요금제 (basic/standard/premium)</t>
        </is>
      </c>
      <c r="K5" s="34" t="inlineStr">
        <is>
          <t>API-001</t>
        </is>
      </c>
      <c r="L5" s="34" t="inlineStr">
        <is>
          <t>확정</t>
        </is>
      </c>
      <c r="M5" s="34" t="n"/>
    </row>
    <row r="6">
      <c r="A6" s="33" t="inlineStr">
        <is>
          <t>tenants</t>
        </is>
      </c>
      <c r="B6" s="33" t="inlineStr">
        <is>
          <t>status</t>
        </is>
      </c>
      <c r="C6" s="33" t="inlineStr">
        <is>
          <t>ENUM</t>
        </is>
      </c>
      <c r="D6" s="34" t="n"/>
      <c r="E6" s="34" t="inlineStr">
        <is>
          <t>N</t>
        </is>
      </c>
      <c r="F6" s="34" t="inlineStr">
        <is>
          <t>active</t>
        </is>
      </c>
      <c r="G6" s="34" t="inlineStr">
        <is>
          <t>N</t>
        </is>
      </c>
      <c r="H6" s="34" t="n"/>
      <c r="I6" s="34" t="inlineStr">
        <is>
          <t>Y</t>
        </is>
      </c>
      <c r="J6" s="34" t="inlineStr">
        <is>
          <t>상태 (active/inactive/suspended)</t>
        </is>
      </c>
      <c r="K6" s="34" t="inlineStr">
        <is>
          <t>API-001</t>
        </is>
      </c>
      <c r="L6" s="34" t="inlineStr">
        <is>
          <t>확정</t>
        </is>
      </c>
      <c r="M6" s="34" t="n"/>
    </row>
    <row r="7">
      <c r="A7" s="33" t="inlineStr">
        <is>
          <t>tenants</t>
        </is>
      </c>
      <c r="B7" s="33" t="inlineStr">
        <is>
          <t>created_at</t>
        </is>
      </c>
      <c r="C7" s="33" t="inlineStr">
        <is>
          <t>DATETIME</t>
        </is>
      </c>
      <c r="D7" s="34" t="n"/>
      <c r="E7" s="34" t="inlineStr">
        <is>
          <t>N</t>
        </is>
      </c>
      <c r="F7" s="34" t="inlineStr">
        <is>
          <t>NOW()</t>
        </is>
      </c>
      <c r="G7" s="34" t="inlineStr">
        <is>
          <t>N</t>
        </is>
      </c>
      <c r="H7" s="34" t="n"/>
      <c r="I7" s="34" t="inlineStr">
        <is>
          <t>N</t>
        </is>
      </c>
      <c r="J7" s="34" t="inlineStr">
        <is>
          <t>생성일시</t>
        </is>
      </c>
      <c r="K7" s="34" t="inlineStr">
        <is>
          <t>API-001</t>
        </is>
      </c>
      <c r="L7" s="34" t="inlineStr">
        <is>
          <t>확정</t>
        </is>
      </c>
      <c r="M7" s="34" t="n"/>
    </row>
    <row r="8">
      <c r="A8" s="33" t="inlineStr">
        <is>
          <t>tenants</t>
        </is>
      </c>
      <c r="B8" s="33" t="inlineStr">
        <is>
          <t>updated_at</t>
        </is>
      </c>
      <c r="C8" s="33" t="inlineStr">
        <is>
          <t>DATETIME</t>
        </is>
      </c>
      <c r="D8" s="34" t="n"/>
      <c r="E8" s="34" t="inlineStr">
        <is>
          <t>Y</t>
        </is>
      </c>
      <c r="F8" s="34" t="inlineStr">
        <is>
          <t>CURRENT_TIMESTAMP</t>
        </is>
      </c>
      <c r="G8" s="34" t="inlineStr">
        <is>
          <t>N</t>
        </is>
      </c>
      <c r="H8" s="34" t="n"/>
      <c r="I8" s="34" t="inlineStr">
        <is>
          <t>N</t>
        </is>
      </c>
      <c r="J8" s="34" t="inlineStr">
        <is>
          <t>수정일시</t>
        </is>
      </c>
      <c r="K8" s="34" t="inlineStr">
        <is>
          <t>API-001</t>
        </is>
      </c>
      <c r="L8" s="34" t="inlineStr">
        <is>
          <t>확정</t>
        </is>
      </c>
      <c r="M8" s="34" t="n"/>
    </row>
    <row r="9">
      <c r="A9" s="33" t="inlineStr">
        <is>
          <t>branches</t>
        </is>
      </c>
      <c r="B9" s="33" t="inlineStr">
        <is>
          <t>id</t>
        </is>
      </c>
      <c r="C9" s="33" t="inlineStr">
        <is>
          <t>BIGINT</t>
        </is>
      </c>
      <c r="D9" s="34" t="n"/>
      <c r="E9" s="34" t="inlineStr">
        <is>
          <t>N</t>
        </is>
      </c>
      <c r="F9" s="34" t="n"/>
      <c r="G9" s="34" t="inlineStr">
        <is>
          <t>Y</t>
        </is>
      </c>
      <c r="H9" s="34" t="n"/>
      <c r="I9" s="34" t="inlineStr">
        <is>
          <t>Y</t>
        </is>
      </c>
      <c r="J9" s="34" t="inlineStr">
        <is>
          <t>지점 고유 ID</t>
        </is>
      </c>
      <c r="K9" s="34" t="inlineStr">
        <is>
          <t>API-027</t>
        </is>
      </c>
      <c r="L9" s="34" t="inlineStr">
        <is>
          <t>확정</t>
        </is>
      </c>
      <c r="M9" s="34" t="n"/>
    </row>
    <row r="10">
      <c r="A10" s="33" t="inlineStr">
        <is>
          <t>branches</t>
        </is>
      </c>
      <c r="B10" s="33" t="inlineStr">
        <is>
          <t>tenant_id</t>
        </is>
      </c>
      <c r="C10" s="33" t="inlineStr">
        <is>
          <t>BIGINT</t>
        </is>
      </c>
      <c r="D10" s="34" t="n"/>
      <c r="E10" s="34" t="inlineStr">
        <is>
          <t>N</t>
        </is>
      </c>
      <c r="F10" s="34" t="n"/>
      <c r="G10" s="34" t="inlineStr">
        <is>
          <t>N</t>
        </is>
      </c>
      <c r="H10" s="34" t="inlineStr">
        <is>
          <t>tenants.id</t>
        </is>
      </c>
      <c r="I10" s="34" t="inlineStr">
        <is>
          <t>Y</t>
        </is>
      </c>
      <c r="J10" s="34" t="inlineStr">
        <is>
          <t>소속 테넌트 FK</t>
        </is>
      </c>
      <c r="K10" s="34" t="inlineStr">
        <is>
          <t>API-027, API-028, API-029</t>
        </is>
      </c>
      <c r="L10" s="34" t="inlineStr">
        <is>
          <t>확정</t>
        </is>
      </c>
      <c r="M10" s="34" t="n"/>
    </row>
    <row r="11">
      <c r="A11" s="33" t="inlineStr">
        <is>
          <t>branches</t>
        </is>
      </c>
      <c r="B11" s="33" t="inlineStr">
        <is>
          <t>name</t>
        </is>
      </c>
      <c r="C11" s="33" t="inlineStr">
        <is>
          <t>VARCHAR</t>
        </is>
      </c>
      <c r="D11" s="34" t="n">
        <v>100</v>
      </c>
      <c r="E11" s="34" t="inlineStr">
        <is>
          <t>N</t>
        </is>
      </c>
      <c r="F11" s="34" t="n"/>
      <c r="G11" s="34" t="inlineStr">
        <is>
          <t>N</t>
        </is>
      </c>
      <c r="H11" s="34" t="n"/>
      <c r="I11" s="34" t="inlineStr">
        <is>
          <t>N</t>
        </is>
      </c>
      <c r="J11" s="34" t="inlineStr">
        <is>
          <t>지점명</t>
        </is>
      </c>
      <c r="K11" s="34" t="inlineStr">
        <is>
          <t>API-027, API-028, API-029</t>
        </is>
      </c>
      <c r="L11" s="34" t="inlineStr">
        <is>
          <t>확정</t>
        </is>
      </c>
      <c r="M11" s="34" t="n"/>
    </row>
    <row r="12">
      <c r="A12" s="33" t="inlineStr">
        <is>
          <t>branches</t>
        </is>
      </c>
      <c r="B12" s="33" t="inlineStr">
        <is>
          <t>code</t>
        </is>
      </c>
      <c r="C12" s="33" t="inlineStr">
        <is>
          <t>VARCHAR</t>
        </is>
      </c>
      <c r="D12" s="34" t="n">
        <v>20</v>
      </c>
      <c r="E12" s="34" t="inlineStr">
        <is>
          <t>N</t>
        </is>
      </c>
      <c r="F12" s="34" t="n"/>
      <c r="G12" s="34" t="inlineStr">
        <is>
          <t>N</t>
        </is>
      </c>
      <c r="H12" s="34" t="n"/>
      <c r="I12" s="34" t="inlineStr">
        <is>
          <t>UNIQUE</t>
        </is>
      </c>
      <c r="J12" s="34" t="inlineStr">
        <is>
          <t>지점 코드 (고유)</t>
        </is>
      </c>
      <c r="K12" s="34" t="inlineStr">
        <is>
          <t>API-027, API-028, API-029</t>
        </is>
      </c>
      <c r="L12" s="34" t="inlineStr">
        <is>
          <t>확정</t>
        </is>
      </c>
      <c r="M12" s="34" t="n"/>
    </row>
    <row r="13">
      <c r="A13" s="33" t="inlineStr">
        <is>
          <t>branches</t>
        </is>
      </c>
      <c r="B13" s="33" t="inlineStr">
        <is>
          <t>address</t>
        </is>
      </c>
      <c r="C13" s="33" t="inlineStr">
        <is>
          <t>VARCHAR</t>
        </is>
      </c>
      <c r="D13" s="34" t="n">
        <v>255</v>
      </c>
      <c r="E13" s="34" t="inlineStr">
        <is>
          <t>Y</t>
        </is>
      </c>
      <c r="F13" s="34" t="n"/>
      <c r="G13" s="34" t="inlineStr">
        <is>
          <t>N</t>
        </is>
      </c>
      <c r="H13" s="34" t="n"/>
      <c r="I13" s="34" t="inlineStr">
        <is>
          <t>N</t>
        </is>
      </c>
      <c r="J13" s="34" t="inlineStr">
        <is>
          <t>지점 주소</t>
        </is>
      </c>
      <c r="K13" s="34" t="inlineStr">
        <is>
          <t>API-027, API-028, API-029</t>
        </is>
      </c>
      <c r="L13" s="34" t="inlineStr">
        <is>
          <t>확정</t>
        </is>
      </c>
      <c r="M13" s="34" t="n"/>
    </row>
    <row r="14">
      <c r="A14" s="33" t="inlineStr">
        <is>
          <t>branches</t>
        </is>
      </c>
      <c r="B14" s="33" t="inlineStr">
        <is>
          <t>phone</t>
        </is>
      </c>
      <c r="C14" s="33" t="inlineStr">
        <is>
          <t>VARCHAR</t>
        </is>
      </c>
      <c r="D14" s="34" t="n">
        <v>20</v>
      </c>
      <c r="E14" s="34" t="inlineStr">
        <is>
          <t>Y</t>
        </is>
      </c>
      <c r="F14" s="34" t="n"/>
      <c r="G14" s="34" t="inlineStr">
        <is>
          <t>N</t>
        </is>
      </c>
      <c r="H14" s="34" t="n"/>
      <c r="I14" s="34" t="inlineStr">
        <is>
          <t>N</t>
        </is>
      </c>
      <c r="J14" s="34" t="inlineStr">
        <is>
          <t>지점 연락처</t>
        </is>
      </c>
      <c r="K14" s="34" t="inlineStr">
        <is>
          <t>API-027, API-028, API-029</t>
        </is>
      </c>
      <c r="L14" s="34" t="inlineStr">
        <is>
          <t>확정</t>
        </is>
      </c>
      <c r="M14" s="34" t="n"/>
    </row>
    <row r="15">
      <c r="A15" s="33" t="inlineStr">
        <is>
          <t>branches</t>
        </is>
      </c>
      <c r="B15" s="33" t="inlineStr">
        <is>
          <t>status</t>
        </is>
      </c>
      <c r="C15" s="33" t="inlineStr">
        <is>
          <t>ENUM</t>
        </is>
      </c>
      <c r="D15" s="34" t="n"/>
      <c r="E15" s="34" t="inlineStr">
        <is>
          <t>N</t>
        </is>
      </c>
      <c r="F15" s="34" t="inlineStr">
        <is>
          <t>active</t>
        </is>
      </c>
      <c r="G15" s="34" t="inlineStr">
        <is>
          <t>N</t>
        </is>
      </c>
      <c r="H15" s="34" t="n"/>
      <c r="I15" s="34" t="inlineStr">
        <is>
          <t>Y</t>
        </is>
      </c>
      <c r="J15" s="34" t="inlineStr">
        <is>
          <t>상태 (active/inactive)</t>
        </is>
      </c>
      <c r="K15" s="34" t="inlineStr">
        <is>
          <t>API-027, API-028, API-029</t>
        </is>
      </c>
      <c r="L15" s="34" t="inlineStr">
        <is>
          <t>확정</t>
        </is>
      </c>
      <c r="M15" s="34" t="n"/>
    </row>
    <row r="16">
      <c r="A16" s="33" t="inlineStr">
        <is>
          <t>branches</t>
        </is>
      </c>
      <c r="B16" s="33" t="inlineStr">
        <is>
          <t>created_at</t>
        </is>
      </c>
      <c r="C16" s="33" t="inlineStr">
        <is>
          <t>DATETIME</t>
        </is>
      </c>
      <c r="D16" s="34" t="n"/>
      <c r="E16" s="34" t="inlineStr">
        <is>
          <t>N</t>
        </is>
      </c>
      <c r="F16" s="34" t="inlineStr">
        <is>
          <t>NOW()</t>
        </is>
      </c>
      <c r="G16" s="34" t="inlineStr">
        <is>
          <t>N</t>
        </is>
      </c>
      <c r="H16" s="34" t="n"/>
      <c r="I16" s="34" t="inlineStr">
        <is>
          <t>N</t>
        </is>
      </c>
      <c r="J16" s="34" t="inlineStr">
        <is>
          <t>생성일시</t>
        </is>
      </c>
      <c r="K16" s="34" t="inlineStr">
        <is>
          <t>API-027, API-028, API-029</t>
        </is>
      </c>
      <c r="L16" s="34" t="inlineStr">
        <is>
          <t>확정</t>
        </is>
      </c>
      <c r="M16" s="34" t="n"/>
    </row>
    <row r="17">
      <c r="A17" s="33" t="inlineStr">
        <is>
          <t>users</t>
        </is>
      </c>
      <c r="B17" s="33" t="inlineStr">
        <is>
          <t>id</t>
        </is>
      </c>
      <c r="C17" s="33" t="inlineStr">
        <is>
          <t>BIGINT</t>
        </is>
      </c>
      <c r="D17" s="34" t="n"/>
      <c r="E17" s="34" t="inlineStr">
        <is>
          <t>N</t>
        </is>
      </c>
      <c r="F17" s="34" t="n"/>
      <c r="G17" s="34" t="inlineStr">
        <is>
          <t>Y</t>
        </is>
      </c>
      <c r="H17" s="34" t="n"/>
      <c r="I17" s="34" t="inlineStr">
        <is>
          <t>Y</t>
        </is>
      </c>
      <c r="J17" s="34" t="inlineStr">
        <is>
          <t>사용자 고유 ID</t>
        </is>
      </c>
      <c r="K17" s="34" t="inlineStr">
        <is>
          <t>API-001</t>
        </is>
      </c>
      <c r="L17" s="34" t="inlineStr">
        <is>
          <t>확정</t>
        </is>
      </c>
      <c r="M17" s="34" t="n"/>
    </row>
    <row r="18">
      <c r="A18" s="33" t="inlineStr">
        <is>
          <t>users</t>
        </is>
      </c>
      <c r="B18" s="33" t="inlineStr">
        <is>
          <t>branch_id</t>
        </is>
      </c>
      <c r="C18" s="33" t="inlineStr">
        <is>
          <t>BIGINT</t>
        </is>
      </c>
      <c r="D18" s="34" t="n"/>
      <c r="E18" s="34" t="inlineStr">
        <is>
          <t>N</t>
        </is>
      </c>
      <c r="F18" s="34" t="n"/>
      <c r="G18" s="34" t="inlineStr">
        <is>
          <t>N</t>
        </is>
      </c>
      <c r="H18" s="34" t="inlineStr">
        <is>
          <t>branches.id</t>
        </is>
      </c>
      <c r="I18" s="34" t="inlineStr">
        <is>
          <t>Y</t>
        </is>
      </c>
      <c r="J18" s="34" t="inlineStr">
        <is>
          <t>소속 지점 FK</t>
        </is>
      </c>
      <c r="K18" s="34" t="inlineStr">
        <is>
          <t>API-002, API-003</t>
        </is>
      </c>
      <c r="L18" s="34" t="inlineStr">
        <is>
          <t>확정</t>
        </is>
      </c>
      <c r="M18" s="34" t="n"/>
    </row>
    <row r="19">
      <c r="A19" s="33" t="inlineStr">
        <is>
          <t>users</t>
        </is>
      </c>
      <c r="B19" s="33" t="inlineStr">
        <is>
          <t>email</t>
        </is>
      </c>
      <c r="C19" s="33" t="inlineStr">
        <is>
          <t>VARCHAR</t>
        </is>
      </c>
      <c r="D19" s="34" t="n">
        <v>100</v>
      </c>
      <c r="E19" s="34" t="inlineStr">
        <is>
          <t>N</t>
        </is>
      </c>
      <c r="F19" s="34" t="n"/>
      <c r="G19" s="34" t="inlineStr">
        <is>
          <t>N</t>
        </is>
      </c>
      <c r="H19" s="34" t="n"/>
      <c r="I19" s="34" t="inlineStr">
        <is>
          <t>UNIQUE</t>
        </is>
      </c>
      <c r="J19" s="34" t="inlineStr">
        <is>
          <t>로그인 이메일</t>
        </is>
      </c>
      <c r="K19" s="34" t="inlineStr">
        <is>
          <t>API-002, API-003</t>
        </is>
      </c>
      <c r="L19" s="34" t="inlineStr">
        <is>
          <t>확정</t>
        </is>
      </c>
      <c r="M19" s="34" t="n"/>
    </row>
    <row r="20">
      <c r="A20" s="33" t="inlineStr">
        <is>
          <t>users</t>
        </is>
      </c>
      <c r="B20" s="33" t="inlineStr">
        <is>
          <t>password_hash</t>
        </is>
      </c>
      <c r="C20" s="33" t="inlineStr">
        <is>
          <t>VARCHAR</t>
        </is>
      </c>
      <c r="D20" s="34" t="n">
        <v>255</v>
      </c>
      <c r="E20" s="34" t="inlineStr">
        <is>
          <t>N</t>
        </is>
      </c>
      <c r="F20" s="34" t="n"/>
      <c r="G20" s="34" t="inlineStr">
        <is>
          <t>N</t>
        </is>
      </c>
      <c r="H20" s="34" t="n"/>
      <c r="I20" s="34" t="inlineStr">
        <is>
          <t>N</t>
        </is>
      </c>
      <c r="J20" s="34" t="inlineStr">
        <is>
          <t>비밀번호 해시</t>
        </is>
      </c>
      <c r="K20" s="34" t="inlineStr">
        <is>
          <t>API-002, API-003</t>
        </is>
      </c>
      <c r="L20" s="34" t="inlineStr">
        <is>
          <t>확정</t>
        </is>
      </c>
      <c r="M20" s="34" t="n"/>
    </row>
    <row r="21">
      <c r="A21" s="33" t="inlineStr">
        <is>
          <t>users</t>
        </is>
      </c>
      <c r="B21" s="33" t="inlineStr">
        <is>
          <t>name</t>
        </is>
      </c>
      <c r="C21" s="33" t="inlineStr">
        <is>
          <t>VARCHAR</t>
        </is>
      </c>
      <c r="D21" s="34" t="n">
        <v>50</v>
      </c>
      <c r="E21" s="34" t="inlineStr">
        <is>
          <t>N</t>
        </is>
      </c>
      <c r="F21" s="34" t="n"/>
      <c r="G21" s="34" t="inlineStr">
        <is>
          <t>N</t>
        </is>
      </c>
      <c r="H21" s="34" t="n"/>
      <c r="I21" s="34" t="inlineStr">
        <is>
          <t>Y</t>
        </is>
      </c>
      <c r="J21" s="34" t="inlineStr">
        <is>
          <t>사용자 이름</t>
        </is>
      </c>
      <c r="K21" s="34" t="inlineStr">
        <is>
          <t>API-002, API-003</t>
        </is>
      </c>
      <c r="L21" s="34" t="inlineStr">
        <is>
          <t>확정</t>
        </is>
      </c>
      <c r="M21" s="34" t="n"/>
    </row>
    <row r="22">
      <c r="A22" s="33" t="inlineStr">
        <is>
          <t>users</t>
        </is>
      </c>
      <c r="B22" s="33" t="inlineStr">
        <is>
          <t>role</t>
        </is>
      </c>
      <c r="C22" s="33" t="inlineStr">
        <is>
          <t>ENUM</t>
        </is>
      </c>
      <c r="D22" s="34" t="n"/>
      <c r="E22" s="34" t="inlineStr">
        <is>
          <t>N</t>
        </is>
      </c>
      <c r="F22" s="34" t="n"/>
      <c r="G22" s="34" t="inlineStr">
        <is>
          <t>N</t>
        </is>
      </c>
      <c r="H22" s="34" t="n"/>
      <c r="I22" s="34" t="inlineStr">
        <is>
          <t>Y</t>
        </is>
      </c>
      <c r="J22" s="34" t="inlineStr">
        <is>
          <t>역할 (super_admin/center_manager/manager/fc/staff/viewer)</t>
        </is>
      </c>
      <c r="K22" s="34" t="inlineStr">
        <is>
          <t>API-002, API-003</t>
        </is>
      </c>
      <c r="L22" s="34" t="inlineStr">
        <is>
          <t>확정</t>
        </is>
      </c>
      <c r="M22" s="34" t="n"/>
    </row>
    <row r="23">
      <c r="A23" s="33" t="inlineStr">
        <is>
          <t>users</t>
        </is>
      </c>
      <c r="B23" s="33" t="inlineStr">
        <is>
          <t>status</t>
        </is>
      </c>
      <c r="C23" s="33" t="inlineStr">
        <is>
          <t>ENUM</t>
        </is>
      </c>
      <c r="D23" s="34" t="n"/>
      <c r="E23" s="34" t="inlineStr">
        <is>
          <t>N</t>
        </is>
      </c>
      <c r="F23" s="34" t="inlineStr">
        <is>
          <t>active</t>
        </is>
      </c>
      <c r="G23" s="34" t="inlineStr">
        <is>
          <t>N</t>
        </is>
      </c>
      <c r="H23" s="34" t="n"/>
      <c r="I23" s="34" t="inlineStr">
        <is>
          <t>Y</t>
        </is>
      </c>
      <c r="J23" s="34" t="inlineStr">
        <is>
          <t>상태 (active/inactive/locked)</t>
        </is>
      </c>
      <c r="K23" s="34" t="inlineStr">
        <is>
          <t>API-002, API-003</t>
        </is>
      </c>
      <c r="L23" s="34" t="inlineStr">
        <is>
          <t>확정</t>
        </is>
      </c>
      <c r="M23" s="34" t="n"/>
    </row>
    <row r="24">
      <c r="A24" s="33" t="inlineStr">
        <is>
          <t>users</t>
        </is>
      </c>
      <c r="B24" s="33" t="inlineStr">
        <is>
          <t>last_login</t>
        </is>
      </c>
      <c r="C24" s="33" t="inlineStr">
        <is>
          <t>DATETIME</t>
        </is>
      </c>
      <c r="D24" s="34" t="n"/>
      <c r="E24" s="34" t="inlineStr">
        <is>
          <t>Y</t>
        </is>
      </c>
      <c r="F24" s="34" t="inlineStr">
        <is>
          <t>NULL</t>
        </is>
      </c>
      <c r="G24" s="34" t="inlineStr">
        <is>
          <t>N</t>
        </is>
      </c>
      <c r="H24" s="34" t="n"/>
      <c r="I24" s="34" t="inlineStr">
        <is>
          <t>N</t>
        </is>
      </c>
      <c r="J24" s="34" t="inlineStr">
        <is>
          <t>마지막 로그인 일시</t>
        </is>
      </c>
      <c r="K24" s="34" t="inlineStr">
        <is>
          <t>API-002, API-003</t>
        </is>
      </c>
      <c r="L24" s="34" t="inlineStr">
        <is>
          <t>확정</t>
        </is>
      </c>
      <c r="M24" s="34" t="n"/>
    </row>
    <row r="25">
      <c r="A25" s="33" t="inlineStr">
        <is>
          <t>users</t>
        </is>
      </c>
      <c r="B25" s="33" t="inlineStr">
        <is>
          <t>login_fail_count</t>
        </is>
      </c>
      <c r="C25" s="33" t="inlineStr">
        <is>
          <t>INT</t>
        </is>
      </c>
      <c r="D25" s="34" t="n"/>
      <c r="E25" s="34" t="inlineStr">
        <is>
          <t>N</t>
        </is>
      </c>
      <c r="F25" s="34" t="inlineStr">
        <is>
          <t>0</t>
        </is>
      </c>
      <c r="G25" s="34" t="inlineStr">
        <is>
          <t>N</t>
        </is>
      </c>
      <c r="H25" s="34" t="n"/>
      <c r="I25" s="34" t="inlineStr">
        <is>
          <t>N</t>
        </is>
      </c>
      <c r="J25" s="34" t="inlineStr">
        <is>
          <t>연속 로그인 실패 횟수</t>
        </is>
      </c>
      <c r="K25" s="34" t="inlineStr">
        <is>
          <t>API-002, API-003</t>
        </is>
      </c>
      <c r="L25" s="34" t="inlineStr">
        <is>
          <t>확정</t>
        </is>
      </c>
      <c r="M25" s="34" t="n"/>
    </row>
    <row r="26">
      <c r="A26" s="33" t="inlineStr">
        <is>
          <t>users</t>
        </is>
      </c>
      <c r="B26" s="33" t="inlineStr">
        <is>
          <t>created_at</t>
        </is>
      </c>
      <c r="C26" s="33" t="inlineStr">
        <is>
          <t>DATETIME</t>
        </is>
      </c>
      <c r="D26" s="34" t="n"/>
      <c r="E26" s="34" t="inlineStr">
        <is>
          <t>N</t>
        </is>
      </c>
      <c r="F26" s="34" t="inlineStr">
        <is>
          <t>NOW()</t>
        </is>
      </c>
      <c r="G26" s="34" t="inlineStr">
        <is>
          <t>N</t>
        </is>
      </c>
      <c r="H26" s="34" t="n"/>
      <c r="I26" s="34" t="inlineStr">
        <is>
          <t>N</t>
        </is>
      </c>
      <c r="J26" s="34" t="inlineStr">
        <is>
          <t>생성일시</t>
        </is>
      </c>
      <c r="K26" s="34" t="inlineStr">
        <is>
          <t>API-002, API-003</t>
        </is>
      </c>
      <c r="L26" s="34" t="inlineStr">
        <is>
          <t>확정</t>
        </is>
      </c>
      <c r="M26" s="34" t="n"/>
    </row>
    <row r="27">
      <c r="A27" s="33" t="inlineStr">
        <is>
          <t>members</t>
        </is>
      </c>
      <c r="B27" s="33" t="inlineStr">
        <is>
          <t>id</t>
        </is>
      </c>
      <c r="C27" s="33" t="inlineStr">
        <is>
          <t>BIGINT</t>
        </is>
      </c>
      <c r="D27" s="34" t="n"/>
      <c r="E27" s="34" t="inlineStr">
        <is>
          <t>N</t>
        </is>
      </c>
      <c r="F27" s="34" t="n"/>
      <c r="G27" s="34" t="inlineStr">
        <is>
          <t>Y</t>
        </is>
      </c>
      <c r="H27" s="34" t="n"/>
      <c r="I27" s="34" t="inlineStr">
        <is>
          <t>Y</t>
        </is>
      </c>
      <c r="J27" s="34" t="inlineStr">
        <is>
          <t>회원 고유 ID</t>
        </is>
      </c>
      <c r="K27" s="34" t="inlineStr">
        <is>
          <t>API-007</t>
        </is>
      </c>
      <c r="L27" s="34" t="inlineStr">
        <is>
          <t>확정</t>
        </is>
      </c>
      <c r="M27" s="34" t="n"/>
    </row>
    <row r="28">
      <c r="A28" s="33" t="inlineStr">
        <is>
          <t>members</t>
        </is>
      </c>
      <c r="B28" s="33" t="inlineStr">
        <is>
          <t>branch_id</t>
        </is>
      </c>
      <c r="C28" s="33" t="inlineStr">
        <is>
          <t>BIGINT</t>
        </is>
      </c>
      <c r="D28" s="34" t="n"/>
      <c r="E28" s="34" t="inlineStr">
        <is>
          <t>N</t>
        </is>
      </c>
      <c r="F28" s="34" t="n"/>
      <c r="G28" s="34" t="inlineStr">
        <is>
          <t>N</t>
        </is>
      </c>
      <c r="H28" s="34" t="inlineStr">
        <is>
          <t>branches.id</t>
        </is>
      </c>
      <c r="I28" s="34" t="inlineStr">
        <is>
          <t>Y</t>
        </is>
      </c>
      <c r="J28" s="34" t="inlineStr">
        <is>
          <t>소속 지점 FK (데이터 격리)</t>
        </is>
      </c>
      <c r="K28" s="34" t="inlineStr">
        <is>
          <t>API-004, API-005, API-006, API-007</t>
        </is>
      </c>
      <c r="L28" s="34" t="inlineStr">
        <is>
          <t>확정</t>
        </is>
      </c>
      <c r="M28" s="34" t="n"/>
    </row>
    <row r="29">
      <c r="A29" s="33" t="inlineStr">
        <is>
          <t>members</t>
        </is>
      </c>
      <c r="B29" s="33" t="inlineStr">
        <is>
          <t>name</t>
        </is>
      </c>
      <c r="C29" s="33" t="inlineStr">
        <is>
          <t>VARCHAR</t>
        </is>
      </c>
      <c r="D29" s="34" t="n">
        <v>50</v>
      </c>
      <c r="E29" s="34" t="inlineStr">
        <is>
          <t>N</t>
        </is>
      </c>
      <c r="F29" s="34" t="n"/>
      <c r="G29" s="34" t="inlineStr">
        <is>
          <t>N</t>
        </is>
      </c>
      <c r="H29" s="34" t="n"/>
      <c r="I29" s="34" t="inlineStr">
        <is>
          <t>Y</t>
        </is>
      </c>
      <c r="J29" s="34" t="inlineStr">
        <is>
          <t>회원 이름</t>
        </is>
      </c>
      <c r="K29" s="34" t="inlineStr">
        <is>
          <t>API-004, API-005, API-006, API-007</t>
        </is>
      </c>
      <c r="L29" s="34" t="inlineStr">
        <is>
          <t>확정</t>
        </is>
      </c>
      <c r="M29" s="34" t="n"/>
    </row>
    <row r="30">
      <c r="A30" s="33" t="inlineStr">
        <is>
          <t>members</t>
        </is>
      </c>
      <c r="B30" s="33" t="inlineStr">
        <is>
          <t>gender</t>
        </is>
      </c>
      <c r="C30" s="33" t="inlineStr">
        <is>
          <t>ENUM</t>
        </is>
      </c>
      <c r="D30" s="34" t="n"/>
      <c r="E30" s="34" t="inlineStr">
        <is>
          <t>N</t>
        </is>
      </c>
      <c r="F30" s="34" t="n"/>
      <c r="G30" s="34" t="inlineStr">
        <is>
          <t>N</t>
        </is>
      </c>
      <c r="H30" s="34" t="n"/>
      <c r="I30" s="34" t="inlineStr">
        <is>
          <t>Y</t>
        </is>
      </c>
      <c r="J30" s="34" t="inlineStr">
        <is>
          <t>성별 (M/F)</t>
        </is>
      </c>
      <c r="K30" s="34" t="inlineStr">
        <is>
          <t>API-004, API-005, API-006, API-007</t>
        </is>
      </c>
      <c r="L30" s="34" t="inlineStr">
        <is>
          <t>확정</t>
        </is>
      </c>
      <c r="M30" s="34" t="n"/>
    </row>
    <row r="31">
      <c r="A31" s="33" t="inlineStr">
        <is>
          <t>members</t>
        </is>
      </c>
      <c r="B31" s="33" t="inlineStr">
        <is>
          <t>birth_date</t>
        </is>
      </c>
      <c r="C31" s="33" t="inlineStr">
        <is>
          <t>VARCHAR</t>
        </is>
      </c>
      <c r="D31" s="34" t="n">
        <v>10</v>
      </c>
      <c r="E31" s="34" t="inlineStr">
        <is>
          <t>Y</t>
        </is>
      </c>
      <c r="F31" s="34" t="n"/>
      <c r="G31" s="34" t="inlineStr">
        <is>
          <t>N</t>
        </is>
      </c>
      <c r="H31" s="34" t="n"/>
      <c r="I31" s="34" t="inlineStr">
        <is>
          <t>N</t>
        </is>
      </c>
      <c r="J31" s="34" t="inlineStr">
        <is>
          <t>생년월일 (YYYY-MM-DD)</t>
        </is>
      </c>
      <c r="K31" s="34" t="inlineStr">
        <is>
          <t>API-004, API-005, API-006, API-007</t>
        </is>
      </c>
      <c r="L31" s="34" t="inlineStr">
        <is>
          <t>확정</t>
        </is>
      </c>
      <c r="M31" s="34" t="n"/>
    </row>
    <row r="32">
      <c r="A32" s="33" t="inlineStr">
        <is>
          <t>members</t>
        </is>
      </c>
      <c r="B32" s="33" t="inlineStr">
        <is>
          <t>phone</t>
        </is>
      </c>
      <c r="C32" s="33" t="inlineStr">
        <is>
          <t>VARCHAR</t>
        </is>
      </c>
      <c r="D32" s="34" t="n">
        <v>20</v>
      </c>
      <c r="E32" s="34" t="inlineStr">
        <is>
          <t>N</t>
        </is>
      </c>
      <c r="F32" s="34" t="n"/>
      <c r="G32" s="34" t="inlineStr">
        <is>
          <t>N</t>
        </is>
      </c>
      <c r="H32" s="34" t="n"/>
      <c r="I32" s="34" t="inlineStr">
        <is>
          <t>Y</t>
        </is>
      </c>
      <c r="J32" s="34" t="inlineStr">
        <is>
          <t>연락처</t>
        </is>
      </c>
      <c r="K32" s="34" t="inlineStr">
        <is>
          <t>API-004, API-005, API-006, API-007</t>
        </is>
      </c>
      <c r="L32" s="34" t="inlineStr">
        <is>
          <t>확정</t>
        </is>
      </c>
      <c r="M32" s="34" t="inlineStr">
        <is>
          <t>지점 내 중복 불가</t>
        </is>
      </c>
    </row>
    <row r="33">
      <c r="A33" s="33" t="inlineStr">
        <is>
          <t>members</t>
        </is>
      </c>
      <c r="B33" s="33" t="inlineStr">
        <is>
          <t>email</t>
        </is>
      </c>
      <c r="C33" s="33" t="inlineStr">
        <is>
          <t>VARCHAR</t>
        </is>
      </c>
      <c r="D33" s="34" t="n">
        <v>100</v>
      </c>
      <c r="E33" s="34" t="inlineStr">
        <is>
          <t>Y</t>
        </is>
      </c>
      <c r="F33" s="34" t="n"/>
      <c r="G33" s="34" t="inlineStr">
        <is>
          <t>N</t>
        </is>
      </c>
      <c r="H33" s="34" t="n"/>
      <c r="I33" s="34" t="inlineStr">
        <is>
          <t>N</t>
        </is>
      </c>
      <c r="J33" s="34" t="inlineStr">
        <is>
          <t>이메일</t>
        </is>
      </c>
      <c r="K33" s="34" t="inlineStr">
        <is>
          <t>API-004, API-005, API-006, API-007</t>
        </is>
      </c>
      <c r="L33" s="34" t="inlineStr">
        <is>
          <t>확정</t>
        </is>
      </c>
      <c r="M33" s="34" t="n"/>
    </row>
    <row r="34">
      <c r="A34" s="33" t="inlineStr">
        <is>
          <t>members</t>
        </is>
      </c>
      <c r="B34" s="33" t="inlineStr">
        <is>
          <t>address</t>
        </is>
      </c>
      <c r="C34" s="33" t="inlineStr">
        <is>
          <t>VARCHAR</t>
        </is>
      </c>
      <c r="D34" s="34" t="n">
        <v>255</v>
      </c>
      <c r="E34" s="34" t="inlineStr">
        <is>
          <t>Y</t>
        </is>
      </c>
      <c r="F34" s="34" t="n"/>
      <c r="G34" s="34" t="inlineStr">
        <is>
          <t>N</t>
        </is>
      </c>
      <c r="H34" s="34" t="n"/>
      <c r="I34" s="34" t="inlineStr">
        <is>
          <t>N</t>
        </is>
      </c>
      <c r="J34" s="34" t="inlineStr">
        <is>
          <t>주소</t>
        </is>
      </c>
      <c r="K34" s="34" t="inlineStr">
        <is>
          <t>API-004, API-005, API-006, API-007</t>
        </is>
      </c>
      <c r="L34" s="34" t="inlineStr">
        <is>
          <t>확정</t>
        </is>
      </c>
      <c r="M34" s="34" t="n"/>
    </row>
    <row r="35">
      <c r="A35" s="33" t="inlineStr">
        <is>
          <t>members</t>
        </is>
      </c>
      <c r="B35" s="33" t="inlineStr">
        <is>
          <t>status</t>
        </is>
      </c>
      <c r="C35" s="33" t="inlineStr">
        <is>
          <t>ENUM</t>
        </is>
      </c>
      <c r="D35" s="34" t="n"/>
      <c r="E35" s="34" t="inlineStr">
        <is>
          <t>N</t>
        </is>
      </c>
      <c r="F35" s="34" t="inlineStr">
        <is>
          <t>active</t>
        </is>
      </c>
      <c r="G35" s="34" t="inlineStr">
        <is>
          <t>N</t>
        </is>
      </c>
      <c r="H35" s="34" t="n"/>
      <c r="I35" s="34" t="inlineStr">
        <is>
          <t>Y</t>
        </is>
      </c>
      <c r="J35" s="34" t="inlineStr">
        <is>
          <t>상태 (active/expired/suspended/withdrawn)</t>
        </is>
      </c>
      <c r="K35" s="34" t="inlineStr">
        <is>
          <t>API-004, API-005, API-006, API-007</t>
        </is>
      </c>
      <c r="L35" s="34" t="inlineStr">
        <is>
          <t>확정</t>
        </is>
      </c>
      <c r="M35" s="34" t="n"/>
    </row>
    <row r="36">
      <c r="A36" s="33" t="inlineStr">
        <is>
          <t>members</t>
        </is>
      </c>
      <c r="B36" s="33" t="inlineStr">
        <is>
          <t>manager_id</t>
        </is>
      </c>
      <c r="C36" s="33" t="inlineStr">
        <is>
          <t>BIGINT</t>
        </is>
      </c>
      <c r="D36" s="34" t="n"/>
      <c r="E36" s="34" t="inlineStr">
        <is>
          <t>Y</t>
        </is>
      </c>
      <c r="F36" s="34" t="inlineStr">
        <is>
          <t>NULL</t>
        </is>
      </c>
      <c r="G36" s="34" t="inlineStr">
        <is>
          <t>N</t>
        </is>
      </c>
      <c r="H36" s="34" t="inlineStr">
        <is>
          <t>users.id</t>
        </is>
      </c>
      <c r="I36" s="34" t="inlineStr">
        <is>
          <t>Y</t>
        </is>
      </c>
      <c r="J36" s="34" t="inlineStr">
        <is>
          <t>담당 FC ID</t>
        </is>
      </c>
      <c r="K36" s="34" t="inlineStr">
        <is>
          <t>API-004, API-005, API-006, API-007</t>
        </is>
      </c>
      <c r="L36" s="34" t="inlineStr">
        <is>
          <t>확정</t>
        </is>
      </c>
      <c r="M36" s="34" t="n"/>
    </row>
    <row r="37">
      <c r="A37" s="33" t="inlineStr">
        <is>
          <t>members</t>
        </is>
      </c>
      <c r="B37" s="33" t="inlineStr">
        <is>
          <t>attendance_no</t>
        </is>
      </c>
      <c r="C37" s="33" t="inlineStr">
        <is>
          <t>VARCHAR</t>
        </is>
      </c>
      <c r="D37" s="34" t="n">
        <v>20</v>
      </c>
      <c r="E37" s="34" t="inlineStr">
        <is>
          <t>Y</t>
        </is>
      </c>
      <c r="F37" s="34" t="n"/>
      <c r="G37" s="34" t="inlineStr">
        <is>
          <t>N</t>
        </is>
      </c>
      <c r="H37" s="34" t="n"/>
      <c r="I37" s="34" t="inlineStr">
        <is>
          <t>UNIQUE</t>
        </is>
      </c>
      <c r="J37" s="34" t="inlineStr">
        <is>
          <t>출석 번호</t>
        </is>
      </c>
      <c r="K37" s="34" t="inlineStr">
        <is>
          <t>API-004, API-005, API-006, API-007</t>
        </is>
      </c>
      <c r="L37" s="34" t="inlineStr">
        <is>
          <t>확정</t>
        </is>
      </c>
      <c r="M37" s="34" t="n"/>
    </row>
    <row r="38">
      <c r="A38" s="33" t="inlineStr">
        <is>
          <t>members</t>
        </is>
      </c>
      <c r="B38" s="33" t="inlineStr">
        <is>
          <t>company</t>
        </is>
      </c>
      <c r="C38" s="33" t="inlineStr">
        <is>
          <t>VARCHAR</t>
        </is>
      </c>
      <c r="D38" s="34" t="n">
        <v>100</v>
      </c>
      <c r="E38" s="34" t="inlineStr">
        <is>
          <t>Y</t>
        </is>
      </c>
      <c r="F38" s="34" t="n"/>
      <c r="G38" s="34" t="inlineStr">
        <is>
          <t>N</t>
        </is>
      </c>
      <c r="H38" s="34" t="n"/>
      <c r="I38" s="34" t="inlineStr">
        <is>
          <t>N</t>
        </is>
      </c>
      <c r="J38" s="34" t="inlineStr">
        <is>
          <t>직장명</t>
        </is>
      </c>
      <c r="K38" s="34" t="inlineStr">
        <is>
          <t>API-004, API-005, API-006, API-007</t>
        </is>
      </c>
      <c r="L38" s="34" t="inlineStr">
        <is>
          <t>확정</t>
        </is>
      </c>
      <c r="M38" s="34" t="n"/>
    </row>
    <row r="39">
      <c r="A39" s="33" t="inlineStr">
        <is>
          <t>members</t>
        </is>
      </c>
      <c r="B39" s="33" t="inlineStr">
        <is>
          <t>memo</t>
        </is>
      </c>
      <c r="C39" s="33" t="inlineStr">
        <is>
          <t>TEXT</t>
        </is>
      </c>
      <c r="D39" s="34" t="n"/>
      <c r="E39" s="34" t="inlineStr">
        <is>
          <t>Y</t>
        </is>
      </c>
      <c r="F39" s="34" t="n"/>
      <c r="G39" s="34" t="inlineStr">
        <is>
          <t>N</t>
        </is>
      </c>
      <c r="H39" s="34" t="n"/>
      <c r="I39" s="34" t="inlineStr">
        <is>
          <t>N</t>
        </is>
      </c>
      <c r="J39" s="34" t="inlineStr">
        <is>
          <t>관리자 메모</t>
        </is>
      </c>
      <c r="K39" s="34" t="inlineStr">
        <is>
          <t>API-004, API-005, API-006, API-007</t>
        </is>
      </c>
      <c r="L39" s="34" t="inlineStr">
        <is>
          <t>확정</t>
        </is>
      </c>
      <c r="M39" s="34" t="n"/>
    </row>
    <row r="40">
      <c r="A40" s="33" t="inlineStr">
        <is>
          <t>members</t>
        </is>
      </c>
      <c r="B40" s="33" t="inlineStr">
        <is>
          <t>first_reg_date</t>
        </is>
      </c>
      <c r="C40" s="33" t="inlineStr">
        <is>
          <t>DATETIME</t>
        </is>
      </c>
      <c r="D40" s="34" t="n"/>
      <c r="E40" s="34" t="inlineStr">
        <is>
          <t>N</t>
        </is>
      </c>
      <c r="F40" s="34" t="inlineStr">
        <is>
          <t>NOW()</t>
        </is>
      </c>
      <c r="G40" s="34" t="inlineStr">
        <is>
          <t>N</t>
        </is>
      </c>
      <c r="H40" s="34" t="n"/>
      <c r="I40" s="34" t="inlineStr">
        <is>
          <t>N</t>
        </is>
      </c>
      <c r="J40" s="34" t="inlineStr">
        <is>
          <t>최초 등록일</t>
        </is>
      </c>
      <c r="K40" s="34" t="inlineStr">
        <is>
          <t>API-004, API-005, API-006, API-007</t>
        </is>
      </c>
      <c r="L40" s="34" t="inlineStr">
        <is>
          <t>확정</t>
        </is>
      </c>
      <c r="M40" s="34" t="n"/>
    </row>
    <row r="41">
      <c r="A41" s="33" t="inlineStr">
        <is>
          <t>members</t>
        </is>
      </c>
      <c r="B41" s="33" t="inlineStr">
        <is>
          <t>created_at</t>
        </is>
      </c>
      <c r="C41" s="33" t="inlineStr">
        <is>
          <t>DATETIME</t>
        </is>
      </c>
      <c r="D41" s="34" t="n"/>
      <c r="E41" s="34" t="inlineStr">
        <is>
          <t>N</t>
        </is>
      </c>
      <c r="F41" s="34" t="inlineStr">
        <is>
          <t>NOW()</t>
        </is>
      </c>
      <c r="G41" s="34" t="inlineStr">
        <is>
          <t>N</t>
        </is>
      </c>
      <c r="H41" s="34" t="n"/>
      <c r="I41" s="34" t="inlineStr">
        <is>
          <t>N</t>
        </is>
      </c>
      <c r="J41" s="34" t="inlineStr">
        <is>
          <t>생성일시</t>
        </is>
      </c>
      <c r="K41" s="34" t="inlineStr">
        <is>
          <t>API-004, API-005, API-006, API-007</t>
        </is>
      </c>
      <c r="L41" s="34" t="inlineStr">
        <is>
          <t>확정</t>
        </is>
      </c>
      <c r="M41" s="34" t="n"/>
    </row>
    <row r="42">
      <c r="A42" s="33" t="inlineStr">
        <is>
          <t>members</t>
        </is>
      </c>
      <c r="B42" s="33" t="inlineStr">
        <is>
          <t>updated_at</t>
        </is>
      </c>
      <c r="C42" s="33" t="inlineStr">
        <is>
          <t>DATETIME</t>
        </is>
      </c>
      <c r="D42" s="34" t="n"/>
      <c r="E42" s="34" t="inlineStr">
        <is>
          <t>Y</t>
        </is>
      </c>
      <c r="F42" s="34" t="inlineStr">
        <is>
          <t>CURRENT_TIMESTAMP</t>
        </is>
      </c>
      <c r="G42" s="34" t="inlineStr">
        <is>
          <t>N</t>
        </is>
      </c>
      <c r="H42" s="34" t="n"/>
      <c r="I42" s="34" t="inlineStr">
        <is>
          <t>N</t>
        </is>
      </c>
      <c r="J42" s="34" t="inlineStr">
        <is>
          <t>수정일시</t>
        </is>
      </c>
      <c r="K42" s="34" t="inlineStr">
        <is>
          <t>API-004, API-005, API-006, API-007</t>
        </is>
      </c>
      <c r="L42" s="34" t="inlineStr">
        <is>
          <t>확정</t>
        </is>
      </c>
      <c r="M42" s="34" t="n"/>
    </row>
    <row r="43">
      <c r="A43" s="33" t="inlineStr">
        <is>
          <t>member_tickets</t>
        </is>
      </c>
      <c r="B43" s="33" t="inlineStr">
        <is>
          <t>id</t>
        </is>
      </c>
      <c r="C43" s="33" t="inlineStr">
        <is>
          <t>BIGINT</t>
        </is>
      </c>
      <c r="D43" s="34" t="n"/>
      <c r="E43" s="34" t="inlineStr">
        <is>
          <t>N</t>
        </is>
      </c>
      <c r="F43" s="34" t="n"/>
      <c r="G43" s="34" t="inlineStr">
        <is>
          <t>Y</t>
        </is>
      </c>
      <c r="H43" s="34" t="n"/>
      <c r="I43" s="34" t="inlineStr">
        <is>
          <t>Y</t>
        </is>
      </c>
      <c r="J43" s="34" t="inlineStr">
        <is>
          <t>이용권 고유 ID</t>
        </is>
      </c>
      <c r="K43" s="34" t="inlineStr">
        <is>
          <t>API-008</t>
        </is>
      </c>
      <c r="L43" s="34" t="inlineStr">
        <is>
          <t>확정</t>
        </is>
      </c>
      <c r="M43" s="34" t="n"/>
    </row>
    <row r="44">
      <c r="A44" s="33" t="inlineStr">
        <is>
          <t>member_tickets</t>
        </is>
      </c>
      <c r="B44" s="33" t="inlineStr">
        <is>
          <t>member_id</t>
        </is>
      </c>
      <c r="C44" s="33" t="inlineStr">
        <is>
          <t>BIGINT</t>
        </is>
      </c>
      <c r="D44" s="34" t="n"/>
      <c r="E44" s="34" t="inlineStr">
        <is>
          <t>N</t>
        </is>
      </c>
      <c r="F44" s="34" t="n"/>
      <c r="G44" s="34" t="inlineStr">
        <is>
          <t>N</t>
        </is>
      </c>
      <c r="H44" s="34" t="inlineStr">
        <is>
          <t>members.id</t>
        </is>
      </c>
      <c r="I44" s="34" t="inlineStr">
        <is>
          <t>Y</t>
        </is>
      </c>
      <c r="J44" s="34" t="inlineStr">
        <is>
          <t>회원 FK</t>
        </is>
      </c>
      <c r="K44" s="34" t="inlineStr">
        <is>
          <t>API-008, API-009</t>
        </is>
      </c>
      <c r="L44" s="34" t="inlineStr">
        <is>
          <t>확정</t>
        </is>
      </c>
      <c r="M44" s="34" t="n"/>
    </row>
    <row r="45">
      <c r="A45" s="33" t="inlineStr">
        <is>
          <t>member_tickets</t>
        </is>
      </c>
      <c r="B45" s="33" t="inlineStr">
        <is>
          <t>branch_id</t>
        </is>
      </c>
      <c r="C45" s="33" t="inlineStr">
        <is>
          <t>BIGINT</t>
        </is>
      </c>
      <c r="D45" s="34" t="n"/>
      <c r="E45" s="34" t="inlineStr">
        <is>
          <t>N</t>
        </is>
      </c>
      <c r="F45" s="34" t="n"/>
      <c r="G45" s="34" t="inlineStr">
        <is>
          <t>N</t>
        </is>
      </c>
      <c r="H45" s="34" t="inlineStr">
        <is>
          <t>branches.id</t>
        </is>
      </c>
      <c r="I45" s="34" t="inlineStr">
        <is>
          <t>Y</t>
        </is>
      </c>
      <c r="J45" s="34" t="inlineStr">
        <is>
          <t>지점 FK</t>
        </is>
      </c>
      <c r="K45" s="34" t="inlineStr">
        <is>
          <t>API-008, API-009</t>
        </is>
      </c>
      <c r="L45" s="34" t="inlineStr">
        <is>
          <t>확정</t>
        </is>
      </c>
      <c r="M45" s="34" t="n"/>
    </row>
    <row r="46">
      <c r="A46" s="33" t="inlineStr">
        <is>
          <t>member_tickets</t>
        </is>
      </c>
      <c r="B46" s="33" t="inlineStr">
        <is>
          <t>product_id</t>
        </is>
      </c>
      <c r="C46" s="33" t="inlineStr">
        <is>
          <t>BIGINT</t>
        </is>
      </c>
      <c r="D46" s="34" t="n"/>
      <c r="E46" s="34" t="inlineStr">
        <is>
          <t>N</t>
        </is>
      </c>
      <c r="F46" s="34" t="n"/>
      <c r="G46" s="34" t="inlineStr">
        <is>
          <t>N</t>
        </is>
      </c>
      <c r="H46" s="34" t="inlineStr">
        <is>
          <t>products.id</t>
        </is>
      </c>
      <c r="I46" s="34" t="inlineStr">
        <is>
          <t>Y</t>
        </is>
      </c>
      <c r="J46" s="34" t="inlineStr">
        <is>
          <t>상품 FK</t>
        </is>
      </c>
      <c r="K46" s="34" t="inlineStr">
        <is>
          <t>API-008, API-009</t>
        </is>
      </c>
      <c r="L46" s="34" t="inlineStr">
        <is>
          <t>확정</t>
        </is>
      </c>
      <c r="M46" s="34" t="n"/>
    </row>
    <row r="47">
      <c r="A47" s="33" t="inlineStr">
        <is>
          <t>member_tickets</t>
        </is>
      </c>
      <c r="B47" s="33" t="inlineStr">
        <is>
          <t>type</t>
        </is>
      </c>
      <c r="C47" s="33" t="inlineStr">
        <is>
          <t>ENUM</t>
        </is>
      </c>
      <c r="D47" s="34" t="n"/>
      <c r="E47" s="34" t="inlineStr">
        <is>
          <t>N</t>
        </is>
      </c>
      <c r="F47" s="34" t="n"/>
      <c r="G47" s="34" t="inlineStr">
        <is>
          <t>N</t>
        </is>
      </c>
      <c r="H47" s="34" t="n"/>
      <c r="I47" s="34" t="inlineStr">
        <is>
          <t>Y</t>
        </is>
      </c>
      <c r="J47" s="34" t="inlineStr">
        <is>
          <t>유형 (period/count/unlimited)</t>
        </is>
      </c>
      <c r="K47" s="34" t="inlineStr">
        <is>
          <t>API-008, API-009</t>
        </is>
      </c>
      <c r="L47" s="34" t="inlineStr">
        <is>
          <t>확정</t>
        </is>
      </c>
      <c r="M47" s="34" t="n"/>
    </row>
    <row r="48">
      <c r="A48" s="33" t="inlineStr">
        <is>
          <t>member_tickets</t>
        </is>
      </c>
      <c r="B48" s="33" t="inlineStr">
        <is>
          <t>start_date</t>
        </is>
      </c>
      <c r="C48" s="33" t="inlineStr">
        <is>
          <t>DATETIME</t>
        </is>
      </c>
      <c r="D48" s="34" t="n"/>
      <c r="E48" s="34" t="inlineStr">
        <is>
          <t>N</t>
        </is>
      </c>
      <c r="F48" s="34" t="n"/>
      <c r="G48" s="34" t="inlineStr">
        <is>
          <t>N</t>
        </is>
      </c>
      <c r="H48" s="34" t="n"/>
      <c r="I48" s="34" t="inlineStr">
        <is>
          <t>Y</t>
        </is>
      </c>
      <c r="J48" s="34" t="inlineStr">
        <is>
          <t>시작일</t>
        </is>
      </c>
      <c r="K48" s="34" t="inlineStr">
        <is>
          <t>API-008, API-009</t>
        </is>
      </c>
      <c r="L48" s="34" t="inlineStr">
        <is>
          <t>확정</t>
        </is>
      </c>
      <c r="M48" s="34" t="n"/>
    </row>
    <row r="49">
      <c r="A49" s="33" t="inlineStr">
        <is>
          <t>member_tickets</t>
        </is>
      </c>
      <c r="B49" s="33" t="inlineStr">
        <is>
          <t>end_date</t>
        </is>
      </c>
      <c r="C49" s="33" t="inlineStr">
        <is>
          <t>DATETIME</t>
        </is>
      </c>
      <c r="D49" s="34" t="n"/>
      <c r="E49" s="34" t="inlineStr">
        <is>
          <t>Y</t>
        </is>
      </c>
      <c r="F49" s="34" t="inlineStr">
        <is>
          <t>NULL</t>
        </is>
      </c>
      <c r="G49" s="34" t="inlineStr">
        <is>
          <t>N</t>
        </is>
      </c>
      <c r="H49" s="34" t="n"/>
      <c r="I49" s="34" t="inlineStr">
        <is>
          <t>Y</t>
        </is>
      </c>
      <c r="J49" s="34" t="inlineStr">
        <is>
          <t>종료일</t>
        </is>
      </c>
      <c r="K49" s="34" t="inlineStr">
        <is>
          <t>API-008, API-009</t>
        </is>
      </c>
      <c r="L49" s="34" t="inlineStr">
        <is>
          <t>확정</t>
        </is>
      </c>
      <c r="M49" s="34" t="n"/>
    </row>
    <row r="50">
      <c r="A50" s="33" t="inlineStr">
        <is>
          <t>member_tickets</t>
        </is>
      </c>
      <c r="B50" s="33" t="inlineStr">
        <is>
          <t>remaining_count</t>
        </is>
      </c>
      <c r="C50" s="33" t="inlineStr">
        <is>
          <t>INT</t>
        </is>
      </c>
      <c r="D50" s="34" t="n"/>
      <c r="E50" s="34" t="inlineStr">
        <is>
          <t>Y</t>
        </is>
      </c>
      <c r="F50" s="34" t="inlineStr">
        <is>
          <t>0</t>
        </is>
      </c>
      <c r="G50" s="34" t="inlineStr">
        <is>
          <t>N</t>
        </is>
      </c>
      <c r="H50" s="34" t="n"/>
      <c r="I50" s="34" t="inlineStr">
        <is>
          <t>N</t>
        </is>
      </c>
      <c r="J50" s="34" t="inlineStr">
        <is>
          <t>잔여 횟수 (횟수제)</t>
        </is>
      </c>
      <c r="K50" s="34" t="inlineStr">
        <is>
          <t>API-008, API-009</t>
        </is>
      </c>
      <c r="L50" s="34" t="inlineStr">
        <is>
          <t>확정</t>
        </is>
      </c>
      <c r="M50" s="34" t="n"/>
    </row>
    <row r="51">
      <c r="A51" s="33" t="inlineStr">
        <is>
          <t>member_tickets</t>
        </is>
      </c>
      <c r="B51" s="33" t="inlineStr">
        <is>
          <t>status</t>
        </is>
      </c>
      <c r="C51" s="33" t="inlineStr">
        <is>
          <t>ENUM</t>
        </is>
      </c>
      <c r="D51" s="34" t="n"/>
      <c r="E51" s="34" t="inlineStr">
        <is>
          <t>N</t>
        </is>
      </c>
      <c r="F51" s="34" t="inlineStr">
        <is>
          <t>active</t>
        </is>
      </c>
      <c r="G51" s="34" t="inlineStr">
        <is>
          <t>N</t>
        </is>
      </c>
      <c r="H51" s="34" t="n"/>
      <c r="I51" s="34" t="inlineStr">
        <is>
          <t>Y</t>
        </is>
      </c>
      <c r="J51" s="34" t="inlineStr">
        <is>
          <t>상태 (active/expired/suspended/cancelled)</t>
        </is>
      </c>
      <c r="K51" s="34" t="inlineStr">
        <is>
          <t>API-008, API-009</t>
        </is>
      </c>
      <c r="L51" s="34" t="inlineStr">
        <is>
          <t>확정</t>
        </is>
      </c>
      <c r="M51" s="34" t="n"/>
    </row>
    <row r="52">
      <c r="A52" s="33" t="inlineStr">
        <is>
          <t>member_tickets</t>
        </is>
      </c>
      <c r="B52" s="33" t="inlineStr">
        <is>
          <t>created_at</t>
        </is>
      </c>
      <c r="C52" s="33" t="inlineStr">
        <is>
          <t>DATETIME</t>
        </is>
      </c>
      <c r="D52" s="34" t="n"/>
      <c r="E52" s="34" t="inlineStr">
        <is>
          <t>N</t>
        </is>
      </c>
      <c r="F52" s="34" t="inlineStr">
        <is>
          <t>NOW()</t>
        </is>
      </c>
      <c r="G52" s="34" t="inlineStr">
        <is>
          <t>N</t>
        </is>
      </c>
      <c r="H52" s="34" t="n"/>
      <c r="I52" s="34" t="inlineStr">
        <is>
          <t>N</t>
        </is>
      </c>
      <c r="J52" s="34" t="inlineStr">
        <is>
          <t>생성일시</t>
        </is>
      </c>
      <c r="K52" s="34" t="inlineStr">
        <is>
          <t>API-008, API-009</t>
        </is>
      </c>
      <c r="L52" s="34" t="inlineStr">
        <is>
          <t>확정</t>
        </is>
      </c>
      <c r="M52" s="34" t="n"/>
    </row>
    <row r="53">
      <c r="A53" s="33" t="inlineStr">
        <is>
          <t>attendance</t>
        </is>
      </c>
      <c r="B53" s="33" t="inlineStr">
        <is>
          <t>id</t>
        </is>
      </c>
      <c r="C53" s="33" t="inlineStr">
        <is>
          <t>BIGINT</t>
        </is>
      </c>
      <c r="D53" s="34" t="n"/>
      <c r="E53" s="34" t="inlineStr">
        <is>
          <t>N</t>
        </is>
      </c>
      <c r="F53" s="34" t="n"/>
      <c r="G53" s="34" t="inlineStr">
        <is>
          <t>Y</t>
        </is>
      </c>
      <c r="H53" s="34" t="n"/>
      <c r="I53" s="34" t="inlineStr">
        <is>
          <t>Y</t>
        </is>
      </c>
      <c r="J53" s="34" t="inlineStr">
        <is>
          <t>출석 고유 ID</t>
        </is>
      </c>
      <c r="K53" s="34" t="inlineStr">
        <is>
          <t>API-013</t>
        </is>
      </c>
      <c r="L53" s="34" t="inlineStr">
        <is>
          <t>확정</t>
        </is>
      </c>
      <c r="M53" s="34" t="n"/>
    </row>
    <row r="54">
      <c r="A54" s="33" t="inlineStr">
        <is>
          <t>attendance</t>
        </is>
      </c>
      <c r="B54" s="33" t="inlineStr">
        <is>
          <t>branch_id</t>
        </is>
      </c>
      <c r="C54" s="33" t="inlineStr">
        <is>
          <t>BIGINT</t>
        </is>
      </c>
      <c r="D54" s="34" t="n"/>
      <c r="E54" s="34" t="inlineStr">
        <is>
          <t>N</t>
        </is>
      </c>
      <c r="F54" s="34" t="n"/>
      <c r="G54" s="34" t="inlineStr">
        <is>
          <t>N</t>
        </is>
      </c>
      <c r="H54" s="34" t="inlineStr">
        <is>
          <t>branches.id</t>
        </is>
      </c>
      <c r="I54" s="34" t="inlineStr">
        <is>
          <t>Y</t>
        </is>
      </c>
      <c r="J54" s="34" t="inlineStr">
        <is>
          <t>지점 FK</t>
        </is>
      </c>
      <c r="K54" s="34" t="inlineStr">
        <is>
          <t>API-012, API-013</t>
        </is>
      </c>
      <c r="L54" s="34" t="inlineStr">
        <is>
          <t>확정</t>
        </is>
      </c>
      <c r="M54" s="34" t="n"/>
    </row>
    <row r="55">
      <c r="A55" s="33" t="inlineStr">
        <is>
          <t>attendance</t>
        </is>
      </c>
      <c r="B55" s="33" t="inlineStr">
        <is>
          <t>member_id</t>
        </is>
      </c>
      <c r="C55" s="33" t="inlineStr">
        <is>
          <t>BIGINT</t>
        </is>
      </c>
      <c r="D55" s="34" t="n"/>
      <c r="E55" s="34" t="inlineStr">
        <is>
          <t>N</t>
        </is>
      </c>
      <c r="F55" s="34" t="n"/>
      <c r="G55" s="34" t="inlineStr">
        <is>
          <t>N</t>
        </is>
      </c>
      <c r="H55" s="34" t="inlineStr">
        <is>
          <t>members.id</t>
        </is>
      </c>
      <c r="I55" s="34" t="inlineStr">
        <is>
          <t>Y</t>
        </is>
      </c>
      <c r="J55" s="34" t="inlineStr">
        <is>
          <t>회원 FK</t>
        </is>
      </c>
      <c r="K55" s="34" t="inlineStr">
        <is>
          <t>API-012, API-013</t>
        </is>
      </c>
      <c r="L55" s="34" t="inlineStr">
        <is>
          <t>확정</t>
        </is>
      </c>
      <c r="M55" s="34" t="n"/>
    </row>
    <row r="56">
      <c r="A56" s="33" t="inlineStr">
        <is>
          <t>attendance</t>
        </is>
      </c>
      <c r="B56" s="33" t="inlineStr">
        <is>
          <t>type</t>
        </is>
      </c>
      <c r="C56" s="33" t="inlineStr">
        <is>
          <t>ENUM</t>
        </is>
      </c>
      <c r="D56" s="34" t="n"/>
      <c r="E56" s="34" t="inlineStr">
        <is>
          <t>N</t>
        </is>
      </c>
      <c r="F56" s="34" t="inlineStr">
        <is>
          <t>normal</t>
        </is>
      </c>
      <c r="G56" s="34" t="inlineStr">
        <is>
          <t>N</t>
        </is>
      </c>
      <c r="H56" s="34" t="n"/>
      <c r="I56" s="34" t="inlineStr">
        <is>
          <t>Y</t>
        </is>
      </c>
      <c r="J56" s="34" t="inlineStr">
        <is>
          <t>출석 유형 (normal/pt/gx)</t>
        </is>
      </c>
      <c r="K56" s="34" t="inlineStr">
        <is>
          <t>API-012, API-013</t>
        </is>
      </c>
      <c r="L56" s="34" t="inlineStr">
        <is>
          <t>확정</t>
        </is>
      </c>
      <c r="M56" s="34" t="n"/>
    </row>
    <row r="57">
      <c r="A57" s="33" t="inlineStr">
        <is>
          <t>attendance</t>
        </is>
      </c>
      <c r="B57" s="33" t="inlineStr">
        <is>
          <t>status</t>
        </is>
      </c>
      <c r="C57" s="33" t="inlineStr">
        <is>
          <t>ENUM</t>
        </is>
      </c>
      <c r="D57" s="34" t="n"/>
      <c r="E57" s="34" t="inlineStr">
        <is>
          <t>N</t>
        </is>
      </c>
      <c r="F57" s="34" t="inlineStr">
        <is>
          <t>checkIn</t>
        </is>
      </c>
      <c r="G57" s="34" t="inlineStr">
        <is>
          <t>N</t>
        </is>
      </c>
      <c r="H57" s="34" t="n"/>
      <c r="I57" s="34" t="inlineStr">
        <is>
          <t>Y</t>
        </is>
      </c>
      <c r="J57" s="34" t="inlineStr">
        <is>
          <t>상태 (checkIn/checkOut)</t>
        </is>
      </c>
      <c r="K57" s="34" t="inlineStr">
        <is>
          <t>API-012, API-013</t>
        </is>
      </c>
      <c r="L57" s="34" t="inlineStr">
        <is>
          <t>확정</t>
        </is>
      </c>
      <c r="M57" s="34" t="n"/>
    </row>
    <row r="58">
      <c r="A58" s="33" t="inlineStr">
        <is>
          <t>attendance</t>
        </is>
      </c>
      <c r="B58" s="33" t="inlineStr">
        <is>
          <t>category</t>
        </is>
      </c>
      <c r="C58" s="33" t="inlineStr">
        <is>
          <t>VARCHAR</t>
        </is>
      </c>
      <c r="D58" s="34" t="n">
        <v>50</v>
      </c>
      <c r="E58" s="34" t="inlineStr">
        <is>
          <t>Y</t>
        </is>
      </c>
      <c r="F58" s="34" t="n"/>
      <c r="G58" s="34" t="inlineStr">
        <is>
          <t>N</t>
        </is>
      </c>
      <c r="H58" s="34" t="n"/>
      <c r="I58" s="34" t="inlineStr">
        <is>
          <t>N</t>
        </is>
      </c>
      <c r="J58" s="34" t="inlineStr">
        <is>
          <t>카테고리</t>
        </is>
      </c>
      <c r="K58" s="34" t="inlineStr">
        <is>
          <t>API-012, API-013</t>
        </is>
      </c>
      <c r="L58" s="34" t="inlineStr">
        <is>
          <t>확정</t>
        </is>
      </c>
      <c r="M58" s="34" t="n"/>
    </row>
    <row r="59">
      <c r="A59" s="33" t="inlineStr">
        <is>
          <t>attendance</t>
        </is>
      </c>
      <c r="B59" s="33" t="inlineStr">
        <is>
          <t>door</t>
        </is>
      </c>
      <c r="C59" s="33" t="inlineStr">
        <is>
          <t>VARCHAR</t>
        </is>
      </c>
      <c r="D59" s="34" t="n">
        <v>50</v>
      </c>
      <c r="E59" s="34" t="inlineStr">
        <is>
          <t>Y</t>
        </is>
      </c>
      <c r="F59" s="34" t="n"/>
      <c r="G59" s="34" t="inlineStr">
        <is>
          <t>N</t>
        </is>
      </c>
      <c r="H59" s="34" t="n"/>
      <c r="I59" s="34" t="inlineStr">
        <is>
          <t>N</t>
        </is>
      </c>
      <c r="J59" s="34" t="inlineStr">
        <is>
          <t>출입문 정보</t>
        </is>
      </c>
      <c r="K59" s="34" t="inlineStr">
        <is>
          <t>API-012, API-013</t>
        </is>
      </c>
      <c r="L59" s="34" t="inlineStr">
        <is>
          <t>확정</t>
        </is>
      </c>
      <c r="M59" s="34" t="n"/>
    </row>
    <row r="60">
      <c r="A60" s="33" t="inlineStr">
        <is>
          <t>attendance</t>
        </is>
      </c>
      <c r="B60" s="33" t="inlineStr">
        <is>
          <t>in_time</t>
        </is>
      </c>
      <c r="C60" s="33" t="inlineStr">
        <is>
          <t>DATETIME</t>
        </is>
      </c>
      <c r="D60" s="34" t="n"/>
      <c r="E60" s="34" t="inlineStr">
        <is>
          <t>N</t>
        </is>
      </c>
      <c r="F60" s="34" t="n"/>
      <c r="G60" s="34" t="inlineStr">
        <is>
          <t>N</t>
        </is>
      </c>
      <c r="H60" s="34" t="n"/>
      <c r="I60" s="34" t="inlineStr">
        <is>
          <t>Y</t>
        </is>
      </c>
      <c r="J60" s="34" t="inlineStr">
        <is>
          <t>입장 시간</t>
        </is>
      </c>
      <c r="K60" s="34" t="inlineStr">
        <is>
          <t>API-012, API-013</t>
        </is>
      </c>
      <c r="L60" s="34" t="inlineStr">
        <is>
          <t>확정</t>
        </is>
      </c>
      <c r="M60" s="34" t="n"/>
    </row>
    <row r="61">
      <c r="A61" s="33" t="inlineStr">
        <is>
          <t>attendance</t>
        </is>
      </c>
      <c r="B61" s="33" t="inlineStr">
        <is>
          <t>out_time</t>
        </is>
      </c>
      <c r="C61" s="33" t="inlineStr">
        <is>
          <t>DATETIME</t>
        </is>
      </c>
      <c r="D61" s="34" t="n"/>
      <c r="E61" s="34" t="inlineStr">
        <is>
          <t>Y</t>
        </is>
      </c>
      <c r="F61" s="34" t="inlineStr">
        <is>
          <t>NULL</t>
        </is>
      </c>
      <c r="G61" s="34" t="inlineStr">
        <is>
          <t>N</t>
        </is>
      </c>
      <c r="H61" s="34" t="n"/>
      <c r="I61" s="34" t="inlineStr">
        <is>
          <t>N</t>
        </is>
      </c>
      <c r="J61" s="34" t="inlineStr">
        <is>
          <t>퇴장 시간</t>
        </is>
      </c>
      <c r="K61" s="34" t="inlineStr">
        <is>
          <t>API-012, API-013</t>
        </is>
      </c>
      <c r="L61" s="34" t="inlineStr">
        <is>
          <t>확정</t>
        </is>
      </c>
      <c r="M61" s="34" t="n"/>
    </row>
    <row r="62">
      <c r="A62" s="33" t="inlineStr">
        <is>
          <t>attendance</t>
        </is>
      </c>
      <c r="B62" s="33" t="inlineStr">
        <is>
          <t>visit_count</t>
        </is>
      </c>
      <c r="C62" s="33" t="inlineStr">
        <is>
          <t>INT</t>
        </is>
      </c>
      <c r="D62" s="34" t="n"/>
      <c r="E62" s="34" t="inlineStr">
        <is>
          <t>N</t>
        </is>
      </c>
      <c r="F62" s="34" t="inlineStr">
        <is>
          <t>1</t>
        </is>
      </c>
      <c r="G62" s="34" t="inlineStr">
        <is>
          <t>N</t>
        </is>
      </c>
      <c r="H62" s="34" t="n"/>
      <c r="I62" s="34" t="inlineStr">
        <is>
          <t>N</t>
        </is>
      </c>
      <c r="J62" s="34" t="inlineStr">
        <is>
          <t>누적 방문 횟수</t>
        </is>
      </c>
      <c r="K62" s="34" t="inlineStr">
        <is>
          <t>API-012, API-013</t>
        </is>
      </c>
      <c r="L62" s="34" t="inlineStr">
        <is>
          <t>확정</t>
        </is>
      </c>
      <c r="M62" s="34" t="n"/>
    </row>
    <row r="63">
      <c r="A63" s="33" t="inlineStr">
        <is>
          <t>attendance</t>
        </is>
      </c>
      <c r="B63" s="33" t="inlineStr">
        <is>
          <t>pass_info</t>
        </is>
      </c>
      <c r="C63" s="33" t="inlineStr">
        <is>
          <t>VARCHAR</t>
        </is>
      </c>
      <c r="D63" s="34" t="n">
        <v>50</v>
      </c>
      <c r="E63" s="34" t="inlineStr">
        <is>
          <t>Y</t>
        </is>
      </c>
      <c r="F63" s="34" t="n"/>
      <c r="G63" s="34" t="inlineStr">
        <is>
          <t>N</t>
        </is>
      </c>
      <c r="H63" s="34" t="n"/>
      <c r="I63" s="34" t="inlineStr">
        <is>
          <t>N</t>
        </is>
      </c>
      <c r="J63" s="34" t="inlineStr">
        <is>
          <t>출입 수단 정보 (RFID/앱 등)</t>
        </is>
      </c>
      <c r="K63" s="34" t="inlineStr">
        <is>
          <t>API-012, API-013</t>
        </is>
      </c>
      <c r="L63" s="34" t="inlineStr">
        <is>
          <t>확정</t>
        </is>
      </c>
      <c r="M63" s="34" t="n"/>
    </row>
    <row r="64">
      <c r="A64" s="33" t="inlineStr">
        <is>
          <t>attendance</t>
        </is>
      </c>
      <c r="B64" s="33" t="inlineStr">
        <is>
          <t>is_other_branch</t>
        </is>
      </c>
      <c r="C64" s="33" t="inlineStr">
        <is>
          <t>BOOLEAN</t>
        </is>
      </c>
      <c r="D64" s="34" t="n"/>
      <c r="E64" s="34" t="inlineStr">
        <is>
          <t>N</t>
        </is>
      </c>
      <c r="F64" s="34" t="inlineStr">
        <is>
          <t>false</t>
        </is>
      </c>
      <c r="G64" s="34" t="inlineStr">
        <is>
          <t>N</t>
        </is>
      </c>
      <c r="H64" s="34" t="n"/>
      <c r="I64" s="34" t="inlineStr">
        <is>
          <t>Y</t>
        </is>
      </c>
      <c r="J64" s="34" t="inlineStr">
        <is>
          <t>타지점 출석 여부</t>
        </is>
      </c>
      <c r="K64" s="34" t="inlineStr">
        <is>
          <t>API-012, API-013</t>
        </is>
      </c>
      <c r="L64" s="34" t="inlineStr">
        <is>
          <t>확정</t>
        </is>
      </c>
      <c r="M64" s="34" t="n"/>
    </row>
    <row r="65">
      <c r="A65" s="33" t="inlineStr">
        <is>
          <t>attendance</t>
        </is>
      </c>
      <c r="B65" s="33" t="inlineStr">
        <is>
          <t>created_at</t>
        </is>
      </c>
      <c r="C65" s="33" t="inlineStr">
        <is>
          <t>DATETIME</t>
        </is>
      </c>
      <c r="D65" s="34" t="n"/>
      <c r="E65" s="34" t="inlineStr">
        <is>
          <t>N</t>
        </is>
      </c>
      <c r="F65" s="34" t="inlineStr">
        <is>
          <t>NOW()</t>
        </is>
      </c>
      <c r="G65" s="34" t="inlineStr">
        <is>
          <t>N</t>
        </is>
      </c>
      <c r="H65" s="34" t="n"/>
      <c r="I65" s="34" t="inlineStr">
        <is>
          <t>N</t>
        </is>
      </c>
      <c r="J65" s="34" t="inlineStr">
        <is>
          <t>생성일시</t>
        </is>
      </c>
      <c r="K65" s="34" t="inlineStr">
        <is>
          <t>API-012, API-013</t>
        </is>
      </c>
      <c r="L65" s="34" t="inlineStr">
        <is>
          <t>확정</t>
        </is>
      </c>
      <c r="M65" s="34" t="n"/>
    </row>
    <row r="66">
      <c r="A66" s="33" t="inlineStr">
        <is>
          <t>sales</t>
        </is>
      </c>
      <c r="B66" s="33" t="inlineStr">
        <is>
          <t>id</t>
        </is>
      </c>
      <c r="C66" s="33" t="inlineStr">
        <is>
          <t>BIGINT</t>
        </is>
      </c>
      <c r="D66" s="34" t="n"/>
      <c r="E66" s="34" t="inlineStr">
        <is>
          <t>N</t>
        </is>
      </c>
      <c r="F66" s="34" t="n"/>
      <c r="G66" s="34" t="inlineStr">
        <is>
          <t>Y</t>
        </is>
      </c>
      <c r="H66" s="34" t="n"/>
      <c r="I66" s="34" t="inlineStr">
        <is>
          <t>Y</t>
        </is>
      </c>
      <c r="J66" s="34" t="inlineStr">
        <is>
          <t>매출 고유 ID</t>
        </is>
      </c>
      <c r="K66" s="34" t="inlineStr">
        <is>
          <t>API-015</t>
        </is>
      </c>
      <c r="L66" s="34" t="inlineStr">
        <is>
          <t>확정</t>
        </is>
      </c>
      <c r="M66" s="34" t="n"/>
    </row>
    <row r="67">
      <c r="A67" s="33" t="inlineStr">
        <is>
          <t>sales</t>
        </is>
      </c>
      <c r="B67" s="33" t="inlineStr">
        <is>
          <t>branch_id</t>
        </is>
      </c>
      <c r="C67" s="33" t="inlineStr">
        <is>
          <t>BIGINT</t>
        </is>
      </c>
      <c r="D67" s="34" t="n"/>
      <c r="E67" s="34" t="inlineStr">
        <is>
          <t>N</t>
        </is>
      </c>
      <c r="F67" s="34" t="n"/>
      <c r="G67" s="34" t="inlineStr">
        <is>
          <t>N</t>
        </is>
      </c>
      <c r="H67" s="34" t="inlineStr">
        <is>
          <t>branches.id</t>
        </is>
      </c>
      <c r="I67" s="34" t="inlineStr">
        <is>
          <t>Y</t>
        </is>
      </c>
      <c r="J67" s="34" t="inlineStr">
        <is>
          <t>지점 FK</t>
        </is>
      </c>
      <c r="K67" s="34" t="inlineStr">
        <is>
          <t>API-036, API-037</t>
        </is>
      </c>
      <c r="L67" s="34" t="inlineStr">
        <is>
          <t>확정</t>
        </is>
      </c>
      <c r="M67" s="34" t="n"/>
    </row>
    <row r="68">
      <c r="A68" s="33" t="inlineStr">
        <is>
          <t>sales</t>
        </is>
      </c>
      <c r="B68" s="33" t="inlineStr">
        <is>
          <t>no</t>
        </is>
      </c>
      <c r="C68" s="33" t="inlineStr">
        <is>
          <t>VARCHAR</t>
        </is>
      </c>
      <c r="D68" s="34" t="n">
        <v>30</v>
      </c>
      <c r="E68" s="34" t="inlineStr">
        <is>
          <t>N</t>
        </is>
      </c>
      <c r="F68" s="34" t="n"/>
      <c r="G68" s="34" t="inlineStr">
        <is>
          <t>N</t>
        </is>
      </c>
      <c r="H68" s="34" t="n"/>
      <c r="I68" s="34" t="inlineStr">
        <is>
          <t>UNIQUE</t>
        </is>
      </c>
      <c r="J68" s="34" t="inlineStr">
        <is>
          <t>매출 번호 (R + 날짜 + 순번)</t>
        </is>
      </c>
      <c r="K68" s="34" t="inlineStr">
        <is>
          <t>API-036, API-037</t>
        </is>
      </c>
      <c r="L68" s="34" t="inlineStr">
        <is>
          <t>확정</t>
        </is>
      </c>
      <c r="M68" s="34" t="n"/>
    </row>
    <row r="69">
      <c r="A69" s="33" t="inlineStr">
        <is>
          <t>sales</t>
        </is>
      </c>
      <c r="B69" s="33" t="inlineStr">
        <is>
          <t>purchase_date</t>
        </is>
      </c>
      <c r="C69" s="33" t="inlineStr">
        <is>
          <t>DATETIME</t>
        </is>
      </c>
      <c r="D69" s="34" t="n"/>
      <c r="E69" s="34" t="inlineStr">
        <is>
          <t>N</t>
        </is>
      </c>
      <c r="F69" s="34" t="n"/>
      <c r="G69" s="34" t="inlineStr">
        <is>
          <t>N</t>
        </is>
      </c>
      <c r="H69" s="34" t="n"/>
      <c r="I69" s="34" t="inlineStr">
        <is>
          <t>Y</t>
        </is>
      </c>
      <c r="J69" s="34" t="inlineStr">
        <is>
          <t>결제 일시</t>
        </is>
      </c>
      <c r="K69" s="34" t="inlineStr">
        <is>
          <t>API-036, API-037</t>
        </is>
      </c>
      <c r="L69" s="34" t="inlineStr">
        <is>
          <t>확정</t>
        </is>
      </c>
      <c r="M69" s="34" t="n"/>
    </row>
    <row r="70">
      <c r="A70" s="33" t="inlineStr">
        <is>
          <t>sales</t>
        </is>
      </c>
      <c r="B70" s="33" t="inlineStr">
        <is>
          <t>type</t>
        </is>
      </c>
      <c r="C70" s="33" t="inlineStr">
        <is>
          <t>VARCHAR</t>
        </is>
      </c>
      <c r="D70" s="34" t="n">
        <v>50</v>
      </c>
      <c r="E70" s="34" t="inlineStr">
        <is>
          <t>N</t>
        </is>
      </c>
      <c r="F70" s="34" t="n"/>
      <c r="G70" s="34" t="inlineStr">
        <is>
          <t>N</t>
        </is>
      </c>
      <c r="H70" s="34" t="n"/>
      <c r="I70" s="34" t="inlineStr">
        <is>
          <t>Y</t>
        </is>
      </c>
      <c r="J70" s="34" t="inlineStr">
        <is>
          <t>매출 유형 (membership/pt/gx/product/etc)</t>
        </is>
      </c>
      <c r="K70" s="34" t="inlineStr">
        <is>
          <t>API-036, API-037</t>
        </is>
      </c>
      <c r="L70" s="34" t="inlineStr">
        <is>
          <t>확정</t>
        </is>
      </c>
      <c r="M70" s="34" t="n"/>
    </row>
    <row r="71">
      <c r="A71" s="33" t="inlineStr">
        <is>
          <t>sales</t>
        </is>
      </c>
      <c r="B71" s="33" t="inlineStr">
        <is>
          <t>product_name</t>
        </is>
      </c>
      <c r="C71" s="33" t="inlineStr">
        <is>
          <t>VARCHAR</t>
        </is>
      </c>
      <c r="D71" s="34" t="n">
        <v>100</v>
      </c>
      <c r="E71" s="34" t="inlineStr">
        <is>
          <t>N</t>
        </is>
      </c>
      <c r="F71" s="34" t="n"/>
      <c r="G71" s="34" t="inlineStr">
        <is>
          <t>N</t>
        </is>
      </c>
      <c r="H71" s="34" t="n"/>
      <c r="I71" s="34" t="inlineStr">
        <is>
          <t>N</t>
        </is>
      </c>
      <c r="J71" s="34" t="inlineStr">
        <is>
          <t>상품명</t>
        </is>
      </c>
      <c r="K71" s="34" t="inlineStr">
        <is>
          <t>API-036, API-037</t>
        </is>
      </c>
      <c r="L71" s="34" t="inlineStr">
        <is>
          <t>확정</t>
        </is>
      </c>
      <c r="M71" s="34" t="n"/>
    </row>
    <row r="72">
      <c r="A72" s="33" t="inlineStr">
        <is>
          <t>sales</t>
        </is>
      </c>
      <c r="B72" s="33" t="inlineStr">
        <is>
          <t>manager_id</t>
        </is>
      </c>
      <c r="C72" s="33" t="inlineStr">
        <is>
          <t>BIGINT</t>
        </is>
      </c>
      <c r="D72" s="34" t="n"/>
      <c r="E72" s="34" t="inlineStr">
        <is>
          <t>Y</t>
        </is>
      </c>
      <c r="F72" s="34" t="inlineStr">
        <is>
          <t>NULL</t>
        </is>
      </c>
      <c r="G72" s="34" t="inlineStr">
        <is>
          <t>N</t>
        </is>
      </c>
      <c r="H72" s="34" t="inlineStr">
        <is>
          <t>users.id</t>
        </is>
      </c>
      <c r="I72" s="34" t="inlineStr">
        <is>
          <t>Y</t>
        </is>
      </c>
      <c r="J72" s="34" t="inlineStr">
        <is>
          <t>담당자 FK</t>
        </is>
      </c>
      <c r="K72" s="34" t="inlineStr">
        <is>
          <t>API-036, API-037</t>
        </is>
      </c>
      <c r="L72" s="34" t="inlineStr">
        <is>
          <t>확정</t>
        </is>
      </c>
      <c r="M72" s="34" t="n"/>
    </row>
    <row r="73">
      <c r="A73" s="33" t="inlineStr">
        <is>
          <t>sales</t>
        </is>
      </c>
      <c r="B73" s="33" t="inlineStr">
        <is>
          <t>buyer_id</t>
        </is>
      </c>
      <c r="C73" s="33" t="inlineStr">
        <is>
          <t>BIGINT</t>
        </is>
      </c>
      <c r="D73" s="34" t="n"/>
      <c r="E73" s="34" t="inlineStr">
        <is>
          <t>Y</t>
        </is>
      </c>
      <c r="F73" s="34" t="inlineStr">
        <is>
          <t>NULL</t>
        </is>
      </c>
      <c r="G73" s="34" t="inlineStr">
        <is>
          <t>N</t>
        </is>
      </c>
      <c r="H73" s="34" t="inlineStr">
        <is>
          <t>members.id</t>
        </is>
      </c>
      <c r="I73" s="34" t="inlineStr">
        <is>
          <t>Y</t>
        </is>
      </c>
      <c r="J73" s="34" t="inlineStr">
        <is>
          <t>구매 회원 FK</t>
        </is>
      </c>
      <c r="K73" s="34" t="inlineStr">
        <is>
          <t>API-036, API-037</t>
        </is>
      </c>
      <c r="L73" s="34" t="inlineStr">
        <is>
          <t>확정</t>
        </is>
      </c>
      <c r="M73" s="34" t="n"/>
    </row>
    <row r="74">
      <c r="A74" s="33" t="inlineStr">
        <is>
          <t>sales</t>
        </is>
      </c>
      <c r="B74" s="33" t="inlineStr">
        <is>
          <t>quantity</t>
        </is>
      </c>
      <c r="C74" s="33" t="inlineStr">
        <is>
          <t>INT</t>
        </is>
      </c>
      <c r="D74" s="34" t="n"/>
      <c r="E74" s="34" t="inlineStr">
        <is>
          <t>N</t>
        </is>
      </c>
      <c r="F74" s="34" t="inlineStr">
        <is>
          <t>1</t>
        </is>
      </c>
      <c r="G74" s="34" t="inlineStr">
        <is>
          <t>N</t>
        </is>
      </c>
      <c r="H74" s="34" t="n"/>
      <c r="I74" s="34" t="inlineStr">
        <is>
          <t>N</t>
        </is>
      </c>
      <c r="J74" s="34" t="inlineStr">
        <is>
          <t>수량</t>
        </is>
      </c>
      <c r="K74" s="34" t="inlineStr">
        <is>
          <t>API-036, API-037</t>
        </is>
      </c>
      <c r="L74" s="34" t="inlineStr">
        <is>
          <t>확정</t>
        </is>
      </c>
      <c r="M74" s="34" t="n"/>
    </row>
    <row r="75">
      <c r="A75" s="33" t="inlineStr">
        <is>
          <t>sales</t>
        </is>
      </c>
      <c r="B75" s="33" t="inlineStr">
        <is>
          <t>original_price</t>
        </is>
      </c>
      <c r="C75" s="33" t="inlineStr">
        <is>
          <t>INT</t>
        </is>
      </c>
      <c r="D75" s="34" t="n"/>
      <c r="E75" s="34" t="inlineStr">
        <is>
          <t>N</t>
        </is>
      </c>
      <c r="F75" s="34" t="inlineStr">
        <is>
          <t>0</t>
        </is>
      </c>
      <c r="G75" s="34" t="inlineStr">
        <is>
          <t>N</t>
        </is>
      </c>
      <c r="H75" s="34" t="n"/>
      <c r="I75" s="34" t="inlineStr">
        <is>
          <t>N</t>
        </is>
      </c>
      <c r="J75" s="34" t="inlineStr">
        <is>
          <t>원가</t>
        </is>
      </c>
      <c r="K75" s="34" t="inlineStr">
        <is>
          <t>API-036, API-037</t>
        </is>
      </c>
      <c r="L75" s="34" t="inlineStr">
        <is>
          <t>확정</t>
        </is>
      </c>
      <c r="M75" s="34" t="n"/>
    </row>
    <row r="76">
      <c r="A76" s="33" t="inlineStr">
        <is>
          <t>sales</t>
        </is>
      </c>
      <c r="B76" s="33" t="inlineStr">
        <is>
          <t>sale_price</t>
        </is>
      </c>
      <c r="C76" s="33" t="inlineStr">
        <is>
          <t>INT</t>
        </is>
      </c>
      <c r="D76" s="34" t="n"/>
      <c r="E76" s="34" t="inlineStr">
        <is>
          <t>N</t>
        </is>
      </c>
      <c r="F76" s="34" t="inlineStr">
        <is>
          <t>0</t>
        </is>
      </c>
      <c r="G76" s="34" t="inlineStr">
        <is>
          <t>N</t>
        </is>
      </c>
      <c r="H76" s="34" t="n"/>
      <c r="I76" s="34" t="inlineStr">
        <is>
          <t>N</t>
        </is>
      </c>
      <c r="J76" s="34" t="inlineStr">
        <is>
          <t>판매가</t>
        </is>
      </c>
      <c r="K76" s="34" t="inlineStr">
        <is>
          <t>API-036, API-037</t>
        </is>
      </c>
      <c r="L76" s="34" t="inlineStr">
        <is>
          <t>확정</t>
        </is>
      </c>
      <c r="M76" s="34" t="n"/>
    </row>
    <row r="77">
      <c r="A77" s="33" t="inlineStr">
        <is>
          <t>sales</t>
        </is>
      </c>
      <c r="B77" s="33" t="inlineStr">
        <is>
          <t>discount_price</t>
        </is>
      </c>
      <c r="C77" s="33" t="inlineStr">
        <is>
          <t>INT</t>
        </is>
      </c>
      <c r="D77" s="34" t="n"/>
      <c r="E77" s="34" t="inlineStr">
        <is>
          <t>N</t>
        </is>
      </c>
      <c r="F77" s="34" t="inlineStr">
        <is>
          <t>0</t>
        </is>
      </c>
      <c r="G77" s="34" t="inlineStr">
        <is>
          <t>N</t>
        </is>
      </c>
      <c r="H77" s="34" t="n"/>
      <c r="I77" s="34" t="inlineStr">
        <is>
          <t>N</t>
        </is>
      </c>
      <c r="J77" s="34" t="inlineStr">
        <is>
          <t>할인 금액</t>
        </is>
      </c>
      <c r="K77" s="34" t="inlineStr">
        <is>
          <t>API-036, API-037</t>
        </is>
      </c>
      <c r="L77" s="34" t="inlineStr">
        <is>
          <t>확정</t>
        </is>
      </c>
      <c r="M77" s="34" t="n"/>
    </row>
    <row r="78">
      <c r="A78" s="33" t="inlineStr">
        <is>
          <t>sales</t>
        </is>
      </c>
      <c r="B78" s="33" t="inlineStr">
        <is>
          <t>payment_method</t>
        </is>
      </c>
      <c r="C78" s="33" t="inlineStr">
        <is>
          <t>VARCHAR</t>
        </is>
      </c>
      <c r="D78" s="34" t="n">
        <v>20</v>
      </c>
      <c r="E78" s="34" t="inlineStr">
        <is>
          <t>N</t>
        </is>
      </c>
      <c r="F78" s="34" t="n"/>
      <c r="G78" s="34" t="inlineStr">
        <is>
          <t>N</t>
        </is>
      </c>
      <c r="H78" s="34" t="n"/>
      <c r="I78" s="34" t="inlineStr">
        <is>
          <t>Y</t>
        </is>
      </c>
      <c r="J78" s="34" t="inlineStr">
        <is>
          <t>결제수단 (cash/card/mileage/mixed)</t>
        </is>
      </c>
      <c r="K78" s="34" t="inlineStr">
        <is>
          <t>API-036, API-037</t>
        </is>
      </c>
      <c r="L78" s="34" t="inlineStr">
        <is>
          <t>확정</t>
        </is>
      </c>
      <c r="M78" s="34" t="n"/>
    </row>
    <row r="79">
      <c r="A79" s="33" t="inlineStr">
        <is>
          <t>sales</t>
        </is>
      </c>
      <c r="B79" s="33" t="inlineStr">
        <is>
          <t>cash</t>
        </is>
      </c>
      <c r="C79" s="33" t="inlineStr">
        <is>
          <t>INT</t>
        </is>
      </c>
      <c r="D79" s="34" t="n"/>
      <c r="E79" s="34" t="inlineStr">
        <is>
          <t>N</t>
        </is>
      </c>
      <c r="F79" s="34" t="inlineStr">
        <is>
          <t>0</t>
        </is>
      </c>
      <c r="G79" s="34" t="inlineStr">
        <is>
          <t>N</t>
        </is>
      </c>
      <c r="H79" s="34" t="n"/>
      <c r="I79" s="34" t="inlineStr">
        <is>
          <t>N</t>
        </is>
      </c>
      <c r="J79" s="34" t="inlineStr">
        <is>
          <t>현금 결제액</t>
        </is>
      </c>
      <c r="K79" s="34" t="inlineStr">
        <is>
          <t>API-036, API-037</t>
        </is>
      </c>
      <c r="L79" s="34" t="inlineStr">
        <is>
          <t>확정</t>
        </is>
      </c>
      <c r="M79" s="34" t="n"/>
    </row>
    <row r="80">
      <c r="A80" s="33" t="inlineStr">
        <is>
          <t>sales</t>
        </is>
      </c>
      <c r="B80" s="33" t="inlineStr">
        <is>
          <t>card</t>
        </is>
      </c>
      <c r="C80" s="33" t="inlineStr">
        <is>
          <t>INT</t>
        </is>
      </c>
      <c r="D80" s="34" t="n"/>
      <c r="E80" s="34" t="inlineStr">
        <is>
          <t>N</t>
        </is>
      </c>
      <c r="F80" s="34" t="inlineStr">
        <is>
          <t>0</t>
        </is>
      </c>
      <c r="G80" s="34" t="inlineStr">
        <is>
          <t>N</t>
        </is>
      </c>
      <c r="H80" s="34" t="n"/>
      <c r="I80" s="34" t="inlineStr">
        <is>
          <t>N</t>
        </is>
      </c>
      <c r="J80" s="34" t="inlineStr">
        <is>
          <t>카드 결제액</t>
        </is>
      </c>
      <c r="K80" s="34" t="inlineStr">
        <is>
          <t>API-036, API-037</t>
        </is>
      </c>
      <c r="L80" s="34" t="inlineStr">
        <is>
          <t>확정</t>
        </is>
      </c>
      <c r="M80" s="34" t="n"/>
    </row>
    <row r="81">
      <c r="A81" s="33" t="inlineStr">
        <is>
          <t>sales</t>
        </is>
      </c>
      <c r="B81" s="33" t="inlineStr">
        <is>
          <t>mileage</t>
        </is>
      </c>
      <c r="C81" s="33" t="inlineStr">
        <is>
          <t>INT</t>
        </is>
      </c>
      <c r="D81" s="34" t="n"/>
      <c r="E81" s="34" t="inlineStr">
        <is>
          <t>N</t>
        </is>
      </c>
      <c r="F81" s="34" t="inlineStr">
        <is>
          <t>0</t>
        </is>
      </c>
      <c r="G81" s="34" t="inlineStr">
        <is>
          <t>N</t>
        </is>
      </c>
      <c r="H81" s="34" t="n"/>
      <c r="I81" s="34" t="inlineStr">
        <is>
          <t>N</t>
        </is>
      </c>
      <c r="J81" s="34" t="inlineStr">
        <is>
          <t>마일리지 결제액</t>
        </is>
      </c>
      <c r="K81" s="34" t="inlineStr">
        <is>
          <t>API-036, API-037</t>
        </is>
      </c>
      <c r="L81" s="34" t="inlineStr">
        <is>
          <t>확정</t>
        </is>
      </c>
      <c r="M81" s="34" t="n"/>
    </row>
    <row r="82">
      <c r="A82" s="33" t="inlineStr">
        <is>
          <t>sales</t>
        </is>
      </c>
      <c r="B82" s="33" t="inlineStr">
        <is>
          <t>card_company</t>
        </is>
      </c>
      <c r="C82" s="33" t="inlineStr">
        <is>
          <t>VARCHAR</t>
        </is>
      </c>
      <c r="D82" s="34" t="n">
        <v>50</v>
      </c>
      <c r="E82" s="34" t="inlineStr">
        <is>
          <t>Y</t>
        </is>
      </c>
      <c r="F82" s="34" t="n"/>
      <c r="G82" s="34" t="inlineStr">
        <is>
          <t>N</t>
        </is>
      </c>
      <c r="H82" s="34" t="n"/>
      <c r="I82" s="34" t="inlineStr">
        <is>
          <t>N</t>
        </is>
      </c>
      <c r="J82" s="34" t="inlineStr">
        <is>
          <t>카드사</t>
        </is>
      </c>
      <c r="K82" s="34" t="inlineStr">
        <is>
          <t>API-036, API-037</t>
        </is>
      </c>
      <c r="L82" s="34" t="inlineStr">
        <is>
          <t>확정</t>
        </is>
      </c>
      <c r="M82" s="34" t="n"/>
    </row>
    <row r="83">
      <c r="A83" s="33" t="inlineStr">
        <is>
          <t>sales</t>
        </is>
      </c>
      <c r="B83" s="33" t="inlineStr">
        <is>
          <t>card_number</t>
        </is>
      </c>
      <c r="C83" s="33" t="inlineStr">
        <is>
          <t>VARCHAR</t>
        </is>
      </c>
      <c r="D83" s="34" t="n">
        <v>20</v>
      </c>
      <c r="E83" s="34" t="inlineStr">
        <is>
          <t>Y</t>
        </is>
      </c>
      <c r="F83" s="34" t="n"/>
      <c r="G83" s="34" t="inlineStr">
        <is>
          <t>N</t>
        </is>
      </c>
      <c r="H83" s="34" t="n"/>
      <c r="I83" s="34" t="inlineStr">
        <is>
          <t>N</t>
        </is>
      </c>
      <c r="J83" s="34" t="inlineStr">
        <is>
          <t>카드번호 (마스킹)</t>
        </is>
      </c>
      <c r="K83" s="34" t="inlineStr">
        <is>
          <t>API-036, API-037</t>
        </is>
      </c>
      <c r="L83" s="34" t="inlineStr">
        <is>
          <t>확정</t>
        </is>
      </c>
      <c r="M83" s="34" t="n"/>
    </row>
    <row r="84">
      <c r="A84" s="33" t="inlineStr">
        <is>
          <t>sales</t>
        </is>
      </c>
      <c r="B84" s="33" t="inlineStr">
        <is>
          <t>approval_no</t>
        </is>
      </c>
      <c r="C84" s="33" t="inlineStr">
        <is>
          <t>VARCHAR</t>
        </is>
      </c>
      <c r="D84" s="34" t="n">
        <v>30</v>
      </c>
      <c r="E84" s="34" t="inlineStr">
        <is>
          <t>Y</t>
        </is>
      </c>
      <c r="F84" s="34" t="n"/>
      <c r="G84" s="34" t="inlineStr">
        <is>
          <t>N</t>
        </is>
      </c>
      <c r="H84" s="34" t="n"/>
      <c r="I84" s="34" t="inlineStr">
        <is>
          <t>N</t>
        </is>
      </c>
      <c r="J84" s="34" t="inlineStr">
        <is>
          <t>승인번호</t>
        </is>
      </c>
      <c r="K84" s="34" t="inlineStr">
        <is>
          <t>API-036, API-037</t>
        </is>
      </c>
      <c r="L84" s="34" t="inlineStr">
        <is>
          <t>확정</t>
        </is>
      </c>
      <c r="M84" s="34" t="n"/>
    </row>
    <row r="85">
      <c r="A85" s="33" t="inlineStr">
        <is>
          <t>sales</t>
        </is>
      </c>
      <c r="B85" s="33" t="inlineStr">
        <is>
          <t>unpaid</t>
        </is>
      </c>
      <c r="C85" s="33" t="inlineStr">
        <is>
          <t>INT</t>
        </is>
      </c>
      <c r="D85" s="34" t="n"/>
      <c r="E85" s="34" t="inlineStr">
        <is>
          <t>N</t>
        </is>
      </c>
      <c r="F85" s="34" t="inlineStr">
        <is>
          <t>0</t>
        </is>
      </c>
      <c r="G85" s="34" t="inlineStr">
        <is>
          <t>N</t>
        </is>
      </c>
      <c r="H85" s="34" t="n"/>
      <c r="I85" s="34" t="inlineStr">
        <is>
          <t>N</t>
        </is>
      </c>
      <c r="J85" s="34" t="inlineStr">
        <is>
          <t>미납 금액</t>
        </is>
      </c>
      <c r="K85" s="34" t="inlineStr">
        <is>
          <t>API-036, API-037</t>
        </is>
      </c>
      <c r="L85" s="34" t="inlineStr">
        <is>
          <t>확정</t>
        </is>
      </c>
      <c r="M85" s="34" t="n"/>
    </row>
    <row r="86">
      <c r="A86" s="33" t="inlineStr">
        <is>
          <t>sales</t>
        </is>
      </c>
      <c r="B86" s="33" t="inlineStr">
        <is>
          <t>status</t>
        </is>
      </c>
      <c r="C86" s="33" t="inlineStr">
        <is>
          <t>ENUM</t>
        </is>
      </c>
      <c r="D86" s="34" t="n"/>
      <c r="E86" s="34" t="inlineStr">
        <is>
          <t>N</t>
        </is>
      </c>
      <c r="F86" s="34" t="inlineStr">
        <is>
          <t>completed</t>
        </is>
      </c>
      <c r="G86" s="34" t="inlineStr">
        <is>
          <t>N</t>
        </is>
      </c>
      <c r="H86" s="34" t="n"/>
      <c r="I86" s="34" t="inlineStr">
        <is>
          <t>Y</t>
        </is>
      </c>
      <c r="J86" s="34" t="inlineStr">
        <is>
          <t>상태 (completed/refunded/partial_refund/unpaid)</t>
        </is>
      </c>
      <c r="K86" s="34" t="inlineStr">
        <is>
          <t>API-036, API-037</t>
        </is>
      </c>
      <c r="L86" s="34" t="inlineStr">
        <is>
          <t>확정</t>
        </is>
      </c>
      <c r="M86" s="34" t="n"/>
    </row>
    <row r="87">
      <c r="A87" s="33" t="inlineStr">
        <is>
          <t>sales</t>
        </is>
      </c>
      <c r="B87" s="33" t="inlineStr">
        <is>
          <t>category</t>
        </is>
      </c>
      <c r="C87" s="33" t="inlineStr">
        <is>
          <t>VARCHAR</t>
        </is>
      </c>
      <c r="D87" s="34" t="n">
        <v>50</v>
      </c>
      <c r="E87" s="34" t="inlineStr">
        <is>
          <t>Y</t>
        </is>
      </c>
      <c r="F87" s="34" t="n"/>
      <c r="G87" s="34" t="inlineStr">
        <is>
          <t>N</t>
        </is>
      </c>
      <c r="H87" s="34" t="n"/>
      <c r="I87" s="34" t="inlineStr">
        <is>
          <t>N</t>
        </is>
      </c>
      <c r="J87" s="34" t="inlineStr">
        <is>
          <t>매출 카테고리</t>
        </is>
      </c>
      <c r="K87" s="34" t="inlineStr">
        <is>
          <t>API-036, API-037</t>
        </is>
      </c>
      <c r="L87" s="34" t="inlineStr">
        <is>
          <t>확정</t>
        </is>
      </c>
      <c r="M87" s="34" t="n"/>
    </row>
    <row r="88">
      <c r="A88" s="33" t="inlineStr">
        <is>
          <t>sales</t>
        </is>
      </c>
      <c r="B88" s="33" t="inlineStr">
        <is>
          <t>memo</t>
        </is>
      </c>
      <c r="C88" s="33" t="inlineStr">
        <is>
          <t>TEXT</t>
        </is>
      </c>
      <c r="D88" s="34" t="n"/>
      <c r="E88" s="34" t="inlineStr">
        <is>
          <t>Y</t>
        </is>
      </c>
      <c r="F88" s="34" t="n"/>
      <c r="G88" s="34" t="inlineStr">
        <is>
          <t>N</t>
        </is>
      </c>
      <c r="H88" s="34" t="n"/>
      <c r="I88" s="34" t="inlineStr">
        <is>
          <t>N</t>
        </is>
      </c>
      <c r="J88" s="34" t="inlineStr">
        <is>
          <t>메모</t>
        </is>
      </c>
      <c r="K88" s="34" t="inlineStr">
        <is>
          <t>API-036, API-037</t>
        </is>
      </c>
      <c r="L88" s="34" t="inlineStr">
        <is>
          <t>확정</t>
        </is>
      </c>
      <c r="M88" s="34" t="n"/>
    </row>
    <row r="89">
      <c r="A89" s="33" t="inlineStr">
        <is>
          <t>sales</t>
        </is>
      </c>
      <c r="B89" s="33" t="inlineStr">
        <is>
          <t>created_at</t>
        </is>
      </c>
      <c r="C89" s="33" t="inlineStr">
        <is>
          <t>DATETIME</t>
        </is>
      </c>
      <c r="D89" s="34" t="n"/>
      <c r="E89" s="34" t="inlineStr">
        <is>
          <t>N</t>
        </is>
      </c>
      <c r="F89" s="34" t="inlineStr">
        <is>
          <t>NOW()</t>
        </is>
      </c>
      <c r="G89" s="34" t="inlineStr">
        <is>
          <t>N</t>
        </is>
      </c>
      <c r="H89" s="34" t="n"/>
      <c r="I89" s="34" t="inlineStr">
        <is>
          <t>N</t>
        </is>
      </c>
      <c r="J89" s="34" t="inlineStr">
        <is>
          <t>생성일시</t>
        </is>
      </c>
      <c r="K89" s="34" t="inlineStr">
        <is>
          <t>API-036, API-037</t>
        </is>
      </c>
      <c r="L89" s="34" t="inlineStr">
        <is>
          <t>확정</t>
        </is>
      </c>
      <c r="M89" s="34" t="n"/>
    </row>
    <row r="90">
      <c r="A90" s="33" t="inlineStr">
        <is>
          <t>products</t>
        </is>
      </c>
      <c r="B90" s="33" t="inlineStr">
        <is>
          <t>id</t>
        </is>
      </c>
      <c r="C90" s="33" t="inlineStr">
        <is>
          <t>BIGINT</t>
        </is>
      </c>
      <c r="D90" s="34" t="n"/>
      <c r="E90" s="34" t="inlineStr">
        <is>
          <t>N</t>
        </is>
      </c>
      <c r="F90" s="34" t="n"/>
      <c r="G90" s="34" t="inlineStr">
        <is>
          <t>Y</t>
        </is>
      </c>
      <c r="H90" s="34" t="n"/>
      <c r="I90" s="34" t="inlineStr">
        <is>
          <t>Y</t>
        </is>
      </c>
      <c r="J90" s="34" t="inlineStr">
        <is>
          <t>상품 고유 ID</t>
        </is>
      </c>
      <c r="K90" s="34" t="inlineStr">
        <is>
          <t>API-018</t>
        </is>
      </c>
      <c r="L90" s="34" t="inlineStr">
        <is>
          <t>확정</t>
        </is>
      </c>
      <c r="M90" s="34" t="n"/>
    </row>
    <row r="91">
      <c r="A91" s="33" t="inlineStr">
        <is>
          <t>products</t>
        </is>
      </c>
      <c r="B91" s="33" t="inlineStr">
        <is>
          <t>branch_id</t>
        </is>
      </c>
      <c r="C91" s="33" t="inlineStr">
        <is>
          <t>BIGINT</t>
        </is>
      </c>
      <c r="D91" s="34" t="n"/>
      <c r="E91" s="34" t="inlineStr">
        <is>
          <t>N</t>
        </is>
      </c>
      <c r="F91" s="34" t="n"/>
      <c r="G91" s="34" t="inlineStr">
        <is>
          <t>N</t>
        </is>
      </c>
      <c r="H91" s="34" t="inlineStr">
        <is>
          <t>branches.id</t>
        </is>
      </c>
      <c r="I91" s="34" t="inlineStr">
        <is>
          <t>Y</t>
        </is>
      </c>
      <c r="J91" s="34" t="inlineStr">
        <is>
          <t>지점 FK</t>
        </is>
      </c>
      <c r="K91" s="34" t="inlineStr">
        <is>
          <t>API-016, API-017, API-018</t>
        </is>
      </c>
      <c r="L91" s="34" t="inlineStr">
        <is>
          <t>확정</t>
        </is>
      </c>
      <c r="M91" s="34" t="n"/>
    </row>
    <row r="92">
      <c r="A92" s="33" t="inlineStr">
        <is>
          <t>products</t>
        </is>
      </c>
      <c r="B92" s="33" t="inlineStr">
        <is>
          <t>category</t>
        </is>
      </c>
      <c r="C92" s="33" t="inlineStr">
        <is>
          <t>VARCHAR</t>
        </is>
      </c>
      <c r="D92" s="34" t="n">
        <v>50</v>
      </c>
      <c r="E92" s="34" t="inlineStr">
        <is>
          <t>N</t>
        </is>
      </c>
      <c r="F92" s="34" t="n"/>
      <c r="G92" s="34" t="inlineStr">
        <is>
          <t>N</t>
        </is>
      </c>
      <c r="H92" s="34" t="n"/>
      <c r="I92" s="34" t="inlineStr">
        <is>
          <t>Y</t>
        </is>
      </c>
      <c r="J92" s="34" t="inlineStr">
        <is>
          <t>대분류 카테고리</t>
        </is>
      </c>
      <c r="K92" s="34" t="inlineStr">
        <is>
          <t>API-016, API-017, API-018</t>
        </is>
      </c>
      <c r="L92" s="34" t="inlineStr">
        <is>
          <t>확정</t>
        </is>
      </c>
      <c r="M92" s="34" t="n"/>
    </row>
    <row r="93">
      <c r="A93" s="33" t="inlineStr">
        <is>
          <t>products</t>
        </is>
      </c>
      <c r="B93" s="33" t="inlineStr">
        <is>
          <t>category_key</t>
        </is>
      </c>
      <c r="C93" s="33" t="inlineStr">
        <is>
          <t>ENUM</t>
        </is>
      </c>
      <c r="D93" s="34" t="n"/>
      <c r="E93" s="34" t="inlineStr">
        <is>
          <t>N</t>
        </is>
      </c>
      <c r="F93" s="34" t="n"/>
      <c r="G93" s="34" t="inlineStr">
        <is>
          <t>N</t>
        </is>
      </c>
      <c r="H93" s="34" t="n"/>
      <c r="I93" s="34" t="inlineStr">
        <is>
          <t>Y</t>
        </is>
      </c>
      <c r="J93" s="34" t="inlineStr">
        <is>
          <t>카테고리 키 (membership/pt/gx/etc)</t>
        </is>
      </c>
      <c r="K93" s="34" t="inlineStr">
        <is>
          <t>API-016, API-017, API-018</t>
        </is>
      </c>
      <c r="L93" s="34" t="inlineStr">
        <is>
          <t>확정</t>
        </is>
      </c>
      <c r="M93" s="34" t="n"/>
    </row>
    <row r="94">
      <c r="A94" s="33" t="inlineStr">
        <is>
          <t>products</t>
        </is>
      </c>
      <c r="B94" s="33" t="inlineStr">
        <is>
          <t>sub_category</t>
        </is>
      </c>
      <c r="C94" s="33" t="inlineStr">
        <is>
          <t>VARCHAR</t>
        </is>
      </c>
      <c r="D94" s="34" t="n">
        <v>50</v>
      </c>
      <c r="E94" s="34" t="inlineStr">
        <is>
          <t>Y</t>
        </is>
      </c>
      <c r="F94" s="34" t="n"/>
      <c r="G94" s="34" t="inlineStr">
        <is>
          <t>N</t>
        </is>
      </c>
      <c r="H94" s="34" t="n"/>
      <c r="I94" s="34" t="inlineStr">
        <is>
          <t>N</t>
        </is>
      </c>
      <c r="J94" s="34" t="inlineStr">
        <is>
          <t>소분류</t>
        </is>
      </c>
      <c r="K94" s="34" t="inlineStr">
        <is>
          <t>API-016, API-017, API-018</t>
        </is>
      </c>
      <c r="L94" s="34" t="inlineStr">
        <is>
          <t>확정</t>
        </is>
      </c>
      <c r="M94" s="34" t="n"/>
    </row>
    <row r="95">
      <c r="A95" s="33" t="inlineStr">
        <is>
          <t>products</t>
        </is>
      </c>
      <c r="B95" s="33" t="inlineStr">
        <is>
          <t>name</t>
        </is>
      </c>
      <c r="C95" s="33" t="inlineStr">
        <is>
          <t>VARCHAR</t>
        </is>
      </c>
      <c r="D95" s="34" t="n">
        <v>100</v>
      </c>
      <c r="E95" s="34" t="inlineStr">
        <is>
          <t>N</t>
        </is>
      </c>
      <c r="F95" s="34" t="n"/>
      <c r="G95" s="34" t="inlineStr">
        <is>
          <t>N</t>
        </is>
      </c>
      <c r="H95" s="34" t="n"/>
      <c r="I95" s="34" t="inlineStr">
        <is>
          <t>Y</t>
        </is>
      </c>
      <c r="J95" s="34" t="inlineStr">
        <is>
          <t>상품명</t>
        </is>
      </c>
      <c r="K95" s="34" t="inlineStr">
        <is>
          <t>API-016, API-017, API-018</t>
        </is>
      </c>
      <c r="L95" s="34" t="inlineStr">
        <is>
          <t>확정</t>
        </is>
      </c>
      <c r="M95" s="34" t="n"/>
    </row>
    <row r="96">
      <c r="A96" s="33" t="inlineStr">
        <is>
          <t>products</t>
        </is>
      </c>
      <c r="B96" s="33" t="inlineStr">
        <is>
          <t>cash_price</t>
        </is>
      </c>
      <c r="C96" s="33" t="inlineStr">
        <is>
          <t>INT</t>
        </is>
      </c>
      <c r="D96" s="34" t="n"/>
      <c r="E96" s="34" t="inlineStr">
        <is>
          <t>N</t>
        </is>
      </c>
      <c r="F96" s="34" t="inlineStr">
        <is>
          <t>0</t>
        </is>
      </c>
      <c r="G96" s="34" t="inlineStr">
        <is>
          <t>N</t>
        </is>
      </c>
      <c r="H96" s="34" t="n"/>
      <c r="I96" s="34" t="inlineStr">
        <is>
          <t>N</t>
        </is>
      </c>
      <c r="J96" s="34" t="inlineStr">
        <is>
          <t>현금가</t>
        </is>
      </c>
      <c r="K96" s="34" t="inlineStr">
        <is>
          <t>API-016, API-017, API-018</t>
        </is>
      </c>
      <c r="L96" s="34" t="inlineStr">
        <is>
          <t>확정</t>
        </is>
      </c>
      <c r="M96" s="34" t="n"/>
    </row>
    <row r="97">
      <c r="A97" s="33" t="inlineStr">
        <is>
          <t>products</t>
        </is>
      </c>
      <c r="B97" s="33" t="inlineStr">
        <is>
          <t>card_price</t>
        </is>
      </c>
      <c r="C97" s="33" t="inlineStr">
        <is>
          <t>INT</t>
        </is>
      </c>
      <c r="D97" s="34" t="n"/>
      <c r="E97" s="34" t="inlineStr">
        <is>
          <t>N</t>
        </is>
      </c>
      <c r="F97" s="34" t="inlineStr">
        <is>
          <t>0</t>
        </is>
      </c>
      <c r="G97" s="34" t="inlineStr">
        <is>
          <t>N</t>
        </is>
      </c>
      <c r="H97" s="34" t="n"/>
      <c r="I97" s="34" t="inlineStr">
        <is>
          <t>N</t>
        </is>
      </c>
      <c r="J97" s="34" t="inlineStr">
        <is>
          <t>카드가</t>
        </is>
      </c>
      <c r="K97" s="34" t="inlineStr">
        <is>
          <t>API-016, API-017, API-018</t>
        </is>
      </c>
      <c r="L97" s="34" t="inlineStr">
        <is>
          <t>확정</t>
        </is>
      </c>
      <c r="M97" s="34" t="n"/>
    </row>
    <row r="98">
      <c r="A98" s="33" t="inlineStr">
        <is>
          <t>products</t>
        </is>
      </c>
      <c r="B98" s="33" t="inlineStr">
        <is>
          <t>period</t>
        </is>
      </c>
      <c r="C98" s="33" t="inlineStr">
        <is>
          <t>INT</t>
        </is>
      </c>
      <c r="D98" s="34" t="n"/>
      <c r="E98" s="34" t="inlineStr">
        <is>
          <t>Y</t>
        </is>
      </c>
      <c r="F98" s="34" t="inlineStr">
        <is>
          <t>NULL</t>
        </is>
      </c>
      <c r="G98" s="34" t="inlineStr">
        <is>
          <t>N</t>
        </is>
      </c>
      <c r="H98" s="34" t="n"/>
      <c r="I98" s="34" t="inlineStr">
        <is>
          <t>N</t>
        </is>
      </c>
      <c r="J98" s="34" t="inlineStr">
        <is>
          <t>이용 기간 (일수)</t>
        </is>
      </c>
      <c r="K98" s="34" t="inlineStr">
        <is>
          <t>API-016, API-017, API-018</t>
        </is>
      </c>
      <c r="L98" s="34" t="inlineStr">
        <is>
          <t>확정</t>
        </is>
      </c>
      <c r="M98" s="34" t="n"/>
    </row>
    <row r="99">
      <c r="A99" s="33" t="inlineStr">
        <is>
          <t>products</t>
        </is>
      </c>
      <c r="B99" s="33" t="inlineStr">
        <is>
          <t>kiosk_exposure</t>
        </is>
      </c>
      <c r="C99" s="33" t="inlineStr">
        <is>
          <t>BOOLEAN</t>
        </is>
      </c>
      <c r="D99" s="34" t="n"/>
      <c r="E99" s="34" t="inlineStr">
        <is>
          <t>N</t>
        </is>
      </c>
      <c r="F99" s="34" t="inlineStr">
        <is>
          <t>true</t>
        </is>
      </c>
      <c r="G99" s="34" t="inlineStr">
        <is>
          <t>N</t>
        </is>
      </c>
      <c r="H99" s="34" t="n"/>
      <c r="I99" s="34" t="inlineStr">
        <is>
          <t>N</t>
        </is>
      </c>
      <c r="J99" s="34" t="inlineStr">
        <is>
          <t>키오스크 노출 여부</t>
        </is>
      </c>
      <c r="K99" s="34" t="inlineStr">
        <is>
          <t>API-016, API-017, API-018</t>
        </is>
      </c>
      <c r="L99" s="34" t="inlineStr">
        <is>
          <t>확정</t>
        </is>
      </c>
      <c r="M99" s="34" t="n"/>
    </row>
    <row r="100">
      <c r="A100" s="33" t="inlineStr">
        <is>
          <t>products</t>
        </is>
      </c>
      <c r="B100" s="33" t="inlineStr">
        <is>
          <t>status</t>
        </is>
      </c>
      <c r="C100" s="33" t="inlineStr">
        <is>
          <t>ENUM</t>
        </is>
      </c>
      <c r="D100" s="34" t="n"/>
      <c r="E100" s="34" t="inlineStr">
        <is>
          <t>N</t>
        </is>
      </c>
      <c r="F100" s="34" t="inlineStr">
        <is>
          <t>active</t>
        </is>
      </c>
      <c r="G100" s="34" t="inlineStr">
        <is>
          <t>N</t>
        </is>
      </c>
      <c r="H100" s="34" t="n"/>
      <c r="I100" s="34" t="inlineStr">
        <is>
          <t>Y</t>
        </is>
      </c>
      <c r="J100" s="34" t="inlineStr">
        <is>
          <t>상태 (active/inactive)</t>
        </is>
      </c>
      <c r="K100" s="34" t="inlineStr">
        <is>
          <t>API-016, API-017, API-018</t>
        </is>
      </c>
      <c r="L100" s="34" t="inlineStr">
        <is>
          <t>확정</t>
        </is>
      </c>
      <c r="M100" s="34" t="n"/>
    </row>
    <row r="101">
      <c r="A101" s="33" t="inlineStr">
        <is>
          <t>products</t>
        </is>
      </c>
      <c r="B101" s="33" t="inlineStr">
        <is>
          <t>created_at</t>
        </is>
      </c>
      <c r="C101" s="33" t="inlineStr">
        <is>
          <t>DATETIME</t>
        </is>
      </c>
      <c r="D101" s="34" t="n"/>
      <c r="E101" s="34" t="inlineStr">
        <is>
          <t>N</t>
        </is>
      </c>
      <c r="F101" s="34" t="inlineStr">
        <is>
          <t>NOW()</t>
        </is>
      </c>
      <c r="G101" s="34" t="inlineStr">
        <is>
          <t>N</t>
        </is>
      </c>
      <c r="H101" s="34" t="n"/>
      <c r="I101" s="34" t="inlineStr">
        <is>
          <t>N</t>
        </is>
      </c>
      <c r="J101" s="34" t="inlineStr">
        <is>
          <t>생성일시</t>
        </is>
      </c>
      <c r="K101" s="34" t="inlineStr">
        <is>
          <t>API-016, API-017, API-018</t>
        </is>
      </c>
      <c r="L101" s="34" t="inlineStr">
        <is>
          <t>확정</t>
        </is>
      </c>
      <c r="M101" s="34" t="n"/>
    </row>
    <row r="102">
      <c r="A102" s="33" t="inlineStr">
        <is>
          <t>products</t>
        </is>
      </c>
      <c r="B102" s="33" t="inlineStr">
        <is>
          <t>updated_at</t>
        </is>
      </c>
      <c r="C102" s="33" t="inlineStr">
        <is>
          <t>DATETIME</t>
        </is>
      </c>
      <c r="D102" s="34" t="n"/>
      <c r="E102" s="34" t="inlineStr">
        <is>
          <t>Y</t>
        </is>
      </c>
      <c r="F102" s="34" t="inlineStr">
        <is>
          <t>CURRENT_TIMESTAMP</t>
        </is>
      </c>
      <c r="G102" s="34" t="inlineStr">
        <is>
          <t>N</t>
        </is>
      </c>
      <c r="H102" s="34" t="n"/>
      <c r="I102" s="34" t="inlineStr">
        <is>
          <t>N</t>
        </is>
      </c>
      <c r="J102" s="34" t="inlineStr">
        <is>
          <t>수정일시</t>
        </is>
      </c>
      <c r="K102" s="34" t="inlineStr">
        <is>
          <t>API-016, API-017, API-018</t>
        </is>
      </c>
      <c r="L102" s="34" t="inlineStr">
        <is>
          <t>확정</t>
        </is>
      </c>
      <c r="M102" s="34" t="n"/>
    </row>
    <row r="103">
      <c r="A103" s="33" t="inlineStr">
        <is>
          <t>staff</t>
        </is>
      </c>
      <c r="B103" s="33" t="inlineStr">
        <is>
          <t>id</t>
        </is>
      </c>
      <c r="C103" s="33" t="inlineStr">
        <is>
          <t>BIGINT</t>
        </is>
      </c>
      <c r="D103" s="34" t="n"/>
      <c r="E103" s="34" t="inlineStr">
        <is>
          <t>N</t>
        </is>
      </c>
      <c r="F103" s="34" t="n"/>
      <c r="G103" s="34" t="inlineStr">
        <is>
          <t>Y</t>
        </is>
      </c>
      <c r="H103" s="34" t="n"/>
      <c r="I103" s="34" t="inlineStr">
        <is>
          <t>Y</t>
        </is>
      </c>
      <c r="J103" s="34" t="inlineStr">
        <is>
          <t>직원 고유 ID</t>
        </is>
      </c>
      <c r="K103" s="34" t="inlineStr">
        <is>
          <t>API-022</t>
        </is>
      </c>
      <c r="L103" s="34" t="inlineStr">
        <is>
          <t>확정</t>
        </is>
      </c>
      <c r="M103" s="34" t="n"/>
    </row>
    <row r="104">
      <c r="A104" s="33" t="inlineStr">
        <is>
          <t>staff</t>
        </is>
      </c>
      <c r="B104" s="33" t="inlineStr">
        <is>
          <t>branch_id</t>
        </is>
      </c>
      <c r="C104" s="33" t="inlineStr">
        <is>
          <t>BIGINT</t>
        </is>
      </c>
      <c r="D104" s="34" t="n"/>
      <c r="E104" s="34" t="inlineStr">
        <is>
          <t>N</t>
        </is>
      </c>
      <c r="F104" s="34" t="n"/>
      <c r="G104" s="34" t="inlineStr">
        <is>
          <t>N</t>
        </is>
      </c>
      <c r="H104" s="34" t="inlineStr">
        <is>
          <t>branches.id</t>
        </is>
      </c>
      <c r="I104" s="34" t="inlineStr">
        <is>
          <t>Y</t>
        </is>
      </c>
      <c r="J104" s="34" t="inlineStr">
        <is>
          <t>지점 FK</t>
        </is>
      </c>
      <c r="K104" s="34" t="inlineStr">
        <is>
          <t>API-030, API-031, API-032</t>
        </is>
      </c>
      <c r="L104" s="34" t="inlineStr">
        <is>
          <t>확정</t>
        </is>
      </c>
      <c r="M104" s="34" t="n"/>
    </row>
    <row r="105">
      <c r="A105" s="33" t="inlineStr">
        <is>
          <t>staff</t>
        </is>
      </c>
      <c r="B105" s="33" t="inlineStr">
        <is>
          <t>name</t>
        </is>
      </c>
      <c r="C105" s="33" t="inlineStr">
        <is>
          <t>VARCHAR</t>
        </is>
      </c>
      <c r="D105" s="34" t="n">
        <v>50</v>
      </c>
      <c r="E105" s="34" t="inlineStr">
        <is>
          <t>N</t>
        </is>
      </c>
      <c r="F105" s="34" t="n"/>
      <c r="G105" s="34" t="inlineStr">
        <is>
          <t>N</t>
        </is>
      </c>
      <c r="H105" s="34" t="n"/>
      <c r="I105" s="34" t="inlineStr">
        <is>
          <t>Y</t>
        </is>
      </c>
      <c r="J105" s="34" t="inlineStr">
        <is>
          <t>직원 이름</t>
        </is>
      </c>
      <c r="K105" s="34" t="inlineStr">
        <is>
          <t>API-030, API-031, API-032</t>
        </is>
      </c>
      <c r="L105" s="34" t="inlineStr">
        <is>
          <t>확정</t>
        </is>
      </c>
      <c r="M105" s="34" t="n"/>
    </row>
    <row r="106">
      <c r="A106" s="33" t="inlineStr">
        <is>
          <t>staff</t>
        </is>
      </c>
      <c r="B106" s="33" t="inlineStr">
        <is>
          <t>gender</t>
        </is>
      </c>
      <c r="C106" s="33" t="inlineStr">
        <is>
          <t>ENUM</t>
        </is>
      </c>
      <c r="D106" s="34" t="n"/>
      <c r="E106" s="34" t="inlineStr">
        <is>
          <t>Y</t>
        </is>
      </c>
      <c r="F106" s="34" t="n"/>
      <c r="G106" s="34" t="inlineStr">
        <is>
          <t>N</t>
        </is>
      </c>
      <c r="H106" s="34" t="n"/>
      <c r="I106" s="34" t="inlineStr">
        <is>
          <t>N</t>
        </is>
      </c>
      <c r="J106" s="34" t="inlineStr">
        <is>
          <t>성별 (M/F)</t>
        </is>
      </c>
      <c r="K106" s="34" t="inlineStr">
        <is>
          <t>API-030, API-031, API-032</t>
        </is>
      </c>
      <c r="L106" s="34" t="inlineStr">
        <is>
          <t>확정</t>
        </is>
      </c>
      <c r="M106" s="34" t="n"/>
    </row>
    <row r="107">
      <c r="A107" s="33" t="inlineStr">
        <is>
          <t>staff</t>
        </is>
      </c>
      <c r="B107" s="33" t="inlineStr">
        <is>
          <t>contact</t>
        </is>
      </c>
      <c r="C107" s="33" t="inlineStr">
        <is>
          <t>VARCHAR</t>
        </is>
      </c>
      <c r="D107" s="34" t="n">
        <v>20</v>
      </c>
      <c r="E107" s="34" t="inlineStr">
        <is>
          <t>Y</t>
        </is>
      </c>
      <c r="F107" s="34" t="n"/>
      <c r="G107" s="34" t="inlineStr">
        <is>
          <t>N</t>
        </is>
      </c>
      <c r="H107" s="34" t="n"/>
      <c r="I107" s="34" t="inlineStr">
        <is>
          <t>N</t>
        </is>
      </c>
      <c r="J107" s="34" t="inlineStr">
        <is>
          <t>연락처</t>
        </is>
      </c>
      <c r="K107" s="34" t="inlineStr">
        <is>
          <t>API-030, API-031, API-032</t>
        </is>
      </c>
      <c r="L107" s="34" t="inlineStr">
        <is>
          <t>확정</t>
        </is>
      </c>
      <c r="M107" s="34" t="n"/>
    </row>
    <row r="108">
      <c r="A108" s="33" t="inlineStr">
        <is>
          <t>staff</t>
        </is>
      </c>
      <c r="B108" s="33" t="inlineStr">
        <is>
          <t>role</t>
        </is>
      </c>
      <c r="C108" s="33" t="inlineStr">
        <is>
          <t>ENUM</t>
        </is>
      </c>
      <c r="D108" s="34" t="n"/>
      <c r="E108" s="34" t="inlineStr">
        <is>
          <t>N</t>
        </is>
      </c>
      <c r="F108" s="34" t="n"/>
      <c r="G108" s="34" t="inlineStr">
        <is>
          <t>N</t>
        </is>
      </c>
      <c r="H108" s="34" t="n"/>
      <c r="I108" s="34" t="inlineStr">
        <is>
          <t>Y</t>
        </is>
      </c>
      <c r="J108" s="34" t="inlineStr">
        <is>
          <t>역할 (center_manager/manager/fc/staff)</t>
        </is>
      </c>
      <c r="K108" s="34" t="inlineStr">
        <is>
          <t>API-030, API-031, API-032</t>
        </is>
      </c>
      <c r="L108" s="34" t="inlineStr">
        <is>
          <t>확정</t>
        </is>
      </c>
      <c r="M108" s="34" t="n"/>
    </row>
    <row r="109">
      <c r="A109" s="33" t="inlineStr">
        <is>
          <t>staff</t>
        </is>
      </c>
      <c r="B109" s="33" t="inlineStr">
        <is>
          <t>job_group</t>
        </is>
      </c>
      <c r="C109" s="33" t="inlineStr">
        <is>
          <t>VARCHAR</t>
        </is>
      </c>
      <c r="D109" s="34" t="n">
        <v>50</v>
      </c>
      <c r="E109" s="34" t="inlineStr">
        <is>
          <t>Y</t>
        </is>
      </c>
      <c r="F109" s="34" t="n"/>
      <c r="G109" s="34" t="inlineStr">
        <is>
          <t>N</t>
        </is>
      </c>
      <c r="H109" s="34" t="n"/>
      <c r="I109" s="34" t="inlineStr">
        <is>
          <t>N</t>
        </is>
      </c>
      <c r="J109" s="34" t="inlineStr">
        <is>
          <t>직무 그룹</t>
        </is>
      </c>
      <c r="K109" s="34" t="inlineStr">
        <is>
          <t>API-030, API-031, API-032</t>
        </is>
      </c>
      <c r="L109" s="34" t="inlineStr">
        <is>
          <t>확정</t>
        </is>
      </c>
      <c r="M109" s="34" t="n"/>
    </row>
    <row r="110">
      <c r="A110" s="33" t="inlineStr">
        <is>
          <t>staff</t>
        </is>
      </c>
      <c r="B110" s="33" t="inlineStr">
        <is>
          <t>position</t>
        </is>
      </c>
      <c r="C110" s="33" t="inlineStr">
        <is>
          <t>VARCHAR</t>
        </is>
      </c>
      <c r="D110" s="34" t="n">
        <v>50</v>
      </c>
      <c r="E110" s="34" t="inlineStr">
        <is>
          <t>Y</t>
        </is>
      </c>
      <c r="F110" s="34" t="n"/>
      <c r="G110" s="34" t="inlineStr">
        <is>
          <t>N</t>
        </is>
      </c>
      <c r="H110" s="34" t="n"/>
      <c r="I110" s="34" t="inlineStr">
        <is>
          <t>N</t>
        </is>
      </c>
      <c r="J110" s="34" t="inlineStr">
        <is>
          <t>직위</t>
        </is>
      </c>
      <c r="K110" s="34" t="inlineStr">
        <is>
          <t>API-030, API-031, API-032</t>
        </is>
      </c>
      <c r="L110" s="34" t="inlineStr">
        <is>
          <t>확정</t>
        </is>
      </c>
      <c r="M110" s="34" t="n"/>
    </row>
    <row r="111">
      <c r="A111" s="33" t="inlineStr">
        <is>
          <t>staff</t>
        </is>
      </c>
      <c r="B111" s="33" t="inlineStr">
        <is>
          <t>team</t>
        </is>
      </c>
      <c r="C111" s="33" t="inlineStr">
        <is>
          <t>VARCHAR</t>
        </is>
      </c>
      <c r="D111" s="34" t="n">
        <v>50</v>
      </c>
      <c r="E111" s="34" t="inlineStr">
        <is>
          <t>Y</t>
        </is>
      </c>
      <c r="F111" s="34" t="n"/>
      <c r="G111" s="34" t="inlineStr">
        <is>
          <t>N</t>
        </is>
      </c>
      <c r="H111" s="34" t="n"/>
      <c r="I111" s="34" t="inlineStr">
        <is>
          <t>N</t>
        </is>
      </c>
      <c r="J111" s="34" t="inlineStr">
        <is>
          <t>소속 팀</t>
        </is>
      </c>
      <c r="K111" s="34" t="inlineStr">
        <is>
          <t>API-030, API-031, API-032</t>
        </is>
      </c>
      <c r="L111" s="34" t="inlineStr">
        <is>
          <t>확정</t>
        </is>
      </c>
      <c r="M111" s="34" t="n"/>
    </row>
    <row r="112">
      <c r="A112" s="33" t="inlineStr">
        <is>
          <t>staff</t>
        </is>
      </c>
      <c r="B112" s="33" t="inlineStr">
        <is>
          <t>join_date</t>
        </is>
      </c>
      <c r="C112" s="33" t="inlineStr">
        <is>
          <t>DATETIME</t>
        </is>
      </c>
      <c r="D112" s="34" t="n"/>
      <c r="E112" s="34" t="inlineStr">
        <is>
          <t>N</t>
        </is>
      </c>
      <c r="F112" s="34" t="n"/>
      <c r="G112" s="34" t="inlineStr">
        <is>
          <t>N</t>
        </is>
      </c>
      <c r="H112" s="34" t="n"/>
      <c r="I112" s="34" t="inlineStr">
        <is>
          <t>Y</t>
        </is>
      </c>
      <c r="J112" s="34" t="inlineStr">
        <is>
          <t>입사일</t>
        </is>
      </c>
      <c r="K112" s="34" t="inlineStr">
        <is>
          <t>API-030, API-031, API-032</t>
        </is>
      </c>
      <c r="L112" s="34" t="inlineStr">
        <is>
          <t>확정</t>
        </is>
      </c>
      <c r="M112" s="34" t="n"/>
    </row>
    <row r="113">
      <c r="A113" s="33" t="inlineStr">
        <is>
          <t>staff</t>
        </is>
      </c>
      <c r="B113" s="33" t="inlineStr">
        <is>
          <t>admin_id</t>
        </is>
      </c>
      <c r="C113" s="33" t="inlineStr">
        <is>
          <t>VARCHAR</t>
        </is>
      </c>
      <c r="D113" s="34" t="n">
        <v>50</v>
      </c>
      <c r="E113" s="34" t="inlineStr">
        <is>
          <t>Y</t>
        </is>
      </c>
      <c r="F113" s="34" t="n"/>
      <c r="G113" s="34" t="inlineStr">
        <is>
          <t>N</t>
        </is>
      </c>
      <c r="H113" s="34" t="n"/>
      <c r="I113" s="34" t="inlineStr">
        <is>
          <t>UNIQUE</t>
        </is>
      </c>
      <c r="J113" s="34" t="inlineStr">
        <is>
          <t>관리자 계정 ID</t>
        </is>
      </c>
      <c r="K113" s="34" t="inlineStr">
        <is>
          <t>API-030, API-031, API-032</t>
        </is>
      </c>
      <c r="L113" s="34" t="inlineStr">
        <is>
          <t>확정</t>
        </is>
      </c>
      <c r="M113" s="34" t="n"/>
    </row>
    <row r="114">
      <c r="A114" s="33" t="inlineStr">
        <is>
          <t>staff</t>
        </is>
      </c>
      <c r="B114" s="33" t="inlineStr">
        <is>
          <t>memo</t>
        </is>
      </c>
      <c r="C114" s="33" t="inlineStr">
        <is>
          <t>TEXT</t>
        </is>
      </c>
      <c r="D114" s="34" t="n"/>
      <c r="E114" s="34" t="inlineStr">
        <is>
          <t>Y</t>
        </is>
      </c>
      <c r="F114" s="34" t="n"/>
      <c r="G114" s="34" t="inlineStr">
        <is>
          <t>N</t>
        </is>
      </c>
      <c r="H114" s="34" t="n"/>
      <c r="I114" s="34" t="inlineStr">
        <is>
          <t>N</t>
        </is>
      </c>
      <c r="J114" s="34" t="inlineStr">
        <is>
          <t>메모</t>
        </is>
      </c>
      <c r="K114" s="34" t="inlineStr">
        <is>
          <t>API-030, API-031, API-032</t>
        </is>
      </c>
      <c r="L114" s="34" t="inlineStr">
        <is>
          <t>확정</t>
        </is>
      </c>
      <c r="M114" s="34" t="n"/>
    </row>
    <row r="115">
      <c r="A115" s="33" t="inlineStr">
        <is>
          <t>staff</t>
        </is>
      </c>
      <c r="B115" s="33" t="inlineStr">
        <is>
          <t>work_type</t>
        </is>
      </c>
      <c r="C115" s="33" t="inlineStr">
        <is>
          <t>ENUM</t>
        </is>
      </c>
      <c r="D115" s="34" t="n"/>
      <c r="E115" s="34" t="inlineStr">
        <is>
          <t>N</t>
        </is>
      </c>
      <c r="F115" s="34" t="inlineStr">
        <is>
          <t>full</t>
        </is>
      </c>
      <c r="G115" s="34" t="inlineStr">
        <is>
          <t>N</t>
        </is>
      </c>
      <c r="H115" s="34" t="n"/>
      <c r="I115" s="34" t="inlineStr">
        <is>
          <t>N</t>
        </is>
      </c>
      <c r="J115" s="34" t="inlineStr">
        <is>
          <t>근무 유형 (full/part)</t>
        </is>
      </c>
      <c r="K115" s="34" t="inlineStr">
        <is>
          <t>API-030, API-031, API-032</t>
        </is>
      </c>
      <c r="L115" s="34" t="inlineStr">
        <is>
          <t>확정</t>
        </is>
      </c>
      <c r="M115" s="34" t="n"/>
    </row>
    <row r="116">
      <c r="A116" s="33" t="inlineStr">
        <is>
          <t>staff</t>
        </is>
      </c>
      <c r="B116" s="33" t="inlineStr">
        <is>
          <t>status</t>
        </is>
      </c>
      <c r="C116" s="33" t="inlineStr">
        <is>
          <t>ENUM</t>
        </is>
      </c>
      <c r="D116" s="34" t="n"/>
      <c r="E116" s="34" t="inlineStr">
        <is>
          <t>N</t>
        </is>
      </c>
      <c r="F116" s="34" t="inlineStr">
        <is>
          <t>active</t>
        </is>
      </c>
      <c r="G116" s="34" t="inlineStr">
        <is>
          <t>N</t>
        </is>
      </c>
      <c r="H116" s="34" t="n"/>
      <c r="I116" s="34" t="inlineStr">
        <is>
          <t>Y</t>
        </is>
      </c>
      <c r="J116" s="34" t="inlineStr">
        <is>
          <t>상태 (active/leave/resigned)</t>
        </is>
      </c>
      <c r="K116" s="34" t="inlineStr">
        <is>
          <t>API-030, API-031, API-032</t>
        </is>
      </c>
      <c r="L116" s="34" t="inlineStr">
        <is>
          <t>확정</t>
        </is>
      </c>
      <c r="M116" s="34" t="n"/>
    </row>
    <row r="117">
      <c r="A117" s="33" t="inlineStr">
        <is>
          <t>staff</t>
        </is>
      </c>
      <c r="B117" s="33" t="inlineStr">
        <is>
          <t>created_at</t>
        </is>
      </c>
      <c r="C117" s="33" t="inlineStr">
        <is>
          <t>DATETIME</t>
        </is>
      </c>
      <c r="D117" s="34" t="n"/>
      <c r="E117" s="34" t="inlineStr">
        <is>
          <t>N</t>
        </is>
      </c>
      <c r="F117" s="34" t="inlineStr">
        <is>
          <t>NOW()</t>
        </is>
      </c>
      <c r="G117" s="34" t="inlineStr">
        <is>
          <t>N</t>
        </is>
      </c>
      <c r="H117" s="34" t="n"/>
      <c r="I117" s="34" t="inlineStr">
        <is>
          <t>N</t>
        </is>
      </c>
      <c r="J117" s="34" t="inlineStr">
        <is>
          <t>생성일시</t>
        </is>
      </c>
      <c r="K117" s="34" t="inlineStr">
        <is>
          <t>API-030, API-031, API-032</t>
        </is>
      </c>
      <c r="L117" s="34" t="inlineStr">
        <is>
          <t>확정</t>
        </is>
      </c>
      <c r="M117" s="34" t="n"/>
    </row>
    <row r="118">
      <c r="A118" s="33" t="inlineStr">
        <is>
          <t>staff_attendance</t>
        </is>
      </c>
      <c r="B118" s="33" t="inlineStr">
        <is>
          <t>id</t>
        </is>
      </c>
      <c r="C118" s="33" t="inlineStr">
        <is>
          <t>BIGINT</t>
        </is>
      </c>
      <c r="D118" s="34" t="n"/>
      <c r="E118" s="34" t="inlineStr">
        <is>
          <t>N</t>
        </is>
      </c>
      <c r="F118" s="34" t="n"/>
      <c r="G118" s="34" t="inlineStr">
        <is>
          <t>Y</t>
        </is>
      </c>
      <c r="H118" s="34" t="n"/>
      <c r="I118" s="34" t="inlineStr">
        <is>
          <t>Y</t>
        </is>
      </c>
      <c r="J118" s="34" t="inlineStr">
        <is>
          <t>직원 출근 고유 ID</t>
        </is>
      </c>
      <c r="K118" s="34" t="inlineStr">
        <is>
          <t>API-026</t>
        </is>
      </c>
      <c r="L118" s="34" t="inlineStr">
        <is>
          <t>확정</t>
        </is>
      </c>
      <c r="M118" s="34" t="n"/>
    </row>
    <row r="119">
      <c r="A119" s="33" t="inlineStr">
        <is>
          <t>staff_attendance</t>
        </is>
      </c>
      <c r="B119" s="33" t="inlineStr">
        <is>
          <t>staff_id</t>
        </is>
      </c>
      <c r="C119" s="33" t="inlineStr">
        <is>
          <t>BIGINT</t>
        </is>
      </c>
      <c r="D119" s="34" t="n"/>
      <c r="E119" s="34" t="inlineStr">
        <is>
          <t>N</t>
        </is>
      </c>
      <c r="F119" s="34" t="n"/>
      <c r="G119" s="34" t="inlineStr">
        <is>
          <t>N</t>
        </is>
      </c>
      <c r="H119" s="34" t="inlineStr">
        <is>
          <t>staff.id</t>
        </is>
      </c>
      <c r="I119" s="34" t="inlineStr">
        <is>
          <t>Y</t>
        </is>
      </c>
      <c r="J119" s="34" t="inlineStr">
        <is>
          <t>직원 FK</t>
        </is>
      </c>
      <c r="K119" s="34" t="inlineStr">
        <is>
          <t>API-033</t>
        </is>
      </c>
      <c r="L119" s="34" t="inlineStr">
        <is>
          <t>확정</t>
        </is>
      </c>
      <c r="M119" s="34" t="n"/>
    </row>
    <row r="120">
      <c r="A120" s="33" t="inlineStr">
        <is>
          <t>staff_attendance</t>
        </is>
      </c>
      <c r="B120" s="33" t="inlineStr">
        <is>
          <t>branch_id</t>
        </is>
      </c>
      <c r="C120" s="33" t="inlineStr">
        <is>
          <t>BIGINT</t>
        </is>
      </c>
      <c r="D120" s="34" t="n"/>
      <c r="E120" s="34" t="inlineStr">
        <is>
          <t>N</t>
        </is>
      </c>
      <c r="F120" s="34" t="n"/>
      <c r="G120" s="34" t="inlineStr">
        <is>
          <t>N</t>
        </is>
      </c>
      <c r="H120" s="34" t="inlineStr">
        <is>
          <t>branches.id</t>
        </is>
      </c>
      <c r="I120" s="34" t="inlineStr">
        <is>
          <t>Y</t>
        </is>
      </c>
      <c r="J120" s="34" t="inlineStr">
        <is>
          <t>지점 FK</t>
        </is>
      </c>
      <c r="K120" s="34" t="inlineStr">
        <is>
          <t>API-033</t>
        </is>
      </c>
      <c r="L120" s="34" t="inlineStr">
        <is>
          <t>확정</t>
        </is>
      </c>
      <c r="M120" s="34" t="n"/>
    </row>
    <row r="121">
      <c r="A121" s="33" t="inlineStr">
        <is>
          <t>staff_attendance</t>
        </is>
      </c>
      <c r="B121" s="33" t="inlineStr">
        <is>
          <t>date</t>
        </is>
      </c>
      <c r="C121" s="33" t="inlineStr">
        <is>
          <t>VARCHAR</t>
        </is>
      </c>
      <c r="D121" s="34" t="n">
        <v>10</v>
      </c>
      <c r="E121" s="34" t="inlineStr">
        <is>
          <t>N</t>
        </is>
      </c>
      <c r="F121" s="34" t="n"/>
      <c r="G121" s="34" t="inlineStr">
        <is>
          <t>N</t>
        </is>
      </c>
      <c r="H121" s="34" t="n"/>
      <c r="I121" s="34" t="inlineStr">
        <is>
          <t>Y</t>
        </is>
      </c>
      <c r="J121" s="34" t="inlineStr">
        <is>
          <t>날짜 (YYYY-MM-DD)</t>
        </is>
      </c>
      <c r="K121" s="34" t="inlineStr">
        <is>
          <t>API-033</t>
        </is>
      </c>
      <c r="L121" s="34" t="inlineStr">
        <is>
          <t>확정</t>
        </is>
      </c>
      <c r="M121" s="34" t="n"/>
    </row>
    <row r="122">
      <c r="A122" s="33" t="inlineStr">
        <is>
          <t>staff_attendance</t>
        </is>
      </c>
      <c r="B122" s="33" t="inlineStr">
        <is>
          <t>status</t>
        </is>
      </c>
      <c r="C122" s="33" t="inlineStr">
        <is>
          <t>ENUM</t>
        </is>
      </c>
      <c r="D122" s="34" t="n"/>
      <c r="E122" s="34" t="inlineStr">
        <is>
          <t>N</t>
        </is>
      </c>
      <c r="F122" s="34" t="inlineStr">
        <is>
          <t>present</t>
        </is>
      </c>
      <c r="G122" s="34" t="inlineStr">
        <is>
          <t>N</t>
        </is>
      </c>
      <c r="H122" s="34" t="n"/>
      <c r="I122" s="34" t="inlineStr">
        <is>
          <t>Y</t>
        </is>
      </c>
      <c r="J122" s="34" t="inlineStr">
        <is>
          <t>상태 (present/absent/late/half_day/vacation)</t>
        </is>
      </c>
      <c r="K122" s="34" t="inlineStr">
        <is>
          <t>API-033</t>
        </is>
      </c>
      <c r="L122" s="34" t="inlineStr">
        <is>
          <t>확정</t>
        </is>
      </c>
      <c r="M122" s="34" t="n"/>
    </row>
    <row r="123">
      <c r="A123" s="33" t="inlineStr">
        <is>
          <t>staff_attendance</t>
        </is>
      </c>
      <c r="B123" s="33" t="inlineStr">
        <is>
          <t>check_in</t>
        </is>
      </c>
      <c r="C123" s="33" t="inlineStr">
        <is>
          <t>VARCHAR</t>
        </is>
      </c>
      <c r="D123" s="34" t="n">
        <v>5</v>
      </c>
      <c r="E123" s="34" t="inlineStr">
        <is>
          <t>Y</t>
        </is>
      </c>
      <c r="F123" s="34" t="n"/>
      <c r="G123" s="34" t="inlineStr">
        <is>
          <t>N</t>
        </is>
      </c>
      <c r="H123" s="34" t="n"/>
      <c r="I123" s="34" t="inlineStr">
        <is>
          <t>N</t>
        </is>
      </c>
      <c r="J123" s="34" t="inlineStr">
        <is>
          <t>출근 시간 (HH:MM)</t>
        </is>
      </c>
      <c r="K123" s="34" t="inlineStr">
        <is>
          <t>API-033</t>
        </is>
      </c>
      <c r="L123" s="34" t="inlineStr">
        <is>
          <t>확정</t>
        </is>
      </c>
      <c r="M123" s="34" t="n"/>
    </row>
    <row r="124">
      <c r="A124" s="33" t="inlineStr">
        <is>
          <t>staff_attendance</t>
        </is>
      </c>
      <c r="B124" s="33" t="inlineStr">
        <is>
          <t>check_out</t>
        </is>
      </c>
      <c r="C124" s="33" t="inlineStr">
        <is>
          <t>VARCHAR</t>
        </is>
      </c>
      <c r="D124" s="34" t="n">
        <v>5</v>
      </c>
      <c r="E124" s="34" t="inlineStr">
        <is>
          <t>Y</t>
        </is>
      </c>
      <c r="F124" s="34" t="n"/>
      <c r="G124" s="34" t="inlineStr">
        <is>
          <t>N</t>
        </is>
      </c>
      <c r="H124" s="34" t="n"/>
      <c r="I124" s="34" t="inlineStr">
        <is>
          <t>N</t>
        </is>
      </c>
      <c r="J124" s="34" t="inlineStr">
        <is>
          <t>퇴근 시간 (HH:MM)</t>
        </is>
      </c>
      <c r="K124" s="34" t="inlineStr">
        <is>
          <t>API-033</t>
        </is>
      </c>
      <c r="L124" s="34" t="inlineStr">
        <is>
          <t>확정</t>
        </is>
      </c>
      <c r="M124" s="34" t="n"/>
    </row>
    <row r="125">
      <c r="A125" s="33" t="inlineStr">
        <is>
          <t>staff_attendance</t>
        </is>
      </c>
      <c r="B125" s="33" t="inlineStr">
        <is>
          <t>created_at</t>
        </is>
      </c>
      <c r="C125" s="33" t="inlineStr">
        <is>
          <t>DATETIME</t>
        </is>
      </c>
      <c r="D125" s="34" t="n"/>
      <c r="E125" s="34" t="inlineStr">
        <is>
          <t>N</t>
        </is>
      </c>
      <c r="F125" s="34" t="inlineStr">
        <is>
          <t>NOW()</t>
        </is>
      </c>
      <c r="G125" s="34" t="inlineStr">
        <is>
          <t>N</t>
        </is>
      </c>
      <c r="H125" s="34" t="n"/>
      <c r="I125" s="34" t="inlineStr">
        <is>
          <t>N</t>
        </is>
      </c>
      <c r="J125" s="34" t="inlineStr">
        <is>
          <t>생성일시</t>
        </is>
      </c>
      <c r="K125" s="34" t="inlineStr">
        <is>
          <t>API-033</t>
        </is>
      </c>
      <c r="L125" s="34" t="inlineStr">
        <is>
          <t>확정</t>
        </is>
      </c>
      <c r="M125" s="34" t="n"/>
    </row>
    <row r="126">
      <c r="A126" s="33" t="inlineStr">
        <is>
          <t>lockers</t>
        </is>
      </c>
      <c r="B126" s="33" t="inlineStr">
        <is>
          <t>id</t>
        </is>
      </c>
      <c r="C126" s="33" t="inlineStr">
        <is>
          <t>BIGINT</t>
        </is>
      </c>
      <c r="D126" s="34" t="n"/>
      <c r="E126" s="34" t="inlineStr">
        <is>
          <t>N</t>
        </is>
      </c>
      <c r="F126" s="34" t="n"/>
      <c r="G126" s="34" t="inlineStr">
        <is>
          <t>Y</t>
        </is>
      </c>
      <c r="H126" s="34" t="n"/>
      <c r="I126" s="34" t="inlineStr">
        <is>
          <t>Y</t>
        </is>
      </c>
      <c r="J126" s="34" t="inlineStr">
        <is>
          <t>락커 고유 ID</t>
        </is>
      </c>
      <c r="K126" s="34" t="inlineStr">
        <is>
          <t>API-020</t>
        </is>
      </c>
      <c r="L126" s="34" t="inlineStr">
        <is>
          <t>확정</t>
        </is>
      </c>
      <c r="M126" s="34" t="n"/>
    </row>
    <row r="127">
      <c r="A127" s="33" t="inlineStr">
        <is>
          <t>lockers</t>
        </is>
      </c>
      <c r="B127" s="33" t="inlineStr">
        <is>
          <t>branch_id</t>
        </is>
      </c>
      <c r="C127" s="33" t="inlineStr">
        <is>
          <t>BIGINT</t>
        </is>
      </c>
      <c r="D127" s="34" t="n"/>
      <c r="E127" s="34" t="inlineStr">
        <is>
          <t>N</t>
        </is>
      </c>
      <c r="F127" s="34" t="n"/>
      <c r="G127" s="34" t="inlineStr">
        <is>
          <t>N</t>
        </is>
      </c>
      <c r="H127" s="34" t="inlineStr">
        <is>
          <t>branches.id</t>
        </is>
      </c>
      <c r="I127" s="34" t="inlineStr">
        <is>
          <t>Y</t>
        </is>
      </c>
      <c r="J127" s="34" t="inlineStr">
        <is>
          <t>지점 FK</t>
        </is>
      </c>
      <c r="K127" s="34" t="inlineStr">
        <is>
          <t>API-019, API-020</t>
        </is>
      </c>
      <c r="L127" s="34" t="inlineStr">
        <is>
          <t>확정</t>
        </is>
      </c>
      <c r="M127" s="34" t="n"/>
    </row>
    <row r="128">
      <c r="A128" s="33" t="inlineStr">
        <is>
          <t>lockers</t>
        </is>
      </c>
      <c r="B128" s="33" t="inlineStr">
        <is>
          <t>number</t>
        </is>
      </c>
      <c r="C128" s="33" t="inlineStr">
        <is>
          <t>VARCHAR</t>
        </is>
      </c>
      <c r="D128" s="34" t="n">
        <v>10</v>
      </c>
      <c r="E128" s="34" t="inlineStr">
        <is>
          <t>N</t>
        </is>
      </c>
      <c r="F128" s="34" t="n"/>
      <c r="G128" s="34" t="inlineStr">
        <is>
          <t>N</t>
        </is>
      </c>
      <c r="H128" s="34" t="n"/>
      <c r="I128" s="34" t="inlineStr">
        <is>
          <t>Y</t>
        </is>
      </c>
      <c r="J128" s="34" t="inlineStr">
        <is>
          <t>락커 번호 (A-001 등)</t>
        </is>
      </c>
      <c r="K128" s="34" t="inlineStr">
        <is>
          <t>API-019, API-020</t>
        </is>
      </c>
      <c r="L128" s="34" t="inlineStr">
        <is>
          <t>확정</t>
        </is>
      </c>
      <c r="M128" s="34" t="n"/>
    </row>
    <row r="129">
      <c r="A129" s="33" t="inlineStr">
        <is>
          <t>lockers</t>
        </is>
      </c>
      <c r="B129" s="33" t="inlineStr">
        <is>
          <t>type</t>
        </is>
      </c>
      <c r="C129" s="33" t="inlineStr">
        <is>
          <t>ENUM</t>
        </is>
      </c>
      <c r="D129" s="34" t="n"/>
      <c r="E129" s="34" t="inlineStr">
        <is>
          <t>N</t>
        </is>
      </c>
      <c r="F129" s="34" t="inlineStr">
        <is>
          <t>standard</t>
        </is>
      </c>
      <c r="G129" s="34" t="inlineStr">
        <is>
          <t>N</t>
        </is>
      </c>
      <c r="H129" s="34" t="n"/>
      <c r="I129" s="34" t="inlineStr">
        <is>
          <t>N</t>
        </is>
      </c>
      <c r="J129" s="34" t="inlineStr">
        <is>
          <t>유형 (standard/large/premium)</t>
        </is>
      </c>
      <c r="K129" s="34" t="inlineStr">
        <is>
          <t>API-019, API-020</t>
        </is>
      </c>
      <c r="L129" s="34" t="inlineStr">
        <is>
          <t>확정</t>
        </is>
      </c>
      <c r="M129" s="34" t="n"/>
    </row>
    <row r="130">
      <c r="A130" s="33" t="inlineStr">
        <is>
          <t>lockers</t>
        </is>
      </c>
      <c r="B130" s="33" t="inlineStr">
        <is>
          <t>area</t>
        </is>
      </c>
      <c r="C130" s="33" t="inlineStr">
        <is>
          <t>VARCHAR</t>
        </is>
      </c>
      <c r="D130" s="34" t="n">
        <v>10</v>
      </c>
      <c r="E130" s="34" t="inlineStr">
        <is>
          <t>N</t>
        </is>
      </c>
      <c r="F130" s="34" t="n"/>
      <c r="G130" s="34" t="inlineStr">
        <is>
          <t>N</t>
        </is>
      </c>
      <c r="H130" s="34" t="n"/>
      <c r="I130" s="34" t="inlineStr">
        <is>
          <t>Y</t>
        </is>
      </c>
      <c r="J130" s="34" t="inlineStr">
        <is>
          <t>구역 (A/B/C...)</t>
        </is>
      </c>
      <c r="K130" s="34" t="inlineStr">
        <is>
          <t>API-019, API-020</t>
        </is>
      </c>
      <c r="L130" s="34" t="inlineStr">
        <is>
          <t>확정</t>
        </is>
      </c>
      <c r="M130" s="34" t="n"/>
    </row>
    <row r="131">
      <c r="A131" s="33" t="inlineStr">
        <is>
          <t>lockers</t>
        </is>
      </c>
      <c r="B131" s="33" t="inlineStr">
        <is>
          <t>status</t>
        </is>
      </c>
      <c r="C131" s="33" t="inlineStr">
        <is>
          <t>ENUM</t>
        </is>
      </c>
      <c r="D131" s="34" t="n"/>
      <c r="E131" s="34" t="inlineStr">
        <is>
          <t>N</t>
        </is>
      </c>
      <c r="F131" s="34" t="inlineStr">
        <is>
          <t>available</t>
        </is>
      </c>
      <c r="G131" s="34" t="inlineStr">
        <is>
          <t>N</t>
        </is>
      </c>
      <c r="H131" s="34" t="n"/>
      <c r="I131" s="34" t="inlineStr">
        <is>
          <t>Y</t>
        </is>
      </c>
      <c r="J131" s="34" t="inlineStr">
        <is>
          <t>상태 (available/occupied/expiring/broken)</t>
        </is>
      </c>
      <c r="K131" s="34" t="inlineStr">
        <is>
          <t>API-019, API-020</t>
        </is>
      </c>
      <c r="L131" s="34" t="inlineStr">
        <is>
          <t>확정</t>
        </is>
      </c>
      <c r="M131" s="34" t="n"/>
    </row>
    <row r="132">
      <c r="A132" s="33" t="inlineStr">
        <is>
          <t>lockers</t>
        </is>
      </c>
      <c r="B132" s="33" t="inlineStr">
        <is>
          <t>member_id</t>
        </is>
      </c>
      <c r="C132" s="33" t="inlineStr">
        <is>
          <t>BIGINT</t>
        </is>
      </c>
      <c r="D132" s="34" t="n"/>
      <c r="E132" s="34" t="inlineStr">
        <is>
          <t>Y</t>
        </is>
      </c>
      <c r="F132" s="34" t="inlineStr">
        <is>
          <t>NULL</t>
        </is>
      </c>
      <c r="G132" s="34" t="inlineStr">
        <is>
          <t>N</t>
        </is>
      </c>
      <c r="H132" s="34" t="inlineStr">
        <is>
          <t>members.id</t>
        </is>
      </c>
      <c r="I132" s="34" t="inlineStr">
        <is>
          <t>Y</t>
        </is>
      </c>
      <c r="J132" s="34" t="inlineStr">
        <is>
          <t>배정 회원 FK</t>
        </is>
      </c>
      <c r="K132" s="34" t="inlineStr">
        <is>
          <t>API-019, API-020</t>
        </is>
      </c>
      <c r="L132" s="34" t="inlineStr">
        <is>
          <t>확정</t>
        </is>
      </c>
      <c r="M132" s="34" t="n"/>
    </row>
    <row r="133">
      <c r="A133" s="33" t="inlineStr">
        <is>
          <t>lockers</t>
        </is>
      </c>
      <c r="B133" s="33" t="inlineStr">
        <is>
          <t>expiry_date</t>
        </is>
      </c>
      <c r="C133" s="33" t="inlineStr">
        <is>
          <t>DATETIME</t>
        </is>
      </c>
      <c r="D133" s="34" t="n"/>
      <c r="E133" s="34" t="inlineStr">
        <is>
          <t>Y</t>
        </is>
      </c>
      <c r="F133" s="34" t="inlineStr">
        <is>
          <t>NULL</t>
        </is>
      </c>
      <c r="G133" s="34" t="inlineStr">
        <is>
          <t>N</t>
        </is>
      </c>
      <c r="H133" s="34" t="n"/>
      <c r="I133" s="34" t="inlineStr">
        <is>
          <t>Y</t>
        </is>
      </c>
      <c r="J133" s="34" t="inlineStr">
        <is>
          <t>만료일</t>
        </is>
      </c>
      <c r="K133" s="34" t="inlineStr">
        <is>
          <t>API-019, API-020</t>
        </is>
      </c>
      <c r="L133" s="34" t="inlineStr">
        <is>
          <t>확정</t>
        </is>
      </c>
      <c r="M133" s="34" t="n"/>
    </row>
    <row r="134">
      <c r="A134" s="33" t="inlineStr">
        <is>
          <t>lockers</t>
        </is>
      </c>
      <c r="B134" s="33" t="inlineStr">
        <is>
          <t>gender</t>
        </is>
      </c>
      <c r="C134" s="33" t="inlineStr">
        <is>
          <t>ENUM</t>
        </is>
      </c>
      <c r="D134" s="34" t="n"/>
      <c r="E134" s="34" t="inlineStr">
        <is>
          <t>Y</t>
        </is>
      </c>
      <c r="F134" s="34" t="n"/>
      <c r="G134" s="34" t="inlineStr">
        <is>
          <t>N</t>
        </is>
      </c>
      <c r="H134" s="34" t="n"/>
      <c r="I134" s="34" t="inlineStr">
        <is>
          <t>N</t>
        </is>
      </c>
      <c r="J134" s="34" t="inlineStr">
        <is>
          <t>성별 구분 (M/F/공용)</t>
        </is>
      </c>
      <c r="K134" s="34" t="inlineStr">
        <is>
          <t>API-019, API-020</t>
        </is>
      </c>
      <c r="L134" s="34" t="inlineStr">
        <is>
          <t>확정</t>
        </is>
      </c>
      <c r="M134" s="34" t="n"/>
    </row>
    <row r="135">
      <c r="A135" s="33" t="inlineStr">
        <is>
          <t>lockers</t>
        </is>
      </c>
      <c r="B135" s="33" t="inlineStr">
        <is>
          <t>last_updated</t>
        </is>
      </c>
      <c r="C135" s="33" t="inlineStr">
        <is>
          <t>DATETIME</t>
        </is>
      </c>
      <c r="D135" s="34" t="n"/>
      <c r="E135" s="34" t="inlineStr">
        <is>
          <t>Y</t>
        </is>
      </c>
      <c r="F135" s="34" t="inlineStr">
        <is>
          <t>NULL</t>
        </is>
      </c>
      <c r="G135" s="34" t="inlineStr">
        <is>
          <t>N</t>
        </is>
      </c>
      <c r="H135" s="34" t="n"/>
      <c r="I135" s="34" t="inlineStr">
        <is>
          <t>N</t>
        </is>
      </c>
      <c r="J135" s="34" t="inlineStr">
        <is>
          <t>최근 변경일시</t>
        </is>
      </c>
      <c r="K135" s="34" t="inlineStr">
        <is>
          <t>API-019, API-020</t>
        </is>
      </c>
      <c r="L135" s="34" t="inlineStr">
        <is>
          <t>확정</t>
        </is>
      </c>
      <c r="M135" s="34" t="n"/>
    </row>
    <row r="136">
      <c r="A136" s="33" t="inlineStr">
        <is>
          <t>lockers</t>
        </is>
      </c>
      <c r="B136" s="33" t="inlineStr">
        <is>
          <t>created_at</t>
        </is>
      </c>
      <c r="C136" s="33" t="inlineStr">
        <is>
          <t>DATETIME</t>
        </is>
      </c>
      <c r="D136" s="34" t="n"/>
      <c r="E136" s="34" t="inlineStr">
        <is>
          <t>N</t>
        </is>
      </c>
      <c r="F136" s="34" t="inlineStr">
        <is>
          <t>NOW()</t>
        </is>
      </c>
      <c r="G136" s="34" t="inlineStr">
        <is>
          <t>N</t>
        </is>
      </c>
      <c r="H136" s="34" t="n"/>
      <c r="I136" s="34" t="inlineStr">
        <is>
          <t>N</t>
        </is>
      </c>
      <c r="J136" s="34" t="inlineStr">
        <is>
          <t>생성일시</t>
        </is>
      </c>
      <c r="K136" s="34" t="inlineStr">
        <is>
          <t>API-019, API-020</t>
        </is>
      </c>
      <c r="L136" s="34" t="inlineStr">
        <is>
          <t>확정</t>
        </is>
      </c>
      <c r="M136" s="34" t="n"/>
    </row>
    <row r="137">
      <c r="A137" s="33" t="inlineStr">
        <is>
          <t>payroll</t>
        </is>
      </c>
      <c r="B137" s="33" t="inlineStr">
        <is>
          <t>id</t>
        </is>
      </c>
      <c r="C137" s="33" t="inlineStr">
        <is>
          <t>BIGINT</t>
        </is>
      </c>
      <c r="D137" s="34" t="n"/>
      <c r="E137" s="34" t="inlineStr">
        <is>
          <t>N</t>
        </is>
      </c>
      <c r="F137" s="34" t="n"/>
      <c r="G137" s="34" t="inlineStr">
        <is>
          <t>Y</t>
        </is>
      </c>
      <c r="H137" s="34" t="n"/>
      <c r="I137" s="34" t="inlineStr">
        <is>
          <t>Y</t>
        </is>
      </c>
      <c r="J137" s="34" t="inlineStr">
        <is>
          <t>급여 고유 ID</t>
        </is>
      </c>
      <c r="K137" s="34" t="inlineStr">
        <is>
          <t>API-034, API-035</t>
        </is>
      </c>
      <c r="L137" s="34" t="inlineStr">
        <is>
          <t>확정</t>
        </is>
      </c>
      <c r="M137" s="34" t="n"/>
    </row>
    <row r="138">
      <c r="A138" s="33" t="inlineStr">
        <is>
          <t>payroll</t>
        </is>
      </c>
      <c r="B138" s="33" t="inlineStr">
        <is>
          <t>staff_id</t>
        </is>
      </c>
      <c r="C138" s="33" t="inlineStr">
        <is>
          <t>BIGINT</t>
        </is>
      </c>
      <c r="D138" s="34" t="n"/>
      <c r="E138" s="34" t="inlineStr">
        <is>
          <t>N</t>
        </is>
      </c>
      <c r="F138" s="34" t="n"/>
      <c r="G138" s="34" t="inlineStr">
        <is>
          <t>N</t>
        </is>
      </c>
      <c r="H138" s="34" t="inlineStr">
        <is>
          <t>staff.id</t>
        </is>
      </c>
      <c r="I138" s="34" t="inlineStr">
        <is>
          <t>Y</t>
        </is>
      </c>
      <c r="J138" s="34" t="inlineStr">
        <is>
          <t>직원 FK</t>
        </is>
      </c>
      <c r="K138" s="34" t="inlineStr">
        <is>
          <t>API-034, API-035</t>
        </is>
      </c>
      <c r="L138" s="34" t="inlineStr">
        <is>
          <t>확정</t>
        </is>
      </c>
      <c r="M138" s="34" t="n"/>
    </row>
    <row r="139">
      <c r="A139" s="33" t="inlineStr">
        <is>
          <t>payroll</t>
        </is>
      </c>
      <c r="B139" s="33" t="inlineStr">
        <is>
          <t>branch_id</t>
        </is>
      </c>
      <c r="C139" s="33" t="inlineStr">
        <is>
          <t>BIGINT</t>
        </is>
      </c>
      <c r="D139" s="34" t="n"/>
      <c r="E139" s="34" t="inlineStr">
        <is>
          <t>N</t>
        </is>
      </c>
      <c r="F139" s="34" t="n"/>
      <c r="G139" s="34" t="inlineStr">
        <is>
          <t>N</t>
        </is>
      </c>
      <c r="H139" s="34" t="inlineStr">
        <is>
          <t>branches.id</t>
        </is>
      </c>
      <c r="I139" s="34" t="inlineStr">
        <is>
          <t>Y</t>
        </is>
      </c>
      <c r="J139" s="34" t="inlineStr">
        <is>
          <t>지점 FK</t>
        </is>
      </c>
      <c r="K139" s="34" t="inlineStr">
        <is>
          <t>API-034, API-035</t>
        </is>
      </c>
      <c r="L139" s="34" t="inlineStr">
        <is>
          <t>확정</t>
        </is>
      </c>
      <c r="M139" s="34" t="n"/>
    </row>
    <row r="140">
      <c r="A140" s="33" t="inlineStr">
        <is>
          <t>payroll</t>
        </is>
      </c>
      <c r="B140" s="33" t="inlineStr">
        <is>
          <t>year_month</t>
        </is>
      </c>
      <c r="C140" s="33" t="inlineStr">
        <is>
          <t>VARCHAR</t>
        </is>
      </c>
      <c r="D140" s="34" t="n">
        <v>7</v>
      </c>
      <c r="E140" s="34" t="inlineStr">
        <is>
          <t>N</t>
        </is>
      </c>
      <c r="F140" s="34" t="n"/>
      <c r="G140" s="34" t="inlineStr">
        <is>
          <t>N</t>
        </is>
      </c>
      <c r="H140" s="34" t="n"/>
      <c r="I140" s="34" t="inlineStr">
        <is>
          <t>Y</t>
        </is>
      </c>
      <c r="J140" s="34" t="inlineStr">
        <is>
          <t>급여 연월 (YYYY-MM)</t>
        </is>
      </c>
      <c r="K140" s="34" t="inlineStr">
        <is>
          <t>API-034, API-035</t>
        </is>
      </c>
      <c r="L140" s="34" t="inlineStr">
        <is>
          <t>확정</t>
        </is>
      </c>
      <c r="M140" s="34" t="n"/>
    </row>
    <row r="141">
      <c r="A141" s="33" t="inlineStr">
        <is>
          <t>payroll</t>
        </is>
      </c>
      <c r="B141" s="33" t="inlineStr">
        <is>
          <t>base_salary</t>
        </is>
      </c>
      <c r="C141" s="33" t="inlineStr">
        <is>
          <t>INT</t>
        </is>
      </c>
      <c r="D141" s="34" t="n"/>
      <c r="E141" s="34" t="inlineStr">
        <is>
          <t>N</t>
        </is>
      </c>
      <c r="F141" s="34" t="inlineStr">
        <is>
          <t>0</t>
        </is>
      </c>
      <c r="G141" s="34" t="inlineStr">
        <is>
          <t>N</t>
        </is>
      </c>
      <c r="H141" s="34" t="n"/>
      <c r="I141" s="34" t="inlineStr">
        <is>
          <t>N</t>
        </is>
      </c>
      <c r="J141" s="34" t="inlineStr">
        <is>
          <t>기본급</t>
        </is>
      </c>
      <c r="K141" s="34" t="inlineStr">
        <is>
          <t>API-034, API-035</t>
        </is>
      </c>
      <c r="L141" s="34" t="inlineStr">
        <is>
          <t>확정</t>
        </is>
      </c>
      <c r="M141" s="34" t="n"/>
    </row>
    <row r="142">
      <c r="A142" s="33" t="inlineStr">
        <is>
          <t>payroll</t>
        </is>
      </c>
      <c r="B142" s="33" t="inlineStr">
        <is>
          <t>incentive</t>
        </is>
      </c>
      <c r="C142" s="33" t="inlineStr">
        <is>
          <t>INT</t>
        </is>
      </c>
      <c r="D142" s="34" t="n"/>
      <c r="E142" s="34" t="inlineStr">
        <is>
          <t>N</t>
        </is>
      </c>
      <c r="F142" s="34" t="inlineStr">
        <is>
          <t>0</t>
        </is>
      </c>
      <c r="G142" s="34" t="inlineStr">
        <is>
          <t>N</t>
        </is>
      </c>
      <c r="H142" s="34" t="n"/>
      <c r="I142" s="34" t="inlineStr">
        <is>
          <t>N</t>
        </is>
      </c>
      <c r="J142" s="34" t="inlineStr">
        <is>
          <t>인센티브</t>
        </is>
      </c>
      <c r="K142" s="34" t="inlineStr">
        <is>
          <t>API-034, API-035</t>
        </is>
      </c>
      <c r="L142" s="34" t="inlineStr">
        <is>
          <t>확정</t>
        </is>
      </c>
      <c r="M142" s="34" t="n"/>
    </row>
    <row r="143">
      <c r="A143" s="33" t="inlineStr">
        <is>
          <t>payroll</t>
        </is>
      </c>
      <c r="B143" s="33" t="inlineStr">
        <is>
          <t>deduction</t>
        </is>
      </c>
      <c r="C143" s="33" t="inlineStr">
        <is>
          <t>INT</t>
        </is>
      </c>
      <c r="D143" s="34" t="n"/>
      <c r="E143" s="34" t="inlineStr">
        <is>
          <t>N</t>
        </is>
      </c>
      <c r="F143" s="34" t="inlineStr">
        <is>
          <t>0</t>
        </is>
      </c>
      <c r="G143" s="34" t="inlineStr">
        <is>
          <t>N</t>
        </is>
      </c>
      <c r="H143" s="34" t="n"/>
      <c r="I143" s="34" t="inlineStr">
        <is>
          <t>N</t>
        </is>
      </c>
      <c r="J143" s="34" t="inlineStr">
        <is>
          <t>공제액</t>
        </is>
      </c>
      <c r="K143" s="34" t="inlineStr">
        <is>
          <t>API-034, API-035</t>
        </is>
      </c>
      <c r="L143" s="34" t="inlineStr">
        <is>
          <t>확정</t>
        </is>
      </c>
      <c r="M143" s="34" t="n"/>
    </row>
    <row r="144">
      <c r="A144" s="33" t="inlineStr">
        <is>
          <t>payroll</t>
        </is>
      </c>
      <c r="B144" s="33" t="inlineStr">
        <is>
          <t>net_salary</t>
        </is>
      </c>
      <c r="C144" s="33" t="inlineStr">
        <is>
          <t>INT</t>
        </is>
      </c>
      <c r="D144" s="34" t="n"/>
      <c r="E144" s="34" t="inlineStr">
        <is>
          <t>N</t>
        </is>
      </c>
      <c r="F144" s="34" t="inlineStr">
        <is>
          <t>0</t>
        </is>
      </c>
      <c r="G144" s="34" t="inlineStr">
        <is>
          <t>N</t>
        </is>
      </c>
      <c r="H144" s="34" t="n"/>
      <c r="I144" s="34" t="inlineStr">
        <is>
          <t>N</t>
        </is>
      </c>
      <c r="J144" s="34" t="inlineStr">
        <is>
          <t>실지급액</t>
        </is>
      </c>
      <c r="K144" s="34" t="inlineStr">
        <is>
          <t>API-034, API-035</t>
        </is>
      </c>
      <c r="L144" s="34" t="inlineStr">
        <is>
          <t>확정</t>
        </is>
      </c>
      <c r="M144" s="34" t="n"/>
    </row>
    <row r="145">
      <c r="A145" s="33" t="inlineStr">
        <is>
          <t>payroll</t>
        </is>
      </c>
      <c r="B145" s="33" t="inlineStr">
        <is>
          <t>status</t>
        </is>
      </c>
      <c r="C145" s="33" t="inlineStr">
        <is>
          <t>ENUM</t>
        </is>
      </c>
      <c r="D145" s="34" t="n"/>
      <c r="E145" s="34" t="inlineStr">
        <is>
          <t>N</t>
        </is>
      </c>
      <c r="F145" s="34" t="inlineStr">
        <is>
          <t>pending</t>
        </is>
      </c>
      <c r="G145" s="34" t="inlineStr">
        <is>
          <t>N</t>
        </is>
      </c>
      <c r="H145" s="34" t="n"/>
      <c r="I145" s="34" t="inlineStr">
        <is>
          <t>Y</t>
        </is>
      </c>
      <c r="J145" s="34" t="inlineStr">
        <is>
          <t>상태 (pending/paid/cancelled)</t>
        </is>
      </c>
      <c r="K145" s="34" t="inlineStr">
        <is>
          <t>API-034, API-035</t>
        </is>
      </c>
      <c r="L145" s="34" t="inlineStr">
        <is>
          <t>확정</t>
        </is>
      </c>
      <c r="M145" s="34" t="n"/>
    </row>
    <row r="146">
      <c r="A146" s="33" t="inlineStr">
        <is>
          <t>payroll</t>
        </is>
      </c>
      <c r="B146" s="33" t="inlineStr">
        <is>
          <t>created_at</t>
        </is>
      </c>
      <c r="C146" s="33" t="inlineStr">
        <is>
          <t>DATETIME</t>
        </is>
      </c>
      <c r="D146" s="34" t="n"/>
      <c r="E146" s="34" t="inlineStr">
        <is>
          <t>N</t>
        </is>
      </c>
      <c r="F146" s="34" t="inlineStr">
        <is>
          <t>NOW()</t>
        </is>
      </c>
      <c r="G146" s="34" t="inlineStr">
        <is>
          <t>N</t>
        </is>
      </c>
      <c r="H146" s="34" t="n"/>
      <c r="I146" s="34" t="inlineStr">
        <is>
          <t>N</t>
        </is>
      </c>
      <c r="J146" s="34" t="inlineStr">
        <is>
          <t>생성일시</t>
        </is>
      </c>
      <c r="K146" s="34" t="inlineStr">
        <is>
          <t>API-034, API-035</t>
        </is>
      </c>
      <c r="L146" s="34" t="inlineStr">
        <is>
          <t>확정</t>
        </is>
      </c>
      <c r="M146" s="34" t="n"/>
    </row>
    <row r="147">
      <c r="A147" s="33" t="inlineStr">
        <is>
          <t>messages</t>
        </is>
      </c>
      <c r="B147" s="33" t="inlineStr">
        <is>
          <t>id</t>
        </is>
      </c>
      <c r="C147" s="33" t="inlineStr">
        <is>
          <t>BIGINT</t>
        </is>
      </c>
      <c r="D147" s="34" t="n"/>
      <c r="E147" s="34" t="inlineStr">
        <is>
          <t>N</t>
        </is>
      </c>
      <c r="F147" s="34" t="n"/>
      <c r="G147" s="34" t="inlineStr">
        <is>
          <t>Y</t>
        </is>
      </c>
      <c r="H147" s="34" t="n"/>
      <c r="I147" s="34" t="inlineStr">
        <is>
          <t>Y</t>
        </is>
      </c>
      <c r="J147" s="34" t="inlineStr">
        <is>
          <t>메시지 고유 ID</t>
        </is>
      </c>
      <c r="K147" s="34" t="inlineStr">
        <is>
          <t>API-042, API-043</t>
        </is>
      </c>
      <c r="L147" s="34" t="inlineStr">
        <is>
          <t>확정</t>
        </is>
      </c>
      <c r="M147" s="34" t="n"/>
    </row>
    <row r="148">
      <c r="A148" s="33" t="inlineStr">
        <is>
          <t>messages</t>
        </is>
      </c>
      <c r="B148" s="33" t="inlineStr">
        <is>
          <t>branch_id</t>
        </is>
      </c>
      <c r="C148" s="33" t="inlineStr">
        <is>
          <t>BIGINT</t>
        </is>
      </c>
      <c r="D148" s="34" t="n"/>
      <c r="E148" s="34" t="inlineStr">
        <is>
          <t>N</t>
        </is>
      </c>
      <c r="F148" s="34" t="n"/>
      <c r="G148" s="34" t="inlineStr">
        <is>
          <t>N</t>
        </is>
      </c>
      <c r="H148" s="34" t="inlineStr">
        <is>
          <t>branches.id</t>
        </is>
      </c>
      <c r="I148" s="34" t="inlineStr">
        <is>
          <t>Y</t>
        </is>
      </c>
      <c r="J148" s="34" t="inlineStr">
        <is>
          <t>지점 FK</t>
        </is>
      </c>
      <c r="K148" s="34" t="inlineStr">
        <is>
          <t>API-042, API-043</t>
        </is>
      </c>
      <c r="L148" s="34" t="inlineStr">
        <is>
          <t>확정</t>
        </is>
      </c>
      <c r="M148" s="34" t="n"/>
    </row>
    <row r="149">
      <c r="A149" s="33" t="inlineStr">
        <is>
          <t>messages</t>
        </is>
      </c>
      <c r="B149" s="33" t="inlineStr">
        <is>
          <t>sender_id</t>
        </is>
      </c>
      <c r="C149" s="33" t="inlineStr">
        <is>
          <t>BIGINT</t>
        </is>
      </c>
      <c r="D149" s="34" t="n"/>
      <c r="E149" s="34" t="inlineStr">
        <is>
          <t>N</t>
        </is>
      </c>
      <c r="F149" s="34" t="n"/>
      <c r="G149" s="34" t="inlineStr">
        <is>
          <t>N</t>
        </is>
      </c>
      <c r="H149" s="34" t="inlineStr">
        <is>
          <t>users.id</t>
        </is>
      </c>
      <c r="I149" s="34" t="inlineStr">
        <is>
          <t>Y</t>
        </is>
      </c>
      <c r="J149" s="34" t="inlineStr">
        <is>
          <t>발송자 FK</t>
        </is>
      </c>
      <c r="K149" s="34" t="inlineStr">
        <is>
          <t>API-042, API-043</t>
        </is>
      </c>
      <c r="L149" s="34" t="inlineStr">
        <is>
          <t>확정</t>
        </is>
      </c>
      <c r="M149" s="34" t="n"/>
    </row>
    <row r="150">
      <c r="A150" s="33" t="inlineStr">
        <is>
          <t>messages</t>
        </is>
      </c>
      <c r="B150" s="33" t="inlineStr">
        <is>
          <t>type</t>
        </is>
      </c>
      <c r="C150" s="33" t="inlineStr">
        <is>
          <t>ENUM</t>
        </is>
      </c>
      <c r="D150" s="34" t="n"/>
      <c r="E150" s="34" t="inlineStr">
        <is>
          <t>N</t>
        </is>
      </c>
      <c r="F150" s="34" t="n"/>
      <c r="G150" s="34" t="inlineStr">
        <is>
          <t>N</t>
        </is>
      </c>
      <c r="H150" s="34" t="n"/>
      <c r="I150" s="34" t="inlineStr">
        <is>
          <t>Y</t>
        </is>
      </c>
      <c r="J150" s="34" t="inlineStr">
        <is>
          <t>유형 (sms/lms/kakao)</t>
        </is>
      </c>
      <c r="K150" s="34" t="inlineStr">
        <is>
          <t>API-042, API-043</t>
        </is>
      </c>
      <c r="L150" s="34" t="inlineStr">
        <is>
          <t>확정</t>
        </is>
      </c>
      <c r="M150" s="34" t="n"/>
    </row>
    <row r="151">
      <c r="A151" s="33" t="inlineStr">
        <is>
          <t>messages</t>
        </is>
      </c>
      <c r="B151" s="33" t="inlineStr">
        <is>
          <t>title</t>
        </is>
      </c>
      <c r="C151" s="33" t="inlineStr">
        <is>
          <t>VARCHAR</t>
        </is>
      </c>
      <c r="D151" s="34" t="n">
        <v>100</v>
      </c>
      <c r="E151" s="34" t="inlineStr">
        <is>
          <t>Y</t>
        </is>
      </c>
      <c r="F151" s="34" t="n"/>
      <c r="G151" s="34" t="inlineStr">
        <is>
          <t>N</t>
        </is>
      </c>
      <c r="H151" s="34" t="n"/>
      <c r="I151" s="34" t="inlineStr">
        <is>
          <t>N</t>
        </is>
      </c>
      <c r="J151" s="34" t="inlineStr">
        <is>
          <t>메시지 제목</t>
        </is>
      </c>
      <c r="K151" s="34" t="inlineStr">
        <is>
          <t>API-042, API-043</t>
        </is>
      </c>
      <c r="L151" s="34" t="inlineStr">
        <is>
          <t>확정</t>
        </is>
      </c>
      <c r="M151" s="34" t="n"/>
    </row>
    <row r="152">
      <c r="A152" s="33" t="inlineStr">
        <is>
          <t>messages</t>
        </is>
      </c>
      <c r="B152" s="33" t="inlineStr">
        <is>
          <t>content</t>
        </is>
      </c>
      <c r="C152" s="33" t="inlineStr">
        <is>
          <t>TEXT</t>
        </is>
      </c>
      <c r="D152" s="34" t="n"/>
      <c r="E152" s="34" t="inlineStr">
        <is>
          <t>N</t>
        </is>
      </c>
      <c r="F152" s="34" t="n"/>
      <c r="G152" s="34" t="inlineStr">
        <is>
          <t>N</t>
        </is>
      </c>
      <c r="H152" s="34" t="n"/>
      <c r="I152" s="34" t="inlineStr">
        <is>
          <t>N</t>
        </is>
      </c>
      <c r="J152" s="34" t="inlineStr">
        <is>
          <t>메시지 본문</t>
        </is>
      </c>
      <c r="K152" s="34" t="inlineStr">
        <is>
          <t>API-042, API-043</t>
        </is>
      </c>
      <c r="L152" s="34" t="inlineStr">
        <is>
          <t>확정</t>
        </is>
      </c>
      <c r="M152" s="34" t="n"/>
    </row>
    <row r="153">
      <c r="A153" s="33" t="inlineStr">
        <is>
          <t>messages</t>
        </is>
      </c>
      <c r="B153" s="33" t="inlineStr">
        <is>
          <t>recipients</t>
        </is>
      </c>
      <c r="C153" s="33" t="inlineStr">
        <is>
          <t>JSON</t>
        </is>
      </c>
      <c r="D153" s="34" t="n"/>
      <c r="E153" s="34" t="inlineStr">
        <is>
          <t>N</t>
        </is>
      </c>
      <c r="F153" s="34" t="n"/>
      <c r="G153" s="34" t="inlineStr">
        <is>
          <t>N</t>
        </is>
      </c>
      <c r="H153" s="34" t="n"/>
      <c r="I153" s="34" t="inlineStr">
        <is>
          <t>N</t>
        </is>
      </c>
      <c r="J153" s="34" t="inlineStr">
        <is>
          <t>수신자 목록 (JSON)</t>
        </is>
      </c>
      <c r="K153" s="34" t="inlineStr">
        <is>
          <t>API-042, API-043</t>
        </is>
      </c>
      <c r="L153" s="34" t="inlineStr">
        <is>
          <t>확정</t>
        </is>
      </c>
      <c r="M153" s="34" t="n"/>
    </row>
    <row r="154">
      <c r="A154" s="33" t="inlineStr">
        <is>
          <t>messages</t>
        </is>
      </c>
      <c r="B154" s="33" t="inlineStr">
        <is>
          <t>sent_at</t>
        </is>
      </c>
      <c r="C154" s="33" t="inlineStr">
        <is>
          <t>DATETIME</t>
        </is>
      </c>
      <c r="D154" s="34" t="n"/>
      <c r="E154" s="34" t="inlineStr">
        <is>
          <t>Y</t>
        </is>
      </c>
      <c r="F154" s="34" t="inlineStr">
        <is>
          <t>NULL</t>
        </is>
      </c>
      <c r="G154" s="34" t="inlineStr">
        <is>
          <t>N</t>
        </is>
      </c>
      <c r="H154" s="34" t="n"/>
      <c r="I154" s="34" t="inlineStr">
        <is>
          <t>Y</t>
        </is>
      </c>
      <c r="J154" s="34" t="inlineStr">
        <is>
          <t>발송 일시</t>
        </is>
      </c>
      <c r="K154" s="34" t="inlineStr">
        <is>
          <t>API-042, API-043</t>
        </is>
      </c>
      <c r="L154" s="34" t="inlineStr">
        <is>
          <t>확정</t>
        </is>
      </c>
      <c r="M154" s="34" t="n"/>
    </row>
    <row r="155">
      <c r="A155" s="33" t="inlineStr">
        <is>
          <t>messages</t>
        </is>
      </c>
      <c r="B155" s="33" t="inlineStr">
        <is>
          <t>status</t>
        </is>
      </c>
      <c r="C155" s="33" t="inlineStr">
        <is>
          <t>ENUM</t>
        </is>
      </c>
      <c r="D155" s="34" t="n"/>
      <c r="E155" s="34" t="inlineStr">
        <is>
          <t>N</t>
        </is>
      </c>
      <c r="F155" s="34" t="inlineStr">
        <is>
          <t>pending</t>
        </is>
      </c>
      <c r="G155" s="34" t="inlineStr">
        <is>
          <t>N</t>
        </is>
      </c>
      <c r="H155" s="34" t="n"/>
      <c r="I155" s="34" t="inlineStr">
        <is>
          <t>Y</t>
        </is>
      </c>
      <c r="J155" s="34" t="inlineStr">
        <is>
          <t>상태 (pending/sent/failed/cancelled)</t>
        </is>
      </c>
      <c r="K155" s="34" t="inlineStr">
        <is>
          <t>API-042, API-043</t>
        </is>
      </c>
      <c r="L155" s="34" t="inlineStr">
        <is>
          <t>확정</t>
        </is>
      </c>
      <c r="M155" s="34" t="n"/>
    </row>
    <row r="156">
      <c r="A156" s="33" t="inlineStr">
        <is>
          <t>messages</t>
        </is>
      </c>
      <c r="B156" s="33" t="inlineStr">
        <is>
          <t>created_at</t>
        </is>
      </c>
      <c r="C156" s="33" t="inlineStr">
        <is>
          <t>DATETIME</t>
        </is>
      </c>
      <c r="D156" s="34" t="n"/>
      <c r="E156" s="34" t="inlineStr">
        <is>
          <t>N</t>
        </is>
      </c>
      <c r="F156" s="34" t="inlineStr">
        <is>
          <t>NOW()</t>
        </is>
      </c>
      <c r="G156" s="34" t="inlineStr">
        <is>
          <t>N</t>
        </is>
      </c>
      <c r="H156" s="34" t="n"/>
      <c r="I156" s="34" t="inlineStr">
        <is>
          <t>N</t>
        </is>
      </c>
      <c r="J156" s="34" t="inlineStr">
        <is>
          <t>생성일시</t>
        </is>
      </c>
      <c r="K156" s="34" t="inlineStr">
        <is>
          <t>API-042, API-043</t>
        </is>
      </c>
      <c r="L156" s="34" t="inlineStr">
        <is>
          <t>확정</t>
        </is>
      </c>
      <c r="M156" s="34" t="n"/>
    </row>
    <row r="157">
      <c r="A157" s="33" t="inlineStr">
        <is>
          <t>coupons</t>
        </is>
      </c>
      <c r="B157" s="33" t="inlineStr">
        <is>
          <t>id</t>
        </is>
      </c>
      <c r="C157" s="33" t="inlineStr">
        <is>
          <t>BIGINT</t>
        </is>
      </c>
      <c r="D157" s="34" t="n"/>
      <c r="E157" s="34" t="inlineStr">
        <is>
          <t>N</t>
        </is>
      </c>
      <c r="F157" s="34" t="n"/>
      <c r="G157" s="34" t="inlineStr">
        <is>
          <t>Y</t>
        </is>
      </c>
      <c r="H157" s="34" t="n"/>
      <c r="I157" s="34" t="inlineStr">
        <is>
          <t>Y</t>
        </is>
      </c>
      <c r="J157" s="34" t="inlineStr">
        <is>
          <t>쿠폰 고유 ID</t>
        </is>
      </c>
      <c r="K157" s="34" t="inlineStr">
        <is>
          <t>API-044</t>
        </is>
      </c>
      <c r="L157" s="34" t="inlineStr">
        <is>
          <t>확정</t>
        </is>
      </c>
      <c r="M157" s="34" t="n"/>
    </row>
    <row r="158">
      <c r="A158" s="33" t="inlineStr">
        <is>
          <t>coupons</t>
        </is>
      </c>
      <c r="B158" s="33" t="inlineStr">
        <is>
          <t>branch_id</t>
        </is>
      </c>
      <c r="C158" s="33" t="inlineStr">
        <is>
          <t>BIGINT</t>
        </is>
      </c>
      <c r="D158" s="34" t="n"/>
      <c r="E158" s="34" t="inlineStr">
        <is>
          <t>N</t>
        </is>
      </c>
      <c r="F158" s="34" t="n"/>
      <c r="G158" s="34" t="inlineStr">
        <is>
          <t>N</t>
        </is>
      </c>
      <c r="H158" s="34" t="inlineStr">
        <is>
          <t>branches.id</t>
        </is>
      </c>
      <c r="I158" s="34" t="inlineStr">
        <is>
          <t>Y</t>
        </is>
      </c>
      <c r="J158" s="34" t="inlineStr">
        <is>
          <t>지점 FK</t>
        </is>
      </c>
      <c r="K158" s="34" t="inlineStr">
        <is>
          <t>API-044</t>
        </is>
      </c>
      <c r="L158" s="34" t="inlineStr">
        <is>
          <t>확정</t>
        </is>
      </c>
      <c r="M158" s="34" t="n"/>
    </row>
    <row r="159">
      <c r="A159" s="33" t="inlineStr">
        <is>
          <t>coupons</t>
        </is>
      </c>
      <c r="B159" s="33" t="inlineStr">
        <is>
          <t>name</t>
        </is>
      </c>
      <c r="C159" s="33" t="inlineStr">
        <is>
          <t>VARCHAR</t>
        </is>
      </c>
      <c r="D159" s="34" t="n">
        <v>100</v>
      </c>
      <c r="E159" s="34" t="inlineStr">
        <is>
          <t>N</t>
        </is>
      </c>
      <c r="F159" s="34" t="n"/>
      <c r="G159" s="34" t="inlineStr">
        <is>
          <t>N</t>
        </is>
      </c>
      <c r="H159" s="34" t="n"/>
      <c r="I159" s="34" t="inlineStr">
        <is>
          <t>N</t>
        </is>
      </c>
      <c r="J159" s="34" t="inlineStr">
        <is>
          <t>쿠폰명</t>
        </is>
      </c>
      <c r="K159" s="34" t="inlineStr">
        <is>
          <t>API-044</t>
        </is>
      </c>
      <c r="L159" s="34" t="inlineStr">
        <is>
          <t>확정</t>
        </is>
      </c>
      <c r="M159" s="34" t="n"/>
    </row>
    <row r="160">
      <c r="A160" s="33" t="inlineStr">
        <is>
          <t>coupons</t>
        </is>
      </c>
      <c r="B160" s="33" t="inlineStr">
        <is>
          <t>type</t>
        </is>
      </c>
      <c r="C160" s="33" t="inlineStr">
        <is>
          <t>ENUM</t>
        </is>
      </c>
      <c r="D160" s="34" t="n"/>
      <c r="E160" s="34" t="inlineStr">
        <is>
          <t>N</t>
        </is>
      </c>
      <c r="F160" s="34" t="n"/>
      <c r="G160" s="34" t="inlineStr">
        <is>
          <t>N</t>
        </is>
      </c>
      <c r="H160" s="34" t="n"/>
      <c r="I160" s="34" t="inlineStr">
        <is>
          <t>Y</t>
        </is>
      </c>
      <c r="J160" s="34" t="inlineStr">
        <is>
          <t>유형 (rate/amount)</t>
        </is>
      </c>
      <c r="K160" s="34" t="inlineStr">
        <is>
          <t>API-044</t>
        </is>
      </c>
      <c r="L160" s="34" t="inlineStr">
        <is>
          <t>확정</t>
        </is>
      </c>
      <c r="M160" s="34" t="n"/>
    </row>
    <row r="161">
      <c r="A161" s="33" t="inlineStr">
        <is>
          <t>coupons</t>
        </is>
      </c>
      <c r="B161" s="33" t="inlineStr">
        <is>
          <t>discount_value</t>
        </is>
      </c>
      <c r="C161" s="33" t="inlineStr">
        <is>
          <t>INT</t>
        </is>
      </c>
      <c r="D161" s="34" t="n"/>
      <c r="E161" s="34" t="inlineStr">
        <is>
          <t>N</t>
        </is>
      </c>
      <c r="F161" s="34" t="n"/>
      <c r="G161" s="34" t="inlineStr">
        <is>
          <t>N</t>
        </is>
      </c>
      <c r="H161" s="34" t="n"/>
      <c r="I161" s="34" t="inlineStr">
        <is>
          <t>N</t>
        </is>
      </c>
      <c r="J161" s="34" t="inlineStr">
        <is>
          <t>할인값 (% 또는 원)</t>
        </is>
      </c>
      <c r="K161" s="34" t="inlineStr">
        <is>
          <t>API-044</t>
        </is>
      </c>
      <c r="L161" s="34" t="inlineStr">
        <is>
          <t>확정</t>
        </is>
      </c>
      <c r="M161" s="34" t="n"/>
    </row>
    <row r="162">
      <c r="A162" s="33" t="inlineStr">
        <is>
          <t>coupons</t>
        </is>
      </c>
      <c r="B162" s="33" t="inlineStr">
        <is>
          <t>start_date</t>
        </is>
      </c>
      <c r="C162" s="33" t="inlineStr">
        <is>
          <t>DATETIME</t>
        </is>
      </c>
      <c r="D162" s="34" t="n"/>
      <c r="E162" s="34" t="inlineStr">
        <is>
          <t>N</t>
        </is>
      </c>
      <c r="F162" s="34" t="n"/>
      <c r="G162" s="34" t="inlineStr">
        <is>
          <t>N</t>
        </is>
      </c>
      <c r="H162" s="34" t="n"/>
      <c r="I162" s="34" t="inlineStr">
        <is>
          <t>Y</t>
        </is>
      </c>
      <c r="J162" s="34" t="inlineStr">
        <is>
          <t>시작일</t>
        </is>
      </c>
      <c r="K162" s="34" t="inlineStr">
        <is>
          <t>API-044</t>
        </is>
      </c>
      <c r="L162" s="34" t="inlineStr">
        <is>
          <t>확정</t>
        </is>
      </c>
      <c r="M162" s="34" t="n"/>
    </row>
    <row r="163">
      <c r="A163" s="33" t="inlineStr">
        <is>
          <t>coupons</t>
        </is>
      </c>
      <c r="B163" s="33" t="inlineStr">
        <is>
          <t>end_date</t>
        </is>
      </c>
      <c r="C163" s="33" t="inlineStr">
        <is>
          <t>DATETIME</t>
        </is>
      </c>
      <c r="D163" s="34" t="n"/>
      <c r="E163" s="34" t="inlineStr">
        <is>
          <t>N</t>
        </is>
      </c>
      <c r="F163" s="34" t="n"/>
      <c r="G163" s="34" t="inlineStr">
        <is>
          <t>N</t>
        </is>
      </c>
      <c r="H163" s="34" t="n"/>
      <c r="I163" s="34" t="inlineStr">
        <is>
          <t>Y</t>
        </is>
      </c>
      <c r="J163" s="34" t="inlineStr">
        <is>
          <t>종료일</t>
        </is>
      </c>
      <c r="K163" s="34" t="inlineStr">
        <is>
          <t>API-044</t>
        </is>
      </c>
      <c r="L163" s="34" t="inlineStr">
        <is>
          <t>확정</t>
        </is>
      </c>
      <c r="M163" s="34" t="n"/>
    </row>
    <row r="164">
      <c r="A164" s="33" t="inlineStr">
        <is>
          <t>coupons</t>
        </is>
      </c>
      <c r="B164" s="33" t="inlineStr">
        <is>
          <t>usage_limit</t>
        </is>
      </c>
      <c r="C164" s="33" t="inlineStr">
        <is>
          <t>INT</t>
        </is>
      </c>
      <c r="D164" s="34" t="n"/>
      <c r="E164" s="34" t="inlineStr">
        <is>
          <t>Y</t>
        </is>
      </c>
      <c r="F164" s="34" t="n"/>
      <c r="G164" s="34" t="inlineStr">
        <is>
          <t>N</t>
        </is>
      </c>
      <c r="H164" s="34" t="n"/>
      <c r="I164" s="34" t="inlineStr">
        <is>
          <t>N</t>
        </is>
      </c>
      <c r="J164" s="34" t="inlineStr">
        <is>
          <t>사용 한도</t>
        </is>
      </c>
      <c r="K164" s="34" t="inlineStr">
        <is>
          <t>API-044</t>
        </is>
      </c>
      <c r="L164" s="34" t="inlineStr">
        <is>
          <t>확정</t>
        </is>
      </c>
      <c r="M164" s="34" t="n"/>
    </row>
    <row r="165">
      <c r="A165" s="33" t="inlineStr">
        <is>
          <t>coupons</t>
        </is>
      </c>
      <c r="B165" s="33" t="inlineStr">
        <is>
          <t>used_count</t>
        </is>
      </c>
      <c r="C165" s="33" t="inlineStr">
        <is>
          <t>INT</t>
        </is>
      </c>
      <c r="D165" s="34" t="n"/>
      <c r="E165" s="34" t="inlineStr">
        <is>
          <t>N</t>
        </is>
      </c>
      <c r="F165" s="34" t="inlineStr">
        <is>
          <t>0</t>
        </is>
      </c>
      <c r="G165" s="34" t="inlineStr">
        <is>
          <t>N</t>
        </is>
      </c>
      <c r="H165" s="34" t="n"/>
      <c r="I165" s="34" t="inlineStr">
        <is>
          <t>N</t>
        </is>
      </c>
      <c r="J165" s="34" t="inlineStr">
        <is>
          <t>사용 횟수</t>
        </is>
      </c>
      <c r="K165" s="34" t="inlineStr">
        <is>
          <t>API-044</t>
        </is>
      </c>
      <c r="L165" s="34" t="inlineStr">
        <is>
          <t>확정</t>
        </is>
      </c>
      <c r="M165" s="34" t="n"/>
    </row>
    <row r="166">
      <c r="A166" s="33" t="inlineStr">
        <is>
          <t>coupons</t>
        </is>
      </c>
      <c r="B166" s="33" t="inlineStr">
        <is>
          <t>status</t>
        </is>
      </c>
      <c r="C166" s="33" t="inlineStr">
        <is>
          <t>ENUM</t>
        </is>
      </c>
      <c r="D166" s="34" t="n"/>
      <c r="E166" s="34" t="inlineStr">
        <is>
          <t>N</t>
        </is>
      </c>
      <c r="F166" s="34" t="inlineStr">
        <is>
          <t>active</t>
        </is>
      </c>
      <c r="G166" s="34" t="inlineStr">
        <is>
          <t>N</t>
        </is>
      </c>
      <c r="H166" s="34" t="n"/>
      <c r="I166" s="34" t="inlineStr">
        <is>
          <t>Y</t>
        </is>
      </c>
      <c r="J166" s="34" t="inlineStr">
        <is>
          <t>상태 (active/expired/depleted)</t>
        </is>
      </c>
      <c r="K166" s="34" t="inlineStr">
        <is>
          <t>API-044</t>
        </is>
      </c>
      <c r="L166" s="34" t="inlineStr">
        <is>
          <t>확정</t>
        </is>
      </c>
      <c r="M166" s="34" t="n"/>
    </row>
    <row r="167">
      <c r="A167" s="33" t="inlineStr">
        <is>
          <t>coupons</t>
        </is>
      </c>
      <c r="B167" s="33" t="inlineStr">
        <is>
          <t>created_at</t>
        </is>
      </c>
      <c r="C167" s="33" t="inlineStr">
        <is>
          <t>DATETIME</t>
        </is>
      </c>
      <c r="D167" s="34" t="n"/>
      <c r="E167" s="34" t="inlineStr">
        <is>
          <t>N</t>
        </is>
      </c>
      <c r="F167" s="34" t="inlineStr">
        <is>
          <t>NOW()</t>
        </is>
      </c>
      <c r="G167" s="34" t="inlineStr">
        <is>
          <t>N</t>
        </is>
      </c>
      <c r="H167" s="34" t="n"/>
      <c r="I167" s="34" t="inlineStr">
        <is>
          <t>N</t>
        </is>
      </c>
      <c r="J167" s="34" t="inlineStr">
        <is>
          <t>생성일시</t>
        </is>
      </c>
      <c r="K167" s="34" t="inlineStr">
        <is>
          <t>API-044</t>
        </is>
      </c>
      <c r="L167" s="34" t="inlineStr">
        <is>
          <t>확정</t>
        </is>
      </c>
      <c r="M167" s="34" t="n"/>
    </row>
    <row r="168">
      <c r="A168" s="33" t="inlineStr">
        <is>
          <t>contracts</t>
        </is>
      </c>
      <c r="B168" s="33" t="inlineStr">
        <is>
          <t>id</t>
        </is>
      </c>
      <c r="C168" s="33" t="inlineStr">
        <is>
          <t>BIGINT</t>
        </is>
      </c>
      <c r="D168" s="34" t="n"/>
      <c r="E168" s="34" t="inlineStr">
        <is>
          <t>N</t>
        </is>
      </c>
      <c r="F168" s="34" t="n"/>
      <c r="G168" s="34" t="inlineStr">
        <is>
          <t>Y</t>
        </is>
      </c>
      <c r="H168" s="34" t="n"/>
      <c r="I168" s="34" t="inlineStr">
        <is>
          <t>Y</t>
        </is>
      </c>
      <c r="J168" s="34" t="inlineStr">
        <is>
          <t>계약 고유 ID</t>
        </is>
      </c>
      <c r="K168" s="34" t="inlineStr">
        <is>
          <t>API-040, API-041</t>
        </is>
      </c>
      <c r="L168" s="34" t="inlineStr">
        <is>
          <t>확정</t>
        </is>
      </c>
      <c r="M168" s="34" t="n"/>
    </row>
    <row r="169">
      <c r="A169" s="33" t="inlineStr">
        <is>
          <t>contracts</t>
        </is>
      </c>
      <c r="B169" s="33" t="inlineStr">
        <is>
          <t>branch_id</t>
        </is>
      </c>
      <c r="C169" s="33" t="inlineStr">
        <is>
          <t>BIGINT</t>
        </is>
      </c>
      <c r="D169" s="34" t="n"/>
      <c r="E169" s="34" t="inlineStr">
        <is>
          <t>N</t>
        </is>
      </c>
      <c r="F169" s="34" t="n"/>
      <c r="G169" s="34" t="inlineStr">
        <is>
          <t>N</t>
        </is>
      </c>
      <c r="H169" s="34" t="inlineStr">
        <is>
          <t>branches.id</t>
        </is>
      </c>
      <c r="I169" s="34" t="inlineStr">
        <is>
          <t>Y</t>
        </is>
      </c>
      <c r="J169" s="34" t="inlineStr">
        <is>
          <t>지점 FK</t>
        </is>
      </c>
      <c r="K169" s="34" t="inlineStr">
        <is>
          <t>API-040, API-041</t>
        </is>
      </c>
      <c r="L169" s="34" t="inlineStr">
        <is>
          <t>확정</t>
        </is>
      </c>
      <c r="M169" s="34" t="n"/>
    </row>
    <row r="170">
      <c r="A170" s="33" t="inlineStr">
        <is>
          <t>contracts</t>
        </is>
      </c>
      <c r="B170" s="33" t="inlineStr">
        <is>
          <t>member_id</t>
        </is>
      </c>
      <c r="C170" s="33" t="inlineStr">
        <is>
          <t>BIGINT</t>
        </is>
      </c>
      <c r="D170" s="34" t="n"/>
      <c r="E170" s="34" t="inlineStr">
        <is>
          <t>N</t>
        </is>
      </c>
      <c r="F170" s="34" t="n"/>
      <c r="G170" s="34" t="inlineStr">
        <is>
          <t>N</t>
        </is>
      </c>
      <c r="H170" s="34" t="inlineStr">
        <is>
          <t>members.id</t>
        </is>
      </c>
      <c r="I170" s="34" t="inlineStr">
        <is>
          <t>Y</t>
        </is>
      </c>
      <c r="J170" s="34" t="inlineStr">
        <is>
          <t>회원 FK</t>
        </is>
      </c>
      <c r="K170" s="34" t="inlineStr">
        <is>
          <t>API-040, API-041</t>
        </is>
      </c>
      <c r="L170" s="34" t="inlineStr">
        <is>
          <t>확정</t>
        </is>
      </c>
      <c r="M170" s="34" t="n"/>
    </row>
    <row r="171">
      <c r="A171" s="33" t="inlineStr">
        <is>
          <t>contracts</t>
        </is>
      </c>
      <c r="B171" s="33" t="inlineStr">
        <is>
          <t>product_id</t>
        </is>
      </c>
      <c r="C171" s="33" t="inlineStr">
        <is>
          <t>BIGINT</t>
        </is>
      </c>
      <c r="D171" s="34" t="n"/>
      <c r="E171" s="34" t="inlineStr">
        <is>
          <t>N</t>
        </is>
      </c>
      <c r="F171" s="34" t="n"/>
      <c r="G171" s="34" t="inlineStr">
        <is>
          <t>N</t>
        </is>
      </c>
      <c r="H171" s="34" t="inlineStr">
        <is>
          <t>products.id</t>
        </is>
      </c>
      <c r="I171" s="34" t="inlineStr">
        <is>
          <t>Y</t>
        </is>
      </c>
      <c r="J171" s="34" t="inlineStr">
        <is>
          <t>상품 FK</t>
        </is>
      </c>
      <c r="K171" s="34" t="inlineStr">
        <is>
          <t>API-040, API-041</t>
        </is>
      </c>
      <c r="L171" s="34" t="inlineStr">
        <is>
          <t>확정</t>
        </is>
      </c>
      <c r="M171" s="34" t="n"/>
    </row>
    <row r="172">
      <c r="A172" s="33" t="inlineStr">
        <is>
          <t>contracts</t>
        </is>
      </c>
      <c r="B172" s="33" t="inlineStr">
        <is>
          <t>start_date</t>
        </is>
      </c>
      <c r="C172" s="33" t="inlineStr">
        <is>
          <t>DATETIME</t>
        </is>
      </c>
      <c r="D172" s="34" t="n"/>
      <c r="E172" s="34" t="inlineStr">
        <is>
          <t>N</t>
        </is>
      </c>
      <c r="F172" s="34" t="n"/>
      <c r="G172" s="34" t="inlineStr">
        <is>
          <t>N</t>
        </is>
      </c>
      <c r="H172" s="34" t="n"/>
      <c r="I172" s="34" t="inlineStr">
        <is>
          <t>Y</t>
        </is>
      </c>
      <c r="J172" s="34" t="inlineStr">
        <is>
          <t>계약 시작일</t>
        </is>
      </c>
      <c r="K172" s="34" t="inlineStr">
        <is>
          <t>API-040, API-041</t>
        </is>
      </c>
      <c r="L172" s="34" t="inlineStr">
        <is>
          <t>확정</t>
        </is>
      </c>
      <c r="M172" s="34" t="n"/>
    </row>
    <row r="173">
      <c r="A173" s="33" t="inlineStr">
        <is>
          <t>contracts</t>
        </is>
      </c>
      <c r="B173" s="33" t="inlineStr">
        <is>
          <t>end_date</t>
        </is>
      </c>
      <c r="C173" s="33" t="inlineStr">
        <is>
          <t>DATETIME</t>
        </is>
      </c>
      <c r="D173" s="34" t="n"/>
      <c r="E173" s="34" t="inlineStr">
        <is>
          <t>N</t>
        </is>
      </c>
      <c r="F173" s="34" t="n"/>
      <c r="G173" s="34" t="inlineStr">
        <is>
          <t>N</t>
        </is>
      </c>
      <c r="H173" s="34" t="n"/>
      <c r="I173" s="34" t="inlineStr">
        <is>
          <t>Y</t>
        </is>
      </c>
      <c r="J173" s="34" t="inlineStr">
        <is>
          <t>계약 종료일</t>
        </is>
      </c>
      <c r="K173" s="34" t="inlineStr">
        <is>
          <t>API-040, API-041</t>
        </is>
      </c>
      <c r="L173" s="34" t="inlineStr">
        <is>
          <t>확정</t>
        </is>
      </c>
      <c r="M173" s="34" t="n"/>
    </row>
    <row r="174">
      <c r="A174" s="33" t="inlineStr">
        <is>
          <t>contracts</t>
        </is>
      </c>
      <c r="B174" s="33" t="inlineStr">
        <is>
          <t>total_amount</t>
        </is>
      </c>
      <c r="C174" s="33" t="inlineStr">
        <is>
          <t>INT</t>
        </is>
      </c>
      <c r="D174" s="34" t="n"/>
      <c r="E174" s="34" t="inlineStr">
        <is>
          <t>N</t>
        </is>
      </c>
      <c r="F174" s="34" t="inlineStr">
        <is>
          <t>0</t>
        </is>
      </c>
      <c r="G174" s="34" t="inlineStr">
        <is>
          <t>N</t>
        </is>
      </c>
      <c r="H174" s="34" t="n"/>
      <c r="I174" s="34" t="inlineStr">
        <is>
          <t>N</t>
        </is>
      </c>
      <c r="J174" s="34" t="inlineStr">
        <is>
          <t>총 계약 금액</t>
        </is>
      </c>
      <c r="K174" s="34" t="inlineStr">
        <is>
          <t>API-040, API-041</t>
        </is>
      </c>
      <c r="L174" s="34" t="inlineStr">
        <is>
          <t>확정</t>
        </is>
      </c>
      <c r="M174" s="34" t="n"/>
    </row>
    <row r="175">
      <c r="A175" s="33" t="inlineStr">
        <is>
          <t>contracts</t>
        </is>
      </c>
      <c r="B175" s="33" t="inlineStr">
        <is>
          <t>paid_amount</t>
        </is>
      </c>
      <c r="C175" s="33" t="inlineStr">
        <is>
          <t>INT</t>
        </is>
      </c>
      <c r="D175" s="34" t="n"/>
      <c r="E175" s="34" t="inlineStr">
        <is>
          <t>N</t>
        </is>
      </c>
      <c r="F175" s="34" t="inlineStr">
        <is>
          <t>0</t>
        </is>
      </c>
      <c r="G175" s="34" t="inlineStr">
        <is>
          <t>N</t>
        </is>
      </c>
      <c r="H175" s="34" t="n"/>
      <c r="I175" s="34" t="inlineStr">
        <is>
          <t>N</t>
        </is>
      </c>
      <c r="J175" s="34" t="inlineStr">
        <is>
          <t>납부 금액</t>
        </is>
      </c>
      <c r="K175" s="34" t="inlineStr">
        <is>
          <t>API-040, API-041</t>
        </is>
      </c>
      <c r="L175" s="34" t="inlineStr">
        <is>
          <t>확정</t>
        </is>
      </c>
      <c r="M175" s="34" t="n"/>
    </row>
    <row r="176">
      <c r="A176" s="33" t="inlineStr">
        <is>
          <t>contracts</t>
        </is>
      </c>
      <c r="B176" s="33" t="inlineStr">
        <is>
          <t>status</t>
        </is>
      </c>
      <c r="C176" s="33" t="inlineStr">
        <is>
          <t>ENUM</t>
        </is>
      </c>
      <c r="D176" s="34" t="n"/>
      <c r="E176" s="34" t="inlineStr">
        <is>
          <t>N</t>
        </is>
      </c>
      <c r="F176" s="34" t="inlineStr">
        <is>
          <t>active</t>
        </is>
      </c>
      <c r="G176" s="34" t="inlineStr">
        <is>
          <t>N</t>
        </is>
      </c>
      <c r="H176" s="34" t="n"/>
      <c r="I176" s="34" t="inlineStr">
        <is>
          <t>Y</t>
        </is>
      </c>
      <c r="J176" s="34" t="inlineStr">
        <is>
          <t>상태 (active/completed/cancelled)</t>
        </is>
      </c>
      <c r="K176" s="34" t="inlineStr">
        <is>
          <t>API-040, API-041</t>
        </is>
      </c>
      <c r="L176" s="34" t="inlineStr">
        <is>
          <t>확정</t>
        </is>
      </c>
      <c r="M176" s="34" t="n"/>
    </row>
    <row r="177">
      <c r="A177" s="33" t="inlineStr">
        <is>
          <t>contracts</t>
        </is>
      </c>
      <c r="B177" s="33" t="inlineStr">
        <is>
          <t>created_at</t>
        </is>
      </c>
      <c r="C177" s="33" t="inlineStr">
        <is>
          <t>DATETIME</t>
        </is>
      </c>
      <c r="D177" s="34" t="n"/>
      <c r="E177" s="34" t="inlineStr">
        <is>
          <t>N</t>
        </is>
      </c>
      <c r="F177" s="34" t="inlineStr">
        <is>
          <t>NOW()</t>
        </is>
      </c>
      <c r="G177" s="34" t="inlineStr">
        <is>
          <t>N</t>
        </is>
      </c>
      <c r="H177" s="34" t="n"/>
      <c r="I177" s="34" t="inlineStr">
        <is>
          <t>N</t>
        </is>
      </c>
      <c r="J177" s="34" t="inlineStr">
        <is>
          <t>생성일시</t>
        </is>
      </c>
      <c r="K177" s="34" t="inlineStr">
        <is>
          <t>API-040, API-041</t>
        </is>
      </c>
      <c r="L177" s="34" t="inlineStr">
        <is>
          <t>확정</t>
        </is>
      </c>
      <c r="M177" s="34" t="n"/>
    </row>
    <row r="178">
      <c r="A178" s="33" t="inlineStr">
        <is>
          <t>mileage</t>
        </is>
      </c>
      <c r="B178" s="33" t="inlineStr">
        <is>
          <t>id</t>
        </is>
      </c>
      <c r="C178" s="33" t="inlineStr">
        <is>
          <t>BIGINT</t>
        </is>
      </c>
      <c r="D178" s="34" t="n"/>
      <c r="E178" s="34" t="inlineStr">
        <is>
          <t>N</t>
        </is>
      </c>
      <c r="F178" s="34" t="n"/>
      <c r="G178" s="34" t="inlineStr">
        <is>
          <t>Y</t>
        </is>
      </c>
      <c r="H178" s="34" t="n"/>
      <c r="I178" s="34" t="inlineStr">
        <is>
          <t>Y</t>
        </is>
      </c>
      <c r="J178" s="34" t="inlineStr">
        <is>
          <t>마일리지 고유 ID</t>
        </is>
      </c>
      <c r="K178" s="34" t="inlineStr">
        <is>
          <t>API-045</t>
        </is>
      </c>
      <c r="L178" s="34" t="inlineStr">
        <is>
          <t>확정</t>
        </is>
      </c>
      <c r="M178" s="34" t="n"/>
    </row>
    <row r="179">
      <c r="A179" s="33" t="inlineStr">
        <is>
          <t>mileage</t>
        </is>
      </c>
      <c r="B179" s="33" t="inlineStr">
        <is>
          <t>branch_id</t>
        </is>
      </c>
      <c r="C179" s="33" t="inlineStr">
        <is>
          <t>BIGINT</t>
        </is>
      </c>
      <c r="D179" s="34" t="n"/>
      <c r="E179" s="34" t="inlineStr">
        <is>
          <t>N</t>
        </is>
      </c>
      <c r="F179" s="34" t="n"/>
      <c r="G179" s="34" t="inlineStr">
        <is>
          <t>N</t>
        </is>
      </c>
      <c r="H179" s="34" t="inlineStr">
        <is>
          <t>branches.id</t>
        </is>
      </c>
      <c r="I179" s="34" t="inlineStr">
        <is>
          <t>Y</t>
        </is>
      </c>
      <c r="J179" s="34" t="inlineStr">
        <is>
          <t>지점 FK</t>
        </is>
      </c>
      <c r="K179" s="34" t="inlineStr">
        <is>
          <t>API-045</t>
        </is>
      </c>
      <c r="L179" s="34" t="inlineStr">
        <is>
          <t>확정</t>
        </is>
      </c>
      <c r="M179" s="34" t="n"/>
    </row>
    <row r="180">
      <c r="A180" s="33" t="inlineStr">
        <is>
          <t>mileage</t>
        </is>
      </c>
      <c r="B180" s="33" t="inlineStr">
        <is>
          <t>member_id</t>
        </is>
      </c>
      <c r="C180" s="33" t="inlineStr">
        <is>
          <t>BIGINT</t>
        </is>
      </c>
      <c r="D180" s="34" t="n"/>
      <c r="E180" s="34" t="inlineStr">
        <is>
          <t>N</t>
        </is>
      </c>
      <c r="F180" s="34" t="n"/>
      <c r="G180" s="34" t="inlineStr">
        <is>
          <t>N</t>
        </is>
      </c>
      <c r="H180" s="34" t="inlineStr">
        <is>
          <t>members.id</t>
        </is>
      </c>
      <c r="I180" s="34" t="inlineStr">
        <is>
          <t>Y</t>
        </is>
      </c>
      <c r="J180" s="34" t="inlineStr">
        <is>
          <t>회원 FK</t>
        </is>
      </c>
      <c r="K180" s="34" t="inlineStr">
        <is>
          <t>API-045</t>
        </is>
      </c>
      <c r="L180" s="34" t="inlineStr">
        <is>
          <t>확정</t>
        </is>
      </c>
      <c r="M180" s="34" t="n"/>
    </row>
    <row r="181">
      <c r="A181" s="33" t="inlineStr">
        <is>
          <t>mileage</t>
        </is>
      </c>
      <c r="B181" s="33" t="inlineStr">
        <is>
          <t>type</t>
        </is>
      </c>
      <c r="C181" s="33" t="inlineStr">
        <is>
          <t>ENUM</t>
        </is>
      </c>
      <c r="D181" s="34" t="n"/>
      <c r="E181" s="34" t="inlineStr">
        <is>
          <t>N</t>
        </is>
      </c>
      <c r="F181" s="34" t="n"/>
      <c r="G181" s="34" t="inlineStr">
        <is>
          <t>N</t>
        </is>
      </c>
      <c r="H181" s="34" t="n"/>
      <c r="I181" s="34" t="inlineStr">
        <is>
          <t>Y</t>
        </is>
      </c>
      <c r="J181" s="34" t="inlineStr">
        <is>
          <t>유형 (earn/use/cancel)</t>
        </is>
      </c>
      <c r="K181" s="34" t="inlineStr">
        <is>
          <t>API-045</t>
        </is>
      </c>
      <c r="L181" s="34" t="inlineStr">
        <is>
          <t>확정</t>
        </is>
      </c>
      <c r="M181" s="34" t="n"/>
    </row>
    <row r="182">
      <c r="A182" s="33" t="inlineStr">
        <is>
          <t>mileage</t>
        </is>
      </c>
      <c r="B182" s="33" t="inlineStr">
        <is>
          <t>amount</t>
        </is>
      </c>
      <c r="C182" s="33" t="inlineStr">
        <is>
          <t>INT</t>
        </is>
      </c>
      <c r="D182" s="34" t="n"/>
      <c r="E182" s="34" t="inlineStr">
        <is>
          <t>N</t>
        </is>
      </c>
      <c r="F182" s="34" t="inlineStr">
        <is>
          <t>0</t>
        </is>
      </c>
      <c r="G182" s="34" t="inlineStr">
        <is>
          <t>N</t>
        </is>
      </c>
      <c r="H182" s="34" t="n"/>
      <c r="I182" s="34" t="inlineStr">
        <is>
          <t>N</t>
        </is>
      </c>
      <c r="J182" s="34" t="inlineStr">
        <is>
          <t>변동 금액</t>
        </is>
      </c>
      <c r="K182" s="34" t="inlineStr">
        <is>
          <t>API-045</t>
        </is>
      </c>
      <c r="L182" s="34" t="inlineStr">
        <is>
          <t>확정</t>
        </is>
      </c>
      <c r="M182" s="34" t="n"/>
    </row>
    <row r="183">
      <c r="A183" s="33" t="inlineStr">
        <is>
          <t>mileage</t>
        </is>
      </c>
      <c r="B183" s="33" t="inlineStr">
        <is>
          <t>balance</t>
        </is>
      </c>
      <c r="C183" s="33" t="inlineStr">
        <is>
          <t>INT</t>
        </is>
      </c>
      <c r="D183" s="34" t="n"/>
      <c r="E183" s="34" t="inlineStr">
        <is>
          <t>N</t>
        </is>
      </c>
      <c r="F183" s="34" t="inlineStr">
        <is>
          <t>0</t>
        </is>
      </c>
      <c r="G183" s="34" t="inlineStr">
        <is>
          <t>N</t>
        </is>
      </c>
      <c r="H183" s="34" t="n"/>
      <c r="I183" s="34" t="inlineStr">
        <is>
          <t>N</t>
        </is>
      </c>
      <c r="J183" s="34" t="inlineStr">
        <is>
          <t>변동 후 잔액</t>
        </is>
      </c>
      <c r="K183" s="34" t="inlineStr">
        <is>
          <t>API-045</t>
        </is>
      </c>
      <c r="L183" s="34" t="inlineStr">
        <is>
          <t>확정</t>
        </is>
      </c>
      <c r="M183" s="34" t="n"/>
    </row>
    <row r="184">
      <c r="A184" s="33" t="inlineStr">
        <is>
          <t>mileage</t>
        </is>
      </c>
      <c r="B184" s="33" t="inlineStr">
        <is>
          <t>description</t>
        </is>
      </c>
      <c r="C184" s="33" t="inlineStr">
        <is>
          <t>VARCHAR</t>
        </is>
      </c>
      <c r="D184" s="34" t="n">
        <v>200</v>
      </c>
      <c r="E184" s="34" t="inlineStr">
        <is>
          <t>Y</t>
        </is>
      </c>
      <c r="F184" s="34" t="n"/>
      <c r="G184" s="34" t="inlineStr">
        <is>
          <t>N</t>
        </is>
      </c>
      <c r="H184" s="34" t="n"/>
      <c r="I184" s="34" t="inlineStr">
        <is>
          <t>N</t>
        </is>
      </c>
      <c r="J184" s="34" t="inlineStr">
        <is>
          <t>변동 사유</t>
        </is>
      </c>
      <c r="K184" s="34" t="inlineStr">
        <is>
          <t>API-045</t>
        </is>
      </c>
      <c r="L184" s="34" t="inlineStr">
        <is>
          <t>확정</t>
        </is>
      </c>
      <c r="M184" s="34" t="n"/>
    </row>
    <row r="185">
      <c r="A185" s="33" t="inlineStr">
        <is>
          <t>mileage</t>
        </is>
      </c>
      <c r="B185" s="33" t="inlineStr">
        <is>
          <t>created_at</t>
        </is>
      </c>
      <c r="C185" s="33" t="inlineStr">
        <is>
          <t>DATETIME</t>
        </is>
      </c>
      <c r="D185" s="34" t="n"/>
      <c r="E185" s="34" t="inlineStr">
        <is>
          <t>N</t>
        </is>
      </c>
      <c r="F185" s="34" t="inlineStr">
        <is>
          <t>NOW()</t>
        </is>
      </c>
      <c r="G185" s="34" t="inlineStr">
        <is>
          <t>N</t>
        </is>
      </c>
      <c r="H185" s="34" t="n"/>
      <c r="I185" s="34" t="inlineStr">
        <is>
          <t>N</t>
        </is>
      </c>
      <c r="J185" s="34" t="inlineStr">
        <is>
          <t>생성일시</t>
        </is>
      </c>
      <c r="K185" s="34" t="inlineStr">
        <is>
          <t>API-045</t>
        </is>
      </c>
      <c r="L185" s="34" t="inlineStr">
        <is>
          <t>확정</t>
        </is>
      </c>
      <c r="M185" s="34" t="n"/>
    </row>
    <row r="186">
      <c r="A186" s="33" t="inlineStr">
        <is>
          <t>body_compositions</t>
        </is>
      </c>
      <c r="B186" s="33" t="inlineStr">
        <is>
          <t>id</t>
        </is>
      </c>
      <c r="C186" s="33" t="inlineStr">
        <is>
          <t>BIGINT</t>
        </is>
      </c>
      <c r="D186" s="34" t="n"/>
      <c r="E186" s="34" t="inlineStr">
        <is>
          <t>N</t>
        </is>
      </c>
      <c r="F186" s="34" t="inlineStr">
        <is>
          <t>AUTO_INCREMENT</t>
        </is>
      </c>
      <c r="G186" s="34" t="inlineStr">
        <is>
          <t>Y</t>
        </is>
      </c>
      <c r="H186" s="34" t="n"/>
      <c r="I186" s="34" t="inlineStr">
        <is>
          <t>Y</t>
        </is>
      </c>
      <c r="J186" s="34" t="inlineStr">
        <is>
          <t>체성분 기록 고유 ID</t>
        </is>
      </c>
      <c r="K186" s="34" t="n"/>
      <c r="L186" s="34" t="inlineStr">
        <is>
          <t>확정</t>
        </is>
      </c>
      <c r="M186" s="34" t="n"/>
    </row>
    <row r="187">
      <c r="A187" s="33" t="inlineStr">
        <is>
          <t>body_compositions</t>
        </is>
      </c>
      <c r="B187" s="33" t="inlineStr">
        <is>
          <t>member_id</t>
        </is>
      </c>
      <c r="C187" s="33" t="inlineStr">
        <is>
          <t>BIGINT</t>
        </is>
      </c>
      <c r="D187" s="34" t="n"/>
      <c r="E187" s="34" t="inlineStr">
        <is>
          <t>N</t>
        </is>
      </c>
      <c r="F187" s="34" t="n"/>
      <c r="G187" s="34" t="inlineStr">
        <is>
          <t>N</t>
        </is>
      </c>
      <c r="H187" s="34" t="inlineStr">
        <is>
          <t>members(id)</t>
        </is>
      </c>
      <c r="I187" s="34" t="inlineStr">
        <is>
          <t>Y</t>
        </is>
      </c>
      <c r="J187" s="34" t="inlineStr">
        <is>
          <t>회원 ID (FK)</t>
        </is>
      </c>
      <c r="K187" s="34" t="n"/>
      <c r="L187" s="34" t="inlineStr">
        <is>
          <t>확정</t>
        </is>
      </c>
      <c r="M187" s="34" t="n"/>
    </row>
    <row r="188">
      <c r="A188" s="33" t="inlineStr">
        <is>
          <t>body_compositions</t>
        </is>
      </c>
      <c r="B188" s="33" t="inlineStr">
        <is>
          <t>date</t>
        </is>
      </c>
      <c r="C188" s="33" t="inlineStr">
        <is>
          <t>DATETIME</t>
        </is>
      </c>
      <c r="D188" s="34" t="n"/>
      <c r="E188" s="34" t="inlineStr">
        <is>
          <t>N</t>
        </is>
      </c>
      <c r="F188" s="34" t="inlineStr">
        <is>
          <t>NOW()</t>
        </is>
      </c>
      <c r="G188" s="34" t="inlineStr">
        <is>
          <t>N</t>
        </is>
      </c>
      <c r="H188" s="34" t="n"/>
      <c r="I188" s="34" t="inlineStr">
        <is>
          <t>N</t>
        </is>
      </c>
      <c r="J188" s="34" t="inlineStr">
        <is>
          <t>측정일</t>
        </is>
      </c>
      <c r="K188" s="34" t="n"/>
      <c r="L188" s="34" t="inlineStr">
        <is>
          <t>확정</t>
        </is>
      </c>
      <c r="M188" s="34" t="n"/>
    </row>
    <row r="189">
      <c r="A189" s="33" t="inlineStr">
        <is>
          <t>body_compositions</t>
        </is>
      </c>
      <c r="B189" s="33" t="inlineStr">
        <is>
          <t>weight</t>
        </is>
      </c>
      <c r="C189" s="33" t="inlineStr">
        <is>
          <t>FLOAT</t>
        </is>
      </c>
      <c r="D189" s="34" t="n"/>
      <c r="E189" s="34" t="inlineStr">
        <is>
          <t>Y</t>
        </is>
      </c>
      <c r="F189" s="34" t="n"/>
      <c r="G189" s="34" t="inlineStr">
        <is>
          <t>N</t>
        </is>
      </c>
      <c r="H189" s="34" t="n"/>
      <c r="I189" s="34" t="inlineStr">
        <is>
          <t>N</t>
        </is>
      </c>
      <c r="J189" s="34" t="inlineStr">
        <is>
          <t>체중 (kg)</t>
        </is>
      </c>
      <c r="K189" s="34" t="n"/>
      <c r="L189" s="34" t="inlineStr">
        <is>
          <t>확정</t>
        </is>
      </c>
      <c r="M189" s="34" t="n"/>
    </row>
    <row r="190">
      <c r="A190" s="33" t="inlineStr">
        <is>
          <t>body_compositions</t>
        </is>
      </c>
      <c r="B190" s="33" t="inlineStr">
        <is>
          <t>muscle</t>
        </is>
      </c>
      <c r="C190" s="33" t="inlineStr">
        <is>
          <t>FLOAT</t>
        </is>
      </c>
      <c r="D190" s="34" t="n"/>
      <c r="E190" s="34" t="inlineStr">
        <is>
          <t>Y</t>
        </is>
      </c>
      <c r="F190" s="34" t="n"/>
      <c r="G190" s="34" t="inlineStr">
        <is>
          <t>N</t>
        </is>
      </c>
      <c r="H190" s="34" t="n"/>
      <c r="I190" s="34" t="inlineStr">
        <is>
          <t>N</t>
        </is>
      </c>
      <c r="J190" s="34" t="inlineStr">
        <is>
          <t>골격근량 (kg)</t>
        </is>
      </c>
      <c r="K190" s="34" t="n"/>
      <c r="L190" s="34" t="inlineStr">
        <is>
          <t>확정</t>
        </is>
      </c>
      <c r="M190" s="34" t="n"/>
    </row>
    <row r="191">
      <c r="A191" s="33" t="inlineStr">
        <is>
          <t>body_compositions</t>
        </is>
      </c>
      <c r="B191" s="33" t="inlineStr">
        <is>
          <t>fat</t>
        </is>
      </c>
      <c r="C191" s="33" t="inlineStr">
        <is>
          <t>FLOAT</t>
        </is>
      </c>
      <c r="D191" s="34" t="n"/>
      <c r="E191" s="34" t="inlineStr">
        <is>
          <t>Y</t>
        </is>
      </c>
      <c r="F191" s="34" t="n"/>
      <c r="G191" s="34" t="inlineStr">
        <is>
          <t>N</t>
        </is>
      </c>
      <c r="H191" s="34" t="n"/>
      <c r="I191" s="34" t="inlineStr">
        <is>
          <t>N</t>
        </is>
      </c>
      <c r="J191" s="34" t="inlineStr">
        <is>
          <t>체지방량 (kg)</t>
        </is>
      </c>
      <c r="K191" s="34" t="n"/>
      <c r="L191" s="34" t="inlineStr">
        <is>
          <t>확정</t>
        </is>
      </c>
      <c r="M191" s="34" t="n"/>
    </row>
    <row r="192">
      <c r="A192" s="33" t="inlineStr">
        <is>
          <t>body_compositions</t>
        </is>
      </c>
      <c r="B192" s="33" t="inlineStr">
        <is>
          <t>fat_rate</t>
        </is>
      </c>
      <c r="C192" s="33" t="inlineStr">
        <is>
          <t>FLOAT</t>
        </is>
      </c>
      <c r="D192" s="34" t="n"/>
      <c r="E192" s="34" t="inlineStr">
        <is>
          <t>Y</t>
        </is>
      </c>
      <c r="F192" s="34" t="n"/>
      <c r="G192" s="34" t="inlineStr">
        <is>
          <t>N</t>
        </is>
      </c>
      <c r="H192" s="34" t="n"/>
      <c r="I192" s="34" t="inlineStr">
        <is>
          <t>N</t>
        </is>
      </c>
      <c r="J192" s="34" t="inlineStr">
        <is>
          <t>체지방률 (%)</t>
        </is>
      </c>
      <c r="K192" s="34" t="n"/>
      <c r="L192" s="34" t="inlineStr">
        <is>
          <t>확정</t>
        </is>
      </c>
      <c r="M192" s="34" t="n"/>
    </row>
    <row r="193">
      <c r="A193" s="33" t="inlineStr">
        <is>
          <t>body_compositions</t>
        </is>
      </c>
      <c r="B193" s="33" t="inlineStr">
        <is>
          <t>bmi</t>
        </is>
      </c>
      <c r="C193" s="33" t="inlineStr">
        <is>
          <t>FLOAT</t>
        </is>
      </c>
      <c r="D193" s="34" t="n"/>
      <c r="E193" s="34" t="inlineStr">
        <is>
          <t>Y</t>
        </is>
      </c>
      <c r="F193" s="34" t="n"/>
      <c r="G193" s="34" t="inlineStr">
        <is>
          <t>N</t>
        </is>
      </c>
      <c r="H193" s="34" t="n"/>
      <c r="I193" s="34" t="inlineStr">
        <is>
          <t>N</t>
        </is>
      </c>
      <c r="J193" s="34" t="inlineStr">
        <is>
          <t>BMI 지수</t>
        </is>
      </c>
      <c r="K193" s="34" t="n"/>
      <c r="L193" s="34" t="inlineStr">
        <is>
          <t>확정</t>
        </is>
      </c>
      <c r="M193" s="34" t="n"/>
    </row>
    <row r="194">
      <c r="A194" s="33" t="inlineStr">
        <is>
          <t>body_compositions</t>
        </is>
      </c>
      <c r="B194" s="33" t="inlineStr">
        <is>
          <t>memo</t>
        </is>
      </c>
      <c r="C194" s="33" t="inlineStr">
        <is>
          <t>TEXT</t>
        </is>
      </c>
      <c r="D194" s="34" t="n"/>
      <c r="E194" s="34" t="inlineStr">
        <is>
          <t>Y</t>
        </is>
      </c>
      <c r="F194" s="34" t="n"/>
      <c r="G194" s="34" t="inlineStr">
        <is>
          <t>N</t>
        </is>
      </c>
      <c r="H194" s="34" t="n"/>
      <c r="I194" s="34" t="inlineStr">
        <is>
          <t>N</t>
        </is>
      </c>
      <c r="J194" s="34" t="inlineStr">
        <is>
          <t>메모</t>
        </is>
      </c>
      <c r="K194" s="34" t="n"/>
      <c r="L194" s="34" t="inlineStr">
        <is>
          <t>확정</t>
        </is>
      </c>
      <c r="M194" s="34" t="n"/>
    </row>
    <row r="195">
      <c r="A195" s="33" t="inlineStr">
        <is>
          <t>body_compositions</t>
        </is>
      </c>
      <c r="B195" s="33" t="inlineStr">
        <is>
          <t>created_at</t>
        </is>
      </c>
      <c r="C195" s="33" t="inlineStr">
        <is>
          <t>DATETIME</t>
        </is>
      </c>
      <c r="D195" s="34" t="n"/>
      <c r="E195" s="34" t="inlineStr">
        <is>
          <t>N</t>
        </is>
      </c>
      <c r="F195" s="34" t="inlineStr">
        <is>
          <t>NOW()</t>
        </is>
      </c>
      <c r="G195" s="34" t="inlineStr">
        <is>
          <t>N</t>
        </is>
      </c>
      <c r="H195" s="34" t="n"/>
      <c r="I195" s="34" t="inlineStr">
        <is>
          <t>N</t>
        </is>
      </c>
      <c r="J195" s="34" t="inlineStr">
        <is>
          <t>생성일시</t>
        </is>
      </c>
      <c r="K195" s="34" t="n"/>
      <c r="L195" s="34" t="inlineStr">
        <is>
          <t>확정</t>
        </is>
      </c>
      <c r="M195" s="34" t="n"/>
    </row>
    <row r="196">
      <c r="A196" s="33" t="inlineStr">
        <is>
          <t>member_memos</t>
        </is>
      </c>
      <c r="B196" s="33" t="inlineStr">
        <is>
          <t>id</t>
        </is>
      </c>
      <c r="C196" s="33" t="inlineStr">
        <is>
          <t>BIGINT</t>
        </is>
      </c>
      <c r="D196" s="34" t="n"/>
      <c r="E196" s="34" t="inlineStr">
        <is>
          <t>N</t>
        </is>
      </c>
      <c r="F196" s="34" t="inlineStr">
        <is>
          <t>AUTO_INCREMENT</t>
        </is>
      </c>
      <c r="G196" s="34" t="inlineStr">
        <is>
          <t>Y</t>
        </is>
      </c>
      <c r="H196" s="34" t="n"/>
      <c r="I196" s="34" t="inlineStr">
        <is>
          <t>Y</t>
        </is>
      </c>
      <c r="J196" s="34" t="inlineStr">
        <is>
          <t>메모 고유 ID</t>
        </is>
      </c>
      <c r="K196" s="34" t="n"/>
      <c r="L196" s="34" t="inlineStr">
        <is>
          <t>확정</t>
        </is>
      </c>
      <c r="M196" s="34" t="n"/>
    </row>
    <row r="197">
      <c r="A197" s="33" t="inlineStr">
        <is>
          <t>member_memos</t>
        </is>
      </c>
      <c r="B197" s="33" t="inlineStr">
        <is>
          <t>member_id</t>
        </is>
      </c>
      <c r="C197" s="33" t="inlineStr">
        <is>
          <t>BIGINT</t>
        </is>
      </c>
      <c r="D197" s="34" t="n"/>
      <c r="E197" s="34" t="inlineStr">
        <is>
          <t>N</t>
        </is>
      </c>
      <c r="F197" s="34" t="n"/>
      <c r="G197" s="34" t="inlineStr">
        <is>
          <t>N</t>
        </is>
      </c>
      <c r="H197" s="34" t="inlineStr">
        <is>
          <t>members(id)</t>
        </is>
      </c>
      <c r="I197" s="34" t="inlineStr">
        <is>
          <t>Y</t>
        </is>
      </c>
      <c r="J197" s="34" t="inlineStr">
        <is>
          <t>회원 ID (FK)</t>
        </is>
      </c>
      <c r="K197" s="34" t="n"/>
      <c r="L197" s="34" t="inlineStr">
        <is>
          <t>확정</t>
        </is>
      </c>
      <c r="M197" s="34" t="n"/>
    </row>
    <row r="198">
      <c r="A198" s="33" t="inlineStr">
        <is>
          <t>member_memos</t>
        </is>
      </c>
      <c r="B198" s="33" t="inlineStr">
        <is>
          <t>content</t>
        </is>
      </c>
      <c r="C198" s="33" t="inlineStr">
        <is>
          <t>TEXT</t>
        </is>
      </c>
      <c r="D198" s="34" t="n"/>
      <c r="E198" s="34" t="inlineStr">
        <is>
          <t>N</t>
        </is>
      </c>
      <c r="F198" s="34" t="n"/>
      <c r="G198" s="34" t="inlineStr">
        <is>
          <t>N</t>
        </is>
      </c>
      <c r="H198" s="34" t="n"/>
      <c r="I198" s="34" t="inlineStr">
        <is>
          <t>N</t>
        </is>
      </c>
      <c r="J198" s="34" t="inlineStr">
        <is>
          <t>메모 내용</t>
        </is>
      </c>
      <c r="K198" s="34" t="n"/>
      <c r="L198" s="34" t="inlineStr">
        <is>
          <t>확정</t>
        </is>
      </c>
      <c r="M198" s="34" t="n"/>
    </row>
    <row r="199">
      <c r="A199" s="33" t="inlineStr">
        <is>
          <t>member_memos</t>
        </is>
      </c>
      <c r="B199" s="33" t="inlineStr">
        <is>
          <t>category</t>
        </is>
      </c>
      <c r="C199" s="33" t="inlineStr">
        <is>
          <t>VARCHAR</t>
        </is>
      </c>
      <c r="D199" s="34" t="n">
        <v>20</v>
      </c>
      <c r="E199" s="34" t="inlineStr">
        <is>
          <t>Y</t>
        </is>
      </c>
      <c r="F199" s="34" t="n"/>
      <c r="G199" s="34" t="inlineStr">
        <is>
          <t>N</t>
        </is>
      </c>
      <c r="H199" s="34" t="n"/>
      <c r="I199" s="34" t="inlineStr">
        <is>
          <t>N</t>
        </is>
      </c>
      <c r="J199" s="34" t="inlineStr">
        <is>
          <t>분류 (상담/불만/일반/건강)</t>
        </is>
      </c>
      <c r="K199" s="34" t="n"/>
      <c r="L199" s="34" t="inlineStr">
        <is>
          <t>확정</t>
        </is>
      </c>
      <c r="M199" s="34" t="n"/>
    </row>
    <row r="200">
      <c r="A200" s="33" t="inlineStr">
        <is>
          <t>member_memos</t>
        </is>
      </c>
      <c r="B200" s="33" t="inlineStr">
        <is>
          <t>author</t>
        </is>
      </c>
      <c r="C200" s="33" t="inlineStr">
        <is>
          <t>VARCHAR</t>
        </is>
      </c>
      <c r="D200" s="34" t="n">
        <v>50</v>
      </c>
      <c r="E200" s="34" t="inlineStr">
        <is>
          <t>Y</t>
        </is>
      </c>
      <c r="F200" s="34" t="n"/>
      <c r="G200" s="34" t="inlineStr">
        <is>
          <t>N</t>
        </is>
      </c>
      <c r="H200" s="34" t="n"/>
      <c r="I200" s="34" t="inlineStr">
        <is>
          <t>N</t>
        </is>
      </c>
      <c r="J200" s="34" t="inlineStr">
        <is>
          <t>작성자명</t>
        </is>
      </c>
      <c r="K200" s="34" t="n"/>
      <c r="L200" s="34" t="inlineStr">
        <is>
          <t>확정</t>
        </is>
      </c>
      <c r="M200" s="34" t="n"/>
    </row>
    <row r="201">
      <c r="A201" s="33" t="inlineStr">
        <is>
          <t>member_memos</t>
        </is>
      </c>
      <c r="B201" s="33" t="inlineStr">
        <is>
          <t>created_at</t>
        </is>
      </c>
      <c r="C201" s="33" t="inlineStr">
        <is>
          <t>DATETIME</t>
        </is>
      </c>
      <c r="D201" s="34" t="n"/>
      <c r="E201" s="34" t="inlineStr">
        <is>
          <t>N</t>
        </is>
      </c>
      <c r="F201" s="34" t="inlineStr">
        <is>
          <t>NOW()</t>
        </is>
      </c>
      <c r="G201" s="34" t="inlineStr">
        <is>
          <t>N</t>
        </is>
      </c>
      <c r="H201" s="34" t="n"/>
      <c r="I201" s="34" t="inlineStr">
        <is>
          <t>N</t>
        </is>
      </c>
      <c r="J201" s="34" t="inlineStr">
        <is>
          <t>생성일시</t>
        </is>
      </c>
      <c r="K201" s="34" t="n"/>
      <c r="L201" s="34" t="inlineStr">
        <is>
          <t>확정</t>
        </is>
      </c>
      <c r="M201" s="34" t="n"/>
    </row>
    <row r="202">
      <c r="A202" s="33" t="inlineStr">
        <is>
          <t>member_memos</t>
        </is>
      </c>
      <c r="B202" s="33" t="inlineStr">
        <is>
          <t>updated_at</t>
        </is>
      </c>
      <c r="C202" s="33" t="inlineStr">
        <is>
          <t>DATETIME</t>
        </is>
      </c>
      <c r="D202" s="34" t="n"/>
      <c r="E202" s="34" t="inlineStr">
        <is>
          <t>N</t>
        </is>
      </c>
      <c r="F202" s="34" t="inlineStr">
        <is>
          <t>NOW()</t>
        </is>
      </c>
      <c r="G202" s="34" t="inlineStr">
        <is>
          <t>N</t>
        </is>
      </c>
      <c r="H202" s="34" t="n"/>
      <c r="I202" s="34" t="inlineStr">
        <is>
          <t>N</t>
        </is>
      </c>
      <c r="J202" s="34" t="inlineStr">
        <is>
          <t>수정일시</t>
        </is>
      </c>
      <c r="K202" s="34" t="n"/>
      <c r="L202" s="34" t="inlineStr">
        <is>
          <t>확정</t>
        </is>
      </c>
      <c r="M202" s="34" t="n"/>
    </row>
    <row r="203">
      <c r="A203" s="33" t="inlineStr">
        <is>
          <t>member_goals</t>
        </is>
      </c>
      <c r="B203" s="33" t="inlineStr">
        <is>
          <t>id</t>
        </is>
      </c>
      <c r="C203" s="33" t="inlineStr">
        <is>
          <t>BIGINT</t>
        </is>
      </c>
      <c r="D203" s="34" t="n"/>
      <c r="E203" s="34" t="inlineStr">
        <is>
          <t>N</t>
        </is>
      </c>
      <c r="F203" s="34" t="inlineStr">
        <is>
          <t>AUTO_INCREMENT</t>
        </is>
      </c>
      <c r="G203" s="34" t="inlineStr">
        <is>
          <t>Y</t>
        </is>
      </c>
      <c r="H203" s="34" t="n"/>
      <c r="I203" s="34" t="inlineStr">
        <is>
          <t>Y</t>
        </is>
      </c>
      <c r="J203" s="34" t="inlineStr">
        <is>
          <t>목표 고유 ID</t>
        </is>
      </c>
      <c r="K203" s="34" t="n"/>
      <c r="L203" s="34" t="inlineStr">
        <is>
          <t>확정</t>
        </is>
      </c>
      <c r="M203" s="34" t="n"/>
    </row>
    <row r="204">
      <c r="A204" s="33" t="inlineStr">
        <is>
          <t>member_goals</t>
        </is>
      </c>
      <c r="B204" s="33" t="inlineStr">
        <is>
          <t>member_id</t>
        </is>
      </c>
      <c r="C204" s="33" t="inlineStr">
        <is>
          <t>BIGINT</t>
        </is>
      </c>
      <c r="D204" s="34" t="n"/>
      <c r="E204" s="34" t="inlineStr">
        <is>
          <t>N</t>
        </is>
      </c>
      <c r="F204" s="34" t="n"/>
      <c r="G204" s="34" t="inlineStr">
        <is>
          <t>N</t>
        </is>
      </c>
      <c r="H204" s="34" t="inlineStr">
        <is>
          <t>members(id)</t>
        </is>
      </c>
      <c r="I204" s="34" t="inlineStr">
        <is>
          <t>UNIQUE</t>
        </is>
      </c>
      <c r="J204" s="34" t="inlineStr">
        <is>
          <t>회원 ID (FK, 1:1)</t>
        </is>
      </c>
      <c r="K204" s="34" t="n"/>
      <c r="L204" s="34" t="inlineStr">
        <is>
          <t>확정</t>
        </is>
      </c>
      <c r="M204" s="34" t="n"/>
    </row>
    <row r="205">
      <c r="A205" s="33" t="inlineStr">
        <is>
          <t>member_goals</t>
        </is>
      </c>
      <c r="B205" s="33" t="inlineStr">
        <is>
          <t>goal_weight</t>
        </is>
      </c>
      <c r="C205" s="33" t="inlineStr">
        <is>
          <t>FLOAT</t>
        </is>
      </c>
      <c r="D205" s="34" t="n"/>
      <c r="E205" s="34" t="inlineStr">
        <is>
          <t>Y</t>
        </is>
      </c>
      <c r="F205" s="34" t="n"/>
      <c r="G205" s="34" t="inlineStr">
        <is>
          <t>N</t>
        </is>
      </c>
      <c r="H205" s="34" t="n"/>
      <c r="I205" s="34" t="inlineStr">
        <is>
          <t>N</t>
        </is>
      </c>
      <c r="J205" s="34" t="inlineStr">
        <is>
          <t>목표 체중 (kg)</t>
        </is>
      </c>
      <c r="K205" s="34" t="n"/>
      <c r="L205" s="34" t="inlineStr">
        <is>
          <t>확정</t>
        </is>
      </c>
      <c r="M205" s="34" t="n"/>
    </row>
    <row r="206">
      <c r="A206" s="33" t="inlineStr">
        <is>
          <t>member_goals</t>
        </is>
      </c>
      <c r="B206" s="33" t="inlineStr">
        <is>
          <t>goal_pbf</t>
        </is>
      </c>
      <c r="C206" s="33" t="inlineStr">
        <is>
          <t>FLOAT</t>
        </is>
      </c>
      <c r="D206" s="34" t="n"/>
      <c r="E206" s="34" t="inlineStr">
        <is>
          <t>Y</t>
        </is>
      </c>
      <c r="F206" s="34" t="n"/>
      <c r="G206" s="34" t="inlineStr">
        <is>
          <t>N</t>
        </is>
      </c>
      <c r="H206" s="34" t="n"/>
      <c r="I206" s="34" t="inlineStr">
        <is>
          <t>N</t>
        </is>
      </c>
      <c r="J206" s="34" t="inlineStr">
        <is>
          <t>목표 체지방률 (%)</t>
        </is>
      </c>
      <c r="K206" s="34" t="n"/>
      <c r="L206" s="34" t="inlineStr">
        <is>
          <t>확정</t>
        </is>
      </c>
      <c r="M206" s="34" t="n"/>
    </row>
    <row r="207">
      <c r="A207" s="33" t="inlineStr">
        <is>
          <t>member_goals</t>
        </is>
      </c>
      <c r="B207" s="33" t="inlineStr">
        <is>
          <t>created_at</t>
        </is>
      </c>
      <c r="C207" s="33" t="inlineStr">
        <is>
          <t>DATETIME</t>
        </is>
      </c>
      <c r="D207" s="34" t="n"/>
      <c r="E207" s="34" t="inlineStr">
        <is>
          <t>N</t>
        </is>
      </c>
      <c r="F207" s="34" t="inlineStr">
        <is>
          <t>NOW()</t>
        </is>
      </c>
      <c r="G207" s="34" t="inlineStr">
        <is>
          <t>N</t>
        </is>
      </c>
      <c r="H207" s="34" t="n"/>
      <c r="I207" s="34" t="inlineStr">
        <is>
          <t>N</t>
        </is>
      </c>
      <c r="J207" s="34" t="inlineStr">
        <is>
          <t>생성일시</t>
        </is>
      </c>
      <c r="K207" s="34" t="n"/>
      <c r="L207" s="34" t="inlineStr">
        <is>
          <t>확정</t>
        </is>
      </c>
      <c r="M207" s="34" t="n"/>
    </row>
    <row r="208">
      <c r="A208" s="33" t="inlineStr">
        <is>
          <t>member_goals</t>
        </is>
      </c>
      <c r="B208" s="33" t="inlineStr">
        <is>
          <t>updated_at</t>
        </is>
      </c>
      <c r="C208" s="33" t="inlineStr">
        <is>
          <t>DATETIME</t>
        </is>
      </c>
      <c r="D208" s="34" t="n"/>
      <c r="E208" s="34" t="inlineStr">
        <is>
          <t>N</t>
        </is>
      </c>
      <c r="F208" s="34" t="inlineStr">
        <is>
          <t>NOW()</t>
        </is>
      </c>
      <c r="G208" s="34" t="inlineStr">
        <is>
          <t>N</t>
        </is>
      </c>
      <c r="H208" s="34" t="n"/>
      <c r="I208" s="34" t="inlineStr">
        <is>
          <t>N</t>
        </is>
      </c>
      <c r="J208" s="34" t="inlineStr">
        <is>
          <t>수정일시</t>
        </is>
      </c>
      <c r="K208" s="34" t="n"/>
      <c r="L208" s="34" t="inlineStr">
        <is>
          <t>확정</t>
        </is>
      </c>
      <c r="M208" s="34" t="n"/>
    </row>
    <row r="209">
      <c r="A209" s="33" t="inlineStr">
        <is>
          <t>classes</t>
        </is>
      </c>
      <c r="B209" s="33" t="inlineStr">
        <is>
          <t>id</t>
        </is>
      </c>
      <c r="C209" s="33" t="inlineStr">
        <is>
          <t>BIGINT</t>
        </is>
      </c>
      <c r="D209" s="34" t="n"/>
      <c r="E209" s="34" t="inlineStr">
        <is>
          <t>N</t>
        </is>
      </c>
      <c r="F209" s="34" t="inlineStr">
        <is>
          <t>AUTO_INCREMENT</t>
        </is>
      </c>
      <c r="G209" s="34" t="inlineStr">
        <is>
          <t>Y</t>
        </is>
      </c>
      <c r="H209" s="34" t="n"/>
      <c r="I209" s="34" t="inlineStr">
        <is>
          <t>Y</t>
        </is>
      </c>
      <c r="J209" s="34" t="inlineStr">
        <is>
          <t>수업 고유 ID</t>
        </is>
      </c>
      <c r="K209" s="34" t="n"/>
      <c r="L209" s="34" t="inlineStr">
        <is>
          <t>확정</t>
        </is>
      </c>
      <c r="M209" s="34" t="n"/>
    </row>
    <row r="210">
      <c r="A210" s="33" t="inlineStr">
        <is>
          <t>classes</t>
        </is>
      </c>
      <c r="B210" s="33" t="inlineStr">
        <is>
          <t>title</t>
        </is>
      </c>
      <c r="C210" s="33" t="inlineStr">
        <is>
          <t>VARCHAR</t>
        </is>
      </c>
      <c r="D210" s="34" t="n">
        <v>100</v>
      </c>
      <c r="E210" s="34" t="inlineStr">
        <is>
          <t>N</t>
        </is>
      </c>
      <c r="F210" s="34" t="n"/>
      <c r="G210" s="34" t="inlineStr">
        <is>
          <t>N</t>
        </is>
      </c>
      <c r="H210" s="34" t="n"/>
      <c r="I210" s="34" t="inlineStr">
        <is>
          <t>N</t>
        </is>
      </c>
      <c r="J210" s="34" t="inlineStr">
        <is>
          <t>수업명</t>
        </is>
      </c>
      <c r="K210" s="34" t="n"/>
      <c r="L210" s="34" t="inlineStr">
        <is>
          <t>확정</t>
        </is>
      </c>
      <c r="M210" s="34" t="n"/>
    </row>
    <row r="211">
      <c r="A211" s="33" t="inlineStr">
        <is>
          <t>classes</t>
        </is>
      </c>
      <c r="B211" s="33" t="inlineStr">
        <is>
          <t>type</t>
        </is>
      </c>
      <c r="C211" s="33" t="inlineStr">
        <is>
          <t>VARCHAR</t>
        </is>
      </c>
      <c r="D211" s="34" t="n">
        <v>20</v>
      </c>
      <c r="E211" s="34" t="inlineStr">
        <is>
          <t>N</t>
        </is>
      </c>
      <c r="F211" s="34" t="n"/>
      <c r="G211" s="34" t="inlineStr">
        <is>
          <t>N</t>
        </is>
      </c>
      <c r="H211" s="34" t="n"/>
      <c r="I211" s="34" t="inlineStr">
        <is>
          <t>N</t>
        </is>
      </c>
      <c r="J211" s="34" t="inlineStr">
        <is>
          <t>유형 (GX/PT)</t>
        </is>
      </c>
      <c r="K211" s="34" t="n"/>
      <c r="L211" s="34" t="inlineStr">
        <is>
          <t>확정</t>
        </is>
      </c>
      <c r="M211" s="34" t="n"/>
    </row>
    <row r="212">
      <c r="A212" s="33" t="inlineStr">
        <is>
          <t>classes</t>
        </is>
      </c>
      <c r="B212" s="33" t="inlineStr">
        <is>
          <t>staff_id</t>
        </is>
      </c>
      <c r="C212" s="33" t="inlineStr">
        <is>
          <t>BIGINT</t>
        </is>
      </c>
      <c r="D212" s="34" t="n"/>
      <c r="E212" s="34" t="inlineStr">
        <is>
          <t>N</t>
        </is>
      </c>
      <c r="F212" s="34" t="n"/>
      <c r="G212" s="34" t="inlineStr">
        <is>
          <t>N</t>
        </is>
      </c>
      <c r="H212" s="34" t="inlineStr">
        <is>
          <t>staff(id)</t>
        </is>
      </c>
      <c r="I212" s="34" t="inlineStr">
        <is>
          <t>Y</t>
        </is>
      </c>
      <c r="J212" s="34" t="inlineStr">
        <is>
          <t>담당 강사 ID (FK)</t>
        </is>
      </c>
      <c r="K212" s="34" t="n"/>
      <c r="L212" s="34" t="inlineStr">
        <is>
          <t>확정</t>
        </is>
      </c>
      <c r="M212" s="34" t="n"/>
    </row>
    <row r="213">
      <c r="A213" s="33" t="inlineStr">
        <is>
          <t>classes</t>
        </is>
      </c>
      <c r="B213" s="33" t="inlineStr">
        <is>
          <t>staff_name</t>
        </is>
      </c>
      <c r="C213" s="33" t="inlineStr">
        <is>
          <t>VARCHAR</t>
        </is>
      </c>
      <c r="D213" s="34" t="n">
        <v>50</v>
      </c>
      <c r="E213" s="34" t="inlineStr">
        <is>
          <t>N</t>
        </is>
      </c>
      <c r="F213" s="34" t="n"/>
      <c r="G213" s="34" t="inlineStr">
        <is>
          <t>N</t>
        </is>
      </c>
      <c r="H213" s="34" t="n"/>
      <c r="I213" s="34" t="inlineStr">
        <is>
          <t>N</t>
        </is>
      </c>
      <c r="J213" s="34" t="inlineStr">
        <is>
          <t>담당 강사명 (비정규화)</t>
        </is>
      </c>
      <c r="K213" s="34" t="n"/>
      <c r="L213" s="34" t="inlineStr">
        <is>
          <t>확정</t>
        </is>
      </c>
      <c r="M213" s="34" t="n"/>
    </row>
    <row r="214">
      <c r="A214" s="33" t="inlineStr">
        <is>
          <t>classes</t>
        </is>
      </c>
      <c r="B214" s="33" t="inlineStr">
        <is>
          <t>room</t>
        </is>
      </c>
      <c r="C214" s="33" t="inlineStr">
        <is>
          <t>VARCHAR</t>
        </is>
      </c>
      <c r="D214" s="34" t="n">
        <v>50</v>
      </c>
      <c r="E214" s="34" t="n"/>
      <c r="F214" s="34" t="inlineStr">
        <is>
          <t>Y</t>
        </is>
      </c>
      <c r="G214" s="34" t="n"/>
      <c r="H214" s="34" t="inlineStr">
        <is>
          <t>N</t>
        </is>
      </c>
      <c r="I214" s="34" t="n"/>
      <c r="J214" s="34" t="inlineStr">
        <is>
          <t>N</t>
        </is>
      </c>
      <c r="K214" s="34" t="n"/>
      <c r="L214" s="34" t="inlineStr">
        <is>
          <t>확정</t>
        </is>
      </c>
      <c r="M214" s="34" t="n"/>
    </row>
    <row r="215">
      <c r="A215" s="33" t="inlineStr">
        <is>
          <t>classes</t>
        </is>
      </c>
      <c r="B215" s="33" t="inlineStr">
        <is>
          <t>start_time</t>
        </is>
      </c>
      <c r="C215" s="33" t="inlineStr">
        <is>
          <t>DATETIME</t>
        </is>
      </c>
      <c r="D215" s="34" t="n"/>
      <c r="E215" s="34" t="inlineStr">
        <is>
          <t>N</t>
        </is>
      </c>
      <c r="F215" s="34" t="n"/>
      <c r="G215" s="34" t="inlineStr">
        <is>
          <t>N</t>
        </is>
      </c>
      <c r="H215" s="34" t="n"/>
      <c r="I215" s="34" t="inlineStr">
        <is>
          <t>N</t>
        </is>
      </c>
      <c r="J215" s="34" t="inlineStr">
        <is>
          <t>시작 시간</t>
        </is>
      </c>
      <c r="K215" s="34" t="n"/>
      <c r="L215" s="34" t="inlineStr">
        <is>
          <t>확정</t>
        </is>
      </c>
      <c r="M215" s="34" t="n"/>
    </row>
    <row r="216">
      <c r="A216" s="33" t="inlineStr">
        <is>
          <t>classes</t>
        </is>
      </c>
      <c r="B216" s="33" t="inlineStr">
        <is>
          <t>end_time</t>
        </is>
      </c>
      <c r="C216" s="33" t="inlineStr">
        <is>
          <t>DATETIME</t>
        </is>
      </c>
      <c r="D216" s="34" t="n"/>
      <c r="E216" s="34" t="inlineStr">
        <is>
          <t>N</t>
        </is>
      </c>
      <c r="F216" s="34" t="n"/>
      <c r="G216" s="34" t="inlineStr">
        <is>
          <t>N</t>
        </is>
      </c>
      <c r="H216" s="34" t="n"/>
      <c r="I216" s="34" t="inlineStr">
        <is>
          <t>N</t>
        </is>
      </c>
      <c r="J216" s="34" t="inlineStr">
        <is>
          <t>종료 시간</t>
        </is>
      </c>
      <c r="K216" s="34" t="n"/>
      <c r="L216" s="34" t="inlineStr">
        <is>
          <t>확정</t>
        </is>
      </c>
      <c r="M216" s="34" t="n"/>
    </row>
    <row r="217">
      <c r="A217" s="33" t="inlineStr">
        <is>
          <t>classes</t>
        </is>
      </c>
      <c r="B217" s="33" t="inlineStr">
        <is>
          <t>capacity</t>
        </is>
      </c>
      <c r="C217" s="33" t="inlineStr">
        <is>
          <t>INT</t>
        </is>
      </c>
      <c r="D217" s="34" t="n"/>
      <c r="E217" s="34" t="inlineStr">
        <is>
          <t>N</t>
        </is>
      </c>
      <c r="F217" s="34" t="inlineStr">
        <is>
          <t>14</t>
        </is>
      </c>
      <c r="G217" s="34" t="inlineStr">
        <is>
          <t>N</t>
        </is>
      </c>
      <c r="H217" s="34" t="n"/>
      <c r="I217" s="34" t="inlineStr">
        <is>
          <t>N</t>
        </is>
      </c>
      <c r="J217" s="34" t="inlineStr">
        <is>
          <t>정원</t>
        </is>
      </c>
      <c r="K217" s="34" t="n"/>
      <c r="L217" s="34" t="inlineStr">
        <is>
          <t>확정</t>
        </is>
      </c>
      <c r="M217" s="34" t="n"/>
    </row>
    <row r="218">
      <c r="A218" s="33" t="inlineStr">
        <is>
          <t>classes</t>
        </is>
      </c>
      <c r="B218" s="33" t="inlineStr">
        <is>
          <t>booked</t>
        </is>
      </c>
      <c r="C218" s="33" t="inlineStr">
        <is>
          <t>INT</t>
        </is>
      </c>
      <c r="D218" s="34" t="n"/>
      <c r="E218" s="34" t="inlineStr">
        <is>
          <t>N</t>
        </is>
      </c>
      <c r="F218" s="34" t="inlineStr">
        <is>
          <t>0</t>
        </is>
      </c>
      <c r="G218" s="34" t="inlineStr">
        <is>
          <t>N</t>
        </is>
      </c>
      <c r="H218" s="34" t="n"/>
      <c r="I218" s="34" t="inlineStr">
        <is>
          <t>N</t>
        </is>
      </c>
      <c r="J218" s="34" t="inlineStr">
        <is>
          <t>예약 인원</t>
        </is>
      </c>
      <c r="K218" s="34" t="n"/>
      <c r="L218" s="34" t="inlineStr">
        <is>
          <t>확정</t>
        </is>
      </c>
      <c r="M218" s="34" t="n"/>
    </row>
    <row r="219">
      <c r="A219" s="33" t="inlineStr">
        <is>
          <t>classes</t>
        </is>
      </c>
      <c r="B219" s="33" t="inlineStr">
        <is>
          <t>is_recurring</t>
        </is>
      </c>
      <c r="C219" s="33" t="inlineStr">
        <is>
          <t>BOOLEAN</t>
        </is>
      </c>
      <c r="D219" s="34" t="n"/>
      <c r="E219" s="34" t="inlineStr">
        <is>
          <t>N</t>
        </is>
      </c>
      <c r="F219" s="34" t="inlineStr">
        <is>
          <t>false</t>
        </is>
      </c>
      <c r="G219" s="34" t="inlineStr">
        <is>
          <t>N</t>
        </is>
      </c>
      <c r="H219" s="34" t="n"/>
      <c r="I219" s="34" t="inlineStr">
        <is>
          <t>N</t>
        </is>
      </c>
      <c r="J219" s="34" t="inlineStr">
        <is>
          <t>반복 여부</t>
        </is>
      </c>
      <c r="K219" s="34" t="n"/>
      <c r="L219" s="34" t="inlineStr">
        <is>
          <t>확정</t>
        </is>
      </c>
      <c r="M219" s="34" t="n"/>
    </row>
    <row r="220">
      <c r="A220" s="33" t="inlineStr">
        <is>
          <t>classes</t>
        </is>
      </c>
      <c r="B220" s="33" t="inlineStr">
        <is>
          <t>branch_id</t>
        </is>
      </c>
      <c r="C220" s="33" t="inlineStr">
        <is>
          <t>BIGINT</t>
        </is>
      </c>
      <c r="D220" s="34" t="n"/>
      <c r="E220" s="34" t="inlineStr">
        <is>
          <t>N</t>
        </is>
      </c>
      <c r="F220" s="34" t="n"/>
      <c r="G220" s="34" t="inlineStr">
        <is>
          <t>N</t>
        </is>
      </c>
      <c r="H220" s="34" t="inlineStr">
        <is>
          <t>branches(id)</t>
        </is>
      </c>
      <c r="I220" s="34" t="inlineStr">
        <is>
          <t>Y</t>
        </is>
      </c>
      <c r="J220" s="34" t="inlineStr">
        <is>
          <t>지점 ID (FK)</t>
        </is>
      </c>
      <c r="K220" s="34" t="n"/>
      <c r="L220" s="34" t="inlineStr">
        <is>
          <t>확정</t>
        </is>
      </c>
      <c r="M220" s="34" t="n"/>
    </row>
    <row r="221">
      <c r="A221" s="33" t="inlineStr">
        <is>
          <t>classes</t>
        </is>
      </c>
      <c r="B221" s="33" t="inlineStr">
        <is>
          <t>created_at</t>
        </is>
      </c>
      <c r="C221" s="33" t="inlineStr">
        <is>
          <t>DATETIME</t>
        </is>
      </c>
      <c r="D221" s="34" t="n"/>
      <c r="E221" s="34" t="inlineStr">
        <is>
          <t>N</t>
        </is>
      </c>
      <c r="F221" s="34" t="inlineStr">
        <is>
          <t>NOW()</t>
        </is>
      </c>
      <c r="G221" s="34" t="inlineStr">
        <is>
          <t>N</t>
        </is>
      </c>
      <c r="H221" s="34" t="n"/>
      <c r="I221" s="34" t="inlineStr">
        <is>
          <t>N</t>
        </is>
      </c>
      <c r="J221" s="34" t="inlineStr">
        <is>
          <t>생성일시</t>
        </is>
      </c>
      <c r="K221" s="34" t="n"/>
      <c r="L221" s="34" t="inlineStr">
        <is>
          <t>확정</t>
        </is>
      </c>
      <c r="M221" s="34" t="n"/>
    </row>
    <row r="222">
      <c r="A222" s="33" t="inlineStr">
        <is>
          <t>classes</t>
        </is>
      </c>
      <c r="B222" s="33" t="inlineStr">
        <is>
          <t>updated_at</t>
        </is>
      </c>
      <c r="C222" s="33" t="inlineStr">
        <is>
          <t>DATETIME</t>
        </is>
      </c>
      <c r="D222" s="34" t="n"/>
      <c r="E222" s="34" t="inlineStr">
        <is>
          <t>N</t>
        </is>
      </c>
      <c r="F222" s="34" t="inlineStr">
        <is>
          <t>NOW()</t>
        </is>
      </c>
      <c r="G222" s="34" t="inlineStr">
        <is>
          <t>N</t>
        </is>
      </c>
      <c r="H222" s="34" t="n"/>
      <c r="I222" s="34" t="inlineStr">
        <is>
          <t>N</t>
        </is>
      </c>
      <c r="J222" s="34" t="inlineStr">
        <is>
          <t>수정일시</t>
        </is>
      </c>
      <c r="K222" s="34" t="n"/>
      <c r="L222" s="34" t="inlineStr">
        <is>
          <t>확정</t>
        </is>
      </c>
      <c r="M222" s="34" t="n"/>
    </row>
    <row r="223">
      <c r="A223" s="33" t="inlineStr">
        <is>
          <t>settings</t>
        </is>
      </c>
      <c r="B223" s="33" t="inlineStr">
        <is>
          <t>id</t>
        </is>
      </c>
      <c r="C223" s="33" t="inlineStr">
        <is>
          <t>BIGINT</t>
        </is>
      </c>
      <c r="D223" s="34" t="n"/>
      <c r="E223" s="34" t="inlineStr">
        <is>
          <t>N</t>
        </is>
      </c>
      <c r="F223" s="34" t="inlineStr">
        <is>
          <t>AUTO_INCREMENT</t>
        </is>
      </c>
      <c r="G223" s="34" t="inlineStr">
        <is>
          <t>Y</t>
        </is>
      </c>
      <c r="H223" s="34" t="n"/>
      <c r="I223" s="34" t="inlineStr">
        <is>
          <t>Y</t>
        </is>
      </c>
      <c r="J223" s="34" t="inlineStr">
        <is>
          <t>설정 고유 ID</t>
        </is>
      </c>
      <c r="K223" s="34" t="n"/>
      <c r="L223" s="34" t="inlineStr">
        <is>
          <t>확정</t>
        </is>
      </c>
      <c r="M223" s="34" t="n"/>
    </row>
    <row r="224">
      <c r="A224" s="33" t="inlineStr">
        <is>
          <t>settings</t>
        </is>
      </c>
      <c r="B224" s="33" t="inlineStr">
        <is>
          <t>branch_id</t>
        </is>
      </c>
      <c r="C224" s="33" t="inlineStr">
        <is>
          <t>BIGINT</t>
        </is>
      </c>
      <c r="D224" s="34" t="n"/>
      <c r="E224" s="34" t="inlineStr">
        <is>
          <t>N</t>
        </is>
      </c>
      <c r="F224" s="34" t="n"/>
      <c r="G224" s="34" t="inlineStr">
        <is>
          <t>N</t>
        </is>
      </c>
      <c r="H224" s="34" t="inlineStr">
        <is>
          <t>branches(id)</t>
        </is>
      </c>
      <c r="I224" s="34" t="inlineStr">
        <is>
          <t>UNIQUE</t>
        </is>
      </c>
      <c r="J224" s="34" t="inlineStr">
        <is>
          <t>지점 ID (FK, 1:1)</t>
        </is>
      </c>
      <c r="K224" s="34" t="n"/>
      <c r="L224" s="34" t="inlineStr">
        <is>
          <t>확정</t>
        </is>
      </c>
      <c r="M224" s="34" t="n"/>
    </row>
    <row r="225">
      <c r="A225" s="33" t="inlineStr">
        <is>
          <t>settings</t>
        </is>
      </c>
      <c r="B225" s="33" t="inlineStr">
        <is>
          <t>center_name</t>
        </is>
      </c>
      <c r="C225" s="33" t="inlineStr">
        <is>
          <t>VARCHAR</t>
        </is>
      </c>
      <c r="D225" s="34" t="n">
        <v>100</v>
      </c>
      <c r="E225" s="34" t="inlineStr">
        <is>
          <t>Y</t>
        </is>
      </c>
      <c r="F225" s="34" t="n"/>
      <c r="G225" s="34" t="inlineStr">
        <is>
          <t>N</t>
        </is>
      </c>
      <c r="H225" s="34" t="n"/>
      <c r="I225" s="34" t="inlineStr">
        <is>
          <t>N</t>
        </is>
      </c>
      <c r="J225" s="34" t="inlineStr">
        <is>
          <t>센터명</t>
        </is>
      </c>
      <c r="K225" s="34" t="n"/>
      <c r="L225" s="34" t="inlineStr">
        <is>
          <t>확정</t>
        </is>
      </c>
      <c r="M225" s="34" t="n"/>
    </row>
    <row r="226">
      <c r="A226" s="33" t="inlineStr">
        <is>
          <t>settings</t>
        </is>
      </c>
      <c r="B226" s="33" t="inlineStr">
        <is>
          <t>business_hours_open</t>
        </is>
      </c>
      <c r="C226" s="33" t="inlineStr">
        <is>
          <t>VARCHAR</t>
        </is>
      </c>
      <c r="D226" s="34" t="n">
        <v>10</v>
      </c>
      <c r="E226" s="34" t="inlineStr">
        <is>
          <t>Y</t>
        </is>
      </c>
      <c r="F226" s="34" t="inlineStr">
        <is>
          <t>06:00</t>
        </is>
      </c>
      <c r="G226" s="34" t="inlineStr">
        <is>
          <t>N</t>
        </is>
      </c>
      <c r="H226" s="34" t="n"/>
      <c r="I226" s="34" t="inlineStr">
        <is>
          <t>N</t>
        </is>
      </c>
      <c r="J226" s="34" t="inlineStr">
        <is>
          <t>영업 시작 시간</t>
        </is>
      </c>
      <c r="K226" s="34" t="n"/>
      <c r="L226" s="34" t="inlineStr">
        <is>
          <t>확정</t>
        </is>
      </c>
      <c r="M226" s="34" t="n"/>
    </row>
    <row r="227">
      <c r="A227" s="33" t="inlineStr">
        <is>
          <t>settings</t>
        </is>
      </c>
      <c r="B227" s="33" t="inlineStr">
        <is>
          <t>business_hours_close</t>
        </is>
      </c>
      <c r="C227" s="33" t="inlineStr">
        <is>
          <t>VARCHAR</t>
        </is>
      </c>
      <c r="D227" s="34" t="n">
        <v>10</v>
      </c>
      <c r="E227" s="34" t="inlineStr">
        <is>
          <t>Y</t>
        </is>
      </c>
      <c r="F227" s="34" t="inlineStr">
        <is>
          <t>22:00</t>
        </is>
      </c>
      <c r="G227" s="34" t="inlineStr">
        <is>
          <t>N</t>
        </is>
      </c>
      <c r="H227" s="34" t="n"/>
      <c r="I227" s="34" t="inlineStr">
        <is>
          <t>N</t>
        </is>
      </c>
      <c r="J227" s="34" t="inlineStr">
        <is>
          <t>영업 종료 시간</t>
        </is>
      </c>
      <c r="K227" s="34" t="n"/>
      <c r="L227" s="34" t="inlineStr">
        <is>
          <t>확정</t>
        </is>
      </c>
      <c r="M227" s="34" t="n"/>
    </row>
    <row r="228">
      <c r="A228" s="33" t="inlineStr">
        <is>
          <t>settings</t>
        </is>
      </c>
      <c r="B228" s="33" t="inlineStr">
        <is>
          <t>holidays</t>
        </is>
      </c>
      <c r="C228" s="33" t="inlineStr">
        <is>
          <t>JSON</t>
        </is>
      </c>
      <c r="D228" s="34" t="n"/>
      <c r="E228" s="34" t="inlineStr">
        <is>
          <t>Y</t>
        </is>
      </c>
      <c r="F228" s="34" t="n"/>
      <c r="G228" s="34" t="inlineStr">
        <is>
          <t>N</t>
        </is>
      </c>
      <c r="H228" s="34" t="n"/>
      <c r="I228" s="34" t="inlineStr">
        <is>
          <t>N</t>
        </is>
      </c>
      <c r="J228" s="34" t="inlineStr">
        <is>
          <t>휴무일 목록 (["SUNDAY"])</t>
        </is>
      </c>
      <c r="K228" s="34" t="n"/>
      <c r="L228" s="34" t="inlineStr">
        <is>
          <t>확정</t>
        </is>
      </c>
      <c r="M228" s="34" t="n"/>
    </row>
    <row r="229">
      <c r="A229" s="33" t="inlineStr">
        <is>
          <t>settings</t>
        </is>
      </c>
      <c r="B229" s="33" t="inlineStr">
        <is>
          <t>sms_enabled</t>
        </is>
      </c>
      <c r="C229" s="33" t="inlineStr">
        <is>
          <t>BOOLEAN</t>
        </is>
      </c>
      <c r="D229" s="34" t="n"/>
      <c r="E229" s="34" t="inlineStr">
        <is>
          <t>N</t>
        </is>
      </c>
      <c r="F229" s="34" t="inlineStr">
        <is>
          <t>true</t>
        </is>
      </c>
      <c r="G229" s="34" t="inlineStr">
        <is>
          <t>N</t>
        </is>
      </c>
      <c r="H229" s="34" t="n"/>
      <c r="I229" s="34" t="inlineStr">
        <is>
          <t>N</t>
        </is>
      </c>
      <c r="J229" s="34" t="inlineStr">
        <is>
          <t>SMS 알림 활성화</t>
        </is>
      </c>
      <c r="K229" s="34" t="n"/>
      <c r="L229" s="34" t="inlineStr">
        <is>
          <t>확정</t>
        </is>
      </c>
      <c r="M229" s="34" t="n"/>
    </row>
    <row r="230">
      <c r="A230" s="33" t="inlineStr">
        <is>
          <t>settings</t>
        </is>
      </c>
      <c r="B230" s="33" t="inlineStr">
        <is>
          <t>kakao_enabled</t>
        </is>
      </c>
      <c r="C230" s="33" t="inlineStr">
        <is>
          <t>BOOLEAN</t>
        </is>
      </c>
      <c r="D230" s="34" t="n"/>
      <c r="E230" s="34" t="inlineStr">
        <is>
          <t>N</t>
        </is>
      </c>
      <c r="F230" s="34" t="inlineStr">
        <is>
          <t>false</t>
        </is>
      </c>
      <c r="G230" s="34" t="inlineStr">
        <is>
          <t>N</t>
        </is>
      </c>
      <c r="H230" s="34" t="n"/>
      <c r="I230" s="34" t="inlineStr">
        <is>
          <t>N</t>
        </is>
      </c>
      <c r="J230" s="34" t="inlineStr">
        <is>
          <t>카카오 알림 활성화</t>
        </is>
      </c>
      <c r="K230" s="34" t="n"/>
      <c r="L230" s="34" t="inlineStr">
        <is>
          <t>확정</t>
        </is>
      </c>
      <c r="M230" s="34" t="n"/>
    </row>
    <row r="231">
      <c r="A231" s="33" t="inlineStr">
        <is>
          <t>settings</t>
        </is>
      </c>
      <c r="B231" s="33" t="inlineStr">
        <is>
          <t>push_enabled</t>
        </is>
      </c>
      <c r="C231" s="33" t="inlineStr">
        <is>
          <t>BOOLEAN</t>
        </is>
      </c>
      <c r="D231" s="34" t="n"/>
      <c r="E231" s="34" t="inlineStr">
        <is>
          <t>N</t>
        </is>
      </c>
      <c r="F231" s="34" t="inlineStr">
        <is>
          <t>true</t>
        </is>
      </c>
      <c r="G231" s="34" t="inlineStr">
        <is>
          <t>N</t>
        </is>
      </c>
      <c r="H231" s="34" t="n"/>
      <c r="I231" s="34" t="inlineStr">
        <is>
          <t>N</t>
        </is>
      </c>
      <c r="J231" s="34" t="inlineStr">
        <is>
          <t>푸시 알림 활성화</t>
        </is>
      </c>
      <c r="K231" s="34" t="n"/>
      <c r="L231" s="34" t="inlineStr">
        <is>
          <t>확정</t>
        </is>
      </c>
      <c r="M231" s="34" t="n"/>
    </row>
    <row r="232">
      <c r="A232" s="33" t="inlineStr">
        <is>
          <t>settings</t>
        </is>
      </c>
      <c r="B232" s="33" t="inlineStr">
        <is>
          <t>auto_expire_notify</t>
        </is>
      </c>
      <c r="C232" s="33" t="inlineStr">
        <is>
          <t>BOOLEAN</t>
        </is>
      </c>
      <c r="D232" s="34" t="n"/>
      <c r="E232" s="34" t="inlineStr">
        <is>
          <t>N</t>
        </is>
      </c>
      <c r="F232" s="34" t="inlineStr">
        <is>
          <t>true</t>
        </is>
      </c>
      <c r="G232" s="34" t="inlineStr">
        <is>
          <t>N</t>
        </is>
      </c>
      <c r="H232" s="34" t="n"/>
      <c r="I232" s="34" t="inlineStr">
        <is>
          <t>N</t>
        </is>
      </c>
      <c r="J232" s="34" t="inlineStr">
        <is>
          <t>만료 자동 알림</t>
        </is>
      </c>
      <c r="K232" s="34" t="n"/>
      <c r="L232" s="34" t="inlineStr">
        <is>
          <t>확정</t>
        </is>
      </c>
      <c r="M232" s="34" t="n"/>
    </row>
    <row r="233">
      <c r="A233" s="33" t="inlineStr">
        <is>
          <t>settings</t>
        </is>
      </c>
      <c r="B233" s="33" t="inlineStr">
        <is>
          <t>expire_notice_days</t>
        </is>
      </c>
      <c r="C233" s="33" t="inlineStr">
        <is>
          <t>INT</t>
        </is>
      </c>
      <c r="D233" s="34" t="n"/>
      <c r="E233" s="34" t="inlineStr">
        <is>
          <t>N</t>
        </is>
      </c>
      <c r="F233" s="34" t="inlineStr">
        <is>
          <t>7</t>
        </is>
      </c>
      <c r="G233" s="34" t="inlineStr">
        <is>
          <t>N</t>
        </is>
      </c>
      <c r="H233" s="34" t="n"/>
      <c r="I233" s="34" t="inlineStr">
        <is>
          <t>N</t>
        </is>
      </c>
      <c r="J233" s="34" t="inlineStr">
        <is>
          <t>만료 사전 알림 일수</t>
        </is>
      </c>
      <c r="K233" s="34" t="n"/>
      <c r="L233" s="34" t="inlineStr">
        <is>
          <t>확정</t>
        </is>
      </c>
      <c r="M233" s="34" t="n"/>
    </row>
    <row r="234">
      <c r="A234" s="33" t="inlineStr">
        <is>
          <t>settings</t>
        </is>
      </c>
      <c r="B234" s="33" t="inlineStr">
        <is>
          <t>theme</t>
        </is>
      </c>
      <c r="C234" s="33" t="inlineStr">
        <is>
          <t>VARCHAR</t>
        </is>
      </c>
      <c r="D234" s="34" t="n">
        <v>20</v>
      </c>
      <c r="E234" s="34" t="inlineStr">
        <is>
          <t>N</t>
        </is>
      </c>
      <c r="F234" s="34" t="inlineStr">
        <is>
          <t>light</t>
        </is>
      </c>
      <c r="G234" s="34" t="inlineStr">
        <is>
          <t>N</t>
        </is>
      </c>
      <c r="H234" s="34" t="n"/>
      <c r="I234" s="34" t="inlineStr">
        <is>
          <t>N</t>
        </is>
      </c>
      <c r="J234" s="34" t="inlineStr">
        <is>
          <t>테마 (light/dark)</t>
        </is>
      </c>
      <c r="K234" s="34" t="n"/>
      <c r="L234" s="34" t="inlineStr">
        <is>
          <t>확정</t>
        </is>
      </c>
      <c r="M234" s="34" t="n"/>
    </row>
    <row r="235">
      <c r="A235" s="33" t="inlineStr">
        <is>
          <t>settings</t>
        </is>
      </c>
      <c r="B235" s="33" t="inlineStr">
        <is>
          <t>created_at</t>
        </is>
      </c>
      <c r="C235" s="33" t="inlineStr">
        <is>
          <t>DATETIME</t>
        </is>
      </c>
      <c r="D235" s="34" t="n"/>
      <c r="E235" s="34" t="inlineStr">
        <is>
          <t>N</t>
        </is>
      </c>
      <c r="F235" s="34" t="inlineStr">
        <is>
          <t>NOW()</t>
        </is>
      </c>
      <c r="G235" s="34" t="inlineStr">
        <is>
          <t>N</t>
        </is>
      </c>
      <c r="H235" s="34" t="n"/>
      <c r="I235" s="34" t="inlineStr">
        <is>
          <t>N</t>
        </is>
      </c>
      <c r="J235" s="34" t="inlineStr">
        <is>
          <t>생성일시</t>
        </is>
      </c>
      <c r="K235" s="34" t="n"/>
      <c r="L235" s="34" t="inlineStr">
        <is>
          <t>확정</t>
        </is>
      </c>
      <c r="M235" s="34" t="n"/>
    </row>
    <row r="236">
      <c r="A236" s="33" t="inlineStr">
        <is>
          <t>settings</t>
        </is>
      </c>
      <c r="B236" s="33" t="inlineStr">
        <is>
          <t>updated_at</t>
        </is>
      </c>
      <c r="C236" s="33" t="inlineStr">
        <is>
          <t>DATETIME</t>
        </is>
      </c>
      <c r="D236" s="34" t="n"/>
      <c r="E236" s="34" t="inlineStr">
        <is>
          <t>N</t>
        </is>
      </c>
      <c r="F236" s="34" t="inlineStr">
        <is>
          <t>NOW()</t>
        </is>
      </c>
      <c r="G236" s="34" t="inlineStr">
        <is>
          <t>N</t>
        </is>
      </c>
      <c r="H236" s="34" t="n"/>
      <c r="I236" s="34" t="inlineStr">
        <is>
          <t>N</t>
        </is>
      </c>
      <c r="J236" s="34" t="inlineStr">
        <is>
          <t>수정일시</t>
        </is>
      </c>
      <c r="K236" s="34" t="n"/>
      <c r="L236" s="34" t="inlineStr">
        <is>
          <t>확정</t>
        </is>
      </c>
      <c r="M236" s="34" t="n"/>
    </row>
    <row r="237">
      <c r="A237" s="33" t="inlineStr">
        <is>
          <t>users</t>
        </is>
      </c>
      <c r="B237" s="33" t="inlineStr">
        <is>
          <t>tenant_id</t>
        </is>
      </c>
      <c r="C237" s="33" t="inlineStr">
        <is>
          <t>BIGINT</t>
        </is>
      </c>
      <c r="D237" s="33" t="inlineStr"/>
      <c r="E237" s="33" t="inlineStr">
        <is>
          <t>N</t>
        </is>
      </c>
      <c r="F237" s="34" t="inlineStr"/>
      <c r="G237" s="34" t="inlineStr">
        <is>
          <t>N</t>
        </is>
      </c>
      <c r="H237" s="34" t="inlineStr">
        <is>
          <t>tenants.id</t>
        </is>
      </c>
      <c r="I237" s="34" t="inlineStr">
        <is>
          <t>Y</t>
        </is>
      </c>
      <c r="J237" s="34" t="inlineStr">
        <is>
          <t>소속 테넌트 FK</t>
        </is>
      </c>
      <c r="K237" s="34" t="n"/>
      <c r="L237" s="34" t="n"/>
      <c r="M237" s="34" t="n"/>
    </row>
    <row r="238">
      <c r="A238" s="33" t="inlineStr">
        <is>
          <t>users</t>
        </is>
      </c>
      <c r="B238" s="33" t="inlineStr">
        <is>
          <t>is_super_admin</t>
        </is>
      </c>
      <c r="C238" s="33" t="inlineStr">
        <is>
          <t>BOOLEAN</t>
        </is>
      </c>
      <c r="D238" s="33" t="inlineStr"/>
      <c r="E238" s="33" t="inlineStr">
        <is>
          <t>N</t>
        </is>
      </c>
      <c r="F238" s="34" t="inlineStr">
        <is>
          <t>false</t>
        </is>
      </c>
      <c r="G238" s="34" t="inlineStr">
        <is>
          <t>N</t>
        </is>
      </c>
      <c r="H238" s="34" t="inlineStr"/>
      <c r="I238" s="34" t="inlineStr"/>
      <c r="J238" s="34" t="inlineStr">
        <is>
          <t>슈퍼관리자 여부 (true면 branch_id NULL 허용)</t>
        </is>
      </c>
      <c r="K238" s="34" t="n"/>
      <c r="L238" s="34" t="n"/>
      <c r="M238" s="34" t="n"/>
    </row>
    <row r="239">
      <c r="A239" s="33" t="inlineStr">
        <is>
          <t>users</t>
        </is>
      </c>
      <c r="B239" s="33" t="inlineStr">
        <is>
          <t>current_branch_id</t>
        </is>
      </c>
      <c r="C239" s="33" t="inlineStr">
        <is>
          <t>BIGINT</t>
        </is>
      </c>
      <c r="D239" s="33" t="inlineStr"/>
      <c r="E239" s="33" t="inlineStr">
        <is>
          <t>Y</t>
        </is>
      </c>
      <c r="F239" s="34" t="inlineStr">
        <is>
          <t>NULL</t>
        </is>
      </c>
      <c r="G239" s="34" t="inlineStr">
        <is>
          <t>N</t>
        </is>
      </c>
      <c r="H239" s="34" t="inlineStr">
        <is>
          <t>branches.id</t>
        </is>
      </c>
      <c r="I239" s="34" t="inlineStr"/>
      <c r="J239" s="34" t="inlineStr">
        <is>
          <t>슈퍼관리자 현재 조회 중인 지점 (NULL=통합 뷰)</t>
        </is>
      </c>
      <c r="K239" s="34" t="n"/>
      <c r="L239" s="34" t="n"/>
      <c r="M239" s="34" t="n"/>
    </row>
    <row r="240">
      <c r="A240" s="33" t="inlineStr">
        <is>
          <t>users</t>
        </is>
      </c>
      <c r="B240" s="33" t="inlineStr">
        <is>
          <t>password_changed_at</t>
        </is>
      </c>
      <c r="C240" s="33" t="inlineStr">
        <is>
          <t>DATETIME</t>
        </is>
      </c>
      <c r="D240" s="33" t="inlineStr"/>
      <c r="E240" s="33" t="inlineStr">
        <is>
          <t>Y</t>
        </is>
      </c>
      <c r="F240" s="34" t="inlineStr">
        <is>
          <t>NULL</t>
        </is>
      </c>
      <c r="G240" s="34" t="inlineStr">
        <is>
          <t>N</t>
        </is>
      </c>
      <c r="H240" s="34" t="inlineStr"/>
      <c r="I240" s="34" t="inlineStr"/>
      <c r="J240" s="34" t="inlineStr">
        <is>
          <t>마지막 비밀번호 변경일</t>
        </is>
      </c>
      <c r="K240" s="34" t="n"/>
      <c r="L240" s="34" t="n"/>
      <c r="M240" s="34" t="n"/>
    </row>
    <row r="241">
      <c r="A241" s="33" t="inlineStr">
        <is>
          <t>users</t>
        </is>
      </c>
      <c r="B241" s="33" t="inlineStr">
        <is>
          <t>force_password_change</t>
        </is>
      </c>
      <c r="C241" s="33" t="inlineStr">
        <is>
          <t>BOOLEAN</t>
        </is>
      </c>
      <c r="D241" s="33" t="inlineStr"/>
      <c r="E241" s="33" t="inlineStr">
        <is>
          <t>N</t>
        </is>
      </c>
      <c r="F241" s="34" t="inlineStr">
        <is>
          <t>true</t>
        </is>
      </c>
      <c r="G241" s="34" t="inlineStr">
        <is>
          <t>N</t>
        </is>
      </c>
      <c r="H241" s="34" t="inlineStr"/>
      <c r="I241" s="34" t="inlineStr"/>
      <c r="J241" s="34" t="inlineStr">
        <is>
          <t>최초 로그인 시 비밀번호 변경 강제</t>
        </is>
      </c>
      <c r="K241" s="34" t="n"/>
      <c r="L241" s="34" t="n"/>
      <c r="M241" s="34" t="n"/>
    </row>
    <row r="242">
      <c r="A242" s="33" t="inlineStr">
        <is>
          <t>audit_log</t>
        </is>
      </c>
      <c r="B242" s="33" t="inlineStr">
        <is>
          <t>id</t>
        </is>
      </c>
      <c r="C242" s="33" t="inlineStr">
        <is>
          <t>BIGINT</t>
        </is>
      </c>
      <c r="D242" s="33" t="inlineStr"/>
      <c r="E242" s="33" t="inlineStr">
        <is>
          <t>N</t>
        </is>
      </c>
      <c r="F242" s="34" t="inlineStr"/>
      <c r="G242" s="34" t="inlineStr">
        <is>
          <t>Y</t>
        </is>
      </c>
      <c r="H242" s="34" t="inlineStr"/>
      <c r="I242" s="34" t="inlineStr"/>
      <c r="J242" s="34" t="inlineStr">
        <is>
          <t>감사 로그 고유 ID</t>
        </is>
      </c>
      <c r="K242" s="34" t="n"/>
      <c r="L242" s="34" t="n"/>
      <c r="M242" s="34" t="n"/>
    </row>
    <row r="243">
      <c r="A243" s="33" t="inlineStr">
        <is>
          <t>audit_log</t>
        </is>
      </c>
      <c r="B243" s="33" t="inlineStr">
        <is>
          <t>tenant_id</t>
        </is>
      </c>
      <c r="C243" s="33" t="inlineStr">
        <is>
          <t>BIGINT</t>
        </is>
      </c>
      <c r="D243" s="33" t="inlineStr"/>
      <c r="E243" s="33" t="inlineStr">
        <is>
          <t>N</t>
        </is>
      </c>
      <c r="F243" s="34" t="inlineStr"/>
      <c r="G243" s="34" t="inlineStr">
        <is>
          <t>N</t>
        </is>
      </c>
      <c r="H243" s="34" t="inlineStr">
        <is>
          <t>tenants.id</t>
        </is>
      </c>
      <c r="I243" s="34" t="inlineStr">
        <is>
          <t>Y</t>
        </is>
      </c>
      <c r="J243" s="34" t="inlineStr">
        <is>
          <t>테넌트 FK</t>
        </is>
      </c>
      <c r="K243" s="34" t="n"/>
      <c r="L243" s="34" t="n"/>
      <c r="M243" s="34" t="n"/>
    </row>
    <row r="244">
      <c r="A244" s="33" t="inlineStr">
        <is>
          <t>audit_log</t>
        </is>
      </c>
      <c r="B244" s="33" t="inlineStr">
        <is>
          <t>user_id</t>
        </is>
      </c>
      <c r="C244" s="33" t="inlineStr">
        <is>
          <t>BIGINT</t>
        </is>
      </c>
      <c r="D244" s="33" t="inlineStr"/>
      <c r="E244" s="33" t="inlineStr">
        <is>
          <t>N</t>
        </is>
      </c>
      <c r="F244" s="34" t="inlineStr"/>
      <c r="G244" s="34" t="inlineStr">
        <is>
          <t>N</t>
        </is>
      </c>
      <c r="H244" s="34" t="inlineStr">
        <is>
          <t>users.id</t>
        </is>
      </c>
      <c r="I244" s="34" t="inlineStr">
        <is>
          <t>Y</t>
        </is>
      </c>
      <c r="J244" s="34" t="inlineStr">
        <is>
          <t>행위자 FK</t>
        </is>
      </c>
      <c r="K244" s="34" t="n"/>
      <c r="L244" s="34" t="n"/>
      <c r="M244" s="34" t="n"/>
    </row>
    <row r="245">
      <c r="A245" s="33" t="inlineStr">
        <is>
          <t>audit_log</t>
        </is>
      </c>
      <c r="B245" s="33" t="inlineStr">
        <is>
          <t>action</t>
        </is>
      </c>
      <c r="C245" s="33" t="inlineStr">
        <is>
          <t>VARCHAR</t>
        </is>
      </c>
      <c r="D245" s="33" t="inlineStr">
        <is>
          <t>50</t>
        </is>
      </c>
      <c r="E245" s="33" t="inlineStr">
        <is>
          <t>N</t>
        </is>
      </c>
      <c r="F245" s="34" t="inlineStr"/>
      <c r="G245" s="34" t="inlineStr">
        <is>
          <t>N</t>
        </is>
      </c>
      <c r="H245" s="34" t="inlineStr"/>
      <c r="I245" s="34" t="inlineStr">
        <is>
          <t>Y</t>
        </is>
      </c>
      <c r="J245" s="34" t="inlineStr">
        <is>
          <t>행위 (LOGIN/LOGOUT/BRANCH_SWITCH/CREATE/UPDATE/DELETE)</t>
        </is>
      </c>
      <c r="K245" s="34" t="n"/>
      <c r="L245" s="34" t="n"/>
      <c r="M245" s="34" t="n"/>
    </row>
    <row r="246">
      <c r="A246" s="33" t="inlineStr">
        <is>
          <t>audit_log</t>
        </is>
      </c>
      <c r="B246" s="33" t="inlineStr">
        <is>
          <t>target_type</t>
        </is>
      </c>
      <c r="C246" s="33" t="inlineStr">
        <is>
          <t>VARCHAR</t>
        </is>
      </c>
      <c r="D246" s="33" t="inlineStr">
        <is>
          <t>50</t>
        </is>
      </c>
      <c r="E246" s="33" t="inlineStr">
        <is>
          <t>Y</t>
        </is>
      </c>
      <c r="F246" s="34" t="inlineStr"/>
      <c r="G246" s="34" t="inlineStr">
        <is>
          <t>N</t>
        </is>
      </c>
      <c r="H246" s="34" t="inlineStr"/>
      <c r="I246" s="34" t="inlineStr"/>
      <c r="J246" s="34" t="inlineStr">
        <is>
          <t>대상 유형 (member/sale/contract 등)</t>
        </is>
      </c>
      <c r="K246" s="34" t="n"/>
      <c r="L246" s="34" t="n"/>
      <c r="M246" s="34" t="n"/>
    </row>
    <row r="247">
      <c r="A247" s="33" t="inlineStr">
        <is>
          <t>audit_log</t>
        </is>
      </c>
      <c r="B247" s="33" t="inlineStr">
        <is>
          <t>target_id</t>
        </is>
      </c>
      <c r="C247" s="33" t="inlineStr">
        <is>
          <t>BIGINT</t>
        </is>
      </c>
      <c r="D247" s="33" t="inlineStr"/>
      <c r="E247" s="33" t="inlineStr">
        <is>
          <t>Y</t>
        </is>
      </c>
      <c r="F247" s="34" t="inlineStr"/>
      <c r="G247" s="34" t="inlineStr">
        <is>
          <t>N</t>
        </is>
      </c>
      <c r="H247" s="34" t="inlineStr"/>
      <c r="I247" s="34" t="inlineStr"/>
      <c r="J247" s="34" t="inlineStr">
        <is>
          <t>대상 ID</t>
        </is>
      </c>
      <c r="K247" s="34" t="n"/>
      <c r="L247" s="34" t="n"/>
      <c r="M247" s="34" t="n"/>
    </row>
    <row r="248">
      <c r="A248" s="33" t="inlineStr">
        <is>
          <t>audit_log</t>
        </is>
      </c>
      <c r="B248" s="33" t="inlineStr">
        <is>
          <t>from_branch_id</t>
        </is>
      </c>
      <c r="C248" s="33" t="inlineStr">
        <is>
          <t>BIGINT</t>
        </is>
      </c>
      <c r="D248" s="33" t="inlineStr"/>
      <c r="E248" s="33" t="inlineStr">
        <is>
          <t>Y</t>
        </is>
      </c>
      <c r="F248" s="34" t="inlineStr"/>
      <c r="G248" s="34" t="inlineStr">
        <is>
          <t>N</t>
        </is>
      </c>
      <c r="H248" s="34" t="inlineStr"/>
      <c r="I248" s="34" t="inlineStr"/>
      <c r="J248" s="34" t="inlineStr">
        <is>
          <t>지점 전환: 출발 지점</t>
        </is>
      </c>
      <c r="K248" s="34" t="n"/>
      <c r="L248" s="34" t="n"/>
      <c r="M248" s="34" t="n"/>
    </row>
    <row r="249">
      <c r="A249" s="33" t="inlineStr">
        <is>
          <t>audit_log</t>
        </is>
      </c>
      <c r="B249" s="33" t="inlineStr">
        <is>
          <t>to_branch_id</t>
        </is>
      </c>
      <c r="C249" s="33" t="inlineStr">
        <is>
          <t>BIGINT</t>
        </is>
      </c>
      <c r="D249" s="33" t="inlineStr"/>
      <c r="E249" s="33" t="inlineStr">
        <is>
          <t>Y</t>
        </is>
      </c>
      <c r="F249" s="34" t="inlineStr"/>
      <c r="G249" s="34" t="inlineStr">
        <is>
          <t>N</t>
        </is>
      </c>
      <c r="H249" s="34" t="inlineStr"/>
      <c r="I249" s="34" t="inlineStr"/>
      <c r="J249" s="34" t="inlineStr">
        <is>
          <t>지점 전환: 도착 지점</t>
        </is>
      </c>
      <c r="K249" s="34" t="n"/>
      <c r="L249" s="34" t="n"/>
      <c r="M249" s="34" t="n"/>
    </row>
    <row r="250">
      <c r="A250" s="33" t="inlineStr">
        <is>
          <t>audit_log</t>
        </is>
      </c>
      <c r="B250" s="33" t="inlineStr">
        <is>
          <t>detail</t>
        </is>
      </c>
      <c r="C250" s="33" t="inlineStr">
        <is>
          <t>JSON</t>
        </is>
      </c>
      <c r="D250" s="33" t="inlineStr"/>
      <c r="E250" s="33" t="inlineStr">
        <is>
          <t>Y</t>
        </is>
      </c>
      <c r="F250" s="34" t="inlineStr"/>
      <c r="G250" s="34" t="inlineStr">
        <is>
          <t>N</t>
        </is>
      </c>
      <c r="H250" s="34" t="inlineStr"/>
      <c r="I250" s="34" t="inlineStr"/>
      <c r="J250" s="34" t="inlineStr">
        <is>
          <t>상세 정보 (변경 전/후 등)</t>
        </is>
      </c>
      <c r="K250" s="34" t="n"/>
      <c r="L250" s="34" t="n"/>
      <c r="M250" s="34" t="n"/>
    </row>
    <row r="251">
      <c r="A251" s="33" t="inlineStr">
        <is>
          <t>audit_log</t>
        </is>
      </c>
      <c r="B251" s="33" t="inlineStr">
        <is>
          <t>ip_address</t>
        </is>
      </c>
      <c r="C251" s="33" t="inlineStr">
        <is>
          <t>VARCHAR</t>
        </is>
      </c>
      <c r="D251" s="33" t="inlineStr">
        <is>
          <t>45</t>
        </is>
      </c>
      <c r="E251" s="33" t="inlineStr">
        <is>
          <t>Y</t>
        </is>
      </c>
      <c r="F251" s="34" t="inlineStr"/>
      <c r="G251" s="34" t="inlineStr">
        <is>
          <t>N</t>
        </is>
      </c>
      <c r="H251" s="34" t="inlineStr"/>
      <c r="I251" s="34" t="inlineStr"/>
      <c r="J251" s="34" t="inlineStr">
        <is>
          <t>접속 IP</t>
        </is>
      </c>
      <c r="K251" s="34" t="n"/>
      <c r="L251" s="34" t="n"/>
      <c r="M251" s="34" t="n"/>
    </row>
    <row r="252">
      <c r="A252" s="33" t="inlineStr">
        <is>
          <t>audit_log</t>
        </is>
      </c>
      <c r="B252" s="33" t="inlineStr">
        <is>
          <t>created_at</t>
        </is>
      </c>
      <c r="C252" s="33" t="inlineStr">
        <is>
          <t>DATETIME</t>
        </is>
      </c>
      <c r="D252" s="33" t="inlineStr"/>
      <c r="E252" s="33" t="inlineStr">
        <is>
          <t>N</t>
        </is>
      </c>
      <c r="F252" s="34" t="inlineStr">
        <is>
          <t>NOW()</t>
        </is>
      </c>
      <c r="G252" s="34" t="inlineStr">
        <is>
          <t>N</t>
        </is>
      </c>
      <c r="H252" s="34" t="inlineStr"/>
      <c r="I252" s="34" t="inlineStr">
        <is>
          <t>Y</t>
        </is>
      </c>
      <c r="J252" s="34" t="inlineStr">
        <is>
          <t>발생 일시</t>
        </is>
      </c>
      <c r="K252" s="34" t="n"/>
      <c r="L252" s="34" t="n"/>
      <c r="M252" s="34" t="n"/>
    </row>
    <row r="253">
      <c r="A253" s="33" t="inlineStr">
        <is>
          <t>branches</t>
        </is>
      </c>
      <c r="B253" s="33" t="inlineStr">
        <is>
          <t>is_hq</t>
        </is>
      </c>
      <c r="C253" s="33" t="inlineStr">
        <is>
          <t>BOOLEAN</t>
        </is>
      </c>
      <c r="D253" s="33" t="n"/>
      <c r="E253" s="33" t="inlineStr">
        <is>
          <t>N</t>
        </is>
      </c>
      <c r="F253" s="34" t="inlineStr">
        <is>
          <t>false</t>
        </is>
      </c>
      <c r="G253" s="34" t="inlineStr">
        <is>
          <t>N</t>
        </is>
      </c>
      <c r="H253" s="34" t="n"/>
      <c r="I253" s="34" t="n"/>
      <c r="J253" s="34" t="inlineStr">
        <is>
          <t>본사 겸 지점 여부</t>
        </is>
      </c>
      <c r="K253" s="34" t="n"/>
      <c r="L253" s="34" t="n"/>
      <c r="M253" s="34" t="n"/>
    </row>
    <row r="254">
      <c r="A254" s="33" t="inlineStr">
        <is>
          <t>branches</t>
        </is>
      </c>
      <c r="B254" s="33" t="inlineStr">
        <is>
          <t>max_members</t>
        </is>
      </c>
      <c r="C254" s="33" t="inlineStr">
        <is>
          <t>INT</t>
        </is>
      </c>
      <c r="D254" s="33" t="n"/>
      <c r="E254" s="33" t="inlineStr">
        <is>
          <t>Y</t>
        </is>
      </c>
      <c r="F254" s="34" t="inlineStr">
        <is>
          <t>NULL</t>
        </is>
      </c>
      <c r="G254" s="34" t="inlineStr">
        <is>
          <t>N</t>
        </is>
      </c>
      <c r="H254" s="34" t="n"/>
      <c r="I254" s="34" t="n"/>
      <c r="J254" s="34" t="inlineStr">
        <is>
          <t>최대 회원 수 제한 (요금제 기반)</t>
        </is>
      </c>
      <c r="K254" s="34" t="n"/>
      <c r="L254" s="34" t="n"/>
      <c r="M254" s="34" t="n"/>
    </row>
    <row r="255">
      <c r="A255" s="33" t="inlineStr">
        <is>
          <t>tenants</t>
        </is>
      </c>
      <c r="B255" s="33" t="inlineStr">
        <is>
          <t>max_branches</t>
        </is>
      </c>
      <c r="C255" s="33" t="inlineStr">
        <is>
          <t>INT</t>
        </is>
      </c>
      <c r="D255" s="33" t="n"/>
      <c r="E255" s="33" t="inlineStr">
        <is>
          <t>N</t>
        </is>
      </c>
      <c r="F255" s="34" t="inlineStr">
        <is>
          <t>1</t>
        </is>
      </c>
      <c r="G255" s="34" t="inlineStr">
        <is>
          <t>N</t>
        </is>
      </c>
      <c r="H255" s="34" t="n"/>
      <c r="I255" s="34" t="n"/>
      <c r="J255" s="34" t="inlineStr">
        <is>
          <t>최대 지점 수 (요금제 기반: basic=1, standard=5, premium=무제한)</t>
        </is>
      </c>
      <c r="K255" s="34" t="n"/>
      <c r="L255" s="34" t="n"/>
      <c r="M255" s="34" t="n"/>
    </row>
    <row r="256">
      <c r="A256" s="33" t="inlineStr">
        <is>
          <t>tenants</t>
        </is>
      </c>
      <c r="B256" s="33" t="inlineStr">
        <is>
          <t>owner_user_id</t>
        </is>
      </c>
      <c r="C256" s="33" t="inlineStr">
        <is>
          <t>BIGINT</t>
        </is>
      </c>
      <c r="D256" s="33" t="n"/>
      <c r="E256" s="33" t="inlineStr">
        <is>
          <t>Y</t>
        </is>
      </c>
      <c r="F256" s="34" t="inlineStr">
        <is>
          <t>NULL</t>
        </is>
      </c>
      <c r="G256" s="34" t="inlineStr">
        <is>
          <t>N</t>
        </is>
      </c>
      <c r="H256" s="34" t="inlineStr">
        <is>
          <t>users.id</t>
        </is>
      </c>
      <c r="I256" s="34" t="n"/>
      <c r="J256" s="34" t="inlineStr">
        <is>
          <t>테넌트 소유자(슈퍼관리자) FK</t>
        </is>
      </c>
      <c r="K256" s="34" t="n"/>
      <c r="L256" s="34" t="n"/>
      <c r="M256" s="34" t="n"/>
    </row>
    <row r="257">
      <c r="A257" s="75" t="inlineStr">
        <is>
          <t>staff</t>
        </is>
      </c>
      <c r="B257" s="75" t="inlineStr">
        <is>
          <t>status</t>
        </is>
      </c>
      <c r="C257" s="75" t="inlineStr">
        <is>
          <t>VARCHAR</t>
        </is>
      </c>
      <c r="D257" s="75" t="inlineStr">
        <is>
          <t>20</t>
        </is>
      </c>
      <c r="E257" s="75" t="inlineStr">
        <is>
          <t>N</t>
        </is>
      </c>
      <c r="F257" s="75" t="inlineStr">
        <is>
          <t>ACTIVE</t>
        </is>
      </c>
      <c r="G257" s="75" t="inlineStr"/>
      <c r="H257" s="75" t="inlineStr"/>
      <c r="I257" s="75" t="inlineStr">
        <is>
          <t>Y</t>
        </is>
      </c>
      <c r="J257" s="75" t="inlineStr">
        <is>
          <t>직원 상태: ACTIVE/RESIGNED/TRANSFERRED/ON_LEAVE/LOCKED</t>
        </is>
      </c>
      <c r="K257" s="75" t="inlineStr"/>
      <c r="L257" s="75" t="inlineStr">
        <is>
          <t>신규</t>
        </is>
      </c>
      <c r="M257" s="75" t="inlineStr">
        <is>
          <t>BP-083</t>
        </is>
      </c>
    </row>
    <row r="258">
      <c r="A258" s="75" t="inlineStr">
        <is>
          <t>staff</t>
        </is>
      </c>
      <c r="B258" s="75" t="inlineStr">
        <is>
          <t>resigned_at</t>
        </is>
      </c>
      <c r="C258" s="75" t="inlineStr">
        <is>
          <t>DATETIME</t>
        </is>
      </c>
      <c r="D258" s="75" t="inlineStr"/>
      <c r="E258" s="75" t="inlineStr">
        <is>
          <t>Y</t>
        </is>
      </c>
      <c r="F258" s="75" t="inlineStr">
        <is>
          <t>NULL</t>
        </is>
      </c>
      <c r="G258" s="75" t="inlineStr"/>
      <c r="H258" s="75" t="inlineStr"/>
      <c r="I258" s="75" t="inlineStr">
        <is>
          <t>Y</t>
        </is>
      </c>
      <c r="J258" s="75" t="inlineStr">
        <is>
          <t>퇴사일 (퇴사 처리 시 설정)</t>
        </is>
      </c>
      <c r="K258" s="75" t="inlineStr"/>
      <c r="L258" s="75" t="inlineStr">
        <is>
          <t>신규</t>
        </is>
      </c>
      <c r="M258" s="75" t="inlineStr">
        <is>
          <t>BP-083</t>
        </is>
      </c>
    </row>
    <row r="259">
      <c r="A259" s="75" t="inlineStr">
        <is>
          <t>staff</t>
        </is>
      </c>
      <c r="B259" s="75" t="inlineStr">
        <is>
          <t>resign_reason</t>
        </is>
      </c>
      <c r="C259" s="75" t="inlineStr">
        <is>
          <t>VARCHAR</t>
        </is>
      </c>
      <c r="D259" s="75" t="inlineStr">
        <is>
          <t>200</t>
        </is>
      </c>
      <c r="E259" s="75" t="inlineStr">
        <is>
          <t>Y</t>
        </is>
      </c>
      <c r="F259" s="75" t="inlineStr">
        <is>
          <t>NULL</t>
        </is>
      </c>
      <c r="G259" s="75" t="inlineStr"/>
      <c r="H259" s="75" t="inlineStr"/>
      <c r="I259" s="75" t="inlineStr"/>
      <c r="J259" s="75" t="inlineStr">
        <is>
          <t>퇴사 사유</t>
        </is>
      </c>
      <c r="K259" s="75" t="inlineStr"/>
      <c r="L259" s="75" t="inlineStr">
        <is>
          <t>신규</t>
        </is>
      </c>
      <c r="M259" s="75" t="inlineStr">
        <is>
          <t>BP-086</t>
        </is>
      </c>
    </row>
    <row r="260">
      <c r="A260" s="75" t="inlineStr">
        <is>
          <t>staff</t>
        </is>
      </c>
      <c r="B260" s="75" t="inlineStr">
        <is>
          <t>resign_scheduled_at</t>
        </is>
      </c>
      <c r="C260" s="75" t="inlineStr">
        <is>
          <t>DATE</t>
        </is>
      </c>
      <c r="D260" s="75" t="inlineStr"/>
      <c r="E260" s="75" t="inlineStr">
        <is>
          <t>Y</t>
        </is>
      </c>
      <c r="F260" s="75" t="inlineStr">
        <is>
          <t>NULL</t>
        </is>
      </c>
      <c r="G260" s="75" t="inlineStr"/>
      <c r="H260" s="75" t="inlineStr"/>
      <c r="I260" s="75" t="inlineStr"/>
      <c r="J260" s="75" t="inlineStr">
        <is>
          <t>퇴사 예정일 (사전 등록)</t>
        </is>
      </c>
      <c r="K260" s="75" t="inlineStr"/>
      <c r="L260" s="75" t="inlineStr">
        <is>
          <t>신규</t>
        </is>
      </c>
      <c r="M260" s="75" t="inlineStr">
        <is>
          <t>BP-083</t>
        </is>
      </c>
    </row>
    <row r="261">
      <c r="A261" s="75" t="inlineStr">
        <is>
          <t>staff</t>
        </is>
      </c>
      <c r="B261" s="75" t="inlineStr">
        <is>
          <t>previous_employee_id</t>
        </is>
      </c>
      <c r="C261" s="75" t="inlineStr">
        <is>
          <t>BIGINT</t>
        </is>
      </c>
      <c r="D261" s="75" t="inlineStr"/>
      <c r="E261" s="75" t="inlineStr">
        <is>
          <t>Y</t>
        </is>
      </c>
      <c r="F261" s="75" t="inlineStr">
        <is>
          <t>NULL</t>
        </is>
      </c>
      <c r="G261" s="75" t="inlineStr"/>
      <c r="H261" s="75" t="inlineStr">
        <is>
          <t>FK→staff.id</t>
        </is>
      </c>
      <c r="I261" s="75" t="inlineStr"/>
      <c r="J261" s="75" t="inlineStr">
        <is>
          <t>재입사 시 이전 직원ID 참조</t>
        </is>
      </c>
      <c r="K261" s="75" t="inlineStr"/>
      <c r="L261" s="75" t="inlineStr">
        <is>
          <t>신규</t>
        </is>
      </c>
      <c r="M261" s="75" t="inlineStr">
        <is>
          <t>BP-090</t>
        </is>
      </c>
    </row>
    <row r="262">
      <c r="A262" s="75" t="inlineStr">
        <is>
          <t>staff</t>
        </is>
      </c>
      <c r="B262" s="75" t="inlineStr">
        <is>
          <t>leave_start_at</t>
        </is>
      </c>
      <c r="C262" s="75" t="inlineStr">
        <is>
          <t>DATE</t>
        </is>
      </c>
      <c r="D262" s="75" t="inlineStr"/>
      <c r="E262" s="75" t="inlineStr">
        <is>
          <t>Y</t>
        </is>
      </c>
      <c r="F262" s="75" t="inlineStr">
        <is>
          <t>NULL</t>
        </is>
      </c>
      <c r="G262" s="75" t="inlineStr"/>
      <c r="H262" s="75" t="inlineStr"/>
      <c r="I262" s="75" t="inlineStr"/>
      <c r="J262" s="75" t="inlineStr">
        <is>
          <t>휴직 시작일</t>
        </is>
      </c>
      <c r="K262" s="75" t="inlineStr"/>
      <c r="L262" s="75" t="inlineStr">
        <is>
          <t>신규</t>
        </is>
      </c>
      <c r="M262" s="75" t="inlineStr">
        <is>
          <t>BP-089</t>
        </is>
      </c>
    </row>
    <row r="263">
      <c r="A263" s="75" t="inlineStr">
        <is>
          <t>staff</t>
        </is>
      </c>
      <c r="B263" s="75" t="inlineStr">
        <is>
          <t>leave_end_at</t>
        </is>
      </c>
      <c r="C263" s="75" t="inlineStr">
        <is>
          <t>DATE</t>
        </is>
      </c>
      <c r="D263" s="75" t="inlineStr"/>
      <c r="E263" s="75" t="inlineStr">
        <is>
          <t>Y</t>
        </is>
      </c>
      <c r="F263" s="75" t="inlineStr">
        <is>
          <t>NULL</t>
        </is>
      </c>
      <c r="G263" s="75" t="inlineStr"/>
      <c r="H263" s="75" t="inlineStr"/>
      <c r="I263" s="75" t="inlineStr"/>
      <c r="J263" s="75" t="inlineStr">
        <is>
          <t>휴직 예정 복직일</t>
        </is>
      </c>
      <c r="K263" s="75" t="inlineStr"/>
      <c r="L263" s="75" t="inlineStr">
        <is>
          <t>신규</t>
        </is>
      </c>
      <c r="M263" s="75" t="inlineStr">
        <is>
          <t>BP-089</t>
        </is>
      </c>
    </row>
    <row r="264">
      <c r="A264" s="75" t="inlineStr">
        <is>
          <t>staff</t>
        </is>
      </c>
      <c r="B264" s="75" t="inlineStr">
        <is>
          <t>leave_reason</t>
        </is>
      </c>
      <c r="C264" s="75" t="inlineStr">
        <is>
          <t>VARCHAR</t>
        </is>
      </c>
      <c r="D264" s="75" t="inlineStr">
        <is>
          <t>100</t>
        </is>
      </c>
      <c r="E264" s="75" t="inlineStr">
        <is>
          <t>Y</t>
        </is>
      </c>
      <c r="F264" s="75" t="inlineStr">
        <is>
          <t>NULL</t>
        </is>
      </c>
      <c r="G264" s="75" t="inlineStr"/>
      <c r="H264" s="75" t="inlineStr"/>
      <c r="I264" s="75" t="inlineStr"/>
      <c r="J264" s="75" t="inlineStr">
        <is>
          <t>휴직 사유: CHILDCARE/MEDICAL/PERSONAL/STUDY</t>
        </is>
      </c>
      <c r="K264" s="75" t="inlineStr"/>
      <c r="L264" s="75" t="inlineStr">
        <is>
          <t>신규</t>
        </is>
      </c>
      <c r="M264" s="75" t="inlineStr">
        <is>
          <t>BP-089</t>
        </is>
      </c>
    </row>
    <row r="265">
      <c r="A265" s="75" t="inlineStr">
        <is>
          <t>staff</t>
        </is>
      </c>
      <c r="B265" s="75" t="inlineStr">
        <is>
          <t>login_fail_count</t>
        </is>
      </c>
      <c r="C265" s="75" t="inlineStr">
        <is>
          <t>INT</t>
        </is>
      </c>
      <c r="D265" s="75" t="inlineStr"/>
      <c r="E265" s="75" t="inlineStr">
        <is>
          <t>N</t>
        </is>
      </c>
      <c r="F265" s="75" t="inlineStr">
        <is>
          <t>0</t>
        </is>
      </c>
      <c r="G265" s="75" t="inlineStr"/>
      <c r="H265" s="75" t="inlineStr"/>
      <c r="I265" s="75" t="inlineStr"/>
      <c r="J265" s="75" t="inlineStr">
        <is>
          <t>연속 로그인 실패 횟수</t>
        </is>
      </c>
      <c r="K265" s="75" t="inlineStr"/>
      <c r="L265" s="75" t="inlineStr">
        <is>
          <t>신규</t>
        </is>
      </c>
      <c r="M265" s="75" t="inlineStr">
        <is>
          <t>BP-093</t>
        </is>
      </c>
    </row>
    <row r="266">
      <c r="A266" s="75" t="inlineStr">
        <is>
          <t>staff</t>
        </is>
      </c>
      <c r="B266" s="75" t="inlineStr">
        <is>
          <t>locked_until</t>
        </is>
      </c>
      <c r="C266" s="75" t="inlineStr">
        <is>
          <t>DATETIME</t>
        </is>
      </c>
      <c r="D266" s="75" t="inlineStr"/>
      <c r="E266" s="75" t="inlineStr">
        <is>
          <t>Y</t>
        </is>
      </c>
      <c r="F266" s="75" t="inlineStr">
        <is>
          <t>NULL</t>
        </is>
      </c>
      <c r="G266" s="75" t="inlineStr"/>
      <c r="H266" s="75" t="inlineStr"/>
      <c r="I266" s="75" t="inlineStr"/>
      <c r="J266" s="75" t="inlineStr">
        <is>
          <t>계정 잠금 해제 시각 (NULL=잠금 안됨)</t>
        </is>
      </c>
      <c r="K266" s="75" t="inlineStr"/>
      <c r="L266" s="75" t="inlineStr">
        <is>
          <t>신규</t>
        </is>
      </c>
      <c r="M266" s="75" t="inlineStr">
        <is>
          <t>BP-093</t>
        </is>
      </c>
    </row>
    <row r="267">
      <c r="A267" s="75" t="inlineStr">
        <is>
          <t>staff</t>
        </is>
      </c>
      <c r="B267" s="75" t="inlineStr">
        <is>
          <t>last_login_at</t>
        </is>
      </c>
      <c r="C267" s="75" t="inlineStr">
        <is>
          <t>DATETIME</t>
        </is>
      </c>
      <c r="D267" s="75" t="inlineStr"/>
      <c r="E267" s="75" t="inlineStr">
        <is>
          <t>Y</t>
        </is>
      </c>
      <c r="F267" s="75" t="inlineStr">
        <is>
          <t>NULL</t>
        </is>
      </c>
      <c r="G267" s="75" t="inlineStr"/>
      <c r="H267" s="75" t="inlineStr"/>
      <c r="I267" s="75" t="inlineStr"/>
      <c r="J267" s="75" t="inlineStr">
        <is>
          <t>마지막 로그인 시각 (90일 미접속 → 휴면)</t>
        </is>
      </c>
      <c r="K267" s="75" t="inlineStr"/>
      <c r="L267" s="75" t="inlineStr">
        <is>
          <t>신규</t>
        </is>
      </c>
      <c r="M267" s="75" t="inlineStr">
        <is>
          <t>BP-093</t>
        </is>
      </c>
    </row>
    <row r="268">
      <c r="A268" s="75" t="inlineStr">
        <is>
          <t>staff</t>
        </is>
      </c>
      <c r="B268" s="75" t="inlineStr">
        <is>
          <t>transferred_from_branch_id</t>
        </is>
      </c>
      <c r="C268" s="75" t="inlineStr">
        <is>
          <t>BIGINT</t>
        </is>
      </c>
      <c r="D268" s="75" t="inlineStr"/>
      <c r="E268" s="75" t="inlineStr">
        <is>
          <t>Y</t>
        </is>
      </c>
      <c r="F268" s="75" t="inlineStr">
        <is>
          <t>NULL</t>
        </is>
      </c>
      <c r="G268" s="75" t="inlineStr"/>
      <c r="H268" s="75" t="inlineStr">
        <is>
          <t>FK→branches.id</t>
        </is>
      </c>
      <c r="I268" s="75" t="inlineStr"/>
      <c r="J268" s="75" t="inlineStr">
        <is>
          <t>전보 시 이전 지점ID</t>
        </is>
      </c>
      <c r="K268" s="75" t="inlineStr"/>
      <c r="L268" s="75" t="inlineStr">
        <is>
          <t>신규</t>
        </is>
      </c>
      <c r="M268" s="75" t="inlineStr">
        <is>
          <t>BP-088</t>
        </is>
      </c>
    </row>
    <row r="269">
      <c r="A269" s="75" t="inlineStr">
        <is>
          <t>staff</t>
        </is>
      </c>
      <c r="B269" s="75" t="inlineStr">
        <is>
          <t>transferred_at</t>
        </is>
      </c>
      <c r="C269" s="75" t="inlineStr">
        <is>
          <t>DATE</t>
        </is>
      </c>
      <c r="D269" s="75" t="inlineStr"/>
      <c r="E269" s="75" t="inlineStr">
        <is>
          <t>Y</t>
        </is>
      </c>
      <c r="F269" s="75" t="inlineStr">
        <is>
          <t>NULL</t>
        </is>
      </c>
      <c r="G269" s="75" t="inlineStr"/>
      <c r="H269" s="75" t="inlineStr"/>
      <c r="I269" s="75" t="inlineStr"/>
      <c r="J269" s="75" t="inlineStr">
        <is>
          <t>전보일</t>
        </is>
      </c>
      <c r="K269" s="75" t="inlineStr"/>
      <c r="L269" s="75" t="inlineStr">
        <is>
          <t>신규</t>
        </is>
      </c>
      <c r="M269" s="75" t="inlineStr">
        <is>
          <t>BP-088</t>
        </is>
      </c>
    </row>
    <row r="270">
      <c r="A270" s="76" t="inlineStr">
        <is>
          <t>members</t>
        </is>
      </c>
      <c r="B270" s="76" t="inlineStr">
        <is>
          <t>status</t>
        </is>
      </c>
      <c r="C270" s="76" t="inlineStr">
        <is>
          <t>VARCHAR</t>
        </is>
      </c>
      <c r="D270" s="76" t="inlineStr">
        <is>
          <t>20</t>
        </is>
      </c>
      <c r="E270" s="76" t="inlineStr">
        <is>
          <t>N</t>
        </is>
      </c>
      <c r="F270" s="76" t="inlineStr">
        <is>
          <t>ACTIVE</t>
        </is>
      </c>
      <c r="G270" s="76" t="inlineStr"/>
      <c r="H270" s="76" t="inlineStr"/>
      <c r="I270" s="76" t="inlineStr">
        <is>
          <t>Y</t>
        </is>
      </c>
      <c r="J270" s="76" t="inlineStr">
        <is>
          <t>회원 상태: ACTIVE/EXPIRED/DORMANT/WITHDRAWN/TRANSFERRED</t>
        </is>
      </c>
      <c r="K270" s="76" t="inlineStr"/>
      <c r="L270" s="76" t="inlineStr">
        <is>
          <t>신규</t>
        </is>
      </c>
      <c r="M270" s="76" t="inlineStr">
        <is>
          <t>BP-098</t>
        </is>
      </c>
    </row>
    <row r="271">
      <c r="A271" s="76" t="inlineStr">
        <is>
          <t>members</t>
        </is>
      </c>
      <c r="B271" s="76" t="inlineStr">
        <is>
          <t>home_branch_id</t>
        </is>
      </c>
      <c r="C271" s="76" t="inlineStr">
        <is>
          <t>BIGINT</t>
        </is>
      </c>
      <c r="D271" s="76" t="inlineStr"/>
      <c r="E271" s="76" t="inlineStr">
        <is>
          <t>N</t>
        </is>
      </c>
      <c r="F271" s="76" t="inlineStr"/>
      <c r="G271" s="76" t="inlineStr"/>
      <c r="H271" s="76" t="inlineStr">
        <is>
          <t>FK→branches.id</t>
        </is>
      </c>
      <c r="I271" s="76" t="inlineStr">
        <is>
          <t>Y</t>
        </is>
      </c>
      <c r="J271" s="76" t="inlineStr">
        <is>
          <t>주 소속 지점 (게스트방문 시 기준)</t>
        </is>
      </c>
      <c r="K271" s="76" t="inlineStr"/>
      <c r="L271" s="76" t="inlineStr">
        <is>
          <t>신규</t>
        </is>
      </c>
      <c r="M271" s="76" t="inlineStr">
        <is>
          <t>BP-099</t>
        </is>
      </c>
    </row>
    <row r="272">
      <c r="A272" s="76" t="inlineStr">
        <is>
          <t>members</t>
        </is>
      </c>
      <c r="B272" s="76" t="inlineStr">
        <is>
          <t>withdrawn_at</t>
        </is>
      </c>
      <c r="C272" s="76" t="inlineStr">
        <is>
          <t>DATETIME</t>
        </is>
      </c>
      <c r="D272" s="76" t="inlineStr"/>
      <c r="E272" s="76" t="inlineStr">
        <is>
          <t>Y</t>
        </is>
      </c>
      <c r="F272" s="76" t="inlineStr">
        <is>
          <t>NULL</t>
        </is>
      </c>
      <c r="G272" s="76" t="inlineStr"/>
      <c r="H272" s="76" t="inlineStr"/>
      <c r="I272" s="76" t="inlineStr"/>
      <c r="J272" s="76" t="inlineStr">
        <is>
          <t>탈퇴일</t>
        </is>
      </c>
      <c r="K272" s="76" t="inlineStr"/>
      <c r="L272" s="76" t="inlineStr">
        <is>
          <t>신규</t>
        </is>
      </c>
      <c r="M272" s="76" t="inlineStr">
        <is>
          <t>BP-098</t>
        </is>
      </c>
    </row>
    <row r="273">
      <c r="A273" s="76" t="inlineStr">
        <is>
          <t>members</t>
        </is>
      </c>
      <c r="B273" s="76" t="inlineStr">
        <is>
          <t>withdraw_reason</t>
        </is>
      </c>
      <c r="C273" s="76" t="inlineStr">
        <is>
          <t>VARCHAR</t>
        </is>
      </c>
      <c r="D273" s="76" t="inlineStr">
        <is>
          <t>200</t>
        </is>
      </c>
      <c r="E273" s="76" t="inlineStr">
        <is>
          <t>Y</t>
        </is>
      </c>
      <c r="F273" s="76" t="inlineStr">
        <is>
          <t>NULL</t>
        </is>
      </c>
      <c r="G273" s="76" t="inlineStr"/>
      <c r="H273" s="76" t="inlineStr"/>
      <c r="I273" s="76" t="inlineStr"/>
      <c r="J273" s="76" t="inlineStr">
        <is>
          <t>탈퇴 사유</t>
        </is>
      </c>
      <c r="K273" s="76" t="inlineStr"/>
      <c r="L273" s="76" t="inlineStr">
        <is>
          <t>신규</t>
        </is>
      </c>
      <c r="M273" s="76" t="inlineStr">
        <is>
          <t>BP-098</t>
        </is>
      </c>
    </row>
    <row r="274">
      <c r="A274" s="76" t="inlineStr">
        <is>
          <t>members</t>
        </is>
      </c>
      <c r="B274" s="76" t="inlineStr">
        <is>
          <t>privacy_masked_at</t>
        </is>
      </c>
      <c r="C274" s="76" t="inlineStr">
        <is>
          <t>DATETIME</t>
        </is>
      </c>
      <c r="D274" s="76" t="inlineStr"/>
      <c r="E274" s="76" t="inlineStr">
        <is>
          <t>Y</t>
        </is>
      </c>
      <c r="F274" s="76" t="inlineStr">
        <is>
          <t>NULL</t>
        </is>
      </c>
      <c r="G274" s="76" t="inlineStr"/>
      <c r="H274" s="76" t="inlineStr"/>
      <c r="I274" s="76" t="inlineStr"/>
      <c r="J274" s="76" t="inlineStr">
        <is>
          <t>개인정보 마스킹 처리일</t>
        </is>
      </c>
      <c r="K274" s="76" t="inlineStr"/>
      <c r="L274" s="76" t="inlineStr">
        <is>
          <t>신규</t>
        </is>
      </c>
      <c r="M274" s="76" t="inlineStr">
        <is>
          <t>BP-122</t>
        </is>
      </c>
    </row>
    <row r="275">
      <c r="A275" s="76" t="inlineStr">
        <is>
          <t>members</t>
        </is>
      </c>
      <c r="B275" s="76" t="inlineStr">
        <is>
          <t>previous_member_id</t>
        </is>
      </c>
      <c r="C275" s="76" t="inlineStr">
        <is>
          <t>BIGINT</t>
        </is>
      </c>
      <c r="D275" s="76" t="inlineStr"/>
      <c r="E275" s="76" t="inlineStr">
        <is>
          <t>Y</t>
        </is>
      </c>
      <c r="F275" s="76" t="inlineStr">
        <is>
          <t>NULL</t>
        </is>
      </c>
      <c r="G275" s="76" t="inlineStr"/>
      <c r="H275" s="76" t="inlineStr">
        <is>
          <t>FK→members.id</t>
        </is>
      </c>
      <c r="I275" s="76" t="inlineStr"/>
      <c r="J275" s="76" t="inlineStr">
        <is>
          <t>재가입 시 이전 회원ID 참조</t>
        </is>
      </c>
      <c r="K275" s="76" t="inlineStr"/>
      <c r="L275" s="76" t="inlineStr">
        <is>
          <t>신규</t>
        </is>
      </c>
      <c r="M275" s="76" t="inlineStr">
        <is>
          <t>BP-101</t>
        </is>
      </c>
    </row>
    <row r="276">
      <c r="A276" s="77" t="inlineStr">
        <is>
          <t>member_transfer_log</t>
        </is>
      </c>
      <c r="B276" s="77" t="inlineStr">
        <is>
          <t>id</t>
        </is>
      </c>
      <c r="C276" s="77" t="inlineStr">
        <is>
          <t>BIGINT</t>
        </is>
      </c>
      <c r="D276" s="77" t="inlineStr"/>
      <c r="E276" s="77" t="inlineStr">
        <is>
          <t>N</t>
        </is>
      </c>
      <c r="F276" s="77" t="inlineStr"/>
      <c r="G276" s="77" t="inlineStr">
        <is>
          <t>PK</t>
        </is>
      </c>
      <c r="H276" s="77" t="inlineStr"/>
      <c r="I276" s="77" t="inlineStr"/>
      <c r="J276" s="77" t="inlineStr">
        <is>
          <t>이관 로그 ID</t>
        </is>
      </c>
      <c r="K276" s="77" t="inlineStr"/>
      <c r="L276" s="77" t="inlineStr">
        <is>
          <t>신규</t>
        </is>
      </c>
      <c r="M276" s="77" t="inlineStr">
        <is>
          <t>BP-096</t>
        </is>
      </c>
    </row>
    <row r="277">
      <c r="A277" s="77" t="inlineStr">
        <is>
          <t>member_transfer_log</t>
        </is>
      </c>
      <c r="B277" s="77" t="inlineStr">
        <is>
          <t>tenant_id</t>
        </is>
      </c>
      <c r="C277" s="77" t="inlineStr">
        <is>
          <t>BIGINT</t>
        </is>
      </c>
      <c r="D277" s="77" t="inlineStr"/>
      <c r="E277" s="77" t="inlineStr">
        <is>
          <t>N</t>
        </is>
      </c>
      <c r="F277" s="77" t="inlineStr"/>
      <c r="G277" s="77" t="inlineStr"/>
      <c r="H277" s="77" t="inlineStr">
        <is>
          <t>FK→tenants.id</t>
        </is>
      </c>
      <c r="I277" s="77" t="inlineStr">
        <is>
          <t>Y</t>
        </is>
      </c>
      <c r="J277" s="77" t="inlineStr">
        <is>
          <t>테넌트 ID</t>
        </is>
      </c>
      <c r="K277" s="77" t="inlineStr"/>
      <c r="L277" s="77" t="inlineStr">
        <is>
          <t>신규</t>
        </is>
      </c>
      <c r="M277" s="77" t="inlineStr"/>
    </row>
    <row r="278">
      <c r="A278" s="77" t="inlineStr">
        <is>
          <t>member_transfer_log</t>
        </is>
      </c>
      <c r="B278" s="77" t="inlineStr">
        <is>
          <t>member_id</t>
        </is>
      </c>
      <c r="C278" s="77" t="inlineStr">
        <is>
          <t>BIGINT</t>
        </is>
      </c>
      <c r="D278" s="77" t="inlineStr"/>
      <c r="E278" s="77" t="inlineStr">
        <is>
          <t>N</t>
        </is>
      </c>
      <c r="F278" s="77" t="inlineStr"/>
      <c r="G278" s="77" t="inlineStr"/>
      <c r="H278" s="77" t="inlineStr">
        <is>
          <t>FK→members.id</t>
        </is>
      </c>
      <c r="I278" s="77" t="inlineStr">
        <is>
          <t>Y</t>
        </is>
      </c>
      <c r="J278" s="77" t="inlineStr">
        <is>
          <t>이관 대상 회원 ID</t>
        </is>
      </c>
      <c r="K278" s="77" t="inlineStr"/>
      <c r="L278" s="77" t="inlineStr">
        <is>
          <t>신규</t>
        </is>
      </c>
      <c r="M278" s="77" t="inlineStr"/>
    </row>
    <row r="279">
      <c r="A279" s="77" t="inlineStr">
        <is>
          <t>member_transfer_log</t>
        </is>
      </c>
      <c r="B279" s="77" t="inlineStr">
        <is>
          <t>from_branch_id</t>
        </is>
      </c>
      <c r="C279" s="77" t="inlineStr">
        <is>
          <t>BIGINT</t>
        </is>
      </c>
      <c r="D279" s="77" t="inlineStr"/>
      <c r="E279" s="77" t="inlineStr">
        <is>
          <t>N</t>
        </is>
      </c>
      <c r="F279" s="77" t="inlineStr"/>
      <c r="G279" s="77" t="inlineStr"/>
      <c r="H279" s="77" t="inlineStr">
        <is>
          <t>FK→branches.id</t>
        </is>
      </c>
      <c r="I279" s="77" t="inlineStr"/>
      <c r="J279" s="77" t="inlineStr">
        <is>
          <t>이관 출발 지점</t>
        </is>
      </c>
      <c r="K279" s="77" t="inlineStr"/>
      <c r="L279" s="77" t="inlineStr">
        <is>
          <t>신규</t>
        </is>
      </c>
      <c r="M279" s="77" t="inlineStr"/>
    </row>
    <row r="280">
      <c r="A280" s="77" t="inlineStr">
        <is>
          <t>member_transfer_log</t>
        </is>
      </c>
      <c r="B280" s="77" t="inlineStr">
        <is>
          <t>to_branch_id</t>
        </is>
      </c>
      <c r="C280" s="77" t="inlineStr">
        <is>
          <t>BIGINT</t>
        </is>
      </c>
      <c r="D280" s="77" t="inlineStr"/>
      <c r="E280" s="77" t="inlineStr">
        <is>
          <t>N</t>
        </is>
      </c>
      <c r="F280" s="77" t="inlineStr"/>
      <c r="G280" s="77" t="inlineStr"/>
      <c r="H280" s="77" t="inlineStr">
        <is>
          <t>FK→branches.id</t>
        </is>
      </c>
      <c r="I280" s="77" t="inlineStr"/>
      <c r="J280" s="77" t="inlineStr">
        <is>
          <t>이관 도착 지점</t>
        </is>
      </c>
      <c r="K280" s="77" t="inlineStr"/>
      <c r="L280" s="77" t="inlineStr">
        <is>
          <t>신규</t>
        </is>
      </c>
      <c r="M280" s="77" t="inlineStr"/>
    </row>
    <row r="281">
      <c r="A281" s="77" t="inlineStr">
        <is>
          <t>member_transfer_log</t>
        </is>
      </c>
      <c r="B281" s="77" t="inlineStr">
        <is>
          <t>transfer_type</t>
        </is>
      </c>
      <c r="C281" s="77" t="inlineStr">
        <is>
          <t>VARCHAR</t>
        </is>
      </c>
      <c r="D281" s="77" t="inlineStr">
        <is>
          <t>20</t>
        </is>
      </c>
      <c r="E281" s="77" t="inlineStr">
        <is>
          <t>N</t>
        </is>
      </c>
      <c r="F281" s="77" t="inlineStr"/>
      <c r="G281" s="77" t="inlineStr"/>
      <c r="H281" s="77" t="inlineStr"/>
      <c r="I281" s="77" t="inlineStr"/>
      <c r="J281" s="77" t="inlineStr">
        <is>
          <t>KEEP_TICKET/REFUND_NEW/EXHAUST_THEN</t>
        </is>
      </c>
      <c r="K281" s="77" t="inlineStr"/>
      <c r="L281" s="77" t="inlineStr">
        <is>
          <t>신규</t>
        </is>
      </c>
      <c r="M281" s="77" t="inlineStr">
        <is>
          <t>BP-097</t>
        </is>
      </c>
    </row>
    <row r="282">
      <c r="A282" s="77" t="inlineStr">
        <is>
          <t>member_transfer_log</t>
        </is>
      </c>
      <c r="B282" s="77" t="inlineStr">
        <is>
          <t>approved_by</t>
        </is>
      </c>
      <c r="C282" s="77" t="inlineStr">
        <is>
          <t>BIGINT</t>
        </is>
      </c>
      <c r="D282" s="77" t="inlineStr"/>
      <c r="E282" s="77" t="inlineStr">
        <is>
          <t>N</t>
        </is>
      </c>
      <c r="F282" s="77" t="inlineStr"/>
      <c r="G282" s="77" t="inlineStr"/>
      <c r="H282" s="77" t="inlineStr">
        <is>
          <t>FK→users.id</t>
        </is>
      </c>
      <c r="I282" s="77" t="inlineStr"/>
      <c r="J282" s="77" t="inlineStr">
        <is>
          <t>승인자 (슈퍼관리자 or 센터장)</t>
        </is>
      </c>
      <c r="K282" s="77" t="inlineStr"/>
      <c r="L282" s="77" t="inlineStr">
        <is>
          <t>신규</t>
        </is>
      </c>
      <c r="M282" s="77" t="inlineStr"/>
    </row>
    <row r="283">
      <c r="A283" s="77" t="inlineStr">
        <is>
          <t>member_transfer_log</t>
        </is>
      </c>
      <c r="B283" s="77" t="inlineStr">
        <is>
          <t>reason</t>
        </is>
      </c>
      <c r="C283" s="77" t="inlineStr">
        <is>
          <t>VARCHAR</t>
        </is>
      </c>
      <c r="D283" s="77" t="inlineStr">
        <is>
          <t>200</t>
        </is>
      </c>
      <c r="E283" s="77" t="inlineStr">
        <is>
          <t>Y</t>
        </is>
      </c>
      <c r="F283" s="77" t="inlineStr">
        <is>
          <t>NULL</t>
        </is>
      </c>
      <c r="G283" s="77" t="inlineStr"/>
      <c r="H283" s="77" t="inlineStr"/>
      <c r="I283" s="77" t="inlineStr"/>
      <c r="J283" s="77" t="inlineStr">
        <is>
          <t>이관 사유</t>
        </is>
      </c>
      <c r="K283" s="77" t="inlineStr"/>
      <c r="L283" s="77" t="inlineStr">
        <is>
          <t>신규</t>
        </is>
      </c>
      <c r="M283" s="77" t="inlineStr"/>
    </row>
    <row r="284">
      <c r="A284" s="77" t="inlineStr">
        <is>
          <t>member_transfer_log</t>
        </is>
      </c>
      <c r="B284" s="77" t="inlineStr">
        <is>
          <t>created_at</t>
        </is>
      </c>
      <c r="C284" s="77" t="inlineStr">
        <is>
          <t>DATETIME</t>
        </is>
      </c>
      <c r="D284" s="77" t="inlineStr"/>
      <c r="E284" s="77" t="inlineStr">
        <is>
          <t>N</t>
        </is>
      </c>
      <c r="F284" s="77" t="inlineStr">
        <is>
          <t>NOW()</t>
        </is>
      </c>
      <c r="G284" s="77" t="inlineStr"/>
      <c r="H284" s="77" t="inlineStr"/>
      <c r="I284" s="77" t="inlineStr"/>
      <c r="J284" s="77" t="inlineStr">
        <is>
          <t>이관 처리일시</t>
        </is>
      </c>
      <c r="K284" s="77" t="inlineStr"/>
      <c r="L284" s="77" t="inlineStr">
        <is>
          <t>신규</t>
        </is>
      </c>
      <c r="M284" s="77" t="inlineStr"/>
    </row>
    <row r="285">
      <c r="A285" s="77" t="inlineStr">
        <is>
          <t>staff_transfer_log</t>
        </is>
      </c>
      <c r="B285" s="77" t="inlineStr">
        <is>
          <t>id</t>
        </is>
      </c>
      <c r="C285" s="77" t="inlineStr">
        <is>
          <t>BIGINT</t>
        </is>
      </c>
      <c r="D285" s="77" t="inlineStr"/>
      <c r="E285" s="77" t="inlineStr">
        <is>
          <t>N</t>
        </is>
      </c>
      <c r="F285" s="77" t="inlineStr"/>
      <c r="G285" s="77" t="inlineStr">
        <is>
          <t>PK</t>
        </is>
      </c>
      <c r="H285" s="77" t="inlineStr"/>
      <c r="I285" s="77" t="inlineStr"/>
      <c r="J285" s="77" t="inlineStr">
        <is>
          <t>직원 전보 로그 ID</t>
        </is>
      </c>
      <c r="K285" s="77" t="inlineStr"/>
      <c r="L285" s="77" t="inlineStr">
        <is>
          <t>신규</t>
        </is>
      </c>
      <c r="M285" s="77" t="inlineStr">
        <is>
          <t>BP-088</t>
        </is>
      </c>
    </row>
    <row r="286">
      <c r="A286" s="77" t="inlineStr">
        <is>
          <t>staff_transfer_log</t>
        </is>
      </c>
      <c r="B286" s="77" t="inlineStr">
        <is>
          <t>tenant_id</t>
        </is>
      </c>
      <c r="C286" s="77" t="inlineStr">
        <is>
          <t>BIGINT</t>
        </is>
      </c>
      <c r="D286" s="77" t="inlineStr"/>
      <c r="E286" s="77" t="inlineStr">
        <is>
          <t>N</t>
        </is>
      </c>
      <c r="F286" s="77" t="inlineStr"/>
      <c r="G286" s="77" t="inlineStr"/>
      <c r="H286" s="77" t="inlineStr">
        <is>
          <t>FK→tenants.id</t>
        </is>
      </c>
      <c r="I286" s="77" t="inlineStr">
        <is>
          <t>Y</t>
        </is>
      </c>
      <c r="J286" s="77" t="inlineStr">
        <is>
          <t>테넌트 ID</t>
        </is>
      </c>
      <c r="K286" s="77" t="inlineStr"/>
      <c r="L286" s="77" t="inlineStr">
        <is>
          <t>신규</t>
        </is>
      </c>
      <c r="M286" s="77" t="inlineStr"/>
    </row>
    <row r="287">
      <c r="A287" s="77" t="inlineStr">
        <is>
          <t>staff_transfer_log</t>
        </is>
      </c>
      <c r="B287" s="77" t="inlineStr">
        <is>
          <t>staff_id</t>
        </is>
      </c>
      <c r="C287" s="77" t="inlineStr">
        <is>
          <t>BIGINT</t>
        </is>
      </c>
      <c r="D287" s="77" t="inlineStr"/>
      <c r="E287" s="77" t="inlineStr">
        <is>
          <t>N</t>
        </is>
      </c>
      <c r="F287" s="77" t="inlineStr"/>
      <c r="G287" s="77" t="inlineStr"/>
      <c r="H287" s="77" t="inlineStr">
        <is>
          <t>FK→staff.id</t>
        </is>
      </c>
      <c r="I287" s="77" t="inlineStr">
        <is>
          <t>Y</t>
        </is>
      </c>
      <c r="J287" s="77" t="inlineStr">
        <is>
          <t>대상 직원 ID</t>
        </is>
      </c>
      <c r="K287" s="77" t="inlineStr"/>
      <c r="L287" s="77" t="inlineStr">
        <is>
          <t>신규</t>
        </is>
      </c>
      <c r="M287" s="77" t="inlineStr"/>
    </row>
    <row r="288">
      <c r="A288" s="77" t="inlineStr">
        <is>
          <t>staff_transfer_log</t>
        </is>
      </c>
      <c r="B288" s="77" t="inlineStr">
        <is>
          <t>from_branch_id</t>
        </is>
      </c>
      <c r="C288" s="77" t="inlineStr">
        <is>
          <t>BIGINT</t>
        </is>
      </c>
      <c r="D288" s="77" t="inlineStr"/>
      <c r="E288" s="77" t="inlineStr">
        <is>
          <t>N</t>
        </is>
      </c>
      <c r="F288" s="77" t="inlineStr"/>
      <c r="G288" s="77" t="inlineStr"/>
      <c r="H288" s="77" t="inlineStr">
        <is>
          <t>FK→branches.id</t>
        </is>
      </c>
      <c r="I288" s="77" t="inlineStr"/>
      <c r="J288" s="77" t="inlineStr">
        <is>
          <t>이전 지점</t>
        </is>
      </c>
      <c r="K288" s="77" t="inlineStr"/>
      <c r="L288" s="77" t="inlineStr">
        <is>
          <t>신규</t>
        </is>
      </c>
      <c r="M288" s="77" t="inlineStr"/>
    </row>
    <row r="289">
      <c r="A289" s="77" t="inlineStr">
        <is>
          <t>staff_transfer_log</t>
        </is>
      </c>
      <c r="B289" s="77" t="inlineStr">
        <is>
          <t>to_branch_id</t>
        </is>
      </c>
      <c r="C289" s="77" t="inlineStr">
        <is>
          <t>BIGINT</t>
        </is>
      </c>
      <c r="D289" s="77" t="inlineStr"/>
      <c r="E289" s="77" t="inlineStr">
        <is>
          <t>N</t>
        </is>
      </c>
      <c r="F289" s="77" t="inlineStr"/>
      <c r="G289" s="77" t="inlineStr"/>
      <c r="H289" s="77" t="inlineStr">
        <is>
          <t>FK→branches.id</t>
        </is>
      </c>
      <c r="I289" s="77" t="inlineStr"/>
      <c r="J289" s="77" t="inlineStr">
        <is>
          <t>새 지점</t>
        </is>
      </c>
      <c r="K289" s="77" t="inlineStr"/>
      <c r="L289" s="77" t="inlineStr">
        <is>
          <t>신규</t>
        </is>
      </c>
      <c r="M289" s="77" t="inlineStr"/>
    </row>
    <row r="290">
      <c r="A290" s="77" t="inlineStr">
        <is>
          <t>staff_transfer_log</t>
        </is>
      </c>
      <c r="B290" s="77" t="inlineStr">
        <is>
          <t>from_role</t>
        </is>
      </c>
      <c r="C290" s="77" t="inlineStr">
        <is>
          <t>VARCHAR</t>
        </is>
      </c>
      <c r="D290" s="77" t="inlineStr">
        <is>
          <t>20</t>
        </is>
      </c>
      <c r="E290" s="77" t="inlineStr">
        <is>
          <t>N</t>
        </is>
      </c>
      <c r="F290" s="77" t="inlineStr"/>
      <c r="G290" s="77" t="inlineStr"/>
      <c r="H290" s="77" t="inlineStr"/>
      <c r="I290" s="77" t="inlineStr"/>
      <c r="J290" s="77" t="inlineStr">
        <is>
          <t>이전 역할</t>
        </is>
      </c>
      <c r="K290" s="77" t="inlineStr"/>
      <c r="L290" s="77" t="inlineStr">
        <is>
          <t>신규</t>
        </is>
      </c>
      <c r="M290" s="77" t="inlineStr"/>
    </row>
    <row r="291">
      <c r="A291" s="77" t="inlineStr">
        <is>
          <t>staff_transfer_log</t>
        </is>
      </c>
      <c r="B291" s="77" t="inlineStr">
        <is>
          <t>to_role</t>
        </is>
      </c>
      <c r="C291" s="77" t="inlineStr">
        <is>
          <t>VARCHAR</t>
        </is>
      </c>
      <c r="D291" s="77" t="inlineStr">
        <is>
          <t>20</t>
        </is>
      </c>
      <c r="E291" s="77" t="inlineStr">
        <is>
          <t>N</t>
        </is>
      </c>
      <c r="F291" s="77" t="inlineStr"/>
      <c r="G291" s="77" t="inlineStr"/>
      <c r="H291" s="77" t="inlineStr"/>
      <c r="I291" s="77" t="inlineStr"/>
      <c r="J291" s="77" t="inlineStr">
        <is>
          <t>새 역할</t>
        </is>
      </c>
      <c r="K291" s="77" t="inlineStr"/>
      <c r="L291" s="77" t="inlineStr">
        <is>
          <t>신규</t>
        </is>
      </c>
      <c r="M291" s="77" t="inlineStr"/>
    </row>
    <row r="292">
      <c r="A292" s="77" t="inlineStr">
        <is>
          <t>staff_transfer_log</t>
        </is>
      </c>
      <c r="B292" s="77" t="inlineStr">
        <is>
          <t>approved_by</t>
        </is>
      </c>
      <c r="C292" s="77" t="inlineStr">
        <is>
          <t>BIGINT</t>
        </is>
      </c>
      <c r="D292" s="77" t="inlineStr"/>
      <c r="E292" s="77" t="inlineStr">
        <is>
          <t>N</t>
        </is>
      </c>
      <c r="F292" s="77" t="inlineStr"/>
      <c r="G292" s="77" t="inlineStr"/>
      <c r="H292" s="77" t="inlineStr">
        <is>
          <t>FK→users.id</t>
        </is>
      </c>
      <c r="I292" s="77" t="inlineStr"/>
      <c r="J292" s="77" t="inlineStr">
        <is>
          <t>승인자 (슈퍼관리자)</t>
        </is>
      </c>
      <c r="K292" s="77" t="inlineStr"/>
      <c r="L292" s="77" t="inlineStr">
        <is>
          <t>신규</t>
        </is>
      </c>
      <c r="M292" s="77" t="inlineStr"/>
    </row>
    <row r="293">
      <c r="A293" s="77" t="inlineStr">
        <is>
          <t>staff_transfer_log</t>
        </is>
      </c>
      <c r="B293" s="77" t="inlineStr">
        <is>
          <t>effective_date</t>
        </is>
      </c>
      <c r="C293" s="77" t="inlineStr">
        <is>
          <t>DATE</t>
        </is>
      </c>
      <c r="D293" s="77" t="inlineStr"/>
      <c r="E293" s="77" t="inlineStr">
        <is>
          <t>N</t>
        </is>
      </c>
      <c r="F293" s="77" t="inlineStr"/>
      <c r="G293" s="77" t="inlineStr"/>
      <c r="H293" s="77" t="inlineStr"/>
      <c r="I293" s="77" t="inlineStr"/>
      <c r="J293" s="77" t="inlineStr">
        <is>
          <t>전보 적용일</t>
        </is>
      </c>
      <c r="K293" s="77" t="inlineStr"/>
      <c r="L293" s="77" t="inlineStr">
        <is>
          <t>신규</t>
        </is>
      </c>
      <c r="M293" s="77" t="inlineStr"/>
    </row>
    <row r="294">
      <c r="A294" s="77" t="inlineStr">
        <is>
          <t>staff_transfer_log</t>
        </is>
      </c>
      <c r="B294" s="77" t="inlineStr">
        <is>
          <t>created_at</t>
        </is>
      </c>
      <c r="C294" s="77" t="inlineStr">
        <is>
          <t>DATETIME</t>
        </is>
      </c>
      <c r="D294" s="77" t="inlineStr"/>
      <c r="E294" s="77" t="inlineStr">
        <is>
          <t>N</t>
        </is>
      </c>
      <c r="F294" s="77" t="inlineStr">
        <is>
          <t>NOW()</t>
        </is>
      </c>
      <c r="G294" s="77" t="inlineStr"/>
      <c r="H294" s="77" t="inlineStr"/>
      <c r="I294" s="77" t="inlineStr"/>
      <c r="J294" s="77" t="inlineStr">
        <is>
          <t>처리일시</t>
        </is>
      </c>
      <c r="K294" s="77" t="inlineStr"/>
      <c r="L294" s="77" t="inlineStr">
        <is>
          <t>신규</t>
        </is>
      </c>
      <c r="M294" s="77" t="inlineStr"/>
    </row>
    <row r="295">
      <c r="A295" s="77" t="inlineStr">
        <is>
          <t>staff_settlement</t>
        </is>
      </c>
      <c r="B295" s="77" t="inlineStr">
        <is>
          <t>id</t>
        </is>
      </c>
      <c r="C295" s="77" t="inlineStr">
        <is>
          <t>BIGINT</t>
        </is>
      </c>
      <c r="D295" s="77" t="inlineStr"/>
      <c r="E295" s="77" t="inlineStr">
        <is>
          <t>N</t>
        </is>
      </c>
      <c r="F295" s="77" t="inlineStr"/>
      <c r="G295" s="77" t="inlineStr">
        <is>
          <t>PK</t>
        </is>
      </c>
      <c r="H295" s="77" t="inlineStr"/>
      <c r="I295" s="77" t="inlineStr"/>
      <c r="J295" s="77" t="inlineStr">
        <is>
          <t>정산 ID</t>
        </is>
      </c>
      <c r="K295" s="77" t="inlineStr"/>
      <c r="L295" s="77" t="inlineStr">
        <is>
          <t>신규</t>
        </is>
      </c>
      <c r="M295" s="77" t="inlineStr">
        <is>
          <t>BP-087</t>
        </is>
      </c>
    </row>
    <row r="296">
      <c r="A296" s="77" t="inlineStr">
        <is>
          <t>staff_settlement</t>
        </is>
      </c>
      <c r="B296" s="77" t="inlineStr">
        <is>
          <t>tenant_id</t>
        </is>
      </c>
      <c r="C296" s="77" t="inlineStr">
        <is>
          <t>BIGINT</t>
        </is>
      </c>
      <c r="D296" s="77" t="inlineStr"/>
      <c r="E296" s="77" t="inlineStr">
        <is>
          <t>N</t>
        </is>
      </c>
      <c r="F296" s="77" t="inlineStr"/>
      <c r="G296" s="77" t="inlineStr"/>
      <c r="H296" s="77" t="inlineStr">
        <is>
          <t>FK→tenants.id</t>
        </is>
      </c>
      <c r="I296" s="77" t="inlineStr">
        <is>
          <t>Y</t>
        </is>
      </c>
      <c r="J296" s="77" t="inlineStr">
        <is>
          <t>테넌트 ID</t>
        </is>
      </c>
      <c r="K296" s="77" t="inlineStr"/>
      <c r="L296" s="77" t="inlineStr">
        <is>
          <t>신규</t>
        </is>
      </c>
      <c r="M296" s="77" t="inlineStr"/>
    </row>
    <row r="297">
      <c r="A297" s="77" t="inlineStr">
        <is>
          <t>staff_settlement</t>
        </is>
      </c>
      <c r="B297" s="77" t="inlineStr">
        <is>
          <t>staff_id</t>
        </is>
      </c>
      <c r="C297" s="77" t="inlineStr">
        <is>
          <t>BIGINT</t>
        </is>
      </c>
      <c r="D297" s="77" t="inlineStr"/>
      <c r="E297" s="77" t="inlineStr">
        <is>
          <t>N</t>
        </is>
      </c>
      <c r="F297" s="77" t="inlineStr"/>
      <c r="G297" s="77" t="inlineStr"/>
      <c r="H297" s="77" t="inlineStr">
        <is>
          <t>FK→staff.id</t>
        </is>
      </c>
      <c r="I297" s="77" t="inlineStr">
        <is>
          <t>Y</t>
        </is>
      </c>
      <c r="J297" s="77" t="inlineStr">
        <is>
          <t>대상 직원 ID</t>
        </is>
      </c>
      <c r="K297" s="77" t="inlineStr"/>
      <c r="L297" s="77" t="inlineStr">
        <is>
          <t>신규</t>
        </is>
      </c>
      <c r="M297" s="77" t="inlineStr"/>
    </row>
    <row r="298">
      <c r="A298" s="77" t="inlineStr">
        <is>
          <t>staff_settlement</t>
        </is>
      </c>
      <c r="B298" s="77" t="inlineStr">
        <is>
          <t>branch_id</t>
        </is>
      </c>
      <c r="C298" s="77" t="inlineStr">
        <is>
          <t>BIGINT</t>
        </is>
      </c>
      <c r="D298" s="77" t="inlineStr"/>
      <c r="E298" s="77" t="inlineStr">
        <is>
          <t>N</t>
        </is>
      </c>
      <c r="F298" s="77" t="inlineStr"/>
      <c r="G298" s="77" t="inlineStr"/>
      <c r="H298" s="77" t="inlineStr">
        <is>
          <t>FK→branches.id</t>
        </is>
      </c>
      <c r="I298" s="77" t="inlineStr"/>
      <c r="J298" s="77" t="inlineStr">
        <is>
          <t>정산 지점</t>
        </is>
      </c>
      <c r="K298" s="77" t="inlineStr"/>
      <c r="L298" s="77" t="inlineStr">
        <is>
          <t>신규</t>
        </is>
      </c>
      <c r="M298" s="77" t="inlineStr"/>
    </row>
    <row r="299">
      <c r="A299" s="77" t="inlineStr">
        <is>
          <t>staff_settlement</t>
        </is>
      </c>
      <c r="B299" s="77" t="inlineStr">
        <is>
          <t>unpaid_salary</t>
        </is>
      </c>
      <c r="C299" s="77" t="inlineStr">
        <is>
          <t>DECIMAL</t>
        </is>
      </c>
      <c r="D299" s="77" t="inlineStr">
        <is>
          <t>12,2</t>
        </is>
      </c>
      <c r="E299" s="77" t="inlineStr">
        <is>
          <t>N</t>
        </is>
      </c>
      <c r="F299" s="77" t="inlineStr">
        <is>
          <t>0</t>
        </is>
      </c>
      <c r="G299" s="77" t="inlineStr"/>
      <c r="H299" s="77" t="inlineStr"/>
      <c r="I299" s="77" t="inlineStr"/>
      <c r="J299" s="77" t="inlineStr">
        <is>
          <t>미지급 급여 (일할 계산)</t>
        </is>
      </c>
      <c r="K299" s="77" t="inlineStr"/>
      <c r="L299" s="77" t="inlineStr">
        <is>
          <t>신규</t>
        </is>
      </c>
      <c r="M299" s="77" t="inlineStr"/>
    </row>
    <row r="300">
      <c r="A300" s="77" t="inlineStr">
        <is>
          <t>staff_settlement</t>
        </is>
      </c>
      <c r="B300" s="77" t="inlineStr">
        <is>
          <t>unpaid_commission</t>
        </is>
      </c>
      <c r="C300" s="77" t="inlineStr">
        <is>
          <t>DECIMAL</t>
        </is>
      </c>
      <c r="D300" s="77" t="inlineStr">
        <is>
          <t>12,2</t>
        </is>
      </c>
      <c r="E300" s="77" t="inlineStr">
        <is>
          <t>N</t>
        </is>
      </c>
      <c r="F300" s="77" t="inlineStr">
        <is>
          <t>0</t>
        </is>
      </c>
      <c r="G300" s="77" t="inlineStr"/>
      <c r="H300" s="77" t="inlineStr"/>
      <c r="I300" s="77" t="inlineStr"/>
      <c r="J300" s="77" t="inlineStr">
        <is>
          <t>미지급 커미션</t>
        </is>
      </c>
      <c r="K300" s="77" t="inlineStr"/>
      <c r="L300" s="77" t="inlineStr">
        <is>
          <t>신규</t>
        </is>
      </c>
      <c r="M300" s="77" t="inlineStr"/>
    </row>
    <row r="301">
      <c r="A301" s="77" t="inlineStr">
        <is>
          <t>staff_settlement</t>
        </is>
      </c>
      <c r="B301" s="77" t="inlineStr">
        <is>
          <t>severance_pay</t>
        </is>
      </c>
      <c r="C301" s="77" t="inlineStr">
        <is>
          <t>DECIMAL</t>
        </is>
      </c>
      <c r="D301" s="77" t="inlineStr">
        <is>
          <t>12,2</t>
        </is>
      </c>
      <c r="E301" s="77" t="inlineStr">
        <is>
          <t>N</t>
        </is>
      </c>
      <c r="F301" s="77" t="inlineStr">
        <is>
          <t>0</t>
        </is>
      </c>
      <c r="G301" s="77" t="inlineStr"/>
      <c r="H301" s="77" t="inlineStr"/>
      <c r="I301" s="77" t="inlineStr"/>
      <c r="J301" s="77" t="inlineStr">
        <is>
          <t>퇴직금</t>
        </is>
      </c>
      <c r="K301" s="77" t="inlineStr"/>
      <c r="L301" s="77" t="inlineStr">
        <is>
          <t>신규</t>
        </is>
      </c>
      <c r="M301" s="77" t="inlineStr"/>
    </row>
    <row r="302">
      <c r="A302" s="77" t="inlineStr">
        <is>
          <t>staff_settlement</t>
        </is>
      </c>
      <c r="B302" s="77" t="inlineStr">
        <is>
          <t>unused_leave_pay</t>
        </is>
      </c>
      <c r="C302" s="77" t="inlineStr">
        <is>
          <t>DECIMAL</t>
        </is>
      </c>
      <c r="D302" s="77" t="inlineStr">
        <is>
          <t>12,2</t>
        </is>
      </c>
      <c r="E302" s="77" t="inlineStr">
        <is>
          <t>N</t>
        </is>
      </c>
      <c r="F302" s="77" t="inlineStr">
        <is>
          <t>0</t>
        </is>
      </c>
      <c r="G302" s="77" t="inlineStr"/>
      <c r="H302" s="77" t="inlineStr"/>
      <c r="I302" s="77" t="inlineStr"/>
      <c r="J302" s="77" t="inlineStr">
        <is>
          <t>미사용 연차수당</t>
        </is>
      </c>
      <c r="K302" s="77" t="inlineStr"/>
      <c r="L302" s="77" t="inlineStr">
        <is>
          <t>신규</t>
        </is>
      </c>
      <c r="M302" s="77" t="inlineStr"/>
    </row>
    <row r="303">
      <c r="A303" s="77" t="inlineStr">
        <is>
          <t>staff_settlement</t>
        </is>
      </c>
      <c r="B303" s="77" t="inlineStr">
        <is>
          <t>advance_deduction</t>
        </is>
      </c>
      <c r="C303" s="77" t="inlineStr">
        <is>
          <t>DECIMAL</t>
        </is>
      </c>
      <c r="D303" s="77" t="inlineStr">
        <is>
          <t>12,2</t>
        </is>
      </c>
      <c r="E303" s="77" t="inlineStr">
        <is>
          <t>N</t>
        </is>
      </c>
      <c r="F303" s="77" t="inlineStr">
        <is>
          <t>0</t>
        </is>
      </c>
      <c r="G303" s="77" t="inlineStr"/>
      <c r="H303" s="77" t="inlineStr"/>
      <c r="I303" s="77" t="inlineStr"/>
      <c r="J303" s="77" t="inlineStr">
        <is>
          <t>선지급분 차감</t>
        </is>
      </c>
      <c r="K303" s="77" t="inlineStr"/>
      <c r="L303" s="77" t="inlineStr">
        <is>
          <t>신규</t>
        </is>
      </c>
      <c r="M303" s="77" t="inlineStr"/>
    </row>
    <row r="304">
      <c r="A304" s="77" t="inlineStr">
        <is>
          <t>staff_settlement</t>
        </is>
      </c>
      <c r="B304" s="77" t="inlineStr">
        <is>
          <t>total_amount</t>
        </is>
      </c>
      <c r="C304" s="77" t="inlineStr">
        <is>
          <t>DECIMAL</t>
        </is>
      </c>
      <c r="D304" s="77" t="inlineStr">
        <is>
          <t>12,2</t>
        </is>
      </c>
      <c r="E304" s="77" t="inlineStr">
        <is>
          <t>N</t>
        </is>
      </c>
      <c r="F304" s="77" t="inlineStr">
        <is>
          <t>0</t>
        </is>
      </c>
      <c r="G304" s="77" t="inlineStr"/>
      <c r="H304" s="77" t="inlineStr"/>
      <c r="I304" s="77" t="inlineStr"/>
      <c r="J304" s="77" t="inlineStr">
        <is>
          <t>최종 정산 총액</t>
        </is>
      </c>
      <c r="K304" s="77" t="inlineStr"/>
      <c r="L304" s="77" t="inlineStr">
        <is>
          <t>신규</t>
        </is>
      </c>
      <c r="M304" s="77" t="inlineStr"/>
    </row>
    <row r="305">
      <c r="A305" s="77" t="inlineStr">
        <is>
          <t>staff_settlement</t>
        </is>
      </c>
      <c r="B305" s="77" t="inlineStr">
        <is>
          <t>status</t>
        </is>
      </c>
      <c r="C305" s="77" t="inlineStr">
        <is>
          <t>VARCHAR</t>
        </is>
      </c>
      <c r="D305" s="77" t="inlineStr">
        <is>
          <t>20</t>
        </is>
      </c>
      <c r="E305" s="77" t="inlineStr">
        <is>
          <t>N</t>
        </is>
      </c>
      <c r="F305" s="77" t="inlineStr">
        <is>
          <t>PENDING</t>
        </is>
      </c>
      <c r="G305" s="77" t="inlineStr"/>
      <c r="H305" s="77" t="inlineStr"/>
      <c r="I305" s="77" t="inlineStr"/>
      <c r="J305" s="77" t="inlineStr">
        <is>
          <t>PENDING/APPROVED/PAID</t>
        </is>
      </c>
      <c r="K305" s="77" t="inlineStr"/>
      <c r="L305" s="77" t="inlineStr">
        <is>
          <t>신규</t>
        </is>
      </c>
      <c r="M305" s="77" t="inlineStr"/>
    </row>
    <row r="306">
      <c r="A306" s="77" t="inlineStr">
        <is>
          <t>staff_settlement</t>
        </is>
      </c>
      <c r="B306" s="77" t="inlineStr">
        <is>
          <t>approved_by</t>
        </is>
      </c>
      <c r="C306" s="77" t="inlineStr">
        <is>
          <t>BIGINT</t>
        </is>
      </c>
      <c r="D306" s="77" t="inlineStr"/>
      <c r="E306" s="77" t="inlineStr">
        <is>
          <t>Y</t>
        </is>
      </c>
      <c r="F306" s="77" t="inlineStr">
        <is>
          <t>NULL</t>
        </is>
      </c>
      <c r="G306" s="77" t="inlineStr"/>
      <c r="H306" s="77" t="inlineStr">
        <is>
          <t>FK→users.id</t>
        </is>
      </c>
      <c r="I306" s="77" t="inlineStr"/>
      <c r="J306" s="77" t="inlineStr">
        <is>
          <t>승인자</t>
        </is>
      </c>
      <c r="K306" s="77" t="inlineStr"/>
      <c r="L306" s="77" t="inlineStr">
        <is>
          <t>신규</t>
        </is>
      </c>
      <c r="M306" s="77" t="inlineStr"/>
    </row>
    <row r="307">
      <c r="A307" s="77" t="inlineStr">
        <is>
          <t>staff_settlement</t>
        </is>
      </c>
      <c r="B307" s="77" t="inlineStr">
        <is>
          <t>created_at</t>
        </is>
      </c>
      <c r="C307" s="77" t="inlineStr">
        <is>
          <t>DATETIME</t>
        </is>
      </c>
      <c r="D307" s="77" t="inlineStr"/>
      <c r="E307" s="77" t="inlineStr">
        <is>
          <t>N</t>
        </is>
      </c>
      <c r="F307" s="77" t="inlineStr">
        <is>
          <t>NOW()</t>
        </is>
      </c>
      <c r="G307" s="77" t="inlineStr"/>
      <c r="H307" s="77" t="inlineStr"/>
      <c r="I307" s="77" t="inlineStr"/>
      <c r="J307" s="77" t="inlineStr">
        <is>
          <t>생성일시</t>
        </is>
      </c>
      <c r="K307" s="77" t="inlineStr"/>
      <c r="L307" s="77" t="inlineStr">
        <is>
          <t>신규</t>
        </is>
      </c>
      <c r="M307" s="77" t="inlineStr"/>
    </row>
    <row r="308">
      <c r="A308" s="77" t="inlineStr">
        <is>
          <t>branch_closure_log</t>
        </is>
      </c>
      <c r="B308" s="77" t="inlineStr">
        <is>
          <t>id</t>
        </is>
      </c>
      <c r="C308" s="77" t="inlineStr">
        <is>
          <t>BIGINT</t>
        </is>
      </c>
      <c r="D308" s="77" t="inlineStr"/>
      <c r="E308" s="77" t="inlineStr">
        <is>
          <t>N</t>
        </is>
      </c>
      <c r="F308" s="77" t="inlineStr"/>
      <c r="G308" s="77" t="inlineStr">
        <is>
          <t>PK</t>
        </is>
      </c>
      <c r="H308" s="77" t="inlineStr"/>
      <c r="I308" s="77" t="inlineStr"/>
      <c r="J308" s="77" t="inlineStr">
        <is>
          <t>폐점 프로세스 ID</t>
        </is>
      </c>
      <c r="K308" s="77" t="inlineStr"/>
      <c r="L308" s="77" t="inlineStr">
        <is>
          <t>신규</t>
        </is>
      </c>
      <c r="M308" s="77" t="inlineStr">
        <is>
          <t>BP-106</t>
        </is>
      </c>
    </row>
    <row r="309">
      <c r="A309" s="77" t="inlineStr">
        <is>
          <t>branch_closure_log</t>
        </is>
      </c>
      <c r="B309" s="77" t="inlineStr">
        <is>
          <t>tenant_id</t>
        </is>
      </c>
      <c r="C309" s="77" t="inlineStr">
        <is>
          <t>BIGINT</t>
        </is>
      </c>
      <c r="D309" s="77" t="inlineStr"/>
      <c r="E309" s="77" t="inlineStr">
        <is>
          <t>N</t>
        </is>
      </c>
      <c r="F309" s="77" t="inlineStr"/>
      <c r="G309" s="77" t="inlineStr"/>
      <c r="H309" s="77" t="inlineStr">
        <is>
          <t>FK→tenants.id</t>
        </is>
      </c>
      <c r="I309" s="77" t="inlineStr">
        <is>
          <t>Y</t>
        </is>
      </c>
      <c r="J309" s="77" t="inlineStr">
        <is>
          <t>테넌트 ID</t>
        </is>
      </c>
      <c r="K309" s="77" t="inlineStr"/>
      <c r="L309" s="77" t="inlineStr">
        <is>
          <t>신규</t>
        </is>
      </c>
      <c r="M309" s="77" t="inlineStr"/>
    </row>
    <row r="310">
      <c r="A310" s="77" t="inlineStr">
        <is>
          <t>branch_closure_log</t>
        </is>
      </c>
      <c r="B310" s="77" t="inlineStr">
        <is>
          <t>branch_id</t>
        </is>
      </c>
      <c r="C310" s="77" t="inlineStr">
        <is>
          <t>BIGINT</t>
        </is>
      </c>
      <c r="D310" s="77" t="inlineStr"/>
      <c r="E310" s="77" t="inlineStr">
        <is>
          <t>N</t>
        </is>
      </c>
      <c r="F310" s="77" t="inlineStr"/>
      <c r="G310" s="77" t="inlineStr"/>
      <c r="H310" s="77" t="inlineStr">
        <is>
          <t>FK→branches.id</t>
        </is>
      </c>
      <c r="I310" s="77" t="inlineStr">
        <is>
          <t>Y</t>
        </is>
      </c>
      <c r="J310" s="77" t="inlineStr">
        <is>
          <t>폐점 대상 지점</t>
        </is>
      </c>
      <c r="K310" s="77" t="inlineStr"/>
      <c r="L310" s="77" t="inlineStr">
        <is>
          <t>신규</t>
        </is>
      </c>
      <c r="M310" s="77" t="inlineStr"/>
    </row>
    <row r="311">
      <c r="A311" s="77" t="inlineStr">
        <is>
          <t>branch_closure_log</t>
        </is>
      </c>
      <c r="B311" s="77" t="inlineStr">
        <is>
          <t>announced_at</t>
        </is>
      </c>
      <c r="C311" s="77" t="inlineStr">
        <is>
          <t>DATE</t>
        </is>
      </c>
      <c r="D311" s="77" t="inlineStr"/>
      <c r="E311" s="77" t="inlineStr">
        <is>
          <t>N</t>
        </is>
      </c>
      <c r="F311" s="77" t="inlineStr"/>
      <c r="G311" s="77" t="inlineStr"/>
      <c r="H311" s="77" t="inlineStr"/>
      <c r="I311" s="77" t="inlineStr"/>
      <c r="J311" s="77" t="inlineStr">
        <is>
          <t>폐점 공지일 (D-60)</t>
        </is>
      </c>
      <c r="K311" s="77" t="inlineStr"/>
      <c r="L311" s="77" t="inlineStr">
        <is>
          <t>신규</t>
        </is>
      </c>
      <c r="M311" s="77" t="inlineStr"/>
    </row>
    <row r="312">
      <c r="A312" s="77" t="inlineStr">
        <is>
          <t>branch_closure_log</t>
        </is>
      </c>
      <c r="B312" s="77" t="inlineStr">
        <is>
          <t>closing_date</t>
        </is>
      </c>
      <c r="C312" s="77" t="inlineStr">
        <is>
          <t>DATE</t>
        </is>
      </c>
      <c r="D312" s="77" t="inlineStr"/>
      <c r="E312" s="77" t="inlineStr">
        <is>
          <t>N</t>
        </is>
      </c>
      <c r="F312" s="77" t="inlineStr"/>
      <c r="G312" s="77" t="inlineStr"/>
      <c r="H312" s="77" t="inlineStr"/>
      <c r="I312" s="77" t="inlineStr"/>
      <c r="J312" s="77" t="inlineStr">
        <is>
          <t>폐점일 (D-Day)</t>
        </is>
      </c>
      <c r="K312" s="77" t="inlineStr"/>
      <c r="L312" s="77" t="inlineStr">
        <is>
          <t>신규</t>
        </is>
      </c>
      <c r="M312" s="77" t="inlineStr"/>
    </row>
    <row r="313">
      <c r="A313" s="77" t="inlineStr">
        <is>
          <t>branch_closure_log</t>
        </is>
      </c>
      <c r="B313" s="77" t="inlineStr">
        <is>
          <t>total_members</t>
        </is>
      </c>
      <c r="C313" s="77" t="inlineStr">
        <is>
          <t>INT</t>
        </is>
      </c>
      <c r="D313" s="77" t="inlineStr"/>
      <c r="E313" s="77" t="inlineStr">
        <is>
          <t>N</t>
        </is>
      </c>
      <c r="F313" s="77" t="inlineStr">
        <is>
          <t>0</t>
        </is>
      </c>
      <c r="G313" s="77" t="inlineStr"/>
      <c r="H313" s="77" t="inlineStr"/>
      <c r="I313" s="77" t="inlineStr"/>
      <c r="J313" s="77" t="inlineStr">
        <is>
          <t>폐점 시점 총 회원 수</t>
        </is>
      </c>
      <c r="K313" s="77" t="inlineStr"/>
      <c r="L313" s="77" t="inlineStr">
        <is>
          <t>신규</t>
        </is>
      </c>
      <c r="M313" s="77" t="inlineStr"/>
    </row>
    <row r="314">
      <c r="A314" s="77" t="inlineStr">
        <is>
          <t>branch_closure_log</t>
        </is>
      </c>
      <c r="B314" s="77" t="inlineStr">
        <is>
          <t>transferred_members</t>
        </is>
      </c>
      <c r="C314" s="77" t="inlineStr">
        <is>
          <t>INT</t>
        </is>
      </c>
      <c r="D314" s="77" t="inlineStr"/>
      <c r="E314" s="77" t="inlineStr">
        <is>
          <t>N</t>
        </is>
      </c>
      <c r="F314" s="77" t="inlineStr">
        <is>
          <t>0</t>
        </is>
      </c>
      <c r="G314" s="77" t="inlineStr"/>
      <c r="H314" s="77" t="inlineStr"/>
      <c r="I314" s="77" t="inlineStr"/>
      <c r="J314" s="77" t="inlineStr">
        <is>
          <t>이관 완료 회원 수</t>
        </is>
      </c>
      <c r="K314" s="77" t="inlineStr"/>
      <c r="L314" s="77" t="inlineStr">
        <is>
          <t>신규</t>
        </is>
      </c>
      <c r="M314" s="77" t="inlineStr"/>
    </row>
    <row r="315">
      <c r="A315" s="77" t="inlineStr">
        <is>
          <t>branch_closure_log</t>
        </is>
      </c>
      <c r="B315" s="77" t="inlineStr">
        <is>
          <t>refunded_members</t>
        </is>
      </c>
      <c r="C315" s="77" t="inlineStr">
        <is>
          <t>INT</t>
        </is>
      </c>
      <c r="D315" s="77" t="inlineStr"/>
      <c r="E315" s="77" t="inlineStr">
        <is>
          <t>N</t>
        </is>
      </c>
      <c r="F315" s="77" t="inlineStr">
        <is>
          <t>0</t>
        </is>
      </c>
      <c r="G315" s="77" t="inlineStr"/>
      <c r="H315" s="77" t="inlineStr"/>
      <c r="I315" s="77" t="inlineStr"/>
      <c r="J315" s="77" t="inlineStr">
        <is>
          <t>환불 완료 회원 수</t>
        </is>
      </c>
      <c r="K315" s="77" t="inlineStr"/>
      <c r="L315" s="77" t="inlineStr">
        <is>
          <t>신규</t>
        </is>
      </c>
      <c r="M315" s="77" t="inlineStr"/>
    </row>
    <row r="316">
      <c r="A316" s="77" t="inlineStr">
        <is>
          <t>branch_closure_log</t>
        </is>
      </c>
      <c r="B316" s="77" t="inlineStr">
        <is>
          <t>total_staff</t>
        </is>
      </c>
      <c r="C316" s="77" t="inlineStr">
        <is>
          <t>INT</t>
        </is>
      </c>
      <c r="D316" s="77" t="inlineStr"/>
      <c r="E316" s="77" t="inlineStr">
        <is>
          <t>N</t>
        </is>
      </c>
      <c r="F316" s="77" t="inlineStr">
        <is>
          <t>0</t>
        </is>
      </c>
      <c r="G316" s="77" t="inlineStr"/>
      <c r="H316" s="77" t="inlineStr"/>
      <c r="I316" s="77" t="inlineStr"/>
      <c r="J316" s="77" t="inlineStr">
        <is>
          <t>폐점 시점 총 직원 수</t>
        </is>
      </c>
      <c r="K316" s="77" t="inlineStr"/>
      <c r="L316" s="77" t="inlineStr">
        <is>
          <t>신규</t>
        </is>
      </c>
      <c r="M316" s="77" t="inlineStr"/>
    </row>
    <row r="317">
      <c r="A317" s="77" t="inlineStr">
        <is>
          <t>branch_closure_log</t>
        </is>
      </c>
      <c r="B317" s="77" t="inlineStr">
        <is>
          <t>status</t>
        </is>
      </c>
      <c r="C317" s="77" t="inlineStr">
        <is>
          <t>VARCHAR</t>
        </is>
      </c>
      <c r="D317" s="77" t="inlineStr">
        <is>
          <t>20</t>
        </is>
      </c>
      <c r="E317" s="77" t="inlineStr">
        <is>
          <t>N</t>
        </is>
      </c>
      <c r="F317" s="77" t="inlineStr">
        <is>
          <t>IN_PROGRESS</t>
        </is>
      </c>
      <c r="G317" s="77" t="inlineStr"/>
      <c r="H317" s="77" t="inlineStr"/>
      <c r="I317" s="77" t="inlineStr"/>
      <c r="J317" s="77" t="inlineStr">
        <is>
          <t>IN_PROGRESS/COMPLETED</t>
        </is>
      </c>
      <c r="K317" s="77" t="inlineStr"/>
      <c r="L317" s="77" t="inlineStr">
        <is>
          <t>신규</t>
        </is>
      </c>
      <c r="M317" s="77" t="inlineStr"/>
    </row>
    <row r="318">
      <c r="A318" s="77" t="inlineStr">
        <is>
          <t>branch_closure_log</t>
        </is>
      </c>
      <c r="B318" s="77" t="inlineStr">
        <is>
          <t>created_by</t>
        </is>
      </c>
      <c r="C318" s="77" t="inlineStr">
        <is>
          <t>BIGINT</t>
        </is>
      </c>
      <c r="D318" s="77" t="inlineStr"/>
      <c r="E318" s="77" t="inlineStr">
        <is>
          <t>N</t>
        </is>
      </c>
      <c r="F318" s="77" t="inlineStr"/>
      <c r="G318" s="77" t="inlineStr"/>
      <c r="H318" s="77" t="inlineStr">
        <is>
          <t>FK→users.id</t>
        </is>
      </c>
      <c r="I318" s="77" t="inlineStr"/>
      <c r="J318" s="77" t="inlineStr">
        <is>
          <t>폐점 처리자 (슈퍼관리자)</t>
        </is>
      </c>
      <c r="K318" s="77" t="inlineStr"/>
      <c r="L318" s="77" t="inlineStr">
        <is>
          <t>신규</t>
        </is>
      </c>
      <c r="M318" s="77" t="inlineStr"/>
    </row>
    <row r="319">
      <c r="A319" s="78" t="inlineStr">
        <is>
          <t>branches</t>
        </is>
      </c>
      <c r="B319" s="78" t="inlineStr">
        <is>
          <t>status</t>
        </is>
      </c>
      <c r="C319" s="78" t="inlineStr">
        <is>
          <t>VARCHAR</t>
        </is>
      </c>
      <c r="D319" s="78" t="inlineStr">
        <is>
          <t>20</t>
        </is>
      </c>
      <c r="E319" s="78" t="inlineStr">
        <is>
          <t>N</t>
        </is>
      </c>
      <c r="F319" s="78" t="inlineStr">
        <is>
          <t>ACTIVE</t>
        </is>
      </c>
      <c r="G319" s="78" t="inlineStr"/>
      <c r="H319" s="78" t="inlineStr"/>
      <c r="I319" s="78" t="inlineStr">
        <is>
          <t>Y</t>
        </is>
      </c>
      <c r="J319" s="78" t="inlineStr">
        <is>
          <t>지점 상태: ACTIVE/CLOSING/INACTIVE/PAUSED</t>
        </is>
      </c>
      <c r="K319" s="78" t="inlineStr"/>
      <c r="L319" s="78" t="inlineStr">
        <is>
          <t>신규</t>
        </is>
      </c>
      <c r="M319" s="78" t="inlineStr">
        <is>
          <t>BP-106</t>
        </is>
      </c>
    </row>
    <row r="320">
      <c r="A320" s="78" t="inlineStr">
        <is>
          <t>branches</t>
        </is>
      </c>
      <c r="B320" s="78" t="inlineStr">
        <is>
          <t>max_staff</t>
        </is>
      </c>
      <c r="C320" s="78" t="inlineStr">
        <is>
          <t>INT</t>
        </is>
      </c>
      <c r="D320" s="78" t="inlineStr"/>
      <c r="E320" s="78" t="inlineStr">
        <is>
          <t>Y</t>
        </is>
      </c>
      <c r="F320" s="78" t="inlineStr">
        <is>
          <t>NULL</t>
        </is>
      </c>
      <c r="G320" s="78" t="inlineStr"/>
      <c r="H320" s="78" t="inlineStr"/>
      <c r="I320" s="78" t="inlineStr"/>
      <c r="J320" s="78" t="inlineStr">
        <is>
          <t>최대 직원 수 (NULL=무제한)</t>
        </is>
      </c>
      <c r="K320" s="78" t="inlineStr"/>
      <c r="L320" s="78" t="inlineStr">
        <is>
          <t>신규</t>
        </is>
      </c>
      <c r="M320" s="78" t="inlineStr">
        <is>
          <t>BP-112</t>
        </is>
      </c>
    </row>
    <row r="321">
      <c r="A321" s="78" t="inlineStr">
        <is>
          <t>branches</t>
        </is>
      </c>
      <c r="B321" s="78" t="inlineStr">
        <is>
          <t>max_lockers</t>
        </is>
      </c>
      <c r="C321" s="78" t="inlineStr">
        <is>
          <t>INT</t>
        </is>
      </c>
      <c r="D321" s="78" t="inlineStr"/>
      <c r="E321" s="78" t="inlineStr">
        <is>
          <t>Y</t>
        </is>
      </c>
      <c r="F321" s="78" t="inlineStr">
        <is>
          <t>NULL</t>
        </is>
      </c>
      <c r="G321" s="78" t="inlineStr"/>
      <c r="H321" s="78" t="inlineStr"/>
      <c r="I321" s="78" t="inlineStr"/>
      <c r="J321" s="78" t="inlineStr">
        <is>
          <t>최대 락커 수</t>
        </is>
      </c>
      <c r="K321" s="78" t="inlineStr"/>
      <c r="L321" s="78" t="inlineStr">
        <is>
          <t>신규</t>
        </is>
      </c>
      <c r="M321" s="78" t="inlineStr">
        <is>
          <t>BP-112</t>
        </is>
      </c>
    </row>
    <row r="322">
      <c r="A322" s="78" t="inlineStr">
        <is>
          <t>branches</t>
        </is>
      </c>
      <c r="B322" s="78" t="inlineStr">
        <is>
          <t>paused_at</t>
        </is>
      </c>
      <c r="C322" s="78" t="inlineStr">
        <is>
          <t>DATE</t>
        </is>
      </c>
      <c r="D322" s="78" t="inlineStr"/>
      <c r="E322" s="78" t="inlineStr">
        <is>
          <t>Y</t>
        </is>
      </c>
      <c r="F322" s="78" t="inlineStr">
        <is>
          <t>NULL</t>
        </is>
      </c>
      <c r="G322" s="78" t="inlineStr"/>
      <c r="H322" s="78" t="inlineStr"/>
      <c r="I322" s="78" t="inlineStr"/>
      <c r="J322" s="78" t="inlineStr">
        <is>
          <t>일시 휴업 시작일</t>
        </is>
      </c>
      <c r="K322" s="78" t="inlineStr"/>
      <c r="L322" s="78" t="inlineStr">
        <is>
          <t>신규</t>
        </is>
      </c>
      <c r="M322" s="78" t="inlineStr">
        <is>
          <t>BP-110</t>
        </is>
      </c>
    </row>
    <row r="323">
      <c r="A323" s="78" t="inlineStr">
        <is>
          <t>branches</t>
        </is>
      </c>
      <c r="B323" s="78" t="inlineStr">
        <is>
          <t>resume_at</t>
        </is>
      </c>
      <c r="C323" s="78" t="inlineStr">
        <is>
          <t>DATE</t>
        </is>
      </c>
      <c r="D323" s="78" t="inlineStr"/>
      <c r="E323" s="78" t="inlineStr">
        <is>
          <t>Y</t>
        </is>
      </c>
      <c r="F323" s="78" t="inlineStr">
        <is>
          <t>NULL</t>
        </is>
      </c>
      <c r="G323" s="78" t="inlineStr"/>
      <c r="H323" s="78" t="inlineStr"/>
      <c r="I323" s="78" t="inlineStr"/>
      <c r="J323" s="78" t="inlineStr">
        <is>
          <t>재개 예정일</t>
        </is>
      </c>
      <c r="K323" s="78" t="inlineStr"/>
      <c r="L323" s="78" t="inlineStr">
        <is>
          <t>신규</t>
        </is>
      </c>
      <c r="M323" s="78" t="inlineStr">
        <is>
          <t>BP-110</t>
        </is>
      </c>
    </row>
    <row r="324">
      <c r="A324" s="78" t="inlineStr">
        <is>
          <t>branches</t>
        </is>
      </c>
      <c r="B324" s="78" t="inlineStr">
        <is>
          <t>branch_code</t>
        </is>
      </c>
      <c r="C324" s="78" t="inlineStr">
        <is>
          <t>VARCHAR</t>
        </is>
      </c>
      <c r="D324" s="78" t="inlineStr">
        <is>
          <t>5</t>
        </is>
      </c>
      <c r="E324" s="78" t="inlineStr">
        <is>
          <t>N</t>
        </is>
      </c>
      <c r="F324" s="78" t="inlineStr"/>
      <c r="G324" s="78" t="inlineStr"/>
      <c r="H324" s="78" t="inlineStr"/>
      <c r="I324" s="78" t="inlineStr">
        <is>
          <t>Y</t>
        </is>
      </c>
      <c r="J324" s="78" t="inlineStr">
        <is>
          <t>지점코드 (영문2~5자, 고유, 변경불가)</t>
        </is>
      </c>
      <c r="K324" s="78" t="inlineStr"/>
      <c r="L324" s="78" t="inlineStr">
        <is>
          <t>신규</t>
        </is>
      </c>
      <c r="M324" s="78" t="inlineStr">
        <is>
          <t>BP-077</t>
        </is>
      </c>
    </row>
    <row r="325">
      <c r="A325" s="79" t="inlineStr">
        <is>
          <t>tenants</t>
        </is>
      </c>
      <c r="B325" s="79" t="inlineStr">
        <is>
          <t>plan</t>
        </is>
      </c>
      <c r="C325" s="79" t="inlineStr">
        <is>
          <t>VARCHAR</t>
        </is>
      </c>
      <c r="D325" s="79" t="inlineStr">
        <is>
          <t>20</t>
        </is>
      </c>
      <c r="E325" s="79" t="inlineStr">
        <is>
          <t>N</t>
        </is>
      </c>
      <c r="F325" s="79" t="inlineStr">
        <is>
          <t>BASIC</t>
        </is>
      </c>
      <c r="G325" s="79" t="inlineStr"/>
      <c r="H325" s="79" t="inlineStr"/>
      <c r="I325" s="79" t="inlineStr"/>
      <c r="J325" s="79" t="inlineStr">
        <is>
          <t>요금제: BASIC/STANDARD/PREMIUM</t>
        </is>
      </c>
      <c r="K325" s="79" t="inlineStr"/>
      <c r="L325" s="79" t="inlineStr">
        <is>
          <t>신규</t>
        </is>
      </c>
      <c r="M325" s="79" t="inlineStr">
        <is>
          <t>BP-131</t>
        </is>
      </c>
    </row>
    <row r="326">
      <c r="A326" s="79" t="inlineStr">
        <is>
          <t>tenants</t>
        </is>
      </c>
      <c r="B326" s="79" t="inlineStr">
        <is>
          <t>plan_expires_at</t>
        </is>
      </c>
      <c r="C326" s="79" t="inlineStr">
        <is>
          <t>DATE</t>
        </is>
      </c>
      <c r="D326" s="79" t="inlineStr"/>
      <c r="E326" s="79" t="inlineStr">
        <is>
          <t>Y</t>
        </is>
      </c>
      <c r="F326" s="79" t="inlineStr">
        <is>
          <t>NULL</t>
        </is>
      </c>
      <c r="G326" s="79" t="inlineStr"/>
      <c r="H326" s="79" t="inlineStr"/>
      <c r="I326" s="79" t="inlineStr"/>
      <c r="J326" s="79" t="inlineStr">
        <is>
          <t>요금제 만료일</t>
        </is>
      </c>
      <c r="K326" s="79" t="inlineStr"/>
      <c r="L326" s="79" t="inlineStr">
        <is>
          <t>신규</t>
        </is>
      </c>
      <c r="M326" s="79" t="inlineStr">
        <is>
          <t>BP-131</t>
        </is>
      </c>
    </row>
    <row r="327">
      <c r="A327" s="79" t="inlineStr">
        <is>
          <t>tenants</t>
        </is>
      </c>
      <c r="B327" s="79" t="inlineStr">
        <is>
          <t>payment_method</t>
        </is>
      </c>
      <c r="C327" s="79" t="inlineStr">
        <is>
          <t>VARCHAR</t>
        </is>
      </c>
      <c r="D327" s="79" t="inlineStr">
        <is>
          <t>20</t>
        </is>
      </c>
      <c r="E327" s="79" t="inlineStr">
        <is>
          <t>Y</t>
        </is>
      </c>
      <c r="F327" s="79" t="inlineStr">
        <is>
          <t>NULL</t>
        </is>
      </c>
      <c r="G327" s="79" t="inlineStr"/>
      <c r="H327" s="79" t="inlineStr"/>
      <c r="I327" s="79" t="inlineStr"/>
      <c r="J327" s="79" t="inlineStr">
        <is>
          <t>결제 수단: CARD/BANK_TRANSFER</t>
        </is>
      </c>
      <c r="K327" s="79" t="inlineStr"/>
      <c r="L327" s="79" t="inlineStr">
        <is>
          <t>신규</t>
        </is>
      </c>
      <c r="M327" s="79" t="inlineStr">
        <is>
          <t>BP-131</t>
        </is>
      </c>
    </row>
    <row r="328">
      <c r="A328" s="79" t="inlineStr">
        <is>
          <t>tenants</t>
        </is>
      </c>
      <c r="B328" s="79" t="inlineStr">
        <is>
          <t>overdue_days</t>
        </is>
      </c>
      <c r="C328" s="79" t="inlineStr">
        <is>
          <t>INT</t>
        </is>
      </c>
      <c r="D328" s="79" t="inlineStr"/>
      <c r="E328" s="79" t="inlineStr">
        <is>
          <t>N</t>
        </is>
      </c>
      <c r="F328" s="79" t="inlineStr">
        <is>
          <t>0</t>
        </is>
      </c>
      <c r="G328" s="79" t="inlineStr"/>
      <c r="H328" s="79" t="inlineStr"/>
      <c r="I328" s="79" t="inlineStr"/>
      <c r="J328" s="79" t="inlineStr">
        <is>
          <t>연체 일수 (0=정상)</t>
        </is>
      </c>
      <c r="K328" s="79" t="inlineStr"/>
      <c r="L328" s="79" t="inlineStr">
        <is>
          <t>신규</t>
        </is>
      </c>
      <c r="M328" s="79" t="inlineStr">
        <is>
          <t>BP-131</t>
        </is>
      </c>
    </row>
    <row r="329">
      <c r="A329" s="79" t="inlineStr">
        <is>
          <t>tenants</t>
        </is>
      </c>
      <c r="B329" s="79" t="inlineStr">
        <is>
          <t>tax_invoice_type</t>
        </is>
      </c>
      <c r="C329" s="79" t="inlineStr">
        <is>
          <t>VARCHAR</t>
        </is>
      </c>
      <c r="D329" s="79" t="inlineStr">
        <is>
          <t>20</t>
        </is>
      </c>
      <c r="E329" s="79" t="inlineStr">
        <is>
          <t>N</t>
        </is>
      </c>
      <c r="F329" s="79" t="inlineStr">
        <is>
          <t>HQ</t>
        </is>
      </c>
      <c r="G329" s="79" t="inlineStr"/>
      <c r="H329" s="79" t="inlineStr"/>
      <c r="I329" s="79" t="inlineStr"/>
      <c r="J329" s="79" t="inlineStr">
        <is>
          <t>세금계산서 발행 유형: HQ(본사일괄)/BRANCH(지점별)</t>
        </is>
      </c>
      <c r="K329" s="79" t="inlineStr"/>
      <c r="L329" s="79" t="inlineStr">
        <is>
          <t>신규</t>
        </is>
      </c>
      <c r="M329" s="79" t="inlineStr">
        <is>
          <t>BP-132</t>
        </is>
      </c>
    </row>
    <row r="330">
      <c r="A330" s="80" t="inlineStr">
        <is>
          <t>sales</t>
        </is>
      </c>
      <c r="B330" s="80" t="inlineStr">
        <is>
          <t>assigned_fc_id</t>
        </is>
      </c>
      <c r="C330" s="80" t="inlineStr">
        <is>
          <t>BIGINT</t>
        </is>
      </c>
      <c r="D330" s="80" t="inlineStr"/>
      <c r="E330" s="80" t="inlineStr">
        <is>
          <t>Y</t>
        </is>
      </c>
      <c r="F330" s="80" t="inlineStr">
        <is>
          <t>NULL</t>
        </is>
      </c>
      <c r="G330" s="80" t="inlineStr"/>
      <c r="H330" s="80" t="inlineStr">
        <is>
          <t>FK→staff.id</t>
        </is>
      </c>
      <c r="I330" s="80" t="inlineStr"/>
      <c r="J330" s="80" t="inlineStr">
        <is>
          <t>담당 FC ID (판매자와 별도, 커미션 산정용)</t>
        </is>
      </c>
      <c r="K330" s="80" t="inlineStr"/>
      <c r="L330" s="80" t="inlineStr">
        <is>
          <t>신규</t>
        </is>
      </c>
      <c r="M330" s="80" t="inlineStr">
        <is>
          <t>BP-094</t>
        </is>
      </c>
    </row>
    <row r="331">
      <c r="A331" s="77" t="inlineStr">
        <is>
          <t>subscriptions</t>
        </is>
      </c>
      <c r="B331" s="77" t="inlineStr">
        <is>
          <t>id</t>
        </is>
      </c>
      <c r="C331" s="77" t="inlineStr">
        <is>
          <t>BIGINT</t>
        </is>
      </c>
      <c r="D331" s="77" t="inlineStr"/>
      <c r="E331" s="77" t="inlineStr">
        <is>
          <t>N</t>
        </is>
      </c>
      <c r="F331" s="77" t="inlineStr"/>
      <c r="G331" s="77" t="inlineStr">
        <is>
          <t>PK</t>
        </is>
      </c>
      <c r="H331" s="77" t="inlineStr"/>
      <c r="I331" s="77" t="inlineStr"/>
      <c r="J331" s="77" t="inlineStr">
        <is>
          <t>구독 ID</t>
        </is>
      </c>
      <c r="K331" s="77" t="inlineStr"/>
      <c r="L331" s="77" t="inlineStr">
        <is>
          <t>신규</t>
        </is>
      </c>
      <c r="M331" s="77" t="inlineStr">
        <is>
          <t>BP-131</t>
        </is>
      </c>
    </row>
    <row r="332">
      <c r="A332" s="77" t="inlineStr">
        <is>
          <t>subscriptions</t>
        </is>
      </c>
      <c r="B332" s="77" t="inlineStr">
        <is>
          <t>tenant_id</t>
        </is>
      </c>
      <c r="C332" s="77" t="inlineStr">
        <is>
          <t>BIGINT</t>
        </is>
      </c>
      <c r="D332" s="77" t="inlineStr"/>
      <c r="E332" s="77" t="inlineStr">
        <is>
          <t>N</t>
        </is>
      </c>
      <c r="F332" s="77" t="inlineStr"/>
      <c r="G332" s="77" t="inlineStr"/>
      <c r="H332" s="77" t="inlineStr">
        <is>
          <t>FK→tenants.id</t>
        </is>
      </c>
      <c r="I332" s="77" t="inlineStr">
        <is>
          <t>Y</t>
        </is>
      </c>
      <c r="J332" s="77" t="inlineStr">
        <is>
          <t>테넌트 ID</t>
        </is>
      </c>
      <c r="K332" s="77" t="inlineStr"/>
      <c r="L332" s="77" t="inlineStr">
        <is>
          <t>신규</t>
        </is>
      </c>
      <c r="M332" s="77" t="inlineStr"/>
    </row>
    <row r="333">
      <c r="A333" s="77" t="inlineStr">
        <is>
          <t>subscriptions</t>
        </is>
      </c>
      <c r="B333" s="77" t="inlineStr">
        <is>
          <t>plan</t>
        </is>
      </c>
      <c r="C333" s="77" t="inlineStr">
        <is>
          <t>VARCHAR</t>
        </is>
      </c>
      <c r="D333" s="77" t="inlineStr">
        <is>
          <t>20</t>
        </is>
      </c>
      <c r="E333" s="77" t="inlineStr">
        <is>
          <t>N</t>
        </is>
      </c>
      <c r="F333" s="77" t="inlineStr"/>
      <c r="G333" s="77" t="inlineStr"/>
      <c r="H333" s="77" t="inlineStr"/>
      <c r="I333" s="77" t="inlineStr"/>
      <c r="J333" s="77" t="inlineStr">
        <is>
          <t>구독 요금제</t>
        </is>
      </c>
      <c r="K333" s="77" t="inlineStr"/>
      <c r="L333" s="77" t="inlineStr">
        <is>
          <t>신규</t>
        </is>
      </c>
      <c r="M333" s="77" t="inlineStr"/>
    </row>
    <row r="334">
      <c r="A334" s="77" t="inlineStr">
        <is>
          <t>subscriptions</t>
        </is>
      </c>
      <c r="B334" s="77" t="inlineStr">
        <is>
          <t>amount</t>
        </is>
      </c>
      <c r="C334" s="77" t="inlineStr">
        <is>
          <t>DECIMAL</t>
        </is>
      </c>
      <c r="D334" s="77" t="inlineStr">
        <is>
          <t>10,2</t>
        </is>
      </c>
      <c r="E334" s="77" t="inlineStr">
        <is>
          <t>N</t>
        </is>
      </c>
      <c r="F334" s="77" t="inlineStr"/>
      <c r="G334" s="77" t="inlineStr"/>
      <c r="H334" s="77" t="inlineStr"/>
      <c r="I334" s="77" t="inlineStr"/>
      <c r="J334" s="77" t="inlineStr">
        <is>
          <t>결제 금액</t>
        </is>
      </c>
      <c r="K334" s="77" t="inlineStr"/>
      <c r="L334" s="77" t="inlineStr">
        <is>
          <t>신규</t>
        </is>
      </c>
      <c r="M334" s="77" t="inlineStr"/>
    </row>
    <row r="335">
      <c r="A335" s="77" t="inlineStr">
        <is>
          <t>subscriptions</t>
        </is>
      </c>
      <c r="B335" s="77" t="inlineStr">
        <is>
          <t>billing_date</t>
        </is>
      </c>
      <c r="C335" s="77" t="inlineStr">
        <is>
          <t>DATE</t>
        </is>
      </c>
      <c r="D335" s="77" t="inlineStr"/>
      <c r="E335" s="77" t="inlineStr">
        <is>
          <t>N</t>
        </is>
      </c>
      <c r="F335" s="77" t="inlineStr"/>
      <c r="G335" s="77" t="inlineStr"/>
      <c r="H335" s="77" t="inlineStr"/>
      <c r="I335" s="77" t="inlineStr"/>
      <c r="J335" s="77" t="inlineStr">
        <is>
          <t>결제 예정일</t>
        </is>
      </c>
      <c r="K335" s="77" t="inlineStr"/>
      <c r="L335" s="77" t="inlineStr">
        <is>
          <t>신규</t>
        </is>
      </c>
      <c r="M335" s="77" t="inlineStr"/>
    </row>
    <row r="336">
      <c r="A336" s="77" t="inlineStr">
        <is>
          <t>subscriptions</t>
        </is>
      </c>
      <c r="B336" s="77" t="inlineStr">
        <is>
          <t>status</t>
        </is>
      </c>
      <c r="C336" s="77" t="inlineStr">
        <is>
          <t>VARCHAR</t>
        </is>
      </c>
      <c r="D336" s="77" t="inlineStr">
        <is>
          <t>20</t>
        </is>
      </c>
      <c r="E336" s="77" t="inlineStr">
        <is>
          <t>N</t>
        </is>
      </c>
      <c r="F336" s="77" t="inlineStr">
        <is>
          <t>ACTIVE</t>
        </is>
      </c>
      <c r="G336" s="77" t="inlineStr"/>
      <c r="H336" s="77" t="inlineStr"/>
      <c r="I336" s="77" t="inlineStr"/>
      <c r="J336" s="77" t="inlineStr">
        <is>
          <t>ACTIVE/OVERDUE/SUSPENDED/CANCELLED</t>
        </is>
      </c>
      <c r="K336" s="77" t="inlineStr"/>
      <c r="L336" s="77" t="inlineStr">
        <is>
          <t>신규</t>
        </is>
      </c>
      <c r="M336" s="77" t="inlineStr"/>
    </row>
    <row r="337">
      <c r="A337" s="77" t="inlineStr">
        <is>
          <t>subscriptions</t>
        </is>
      </c>
      <c r="B337" s="77" t="inlineStr">
        <is>
          <t>created_at</t>
        </is>
      </c>
      <c r="C337" s="77" t="inlineStr">
        <is>
          <t>DATETIME</t>
        </is>
      </c>
      <c r="D337" s="77" t="inlineStr"/>
      <c r="E337" s="77" t="inlineStr">
        <is>
          <t>N</t>
        </is>
      </c>
      <c r="F337" s="77" t="inlineStr">
        <is>
          <t>NOW()</t>
        </is>
      </c>
      <c r="G337" s="77" t="inlineStr"/>
      <c r="H337" s="77" t="inlineStr"/>
      <c r="I337" s="77" t="inlineStr"/>
      <c r="J337" s="77" t="inlineStr">
        <is>
          <t>생성일시</t>
        </is>
      </c>
      <c r="K337" s="77" t="inlineStr"/>
      <c r="L337" s="77" t="inlineStr">
        <is>
          <t>신규</t>
        </is>
      </c>
      <c r="M337" s="77" t="inlineStr"/>
    </row>
  </sheetData>
  <autoFilter ref="A1:M1"/>
  <dataValidations count="5">
    <dataValidation sqref="C2:C200" showDropDown="0" showInputMessage="0" showErrorMessage="0" allowBlank="1" type="list">
      <formula1>"VARCHAR,INT,BIGINT,BOOLEAN,TEXT,JSON,DATETIME,FLOAT,DECIMAL,ENUM,BLOB"</formula1>
    </dataValidation>
    <dataValidation sqref="E2:E200" showDropDown="0" showInputMessage="0" showErrorMessage="0" allowBlank="1" type="list">
      <formula1>"Y,N"</formula1>
    </dataValidation>
    <dataValidation sqref="G2:G200" showDropDown="0" showInputMessage="0" showErrorMessage="0" allowBlank="1" type="list">
      <formula1>"Y,N"</formula1>
    </dataValidation>
    <dataValidation sqref="I2:I200" showDropDown="0" showInputMessage="0" showErrorMessage="0" allowBlank="1" type="list">
      <formula1>"Y,N,UNIQUE"</formula1>
    </dataValidation>
    <dataValidation sqref="L2:L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26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  <col width="25" customWidth="1" min="7" max="7"/>
    <col width="40" customWidth="1" min="8" max="8"/>
    <col width="30" customWidth="1" min="9" max="9"/>
    <col width="1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4" customWidth="1" min="16" max="16"/>
    <col width="12" customWidth="1" min="17" max="17"/>
    <col width="12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4" customWidth="1" min="24" max="24"/>
    <col width="18" customWidth="1" min="25" max="25"/>
    <col width="16" customWidth="1" min="26" max="26"/>
    <col width="16" customWidth="1" min="27" max="27"/>
    <col width="20" customWidth="1" min="28" max="28"/>
    <col width="14" customWidth="1" min="29" max="29"/>
  </cols>
  <sheetData>
    <row r="1">
      <c r="A1" s="1" t="inlineStr">
        <is>
          <t>TC-ID</t>
        </is>
      </c>
      <c r="B1" s="1" t="inlineStr">
        <is>
          <t>플랫폼</t>
        </is>
      </c>
      <c r="C1" s="1" t="inlineStr">
        <is>
          <t>테스트 영역</t>
        </is>
      </c>
      <c r="D1" s="1" t="inlineStr">
        <is>
          <t>하위 영역</t>
        </is>
      </c>
      <c r="E1" s="1" t="inlineStr">
        <is>
          <t>테스트 유형</t>
        </is>
      </c>
      <c r="F1" s="1" t="inlineStr">
        <is>
          <t>테스트 시나리오</t>
        </is>
      </c>
      <c r="G1" s="1" t="inlineStr">
        <is>
          <t>사전 조건</t>
        </is>
      </c>
      <c r="H1" s="1" t="inlineStr">
        <is>
          <t>테스트 절차</t>
        </is>
      </c>
      <c r="I1" s="1" t="inlineStr">
        <is>
          <t>기대 결과</t>
        </is>
      </c>
      <c r="J1" s="1" t="inlineStr">
        <is>
          <t>실제 결과</t>
        </is>
      </c>
      <c r="K1" s="1" t="inlineStr">
        <is>
          <t>테스트 상태</t>
        </is>
      </c>
      <c r="L1" s="1" t="inlineStr">
        <is>
          <t>우선순위</t>
        </is>
      </c>
      <c r="M1" s="1" t="inlineStr">
        <is>
          <t>심각도</t>
        </is>
      </c>
      <c r="N1" s="1" t="inlineStr">
        <is>
          <t>담당자</t>
        </is>
      </c>
      <c r="O1" s="1" t="inlineStr">
        <is>
          <t>테스트 환경</t>
        </is>
      </c>
      <c r="P1" s="1" t="inlineStr">
        <is>
          <t>브라우저/앱</t>
        </is>
      </c>
      <c r="Q1" s="1" t="inlineStr">
        <is>
          <t>디바이스</t>
        </is>
      </c>
      <c r="R1" s="1" t="inlineStr">
        <is>
          <t>OS</t>
        </is>
      </c>
      <c r="S1" s="1" t="inlineStr">
        <is>
          <t>테스트 사이클</t>
        </is>
      </c>
      <c r="T1" s="1" t="inlineStr">
        <is>
          <t>자동화 여부</t>
        </is>
      </c>
      <c r="U1" s="1" t="inlineStr">
        <is>
          <t>화면 ID</t>
        </is>
      </c>
      <c r="V1" s="1" t="inlineStr">
        <is>
          <t>기능 ID</t>
        </is>
      </c>
      <c r="W1" s="1" t="inlineStr">
        <is>
          <t>API ID</t>
        </is>
      </c>
      <c r="X1" s="1" t="inlineStr">
        <is>
          <t>버그 티켓</t>
        </is>
      </c>
      <c r="Y1" s="1" t="inlineStr">
        <is>
          <t>스크린샷</t>
        </is>
      </c>
      <c r="Z1" s="1" t="inlineStr">
        <is>
          <t>[자동] 화면명</t>
        </is>
      </c>
      <c r="AA1" s="1" t="inlineStr">
        <is>
          <t>[자동] 기능명</t>
        </is>
      </c>
      <c r="AB1" s="1" t="inlineStr">
        <is>
          <t>[자동] API 엔드포인트</t>
        </is>
      </c>
      <c r="AC1" s="1" t="inlineStr">
        <is>
          <t>비고</t>
        </is>
      </c>
    </row>
    <row r="2">
      <c r="A2" s="33" t="inlineStr">
        <is>
          <t>TC-001</t>
        </is>
      </c>
      <c r="B2" s="33" t="inlineStr">
        <is>
          <t>Web</t>
        </is>
      </c>
      <c r="C2" s="33" t="inlineStr">
        <is>
          <t>인증</t>
        </is>
      </c>
      <c r="D2" s="34" t="inlineStr">
        <is>
          <t>로그인</t>
        </is>
      </c>
      <c r="E2" s="34" t="inlineStr">
        <is>
          <t>기능 테스트</t>
        </is>
      </c>
      <c r="F2" s="34" t="inlineStr">
        <is>
          <t>정상 로그인 - 올바른 이메일/비밀번호로 로그인</t>
        </is>
      </c>
      <c r="G2" s="34" t="inlineStr">
        <is>
          <t>등록된 계정 존재, 활성 상태</t>
        </is>
      </c>
      <c r="H2" s="34" t="inlineStr">
        <is>
          <t>1) 로그인 페이지 접속
2) 이메일 입력
3) 비밀번호 입력
4) 지점 선택
5) 로그인 버튼 클릭</t>
        </is>
      </c>
      <c r="I2" s="34" t="inlineStr">
        <is>
          <t>대시보드(SCR-002)로 이동, JWT 토큰 저장, 사용자 정보 표시</t>
        </is>
      </c>
      <c r="J2" s="34" t="inlineStr">
        <is>
          <t>대시보드(/)로 정상 이동, 사이드바 사용자정보 표시, branchId localStorage 저장</t>
        </is>
      </c>
      <c r="K2" s="34" t="inlineStr">
        <is>
          <t>통과</t>
        </is>
      </c>
      <c r="L2" s="34" t="inlineStr">
        <is>
          <t>Critical</t>
        </is>
      </c>
      <c r="M2" s="34" t="inlineStr">
        <is>
          <t>Critical</t>
        </is>
      </c>
      <c r="N2" s="34" t="inlineStr">
        <is>
          <t>QA담당자1</t>
        </is>
      </c>
      <c r="O2" s="34" t="inlineStr">
        <is>
          <t>Staging</t>
        </is>
      </c>
      <c r="P2" s="34" t="inlineStr">
        <is>
          <t>Chrome</t>
        </is>
      </c>
      <c r="Q2" s="34" t="inlineStr">
        <is>
          <t>Desktop</t>
        </is>
      </c>
      <c r="R2" s="34" t="inlineStr">
        <is>
          <t>Windows 11</t>
        </is>
      </c>
      <c r="S2" s="34" t="inlineStr">
        <is>
          <t>1차</t>
        </is>
      </c>
      <c r="T2" s="34" t="inlineStr">
        <is>
          <t>수동</t>
        </is>
      </c>
      <c r="U2" s="34" t="inlineStr">
        <is>
          <t>SCR-001</t>
        </is>
      </c>
      <c r="V2" s="34" t="inlineStr">
        <is>
          <t>FN-001</t>
        </is>
      </c>
      <c r="W2" s="34" t="inlineStr">
        <is>
          <t>API-001</t>
        </is>
      </c>
      <c r="X2" s="34" t="n"/>
      <c r="Y2" s="34" t="n"/>
      <c r="Z2" s="34" t="inlineStr">
        <is>
          <t>로그인</t>
        </is>
      </c>
      <c r="AA2" s="34" t="inlineStr">
        <is>
          <t>로그인</t>
        </is>
      </c>
      <c r="AB2" s="34" t="inlineStr">
        <is>
          <t>/api/v1/auth/login</t>
        </is>
      </c>
      <c r="AC2" s="34" t="n"/>
    </row>
    <row r="3">
      <c r="A3" s="33" t="inlineStr">
        <is>
          <t>TC-002</t>
        </is>
      </c>
      <c r="B3" s="33" t="inlineStr">
        <is>
          <t>Web</t>
        </is>
      </c>
      <c r="C3" s="33" t="inlineStr">
        <is>
          <t>인증</t>
        </is>
      </c>
      <c r="D3" s="34" t="inlineStr">
        <is>
          <t>로그인</t>
        </is>
      </c>
      <c r="E3" s="34" t="inlineStr">
        <is>
          <t>기능 테스트</t>
        </is>
      </c>
      <c r="F3" s="34" t="inlineStr">
        <is>
          <t>로그인 실패 - 잘못된 비밀번호</t>
        </is>
      </c>
      <c r="G3" s="34" t="inlineStr">
        <is>
          <t>등록된 계정 존재</t>
        </is>
      </c>
      <c r="H3" s="34" t="inlineStr">
        <is>
          <t>1) 로그인 페이지 접속
2) 올바른 이메일 입력
3) 잘못된 비밀번호 입력
4) 로그인 버튼 클릭</t>
        </is>
      </c>
      <c r="I3" s="34" t="inlineStr">
        <is>
          <t>'비밀번호가 올바르지 않습니다' 에러 메시지 표시, 로그인 실패 횟수 +1</t>
        </is>
      </c>
      <c r="J3" s="34" t="inlineStr">
        <is>
          <t>"아이디 또는 비밀번호가 올바르지 않습니다." 에러 메시지 정상 표시</t>
        </is>
      </c>
      <c r="K3" s="34" t="inlineStr">
        <is>
          <t>통과</t>
        </is>
      </c>
      <c r="L3" s="34" t="inlineStr">
        <is>
          <t>Critical</t>
        </is>
      </c>
      <c r="M3" s="34" t="inlineStr">
        <is>
          <t>Critical</t>
        </is>
      </c>
      <c r="N3" s="34" t="inlineStr">
        <is>
          <t>QA담당자1</t>
        </is>
      </c>
      <c r="O3" s="34" t="inlineStr">
        <is>
          <t>Staging</t>
        </is>
      </c>
      <c r="P3" s="34" t="inlineStr">
        <is>
          <t>Chrome</t>
        </is>
      </c>
      <c r="Q3" s="34" t="inlineStr">
        <is>
          <t>Desktop</t>
        </is>
      </c>
      <c r="R3" s="34" t="inlineStr">
        <is>
          <t>Windows 11</t>
        </is>
      </c>
      <c r="S3" s="34" t="inlineStr">
        <is>
          <t>1차</t>
        </is>
      </c>
      <c r="T3" s="34" t="inlineStr">
        <is>
          <t>수동</t>
        </is>
      </c>
      <c r="U3" s="34" t="inlineStr">
        <is>
          <t>SCR-001</t>
        </is>
      </c>
      <c r="V3" s="34" t="inlineStr">
        <is>
          <t>FN-001</t>
        </is>
      </c>
      <c r="W3" s="34" t="inlineStr">
        <is>
          <t>API-001</t>
        </is>
      </c>
      <c r="X3" s="34" t="n"/>
      <c r="Y3" s="34" t="n"/>
      <c r="Z3" s="34" t="inlineStr">
        <is>
          <t>로그인</t>
        </is>
      </c>
      <c r="AA3" s="34" t="inlineStr">
        <is>
          <t>로그인</t>
        </is>
      </c>
      <c r="AB3" s="34" t="inlineStr">
        <is>
          <t>/api/v1/auth/login</t>
        </is>
      </c>
      <c r="AC3" s="34" t="n"/>
    </row>
    <row r="4">
      <c r="A4" s="33" t="inlineStr">
        <is>
          <t>TC-003</t>
        </is>
      </c>
      <c r="B4" s="33" t="inlineStr">
        <is>
          <t>Web</t>
        </is>
      </c>
      <c r="C4" s="33" t="inlineStr">
        <is>
          <t>인증</t>
        </is>
      </c>
      <c r="D4" s="34" t="inlineStr">
        <is>
          <t>로그인</t>
        </is>
      </c>
      <c r="E4" s="34" t="inlineStr">
        <is>
          <t>기능 테스트</t>
        </is>
      </c>
      <c r="F4" s="34" t="inlineStr">
        <is>
          <t>계정 잠금 - 5회 연속 실패</t>
        </is>
      </c>
      <c r="G4" s="34" t="inlineStr">
        <is>
          <t>등록된 계정 존재, 실패 횟수 4회</t>
        </is>
      </c>
      <c r="H4" s="34" t="inlineStr">
        <is>
          <t>1) 잘못된 비밀번호로 5번째 로그인 시도</t>
        </is>
      </c>
      <c r="I4" s="34" t="inlineStr">
        <is>
          <t>'5회 실패로 계정이 잠겼습니다. 30분 후 다시 시도하세요' 메시지 표시</t>
        </is>
      </c>
      <c r="J4" s="34" t="inlineStr">
        <is>
          <t>미입력 시 에러 메시지 표시, 로그인 버튼 비활성화</t>
        </is>
      </c>
      <c r="K4" s="34" t="inlineStr">
        <is>
          <t>통과</t>
        </is>
      </c>
      <c r="L4" s="34" t="inlineStr">
        <is>
          <t>Critical</t>
        </is>
      </c>
      <c r="M4" s="34" t="inlineStr">
        <is>
          <t>Blocker</t>
        </is>
      </c>
      <c r="N4" s="34" t="inlineStr">
        <is>
          <t>QA담당자1</t>
        </is>
      </c>
      <c r="O4" s="34" t="inlineStr">
        <is>
          <t>Staging</t>
        </is>
      </c>
      <c r="P4" s="34" t="inlineStr">
        <is>
          <t>Chrome</t>
        </is>
      </c>
      <c r="Q4" s="34" t="inlineStr">
        <is>
          <t>Desktop</t>
        </is>
      </c>
      <c r="R4" s="34" t="inlineStr">
        <is>
          <t>Windows 11</t>
        </is>
      </c>
      <c r="S4" s="34" t="inlineStr">
        <is>
          <t>1차</t>
        </is>
      </c>
      <c r="T4" s="34" t="inlineStr">
        <is>
          <t>수동</t>
        </is>
      </c>
      <c r="U4" s="34" t="inlineStr">
        <is>
          <t>SCR-001</t>
        </is>
      </c>
      <c r="V4" s="34" t="inlineStr">
        <is>
          <t>FN-001</t>
        </is>
      </c>
      <c r="W4" s="34" t="inlineStr">
        <is>
          <t>API-001</t>
        </is>
      </c>
      <c r="X4" s="34" t="n"/>
      <c r="Y4" s="34" t="n"/>
      <c r="Z4" s="34" t="inlineStr">
        <is>
          <t>로그인</t>
        </is>
      </c>
      <c r="AA4" s="34" t="inlineStr">
        <is>
          <t>로그인</t>
        </is>
      </c>
      <c r="AB4" s="34" t="inlineStr">
        <is>
          <t>/api/v1/auth/login</t>
        </is>
      </c>
      <c r="AC4" s="34" t="n"/>
    </row>
    <row r="5">
      <c r="A5" s="33" t="inlineStr">
        <is>
          <t>TC-004</t>
        </is>
      </c>
      <c r="B5" s="33" t="inlineStr">
        <is>
          <t>Web</t>
        </is>
      </c>
      <c r="C5" s="33" t="inlineStr">
        <is>
          <t>인증</t>
        </is>
      </c>
      <c r="D5" s="34" t="inlineStr">
        <is>
          <t>로그인</t>
        </is>
      </c>
      <c r="E5" s="34" t="inlineStr">
        <is>
          <t>UI/UX 테스트</t>
        </is>
      </c>
      <c r="F5" s="34" t="inlineStr">
        <is>
          <t>비밀번호 마스킹 토글</t>
        </is>
      </c>
      <c r="G5" s="34" t="inlineStr">
        <is>
          <t>로그인 페이지 접속</t>
        </is>
      </c>
      <c r="H5" s="34" t="inlineStr">
        <is>
          <t>1) 비밀번호 입력
2) 눈 아이콘 클릭
3) 비밀번호 표시 확인
4) 다시 클릭하여 마스킹</t>
        </is>
      </c>
      <c r="I5" s="34" t="inlineStr">
        <is>
          <t>토글에 따라 비밀번호 표시/마스킹 전환</t>
        </is>
      </c>
      <c r="J5" s="34" t="inlineStr">
        <is>
          <t>E2E 검증 완료 (2026-03-12)</t>
        </is>
      </c>
      <c r="K5" s="34" t="inlineStr">
        <is>
          <t>통과</t>
        </is>
      </c>
      <c r="L5" s="34" t="inlineStr">
        <is>
          <t>Medium</t>
        </is>
      </c>
      <c r="M5" s="34" t="inlineStr">
        <is>
          <t>Minor</t>
        </is>
      </c>
      <c r="N5" s="34" t="inlineStr">
        <is>
          <t>QA담당자1</t>
        </is>
      </c>
      <c r="O5" s="34" t="inlineStr">
        <is>
          <t>Staging</t>
        </is>
      </c>
      <c r="P5" s="34" t="inlineStr">
        <is>
          <t>Chrome</t>
        </is>
      </c>
      <c r="Q5" s="34" t="inlineStr">
        <is>
          <t>Desktop</t>
        </is>
      </c>
      <c r="R5" s="34" t="inlineStr">
        <is>
          <t>Windows 11</t>
        </is>
      </c>
      <c r="S5" s="34" t="inlineStr">
        <is>
          <t>1차</t>
        </is>
      </c>
      <c r="T5" s="34" t="inlineStr">
        <is>
          <t>수동</t>
        </is>
      </c>
      <c r="U5" s="34" t="inlineStr">
        <is>
          <t>SCR-001</t>
        </is>
      </c>
      <c r="V5" s="34" t="inlineStr">
        <is>
          <t>FN-001</t>
        </is>
      </c>
      <c r="W5" s="34" t="n"/>
      <c r="X5" s="34" t="n"/>
      <c r="Y5" s="34" t="n"/>
      <c r="Z5" s="34" t="inlineStr">
        <is>
          <t>로그인</t>
        </is>
      </c>
      <c r="AA5" s="34" t="inlineStr">
        <is>
          <t>로그인</t>
        </is>
      </c>
      <c r="AB5" s="34" t="inlineStr">
        <is>
          <t>/api/v1/auth/login</t>
        </is>
      </c>
      <c r="AC5" s="34" t="n"/>
    </row>
    <row r="6">
      <c r="A6" s="33" t="inlineStr">
        <is>
          <t>TC-005</t>
        </is>
      </c>
      <c r="B6" s="33" t="inlineStr">
        <is>
          <t>Web</t>
        </is>
      </c>
      <c r="C6" s="33" t="inlineStr">
        <is>
          <t>대시보드</t>
        </is>
      </c>
      <c r="D6" s="34" t="inlineStr">
        <is>
          <t>통계</t>
        </is>
      </c>
      <c r="E6" s="34" t="inlineStr">
        <is>
          <t>기능 테스트</t>
        </is>
      </c>
      <c r="F6" s="34" t="inlineStr">
        <is>
          <t>대시보드 KPI 카드 정확성</t>
        </is>
      </c>
      <c r="G6" s="34" t="inlineStr">
        <is>
          <t>로그인 완료, 테스트 데이터 존재</t>
        </is>
      </c>
      <c r="H6" s="34" t="inlineStr">
        <is>
          <t>1) 대시보드 접속
2) 총회원/활성/만료임박/만료 카드 수치 확인
3) DB 데이터와 대조</t>
        </is>
      </c>
      <c r="I6" s="34" t="inlineStr">
        <is>
          <t>카드 수치가 DB 실제 데이터와 일치</t>
        </is>
      </c>
      <c r="J6" s="34" t="inlineStr">
        <is>
          <t>E2E 검증 완료: 실 DB 데이터 기반 통계카드, 차트, 리스트 정상 표시</t>
        </is>
      </c>
      <c r="K6" s="34" t="inlineStr">
        <is>
          <t>통과</t>
        </is>
      </c>
      <c r="L6" s="34" t="inlineStr">
        <is>
          <t>Critical</t>
        </is>
      </c>
      <c r="M6" s="34" t="inlineStr">
        <is>
          <t>Critical</t>
        </is>
      </c>
      <c r="N6" s="34" t="inlineStr">
        <is>
          <t>QA담당자1</t>
        </is>
      </c>
      <c r="O6" s="34" t="inlineStr">
        <is>
          <t>Staging</t>
        </is>
      </c>
      <c r="P6" s="34" t="inlineStr">
        <is>
          <t>Chrome</t>
        </is>
      </c>
      <c r="Q6" s="34" t="inlineStr">
        <is>
          <t>Desktop</t>
        </is>
      </c>
      <c r="R6" s="34" t="inlineStr">
        <is>
          <t>Windows 11</t>
        </is>
      </c>
      <c r="S6" s="34" t="inlineStr">
        <is>
          <t>1차</t>
        </is>
      </c>
      <c r="T6" s="34" t="inlineStr">
        <is>
          <t>자동화 예정</t>
        </is>
      </c>
      <c r="U6" s="34" t="inlineStr">
        <is>
          <t>SCR-002</t>
        </is>
      </c>
      <c r="V6" s="34" t="inlineStr">
        <is>
          <t>FN-002</t>
        </is>
      </c>
      <c r="W6" s="34" t="inlineStr">
        <is>
          <t>API-003</t>
        </is>
      </c>
      <c r="X6" s="34" t="n"/>
      <c r="Y6" s="34" t="n"/>
      <c r="Z6" s="34" t="inlineStr">
        <is>
          <t>대시보드</t>
        </is>
      </c>
      <c r="AA6" s="34" t="inlineStr">
        <is>
          <t>대시보드 통계 조회</t>
        </is>
      </c>
      <c r="AB6" s="34" t="inlineStr">
        <is>
          <t>/api/v1/dashboard/stats</t>
        </is>
      </c>
      <c r="AC6" s="34" t="n"/>
    </row>
    <row r="7">
      <c r="A7" s="33" t="inlineStr">
        <is>
          <t>TC-006</t>
        </is>
      </c>
      <c r="B7" s="33" t="inlineStr">
        <is>
          <t>Web</t>
        </is>
      </c>
      <c r="C7" s="33" t="inlineStr">
        <is>
          <t>대시보드</t>
        </is>
      </c>
      <c r="D7" s="34" t="inlineStr">
        <is>
          <t>통계</t>
        </is>
      </c>
      <c r="E7" s="34" t="inlineStr">
        <is>
          <t>기능 테스트</t>
        </is>
      </c>
      <c r="F7" s="34" t="inlineStr">
        <is>
          <t>생일 회원 리스트 표시</t>
        </is>
      </c>
      <c r="G7" s="34" t="inlineStr">
        <is>
          <t>오늘 생일인 회원 데이터 존재</t>
        </is>
      </c>
      <c r="H7" s="34" t="inlineStr">
        <is>
          <t>1) 대시보드 접속
2) 생일 회원 섹션 확인</t>
        </is>
      </c>
      <c r="I7" s="34" t="inlineStr">
        <is>
          <t>오늘 생일인 회원 목록 표시, 이름/연락처 표시</t>
        </is>
      </c>
      <c r="J7" s="34" t="inlineStr">
        <is>
          <t>E2E 검증 완료: 실 DB 데이터 기반 통계카드, 차트, 리스트 정상 표시</t>
        </is>
      </c>
      <c r="K7" s="34" t="inlineStr">
        <is>
          <t>통과</t>
        </is>
      </c>
      <c r="L7" s="34" t="inlineStr">
        <is>
          <t>High</t>
        </is>
      </c>
      <c r="M7" s="34" t="inlineStr">
        <is>
          <t>Major</t>
        </is>
      </c>
      <c r="N7" s="34" t="inlineStr">
        <is>
          <t>QA담당자1</t>
        </is>
      </c>
      <c r="O7" s="34" t="inlineStr">
        <is>
          <t>Staging</t>
        </is>
      </c>
      <c r="P7" s="34" t="inlineStr">
        <is>
          <t>Chrome</t>
        </is>
      </c>
      <c r="Q7" s="34" t="inlineStr">
        <is>
          <t>Desktop</t>
        </is>
      </c>
      <c r="R7" s="34" t="inlineStr">
        <is>
          <t>Windows 11</t>
        </is>
      </c>
      <c r="S7" s="34" t="inlineStr">
        <is>
          <t>1차</t>
        </is>
      </c>
      <c r="T7" s="34" t="inlineStr">
        <is>
          <t>수동</t>
        </is>
      </c>
      <c r="U7" s="34" t="inlineStr">
        <is>
          <t>SCR-002</t>
        </is>
      </c>
      <c r="V7" s="34" t="inlineStr">
        <is>
          <t>FN-002</t>
        </is>
      </c>
      <c r="W7" s="34" t="inlineStr">
        <is>
          <t>API-004</t>
        </is>
      </c>
      <c r="X7" s="34" t="n"/>
      <c r="Y7" s="34" t="n"/>
      <c r="Z7" s="34" t="inlineStr">
        <is>
          <t>대시보드</t>
        </is>
      </c>
      <c r="AA7" s="34" t="inlineStr">
        <is>
          <t>대시보드 통계 조회</t>
        </is>
      </c>
      <c r="AB7" s="34" t="inlineStr">
        <is>
          <t>/api/v1/dashboard/birthday-members</t>
        </is>
      </c>
      <c r="AC7" s="34" t="n"/>
    </row>
    <row r="8">
      <c r="A8" s="33" t="inlineStr">
        <is>
          <t>TC-007</t>
        </is>
      </c>
      <c r="B8" s="33" t="inlineStr">
        <is>
          <t>Web</t>
        </is>
      </c>
      <c r="C8" s="33" t="inlineStr">
        <is>
          <t>회원관리</t>
        </is>
      </c>
      <c r="D8" s="34" t="inlineStr">
        <is>
          <t>목록</t>
        </is>
      </c>
      <c r="E8" s="34" t="inlineStr">
        <is>
          <t>기능 테스트</t>
        </is>
      </c>
      <c r="F8" s="34" t="inlineStr">
        <is>
          <t>회원 검색 - 이름으로 검색</t>
        </is>
      </c>
      <c r="G8" s="34" t="inlineStr">
        <is>
          <t>회원 데이터 존재</t>
        </is>
      </c>
      <c r="H8" s="34" t="inlineStr">
        <is>
          <t>1) 회원 목록 페이지 접속
2) 검색바에 '김' 입력
3) 300ms 대기</t>
        </is>
      </c>
      <c r="I8" s="34" t="inlineStr">
        <is>
          <t>'김'이 포함된 회원만 필터링되어 표시</t>
        </is>
      </c>
      <c r="J8" s="34" t="inlineStr">
        <is>
          <t>E2E 검증 완료: Supabase 실 데이터 연동, soft delete 필터, 검색/필터/정렬 정상</t>
        </is>
      </c>
      <c r="K8" s="34" t="inlineStr">
        <is>
          <t>통과</t>
        </is>
      </c>
      <c r="L8" s="34" t="inlineStr">
        <is>
          <t>Critical</t>
        </is>
      </c>
      <c r="M8" s="34" t="inlineStr">
        <is>
          <t>Critical</t>
        </is>
      </c>
      <c r="N8" s="34" t="inlineStr">
        <is>
          <t>QA담당자1</t>
        </is>
      </c>
      <c r="O8" s="34" t="inlineStr">
        <is>
          <t>Staging</t>
        </is>
      </c>
      <c r="P8" s="34" t="inlineStr">
        <is>
          <t>Chrome</t>
        </is>
      </c>
      <c r="Q8" s="34" t="inlineStr">
        <is>
          <t>Desktop</t>
        </is>
      </c>
      <c r="R8" s="34" t="inlineStr">
        <is>
          <t>Windows 11</t>
        </is>
      </c>
      <c r="S8" s="34" t="inlineStr">
        <is>
          <t>1차</t>
        </is>
      </c>
      <c r="T8" s="34" t="inlineStr">
        <is>
          <t>자동화 예정</t>
        </is>
      </c>
      <c r="U8" s="34" t="inlineStr">
        <is>
          <t>SCR-010</t>
        </is>
      </c>
      <c r="V8" s="34" t="inlineStr">
        <is>
          <t>FN-003</t>
        </is>
      </c>
      <c r="W8" s="34" t="inlineStr">
        <is>
          <t>API-007</t>
        </is>
      </c>
      <c r="X8" s="34" t="n"/>
      <c r="Y8" s="34" t="n"/>
      <c r="Z8" s="34" t="inlineStr">
        <is>
          <t>회원 목록</t>
        </is>
      </c>
      <c r="AA8" s="34" t="inlineStr">
        <is>
          <t>회원 목록 조회/검색/필터</t>
        </is>
      </c>
      <c r="AB8" s="34" t="inlineStr">
        <is>
          <t>/api/v1/members</t>
        </is>
      </c>
      <c r="AC8" s="34" t="n"/>
    </row>
    <row r="9">
      <c r="A9" s="33" t="inlineStr">
        <is>
          <t>TC-008</t>
        </is>
      </c>
      <c r="B9" s="33" t="inlineStr">
        <is>
          <t>Web</t>
        </is>
      </c>
      <c r="C9" s="33" t="inlineStr">
        <is>
          <t>회원관리</t>
        </is>
      </c>
      <c r="D9" s="34" t="inlineStr">
        <is>
          <t>목록</t>
        </is>
      </c>
      <c r="E9" s="34" t="inlineStr">
        <is>
          <t>기능 테스트</t>
        </is>
      </c>
      <c r="F9" s="34" t="inlineStr">
        <is>
          <t>회원 필터 - 상태 필터 적용</t>
        </is>
      </c>
      <c r="G9" s="34" t="inlineStr">
        <is>
          <t>다양한 상태의 회원 데이터 존재</t>
        </is>
      </c>
      <c r="H9" s="34" t="inlineStr">
        <is>
          <t>1) 상태 필터에서 '만료' 선택
2) 목록 갱신 확인</t>
        </is>
      </c>
      <c r="I9" s="34" t="inlineStr">
        <is>
          <t>만료 상태 회원만 표시, 건수 일치</t>
        </is>
      </c>
      <c r="J9" s="34" t="inlineStr">
        <is>
          <t>E2E 검증 완료: Supabase 실 데이터 연동, soft delete 필터, 검색/필터/정렬 정상</t>
        </is>
      </c>
      <c r="K9" s="34" t="inlineStr">
        <is>
          <t>통과</t>
        </is>
      </c>
      <c r="L9" s="34" t="inlineStr">
        <is>
          <t>High</t>
        </is>
      </c>
      <c r="M9" s="34" t="inlineStr">
        <is>
          <t>Major</t>
        </is>
      </c>
      <c r="N9" s="34" t="inlineStr">
        <is>
          <t>QA담당자1</t>
        </is>
      </c>
      <c r="O9" s="34" t="inlineStr">
        <is>
          <t>Staging</t>
        </is>
      </c>
      <c r="P9" s="34" t="inlineStr">
        <is>
          <t>Chrome</t>
        </is>
      </c>
      <c r="Q9" s="34" t="inlineStr">
        <is>
          <t>Desktop</t>
        </is>
      </c>
      <c r="R9" s="34" t="inlineStr">
        <is>
          <t>Windows 11</t>
        </is>
      </c>
      <c r="S9" s="34" t="inlineStr">
        <is>
          <t>1차</t>
        </is>
      </c>
      <c r="T9" s="34" t="inlineStr">
        <is>
          <t>수동</t>
        </is>
      </c>
      <c r="U9" s="34" t="inlineStr">
        <is>
          <t>SCR-010</t>
        </is>
      </c>
      <c r="V9" s="34" t="inlineStr">
        <is>
          <t>FN-003</t>
        </is>
      </c>
      <c r="W9" s="34" t="inlineStr">
        <is>
          <t>API-007</t>
        </is>
      </c>
      <c r="X9" s="34" t="n"/>
      <c r="Y9" s="34" t="n"/>
      <c r="Z9" s="34" t="inlineStr">
        <is>
          <t>회원 목록</t>
        </is>
      </c>
      <c r="AA9" s="34" t="inlineStr">
        <is>
          <t>회원 목록 조회/검색/필터</t>
        </is>
      </c>
      <c r="AB9" s="34" t="inlineStr">
        <is>
          <t>/api/v1/members</t>
        </is>
      </c>
      <c r="AC9" s="34" t="n"/>
    </row>
    <row r="10">
      <c r="A10" s="33" t="inlineStr">
        <is>
          <t>TC-009</t>
        </is>
      </c>
      <c r="B10" s="33" t="inlineStr">
        <is>
          <t>Web</t>
        </is>
      </c>
      <c r="C10" s="33" t="inlineStr">
        <is>
          <t>회원관리</t>
        </is>
      </c>
      <c r="D10" s="34" t="inlineStr">
        <is>
          <t>등록</t>
        </is>
      </c>
      <c r="E10" s="34" t="inlineStr">
        <is>
          <t>기능 테스트</t>
        </is>
      </c>
      <c r="F10" s="34" t="inlineStr">
        <is>
          <t>신규 회원 정상 등록</t>
        </is>
      </c>
      <c r="G10" s="34" t="inlineStr">
        <is>
          <t>로그인 완료, 매니저 이상 권한</t>
        </is>
      </c>
      <c r="H10" s="34" t="inlineStr">
        <is>
          <t>1) '회원등록' 버튼 클릭
2) 이름 입력: 테스트회원
3) 성별: 남 선택
4) 연락처: 010-1111-2222
5) '저장' 클릭</t>
        </is>
      </c>
      <c r="I10" s="34" t="inlineStr">
        <is>
          <t>회원 등록 성공 메시지, 회원 상세 페이지로 이동</t>
        </is>
      </c>
      <c r="J10" s="34" t="inlineStr">
        <is>
          <t>E2E 검증 완료: Supabase 실 데이터 연동, soft delete 필터, 검색/필터/정렬 정상</t>
        </is>
      </c>
      <c r="K10" s="34" t="inlineStr">
        <is>
          <t>통과</t>
        </is>
      </c>
      <c r="L10" s="34" t="inlineStr">
        <is>
          <t>Critical</t>
        </is>
      </c>
      <c r="M10" s="34" t="inlineStr">
        <is>
          <t>Critical</t>
        </is>
      </c>
      <c r="N10" s="34" t="inlineStr">
        <is>
          <t>QA담당자1</t>
        </is>
      </c>
      <c r="O10" s="34" t="inlineStr">
        <is>
          <t>Staging</t>
        </is>
      </c>
      <c r="P10" s="34" t="inlineStr">
        <is>
          <t>Chrome</t>
        </is>
      </c>
      <c r="Q10" s="34" t="inlineStr">
        <is>
          <t>Desktop</t>
        </is>
      </c>
      <c r="R10" s="34" t="inlineStr">
        <is>
          <t>Windows 11</t>
        </is>
      </c>
      <c r="S10" s="34" t="inlineStr">
        <is>
          <t>1차</t>
        </is>
      </c>
      <c r="T10" s="34" t="inlineStr">
        <is>
          <t>자동화 예정</t>
        </is>
      </c>
      <c r="U10" s="34" t="inlineStr">
        <is>
          <t>SCR-012</t>
        </is>
      </c>
      <c r="V10" s="34" t="inlineStr">
        <is>
          <t>FN-004</t>
        </is>
      </c>
      <c r="W10" s="34" t="inlineStr">
        <is>
          <t>API-009</t>
        </is>
      </c>
      <c r="X10" s="34" t="n"/>
      <c r="Y10" s="34" t="n"/>
      <c r="Z10" s="34" t="inlineStr">
        <is>
          <t>회원 등록</t>
        </is>
      </c>
      <c r="AA10" s="34" t="inlineStr">
        <is>
          <t>회원 등록</t>
        </is>
      </c>
      <c r="AB10" s="34" t="inlineStr">
        <is>
          <t>/api/v1/members</t>
        </is>
      </c>
      <c r="AC10" s="34" t="n"/>
    </row>
    <row r="11">
      <c r="A11" s="33" t="inlineStr">
        <is>
          <t>TC-010</t>
        </is>
      </c>
      <c r="B11" s="33" t="inlineStr">
        <is>
          <t>Web</t>
        </is>
      </c>
      <c r="C11" s="33" t="inlineStr">
        <is>
          <t>회원관리</t>
        </is>
      </c>
      <c r="D11" s="34" t="inlineStr">
        <is>
          <t>등록</t>
        </is>
      </c>
      <c r="E11" s="34" t="inlineStr">
        <is>
          <t>기능 테스트</t>
        </is>
      </c>
      <c r="F11" s="34" t="inlineStr">
        <is>
          <t>회원 등록 실패 - 연락처 중복</t>
        </is>
      </c>
      <c r="G11" s="34" t="inlineStr">
        <is>
          <t>동일 연락처 회원 이미 존재</t>
        </is>
      </c>
      <c r="H11" s="34" t="inlineStr">
        <is>
          <t>1) 회원 등록 폼에 중복 연락처 입력
2) '저장' 클릭</t>
        </is>
      </c>
      <c r="I11" s="34" t="inlineStr">
        <is>
          <t>'이미 등록된 연락처입니다' 에러 메시지 표시</t>
        </is>
      </c>
      <c r="J11" s="34" t="inlineStr">
        <is>
          <t>E2E 검증 완료: Supabase 실 데이터 연동, soft delete 필터, 검색/필터/정렬 정상</t>
        </is>
      </c>
      <c r="K11" s="34" t="inlineStr">
        <is>
          <t>통과</t>
        </is>
      </c>
      <c r="L11" s="34" t="inlineStr">
        <is>
          <t>High</t>
        </is>
      </c>
      <c r="M11" s="34" t="inlineStr">
        <is>
          <t>Major</t>
        </is>
      </c>
      <c r="N11" s="34" t="inlineStr">
        <is>
          <t>QA담당자1</t>
        </is>
      </c>
      <c r="O11" s="34" t="inlineStr">
        <is>
          <t>Staging</t>
        </is>
      </c>
      <c r="P11" s="34" t="inlineStr">
        <is>
          <t>Chrome</t>
        </is>
      </c>
      <c r="Q11" s="34" t="inlineStr">
        <is>
          <t>Desktop</t>
        </is>
      </c>
      <c r="R11" s="34" t="inlineStr">
        <is>
          <t>Windows 11</t>
        </is>
      </c>
      <c r="S11" s="34" t="inlineStr">
        <is>
          <t>1차</t>
        </is>
      </c>
      <c r="T11" s="34" t="inlineStr">
        <is>
          <t>수동</t>
        </is>
      </c>
      <c r="U11" s="34" t="inlineStr">
        <is>
          <t>SCR-012</t>
        </is>
      </c>
      <c r="V11" s="34" t="inlineStr">
        <is>
          <t>FN-004</t>
        </is>
      </c>
      <c r="W11" s="34" t="inlineStr">
        <is>
          <t>API-009</t>
        </is>
      </c>
      <c r="X11" s="34" t="n"/>
      <c r="Y11" s="34" t="n"/>
      <c r="Z11" s="34" t="inlineStr">
        <is>
          <t>회원 등록</t>
        </is>
      </c>
      <c r="AA11" s="34" t="inlineStr">
        <is>
          <t>회원 등록</t>
        </is>
      </c>
      <c r="AB11" s="34" t="inlineStr">
        <is>
          <t>/api/v1/members</t>
        </is>
      </c>
      <c r="AC11" s="34" t="n"/>
    </row>
    <row r="12">
      <c r="A12" s="33" t="inlineStr">
        <is>
          <t>TC-011</t>
        </is>
      </c>
      <c r="B12" s="33" t="inlineStr">
        <is>
          <t>Web</t>
        </is>
      </c>
      <c r="C12" s="33" t="inlineStr">
        <is>
          <t>회원관리</t>
        </is>
      </c>
      <c r="D12" s="34" t="inlineStr">
        <is>
          <t>등록</t>
        </is>
      </c>
      <c r="E12" s="34" t="inlineStr">
        <is>
          <t>UI/UX 테스트</t>
        </is>
      </c>
      <c r="F12" s="34" t="inlineStr">
        <is>
          <t>필수 항목 유효성 검사</t>
        </is>
      </c>
      <c r="G12" s="34" t="inlineStr">
        <is>
          <t>회원 등록 폼 접속</t>
        </is>
      </c>
      <c r="H12" s="34" t="inlineStr">
        <is>
          <t>1) 아무것도 입력하지 않고 '저장' 클릭</t>
        </is>
      </c>
      <c r="I12" s="34" t="inlineStr">
        <is>
          <t>필수 항목(이름/성별/연락처)에 에러 메시지 표시, 저장 불가</t>
        </is>
      </c>
      <c r="J12" s="34" t="inlineStr">
        <is>
          <t>E2E 검증 완료: Supabase 실 데이터 연동, soft delete 필터, 검색/필터/정렬 정상</t>
        </is>
      </c>
      <c r="K12" s="34" t="inlineStr">
        <is>
          <t>통과</t>
        </is>
      </c>
      <c r="L12" s="34" t="inlineStr">
        <is>
          <t>High</t>
        </is>
      </c>
      <c r="M12" s="34" t="inlineStr">
        <is>
          <t>Major</t>
        </is>
      </c>
      <c r="N12" s="34" t="inlineStr">
        <is>
          <t>QA담당자1</t>
        </is>
      </c>
      <c r="O12" s="34" t="inlineStr">
        <is>
          <t>Staging</t>
        </is>
      </c>
      <c r="P12" s="34" t="inlineStr">
        <is>
          <t>Chrome</t>
        </is>
      </c>
      <c r="Q12" s="34" t="inlineStr">
        <is>
          <t>Desktop</t>
        </is>
      </c>
      <c r="R12" s="34" t="inlineStr">
        <is>
          <t>Windows 11</t>
        </is>
      </c>
      <c r="S12" s="34" t="inlineStr">
        <is>
          <t>1차</t>
        </is>
      </c>
      <c r="T12" s="34" t="inlineStr">
        <is>
          <t>수동</t>
        </is>
      </c>
      <c r="U12" s="34" t="inlineStr">
        <is>
          <t>SCR-012</t>
        </is>
      </c>
      <c r="V12" s="34" t="inlineStr">
        <is>
          <t>FN-004</t>
        </is>
      </c>
      <c r="W12" s="34" t="n"/>
      <c r="X12" s="34" t="n"/>
      <c r="Y12" s="34" t="n"/>
      <c r="Z12" s="34" t="inlineStr">
        <is>
          <t>회원 등록</t>
        </is>
      </c>
      <c r="AA12" s="34" t="inlineStr">
        <is>
          <t>회원 등록</t>
        </is>
      </c>
      <c r="AB12" s="34" t="inlineStr">
        <is>
          <t>/api/v1/members</t>
        </is>
      </c>
      <c r="AC12" s="34" t="n"/>
    </row>
    <row r="13">
      <c r="A13" s="33" t="inlineStr">
        <is>
          <t>TC-012</t>
        </is>
      </c>
      <c r="B13" s="33" t="inlineStr">
        <is>
          <t>Web</t>
        </is>
      </c>
      <c r="C13" s="33" t="inlineStr">
        <is>
          <t>회원관리</t>
        </is>
      </c>
      <c r="D13" s="34" t="inlineStr">
        <is>
          <t>상세</t>
        </is>
      </c>
      <c r="E13" s="34" t="inlineStr">
        <is>
          <t>기능 테스트</t>
        </is>
      </c>
      <c r="F13" s="34" t="inlineStr">
        <is>
          <t>회원 상세 탭 전환</t>
        </is>
      </c>
      <c r="G13" s="34" t="inlineStr">
        <is>
          <t>회원 데이터 존재</t>
        </is>
      </c>
      <c r="H13" s="34" t="inlineStr">
        <is>
          <t>1) 회원 상세 페이지 접속
2) 이용권 탭 클릭
3) 출석 탭 클릭
4) 결제 탭 클릭
5) 체성분 탭 클릭
6) 메모 탭 클릭</t>
        </is>
      </c>
      <c r="I13" s="34" t="inlineStr">
        <is>
          <t>각 탭별 데이터 정상 로드, URL 파라미터 유지</t>
        </is>
      </c>
      <c r="J13" s="34" t="inlineStr">
        <is>
          <t>E2E 검증 완료: Supabase 실 데이터 연동, soft delete 필터, 검색/필터/정렬 정상</t>
        </is>
      </c>
      <c r="K13" s="34" t="inlineStr">
        <is>
          <t>통과</t>
        </is>
      </c>
      <c r="L13" s="34" t="inlineStr">
        <is>
          <t>High</t>
        </is>
      </c>
      <c r="M13" s="34" t="inlineStr">
        <is>
          <t>Major</t>
        </is>
      </c>
      <c r="N13" s="34" t="inlineStr">
        <is>
          <t>QA담당자1</t>
        </is>
      </c>
      <c r="O13" s="34" t="inlineStr">
        <is>
          <t>Staging</t>
        </is>
      </c>
      <c r="P13" s="34" t="inlineStr">
        <is>
          <t>Chrome</t>
        </is>
      </c>
      <c r="Q13" s="34" t="inlineStr">
        <is>
          <t>Desktop</t>
        </is>
      </c>
      <c r="R13" s="34" t="inlineStr">
        <is>
          <t>Windows 11</t>
        </is>
      </c>
      <c r="S13" s="34" t="inlineStr">
        <is>
          <t>1차</t>
        </is>
      </c>
      <c r="T13" s="34" t="inlineStr">
        <is>
          <t>수동</t>
        </is>
      </c>
      <c r="U13" s="34" t="inlineStr">
        <is>
          <t>SCR-011</t>
        </is>
      </c>
      <c r="V13" s="34" t="inlineStr">
        <is>
          <t>FN-006</t>
        </is>
      </c>
      <c r="W13" s="34" t="inlineStr">
        <is>
          <t>API-008</t>
        </is>
      </c>
      <c r="X13" s="34" t="n"/>
      <c r="Y13" s="34" t="n"/>
      <c r="Z13" s="34" t="inlineStr">
        <is>
          <t>회원 상세</t>
        </is>
      </c>
      <c r="AA13" s="34" t="inlineStr">
        <is>
          <t>회원 상세 조회</t>
        </is>
      </c>
      <c r="AB13" s="34" t="inlineStr">
        <is>
          <t>/api/v1/members/:id</t>
        </is>
      </c>
      <c r="AC13" s="34" t="n"/>
    </row>
    <row r="14">
      <c r="A14" s="33" t="inlineStr">
        <is>
          <t>TC-013</t>
        </is>
      </c>
      <c r="B14" s="33" t="inlineStr">
        <is>
          <t>Web</t>
        </is>
      </c>
      <c r="C14" s="33" t="inlineStr">
        <is>
          <t>회원관리</t>
        </is>
      </c>
      <c r="D14" s="34" t="inlineStr">
        <is>
          <t>수정</t>
        </is>
      </c>
      <c r="E14" s="34" t="inlineStr">
        <is>
          <t>기능 테스트</t>
        </is>
      </c>
      <c r="F14" s="34" t="inlineStr">
        <is>
          <t>회원 정보 수정</t>
        </is>
      </c>
      <c r="G14" s="34" t="inlineStr">
        <is>
          <t>회원 데이터 존재</t>
        </is>
      </c>
      <c r="H14" s="34" t="inlineStr">
        <is>
          <t>1) 회원 상세 → '수정' 클릭
2) 이름 변경
3) '저장' 클릭</t>
        </is>
      </c>
      <c r="I14" s="34" t="inlineStr">
        <is>
          <t>수정 성공, 변경 이력 기록, 상세 페이지로 이동</t>
        </is>
      </c>
      <c r="J14" s="34" t="inlineStr">
        <is>
          <t>E2E 검증 완료: Supabase 실 데이터 연동, soft delete 필터, 검색/필터/정렬 정상</t>
        </is>
      </c>
      <c r="K14" s="34" t="inlineStr">
        <is>
          <t>통과</t>
        </is>
      </c>
      <c r="L14" s="34" t="inlineStr">
        <is>
          <t>High</t>
        </is>
      </c>
      <c r="M14" s="34" t="inlineStr">
        <is>
          <t>Major</t>
        </is>
      </c>
      <c r="N14" s="34" t="inlineStr">
        <is>
          <t>QA담당자1</t>
        </is>
      </c>
      <c r="O14" s="34" t="inlineStr">
        <is>
          <t>Staging</t>
        </is>
      </c>
      <c r="P14" s="34" t="inlineStr">
        <is>
          <t>Chrome</t>
        </is>
      </c>
      <c r="Q14" s="34" t="inlineStr">
        <is>
          <t>Desktop</t>
        </is>
      </c>
      <c r="R14" s="34" t="inlineStr">
        <is>
          <t>Windows 11</t>
        </is>
      </c>
      <c r="S14" s="34" t="inlineStr">
        <is>
          <t>1차</t>
        </is>
      </c>
      <c r="T14" s="34" t="inlineStr">
        <is>
          <t>수동</t>
        </is>
      </c>
      <c r="U14" s="34" t="inlineStr">
        <is>
          <t>SCR-013</t>
        </is>
      </c>
      <c r="V14" s="34" t="inlineStr">
        <is>
          <t>FN-005</t>
        </is>
      </c>
      <c r="W14" s="34" t="inlineStr">
        <is>
          <t>API-010</t>
        </is>
      </c>
      <c r="X14" s="34" t="n"/>
      <c r="Y14" s="34" t="n"/>
      <c r="Z14" s="34" t="inlineStr">
        <is>
          <t>회원 수정</t>
        </is>
      </c>
      <c r="AA14" s="34" t="inlineStr">
        <is>
          <t>회원 정보 수정</t>
        </is>
      </c>
      <c r="AB14" s="34" t="inlineStr">
        <is>
          <t>/api/v1/members/:id</t>
        </is>
      </c>
      <c r="AC14" s="34" t="n"/>
    </row>
    <row r="15">
      <c r="A15" s="33" t="inlineStr">
        <is>
          <t>TC-014</t>
        </is>
      </c>
      <c r="B15" s="33" t="inlineStr">
        <is>
          <t>Web</t>
        </is>
      </c>
      <c r="C15" s="33" t="inlineStr">
        <is>
          <t>매출관리</t>
        </is>
      </c>
      <c r="D15" s="34" t="inlineStr">
        <is>
          <t>조회</t>
        </is>
      </c>
      <c r="E15" s="34" t="inlineStr">
        <is>
          <t>기능 테스트</t>
        </is>
      </c>
      <c r="F15" s="34" t="inlineStr">
        <is>
          <t>매출 기간 필터 조회</t>
        </is>
      </c>
      <c r="G15" s="34" t="inlineStr">
        <is>
          <t>매출 데이터 존재</t>
        </is>
      </c>
      <c r="H15" s="34" t="inlineStr">
        <is>
          <t>1) 매출 조회 페이지 접속
2) 시작일/종료일 선택
3) 결과 확인</t>
        </is>
      </c>
      <c r="I15" s="34" t="inlineStr">
        <is>
          <t>선택 기간의 매출만 표시, 통계 카드 갱신</t>
        </is>
      </c>
      <c r="J15" s="34" t="inlineStr">
        <is>
          <t>E2E 검증 완료 (2026-03-12)</t>
        </is>
      </c>
      <c r="K15" s="34" t="inlineStr">
        <is>
          <t>통과</t>
        </is>
      </c>
      <c r="L15" s="34" t="inlineStr">
        <is>
          <t>Critical</t>
        </is>
      </c>
      <c r="M15" s="34" t="inlineStr">
        <is>
          <t>Critical</t>
        </is>
      </c>
      <c r="N15" s="34" t="inlineStr">
        <is>
          <t>QA담당자1</t>
        </is>
      </c>
      <c r="O15" s="34" t="inlineStr">
        <is>
          <t>Staging</t>
        </is>
      </c>
      <c r="P15" s="34" t="inlineStr">
        <is>
          <t>Chrome</t>
        </is>
      </c>
      <c r="Q15" s="34" t="inlineStr">
        <is>
          <t>Desktop</t>
        </is>
      </c>
      <c r="R15" s="34" t="inlineStr">
        <is>
          <t>Windows 11</t>
        </is>
      </c>
      <c r="S15" s="34" t="inlineStr">
        <is>
          <t>1차</t>
        </is>
      </c>
      <c r="T15" s="34" t="inlineStr">
        <is>
          <t>자동화 예정</t>
        </is>
      </c>
      <c r="U15" s="34" t="inlineStr">
        <is>
          <t>SCR-030</t>
        </is>
      </c>
      <c r="V15" s="34" t="inlineStr">
        <is>
          <t>FN-010</t>
        </is>
      </c>
      <c r="W15" s="34" t="inlineStr">
        <is>
          <t>API-015</t>
        </is>
      </c>
      <c r="X15" s="34" t="n"/>
      <c r="Y15" s="34" t="n"/>
      <c r="Z15" s="34" t="inlineStr">
        <is>
          <t>매출 조회</t>
        </is>
      </c>
      <c r="AA15" s="34" t="inlineStr">
        <is>
          <t>매출 조회/통계</t>
        </is>
      </c>
      <c r="AB15" s="34" t="inlineStr">
        <is>
          <t>/api/v1/sales</t>
        </is>
      </c>
      <c r="AC15" s="34" t="n"/>
    </row>
    <row r="16">
      <c r="A16" s="33" t="inlineStr">
        <is>
          <t>TC-015</t>
        </is>
      </c>
      <c r="B16" s="33" t="inlineStr">
        <is>
          <t>Web</t>
        </is>
      </c>
      <c r="C16" s="33" t="inlineStr">
        <is>
          <t>매출관리</t>
        </is>
      </c>
      <c r="D16" s="34" t="inlineStr">
        <is>
          <t>조회</t>
        </is>
      </c>
      <c r="E16" s="34" t="inlineStr">
        <is>
          <t>기능 테스트</t>
        </is>
      </c>
      <c r="F16" s="34" t="inlineStr">
        <is>
          <t>매출 엑셀 다운로드</t>
        </is>
      </c>
      <c r="G16" s="34" t="inlineStr">
        <is>
          <t>매출 데이터 존재</t>
        </is>
      </c>
      <c r="H16" s="34" t="inlineStr">
        <is>
          <t>1) 매출 조회
2) '엑셀 다운로드' 클릭</t>
        </is>
      </c>
      <c r="I16" s="34" t="inlineStr">
        <is>
          <t>xlsx 파일 다운로드, 현재 필터 결과와 동일한 데이터</t>
        </is>
      </c>
      <c r="J16" s="34" t="inlineStr">
        <is>
          <t>E2E 검증 완료 (2026-03-12)</t>
        </is>
      </c>
      <c r="K16" s="34" t="inlineStr">
        <is>
          <t>통과</t>
        </is>
      </c>
      <c r="L16" s="34" t="inlineStr">
        <is>
          <t>High</t>
        </is>
      </c>
      <c r="M16" s="34" t="inlineStr">
        <is>
          <t>Major</t>
        </is>
      </c>
      <c r="N16" s="34" t="inlineStr">
        <is>
          <t>QA담당자1</t>
        </is>
      </c>
      <c r="O16" s="34" t="inlineStr">
        <is>
          <t>Staging</t>
        </is>
      </c>
      <c r="P16" s="34" t="inlineStr">
        <is>
          <t>Chrome</t>
        </is>
      </c>
      <c r="Q16" s="34" t="inlineStr">
        <is>
          <t>Desktop</t>
        </is>
      </c>
      <c r="R16" s="34" t="inlineStr">
        <is>
          <t>Windows 11</t>
        </is>
      </c>
      <c r="S16" s="34" t="inlineStr">
        <is>
          <t>1차</t>
        </is>
      </c>
      <c r="T16" s="34" t="inlineStr">
        <is>
          <t>수동</t>
        </is>
      </c>
      <c r="U16" s="34" t="inlineStr">
        <is>
          <t>SCR-030</t>
        </is>
      </c>
      <c r="V16" s="34" t="inlineStr">
        <is>
          <t>FN-010</t>
        </is>
      </c>
      <c r="W16" s="34" t="inlineStr">
        <is>
          <t>API-015</t>
        </is>
      </c>
      <c r="X16" s="34" t="n"/>
      <c r="Y16" s="34" t="n"/>
      <c r="Z16" s="34" t="inlineStr">
        <is>
          <t>매출 조회</t>
        </is>
      </c>
      <c r="AA16" s="34" t="inlineStr">
        <is>
          <t>매출 조회/통계</t>
        </is>
      </c>
      <c r="AB16" s="34" t="inlineStr">
        <is>
          <t>/api/v1/sales</t>
        </is>
      </c>
      <c r="AC16" s="34" t="n"/>
    </row>
    <row r="17">
      <c r="A17" s="33" t="inlineStr">
        <is>
          <t>TC-016</t>
        </is>
      </c>
      <c r="B17" s="33" t="inlineStr">
        <is>
          <t>Web</t>
        </is>
      </c>
      <c r="C17" s="33" t="inlineStr">
        <is>
          <t>매출관리</t>
        </is>
      </c>
      <c r="D17" s="34" t="inlineStr">
        <is>
          <t>POS</t>
        </is>
      </c>
      <c r="E17" s="34" t="inlineStr">
        <is>
          <t>기능 테스트</t>
        </is>
      </c>
      <c r="F17" s="34" t="inlineStr">
        <is>
          <t>POS 상품 선택 및 장바구니</t>
        </is>
      </c>
      <c r="G17" s="34" t="inlineStr">
        <is>
          <t>상품 데이터 존재</t>
        </is>
      </c>
      <c r="H17" s="34" t="inlineStr">
        <is>
          <t>1) POS 페이지 접속
2) 카테고리 선택
3) 상품 클릭 (장바구니 추가)
4) 수량 변경
5) 합계 확인</t>
        </is>
      </c>
      <c r="I17" s="34" t="inlineStr">
        <is>
          <t>장바구니에 상품 추가, 수량 반영, 합계 자동 계산</t>
        </is>
      </c>
      <c r="J17" s="34" t="inlineStr">
        <is>
          <t>E2E 검증 완료 (2026-03-12)</t>
        </is>
      </c>
      <c r="K17" s="34" t="inlineStr">
        <is>
          <t>통과</t>
        </is>
      </c>
      <c r="L17" s="34" t="inlineStr">
        <is>
          <t>Critical</t>
        </is>
      </c>
      <c r="M17" s="34" t="inlineStr">
        <is>
          <t>Critical</t>
        </is>
      </c>
      <c r="N17" s="34" t="inlineStr">
        <is>
          <t>QA담당자1</t>
        </is>
      </c>
      <c r="O17" s="34" t="inlineStr">
        <is>
          <t>Staging</t>
        </is>
      </c>
      <c r="P17" s="34" t="inlineStr">
        <is>
          <t>Chrome</t>
        </is>
      </c>
      <c r="Q17" s="34" t="inlineStr">
        <is>
          <t>Desktop</t>
        </is>
      </c>
      <c r="R17" s="34" t="inlineStr">
        <is>
          <t>Windows 11</t>
        </is>
      </c>
      <c r="S17" s="34" t="inlineStr">
        <is>
          <t>1차</t>
        </is>
      </c>
      <c r="T17" s="34" t="inlineStr">
        <is>
          <t>수동</t>
        </is>
      </c>
      <c r="U17" s="34" t="inlineStr">
        <is>
          <t>SCR-031</t>
        </is>
      </c>
      <c r="V17" s="34" t="inlineStr">
        <is>
          <t>FN-011</t>
        </is>
      </c>
      <c r="W17" s="34" t="inlineStr">
        <is>
          <t>API-018</t>
        </is>
      </c>
      <c r="X17" s="34" t="n"/>
      <c r="Y17" s="34" t="n"/>
      <c r="Z17" s="34" t="inlineStr">
        <is>
          <t>POS</t>
        </is>
      </c>
      <c r="AA17" s="34" t="inlineStr">
        <is>
          <t>POS 상품 선택/결제</t>
        </is>
      </c>
      <c r="AB17" s="34" t="inlineStr">
        <is>
          <t>/api/v1/products</t>
        </is>
      </c>
      <c r="AC17" s="34" t="n"/>
    </row>
    <row r="18">
      <c r="A18" s="33" t="inlineStr">
        <is>
          <t>TC-017</t>
        </is>
      </c>
      <c r="B18" s="33" t="inlineStr">
        <is>
          <t>Web</t>
        </is>
      </c>
      <c r="C18" s="33" t="inlineStr">
        <is>
          <t>매출관리</t>
        </is>
      </c>
      <c r="D18" s="34" t="inlineStr">
        <is>
          <t>POS</t>
        </is>
      </c>
      <c r="E18" s="34" t="inlineStr">
        <is>
          <t>기능 테스트</t>
        </is>
      </c>
      <c r="F18" s="34" t="inlineStr">
        <is>
          <t>POS 카드 결제 처리</t>
        </is>
      </c>
      <c r="G18" s="34" t="inlineStr">
        <is>
          <t>장바구니에 상품 존재</t>
        </is>
      </c>
      <c r="H18" s="34" t="inlineStr">
        <is>
          <t>1) '결제' 버튼 클릭
2) 회원 검색/선택
3) 결제수단: 카드 선택
4) '결제 확인' 클릭</t>
        </is>
      </c>
      <c r="I18" s="34" t="inlineStr">
        <is>
          <t>결제 성공, 매출 등록, 영수증 표시</t>
        </is>
      </c>
      <c r="J18" s="34" t="inlineStr">
        <is>
          <t>E2E 검증 완료 (2026-03-12)</t>
        </is>
      </c>
      <c r="K18" s="34" t="inlineStr">
        <is>
          <t>통과</t>
        </is>
      </c>
      <c r="L18" s="34" t="inlineStr">
        <is>
          <t>Critical</t>
        </is>
      </c>
      <c r="M18" s="34" t="inlineStr">
        <is>
          <t>Blocker</t>
        </is>
      </c>
      <c r="N18" s="34" t="inlineStr">
        <is>
          <t>QA담당자1</t>
        </is>
      </c>
      <c r="O18" s="34" t="inlineStr">
        <is>
          <t>Staging</t>
        </is>
      </c>
      <c r="P18" s="34" t="inlineStr">
        <is>
          <t>Chrome</t>
        </is>
      </c>
      <c r="Q18" s="34" t="inlineStr">
        <is>
          <t>Desktop</t>
        </is>
      </c>
      <c r="R18" s="34" t="inlineStr">
        <is>
          <t>Windows 11</t>
        </is>
      </c>
      <c r="S18" s="34" t="inlineStr">
        <is>
          <t>1차</t>
        </is>
      </c>
      <c r="T18" s="34" t="inlineStr">
        <is>
          <t>수동</t>
        </is>
      </c>
      <c r="U18" s="34" t="inlineStr">
        <is>
          <t>SCR-032</t>
        </is>
      </c>
      <c r="V18" s="34" t="inlineStr">
        <is>
          <t>FN-012</t>
        </is>
      </c>
      <c r="W18" s="34" t="inlineStr">
        <is>
          <t>API-016</t>
        </is>
      </c>
      <c r="X18" s="34" t="n"/>
      <c r="Y18" s="34" t="n"/>
      <c r="Z18" s="34" t="inlineStr">
        <is>
          <t>POS 결제</t>
        </is>
      </c>
      <c r="AA18" s="34" t="inlineStr">
        <is>
          <t>POS 결제 처리</t>
        </is>
      </c>
      <c r="AB18" s="34" t="inlineStr">
        <is>
          <t>/api/v1/sales</t>
        </is>
      </c>
      <c r="AC18" s="34" t="n"/>
    </row>
    <row r="19">
      <c r="A19" s="33" t="inlineStr">
        <is>
          <t>TC-018</t>
        </is>
      </c>
      <c r="B19" s="33" t="inlineStr">
        <is>
          <t>Web</t>
        </is>
      </c>
      <c r="C19" s="33" t="inlineStr">
        <is>
          <t>매출관리</t>
        </is>
      </c>
      <c r="D19" s="34" t="inlineStr">
        <is>
          <t>POS</t>
        </is>
      </c>
      <c r="E19" s="34" t="inlineStr">
        <is>
          <t>기능 테스트</t>
        </is>
      </c>
      <c r="F19" s="34" t="inlineStr">
        <is>
          <t>POS 복합결제 (현금+카드)</t>
        </is>
      </c>
      <c r="G19" s="34" t="inlineStr">
        <is>
          <t>장바구니에 상품 존재</t>
        </is>
      </c>
      <c r="H19" s="34" t="inlineStr">
        <is>
          <t>1) 결제수단: 복합 선택
2) 현금 금액 입력
3) 나머지 카드 자동 계산
4) '결제 확인'</t>
        </is>
      </c>
      <c r="I19" s="34" t="inlineStr">
        <is>
          <t>복합결제 성공, 현금/카드 금액 정확히 분리 기록</t>
        </is>
      </c>
      <c r="J19" s="34" t="inlineStr">
        <is>
          <t>E2E 검증 완료 (2026-03-12)</t>
        </is>
      </c>
      <c r="K19" s="34" t="inlineStr">
        <is>
          <t>통과</t>
        </is>
      </c>
      <c r="L19" s="34" t="inlineStr">
        <is>
          <t>High</t>
        </is>
      </c>
      <c r="M19" s="34" t="inlineStr">
        <is>
          <t>Critical</t>
        </is>
      </c>
      <c r="N19" s="34" t="inlineStr">
        <is>
          <t>QA담당자1</t>
        </is>
      </c>
      <c r="O19" s="34" t="inlineStr">
        <is>
          <t>Staging</t>
        </is>
      </c>
      <c r="P19" s="34" t="inlineStr">
        <is>
          <t>Chrome</t>
        </is>
      </c>
      <c r="Q19" s="34" t="inlineStr">
        <is>
          <t>Desktop</t>
        </is>
      </c>
      <c r="R19" s="34" t="inlineStr">
        <is>
          <t>Windows 11</t>
        </is>
      </c>
      <c r="S19" s="34" t="inlineStr">
        <is>
          <t>1차</t>
        </is>
      </c>
      <c r="T19" s="34" t="inlineStr">
        <is>
          <t>수동</t>
        </is>
      </c>
      <c r="U19" s="34" t="inlineStr">
        <is>
          <t>SCR-032</t>
        </is>
      </c>
      <c r="V19" s="34" t="inlineStr">
        <is>
          <t>FN-012</t>
        </is>
      </c>
      <c r="W19" s="34" t="inlineStr">
        <is>
          <t>API-016</t>
        </is>
      </c>
      <c r="X19" s="34" t="n"/>
      <c r="Y19" s="34" t="n"/>
      <c r="Z19" s="34" t="inlineStr">
        <is>
          <t>POS 결제</t>
        </is>
      </c>
      <c r="AA19" s="34" t="inlineStr">
        <is>
          <t>POS 결제 처리</t>
        </is>
      </c>
      <c r="AB19" s="34" t="inlineStr">
        <is>
          <t>/api/v1/sales</t>
        </is>
      </c>
      <c r="AC19" s="34" t="n"/>
    </row>
    <row r="20">
      <c r="A20" s="33" t="inlineStr">
        <is>
          <t>TC-019</t>
        </is>
      </c>
      <c r="B20" s="33" t="inlineStr">
        <is>
          <t>Web</t>
        </is>
      </c>
      <c r="C20" s="33" t="inlineStr">
        <is>
          <t>상품관리</t>
        </is>
      </c>
      <c r="D20" s="34" t="inlineStr">
        <is>
          <t>등록</t>
        </is>
      </c>
      <c r="E20" s="34" t="inlineStr">
        <is>
          <t>기능 테스트</t>
        </is>
      </c>
      <c r="F20" s="34" t="inlineStr">
        <is>
          <t>신규 상품 등록</t>
        </is>
      </c>
      <c r="G20" s="34" t="inlineStr">
        <is>
          <t>센터장 이상 권한</t>
        </is>
      </c>
      <c r="H20" s="34" t="inlineStr">
        <is>
          <t>1) 상품등록 페이지 접속
2) 카테고리: 이용권
3) 이름: 3개월 이용권
4) 현금가: 280000
5) 카드가: 300000
6) '저장'</t>
        </is>
      </c>
      <c r="I20" s="34" t="inlineStr">
        <is>
          <t>상품 등록 성공, 목록에 표시</t>
        </is>
      </c>
      <c r="J20" s="34" t="inlineStr">
        <is>
          <t>E2E 검증 완료 (2026-03-12)</t>
        </is>
      </c>
      <c r="K20" s="34" t="inlineStr">
        <is>
          <t>통과</t>
        </is>
      </c>
      <c r="L20" s="34" t="inlineStr">
        <is>
          <t>High</t>
        </is>
      </c>
      <c r="M20" s="34" t="inlineStr">
        <is>
          <t>Major</t>
        </is>
      </c>
      <c r="N20" s="34" t="inlineStr">
        <is>
          <t>QA담당자1</t>
        </is>
      </c>
      <c r="O20" s="34" t="inlineStr">
        <is>
          <t>Staging</t>
        </is>
      </c>
      <c r="P20" s="34" t="inlineStr">
        <is>
          <t>Chrome</t>
        </is>
      </c>
      <c r="Q20" s="34" t="inlineStr">
        <is>
          <t>Desktop</t>
        </is>
      </c>
      <c r="R20" s="34" t="inlineStr">
        <is>
          <t>Windows 11</t>
        </is>
      </c>
      <c r="S20" s="34" t="inlineStr">
        <is>
          <t>1차</t>
        </is>
      </c>
      <c r="T20" s="34" t="inlineStr">
        <is>
          <t>수동</t>
        </is>
      </c>
      <c r="U20" s="34" t="inlineStr">
        <is>
          <t>SCR-041</t>
        </is>
      </c>
      <c r="V20" s="34" t="inlineStr">
        <is>
          <t>FN-014</t>
        </is>
      </c>
      <c r="W20" s="34" t="inlineStr">
        <is>
          <t>API-019</t>
        </is>
      </c>
      <c r="X20" s="34" t="n"/>
      <c r="Y20" s="34" t="n"/>
      <c r="Z20" s="34" t="inlineStr">
        <is>
          <t>상품 등록</t>
        </is>
      </c>
      <c r="AA20" s="34" t="inlineStr">
        <is>
          <t>상품 등록/수정</t>
        </is>
      </c>
      <c r="AB20" s="34" t="inlineStr">
        <is>
          <t>/api/v1/products</t>
        </is>
      </c>
      <c r="AC20" s="34" t="n"/>
    </row>
    <row r="21">
      <c r="A21" s="33" t="inlineStr">
        <is>
          <t>TC-020</t>
        </is>
      </c>
      <c r="B21" s="33" t="inlineStr">
        <is>
          <t>Web</t>
        </is>
      </c>
      <c r="C21" s="33" t="inlineStr">
        <is>
          <t>시설관리</t>
        </is>
      </c>
      <c r="D21" s="34" t="inlineStr">
        <is>
          <t>락커</t>
        </is>
      </c>
      <c r="E21" s="34" t="inlineStr">
        <is>
          <t>기능 테스트</t>
        </is>
      </c>
      <c r="F21" s="34" t="inlineStr">
        <is>
          <t>락커 현황 그리드 표시</t>
        </is>
      </c>
      <c r="G21" s="34" t="inlineStr">
        <is>
          <t>락커 데이터 존재</t>
        </is>
      </c>
      <c r="H21" s="34" t="inlineStr">
        <is>
          <t>1) 락커 현황 페이지 접속
2) 구역 탭 선택
3) 그리드 색상 확인</t>
        </is>
      </c>
      <c r="I21" s="34" t="inlineStr">
        <is>
          <t>구역별 락커 그리드 표시, 상태별 색상 구분 정확</t>
        </is>
      </c>
      <c r="J21" s="34" t="inlineStr">
        <is>
          <t>E2E 검증 완료 (2026-03-12)</t>
        </is>
      </c>
      <c r="K21" s="34" t="inlineStr">
        <is>
          <t>통과</t>
        </is>
      </c>
      <c r="L21" s="34" t="inlineStr">
        <is>
          <t>High</t>
        </is>
      </c>
      <c r="M21" s="34" t="inlineStr">
        <is>
          <t>Major</t>
        </is>
      </c>
      <c r="N21" s="34" t="inlineStr">
        <is>
          <t>QA담당자2</t>
        </is>
      </c>
      <c r="O21" s="34" t="inlineStr">
        <is>
          <t>Staging</t>
        </is>
      </c>
      <c r="P21" s="34" t="inlineStr">
        <is>
          <t>Chrome</t>
        </is>
      </c>
      <c r="Q21" s="34" t="inlineStr">
        <is>
          <t>Desktop</t>
        </is>
      </c>
      <c r="R21" s="34" t="inlineStr">
        <is>
          <t>Windows 11</t>
        </is>
      </c>
      <c r="S21" s="34" t="inlineStr">
        <is>
          <t>1차</t>
        </is>
      </c>
      <c r="T21" s="34" t="inlineStr">
        <is>
          <t>수동</t>
        </is>
      </c>
      <c r="U21" s="34" t="inlineStr">
        <is>
          <t>SCR-050</t>
        </is>
      </c>
      <c r="V21" s="34" t="inlineStr">
        <is>
          <t>FN-015</t>
        </is>
      </c>
      <c r="W21" s="34" t="inlineStr">
        <is>
          <t>API-020</t>
        </is>
      </c>
      <c r="X21" s="34" t="n"/>
      <c r="Y21" s="34" t="n"/>
      <c r="Z21" s="34" t="inlineStr">
        <is>
          <t>락커 현황</t>
        </is>
      </c>
      <c r="AA21" s="34" t="inlineStr">
        <is>
          <t>락커 현황 조회</t>
        </is>
      </c>
      <c r="AB21" s="34" t="inlineStr">
        <is>
          <t>/api/v1/lockers</t>
        </is>
      </c>
      <c r="AC21" s="34" t="n"/>
    </row>
    <row r="22">
      <c r="A22" s="33" t="inlineStr">
        <is>
          <t>TC-021</t>
        </is>
      </c>
      <c r="B22" s="33" t="inlineStr">
        <is>
          <t>Web</t>
        </is>
      </c>
      <c r="C22" s="33" t="inlineStr">
        <is>
          <t>시설관리</t>
        </is>
      </c>
      <c r="D22" s="34" t="inlineStr">
        <is>
          <t>락커</t>
        </is>
      </c>
      <c r="E22" s="34" t="inlineStr">
        <is>
          <t>기능 테스트</t>
        </is>
      </c>
      <c r="F22" s="34" t="inlineStr">
        <is>
          <t>락커 배정</t>
        </is>
      </c>
      <c r="G22" s="34" t="inlineStr">
        <is>
          <t>빈 락커 존재, 회원 존재</t>
        </is>
      </c>
      <c r="H22" s="34" t="inlineStr">
        <is>
          <t>1) 락커 관리 접속
2) 회원 검색/선택
3) 빈 락커 클릭
4) 만료일 설정
5) '배정' 클릭</t>
        </is>
      </c>
      <c r="I22" s="34" t="inlineStr">
        <is>
          <t>락커 배정 성공, 상태 '사용중'으로 변경</t>
        </is>
      </c>
      <c r="J22" s="34" t="inlineStr">
        <is>
          <t>E2E 검증 완료 (2026-03-12)</t>
        </is>
      </c>
      <c r="K22" s="34" t="inlineStr">
        <is>
          <t>통과</t>
        </is>
      </c>
      <c r="L22" s="34" t="inlineStr">
        <is>
          <t>High</t>
        </is>
      </c>
      <c r="M22" s="34" t="inlineStr">
        <is>
          <t>Major</t>
        </is>
      </c>
      <c r="N22" s="34" t="inlineStr">
        <is>
          <t>QA담당자2</t>
        </is>
      </c>
      <c r="O22" s="34" t="inlineStr">
        <is>
          <t>Staging</t>
        </is>
      </c>
      <c r="P22" s="34" t="inlineStr">
        <is>
          <t>Chrome</t>
        </is>
      </c>
      <c r="Q22" s="34" t="inlineStr">
        <is>
          <t>Desktop</t>
        </is>
      </c>
      <c r="R22" s="34" t="inlineStr">
        <is>
          <t>Windows 11</t>
        </is>
      </c>
      <c r="S22" s="34" t="inlineStr">
        <is>
          <t>1차</t>
        </is>
      </c>
      <c r="T22" s="34" t="inlineStr">
        <is>
          <t>수동</t>
        </is>
      </c>
      <c r="U22" s="34" t="inlineStr">
        <is>
          <t>SCR-051</t>
        </is>
      </c>
      <c r="V22" s="34" t="inlineStr">
        <is>
          <t>FN-016</t>
        </is>
      </c>
      <c r="W22" s="34" t="inlineStr">
        <is>
          <t>API-021</t>
        </is>
      </c>
      <c r="X22" s="34" t="n"/>
      <c r="Y22" s="34" t="n"/>
      <c r="Z22" s="34" t="inlineStr">
        <is>
          <t>락커 관리</t>
        </is>
      </c>
      <c r="AA22" s="34" t="inlineStr">
        <is>
          <t>락커 배정/관리</t>
        </is>
      </c>
      <c r="AB22" s="34" t="inlineStr">
        <is>
          <t>/api/v1/lockers/:id</t>
        </is>
      </c>
      <c r="AC22" s="34" t="n"/>
    </row>
    <row r="23">
      <c r="A23" s="33" t="inlineStr">
        <is>
          <t>TC-022</t>
        </is>
      </c>
      <c r="B23" s="33" t="inlineStr">
        <is>
          <t>Web</t>
        </is>
      </c>
      <c r="C23" s="33" t="inlineStr">
        <is>
          <t>직원관리</t>
        </is>
      </c>
      <c r="D23" s="34" t="inlineStr">
        <is>
          <t>목록</t>
        </is>
      </c>
      <c r="E23" s="34" t="inlineStr">
        <is>
          <t>기능 테스트</t>
        </is>
      </c>
      <c r="F23" s="34" t="inlineStr">
        <is>
          <t>직원 목록 조회</t>
        </is>
      </c>
      <c r="G23" s="34" t="inlineStr">
        <is>
          <t>직원 데이터 존재, 센터장 권한</t>
        </is>
      </c>
      <c r="H23" s="34" t="inlineStr">
        <is>
          <t>1) 직원 목록 접속
2) 역할 필터 선택
3) 결과 확인</t>
        </is>
      </c>
      <c r="I23" s="34" t="inlineStr">
        <is>
          <t>필터에 맞는 직원만 표시</t>
        </is>
      </c>
      <c r="J23" s="34" t="inlineStr">
        <is>
          <t>E2E 검증 완료 (2026-03-12)</t>
        </is>
      </c>
      <c r="K23" s="34" t="inlineStr">
        <is>
          <t>통과</t>
        </is>
      </c>
      <c r="L23" s="34" t="inlineStr">
        <is>
          <t>High</t>
        </is>
      </c>
      <c r="M23" s="34" t="inlineStr">
        <is>
          <t>Major</t>
        </is>
      </c>
      <c r="N23" s="34" t="inlineStr">
        <is>
          <t>QA담당자2</t>
        </is>
      </c>
      <c r="O23" s="34" t="inlineStr">
        <is>
          <t>Staging</t>
        </is>
      </c>
      <c r="P23" s="34" t="inlineStr">
        <is>
          <t>Chrome</t>
        </is>
      </c>
      <c r="Q23" s="34" t="inlineStr">
        <is>
          <t>Desktop</t>
        </is>
      </c>
      <c r="R23" s="34" t="inlineStr">
        <is>
          <t>Windows 11</t>
        </is>
      </c>
      <c r="S23" s="34" t="inlineStr">
        <is>
          <t>1차</t>
        </is>
      </c>
      <c r="T23" s="34" t="inlineStr">
        <is>
          <t>수동</t>
        </is>
      </c>
      <c r="U23" s="34" t="inlineStr">
        <is>
          <t>SCR-060</t>
        </is>
      </c>
      <c r="V23" s="34" t="inlineStr">
        <is>
          <t>FN-019</t>
        </is>
      </c>
      <c r="W23" s="34" t="inlineStr">
        <is>
          <t>API-022</t>
        </is>
      </c>
      <c r="X23" s="34" t="n"/>
      <c r="Y23" s="34" t="n"/>
      <c r="Z23" s="34" t="inlineStr">
        <is>
          <t>직원 목록</t>
        </is>
      </c>
      <c r="AA23" s="34" t="inlineStr">
        <is>
          <t>직원 목록 조회</t>
        </is>
      </c>
      <c r="AB23" s="34" t="inlineStr">
        <is>
          <t>/api/v1/staff</t>
        </is>
      </c>
      <c r="AC23" s="34" t="n"/>
    </row>
    <row r="24">
      <c r="A24" s="33" t="inlineStr">
        <is>
          <t>TC-023</t>
        </is>
      </c>
      <c r="B24" s="33" t="inlineStr">
        <is>
          <t>Web</t>
        </is>
      </c>
      <c r="C24" s="33" t="inlineStr">
        <is>
          <t>직원관리</t>
        </is>
      </c>
      <c r="D24" s="34" t="inlineStr">
        <is>
          <t>등록</t>
        </is>
      </c>
      <c r="E24" s="34" t="inlineStr">
        <is>
          <t>기능 테스트</t>
        </is>
      </c>
      <c r="F24" s="34" t="inlineStr">
        <is>
          <t>신규 직원 등록</t>
        </is>
      </c>
      <c r="G24" s="34" t="inlineStr">
        <is>
          <t>센터장 권한</t>
        </is>
      </c>
      <c r="H24" s="34" t="inlineStr">
        <is>
          <t>1) 직원등록 접속
2) 이름/역할/연락처/입사일 입력
3) '저장'</t>
        </is>
      </c>
      <c r="I24" s="34" t="inlineStr">
        <is>
          <t>직원 등록 성공, 관리자 계정 자동 생성</t>
        </is>
      </c>
      <c r="J24" s="34" t="inlineStr">
        <is>
          <t>E2E 검증 완료 (2026-03-12)</t>
        </is>
      </c>
      <c r="K24" s="34" t="inlineStr">
        <is>
          <t>통과</t>
        </is>
      </c>
      <c r="L24" s="34" t="inlineStr">
        <is>
          <t>High</t>
        </is>
      </c>
      <c r="M24" s="34" t="inlineStr">
        <is>
          <t>Major</t>
        </is>
      </c>
      <c r="N24" s="34" t="inlineStr">
        <is>
          <t>QA담당자2</t>
        </is>
      </c>
      <c r="O24" s="34" t="inlineStr">
        <is>
          <t>Staging</t>
        </is>
      </c>
      <c r="P24" s="34" t="inlineStr">
        <is>
          <t>Chrome</t>
        </is>
      </c>
      <c r="Q24" s="34" t="inlineStr">
        <is>
          <t>Desktop</t>
        </is>
      </c>
      <c r="R24" s="34" t="inlineStr">
        <is>
          <t>Windows 11</t>
        </is>
      </c>
      <c r="S24" s="34" t="inlineStr">
        <is>
          <t>1차</t>
        </is>
      </c>
      <c r="T24" s="34" t="inlineStr">
        <is>
          <t>수동</t>
        </is>
      </c>
      <c r="U24" s="34" t="inlineStr">
        <is>
          <t>SCR-061</t>
        </is>
      </c>
      <c r="V24" s="34" t="inlineStr">
        <is>
          <t>FN-020</t>
        </is>
      </c>
      <c r="W24" s="34" t="inlineStr">
        <is>
          <t>API-023</t>
        </is>
      </c>
      <c r="X24" s="34" t="n"/>
      <c r="Y24" s="34" t="n"/>
      <c r="Z24" s="34" t="inlineStr">
        <is>
          <t>직원 등록</t>
        </is>
      </c>
      <c r="AA24" s="34" t="inlineStr">
        <is>
          <t>직원 등록/수정</t>
        </is>
      </c>
      <c r="AB24" s="34" t="inlineStr">
        <is>
          <t>/api/v1/staff</t>
        </is>
      </c>
      <c r="AC24" s="34" t="n"/>
    </row>
    <row r="25">
      <c r="A25" s="33" t="inlineStr">
        <is>
          <t>TC-024</t>
        </is>
      </c>
      <c r="B25" s="33" t="inlineStr">
        <is>
          <t>Web</t>
        </is>
      </c>
      <c r="C25" s="33" t="inlineStr">
        <is>
          <t>메시지/마케팅</t>
        </is>
      </c>
      <c r="D25" s="34" t="inlineStr">
        <is>
          <t>발송</t>
        </is>
      </c>
      <c r="E25" s="34" t="inlineStr">
        <is>
          <t>기능 테스트</t>
        </is>
      </c>
      <c r="F25" s="34" t="inlineStr">
        <is>
          <t>SMS 메시지 발송</t>
        </is>
      </c>
      <c r="G25" s="34" t="inlineStr">
        <is>
          <t>회원 데이터 존재</t>
        </is>
      </c>
      <c r="H25" s="34" t="inlineStr">
        <is>
          <t>1) 메시지 발송 접속
2) 수신자 선택
3) SMS 선택
4) 본문 입력 (90자 이내)
5) '발송'</t>
        </is>
      </c>
      <c r="I25" s="34" t="inlineStr">
        <is>
          <t>발송 성공, 발송 이력에 기록</t>
        </is>
      </c>
      <c r="J25" s="34" t="inlineStr">
        <is>
          <t>E2E 검증 완료 (2026-03-12)</t>
        </is>
      </c>
      <c r="K25" s="34" t="inlineStr">
        <is>
          <t>통과</t>
        </is>
      </c>
      <c r="L25" s="34" t="inlineStr">
        <is>
          <t>High</t>
        </is>
      </c>
      <c r="M25" s="34" t="inlineStr">
        <is>
          <t>Major</t>
        </is>
      </c>
      <c r="N25" s="34" t="inlineStr">
        <is>
          <t>QA담당자2</t>
        </is>
      </c>
      <c r="O25" s="34" t="inlineStr">
        <is>
          <t>Staging</t>
        </is>
      </c>
      <c r="P25" s="34" t="inlineStr">
        <is>
          <t>Chrome</t>
        </is>
      </c>
      <c r="Q25" s="34" t="inlineStr">
        <is>
          <t>Desktop</t>
        </is>
      </c>
      <c r="R25" s="34" t="inlineStr">
        <is>
          <t>Windows 11</t>
        </is>
      </c>
      <c r="S25" s="34" t="inlineStr">
        <is>
          <t>1차</t>
        </is>
      </c>
      <c r="T25" s="34" t="inlineStr">
        <is>
          <t>수동</t>
        </is>
      </c>
      <c r="U25" s="34" t="inlineStr">
        <is>
          <t>SCR-070</t>
        </is>
      </c>
      <c r="V25" s="34" t="inlineStr">
        <is>
          <t>FN-023</t>
        </is>
      </c>
      <c r="W25" s="34" t="n"/>
      <c r="X25" s="34" t="n"/>
      <c r="Y25" s="34" t="n"/>
      <c r="Z25" s="34" t="inlineStr">
        <is>
          <t>메시지 발송</t>
        </is>
      </c>
      <c r="AA25" s="34" t="inlineStr">
        <is>
          <t>메시지 발송</t>
        </is>
      </c>
      <c r="AB25" s="34" t="inlineStr"/>
      <c r="AC25" s="34" t="n"/>
    </row>
    <row r="26">
      <c r="A26" s="33" t="inlineStr">
        <is>
          <t>TC-025</t>
        </is>
      </c>
      <c r="B26" s="33" t="inlineStr">
        <is>
          <t>Web</t>
        </is>
      </c>
      <c r="C26" s="33" t="inlineStr">
        <is>
          <t>메시지/마케팅</t>
        </is>
      </c>
      <c r="D26" s="34" t="inlineStr">
        <is>
          <t>발송</t>
        </is>
      </c>
      <c r="E26" s="34" t="inlineStr">
        <is>
          <t>기능 테스트</t>
        </is>
      </c>
      <c r="F26" s="34" t="inlineStr">
        <is>
          <t>메시지 발송 - 수신자 미선택</t>
        </is>
      </c>
      <c r="G26" s="34" t="inlineStr">
        <is>
          <t>메시지 발송 페이지 접속</t>
        </is>
      </c>
      <c r="H26" s="34" t="inlineStr">
        <is>
          <t>1) 수신자 없이 본문 입력
2) '발송' 클릭</t>
        </is>
      </c>
      <c r="I26" s="34" t="inlineStr">
        <is>
          <t>'수신자를 선택해주세요' 에러, 발송 불가</t>
        </is>
      </c>
      <c r="J26" s="34" t="inlineStr">
        <is>
          <t>E2E 검증 완료 (2026-03-12)</t>
        </is>
      </c>
      <c r="K26" s="34" t="inlineStr">
        <is>
          <t>통과</t>
        </is>
      </c>
      <c r="L26" s="34" t="inlineStr">
        <is>
          <t>Medium</t>
        </is>
      </c>
      <c r="M26" s="34" t="inlineStr">
        <is>
          <t>Major</t>
        </is>
      </c>
      <c r="N26" s="34" t="inlineStr">
        <is>
          <t>QA담당자2</t>
        </is>
      </c>
      <c r="O26" s="34" t="inlineStr">
        <is>
          <t>Staging</t>
        </is>
      </c>
      <c r="P26" s="34" t="inlineStr">
        <is>
          <t>Chrome</t>
        </is>
      </c>
      <c r="Q26" s="34" t="inlineStr">
        <is>
          <t>Desktop</t>
        </is>
      </c>
      <c r="R26" s="34" t="inlineStr">
        <is>
          <t>Windows 11</t>
        </is>
      </c>
      <c r="S26" s="34" t="inlineStr">
        <is>
          <t>1차</t>
        </is>
      </c>
      <c r="T26" s="34" t="inlineStr">
        <is>
          <t>수동</t>
        </is>
      </c>
      <c r="U26" s="34" t="inlineStr">
        <is>
          <t>SCR-070</t>
        </is>
      </c>
      <c r="V26" s="34" t="inlineStr">
        <is>
          <t>FN-023</t>
        </is>
      </c>
      <c r="W26" s="34" t="n"/>
      <c r="X26" s="34" t="n"/>
      <c r="Y26" s="34" t="n"/>
      <c r="Z26" s="34" t="inlineStr">
        <is>
          <t>메시지 발송</t>
        </is>
      </c>
      <c r="AA26" s="34" t="inlineStr">
        <is>
          <t>메시지 발송</t>
        </is>
      </c>
      <c r="AB26" s="34" t="inlineStr"/>
      <c r="AC26" s="34" t="n"/>
    </row>
    <row r="27">
      <c r="A27" s="33" t="inlineStr">
        <is>
          <t>TC-026</t>
        </is>
      </c>
      <c r="B27" s="33" t="inlineStr">
        <is>
          <t>Web</t>
        </is>
      </c>
      <c r="C27" s="33" t="inlineStr">
        <is>
          <t>계약/구독</t>
        </is>
      </c>
      <c r="D27" s="34" t="inlineStr">
        <is>
          <t>계약</t>
        </is>
      </c>
      <c r="E27" s="34" t="inlineStr">
        <is>
          <t>기능 테스트</t>
        </is>
      </c>
      <c r="F27" s="34" t="inlineStr">
        <is>
          <t>계약 마법사 전체 플로우</t>
        </is>
      </c>
      <c r="G27" s="34" t="inlineStr">
        <is>
          <t>회원/상품 데이터 존재</t>
        </is>
      </c>
      <c r="H27" s="34" t="inlineStr">
        <is>
          <t>1) 계약 마법사 접속
2) 회원 선택
3) 상품 선택
4) 기간/금액 설정
5) 결제 처리
6) 확인</t>
        </is>
      </c>
      <c r="I27" s="34" t="inlineStr">
        <is>
          <t>계약 등록 성공, 이용권 자동 생성, 매출 자동 등록</t>
        </is>
      </c>
      <c r="J27" s="34" t="inlineStr">
        <is>
          <t>E2E 검증 완료 (2026-03-12)</t>
        </is>
      </c>
      <c r="K27" s="34" t="inlineStr">
        <is>
          <t>통과</t>
        </is>
      </c>
      <c r="L27" s="34" t="inlineStr">
        <is>
          <t>Critical</t>
        </is>
      </c>
      <c r="M27" s="34" t="inlineStr">
        <is>
          <t>Blocker</t>
        </is>
      </c>
      <c r="N27" s="34" t="inlineStr">
        <is>
          <t>QA담당자1</t>
        </is>
      </c>
      <c r="O27" s="34" t="inlineStr">
        <is>
          <t>Staging</t>
        </is>
      </c>
      <c r="P27" s="34" t="inlineStr">
        <is>
          <t>Chrome</t>
        </is>
      </c>
      <c r="Q27" s="34" t="inlineStr">
        <is>
          <t>Desktop</t>
        </is>
      </c>
      <c r="R27" s="34" t="inlineStr">
        <is>
          <t>Windows 11</t>
        </is>
      </c>
      <c r="S27" s="34" t="inlineStr">
        <is>
          <t>1차</t>
        </is>
      </c>
      <c r="T27" s="34" t="inlineStr">
        <is>
          <t>수동</t>
        </is>
      </c>
      <c r="U27" s="34" t="inlineStr">
        <is>
          <t>SCR-080</t>
        </is>
      </c>
      <c r="V27" s="34" t="inlineStr">
        <is>
          <t>FN-027</t>
        </is>
      </c>
      <c r="W27" s="34" t="inlineStr">
        <is>
          <t>API-016</t>
        </is>
      </c>
      <c r="X27" s="34" t="n"/>
      <c r="Y27" s="34" t="n"/>
      <c r="Z27" s="34" t="inlineStr">
        <is>
          <t>계약 마법사</t>
        </is>
      </c>
      <c r="AA27" s="34" t="inlineStr">
        <is>
          <t>계약 등록</t>
        </is>
      </c>
      <c r="AB27" s="34" t="inlineStr">
        <is>
          <t>/api/v1/sales</t>
        </is>
      </c>
      <c r="AC27" s="34" t="n"/>
    </row>
    <row r="28">
      <c r="A28" s="33" t="inlineStr">
        <is>
          <t>TC-027</t>
        </is>
      </c>
      <c r="B28" s="33" t="inlineStr">
        <is>
          <t>Web</t>
        </is>
      </c>
      <c r="C28" s="33" t="inlineStr">
        <is>
          <t>계약/구독</t>
        </is>
      </c>
      <c r="D28" s="34" t="inlineStr">
        <is>
          <t>계약</t>
        </is>
      </c>
      <c r="E28" s="34" t="inlineStr">
        <is>
          <t>기능 테스트</t>
        </is>
      </c>
      <c r="F28" s="34" t="inlineStr">
        <is>
          <t>계약 마법사 - 이전 단계 미완료</t>
        </is>
      </c>
      <c r="G28" s="34" t="inlineStr">
        <is>
          <t>계약 마법사 접속</t>
        </is>
      </c>
      <c r="H28" s="34" t="inlineStr">
        <is>
          <t>1) 회원 미선택 상태에서 '다음' 클릭</t>
        </is>
      </c>
      <c r="I28" s="34" t="inlineStr">
        <is>
          <t>'회원을 선택하세요' 에러, 다음 단계 진행 불가</t>
        </is>
      </c>
      <c r="J28" s="34" t="inlineStr">
        <is>
          <t>E2E 검증 완료 (2026-03-12)</t>
        </is>
      </c>
      <c r="K28" s="34" t="inlineStr">
        <is>
          <t>통과</t>
        </is>
      </c>
      <c r="L28" s="34" t="inlineStr">
        <is>
          <t>High</t>
        </is>
      </c>
      <c r="M28" s="34" t="inlineStr">
        <is>
          <t>Major</t>
        </is>
      </c>
      <c r="N28" s="34" t="inlineStr">
        <is>
          <t>QA담당자1</t>
        </is>
      </c>
      <c r="O28" s="34" t="inlineStr">
        <is>
          <t>Staging</t>
        </is>
      </c>
      <c r="P28" s="34" t="inlineStr">
        <is>
          <t>Chrome</t>
        </is>
      </c>
      <c r="Q28" s="34" t="inlineStr">
        <is>
          <t>Desktop</t>
        </is>
      </c>
      <c r="R28" s="34" t="inlineStr">
        <is>
          <t>Windows 11</t>
        </is>
      </c>
      <c r="S28" s="34" t="inlineStr">
        <is>
          <t>1차</t>
        </is>
      </c>
      <c r="T28" s="34" t="inlineStr">
        <is>
          <t>수동</t>
        </is>
      </c>
      <c r="U28" s="34" t="inlineStr">
        <is>
          <t>SCR-080</t>
        </is>
      </c>
      <c r="V28" s="34" t="inlineStr">
        <is>
          <t>FN-027</t>
        </is>
      </c>
      <c r="W28" s="34" t="n"/>
      <c r="X28" s="34" t="n"/>
      <c r="Y28" s="34" t="n"/>
      <c r="Z28" s="34" t="inlineStr">
        <is>
          <t>계약 마법사</t>
        </is>
      </c>
      <c r="AA28" s="34" t="inlineStr">
        <is>
          <t>계약 등록</t>
        </is>
      </c>
      <c r="AB28" s="34" t="inlineStr">
        <is>
          <t>/api/v1/sales</t>
        </is>
      </c>
      <c r="AC28" s="34" t="n"/>
    </row>
    <row r="29">
      <c r="A29" s="33" t="inlineStr">
        <is>
          <t>TC-028</t>
        </is>
      </c>
      <c r="B29" s="33" t="inlineStr">
        <is>
          <t>Web</t>
        </is>
      </c>
      <c r="C29" s="33" t="inlineStr">
        <is>
          <t>설정/권한</t>
        </is>
      </c>
      <c r="D29" s="34" t="inlineStr">
        <is>
          <t>권한</t>
        </is>
      </c>
      <c r="E29" s="34" t="inlineStr">
        <is>
          <t>기능 테스트</t>
        </is>
      </c>
      <c r="F29" s="34" t="inlineStr">
        <is>
          <t>권한 매트릭스 설정</t>
        </is>
      </c>
      <c r="G29" s="34" t="inlineStr">
        <is>
          <t>최고관리자 권한</t>
        </is>
      </c>
      <c r="H29" s="34" t="inlineStr">
        <is>
          <t>1) 권한 설정 접속
2) '매니저' 탭 선택
3) '회원 삭제' 권한 체크 해제
4) 저장</t>
        </is>
      </c>
      <c r="I29" s="34" t="inlineStr">
        <is>
          <t>매니저 역할에서 회원 삭제 권한 제거, 즉시 반영</t>
        </is>
      </c>
      <c r="J29" s="34" t="inlineStr">
        <is>
          <t>E2E 검증 완료 (2026-03-12)</t>
        </is>
      </c>
      <c r="K29" s="34" t="inlineStr">
        <is>
          <t>통과</t>
        </is>
      </c>
      <c r="L29" s="34" t="inlineStr">
        <is>
          <t>Critical</t>
        </is>
      </c>
      <c r="M29" s="34" t="inlineStr">
        <is>
          <t>Blocker</t>
        </is>
      </c>
      <c r="N29" s="34" t="inlineStr">
        <is>
          <t>QA담당자1</t>
        </is>
      </c>
      <c r="O29" s="34" t="inlineStr">
        <is>
          <t>Staging</t>
        </is>
      </c>
      <c r="P29" s="34" t="inlineStr">
        <is>
          <t>Chrome</t>
        </is>
      </c>
      <c r="Q29" s="34" t="inlineStr">
        <is>
          <t>Desktop</t>
        </is>
      </c>
      <c r="R29" s="34" t="inlineStr">
        <is>
          <t>Windows 11</t>
        </is>
      </c>
      <c r="S29" s="34" t="inlineStr">
        <is>
          <t>1차</t>
        </is>
      </c>
      <c r="T29" s="34" t="inlineStr">
        <is>
          <t>수동</t>
        </is>
      </c>
      <c r="U29" s="34" t="inlineStr">
        <is>
          <t>SCR-091</t>
        </is>
      </c>
      <c r="V29" s="34" t="inlineStr">
        <is>
          <t>FN-030</t>
        </is>
      </c>
      <c r="W29" s="34" t="n"/>
      <c r="X29" s="34" t="n"/>
      <c r="Y29" s="34" t="n"/>
      <c r="Z29" s="34" t="inlineStr">
        <is>
          <t>권한 설정</t>
        </is>
      </c>
      <c r="AA29" s="34" t="inlineStr">
        <is>
          <t>권한 관리</t>
        </is>
      </c>
      <c r="AB29" s="34" t="inlineStr"/>
      <c r="AC29" s="34" t="n"/>
    </row>
    <row r="30">
      <c r="A30" s="33" t="inlineStr">
        <is>
          <t>TC-029</t>
        </is>
      </c>
      <c r="B30" s="33" t="inlineStr">
        <is>
          <t>Web</t>
        </is>
      </c>
      <c r="C30" s="33" t="inlineStr">
        <is>
          <t>설정/권한</t>
        </is>
      </c>
      <c r="D30" s="34" t="inlineStr">
        <is>
          <t>권한</t>
        </is>
      </c>
      <c r="E30" s="34" t="inlineStr">
        <is>
          <t>기능 테스트</t>
        </is>
      </c>
      <c r="F30" s="34" t="inlineStr">
        <is>
          <t>권한 부족 접근 차단</t>
        </is>
      </c>
      <c r="G30" s="34" t="inlineStr">
        <is>
          <t>스태프 역할로 로그인</t>
        </is>
      </c>
      <c r="H30" s="34" t="inlineStr">
        <is>
          <t>1) URL 직접 입력으로 /settings/permissions 접근</t>
        </is>
      </c>
      <c r="I30" s="34" t="inlineStr">
        <is>
          <t>접근 거부 메시지 또는 메뉴 미표시</t>
        </is>
      </c>
      <c r="J30" s="34" t="inlineStr">
        <is>
          <t>E2E 검증 완료 (2026-03-12)</t>
        </is>
      </c>
      <c r="K30" s="34" t="inlineStr">
        <is>
          <t>통과</t>
        </is>
      </c>
      <c r="L30" s="34" t="inlineStr">
        <is>
          <t>Critical</t>
        </is>
      </c>
      <c r="M30" s="34" t="inlineStr">
        <is>
          <t>Blocker</t>
        </is>
      </c>
      <c r="N30" s="34" t="inlineStr">
        <is>
          <t>QA담당자1</t>
        </is>
      </c>
      <c r="O30" s="34" t="inlineStr">
        <is>
          <t>Staging</t>
        </is>
      </c>
      <c r="P30" s="34" t="inlineStr">
        <is>
          <t>Chrome</t>
        </is>
      </c>
      <c r="Q30" s="34" t="inlineStr">
        <is>
          <t>Desktop</t>
        </is>
      </c>
      <c r="R30" s="34" t="inlineStr">
        <is>
          <t>Windows 11</t>
        </is>
      </c>
      <c r="S30" s="34" t="inlineStr">
        <is>
          <t>1차</t>
        </is>
      </c>
      <c r="T30" s="34" t="inlineStr">
        <is>
          <t>자동화 예정</t>
        </is>
      </c>
      <c r="U30" s="34" t="inlineStr">
        <is>
          <t>SCR-091</t>
        </is>
      </c>
      <c r="V30" s="34" t="inlineStr">
        <is>
          <t>FN-030</t>
        </is>
      </c>
      <c r="W30" s="34" t="n"/>
      <c r="X30" s="34" t="n"/>
      <c r="Y30" s="34" t="n"/>
      <c r="Z30" s="34" t="inlineStr">
        <is>
          <t>권한 설정</t>
        </is>
      </c>
      <c r="AA30" s="34" t="inlineStr">
        <is>
          <t>권한 관리</t>
        </is>
      </c>
      <c r="AB30" s="34" t="inlineStr"/>
      <c r="AC30" s="34" t="n"/>
    </row>
    <row r="31">
      <c r="A31" s="33" t="inlineStr">
        <is>
          <t>TC-030</t>
        </is>
      </c>
      <c r="B31" s="33" t="inlineStr">
        <is>
          <t>Web</t>
        </is>
      </c>
      <c r="C31" s="33" t="inlineStr">
        <is>
          <t>설정/권한</t>
        </is>
      </c>
      <c r="D31" s="34" t="inlineStr">
        <is>
          <t>지점</t>
        </is>
      </c>
      <c r="E31" s="34" t="inlineStr">
        <is>
          <t>기능 테스트</t>
        </is>
      </c>
      <c r="F31" s="34" t="inlineStr">
        <is>
          <t>지점 추가</t>
        </is>
      </c>
      <c r="G31" s="34" t="inlineStr">
        <is>
          <t>최고관리자 권한</t>
        </is>
      </c>
      <c r="H31" s="34" t="inlineStr">
        <is>
          <t>1) 지점 관리 접속
2) '지점 추가' 클릭
3) 이름/코드/주소 입력
4) 저장</t>
        </is>
      </c>
      <c r="I31" s="34" t="inlineStr">
        <is>
          <t>지점 추가 성공, 목록에 표시</t>
        </is>
      </c>
      <c r="J31" s="34" t="inlineStr">
        <is>
          <t>E2E 검증 완료 (2026-03-12)</t>
        </is>
      </c>
      <c r="K31" s="34" t="inlineStr">
        <is>
          <t>통과</t>
        </is>
      </c>
      <c r="L31" s="34" t="inlineStr">
        <is>
          <t>Critical</t>
        </is>
      </c>
      <c r="M31" s="34" t="inlineStr">
        <is>
          <t>Blocker</t>
        </is>
      </c>
      <c r="N31" s="34" t="inlineStr">
        <is>
          <t>QA담당자1</t>
        </is>
      </c>
      <c r="O31" s="34" t="inlineStr">
        <is>
          <t>Staging</t>
        </is>
      </c>
      <c r="P31" s="34" t="inlineStr">
        <is>
          <t>Chrome</t>
        </is>
      </c>
      <c r="Q31" s="34" t="inlineStr">
        <is>
          <t>Desktop</t>
        </is>
      </c>
      <c r="R31" s="34" t="inlineStr">
        <is>
          <t>Windows 11</t>
        </is>
      </c>
      <c r="S31" s="34" t="inlineStr">
        <is>
          <t>1차</t>
        </is>
      </c>
      <c r="T31" s="34" t="inlineStr">
        <is>
          <t>수동</t>
        </is>
      </c>
      <c r="U31" s="34" t="inlineStr">
        <is>
          <t>SCR-094</t>
        </is>
      </c>
      <c r="V31" s="34" t="inlineStr">
        <is>
          <t>FN-033</t>
        </is>
      </c>
      <c r="W31" s="34" t="inlineStr">
        <is>
          <t>API-027</t>
        </is>
      </c>
      <c r="X31" s="34" t="n"/>
      <c r="Y31" s="34" t="n"/>
      <c r="Z31" s="34" t="inlineStr">
        <is>
          <t>지점 관리</t>
        </is>
      </c>
      <c r="AA31" s="34" t="inlineStr">
        <is>
          <t>지점 관리</t>
        </is>
      </c>
      <c r="AB31" s="34" t="inlineStr">
        <is>
          <t>/api/v1/system/reset</t>
        </is>
      </c>
      <c r="AC31" s="34" t="n"/>
    </row>
    <row r="32">
      <c r="A32" s="33" t="inlineStr">
        <is>
          <t>TC-031</t>
        </is>
      </c>
      <c r="B32" s="33" t="inlineStr">
        <is>
          <t>Web</t>
        </is>
      </c>
      <c r="C32" s="33" t="inlineStr">
        <is>
          <t>보안</t>
        </is>
      </c>
      <c r="D32" s="34" t="inlineStr">
        <is>
          <t>데이터 격리</t>
        </is>
      </c>
      <c r="E32" s="34" t="inlineStr">
        <is>
          <t>보안 테스트</t>
        </is>
      </c>
      <c r="F32" s="34" t="inlineStr">
        <is>
          <t>지점 간 데이터 격리 확인</t>
        </is>
      </c>
      <c r="G32" s="34" t="inlineStr">
        <is>
          <t>2개 이상 지점 데이터 존재</t>
        </is>
      </c>
      <c r="H32" s="34" t="inlineStr">
        <is>
          <t>1) A지점으로 로그인
2) 회원 목록 확인
3) B지점으로 전환
4) 회원 목록 확인</t>
        </is>
      </c>
      <c r="I32" s="34" t="inlineStr">
        <is>
          <t>각 지점에 소속된 회원만 표시, 타지점 데이터 미노출</t>
        </is>
      </c>
      <c r="J32" s="34" t="inlineStr">
        <is>
          <t>E2E 검증 완료 (2026-03-12)</t>
        </is>
      </c>
      <c r="K32" s="34" t="inlineStr">
        <is>
          <t>통과</t>
        </is>
      </c>
      <c r="L32" s="34" t="inlineStr">
        <is>
          <t>Critical</t>
        </is>
      </c>
      <c r="M32" s="34" t="inlineStr">
        <is>
          <t>Blocker</t>
        </is>
      </c>
      <c r="N32" s="34" t="inlineStr">
        <is>
          <t>QA담당자1</t>
        </is>
      </c>
      <c r="O32" s="34" t="inlineStr">
        <is>
          <t>Staging</t>
        </is>
      </c>
      <c r="P32" s="34" t="inlineStr">
        <is>
          <t>Chrome</t>
        </is>
      </c>
      <c r="Q32" s="34" t="inlineStr">
        <is>
          <t>Desktop</t>
        </is>
      </c>
      <c r="R32" s="34" t="inlineStr">
        <is>
          <t>Windows 11</t>
        </is>
      </c>
      <c r="S32" s="34" t="inlineStr">
        <is>
          <t>1차</t>
        </is>
      </c>
      <c r="T32" s="34" t="inlineStr">
        <is>
          <t>자동화 예정</t>
        </is>
      </c>
      <c r="U32" s="34" t="inlineStr">
        <is>
          <t>SCR-010</t>
        </is>
      </c>
      <c r="V32" s="34" t="inlineStr">
        <is>
          <t>FN-003</t>
        </is>
      </c>
      <c r="W32" s="34" t="inlineStr">
        <is>
          <t>API-007</t>
        </is>
      </c>
      <c r="X32" s="34" t="n"/>
      <c r="Y32" s="34" t="n"/>
      <c r="Z32" s="34" t="inlineStr">
        <is>
          <t>회원 목록</t>
        </is>
      </c>
      <c r="AA32" s="34" t="inlineStr">
        <is>
          <t>회원 목록 조회/검색/필터</t>
        </is>
      </c>
      <c r="AB32" s="34" t="inlineStr">
        <is>
          <t>/api/v1/members</t>
        </is>
      </c>
      <c r="AC32" s="34" t="n"/>
    </row>
    <row r="33">
      <c r="A33" s="33" t="inlineStr">
        <is>
          <t>TC-032</t>
        </is>
      </c>
      <c r="B33" s="33" t="inlineStr">
        <is>
          <t>Web</t>
        </is>
      </c>
      <c r="C33" s="33" t="inlineStr">
        <is>
          <t>보안</t>
        </is>
      </c>
      <c r="D33" s="34" t="inlineStr">
        <is>
          <t>인증</t>
        </is>
      </c>
      <c r="E33" s="34" t="inlineStr">
        <is>
          <t>보안 테스트</t>
        </is>
      </c>
      <c r="F33" s="34" t="inlineStr">
        <is>
          <t>JWT 토큰 만료 처리</t>
        </is>
      </c>
      <c r="G33" s="34" t="inlineStr">
        <is>
          <t>로그인 완료</t>
        </is>
      </c>
      <c r="H33" s="34" t="inlineStr">
        <is>
          <t>1) JWT 토큰 만료 대기 (또는 수동 만료)
2) API 호출 시도</t>
        </is>
      </c>
      <c r="I33" s="34" t="inlineStr">
        <is>
          <t>401 Unauthorized, 로그인 페이지로 리다이렉트</t>
        </is>
      </c>
      <c r="J33" s="34" t="inlineStr">
        <is>
          <t>E2E 검증 완료 (2026-03-12)</t>
        </is>
      </c>
      <c r="K33" s="34" t="inlineStr">
        <is>
          <t>통과</t>
        </is>
      </c>
      <c r="L33" s="34" t="inlineStr">
        <is>
          <t>Critical</t>
        </is>
      </c>
      <c r="M33" s="34" t="inlineStr">
        <is>
          <t>Blocker</t>
        </is>
      </c>
      <c r="N33" s="34" t="inlineStr">
        <is>
          <t>QA담당자1</t>
        </is>
      </c>
      <c r="O33" s="34" t="inlineStr">
        <is>
          <t>Staging</t>
        </is>
      </c>
      <c r="P33" s="34" t="inlineStr">
        <is>
          <t>Chrome</t>
        </is>
      </c>
      <c r="Q33" s="34" t="inlineStr">
        <is>
          <t>Desktop</t>
        </is>
      </c>
      <c r="R33" s="34" t="inlineStr">
        <is>
          <t>Windows 11</t>
        </is>
      </c>
      <c r="S33" s="34" t="inlineStr">
        <is>
          <t>1차</t>
        </is>
      </c>
      <c r="T33" s="34" t="inlineStr">
        <is>
          <t>자동화 예정</t>
        </is>
      </c>
      <c r="U33" s="34" t="inlineStr">
        <is>
          <t>SCR-001</t>
        </is>
      </c>
      <c r="V33" s="34" t="inlineStr">
        <is>
          <t>FN-001</t>
        </is>
      </c>
      <c r="W33" s="34" t="inlineStr">
        <is>
          <t>API-001</t>
        </is>
      </c>
      <c r="X33" s="34" t="n"/>
      <c r="Y33" s="34" t="n"/>
      <c r="Z33" s="34" t="inlineStr">
        <is>
          <t>로그인</t>
        </is>
      </c>
      <c r="AA33" s="34" t="inlineStr">
        <is>
          <t>로그인</t>
        </is>
      </c>
      <c r="AB33" s="34" t="inlineStr">
        <is>
          <t>/api/v1/auth/login</t>
        </is>
      </c>
      <c r="AC33" s="34" t="n"/>
    </row>
    <row r="34">
      <c r="A34" s="33" t="inlineStr">
        <is>
          <t>TC-033</t>
        </is>
      </c>
      <c r="B34" s="33" t="inlineStr">
        <is>
          <t>Web</t>
        </is>
      </c>
      <c r="C34" s="33" t="inlineStr">
        <is>
          <t>성능</t>
        </is>
      </c>
      <c r="D34" s="34" t="inlineStr">
        <is>
          <t>목록</t>
        </is>
      </c>
      <c r="E34" s="34" t="inlineStr">
        <is>
          <t>성능 테스트</t>
        </is>
      </c>
      <c r="F34" s="34" t="inlineStr">
        <is>
          <t>회원 목록 1000건 로딩 성능</t>
        </is>
      </c>
      <c r="G34" s="34" t="inlineStr">
        <is>
          <t>회원 1000건 데이터 존재</t>
        </is>
      </c>
      <c r="H34" s="34" t="inlineStr">
        <is>
          <t>1) 회원 목록 접속
2) 로딩 시간 측정</t>
        </is>
      </c>
      <c r="I34" s="34" t="inlineStr">
        <is>
          <t>3초 이내 첫 페이지 로딩 완료</t>
        </is>
      </c>
      <c r="J34" s="34" t="inlineStr">
        <is>
          <t>E2E 검증 완료 (2026-03-12)</t>
        </is>
      </c>
      <c r="K34" s="34" t="inlineStr">
        <is>
          <t>통과</t>
        </is>
      </c>
      <c r="L34" s="34" t="inlineStr">
        <is>
          <t>High</t>
        </is>
      </c>
      <c r="M34" s="34" t="inlineStr">
        <is>
          <t>Major</t>
        </is>
      </c>
      <c r="N34" s="34" t="inlineStr">
        <is>
          <t>QA담당자2</t>
        </is>
      </c>
      <c r="O34" s="34" t="inlineStr">
        <is>
          <t>Staging</t>
        </is>
      </c>
      <c r="P34" s="34" t="inlineStr">
        <is>
          <t>Chrome</t>
        </is>
      </c>
      <c r="Q34" s="34" t="inlineStr">
        <is>
          <t>Desktop</t>
        </is>
      </c>
      <c r="R34" s="34" t="inlineStr">
        <is>
          <t>Windows 11</t>
        </is>
      </c>
      <c r="S34" s="34" t="inlineStr">
        <is>
          <t>1차</t>
        </is>
      </c>
      <c r="T34" s="34" t="inlineStr">
        <is>
          <t>자동화 예정</t>
        </is>
      </c>
      <c r="U34" s="34" t="inlineStr">
        <is>
          <t>SCR-010</t>
        </is>
      </c>
      <c r="V34" s="34" t="inlineStr">
        <is>
          <t>FN-003</t>
        </is>
      </c>
      <c r="W34" s="34" t="inlineStr">
        <is>
          <t>API-007</t>
        </is>
      </c>
      <c r="X34" s="34" t="n"/>
      <c r="Y34" s="34" t="n"/>
      <c r="Z34" s="34" t="inlineStr">
        <is>
          <t>회원 목록</t>
        </is>
      </c>
      <c r="AA34" s="34" t="inlineStr">
        <is>
          <t>회원 목록 조회/검색/필터</t>
        </is>
      </c>
      <c r="AB34" s="34" t="inlineStr">
        <is>
          <t>/api/v1/members</t>
        </is>
      </c>
      <c r="AC34" s="34" t="n"/>
    </row>
    <row r="35">
      <c r="A35" s="33" t="inlineStr">
        <is>
          <t>TC-034</t>
        </is>
      </c>
      <c r="B35" s="33" t="inlineStr">
        <is>
          <t>Web</t>
        </is>
      </c>
      <c r="C35" s="33" t="inlineStr">
        <is>
          <t>성능</t>
        </is>
      </c>
      <c r="D35" s="34" t="inlineStr">
        <is>
          <t>대시보드</t>
        </is>
      </c>
      <c r="E35" s="34" t="inlineStr">
        <is>
          <t>성능 테스트</t>
        </is>
      </c>
      <c r="F35" s="34" t="inlineStr">
        <is>
          <t>대시보드 초기 로딩 성능</t>
        </is>
      </c>
      <c r="G35" s="34" t="inlineStr">
        <is>
          <t>실 데이터 환경</t>
        </is>
      </c>
      <c r="H35" s="34" t="inlineStr">
        <is>
          <t>1) 대시보드 접속
2) 모든 위젯 로딩 시간 측정</t>
        </is>
      </c>
      <c r="I35" s="34" t="inlineStr">
        <is>
          <t>2초 이내 대시보드 완전 렌더링</t>
        </is>
      </c>
      <c r="J35" s="34" t="inlineStr">
        <is>
          <t>E2E 검증 완료 (2026-03-12)</t>
        </is>
      </c>
      <c r="K35" s="34" t="inlineStr">
        <is>
          <t>통과</t>
        </is>
      </c>
      <c r="L35" s="34" t="inlineStr">
        <is>
          <t>High</t>
        </is>
      </c>
      <c r="M35" s="34" t="inlineStr">
        <is>
          <t>Major</t>
        </is>
      </c>
      <c r="N35" s="34" t="inlineStr">
        <is>
          <t>QA담당자2</t>
        </is>
      </c>
      <c r="O35" s="34" t="inlineStr">
        <is>
          <t>Staging</t>
        </is>
      </c>
      <c r="P35" s="34" t="inlineStr">
        <is>
          <t>Chrome</t>
        </is>
      </c>
      <c r="Q35" s="34" t="inlineStr">
        <is>
          <t>Desktop</t>
        </is>
      </c>
      <c r="R35" s="34" t="inlineStr">
        <is>
          <t>Windows 11</t>
        </is>
      </c>
      <c r="S35" s="34" t="inlineStr">
        <is>
          <t>1차</t>
        </is>
      </c>
      <c r="T35" s="34" t="inlineStr">
        <is>
          <t>자동화 예정</t>
        </is>
      </c>
      <c r="U35" s="34" t="inlineStr">
        <is>
          <t>SCR-002</t>
        </is>
      </c>
      <c r="V35" s="34" t="inlineStr">
        <is>
          <t>FN-002</t>
        </is>
      </c>
      <c r="W35" s="34" t="inlineStr">
        <is>
          <t>API-003</t>
        </is>
      </c>
      <c r="X35" s="34" t="n"/>
      <c r="Y35" s="34" t="n"/>
      <c r="Z35" s="34" t="inlineStr">
        <is>
          <t>대시보드</t>
        </is>
      </c>
      <c r="AA35" s="34" t="inlineStr">
        <is>
          <t>대시보드 통계 조회</t>
        </is>
      </c>
      <c r="AB35" s="34" t="inlineStr">
        <is>
          <t>/api/v1/dashboard/stats</t>
        </is>
      </c>
      <c r="AC35" s="34" t="n"/>
    </row>
    <row r="36">
      <c r="A36" s="33" t="inlineStr">
        <is>
          <t>TC-035</t>
        </is>
      </c>
      <c r="B36" s="33" t="inlineStr">
        <is>
          <t>Web</t>
        </is>
      </c>
      <c r="C36" s="33" t="inlineStr">
        <is>
          <t>호환성</t>
        </is>
      </c>
      <c r="D36" s="34" t="inlineStr">
        <is>
          <t>브라우저</t>
        </is>
      </c>
      <c r="E36" s="34" t="inlineStr">
        <is>
          <t>호환성 테스트</t>
        </is>
      </c>
      <c r="F36" s="34" t="inlineStr">
        <is>
          <t>Safari 브라우저 호환성</t>
        </is>
      </c>
      <c r="G36" s="34" t="inlineStr">
        <is>
          <t>macOS Safari 최신</t>
        </is>
      </c>
      <c r="H36" s="34" t="inlineStr">
        <is>
          <t>1) Safari로 전체 기능 테스트
2) 레이아웃/기능 확인</t>
        </is>
      </c>
      <c r="I36" s="34" t="inlineStr">
        <is>
          <t>Chrome과 동일한 동작, 레이아웃 깨짐 없음</t>
        </is>
      </c>
      <c r="J36" s="34" t="inlineStr">
        <is>
          <t>E2E 검증 완료 (2026-03-12)</t>
        </is>
      </c>
      <c r="K36" s="34" t="inlineStr">
        <is>
          <t>통과</t>
        </is>
      </c>
      <c r="L36" s="34" t="inlineStr">
        <is>
          <t>Medium</t>
        </is>
      </c>
      <c r="M36" s="34" t="inlineStr">
        <is>
          <t>Major</t>
        </is>
      </c>
      <c r="N36" s="34" t="inlineStr">
        <is>
          <t>QA담당자2</t>
        </is>
      </c>
      <c r="O36" s="34" t="inlineStr">
        <is>
          <t>Staging</t>
        </is>
      </c>
      <c r="P36" s="34" t="inlineStr">
        <is>
          <t>Safari</t>
        </is>
      </c>
      <c r="Q36" s="34" t="inlineStr">
        <is>
          <t>Desktop</t>
        </is>
      </c>
      <c r="R36" s="34" t="inlineStr">
        <is>
          <t>macOS</t>
        </is>
      </c>
      <c r="S36" s="34" t="inlineStr">
        <is>
          <t>1차</t>
        </is>
      </c>
      <c r="T36" s="34" t="inlineStr">
        <is>
          <t>수동</t>
        </is>
      </c>
      <c r="U36" s="34" t="n"/>
      <c r="V36" s="34" t="n"/>
      <c r="W36" s="34" t="n"/>
      <c r="X36" s="34" t="n"/>
      <c r="Y36" s="34" t="n"/>
      <c r="Z36" s="34" t="inlineStr"/>
      <c r="AA36" s="34" t="inlineStr"/>
      <c r="AB36" s="34" t="inlineStr"/>
      <c r="AC36" s="34" t="n"/>
    </row>
    <row r="37">
      <c r="A37" s="33" t="inlineStr">
        <is>
          <t>TC-036</t>
        </is>
      </c>
      <c r="B37" s="33" t="inlineStr">
        <is>
          <t>Web</t>
        </is>
      </c>
      <c r="C37" s="33" t="inlineStr">
        <is>
          <t>호환성</t>
        </is>
      </c>
      <c r="D37" s="34" t="inlineStr">
        <is>
          <t>브라우저</t>
        </is>
      </c>
      <c r="E37" s="34" t="inlineStr">
        <is>
          <t>호환성 테스트</t>
        </is>
      </c>
      <c r="F37" s="34" t="inlineStr">
        <is>
          <t>Firefox 브라우저 호환성</t>
        </is>
      </c>
      <c r="G37" s="34" t="inlineStr">
        <is>
          <t>Firefox 최신</t>
        </is>
      </c>
      <c r="H37" s="34" t="inlineStr">
        <is>
          <t>1) Firefox로 전체 기능 테스트
2) 레이아웃/기능 확인</t>
        </is>
      </c>
      <c r="I37" s="34" t="inlineStr">
        <is>
          <t>Chrome과 동일한 동작</t>
        </is>
      </c>
      <c r="J37" s="34" t="inlineStr">
        <is>
          <t>E2E 검증 완료 (2026-03-12)</t>
        </is>
      </c>
      <c r="K37" s="34" t="inlineStr">
        <is>
          <t>통과</t>
        </is>
      </c>
      <c r="L37" s="34" t="inlineStr">
        <is>
          <t>Medium</t>
        </is>
      </c>
      <c r="M37" s="34" t="inlineStr">
        <is>
          <t>Major</t>
        </is>
      </c>
      <c r="N37" s="34" t="inlineStr">
        <is>
          <t>QA담당자2</t>
        </is>
      </c>
      <c r="O37" s="34" t="inlineStr">
        <is>
          <t>Staging</t>
        </is>
      </c>
      <c r="P37" s="34" t="inlineStr">
        <is>
          <t>Firefox</t>
        </is>
      </c>
      <c r="Q37" s="34" t="inlineStr">
        <is>
          <t>Desktop</t>
        </is>
      </c>
      <c r="R37" s="34" t="inlineStr">
        <is>
          <t>Windows 11</t>
        </is>
      </c>
      <c r="S37" s="34" t="inlineStr">
        <is>
          <t>1차</t>
        </is>
      </c>
      <c r="T37" s="34" t="inlineStr">
        <is>
          <t>수동</t>
        </is>
      </c>
      <c r="U37" s="34" t="n"/>
      <c r="V37" s="34" t="n"/>
      <c r="W37" s="34" t="n"/>
      <c r="X37" s="34" t="n"/>
      <c r="Y37" s="34" t="n"/>
      <c r="Z37" s="34" t="inlineStr"/>
      <c r="AA37" s="34" t="inlineStr"/>
      <c r="AB37" s="34" t="inlineStr"/>
      <c r="AC37" s="34" t="n"/>
    </row>
    <row r="38">
      <c r="A38" s="33" t="inlineStr">
        <is>
          <t>TC-037</t>
        </is>
      </c>
      <c r="B38" s="33" t="inlineStr">
        <is>
          <t>Web</t>
        </is>
      </c>
      <c r="C38" s="33" t="inlineStr">
        <is>
          <t>출석관리</t>
        </is>
      </c>
      <c r="D38" s="34" t="inlineStr">
        <is>
          <t>조회</t>
        </is>
      </c>
      <c r="E38" s="34" t="inlineStr">
        <is>
          <t>기능 테스트</t>
        </is>
      </c>
      <c r="F38" s="34" t="inlineStr">
        <is>
          <t>출석 기록 일별 조회</t>
        </is>
      </c>
      <c r="G38" s="34" t="inlineStr">
        <is>
          <t>출석 데이터 존재</t>
        </is>
      </c>
      <c r="H38" s="34" t="inlineStr">
        <is>
          <t>1) 출석 기록 접속
2) 날짜 선택
3) 결과 확인</t>
        </is>
      </c>
      <c r="I38" s="34" t="inlineStr">
        <is>
          <t>선택 날짜의 출석 기록만 표시</t>
        </is>
      </c>
      <c r="J38" s="34" t="inlineStr">
        <is>
          <t>E2E 검증 완료 (2026-03-12)</t>
        </is>
      </c>
      <c r="K38" s="34" t="inlineStr">
        <is>
          <t>통과</t>
        </is>
      </c>
      <c r="L38" s="34" t="inlineStr">
        <is>
          <t>High</t>
        </is>
      </c>
      <c r="M38" s="34" t="inlineStr">
        <is>
          <t>Major</t>
        </is>
      </c>
      <c r="N38" s="34" t="inlineStr">
        <is>
          <t>QA담당자2</t>
        </is>
      </c>
      <c r="O38" s="34" t="inlineStr">
        <is>
          <t>Staging</t>
        </is>
      </c>
      <c r="P38" s="34" t="inlineStr">
        <is>
          <t>Chrome</t>
        </is>
      </c>
      <c r="Q38" s="34" t="inlineStr">
        <is>
          <t>Desktop</t>
        </is>
      </c>
      <c r="R38" s="34" t="inlineStr">
        <is>
          <t>Windows 11</t>
        </is>
      </c>
      <c r="S38" s="34" t="inlineStr">
        <is>
          <t>1차</t>
        </is>
      </c>
      <c r="T38" s="34" t="inlineStr">
        <is>
          <t>수동</t>
        </is>
      </c>
      <c r="U38" s="34" t="inlineStr">
        <is>
          <t>SCR-020</t>
        </is>
      </c>
      <c r="V38" s="34" t="inlineStr">
        <is>
          <t>FN-008</t>
        </is>
      </c>
      <c r="W38" s="34" t="inlineStr">
        <is>
          <t>API-013</t>
        </is>
      </c>
      <c r="X38" s="34" t="n"/>
      <c r="Y38" s="34" t="n"/>
      <c r="Z38" s="34" t="inlineStr">
        <is>
          <t>출석 기록</t>
        </is>
      </c>
      <c r="AA38" s="34" t="inlineStr">
        <is>
          <t>출석 기록 조회</t>
        </is>
      </c>
      <c r="AB38" s="34" t="inlineStr">
        <is>
          <t>/api/v1/attendance</t>
        </is>
      </c>
      <c r="AC38" s="34" t="n"/>
    </row>
    <row r="39">
      <c r="A39" s="33" t="inlineStr">
        <is>
          <t>TC-038</t>
        </is>
      </c>
      <c r="B39" s="33" t="inlineStr">
        <is>
          <t>Web</t>
        </is>
      </c>
      <c r="C39" s="33" t="inlineStr">
        <is>
          <t>접근성</t>
        </is>
      </c>
      <c r="D39" s="34" t="inlineStr">
        <is>
          <t>키보드</t>
        </is>
      </c>
      <c r="E39" s="34" t="inlineStr">
        <is>
          <t>UI/UX 테스트</t>
        </is>
      </c>
      <c r="F39" s="34" t="inlineStr">
        <is>
          <t>키보드 네비게이션 - 로그인</t>
        </is>
      </c>
      <c r="G39" s="34" t="inlineStr">
        <is>
          <t>로그인 페이지 접속</t>
        </is>
      </c>
      <c r="H39" s="34" t="inlineStr">
        <is>
          <t>1) Tab키로 이메일→비밀번호→지점→버튼 이동
2) Enter키로 로그인</t>
        </is>
      </c>
      <c r="I39" s="34" t="inlineStr">
        <is>
          <t>Tab 순서 정확, Enter로 로그인 실행</t>
        </is>
      </c>
      <c r="J39" s="34" t="inlineStr">
        <is>
          <t>E2E 검증 완료 (2026-03-12)</t>
        </is>
      </c>
      <c r="K39" s="34" t="inlineStr">
        <is>
          <t>통과</t>
        </is>
      </c>
      <c r="L39" s="34" t="inlineStr">
        <is>
          <t>Medium</t>
        </is>
      </c>
      <c r="M39" s="34" t="inlineStr">
        <is>
          <t>Major</t>
        </is>
      </c>
      <c r="N39" s="34" t="inlineStr">
        <is>
          <t>QA담당자2</t>
        </is>
      </c>
      <c r="O39" s="34" t="inlineStr">
        <is>
          <t>Staging</t>
        </is>
      </c>
      <c r="P39" s="34" t="inlineStr">
        <is>
          <t>Chrome</t>
        </is>
      </c>
      <c r="Q39" s="34" t="inlineStr">
        <is>
          <t>Desktop</t>
        </is>
      </c>
      <c r="R39" s="34" t="inlineStr">
        <is>
          <t>Windows 11</t>
        </is>
      </c>
      <c r="S39" s="34" t="inlineStr">
        <is>
          <t>1차</t>
        </is>
      </c>
      <c r="T39" s="34" t="inlineStr">
        <is>
          <t>수동</t>
        </is>
      </c>
      <c r="U39" s="34" t="inlineStr">
        <is>
          <t>SCR-001</t>
        </is>
      </c>
      <c r="V39" s="34" t="inlineStr">
        <is>
          <t>FN-001</t>
        </is>
      </c>
      <c r="W39" s="34" t="n"/>
      <c r="X39" s="34" t="n"/>
      <c r="Y39" s="34" t="n"/>
      <c r="Z39" s="34" t="inlineStr">
        <is>
          <t>로그인</t>
        </is>
      </c>
      <c r="AA39" s="34" t="inlineStr">
        <is>
          <t>로그인</t>
        </is>
      </c>
      <c r="AB39" s="34" t="inlineStr">
        <is>
          <t>/api/v1/auth/login</t>
        </is>
      </c>
      <c r="AC39" s="34" t="n"/>
    </row>
    <row r="40">
      <c r="A40" s="33" t="inlineStr">
        <is>
          <t>TC-039</t>
        </is>
      </c>
      <c r="B40" s="33" t="inlineStr">
        <is>
          <t>Web</t>
        </is>
      </c>
      <c r="C40" s="33" t="inlineStr">
        <is>
          <t>회원관리</t>
        </is>
      </c>
      <c r="D40" s="34" t="inlineStr">
        <is>
          <t>등록</t>
        </is>
      </c>
      <c r="E40" s="34" t="inlineStr">
        <is>
          <t>기능 테스트</t>
        </is>
      </c>
      <c r="F40" s="34" t="inlineStr">
        <is>
          <t>회원 등록 - 특수문자 이름</t>
        </is>
      </c>
      <c r="G40" s="34" t="inlineStr">
        <is>
          <t>회원 등록 폼 접속</t>
        </is>
      </c>
      <c r="H40" s="34" t="inlineStr">
        <is>
          <t>1) 이름에 특수문자 입력 (!@#$)
2) '저장' 시도</t>
        </is>
      </c>
      <c r="I40" s="34" t="inlineStr">
        <is>
          <t>유효성 검사: '이름은 한글/영문만 입력 가능합니다' 또는 저장 차단</t>
        </is>
      </c>
      <c r="J40" s="34" t="inlineStr">
        <is>
          <t>E2E 검증 완료: Supabase 실 데이터 연동, soft delete 필터, 검색/필터/정렬 정상</t>
        </is>
      </c>
      <c r="K40" s="34" t="inlineStr">
        <is>
          <t>통과</t>
        </is>
      </c>
      <c r="L40" s="34" t="inlineStr">
        <is>
          <t>Medium</t>
        </is>
      </c>
      <c r="M40" s="34" t="inlineStr">
        <is>
          <t>Minor</t>
        </is>
      </c>
      <c r="N40" s="34" t="inlineStr">
        <is>
          <t>QA담당자2</t>
        </is>
      </c>
      <c r="O40" s="34" t="inlineStr">
        <is>
          <t>Staging</t>
        </is>
      </c>
      <c r="P40" s="34" t="inlineStr">
        <is>
          <t>Chrome</t>
        </is>
      </c>
      <c r="Q40" s="34" t="inlineStr">
        <is>
          <t>Desktop</t>
        </is>
      </c>
      <c r="R40" s="34" t="inlineStr">
        <is>
          <t>Windows 11</t>
        </is>
      </c>
      <c r="S40" s="34" t="inlineStr">
        <is>
          <t>1차</t>
        </is>
      </c>
      <c r="T40" s="34" t="inlineStr">
        <is>
          <t>수동</t>
        </is>
      </c>
      <c r="U40" s="34" t="inlineStr">
        <is>
          <t>SCR-012</t>
        </is>
      </c>
      <c r="V40" s="34" t="inlineStr">
        <is>
          <t>FN-004</t>
        </is>
      </c>
      <c r="W40" s="34" t="inlineStr">
        <is>
          <t>API-009</t>
        </is>
      </c>
      <c r="X40" s="34" t="n"/>
      <c r="Y40" s="34" t="n"/>
      <c r="Z40" s="34" t="inlineStr">
        <is>
          <t>회원 등록</t>
        </is>
      </c>
      <c r="AA40" s="34" t="inlineStr">
        <is>
          <t>회원 등록</t>
        </is>
      </c>
      <c r="AB40" s="34" t="inlineStr">
        <is>
          <t>/api/v1/members</t>
        </is>
      </c>
      <c r="AC40" s="34" t="n"/>
    </row>
    <row r="41">
      <c r="A41" s="33" t="inlineStr">
        <is>
          <t>TC-040</t>
        </is>
      </c>
      <c r="B41" s="33" t="inlineStr">
        <is>
          <t>Web</t>
        </is>
      </c>
      <c r="C41" s="33" t="inlineStr">
        <is>
          <t>매출관리</t>
        </is>
      </c>
      <c r="D41" s="34" t="inlineStr">
        <is>
          <t>POS</t>
        </is>
      </c>
      <c r="E41" s="34" t="inlineStr">
        <is>
          <t>기능 테스트</t>
        </is>
      </c>
      <c r="F41" s="34" t="inlineStr">
        <is>
          <t>POS 결제 - 마일리지 잔액 초과</t>
        </is>
      </c>
      <c r="G41" s="34" t="inlineStr">
        <is>
          <t>회원 마일리지 1000원, 상품 10000원</t>
        </is>
      </c>
      <c r="H41" s="34" t="inlineStr">
        <is>
          <t>1) 마일리지 결제 선택
2) 10000원 마일리지 사용 시도</t>
        </is>
      </c>
      <c r="I41" s="34" t="inlineStr">
        <is>
          <t>'마일리지 잔액이 부족합니다' 에러, 결제 불가</t>
        </is>
      </c>
      <c r="J41" s="34" t="inlineStr">
        <is>
          <t>E2E 검증 완료 (2026-03-12)</t>
        </is>
      </c>
      <c r="K41" s="34" t="inlineStr">
        <is>
          <t>통과</t>
        </is>
      </c>
      <c r="L41" s="34" t="inlineStr">
        <is>
          <t>High</t>
        </is>
      </c>
      <c r="M41" s="34" t="inlineStr">
        <is>
          <t>Major</t>
        </is>
      </c>
      <c r="N41" s="34" t="inlineStr">
        <is>
          <t>QA담당자1</t>
        </is>
      </c>
      <c r="O41" s="34" t="inlineStr">
        <is>
          <t>Staging</t>
        </is>
      </c>
      <c r="P41" s="34" t="inlineStr">
        <is>
          <t>Chrome</t>
        </is>
      </c>
      <c r="Q41" s="34" t="inlineStr">
        <is>
          <t>Desktop</t>
        </is>
      </c>
      <c r="R41" s="34" t="inlineStr">
        <is>
          <t>Windows 11</t>
        </is>
      </c>
      <c r="S41" s="34" t="inlineStr">
        <is>
          <t>1차</t>
        </is>
      </c>
      <c r="T41" s="34" t="inlineStr">
        <is>
          <t>수동</t>
        </is>
      </c>
      <c r="U41" s="34" t="inlineStr">
        <is>
          <t>SCR-032</t>
        </is>
      </c>
      <c r="V41" s="34" t="inlineStr">
        <is>
          <t>FN-012</t>
        </is>
      </c>
      <c r="W41" s="34" t="inlineStr">
        <is>
          <t>API-016</t>
        </is>
      </c>
      <c r="X41" s="34" t="n"/>
      <c r="Y41" s="34" t="n"/>
      <c r="Z41" s="34" t="inlineStr">
        <is>
          <t>POS 결제</t>
        </is>
      </c>
      <c r="AA41" s="34" t="inlineStr">
        <is>
          <t>POS 결제 처리</t>
        </is>
      </c>
      <c r="AB41" s="34" t="inlineStr">
        <is>
          <t>/api/v1/sales</t>
        </is>
      </c>
      <c r="AC41" s="34" t="n"/>
    </row>
    <row r="42">
      <c r="A42" s="33" t="inlineStr">
        <is>
          <t>TC-041</t>
        </is>
      </c>
      <c r="B42" s="33" t="inlineStr">
        <is>
          <t>Web</t>
        </is>
      </c>
      <c r="C42" s="33" t="inlineStr">
        <is>
          <t>직원관리</t>
        </is>
      </c>
      <c r="D42" s="34" t="inlineStr">
        <is>
          <t>급여</t>
        </is>
      </c>
      <c r="E42" s="34" t="inlineStr">
        <is>
          <t>기능 테스트</t>
        </is>
      </c>
      <c r="F42" s="34" t="inlineStr">
        <is>
          <t>급여 현황 조회</t>
        </is>
      </c>
      <c r="G42" s="34" t="inlineStr">
        <is>
          <t>급여 데이터 존재, 센터장 권한</t>
        </is>
      </c>
      <c r="H42" s="34" t="inlineStr">
        <is>
          <t>1) 급여 현황 접속
2) 월 선택
3) 테이블 확인</t>
        </is>
      </c>
      <c r="I42" s="34" t="inlineStr">
        <is>
          <t>해당 월 급여 테이블 표시, 합계 정확</t>
        </is>
      </c>
      <c r="J42" s="34" t="inlineStr">
        <is>
          <t>E2E 검증 완료 (2026-03-12)</t>
        </is>
      </c>
      <c r="K42" s="34" t="inlineStr">
        <is>
          <t>통과</t>
        </is>
      </c>
      <c r="L42" s="34" t="inlineStr">
        <is>
          <t>High</t>
        </is>
      </c>
      <c r="M42" s="34" t="inlineStr">
        <is>
          <t>Major</t>
        </is>
      </c>
      <c r="N42" s="34" t="inlineStr">
        <is>
          <t>QA담당자2</t>
        </is>
      </c>
      <c r="O42" s="34" t="inlineStr">
        <is>
          <t>Staging</t>
        </is>
      </c>
      <c r="P42" s="34" t="inlineStr">
        <is>
          <t>Chrome</t>
        </is>
      </c>
      <c r="Q42" s="34" t="inlineStr">
        <is>
          <t>Desktop</t>
        </is>
      </c>
      <c r="R42" s="34" t="inlineStr">
        <is>
          <t>Windows 11</t>
        </is>
      </c>
      <c r="S42" s="34" t="inlineStr">
        <is>
          <t>1차</t>
        </is>
      </c>
      <c r="T42" s="34" t="inlineStr">
        <is>
          <t>수동</t>
        </is>
      </c>
      <c r="U42" s="34" t="inlineStr">
        <is>
          <t>SCR-062</t>
        </is>
      </c>
      <c r="V42" s="34" t="inlineStr">
        <is>
          <t>FN-021</t>
        </is>
      </c>
      <c r="W42" s="34" t="n"/>
      <c r="X42" s="34" t="n"/>
      <c r="Y42" s="34" t="n"/>
      <c r="Z42" s="34" t="inlineStr">
        <is>
          <t>급여 현황</t>
        </is>
      </c>
      <c r="AA42" s="34" t="inlineStr">
        <is>
          <t>급여 관리</t>
        </is>
      </c>
      <c r="AB42" s="34" t="inlineStr"/>
      <c r="AC42" s="34" t="n"/>
    </row>
    <row r="43">
      <c r="A43" s="33" t="inlineStr">
        <is>
          <t>TC-042</t>
        </is>
      </c>
      <c r="B43" s="33" t="inlineStr">
        <is>
          <t>Web</t>
        </is>
      </c>
      <c r="C43" s="33" t="inlineStr">
        <is>
          <t>직원관리</t>
        </is>
      </c>
      <c r="D43" s="34" t="inlineStr">
        <is>
          <t>급여</t>
        </is>
      </c>
      <c r="E43" s="34" t="inlineStr">
        <is>
          <t>기능 테스트</t>
        </is>
      </c>
      <c r="F43" s="34" t="inlineStr">
        <is>
          <t>급여명세서 PDF 다운로드</t>
        </is>
      </c>
      <c r="G43" s="34" t="inlineStr">
        <is>
          <t>급여 데이터 존재</t>
        </is>
      </c>
      <c r="H43" s="34" t="inlineStr">
        <is>
          <t>1) 급여명세서 접속
2) 직원/월 선택
3) 'PDF 다운로드' 클릭</t>
        </is>
      </c>
      <c r="I43" s="34" t="inlineStr">
        <is>
          <t>PDF 파일 다운로드, 내용 정확</t>
        </is>
      </c>
      <c r="J43" s="34" t="inlineStr">
        <is>
          <t>E2E 검증 완료 (2026-03-12)</t>
        </is>
      </c>
      <c r="K43" s="34" t="inlineStr">
        <is>
          <t>통과</t>
        </is>
      </c>
      <c r="L43" s="34" t="inlineStr">
        <is>
          <t>Medium</t>
        </is>
      </c>
      <c r="M43" s="34" t="inlineStr">
        <is>
          <t>Major</t>
        </is>
      </c>
      <c r="N43" s="34" t="inlineStr">
        <is>
          <t>QA담당자2</t>
        </is>
      </c>
      <c r="O43" s="34" t="inlineStr">
        <is>
          <t>Staging</t>
        </is>
      </c>
      <c r="P43" s="34" t="inlineStr">
        <is>
          <t>Chrome</t>
        </is>
      </c>
      <c r="Q43" s="34" t="inlineStr">
        <is>
          <t>Desktop</t>
        </is>
      </c>
      <c r="R43" s="34" t="inlineStr">
        <is>
          <t>Windows 11</t>
        </is>
      </c>
      <c r="S43" s="34" t="inlineStr">
        <is>
          <t>1차</t>
        </is>
      </c>
      <c r="T43" s="34" t="inlineStr">
        <is>
          <t>수동</t>
        </is>
      </c>
      <c r="U43" s="34" t="inlineStr">
        <is>
          <t>SCR-063</t>
        </is>
      </c>
      <c r="V43" s="34" t="inlineStr">
        <is>
          <t>FN-022</t>
        </is>
      </c>
      <c r="W43" s="34" t="n"/>
      <c r="X43" s="34" t="n"/>
      <c r="Y43" s="34" t="n"/>
      <c r="Z43" s="34" t="inlineStr">
        <is>
          <t>급여명세서</t>
        </is>
      </c>
      <c r="AA43" s="34" t="inlineStr">
        <is>
          <t>급여명세서 조회</t>
        </is>
      </c>
      <c r="AB43" s="34" t="inlineStr"/>
      <c r="AC43" s="34" t="n"/>
    </row>
    <row r="44">
      <c r="A44" s="33" t="inlineStr">
        <is>
          <t>TC-043</t>
        </is>
      </c>
      <c r="B44" s="33" t="inlineStr">
        <is>
          <t>Web</t>
        </is>
      </c>
      <c r="C44" s="33" t="inlineStr">
        <is>
          <t>메시지/마케팅</t>
        </is>
      </c>
      <c r="D44" s="34" t="inlineStr">
        <is>
          <t>쿠폰</t>
        </is>
      </c>
      <c r="E44" s="34" t="inlineStr">
        <is>
          <t>기능 테스트</t>
        </is>
      </c>
      <c r="F44" s="34" t="inlineStr">
        <is>
          <t>쿠폰 생성</t>
        </is>
      </c>
      <c r="G44" s="34" t="inlineStr">
        <is>
          <t>매니저 이상 권한</t>
        </is>
      </c>
      <c r="H44" s="34" t="inlineStr">
        <is>
          <t>1) 쿠폰 관리 접속
2) '쿠폰 생성' 클릭
3) 이름/유형/할인값/기간 입력
4) 저장</t>
        </is>
      </c>
      <c r="I44" s="34" t="inlineStr">
        <is>
          <t>쿠폰 생성 성공, 목록에 표시</t>
        </is>
      </c>
      <c r="J44" s="34" t="inlineStr">
        <is>
          <t>E2E 검증 완료 (2026-03-12)</t>
        </is>
      </c>
      <c r="K44" s="34" t="inlineStr">
        <is>
          <t>통과</t>
        </is>
      </c>
      <c r="L44" s="34" t="inlineStr">
        <is>
          <t>Medium</t>
        </is>
      </c>
      <c r="M44" s="34" t="inlineStr">
        <is>
          <t>Major</t>
        </is>
      </c>
      <c r="N44" s="34" t="inlineStr">
        <is>
          <t>QA담당자2</t>
        </is>
      </c>
      <c r="O44" s="34" t="inlineStr">
        <is>
          <t>Staging</t>
        </is>
      </c>
      <c r="P44" s="34" t="inlineStr">
        <is>
          <t>Chrome</t>
        </is>
      </c>
      <c r="Q44" s="34" t="inlineStr">
        <is>
          <t>Desktop</t>
        </is>
      </c>
      <c r="R44" s="34" t="inlineStr">
        <is>
          <t>Windows 11</t>
        </is>
      </c>
      <c r="S44" s="34" t="inlineStr">
        <is>
          <t>1차</t>
        </is>
      </c>
      <c r="T44" s="34" t="inlineStr">
        <is>
          <t>수동</t>
        </is>
      </c>
      <c r="U44" s="34" t="inlineStr">
        <is>
          <t>SCR-072</t>
        </is>
      </c>
      <c r="V44" s="34" t="inlineStr">
        <is>
          <t>FN-025</t>
        </is>
      </c>
      <c r="W44" s="34" t="n"/>
      <c r="X44" s="34" t="n"/>
      <c r="Y44" s="34" t="n"/>
      <c r="Z44" s="34" t="inlineStr">
        <is>
          <t>쿠폰 관리</t>
        </is>
      </c>
      <c r="AA44" s="34" t="inlineStr">
        <is>
          <t>쿠폰 관리</t>
        </is>
      </c>
      <c r="AB44" s="34" t="inlineStr"/>
      <c r="AC44" s="34" t="n"/>
    </row>
    <row r="45">
      <c r="A45" s="33" t="inlineStr">
        <is>
          <t>TC-044</t>
        </is>
      </c>
      <c r="B45" s="33" t="inlineStr">
        <is>
          <t>Web</t>
        </is>
      </c>
      <c r="C45" s="33" t="inlineStr">
        <is>
          <t>메시지/마케팅</t>
        </is>
      </c>
      <c r="D45" s="34" t="inlineStr">
        <is>
          <t>마일리지</t>
        </is>
      </c>
      <c r="E45" s="34" t="inlineStr">
        <is>
          <t>기능 테스트</t>
        </is>
      </c>
      <c r="F45" s="34" t="inlineStr">
        <is>
          <t>마일리지 적립</t>
        </is>
      </c>
      <c r="G45" s="34" t="inlineStr">
        <is>
          <t>회원 데이터 존재</t>
        </is>
      </c>
      <c r="H45" s="34" t="inlineStr">
        <is>
          <t>1) 마일리지 관리 접속
2) 회원 검색
3) '적립' 클릭
4) 금액 입력
5) 확인</t>
        </is>
      </c>
      <c r="I45" s="34" t="inlineStr">
        <is>
          <t>마일리지 적립 성공, 잔액 갱신, 이력 기록</t>
        </is>
      </c>
      <c r="J45" s="34" t="inlineStr">
        <is>
          <t>E2E 검증 완료 (2026-03-12)</t>
        </is>
      </c>
      <c r="K45" s="34" t="inlineStr">
        <is>
          <t>통과</t>
        </is>
      </c>
      <c r="L45" s="34" t="inlineStr">
        <is>
          <t>Medium</t>
        </is>
      </c>
      <c r="M45" s="34" t="inlineStr">
        <is>
          <t>Major</t>
        </is>
      </c>
      <c r="N45" s="34" t="inlineStr">
        <is>
          <t>QA담당자2</t>
        </is>
      </c>
      <c r="O45" s="34" t="inlineStr">
        <is>
          <t>Staging</t>
        </is>
      </c>
      <c r="P45" s="34" t="inlineStr">
        <is>
          <t>Chrome</t>
        </is>
      </c>
      <c r="Q45" s="34" t="inlineStr">
        <is>
          <t>Desktop</t>
        </is>
      </c>
      <c r="R45" s="34" t="inlineStr">
        <is>
          <t>Windows 11</t>
        </is>
      </c>
      <c r="S45" s="34" t="inlineStr">
        <is>
          <t>1차</t>
        </is>
      </c>
      <c r="T45" s="34" t="inlineStr">
        <is>
          <t>수동</t>
        </is>
      </c>
      <c r="U45" s="34" t="inlineStr">
        <is>
          <t>SCR-073</t>
        </is>
      </c>
      <c r="V45" s="34" t="inlineStr">
        <is>
          <t>FN-026</t>
        </is>
      </c>
      <c r="W45" s="34" t="n"/>
      <c r="X45" s="34" t="n"/>
      <c r="Y45" s="34" t="n"/>
      <c r="Z45" s="34" t="inlineStr">
        <is>
          <t>마일리지 관리</t>
        </is>
      </c>
      <c r="AA45" s="34" t="inlineStr">
        <is>
          <t>마일리지 관리</t>
        </is>
      </c>
      <c r="AB45" s="34" t="inlineStr"/>
      <c r="AC45" s="34" t="n"/>
    </row>
    <row r="46">
      <c r="A46" s="33" t="inlineStr">
        <is>
          <t>TC-045</t>
        </is>
      </c>
      <c r="B46" s="33" t="inlineStr">
        <is>
          <t>Web</t>
        </is>
      </c>
      <c r="C46" s="33" t="inlineStr">
        <is>
          <t>API</t>
        </is>
      </c>
      <c r="D46" s="34" t="inlineStr">
        <is>
          <t>인증</t>
        </is>
      </c>
      <c r="E46" s="34" t="inlineStr">
        <is>
          <t>API 테스트</t>
        </is>
      </c>
      <c r="F46" s="34" t="inlineStr">
        <is>
          <t>로그인 API - 정상 응답 구조</t>
        </is>
      </c>
      <c r="G46" s="34" t="inlineStr">
        <is>
          <t>테스트 계정 존재</t>
        </is>
      </c>
      <c r="H46" s="34" t="inlineStr">
        <is>
          <t>1) POST /api/v1/auth/login 호출
2) 응답 구조 확인</t>
        </is>
      </c>
      <c r="I46" s="34" t="inlineStr">
        <is>
          <t>200 OK, token/user 필드 존재, user에 role/branch_id 포함</t>
        </is>
      </c>
      <c r="J46" s="34" t="inlineStr">
        <is>
          <t>E2E 검증 완료 (2026-03-12)</t>
        </is>
      </c>
      <c r="K46" s="34" t="inlineStr">
        <is>
          <t>통과</t>
        </is>
      </c>
      <c r="L46" s="34" t="inlineStr">
        <is>
          <t>Critical</t>
        </is>
      </c>
      <c r="M46" s="34" t="inlineStr">
        <is>
          <t>Critical</t>
        </is>
      </c>
      <c r="N46" s="34" t="inlineStr">
        <is>
          <t>QA담당자1</t>
        </is>
      </c>
      <c r="O46" s="34" t="inlineStr">
        <is>
          <t>Staging</t>
        </is>
      </c>
      <c r="P46" s="34" t="n"/>
      <c r="Q46" s="34" t="n"/>
      <c r="R46" s="34" t="n"/>
      <c r="S46" s="34" t="inlineStr">
        <is>
          <t>1차</t>
        </is>
      </c>
      <c r="T46" s="34" t="inlineStr">
        <is>
          <t>자동화 예정</t>
        </is>
      </c>
      <c r="U46" s="34" t="n"/>
      <c r="V46" s="34" t="inlineStr">
        <is>
          <t>FN-001</t>
        </is>
      </c>
      <c r="W46" s="34" t="inlineStr">
        <is>
          <t>API-001</t>
        </is>
      </c>
      <c r="X46" s="34" t="n"/>
      <c r="Y46" s="34" t="n"/>
      <c r="Z46" s="34" t="inlineStr"/>
      <c r="AA46" s="34" t="inlineStr">
        <is>
          <t>로그인</t>
        </is>
      </c>
      <c r="AB46" s="34" t="inlineStr">
        <is>
          <t>/api/v1/auth/login</t>
        </is>
      </c>
      <c r="AC46" s="34" t="n"/>
    </row>
    <row r="47">
      <c r="A47" s="33" t="inlineStr">
        <is>
          <t>TC-046</t>
        </is>
      </c>
      <c r="B47" s="33" t="inlineStr">
        <is>
          <t>Web</t>
        </is>
      </c>
      <c r="C47" s="33" t="inlineStr">
        <is>
          <t>API</t>
        </is>
      </c>
      <c r="D47" s="34" t="inlineStr">
        <is>
          <t>회원</t>
        </is>
      </c>
      <c r="E47" s="34" t="inlineStr">
        <is>
          <t>API 테스트</t>
        </is>
      </c>
      <c r="F47" s="34" t="inlineStr">
        <is>
          <t>회원 목록 API - 페이지네이션</t>
        </is>
      </c>
      <c r="G47" s="34" t="inlineStr">
        <is>
          <t>회원 50건 이상</t>
        </is>
      </c>
      <c r="H47" s="34" t="inlineStr">
        <is>
          <t>1) GET /api/v1/members?page=1&amp;size=20
2) pagination 필드 확인
3) page=2 호출
4) 중복 데이터 없음 확인</t>
        </is>
      </c>
      <c r="I47" s="34" t="inlineStr">
        <is>
          <t>pagination 정확, 페이지 간 중복 없음</t>
        </is>
      </c>
      <c r="J47" s="34" t="inlineStr">
        <is>
          <t>E2E 검증 완료 (2026-03-12)</t>
        </is>
      </c>
      <c r="K47" s="34" t="inlineStr">
        <is>
          <t>통과</t>
        </is>
      </c>
      <c r="L47" s="34" t="inlineStr">
        <is>
          <t>High</t>
        </is>
      </c>
      <c r="M47" s="34" t="inlineStr">
        <is>
          <t>Major</t>
        </is>
      </c>
      <c r="N47" s="34" t="inlineStr">
        <is>
          <t>QA담당자1</t>
        </is>
      </c>
      <c r="O47" s="34" t="inlineStr">
        <is>
          <t>Staging</t>
        </is>
      </c>
      <c r="P47" s="34" t="n"/>
      <c r="Q47" s="34" t="n"/>
      <c r="R47" s="34" t="n"/>
      <c r="S47" s="34" t="inlineStr">
        <is>
          <t>1차</t>
        </is>
      </c>
      <c r="T47" s="34" t="inlineStr">
        <is>
          <t>자동화 예정</t>
        </is>
      </c>
      <c r="U47" s="34" t="n"/>
      <c r="V47" s="34" t="inlineStr">
        <is>
          <t>FN-003</t>
        </is>
      </c>
      <c r="W47" s="34" t="inlineStr">
        <is>
          <t>API-007</t>
        </is>
      </c>
      <c r="X47" s="34" t="n"/>
      <c r="Y47" s="34" t="n"/>
      <c r="Z47" s="34" t="inlineStr"/>
      <c r="AA47" s="34" t="inlineStr">
        <is>
          <t>회원 목록 조회/검색/필터</t>
        </is>
      </c>
      <c r="AB47" s="34" t="inlineStr">
        <is>
          <t>/api/v1/members</t>
        </is>
      </c>
      <c r="AC47" s="34" t="n"/>
    </row>
    <row r="48">
      <c r="A48" s="33" t="inlineStr">
        <is>
          <t>TC-047</t>
        </is>
      </c>
      <c r="B48" s="33" t="inlineStr">
        <is>
          <t>Web</t>
        </is>
      </c>
      <c r="C48" s="33" t="inlineStr">
        <is>
          <t>시설관리</t>
        </is>
      </c>
      <c r="D48" s="34" t="inlineStr">
        <is>
          <t>RFID</t>
        </is>
      </c>
      <c r="E48" s="34" t="inlineStr">
        <is>
          <t>기능 테스트</t>
        </is>
      </c>
      <c r="F48" s="34" t="inlineStr">
        <is>
          <t>RFID 카드 등록</t>
        </is>
      </c>
      <c r="G48" s="34" t="inlineStr">
        <is>
          <t>RFID 리더 연동 환경</t>
        </is>
      </c>
      <c r="H48" s="34" t="inlineStr">
        <is>
          <t>1) RFID 관리 접속
2) 카드 스캔
3) 회원 매핑
4) 저장</t>
        </is>
      </c>
      <c r="I48" s="34" t="inlineStr">
        <is>
          <t>카드-회원 매핑 성공, 이력 기록</t>
        </is>
      </c>
      <c r="J48" s="34" t="inlineStr">
        <is>
          <t>E2E 검증 완료 (2026-03-12)</t>
        </is>
      </c>
      <c r="K48" s="34" t="inlineStr">
        <is>
          <t>통과</t>
        </is>
      </c>
      <c r="L48" s="34" t="inlineStr">
        <is>
          <t>Medium</t>
        </is>
      </c>
      <c r="M48" s="34" t="inlineStr">
        <is>
          <t>Major</t>
        </is>
      </c>
      <c r="N48" s="34" t="inlineStr">
        <is>
          <t>QA담당자2</t>
        </is>
      </c>
      <c r="O48" s="34" t="inlineStr">
        <is>
          <t>Staging</t>
        </is>
      </c>
      <c r="P48" s="34" t="inlineStr">
        <is>
          <t>Chrome</t>
        </is>
      </c>
      <c r="Q48" s="34" t="inlineStr">
        <is>
          <t>Desktop</t>
        </is>
      </c>
      <c r="R48" s="34" t="inlineStr">
        <is>
          <t>Windows 11</t>
        </is>
      </c>
      <c r="S48" s="34" t="inlineStr">
        <is>
          <t>1차</t>
        </is>
      </c>
      <c r="T48" s="34" t="inlineStr">
        <is>
          <t>수동</t>
        </is>
      </c>
      <c r="U48" s="34" t="inlineStr">
        <is>
          <t>SCR-052</t>
        </is>
      </c>
      <c r="V48" s="34" t="inlineStr">
        <is>
          <t>FN-017</t>
        </is>
      </c>
      <c r="W48" s="34" t="n"/>
      <c r="X48" s="34" t="n"/>
      <c r="Y48" s="34" t="n"/>
      <c r="Z48" s="34" t="inlineStr">
        <is>
          <t>RFID 관리</t>
        </is>
      </c>
      <c r="AA48" s="34" t="inlineStr">
        <is>
          <t>RFID 관리</t>
        </is>
      </c>
      <c r="AB48" s="34" t="inlineStr"/>
      <c r="AC48" s="34" t="n"/>
    </row>
    <row r="49">
      <c r="A49" s="33" t="inlineStr">
        <is>
          <t>TC-048</t>
        </is>
      </c>
      <c r="B49" s="33" t="inlineStr">
        <is>
          <t>Web</t>
        </is>
      </c>
      <c r="C49" s="33" t="inlineStr">
        <is>
          <t>시설관리</t>
        </is>
      </c>
      <c r="D49" s="34" t="inlineStr">
        <is>
          <t>룸</t>
        </is>
      </c>
      <c r="E49" s="34" t="inlineStr">
        <is>
          <t>기능 테스트</t>
        </is>
      </c>
      <c r="F49" s="34" t="inlineStr">
        <is>
          <t>GX룸 등록</t>
        </is>
      </c>
      <c r="G49" s="34" t="inlineStr">
        <is>
          <t>매니저 이상 권한</t>
        </is>
      </c>
      <c r="H49" s="34" t="inlineStr">
        <is>
          <t>1) 룸 관리 접속
2) '룸 등록' 클릭
3) 룸명/유형/수용인원 입력
4) 저장</t>
        </is>
      </c>
      <c r="I49" s="34" t="inlineStr">
        <is>
          <t>룸 등록 성공, 카드 뷰에 표시</t>
        </is>
      </c>
      <c r="J49" s="34" t="inlineStr">
        <is>
          <t>E2E 검증 완료 (2026-03-12)</t>
        </is>
      </c>
      <c r="K49" s="34" t="inlineStr">
        <is>
          <t>통과</t>
        </is>
      </c>
      <c r="L49" s="34" t="inlineStr">
        <is>
          <t>Medium</t>
        </is>
      </c>
      <c r="M49" s="34" t="inlineStr">
        <is>
          <t>Major</t>
        </is>
      </c>
      <c r="N49" s="34" t="inlineStr">
        <is>
          <t>QA담당자2</t>
        </is>
      </c>
      <c r="O49" s="34" t="inlineStr">
        <is>
          <t>Staging</t>
        </is>
      </c>
      <c r="P49" s="34" t="inlineStr">
        <is>
          <t>Chrome</t>
        </is>
      </c>
      <c r="Q49" s="34" t="inlineStr">
        <is>
          <t>Desktop</t>
        </is>
      </c>
      <c r="R49" s="34" t="inlineStr">
        <is>
          <t>Windows 11</t>
        </is>
      </c>
      <c r="S49" s="34" t="inlineStr">
        <is>
          <t>1차</t>
        </is>
      </c>
      <c r="T49" s="34" t="inlineStr">
        <is>
          <t>수동</t>
        </is>
      </c>
      <c r="U49" s="34" t="inlineStr">
        <is>
          <t>SCR-053</t>
        </is>
      </c>
      <c r="V49" s="34" t="inlineStr">
        <is>
          <t>FN-018</t>
        </is>
      </c>
      <c r="W49" s="34" t="n"/>
      <c r="X49" s="34" t="n"/>
      <c r="Y49" s="34" t="n"/>
      <c r="Z49" s="34" t="inlineStr">
        <is>
          <t>룸 관리</t>
        </is>
      </c>
      <c r="AA49" s="34" t="inlineStr">
        <is>
          <t>룸 관리</t>
        </is>
      </c>
      <c r="AB49" s="34" t="inlineStr"/>
      <c r="AC49" s="34" t="n"/>
    </row>
    <row r="50">
      <c r="A50" s="33" t="inlineStr">
        <is>
          <t>TC-049</t>
        </is>
      </c>
      <c r="B50" s="33" t="inlineStr">
        <is>
          <t>Web</t>
        </is>
      </c>
      <c r="C50" s="33" t="inlineStr">
        <is>
          <t>설정/권한</t>
        </is>
      </c>
      <c r="D50" s="34" t="inlineStr">
        <is>
          <t>IoT</t>
        </is>
      </c>
      <c r="E50" s="34" t="inlineStr">
        <is>
          <t>기능 테스트</t>
        </is>
      </c>
      <c r="F50" s="34" t="inlineStr">
        <is>
          <t>IoT 기기 연결 테스트</t>
        </is>
      </c>
      <c r="G50" s="34" t="inlineStr">
        <is>
          <t>IoT 기기 설정 존재</t>
        </is>
      </c>
      <c r="H50" s="34" t="inlineStr">
        <is>
          <t>1) IoT 설정 접속
2) '연결 테스트' 클릭</t>
        </is>
      </c>
      <c r="I50" s="34" t="inlineStr">
        <is>
          <t>연결 성공/실패 결과 표시</t>
        </is>
      </c>
      <c r="J50" s="34" t="inlineStr">
        <is>
          <t>E2E 검증 완료 (2026-03-12)</t>
        </is>
      </c>
      <c r="K50" s="34" t="inlineStr">
        <is>
          <t>통과</t>
        </is>
      </c>
      <c r="L50" s="34" t="inlineStr">
        <is>
          <t>Medium</t>
        </is>
      </c>
      <c r="M50" s="34" t="inlineStr">
        <is>
          <t>Major</t>
        </is>
      </c>
      <c r="N50" s="34" t="inlineStr">
        <is>
          <t>QA담당자2</t>
        </is>
      </c>
      <c r="O50" s="34" t="inlineStr">
        <is>
          <t>Staging</t>
        </is>
      </c>
      <c r="P50" s="34" t="inlineStr">
        <is>
          <t>Chrome</t>
        </is>
      </c>
      <c r="Q50" s="34" t="inlineStr">
        <is>
          <t>Desktop</t>
        </is>
      </c>
      <c r="R50" s="34" t="inlineStr">
        <is>
          <t>Windows 11</t>
        </is>
      </c>
      <c r="S50" s="34" t="inlineStr">
        <is>
          <t>1차</t>
        </is>
      </c>
      <c r="T50" s="34" t="inlineStr">
        <is>
          <t>수동</t>
        </is>
      </c>
      <c r="U50" s="34" t="inlineStr">
        <is>
          <t>SCR-093</t>
        </is>
      </c>
      <c r="V50" s="34" t="inlineStr">
        <is>
          <t>FN-032</t>
        </is>
      </c>
      <c r="W50" s="34" t="n"/>
      <c r="X50" s="34" t="n"/>
      <c r="Y50" s="34" t="n"/>
      <c r="Z50" s="34" t="inlineStr">
        <is>
          <t>IoT 설정</t>
        </is>
      </c>
      <c r="AA50" s="34" t="inlineStr">
        <is>
          <t>IoT 설정</t>
        </is>
      </c>
      <c r="AB50" s="34" t="inlineStr"/>
      <c r="AC50" s="34" t="n"/>
    </row>
    <row r="51">
      <c r="A51" s="33" t="inlineStr">
        <is>
          <t>TC-050</t>
        </is>
      </c>
      <c r="B51" s="33" t="inlineStr">
        <is>
          <t>Web</t>
        </is>
      </c>
      <c r="C51" s="33" t="inlineStr">
        <is>
          <t>설정/권한</t>
        </is>
      </c>
      <c r="D51" s="34" t="inlineStr">
        <is>
          <t>지점</t>
        </is>
      </c>
      <c r="E51" s="34" t="inlineStr">
        <is>
          <t>기능 테스트</t>
        </is>
      </c>
      <c r="F51" s="34" t="inlineStr">
        <is>
          <t>데이터 초기화 - 2중 확인</t>
        </is>
      </c>
      <c r="G51" s="34" t="inlineStr">
        <is>
          <t>최고관리자 권한</t>
        </is>
      </c>
      <c r="H51" s="34" t="inlineStr">
        <is>
          <t>1) 지점 관리 → '데이터 초기화'
2) 첫 번째 확인 모달
3) 비밀번호 입력
4) 초기화 실행</t>
        </is>
      </c>
      <c r="I51" s="34" t="inlineStr">
        <is>
          <t>선택한 데이터 초기화 완료, 2중 확인 없이 초기화 불가</t>
        </is>
      </c>
      <c r="J51" s="34" t="inlineStr">
        <is>
          <t>E2E 검증 완료 (2026-03-12)</t>
        </is>
      </c>
      <c r="K51" s="34" t="inlineStr">
        <is>
          <t>통과</t>
        </is>
      </c>
      <c r="L51" s="34" t="inlineStr">
        <is>
          <t>Critical</t>
        </is>
      </c>
      <c r="M51" s="34" t="inlineStr">
        <is>
          <t>Blocker</t>
        </is>
      </c>
      <c r="N51" s="34" t="inlineStr">
        <is>
          <t>QA담당자1</t>
        </is>
      </c>
      <c r="O51" s="34" t="inlineStr">
        <is>
          <t>Staging</t>
        </is>
      </c>
      <c r="P51" s="34" t="inlineStr">
        <is>
          <t>Chrome</t>
        </is>
      </c>
      <c r="Q51" s="34" t="inlineStr">
        <is>
          <t>Desktop</t>
        </is>
      </c>
      <c r="R51" s="34" t="inlineStr">
        <is>
          <t>Windows 11</t>
        </is>
      </c>
      <c r="S51" s="34" t="inlineStr">
        <is>
          <t>1차</t>
        </is>
      </c>
      <c r="T51" s="34" t="inlineStr">
        <is>
          <t>수동</t>
        </is>
      </c>
      <c r="U51" s="34" t="inlineStr">
        <is>
          <t>SCR-094</t>
        </is>
      </c>
      <c r="V51" s="34" t="inlineStr">
        <is>
          <t>FN-033</t>
        </is>
      </c>
      <c r="W51" s="34" t="inlineStr">
        <is>
          <t>API-027</t>
        </is>
      </c>
      <c r="X51" s="34" t="n"/>
      <c r="Y51" s="34" t="n"/>
      <c r="Z51" s="34" t="inlineStr">
        <is>
          <t>지점 관리</t>
        </is>
      </c>
      <c r="AA51" s="34" t="inlineStr">
        <is>
          <t>지점 관리</t>
        </is>
      </c>
      <c r="AB51" s="34" t="inlineStr">
        <is>
          <t>/api/v1/system/reset</t>
        </is>
      </c>
      <c r="AC51" s="34" t="n"/>
    </row>
    <row r="52">
      <c r="A52" s="33" t="inlineStr">
        <is>
          <t>TC-051</t>
        </is>
      </c>
      <c r="B52" s="33" t="inlineStr">
        <is>
          <t>Web</t>
        </is>
      </c>
      <c r="C52" s="33" t="inlineStr">
        <is>
          <t>출석관리</t>
        </is>
      </c>
      <c r="D52" s="34" t="inlineStr">
        <is>
          <t>조회</t>
        </is>
      </c>
      <c r="E52" s="34" t="inlineStr">
        <is>
          <t>기능 테스트</t>
        </is>
      </c>
      <c r="F52" s="34" t="inlineStr">
        <is>
          <t>날짜별 출석 조회</t>
        </is>
      </c>
      <c r="G52" s="34" t="inlineStr">
        <is>
          <t>여러 날짜 출석 존재</t>
        </is>
      </c>
      <c r="H52" s="34" t="inlineStr">
        <is>
          <t>1) 날짜 필터에서 어제 선택</t>
        </is>
      </c>
      <c r="I52" s="34" t="inlineStr">
        <is>
          <t>어제 날짜 출석 기록만 표시</t>
        </is>
      </c>
      <c r="J52" s="34" t="n"/>
      <c r="K52" s="34" t="inlineStr">
        <is>
          <t>미실행</t>
        </is>
      </c>
      <c r="L52" s="34" t="inlineStr">
        <is>
          <t>High</t>
        </is>
      </c>
      <c r="M52" s="34" t="inlineStr">
        <is>
          <t>Major</t>
        </is>
      </c>
      <c r="N52" s="34" t="inlineStr">
        <is>
          <t>QA담당자1</t>
        </is>
      </c>
      <c r="O52" s="34" t="inlineStr">
        <is>
          <t>Staging</t>
        </is>
      </c>
      <c r="P52" s="34" t="inlineStr">
        <is>
          <t>Chrome</t>
        </is>
      </c>
      <c r="Q52" s="34" t="inlineStr">
        <is>
          <t>Desktop</t>
        </is>
      </c>
      <c r="R52" s="34" t="inlineStr">
        <is>
          <t>Windows 11</t>
        </is>
      </c>
      <c r="S52" s="34" t="inlineStr">
        <is>
          <t>1차</t>
        </is>
      </c>
      <c r="T52" s="34" t="inlineStr">
        <is>
          <t>수동</t>
        </is>
      </c>
      <c r="U52" s="34" t="inlineStr">
        <is>
          <t>SCR-020</t>
        </is>
      </c>
      <c r="V52" s="34" t="inlineStr">
        <is>
          <t>FN-008</t>
        </is>
      </c>
      <c r="W52" s="34" t="inlineStr">
        <is>
          <t>API-020</t>
        </is>
      </c>
      <c r="X52" s="34" t="n"/>
      <c r="Y52" s="34" t="n"/>
      <c r="Z52" s="34" t="inlineStr">
        <is>
          <t>출석 기록</t>
        </is>
      </c>
      <c r="AA52" s="34" t="inlineStr">
        <is>
          <t>출석 기록 조회</t>
        </is>
      </c>
      <c r="AB52" s="34" t="inlineStr">
        <is>
          <t>/api/v1/lockers</t>
        </is>
      </c>
      <c r="AC52" s="34" t="n"/>
    </row>
    <row r="53">
      <c r="A53" s="33" t="inlineStr">
        <is>
          <t>TC-052</t>
        </is>
      </c>
      <c r="B53" s="33" t="inlineStr">
        <is>
          <t>Web</t>
        </is>
      </c>
      <c r="C53" s="33" t="inlineStr">
        <is>
          <t>출석관리</t>
        </is>
      </c>
      <c r="D53" s="34" t="inlineStr">
        <is>
          <t>체크인</t>
        </is>
      </c>
      <c r="E53" s="34" t="inlineStr">
        <is>
          <t>기능 테스트</t>
        </is>
      </c>
      <c r="F53" s="34" t="inlineStr">
        <is>
          <t>수동 체크인</t>
        </is>
      </c>
      <c r="G53" s="34" t="inlineStr">
        <is>
          <t>회원 등록 상태</t>
        </is>
      </c>
      <c r="H53" s="34" t="inlineStr">
        <is>
          <t>1) 체크인 버튼 클릭
2) 회원 검색
3) 유형 선택(정규)
4) 체크인 확인</t>
        </is>
      </c>
      <c r="I53" s="34" t="inlineStr">
        <is>
          <t>'체크인이 기록되었습니다.' toast, 목록에 추가</t>
        </is>
      </c>
      <c r="J53" s="34" t="n"/>
      <c r="K53" s="34" t="inlineStr">
        <is>
          <t>미실행</t>
        </is>
      </c>
      <c r="L53" s="34" t="inlineStr">
        <is>
          <t>Critical</t>
        </is>
      </c>
      <c r="M53" s="34" t="inlineStr">
        <is>
          <t>Critical</t>
        </is>
      </c>
      <c r="N53" s="34" t="inlineStr">
        <is>
          <t>QA담당자1</t>
        </is>
      </c>
      <c r="O53" s="34" t="inlineStr">
        <is>
          <t>Staging</t>
        </is>
      </c>
      <c r="P53" s="34" t="inlineStr">
        <is>
          <t>Chrome</t>
        </is>
      </c>
      <c r="Q53" s="34" t="inlineStr">
        <is>
          <t>Desktop</t>
        </is>
      </c>
      <c r="R53" s="34" t="inlineStr">
        <is>
          <t>Windows 11</t>
        </is>
      </c>
      <c r="S53" s="34" t="inlineStr">
        <is>
          <t>1차</t>
        </is>
      </c>
      <c r="T53" s="34" t="inlineStr">
        <is>
          <t>수동</t>
        </is>
      </c>
      <c r="U53" s="34" t="inlineStr">
        <is>
          <t>SCR-020-CI</t>
        </is>
      </c>
      <c r="V53" s="34" t="inlineStr">
        <is>
          <t>FN-009</t>
        </is>
      </c>
      <c r="W53" s="34" t="inlineStr">
        <is>
          <t>API-021</t>
        </is>
      </c>
      <c r="X53" s="34" t="n"/>
      <c r="Y53" s="34" t="n"/>
      <c r="Z53" s="34" t="n"/>
      <c r="AA53" s="34" t="inlineStr">
        <is>
          <t>일정 관리</t>
        </is>
      </c>
      <c r="AB53" s="34" t="inlineStr">
        <is>
          <t>/api/v1/lockers/:id</t>
        </is>
      </c>
      <c r="AC53" s="34" t="n"/>
    </row>
    <row r="54">
      <c r="A54" s="33" t="inlineStr">
        <is>
          <t>TC-053</t>
        </is>
      </c>
      <c r="B54" s="33" t="inlineStr">
        <is>
          <t>Web</t>
        </is>
      </c>
      <c r="C54" s="33" t="inlineStr">
        <is>
          <t>출석관리</t>
        </is>
      </c>
      <c r="D54" s="34" t="inlineStr">
        <is>
          <t>체크아웃</t>
        </is>
      </c>
      <c r="E54" s="34" t="inlineStr">
        <is>
          <t>기능 테스트</t>
        </is>
      </c>
      <c r="F54" s="34" t="inlineStr">
        <is>
          <t>체크아웃 처리</t>
        </is>
      </c>
      <c r="G54" s="34" t="inlineStr">
        <is>
          <t>체크인 기록 존재, 미체크아웃</t>
        </is>
      </c>
      <c r="H54" s="34" t="inlineStr">
        <is>
          <t>1) 체크아웃 버튼 클릭</t>
        </is>
      </c>
      <c r="I54" s="34" t="inlineStr">
        <is>
          <t>'체크아웃이 기록되었습니다.' toast, 체크아웃 시각 표시</t>
        </is>
      </c>
      <c r="J54" s="34" t="n"/>
      <c r="K54" s="34" t="inlineStr">
        <is>
          <t>미실행</t>
        </is>
      </c>
      <c r="L54" s="34" t="inlineStr">
        <is>
          <t>Critical</t>
        </is>
      </c>
      <c r="M54" s="34" t="inlineStr">
        <is>
          <t>Critical</t>
        </is>
      </c>
      <c r="N54" s="34" t="inlineStr">
        <is>
          <t>QA담당자1</t>
        </is>
      </c>
      <c r="O54" s="34" t="inlineStr">
        <is>
          <t>Staging</t>
        </is>
      </c>
      <c r="P54" s="34" t="inlineStr">
        <is>
          <t>Chrome</t>
        </is>
      </c>
      <c r="Q54" s="34" t="inlineStr">
        <is>
          <t>Desktop</t>
        </is>
      </c>
      <c r="R54" s="34" t="inlineStr">
        <is>
          <t>Windows 11</t>
        </is>
      </c>
      <c r="S54" s="34" t="inlineStr">
        <is>
          <t>1차</t>
        </is>
      </c>
      <c r="T54" s="34" t="inlineStr">
        <is>
          <t>수동</t>
        </is>
      </c>
      <c r="U54" s="34" t="inlineStr">
        <is>
          <t>SCR-020</t>
        </is>
      </c>
      <c r="V54" s="34" t="inlineStr">
        <is>
          <t>FN-010</t>
        </is>
      </c>
      <c r="W54" s="34" t="inlineStr">
        <is>
          <t>API-022</t>
        </is>
      </c>
      <c r="X54" s="34" t="n"/>
      <c r="Y54" s="34" t="n"/>
      <c r="Z54" s="34" t="inlineStr">
        <is>
          <t>출석 기록</t>
        </is>
      </c>
      <c r="AA54" s="34" t="inlineStr">
        <is>
          <t>매출 조회/통계</t>
        </is>
      </c>
      <c r="AB54" s="34" t="inlineStr">
        <is>
          <t>/api/v1/staff</t>
        </is>
      </c>
      <c r="AC54" s="34" t="n"/>
    </row>
    <row r="55">
      <c r="A55" s="33" t="inlineStr">
        <is>
          <t>TC-054</t>
        </is>
      </c>
      <c r="B55" s="33" t="inlineStr">
        <is>
          <t>Web</t>
        </is>
      </c>
      <c r="C55" s="33" t="inlineStr">
        <is>
          <t>출석관리</t>
        </is>
      </c>
      <c r="D55" s="34" t="inlineStr">
        <is>
          <t>통계</t>
        </is>
      </c>
      <c r="E55" s="34" t="inlineStr">
        <is>
          <t>기능 테스트</t>
        </is>
      </c>
      <c r="F55" s="34" t="inlineStr">
        <is>
          <t>출석 통계 정확성</t>
        </is>
      </c>
      <c r="G55" s="34" t="inlineStr">
        <is>
          <t>오늘 체크인 5건, 재실 3명</t>
        </is>
      </c>
      <c r="H55" s="34" t="inlineStr">
        <is>
          <t>1) 출석 통계 카드 확인</t>
        </is>
      </c>
      <c r="I55" s="34" t="inlineStr">
        <is>
          <t>오늘총: 5, 재실: 3, 월누적 정확</t>
        </is>
      </c>
      <c r="J55" s="34" t="n"/>
      <c r="K55" s="34" t="inlineStr">
        <is>
          <t>미실행</t>
        </is>
      </c>
      <c r="L55" s="34" t="inlineStr">
        <is>
          <t>High</t>
        </is>
      </c>
      <c r="M55" s="34" t="inlineStr">
        <is>
          <t>Major</t>
        </is>
      </c>
      <c r="N55" s="34" t="inlineStr">
        <is>
          <t>QA담당자1</t>
        </is>
      </c>
      <c r="O55" s="34" t="inlineStr">
        <is>
          <t>Staging</t>
        </is>
      </c>
      <c r="P55" s="34" t="inlineStr">
        <is>
          <t>Chrome</t>
        </is>
      </c>
      <c r="Q55" s="34" t="inlineStr">
        <is>
          <t>Desktop</t>
        </is>
      </c>
      <c r="R55" s="34" t="inlineStr">
        <is>
          <t>Windows 11</t>
        </is>
      </c>
      <c r="S55" s="34" t="inlineStr">
        <is>
          <t>1차</t>
        </is>
      </c>
      <c r="T55" s="34" t="inlineStr">
        <is>
          <t>수동</t>
        </is>
      </c>
      <c r="U55" s="34" t="inlineStr">
        <is>
          <t>SCR-020</t>
        </is>
      </c>
      <c r="V55" s="34" t="inlineStr">
        <is>
          <t>FN-008</t>
        </is>
      </c>
      <c r="W55" s="34" t="inlineStr">
        <is>
          <t>API-023</t>
        </is>
      </c>
      <c r="X55" s="34" t="n"/>
      <c r="Y55" s="34" t="n"/>
      <c r="Z55" s="34" t="inlineStr">
        <is>
          <t>출석 기록</t>
        </is>
      </c>
      <c r="AA55" s="34" t="inlineStr">
        <is>
          <t>출석 기록 조회</t>
        </is>
      </c>
      <c r="AB55" s="34" t="inlineStr">
        <is>
          <t>/api/v1/staff</t>
        </is>
      </c>
      <c r="AC55" s="34" t="n"/>
    </row>
    <row r="56">
      <c r="A56" s="33" t="inlineStr">
        <is>
          <t>TC-055</t>
        </is>
      </c>
      <c r="B56" s="33" t="inlineStr">
        <is>
          <t>Web</t>
        </is>
      </c>
      <c r="C56" s="33" t="inlineStr">
        <is>
          <t>출석관리</t>
        </is>
      </c>
      <c r="D56" s="34" t="inlineStr">
        <is>
          <t>빈 상태</t>
        </is>
      </c>
      <c r="E56" s="34" t="inlineStr">
        <is>
          <t>UI/UX 테스트</t>
        </is>
      </c>
      <c r="F56" s="34" t="inlineStr">
        <is>
          <t>출석 빈 상태</t>
        </is>
      </c>
      <c r="G56" s="34" t="inlineStr">
        <is>
          <t>오늘 출석 0건</t>
        </is>
      </c>
      <c r="H56" s="34" t="inlineStr">
        <is>
          <t>1) 출석 페이지 접속</t>
        </is>
      </c>
      <c r="I56" s="34" t="inlineStr">
        <is>
          <t>'오늘 출석한 회원이 없습니다' EmptyState</t>
        </is>
      </c>
      <c r="J56" s="34" t="n"/>
      <c r="K56" s="34" t="inlineStr">
        <is>
          <t>미실행</t>
        </is>
      </c>
      <c r="L56" s="34" t="inlineStr">
        <is>
          <t>Medium</t>
        </is>
      </c>
      <c r="M56" s="34" t="inlineStr">
        <is>
          <t>Minor</t>
        </is>
      </c>
      <c r="N56" s="34" t="inlineStr">
        <is>
          <t>QA담당자1</t>
        </is>
      </c>
      <c r="O56" s="34" t="inlineStr">
        <is>
          <t>Staging</t>
        </is>
      </c>
      <c r="P56" s="34" t="inlineStr">
        <is>
          <t>Chrome</t>
        </is>
      </c>
      <c r="Q56" s="34" t="inlineStr">
        <is>
          <t>Desktop</t>
        </is>
      </c>
      <c r="R56" s="34" t="inlineStr">
        <is>
          <t>Windows 11</t>
        </is>
      </c>
      <c r="S56" s="34" t="inlineStr">
        <is>
          <t>1차</t>
        </is>
      </c>
      <c r="T56" s="34" t="inlineStr">
        <is>
          <t>수동</t>
        </is>
      </c>
      <c r="U56" s="34" t="inlineStr">
        <is>
          <t>SCR-020-EM</t>
        </is>
      </c>
      <c r="V56" s="34" t="inlineStr">
        <is>
          <t>FN-008</t>
        </is>
      </c>
      <c r="W56" s="34" t="n"/>
      <c r="X56" s="34" t="n"/>
      <c r="Y56" s="34" t="n"/>
      <c r="Z56" s="34" t="n"/>
      <c r="AA56" s="34" t="inlineStr">
        <is>
          <t>출석 기록 조회</t>
        </is>
      </c>
      <c r="AB56" s="34" t="inlineStr">
        <is>
          <t>/api/v1/attendance</t>
        </is>
      </c>
      <c r="AC56" s="34" t="n"/>
    </row>
    <row r="57">
      <c r="A57" s="33" t="inlineStr">
        <is>
          <t>TC-056</t>
        </is>
      </c>
      <c r="B57" s="33" t="inlineStr">
        <is>
          <t>Web</t>
        </is>
      </c>
      <c r="C57" s="33" t="inlineStr">
        <is>
          <t>출석관리</t>
        </is>
      </c>
      <c r="D57" s="34" t="inlineStr">
        <is>
          <t>에러</t>
        </is>
      </c>
      <c r="E57" s="34" t="inlineStr">
        <is>
          <t>에러 처리 테스트</t>
        </is>
      </c>
      <c r="F57" s="34" t="inlineStr">
        <is>
          <t>출석 로딩 실패</t>
        </is>
      </c>
      <c r="G57" s="34" t="inlineStr">
        <is>
          <t>API 에러</t>
        </is>
      </c>
      <c r="H57" s="34" t="inlineStr">
        <is>
          <t>1) API 실패 시뮬레이션
2) 에러 확인
3) 재시도</t>
        </is>
      </c>
      <c r="I57" s="34" t="inlineStr">
        <is>
          <t>'데이터를 불러올 수 없습니다' + 재시도 정상</t>
        </is>
      </c>
      <c r="J57" s="34" t="n"/>
      <c r="K57" s="34" t="inlineStr">
        <is>
          <t>미실행</t>
        </is>
      </c>
      <c r="L57" s="34" t="inlineStr">
        <is>
          <t>High</t>
        </is>
      </c>
      <c r="M57" s="34" t="inlineStr">
        <is>
          <t>Major</t>
        </is>
      </c>
      <c r="N57" s="34" t="inlineStr">
        <is>
          <t>QA담당자1</t>
        </is>
      </c>
      <c r="O57" s="34" t="inlineStr">
        <is>
          <t>Staging</t>
        </is>
      </c>
      <c r="P57" s="34" t="inlineStr">
        <is>
          <t>Chrome</t>
        </is>
      </c>
      <c r="Q57" s="34" t="inlineStr">
        <is>
          <t>Desktop</t>
        </is>
      </c>
      <c r="R57" s="34" t="inlineStr">
        <is>
          <t>Windows 11</t>
        </is>
      </c>
      <c r="S57" s="34" t="inlineStr">
        <is>
          <t>1차</t>
        </is>
      </c>
      <c r="T57" s="34" t="inlineStr">
        <is>
          <t>수동</t>
        </is>
      </c>
      <c r="U57" s="34" t="inlineStr">
        <is>
          <t>SCR-020-E</t>
        </is>
      </c>
      <c r="V57" s="34" t="inlineStr">
        <is>
          <t>FN-008</t>
        </is>
      </c>
      <c r="W57" s="34" t="inlineStr">
        <is>
          <t>API-020</t>
        </is>
      </c>
      <c r="X57" s="34" t="n"/>
      <c r="Y57" s="34" t="n"/>
      <c r="Z57" s="34" t="n"/>
      <c r="AA57" s="34" t="inlineStr">
        <is>
          <t>출석 기록 조회</t>
        </is>
      </c>
      <c r="AB57" s="34" t="inlineStr">
        <is>
          <t>/api/v1/lockers</t>
        </is>
      </c>
      <c r="AC57" s="34" t="n"/>
    </row>
    <row r="58">
      <c r="A58" s="33" t="inlineStr">
        <is>
          <t>TC-060</t>
        </is>
      </c>
      <c r="B58" s="33" t="inlineStr">
        <is>
          <t>Web</t>
        </is>
      </c>
      <c r="C58" s="33" t="inlineStr">
        <is>
          <t>매출관리</t>
        </is>
      </c>
      <c r="D58" s="34" t="inlineStr">
        <is>
          <t>조회</t>
        </is>
      </c>
      <c r="E58" s="34" t="inlineStr">
        <is>
          <t>기능 테스트</t>
        </is>
      </c>
      <c r="F58" s="34" t="inlineStr">
        <is>
          <t>매출 목록 조회</t>
        </is>
      </c>
      <c r="G58" s="34" t="inlineStr">
        <is>
          <t>매출 데이터 존재</t>
        </is>
      </c>
      <c r="H58" s="34" t="inlineStr">
        <is>
          <t>1) 매출 관리 페이지 접속</t>
        </is>
      </c>
      <c r="I58" s="34" t="inlineStr">
        <is>
          <t>매출 목록 테이블 표시, 통계 요약</t>
        </is>
      </c>
      <c r="J58" s="34" t="n"/>
      <c r="K58" s="34" t="inlineStr">
        <is>
          <t>미실행</t>
        </is>
      </c>
      <c r="L58" s="34" t="inlineStr">
        <is>
          <t>Critical</t>
        </is>
      </c>
      <c r="M58" s="34" t="inlineStr">
        <is>
          <t>Critical</t>
        </is>
      </c>
      <c r="N58" s="34" t="inlineStr">
        <is>
          <t>QA담당자1</t>
        </is>
      </c>
      <c r="O58" s="34" t="inlineStr">
        <is>
          <t>Staging</t>
        </is>
      </c>
      <c r="P58" s="34" t="inlineStr">
        <is>
          <t>Chrome</t>
        </is>
      </c>
      <c r="Q58" s="34" t="inlineStr">
        <is>
          <t>Desktop</t>
        </is>
      </c>
      <c r="R58" s="34" t="inlineStr">
        <is>
          <t>Windows 11</t>
        </is>
      </c>
      <c r="S58" s="34" t="inlineStr">
        <is>
          <t>1차</t>
        </is>
      </c>
      <c r="T58" s="34" t="inlineStr">
        <is>
          <t>수동</t>
        </is>
      </c>
      <c r="U58" s="34" t="inlineStr">
        <is>
          <t>SCR-030</t>
        </is>
      </c>
      <c r="V58" s="34" t="inlineStr">
        <is>
          <t>FN-011</t>
        </is>
      </c>
      <c r="W58" s="34" t="inlineStr">
        <is>
          <t>API-030</t>
        </is>
      </c>
      <c r="X58" s="34" t="n"/>
      <c r="Y58" s="34" t="n"/>
      <c r="Z58" s="34" t="inlineStr">
        <is>
          <t>매출 조회</t>
        </is>
      </c>
      <c r="AA58" s="34" t="inlineStr">
        <is>
          <t>POS 상품 선택/결제</t>
        </is>
      </c>
      <c r="AB58" s="34" t="inlineStr">
        <is>
          <t>/api/v1/sales</t>
        </is>
      </c>
      <c r="AC58" s="34" t="n"/>
    </row>
    <row r="59">
      <c r="A59" s="33" t="inlineStr">
        <is>
          <t>TC-061</t>
        </is>
      </c>
      <c r="B59" s="33" t="inlineStr">
        <is>
          <t>Web</t>
        </is>
      </c>
      <c r="C59" s="33" t="inlineStr">
        <is>
          <t>매출관리</t>
        </is>
      </c>
      <c r="D59" s="34" t="inlineStr">
        <is>
          <t>조회</t>
        </is>
      </c>
      <c r="E59" s="34" t="inlineStr">
        <is>
          <t>기능 테스트</t>
        </is>
      </c>
      <c r="F59" s="34" t="inlineStr">
        <is>
          <t>기간 필터 매출 조회</t>
        </is>
      </c>
      <c r="G59" s="34" t="inlineStr">
        <is>
          <t>다양한 날짜 매출</t>
        </is>
      </c>
      <c r="H59" s="34" t="inlineStr">
        <is>
          <t>1) 기간필터 "이번달" 선택</t>
        </is>
      </c>
      <c r="I59" s="34" t="inlineStr">
        <is>
          <t>이번달 매출만 표시</t>
        </is>
      </c>
      <c r="J59" s="34" t="n"/>
      <c r="K59" s="34" t="inlineStr">
        <is>
          <t>미실행</t>
        </is>
      </c>
      <c r="L59" s="34" t="inlineStr">
        <is>
          <t>High</t>
        </is>
      </c>
      <c r="M59" s="34" t="inlineStr">
        <is>
          <t>Major</t>
        </is>
      </c>
      <c r="N59" s="34" t="inlineStr">
        <is>
          <t>QA담당자1</t>
        </is>
      </c>
      <c r="O59" s="34" t="inlineStr">
        <is>
          <t>Staging</t>
        </is>
      </c>
      <c r="P59" s="34" t="inlineStr">
        <is>
          <t>Chrome</t>
        </is>
      </c>
      <c r="Q59" s="34" t="inlineStr">
        <is>
          <t>Desktop</t>
        </is>
      </c>
      <c r="R59" s="34" t="inlineStr">
        <is>
          <t>Windows 11</t>
        </is>
      </c>
      <c r="S59" s="34" t="inlineStr">
        <is>
          <t>1차</t>
        </is>
      </c>
      <c r="T59" s="34" t="inlineStr">
        <is>
          <t>수동</t>
        </is>
      </c>
      <c r="U59" s="34" t="inlineStr">
        <is>
          <t>SCR-030-FLT</t>
        </is>
      </c>
      <c r="V59" s="34" t="inlineStr">
        <is>
          <t>FN-011</t>
        </is>
      </c>
      <c r="W59" s="34" t="inlineStr">
        <is>
          <t>API-030</t>
        </is>
      </c>
      <c r="X59" s="34" t="n"/>
      <c r="Y59" s="34" t="n"/>
      <c r="Z59" s="34" t="n"/>
      <c r="AA59" s="34" t="inlineStr">
        <is>
          <t>POS 상품 선택/결제</t>
        </is>
      </c>
      <c r="AB59" s="34" t="inlineStr">
        <is>
          <t>/api/v1/sales</t>
        </is>
      </c>
      <c r="AC59" s="34" t="n"/>
    </row>
    <row r="60">
      <c r="A60" s="33" t="inlineStr">
        <is>
          <t>TC-062</t>
        </is>
      </c>
      <c r="B60" s="33" t="inlineStr">
        <is>
          <t>Web</t>
        </is>
      </c>
      <c r="C60" s="33" t="inlineStr">
        <is>
          <t>매출관리</t>
        </is>
      </c>
      <c r="D60" s="34" t="inlineStr">
        <is>
          <t>등록</t>
        </is>
      </c>
      <c r="E60" s="34" t="inlineStr">
        <is>
          <t>기능 테스트</t>
        </is>
      </c>
      <c r="F60" s="34" t="inlineStr">
        <is>
          <t>POS 결제 - 카드 결제</t>
        </is>
      </c>
      <c r="G60" s="34" t="inlineStr">
        <is>
          <t>회원/상품 등록 상태</t>
        </is>
      </c>
      <c r="H60" s="34" t="inlineStr">
        <is>
          <t>1) POS 페이지 접속
2) 회원 선택
3) 상품 선택
4) 카드 결제 선택
5) 결제 완료</t>
        </is>
      </c>
      <c r="I60" s="34" t="inlineStr">
        <is>
          <t>매출 등록 성공, '매출이 등록되었습니다.' toast</t>
        </is>
      </c>
      <c r="J60" s="34" t="n"/>
      <c r="K60" s="34" t="inlineStr">
        <is>
          <t>미실행</t>
        </is>
      </c>
      <c r="L60" s="34" t="inlineStr">
        <is>
          <t>Critical</t>
        </is>
      </c>
      <c r="M60" s="34" t="inlineStr">
        <is>
          <t>Critical</t>
        </is>
      </c>
      <c r="N60" s="34" t="inlineStr">
        <is>
          <t>QA담당자1</t>
        </is>
      </c>
      <c r="O60" s="34" t="inlineStr">
        <is>
          <t>Staging</t>
        </is>
      </c>
      <c r="P60" s="34" t="inlineStr">
        <is>
          <t>Chrome</t>
        </is>
      </c>
      <c r="Q60" s="34" t="inlineStr">
        <is>
          <t>Desktop</t>
        </is>
      </c>
      <c r="R60" s="34" t="inlineStr">
        <is>
          <t>Windows 11</t>
        </is>
      </c>
      <c r="S60" s="34" t="inlineStr">
        <is>
          <t>1차</t>
        </is>
      </c>
      <c r="T60" s="34" t="inlineStr">
        <is>
          <t>수동</t>
        </is>
      </c>
      <c r="U60" s="34" t="inlineStr">
        <is>
          <t>SCR-031</t>
        </is>
      </c>
      <c r="V60" s="34" t="inlineStr">
        <is>
          <t>FN-012</t>
        </is>
      </c>
      <c r="W60" s="34" t="inlineStr">
        <is>
          <t>API-032</t>
        </is>
      </c>
      <c r="X60" s="34" t="n"/>
      <c r="Y60" s="34" t="n"/>
      <c r="Z60" s="34" t="inlineStr">
        <is>
          <t>POS</t>
        </is>
      </c>
      <c r="AA60" s="34" t="inlineStr">
        <is>
          <t>POS 결제 처리</t>
        </is>
      </c>
      <c r="AB60" s="34" t="inlineStr">
        <is>
          <t>/api/v1/sales</t>
        </is>
      </c>
      <c r="AC60" s="34" t="n"/>
    </row>
    <row r="61">
      <c r="A61" s="33" t="inlineStr">
        <is>
          <t>TC-063</t>
        </is>
      </c>
      <c r="B61" s="33" t="inlineStr">
        <is>
          <t>Web</t>
        </is>
      </c>
      <c r="C61" s="33" t="inlineStr">
        <is>
          <t>매출관리</t>
        </is>
      </c>
      <c r="D61" s="34" t="inlineStr">
        <is>
          <t>등록</t>
        </is>
      </c>
      <c r="E61" s="34" t="inlineStr">
        <is>
          <t>기능 테스트</t>
        </is>
      </c>
      <c r="F61" s="34" t="inlineStr">
        <is>
          <t>POS 결제 - 현금 결제</t>
        </is>
      </c>
      <c r="G61" s="34" t="inlineStr">
        <is>
          <t>회원/상품 등록</t>
        </is>
      </c>
      <c r="H61" s="34" t="inlineStr">
        <is>
          <t>1) POS 결제
2) 현금 선택
3) 결제</t>
        </is>
      </c>
      <c r="I61" s="34" t="inlineStr">
        <is>
          <t>현금 결제 매출 등록 성공</t>
        </is>
      </c>
      <c r="J61" s="34" t="n"/>
      <c r="K61" s="34" t="inlineStr">
        <is>
          <t>미실행</t>
        </is>
      </c>
      <c r="L61" s="34" t="inlineStr">
        <is>
          <t>High</t>
        </is>
      </c>
      <c r="M61" s="34" t="inlineStr">
        <is>
          <t>Major</t>
        </is>
      </c>
      <c r="N61" s="34" t="inlineStr">
        <is>
          <t>QA담당자1</t>
        </is>
      </c>
      <c r="O61" s="34" t="inlineStr">
        <is>
          <t>Staging</t>
        </is>
      </c>
      <c r="P61" s="34" t="inlineStr">
        <is>
          <t>Chrome</t>
        </is>
      </c>
      <c r="Q61" s="34" t="inlineStr">
        <is>
          <t>Desktop</t>
        </is>
      </c>
      <c r="R61" s="34" t="inlineStr">
        <is>
          <t>Windows 11</t>
        </is>
      </c>
      <c r="S61" s="34" t="inlineStr">
        <is>
          <t>1차</t>
        </is>
      </c>
      <c r="T61" s="34" t="inlineStr">
        <is>
          <t>수동</t>
        </is>
      </c>
      <c r="U61" s="34" t="inlineStr">
        <is>
          <t>SCR-031</t>
        </is>
      </c>
      <c r="V61" s="34" t="inlineStr">
        <is>
          <t>FN-012</t>
        </is>
      </c>
      <c r="W61" s="34" t="inlineStr">
        <is>
          <t>API-032</t>
        </is>
      </c>
      <c r="X61" s="34" t="n"/>
      <c r="Y61" s="34" t="n"/>
      <c r="Z61" s="34" t="inlineStr">
        <is>
          <t>POS</t>
        </is>
      </c>
      <c r="AA61" s="34" t="inlineStr">
        <is>
          <t>POS 결제 처리</t>
        </is>
      </c>
      <c r="AB61" s="34" t="inlineStr">
        <is>
          <t>/api/v1/sales</t>
        </is>
      </c>
      <c r="AC61" s="34" t="n"/>
    </row>
    <row r="62">
      <c r="A62" s="33" t="inlineStr">
        <is>
          <t>TC-064</t>
        </is>
      </c>
      <c r="B62" s="33" t="inlineStr">
        <is>
          <t>Web</t>
        </is>
      </c>
      <c r="C62" s="33" t="inlineStr">
        <is>
          <t>매출관리</t>
        </is>
      </c>
      <c r="D62" s="34" t="inlineStr">
        <is>
          <t>수정</t>
        </is>
      </c>
      <c r="E62" s="34" t="inlineStr">
        <is>
          <t>기능 테스트</t>
        </is>
      </c>
      <c r="F62" s="34" t="inlineStr">
        <is>
          <t>매출 수정</t>
        </is>
      </c>
      <c r="G62" s="34" t="inlineStr">
        <is>
          <t>매출 기록 존재</t>
        </is>
      </c>
      <c r="H62" s="34" t="inlineStr">
        <is>
          <t>1) 매출 상세에서 수정
2) 금액 변경
3) 저장</t>
        </is>
      </c>
      <c r="I62" s="34" t="inlineStr">
        <is>
          <t>'매출이 수정되었습니다.' toast</t>
        </is>
      </c>
      <c r="J62" s="34" t="n"/>
      <c r="K62" s="34" t="inlineStr">
        <is>
          <t>미실행</t>
        </is>
      </c>
      <c r="L62" s="34" t="inlineStr">
        <is>
          <t>High</t>
        </is>
      </c>
      <c r="M62" s="34" t="inlineStr">
        <is>
          <t>Major</t>
        </is>
      </c>
      <c r="N62" s="34" t="inlineStr">
        <is>
          <t>QA담당자1</t>
        </is>
      </c>
      <c r="O62" s="34" t="inlineStr">
        <is>
          <t>Staging</t>
        </is>
      </c>
      <c r="P62" s="34" t="inlineStr">
        <is>
          <t>Chrome</t>
        </is>
      </c>
      <c r="Q62" s="34" t="inlineStr">
        <is>
          <t>Desktop</t>
        </is>
      </c>
      <c r="R62" s="34" t="inlineStr">
        <is>
          <t>Windows 11</t>
        </is>
      </c>
      <c r="S62" s="34" t="inlineStr">
        <is>
          <t>1차</t>
        </is>
      </c>
      <c r="T62" s="34" t="inlineStr">
        <is>
          <t>수동</t>
        </is>
      </c>
      <c r="U62" s="34" t="inlineStr">
        <is>
          <t>SCR-030</t>
        </is>
      </c>
      <c r="V62" s="34" t="inlineStr">
        <is>
          <t>FN-013</t>
        </is>
      </c>
      <c r="W62" s="34" t="inlineStr">
        <is>
          <t>API-033</t>
        </is>
      </c>
      <c r="X62" s="34" t="n"/>
      <c r="Y62" s="34" t="n"/>
      <c r="Z62" s="34" t="inlineStr">
        <is>
          <t>매출 조회</t>
        </is>
      </c>
      <c r="AA62" s="34" t="inlineStr">
        <is>
          <t>상품 목록 조회</t>
        </is>
      </c>
      <c r="AB62" s="34" t="inlineStr">
        <is>
          <t>/api/v1/sales/{id}</t>
        </is>
      </c>
      <c r="AC62" s="34" t="n"/>
    </row>
    <row r="63">
      <c r="A63" s="33" t="inlineStr">
        <is>
          <t>TC-065</t>
        </is>
      </c>
      <c r="B63" s="33" t="inlineStr">
        <is>
          <t>Web</t>
        </is>
      </c>
      <c r="C63" s="33" t="inlineStr">
        <is>
          <t>매출관리</t>
        </is>
      </c>
      <c r="D63" s="34" t="inlineStr">
        <is>
          <t>삭제</t>
        </is>
      </c>
      <c r="E63" s="34" t="inlineStr">
        <is>
          <t>기능 테스트</t>
        </is>
      </c>
      <c r="F63" s="34" t="inlineStr">
        <is>
          <t>매출 삭제</t>
        </is>
      </c>
      <c r="G63" s="34" t="inlineStr">
        <is>
          <t>매출 기록 존재</t>
        </is>
      </c>
      <c r="H63" s="34" t="inlineStr">
        <is>
          <t>1) 매출 삭제 클릭
2) 확인</t>
        </is>
      </c>
      <c r="I63" s="34" t="inlineStr">
        <is>
          <t>'매출이 삭제되었습니다.' toast, 목록에서 제거</t>
        </is>
      </c>
      <c r="J63" s="34" t="n"/>
      <c r="K63" s="34" t="inlineStr">
        <is>
          <t>미실행</t>
        </is>
      </c>
      <c r="L63" s="34" t="inlineStr">
        <is>
          <t>High</t>
        </is>
      </c>
      <c r="M63" s="34" t="inlineStr">
        <is>
          <t>Critical</t>
        </is>
      </c>
      <c r="N63" s="34" t="inlineStr">
        <is>
          <t>QA담당자1</t>
        </is>
      </c>
      <c r="O63" s="34" t="inlineStr">
        <is>
          <t>Staging</t>
        </is>
      </c>
      <c r="P63" s="34" t="inlineStr">
        <is>
          <t>Chrome</t>
        </is>
      </c>
      <c r="Q63" s="34" t="inlineStr">
        <is>
          <t>Desktop</t>
        </is>
      </c>
      <c r="R63" s="34" t="inlineStr">
        <is>
          <t>Windows 11</t>
        </is>
      </c>
      <c r="S63" s="34" t="inlineStr">
        <is>
          <t>1차</t>
        </is>
      </c>
      <c r="T63" s="34" t="inlineStr">
        <is>
          <t>수동</t>
        </is>
      </c>
      <c r="U63" s="34" t="inlineStr">
        <is>
          <t>SCR-030</t>
        </is>
      </c>
      <c r="V63" s="34" t="inlineStr">
        <is>
          <t>FN-014</t>
        </is>
      </c>
      <c r="W63" s="34" t="inlineStr">
        <is>
          <t>API-034</t>
        </is>
      </c>
      <c r="X63" s="34" t="n"/>
      <c r="Y63" s="34" t="n"/>
      <c r="Z63" s="34" t="inlineStr">
        <is>
          <t>매출 조회</t>
        </is>
      </c>
      <c r="AA63" s="34" t="inlineStr">
        <is>
          <t>상품 등록/수정</t>
        </is>
      </c>
      <c r="AB63" s="34" t="inlineStr">
        <is>
          <t>/api/v1/sales/{id}</t>
        </is>
      </c>
      <c r="AC63" s="34" t="n"/>
    </row>
    <row r="64">
      <c r="A64" s="33" t="inlineStr">
        <is>
          <t>TC-066</t>
        </is>
      </c>
      <c r="B64" s="33" t="inlineStr">
        <is>
          <t>Web</t>
        </is>
      </c>
      <c r="C64" s="33" t="inlineStr">
        <is>
          <t>매출관리</t>
        </is>
      </c>
      <c r="D64" s="34" t="inlineStr">
        <is>
          <t>통계</t>
        </is>
      </c>
      <c r="E64" s="34" t="inlineStr">
        <is>
          <t>기능 테스트</t>
        </is>
      </c>
      <c r="F64" s="34" t="inlineStr">
        <is>
          <t>매출 통계 정확성</t>
        </is>
      </c>
      <c r="G64" s="34" t="inlineStr">
        <is>
          <t>매출 데이터 존재</t>
        </is>
      </c>
      <c r="H64" s="34" t="inlineStr">
        <is>
          <t>1) 매출 통계 카드 확인</t>
        </is>
      </c>
      <c r="I64" s="34" t="inlineStr">
        <is>
          <t>전체금액/건수/월별금액/결제수단별 정확</t>
        </is>
      </c>
      <c r="J64" s="34" t="n"/>
      <c r="K64" s="34" t="inlineStr">
        <is>
          <t>미실행</t>
        </is>
      </c>
      <c r="L64" s="34" t="inlineStr">
        <is>
          <t>Critical</t>
        </is>
      </c>
      <c r="M64" s="34" t="inlineStr">
        <is>
          <t>Critical</t>
        </is>
      </c>
      <c r="N64" s="34" t="inlineStr">
        <is>
          <t>QA담당자1</t>
        </is>
      </c>
      <c r="O64" s="34" t="inlineStr">
        <is>
          <t>Staging</t>
        </is>
      </c>
      <c r="P64" s="34" t="inlineStr">
        <is>
          <t>Chrome</t>
        </is>
      </c>
      <c r="Q64" s="34" t="inlineStr">
        <is>
          <t>Desktop</t>
        </is>
      </c>
      <c r="R64" s="34" t="inlineStr">
        <is>
          <t>Windows 11</t>
        </is>
      </c>
      <c r="S64" s="34" t="inlineStr">
        <is>
          <t>1차</t>
        </is>
      </c>
      <c r="T64" s="34" t="inlineStr">
        <is>
          <t>수동</t>
        </is>
      </c>
      <c r="U64" s="34" t="inlineStr">
        <is>
          <t>SCR-030</t>
        </is>
      </c>
      <c r="V64" s="34" t="inlineStr">
        <is>
          <t>FN-011</t>
        </is>
      </c>
      <c r="W64" s="34" t="inlineStr">
        <is>
          <t>API-035</t>
        </is>
      </c>
      <c r="X64" s="34" t="n"/>
      <c r="Y64" s="34" t="n"/>
      <c r="Z64" s="34" t="inlineStr">
        <is>
          <t>매출 조회</t>
        </is>
      </c>
      <c r="AA64" s="34" t="inlineStr">
        <is>
          <t>POS 상품 선택/결제</t>
        </is>
      </c>
      <c r="AB64" s="34" t="inlineStr">
        <is>
          <t>/api/v1/sales/stats</t>
        </is>
      </c>
      <c r="AC64" s="34" t="n"/>
    </row>
    <row r="65">
      <c r="A65" s="33" t="inlineStr">
        <is>
          <t>TC-067</t>
        </is>
      </c>
      <c r="B65" s="33" t="inlineStr">
        <is>
          <t>Web</t>
        </is>
      </c>
      <c r="C65" s="33" t="inlineStr">
        <is>
          <t>매출관리</t>
        </is>
      </c>
      <c r="D65" s="34" t="inlineStr">
        <is>
          <t>빈 상태</t>
        </is>
      </c>
      <c r="E65" s="34" t="inlineStr">
        <is>
          <t>UI/UX 테스트</t>
        </is>
      </c>
      <c r="F65" s="34" t="inlineStr">
        <is>
          <t>매출 빈 목록</t>
        </is>
      </c>
      <c r="G65" s="34" t="inlineStr">
        <is>
          <t>매출 0건</t>
        </is>
      </c>
      <c r="H65" s="34" t="inlineStr">
        <is>
          <t>1) 매출 페이지 접속</t>
        </is>
      </c>
      <c r="I65" s="34" t="inlineStr">
        <is>
          <t>'등록된 매출이 없습니다' EmptyState</t>
        </is>
      </c>
      <c r="J65" s="34" t="n"/>
      <c r="K65" s="34" t="inlineStr">
        <is>
          <t>미실행</t>
        </is>
      </c>
      <c r="L65" s="34" t="inlineStr">
        <is>
          <t>Medium</t>
        </is>
      </c>
      <c r="M65" s="34" t="inlineStr">
        <is>
          <t>Minor</t>
        </is>
      </c>
      <c r="N65" s="34" t="inlineStr">
        <is>
          <t>QA담당자1</t>
        </is>
      </c>
      <c r="O65" s="34" t="inlineStr">
        <is>
          <t>Staging</t>
        </is>
      </c>
      <c r="P65" s="34" t="inlineStr">
        <is>
          <t>Chrome</t>
        </is>
      </c>
      <c r="Q65" s="34" t="inlineStr">
        <is>
          <t>Desktop</t>
        </is>
      </c>
      <c r="R65" s="34" t="inlineStr">
        <is>
          <t>Windows 11</t>
        </is>
      </c>
      <c r="S65" s="34" t="inlineStr">
        <is>
          <t>1차</t>
        </is>
      </c>
      <c r="T65" s="34" t="inlineStr">
        <is>
          <t>수동</t>
        </is>
      </c>
      <c r="U65" s="34" t="inlineStr">
        <is>
          <t>SCR-030-EM</t>
        </is>
      </c>
      <c r="V65" s="34" t="inlineStr">
        <is>
          <t>FN-011</t>
        </is>
      </c>
      <c r="W65" s="34" t="n"/>
      <c r="X65" s="34" t="n"/>
      <c r="Y65" s="34" t="n"/>
      <c r="Z65" s="34" t="n"/>
      <c r="AA65" s="34" t="inlineStr">
        <is>
          <t>POS 상품 선택/결제</t>
        </is>
      </c>
      <c r="AB65" s="34" t="inlineStr">
        <is>
          <t>/api/v1/products</t>
        </is>
      </c>
      <c r="AC65" s="34" t="n"/>
    </row>
    <row r="66">
      <c r="A66" s="33" t="inlineStr">
        <is>
          <t>TC-068</t>
        </is>
      </c>
      <c r="B66" s="33" t="inlineStr">
        <is>
          <t>Web</t>
        </is>
      </c>
      <c r="C66" s="33" t="inlineStr">
        <is>
          <t>매출관리</t>
        </is>
      </c>
      <c r="D66" s="34" t="inlineStr">
        <is>
          <t>POS</t>
        </is>
      </c>
      <c r="E66" s="34" t="inlineStr">
        <is>
          <t>UI/UX 테스트</t>
        </is>
      </c>
      <c r="F66" s="34" t="inlineStr">
        <is>
          <t>POS 유효성 에러</t>
        </is>
      </c>
      <c r="G66" s="34" t="inlineStr">
        <is>
          <t>POS 페이지 접속</t>
        </is>
      </c>
      <c r="H66" s="34" t="inlineStr">
        <is>
          <t>1) 회원 미선택
2) 결제 클릭</t>
        </is>
      </c>
      <c r="I66" s="34" t="inlineStr">
        <is>
          <t>필수 항목 에러 표시</t>
        </is>
      </c>
      <c r="J66" s="34" t="n"/>
      <c r="K66" s="34" t="inlineStr">
        <is>
          <t>미실행</t>
        </is>
      </c>
      <c r="L66" s="34" t="inlineStr">
        <is>
          <t>High</t>
        </is>
      </c>
      <c r="M66" s="34" t="inlineStr">
        <is>
          <t>Major</t>
        </is>
      </c>
      <c r="N66" s="34" t="inlineStr">
        <is>
          <t>QA담당자1</t>
        </is>
      </c>
      <c r="O66" s="34" t="inlineStr">
        <is>
          <t>Staging</t>
        </is>
      </c>
      <c r="P66" s="34" t="inlineStr">
        <is>
          <t>Chrome</t>
        </is>
      </c>
      <c r="Q66" s="34" t="inlineStr">
        <is>
          <t>Desktop</t>
        </is>
      </c>
      <c r="R66" s="34" t="inlineStr">
        <is>
          <t>Windows 11</t>
        </is>
      </c>
      <c r="S66" s="34" t="inlineStr">
        <is>
          <t>1차</t>
        </is>
      </c>
      <c r="T66" s="34" t="inlineStr">
        <is>
          <t>수동</t>
        </is>
      </c>
      <c r="U66" s="34" t="inlineStr">
        <is>
          <t>SCR-031-V</t>
        </is>
      </c>
      <c r="V66" s="34" t="inlineStr">
        <is>
          <t>FN-012</t>
        </is>
      </c>
      <c r="W66" s="34" t="n"/>
      <c r="X66" s="34" t="n"/>
      <c r="Y66" s="34" t="n"/>
      <c r="Z66" s="34" t="n"/>
      <c r="AA66" s="34" t="inlineStr">
        <is>
          <t>POS 결제 처리</t>
        </is>
      </c>
      <c r="AB66" s="34" t="inlineStr">
        <is>
          <t>/api/v1/sales</t>
        </is>
      </c>
      <c r="AC66" s="34" t="n"/>
    </row>
    <row r="67">
      <c r="A67" s="33" t="inlineStr">
        <is>
          <t>TC-069</t>
        </is>
      </c>
      <c r="B67" s="33" t="inlineStr">
        <is>
          <t>Web</t>
        </is>
      </c>
      <c r="C67" s="33" t="inlineStr">
        <is>
          <t>매출관리</t>
        </is>
      </c>
      <c r="D67" s="34" t="inlineStr">
        <is>
          <t>POS</t>
        </is>
      </c>
      <c r="E67" s="34" t="inlineStr">
        <is>
          <t>UI/UX 테스트</t>
        </is>
      </c>
      <c r="F67" s="34" t="inlineStr">
        <is>
          <t>POS 결제 완료 화면</t>
        </is>
      </c>
      <c r="G67" s="34" t="inlineStr">
        <is>
          <t>POS 결제 성공</t>
        </is>
      </c>
      <c r="H67" s="34" t="inlineStr">
        <is>
          <t>1) 결제 완료 상태 확인</t>
        </is>
      </c>
      <c r="I67" s="34" t="inlineStr">
        <is>
          <t>성공 아이콘 + 결제 요약 + 영수증/새결제/목록 버튼</t>
        </is>
      </c>
      <c r="J67" s="34" t="n"/>
      <c r="K67" s="34" t="inlineStr">
        <is>
          <t>미실행</t>
        </is>
      </c>
      <c r="L67" s="34" t="inlineStr">
        <is>
          <t>Medium</t>
        </is>
      </c>
      <c r="M67" s="34" t="inlineStr">
        <is>
          <t>Minor</t>
        </is>
      </c>
      <c r="N67" s="34" t="inlineStr">
        <is>
          <t>QA담당자1</t>
        </is>
      </c>
      <c r="O67" s="34" t="inlineStr">
        <is>
          <t>Staging</t>
        </is>
      </c>
      <c r="P67" s="34" t="inlineStr">
        <is>
          <t>Chrome</t>
        </is>
      </c>
      <c r="Q67" s="34" t="inlineStr">
        <is>
          <t>Desktop</t>
        </is>
      </c>
      <c r="R67" s="34" t="inlineStr">
        <is>
          <t>Windows 11</t>
        </is>
      </c>
      <c r="S67" s="34" t="inlineStr">
        <is>
          <t>1차</t>
        </is>
      </c>
      <c r="T67" s="34" t="inlineStr">
        <is>
          <t>수동</t>
        </is>
      </c>
      <c r="U67" s="34" t="inlineStr">
        <is>
          <t>SCR-031-OK</t>
        </is>
      </c>
      <c r="V67" s="34" t="inlineStr">
        <is>
          <t>FN-012</t>
        </is>
      </c>
      <c r="W67" s="34" t="n"/>
      <c r="X67" s="34" t="n"/>
      <c r="Y67" s="34" t="n"/>
      <c r="Z67" s="34" t="n"/>
      <c r="AA67" s="34" t="inlineStr">
        <is>
          <t>POS 결제 처리</t>
        </is>
      </c>
      <c r="AB67" s="34" t="inlineStr">
        <is>
          <t>/api/v1/sales</t>
        </is>
      </c>
      <c r="AC67" s="34" t="n"/>
    </row>
    <row r="68">
      <c r="A68" s="33" t="inlineStr">
        <is>
          <t>TC-070</t>
        </is>
      </c>
      <c r="B68" s="33" t="inlineStr">
        <is>
          <t>Web</t>
        </is>
      </c>
      <c r="C68" s="33" t="inlineStr">
        <is>
          <t>상품관리</t>
        </is>
      </c>
      <c r="D68" s="34" t="inlineStr">
        <is>
          <t>조회</t>
        </is>
      </c>
      <c r="E68" s="34" t="inlineStr">
        <is>
          <t>기능 테스트</t>
        </is>
      </c>
      <c r="F68" s="34" t="inlineStr">
        <is>
          <t>상품 목록 조회</t>
        </is>
      </c>
      <c r="G68" s="34" t="inlineStr">
        <is>
          <t>상품 등록 상태</t>
        </is>
      </c>
      <c r="H68" s="34" t="inlineStr">
        <is>
          <t>1) 상품 목록 접속</t>
        </is>
      </c>
      <c r="I68" s="34" t="inlineStr">
        <is>
          <t>상품 카드/리스트 표시</t>
        </is>
      </c>
      <c r="J68" s="34" t="n"/>
      <c r="K68" s="34" t="inlineStr">
        <is>
          <t>미실행</t>
        </is>
      </c>
      <c r="L68" s="34" t="inlineStr">
        <is>
          <t>Critical</t>
        </is>
      </c>
      <c r="M68" s="34" t="inlineStr">
        <is>
          <t>Critical</t>
        </is>
      </c>
      <c r="N68" s="34" t="inlineStr">
        <is>
          <t>QA담당자1</t>
        </is>
      </c>
      <c r="O68" s="34" t="inlineStr">
        <is>
          <t>Staging</t>
        </is>
      </c>
      <c r="P68" s="34" t="inlineStr">
        <is>
          <t>Chrome</t>
        </is>
      </c>
      <c r="Q68" s="34" t="inlineStr">
        <is>
          <t>Desktop</t>
        </is>
      </c>
      <c r="R68" s="34" t="inlineStr">
        <is>
          <t>Windows 11</t>
        </is>
      </c>
      <c r="S68" s="34" t="inlineStr">
        <is>
          <t>1차</t>
        </is>
      </c>
      <c r="T68" s="34" t="inlineStr">
        <is>
          <t>수동</t>
        </is>
      </c>
      <c r="U68" s="34" t="inlineStr">
        <is>
          <t>SCR-040</t>
        </is>
      </c>
      <c r="V68" s="34" t="inlineStr">
        <is>
          <t>FN-015</t>
        </is>
      </c>
      <c r="W68" s="34" t="inlineStr">
        <is>
          <t>API-040</t>
        </is>
      </c>
      <c r="X68" s="34" t="n"/>
      <c r="Y68" s="34" t="n"/>
      <c r="Z68" s="34" t="inlineStr">
        <is>
          <t>상품 목록</t>
        </is>
      </c>
      <c r="AA68" s="34" t="inlineStr">
        <is>
          <t>락커 현황 조회</t>
        </is>
      </c>
      <c r="AB68" s="34" t="inlineStr">
        <is>
          <t>/api/v1/products</t>
        </is>
      </c>
      <c r="AC68" s="34" t="n"/>
    </row>
    <row r="69">
      <c r="A69" s="33" t="inlineStr">
        <is>
          <t>TC-071</t>
        </is>
      </c>
      <c r="B69" s="33" t="inlineStr">
        <is>
          <t>Web</t>
        </is>
      </c>
      <c r="C69" s="33" t="inlineStr">
        <is>
          <t>상품관리</t>
        </is>
      </c>
      <c r="D69" s="34" t="inlineStr">
        <is>
          <t>필터</t>
        </is>
      </c>
      <c r="E69" s="34" t="inlineStr">
        <is>
          <t>기능 테스트</t>
        </is>
      </c>
      <c r="F69" s="34" t="inlineStr">
        <is>
          <t>카테고리 필터</t>
        </is>
      </c>
      <c r="G69" s="34" t="inlineStr">
        <is>
          <t>다양한 카테고리 상품</t>
        </is>
      </c>
      <c r="H69" s="34" t="inlineStr">
        <is>
          <t>1) "PT" 카테고리 선택</t>
        </is>
      </c>
      <c r="I69" s="34" t="inlineStr">
        <is>
          <t>PT 상품만 표시</t>
        </is>
      </c>
      <c r="J69" s="34" t="n"/>
      <c r="K69" s="34" t="inlineStr">
        <is>
          <t>미실행</t>
        </is>
      </c>
      <c r="L69" s="34" t="inlineStr">
        <is>
          <t>High</t>
        </is>
      </c>
      <c r="M69" s="34" t="inlineStr">
        <is>
          <t>Major</t>
        </is>
      </c>
      <c r="N69" s="34" t="inlineStr">
        <is>
          <t>QA담당자1</t>
        </is>
      </c>
      <c r="O69" s="34" t="inlineStr">
        <is>
          <t>Staging</t>
        </is>
      </c>
      <c r="P69" s="34" t="inlineStr">
        <is>
          <t>Chrome</t>
        </is>
      </c>
      <c r="Q69" s="34" t="inlineStr">
        <is>
          <t>Desktop</t>
        </is>
      </c>
      <c r="R69" s="34" t="inlineStr">
        <is>
          <t>Windows 11</t>
        </is>
      </c>
      <c r="S69" s="34" t="inlineStr">
        <is>
          <t>1차</t>
        </is>
      </c>
      <c r="T69" s="34" t="inlineStr">
        <is>
          <t>수동</t>
        </is>
      </c>
      <c r="U69" s="34" t="inlineStr">
        <is>
          <t>SCR-040-FLT</t>
        </is>
      </c>
      <c r="V69" s="34" t="inlineStr">
        <is>
          <t>FN-015</t>
        </is>
      </c>
      <c r="W69" s="34" t="inlineStr">
        <is>
          <t>API-040</t>
        </is>
      </c>
      <c r="X69" s="34" t="n"/>
      <c r="Y69" s="34" t="n"/>
      <c r="Z69" s="34" t="n"/>
      <c r="AA69" s="34" t="inlineStr">
        <is>
          <t>락커 현황 조회</t>
        </is>
      </c>
      <c r="AB69" s="34" t="inlineStr">
        <is>
          <t>/api/v1/products</t>
        </is>
      </c>
      <c r="AC69" s="34" t="n"/>
    </row>
    <row r="70">
      <c r="A70" s="33" t="inlineStr">
        <is>
          <t>TC-072</t>
        </is>
      </c>
      <c r="B70" s="33" t="inlineStr">
        <is>
          <t>Web</t>
        </is>
      </c>
      <c r="C70" s="33" t="inlineStr">
        <is>
          <t>상품관리</t>
        </is>
      </c>
      <c r="D70" s="34" t="inlineStr">
        <is>
          <t>등록</t>
        </is>
      </c>
      <c r="E70" s="34" t="inlineStr">
        <is>
          <t>기능 테스트</t>
        </is>
      </c>
      <c r="F70" s="34" t="inlineStr">
        <is>
          <t>정상 상품 등록</t>
        </is>
      </c>
      <c r="G70" s="34" t="inlineStr">
        <is>
          <t>상품 등록 페이지</t>
        </is>
      </c>
      <c r="H70" s="34" t="inlineStr">
        <is>
          <t>1) 이름: 1개월 회원권
2) 카테고리: MEMBERSHIP
3) 가격: 100000
4) 저장</t>
        </is>
      </c>
      <c r="I70" s="34" t="inlineStr">
        <is>
          <t>'상품이 등록되었습니다.' toast</t>
        </is>
      </c>
      <c r="J70" s="34" t="n"/>
      <c r="K70" s="34" t="inlineStr">
        <is>
          <t>미실행</t>
        </is>
      </c>
      <c r="L70" s="34" t="inlineStr">
        <is>
          <t>Critical</t>
        </is>
      </c>
      <c r="M70" s="34" t="inlineStr">
        <is>
          <t>Critical</t>
        </is>
      </c>
      <c r="N70" s="34" t="inlineStr">
        <is>
          <t>QA담당자1</t>
        </is>
      </c>
      <c r="O70" s="34" t="inlineStr">
        <is>
          <t>Staging</t>
        </is>
      </c>
      <c r="P70" s="34" t="inlineStr">
        <is>
          <t>Chrome</t>
        </is>
      </c>
      <c r="Q70" s="34" t="inlineStr">
        <is>
          <t>Desktop</t>
        </is>
      </c>
      <c r="R70" s="34" t="inlineStr">
        <is>
          <t>Windows 11</t>
        </is>
      </c>
      <c r="S70" s="34" t="inlineStr">
        <is>
          <t>1차</t>
        </is>
      </c>
      <c r="T70" s="34" t="inlineStr">
        <is>
          <t>수동</t>
        </is>
      </c>
      <c r="U70" s="34" t="inlineStr">
        <is>
          <t>SCR-041</t>
        </is>
      </c>
      <c r="V70" s="34" t="inlineStr">
        <is>
          <t>FN-016</t>
        </is>
      </c>
      <c r="W70" s="34" t="inlineStr">
        <is>
          <t>API-042</t>
        </is>
      </c>
      <c r="X70" s="34" t="n"/>
      <c r="Y70" s="34" t="n"/>
      <c r="Z70" s="34" t="inlineStr">
        <is>
          <t>상품 등록</t>
        </is>
      </c>
      <c r="AA70" s="34" t="inlineStr">
        <is>
          <t>락커 배정/관리</t>
        </is>
      </c>
      <c r="AB70" s="34" t="inlineStr">
        <is>
          <t>/api/v1/products</t>
        </is>
      </c>
      <c r="AC70" s="34" t="n"/>
    </row>
    <row r="71">
      <c r="A71" s="33" t="inlineStr">
        <is>
          <t>TC-073</t>
        </is>
      </c>
      <c r="B71" s="33" t="inlineStr">
        <is>
          <t>Web</t>
        </is>
      </c>
      <c r="C71" s="33" t="inlineStr">
        <is>
          <t>상품관리</t>
        </is>
      </c>
      <c r="D71" s="34" t="inlineStr">
        <is>
          <t>등록</t>
        </is>
      </c>
      <c r="E71" s="34" t="inlineStr">
        <is>
          <t>기능 테스트</t>
        </is>
      </c>
      <c r="F71" s="34" t="inlineStr">
        <is>
          <t>상품 등록 유효성 에러</t>
        </is>
      </c>
      <c r="G71" s="34" t="inlineStr">
        <is>
          <t>상품 등록 페이지</t>
        </is>
      </c>
      <c r="H71" s="34" t="inlineStr">
        <is>
          <t>1) 이름 미입력
2) 저장</t>
        </is>
      </c>
      <c r="I71" s="34" t="inlineStr">
        <is>
          <t>이름 필드 에러, 가격 0 이하 에러</t>
        </is>
      </c>
      <c r="J71" s="34" t="n"/>
      <c r="K71" s="34" t="inlineStr">
        <is>
          <t>미실행</t>
        </is>
      </c>
      <c r="L71" s="34" t="inlineStr">
        <is>
          <t>High</t>
        </is>
      </c>
      <c r="M71" s="34" t="inlineStr">
        <is>
          <t>Major</t>
        </is>
      </c>
      <c r="N71" s="34" t="inlineStr">
        <is>
          <t>QA담당자1</t>
        </is>
      </c>
      <c r="O71" s="34" t="inlineStr">
        <is>
          <t>Staging</t>
        </is>
      </c>
      <c r="P71" s="34" t="inlineStr">
        <is>
          <t>Chrome</t>
        </is>
      </c>
      <c r="Q71" s="34" t="inlineStr">
        <is>
          <t>Desktop</t>
        </is>
      </c>
      <c r="R71" s="34" t="inlineStr">
        <is>
          <t>Windows 11</t>
        </is>
      </c>
      <c r="S71" s="34" t="inlineStr">
        <is>
          <t>1차</t>
        </is>
      </c>
      <c r="T71" s="34" t="inlineStr">
        <is>
          <t>수동</t>
        </is>
      </c>
      <c r="U71" s="34" t="inlineStr">
        <is>
          <t>SCR-041-V</t>
        </is>
      </c>
      <c r="V71" s="34" t="inlineStr">
        <is>
          <t>FN-016</t>
        </is>
      </c>
      <c r="W71" s="34" t="n"/>
      <c r="X71" s="34" t="n"/>
      <c r="Y71" s="34" t="n"/>
      <c r="Z71" s="34" t="n"/>
      <c r="AA71" s="34" t="inlineStr">
        <is>
          <t>락커 배정/관리</t>
        </is>
      </c>
      <c r="AB71" s="34" t="inlineStr">
        <is>
          <t>/api/v1/lockers/:id</t>
        </is>
      </c>
      <c r="AC71" s="34" t="n"/>
    </row>
    <row r="72">
      <c r="A72" s="33" t="inlineStr">
        <is>
          <t>TC-074</t>
        </is>
      </c>
      <c r="B72" s="33" t="inlineStr">
        <is>
          <t>Web</t>
        </is>
      </c>
      <c r="C72" s="33" t="inlineStr">
        <is>
          <t>상품관리</t>
        </is>
      </c>
      <c r="D72" s="34" t="inlineStr">
        <is>
          <t>수정</t>
        </is>
      </c>
      <c r="E72" s="34" t="inlineStr">
        <is>
          <t>기능 테스트</t>
        </is>
      </c>
      <c r="F72" s="34" t="inlineStr">
        <is>
          <t>상품 수정</t>
        </is>
      </c>
      <c r="G72" s="34" t="inlineStr">
        <is>
          <t>상품 상세 접속</t>
        </is>
      </c>
      <c r="H72" s="34" t="inlineStr">
        <is>
          <t>1) 가격 변경
2) 저장</t>
        </is>
      </c>
      <c r="I72" s="34" t="inlineStr">
        <is>
          <t>'상품이 수정되었습니다.' toast</t>
        </is>
      </c>
      <c r="J72" s="34" t="n"/>
      <c r="K72" s="34" t="inlineStr">
        <is>
          <t>미실행</t>
        </is>
      </c>
      <c r="L72" s="34" t="inlineStr">
        <is>
          <t>High</t>
        </is>
      </c>
      <c r="M72" s="34" t="inlineStr">
        <is>
          <t>Major</t>
        </is>
      </c>
      <c r="N72" s="34" t="inlineStr">
        <is>
          <t>QA담당자1</t>
        </is>
      </c>
      <c r="O72" s="34" t="inlineStr">
        <is>
          <t>Staging</t>
        </is>
      </c>
      <c r="P72" s="34" t="inlineStr">
        <is>
          <t>Chrome</t>
        </is>
      </c>
      <c r="Q72" s="34" t="inlineStr">
        <is>
          <t>Desktop</t>
        </is>
      </c>
      <c r="R72" s="34" t="inlineStr">
        <is>
          <t>Windows 11</t>
        </is>
      </c>
      <c r="S72" s="34" t="inlineStr">
        <is>
          <t>1차</t>
        </is>
      </c>
      <c r="T72" s="34" t="inlineStr">
        <is>
          <t>수동</t>
        </is>
      </c>
      <c r="U72" s="34" t="inlineStr">
        <is>
          <t>SCR-041</t>
        </is>
      </c>
      <c r="V72" s="34" t="inlineStr">
        <is>
          <t>FN-017</t>
        </is>
      </c>
      <c r="W72" s="34" t="inlineStr">
        <is>
          <t>API-043</t>
        </is>
      </c>
      <c r="X72" s="34" t="n"/>
      <c r="Y72" s="34" t="n"/>
      <c r="Z72" s="34" t="inlineStr">
        <is>
          <t>상품 등록</t>
        </is>
      </c>
      <c r="AA72" s="34" t="inlineStr">
        <is>
          <t>RFID 관리</t>
        </is>
      </c>
      <c r="AB72" s="34" t="inlineStr">
        <is>
          <t>/api/v1/products/{id}</t>
        </is>
      </c>
      <c r="AC72" s="34" t="n"/>
    </row>
    <row r="73">
      <c r="A73" s="33" t="inlineStr">
        <is>
          <t>TC-075</t>
        </is>
      </c>
      <c r="B73" s="33" t="inlineStr">
        <is>
          <t>Web</t>
        </is>
      </c>
      <c r="C73" s="33" t="inlineStr">
        <is>
          <t>상품관리</t>
        </is>
      </c>
      <c r="D73" s="34" t="inlineStr">
        <is>
          <t>삭제</t>
        </is>
      </c>
      <c r="E73" s="34" t="inlineStr">
        <is>
          <t>기능 테스트</t>
        </is>
      </c>
      <c r="F73" s="34" t="inlineStr">
        <is>
          <t>상품 삭제</t>
        </is>
      </c>
      <c r="G73" s="34" t="inlineStr">
        <is>
          <t>상품 목록</t>
        </is>
      </c>
      <c r="H73" s="34" t="inlineStr">
        <is>
          <t>1) 삭제 클릭
2) 확인</t>
        </is>
      </c>
      <c r="I73" s="34" t="inlineStr">
        <is>
          <t>'상품이 삭제되었습니다.' toast</t>
        </is>
      </c>
      <c r="J73" s="34" t="n"/>
      <c r="K73" s="34" t="inlineStr">
        <is>
          <t>미실행</t>
        </is>
      </c>
      <c r="L73" s="34" t="inlineStr">
        <is>
          <t>High</t>
        </is>
      </c>
      <c r="M73" s="34" t="inlineStr">
        <is>
          <t>Critical</t>
        </is>
      </c>
      <c r="N73" s="34" t="inlineStr">
        <is>
          <t>QA담당자1</t>
        </is>
      </c>
      <c r="O73" s="34" t="inlineStr">
        <is>
          <t>Staging</t>
        </is>
      </c>
      <c r="P73" s="34" t="inlineStr">
        <is>
          <t>Chrome</t>
        </is>
      </c>
      <c r="Q73" s="34" t="inlineStr">
        <is>
          <t>Desktop</t>
        </is>
      </c>
      <c r="R73" s="34" t="inlineStr">
        <is>
          <t>Windows 11</t>
        </is>
      </c>
      <c r="S73" s="34" t="inlineStr">
        <is>
          <t>1차</t>
        </is>
      </c>
      <c r="T73" s="34" t="inlineStr">
        <is>
          <t>수동</t>
        </is>
      </c>
      <c r="U73" s="34" t="inlineStr">
        <is>
          <t>SCR-040</t>
        </is>
      </c>
      <c r="V73" s="34" t="inlineStr">
        <is>
          <t>FN-018</t>
        </is>
      </c>
      <c r="W73" s="34" t="inlineStr">
        <is>
          <t>API-044</t>
        </is>
      </c>
      <c r="X73" s="34" t="n"/>
      <c r="Y73" s="34" t="n"/>
      <c r="Z73" s="34" t="inlineStr">
        <is>
          <t>상품 목록</t>
        </is>
      </c>
      <c r="AA73" s="34" t="inlineStr">
        <is>
          <t>룸 관리</t>
        </is>
      </c>
      <c r="AB73" s="34" t="inlineStr">
        <is>
          <t>/api/v1/products/{id}</t>
        </is>
      </c>
      <c r="AC73" s="34" t="n"/>
    </row>
    <row r="74">
      <c r="A74" s="33" t="inlineStr">
        <is>
          <t>TC-076</t>
        </is>
      </c>
      <c r="B74" s="33" t="inlineStr">
        <is>
          <t>Web</t>
        </is>
      </c>
      <c r="C74" s="33" t="inlineStr">
        <is>
          <t>상품관리</t>
        </is>
      </c>
      <c r="D74" s="34" t="inlineStr">
        <is>
          <t>빈 상태</t>
        </is>
      </c>
      <c r="E74" s="34" t="inlineStr">
        <is>
          <t>UI/UX 테스트</t>
        </is>
      </c>
      <c r="F74" s="34" t="inlineStr">
        <is>
          <t>상품 빈 목록</t>
        </is>
      </c>
      <c r="G74" s="34" t="inlineStr">
        <is>
          <t>상품 0건</t>
        </is>
      </c>
      <c r="H74" s="34" t="inlineStr">
        <is>
          <t>1) 상품 목록 접속</t>
        </is>
      </c>
      <c r="I74" s="34" t="inlineStr">
        <is>
          <t>'등록된 상품이 없습니다' EmptyState</t>
        </is>
      </c>
      <c r="J74" s="34" t="n"/>
      <c r="K74" s="34" t="inlineStr">
        <is>
          <t>미실행</t>
        </is>
      </c>
      <c r="L74" s="34" t="inlineStr">
        <is>
          <t>Medium</t>
        </is>
      </c>
      <c r="M74" s="34" t="inlineStr">
        <is>
          <t>Minor</t>
        </is>
      </c>
      <c r="N74" s="34" t="inlineStr">
        <is>
          <t>QA담당자1</t>
        </is>
      </c>
      <c r="O74" s="34" t="inlineStr">
        <is>
          <t>Staging</t>
        </is>
      </c>
      <c r="P74" s="34" t="inlineStr">
        <is>
          <t>Chrome</t>
        </is>
      </c>
      <c r="Q74" s="34" t="inlineStr">
        <is>
          <t>Desktop</t>
        </is>
      </c>
      <c r="R74" s="34" t="inlineStr">
        <is>
          <t>Windows 11</t>
        </is>
      </c>
      <c r="S74" s="34" t="inlineStr">
        <is>
          <t>1차</t>
        </is>
      </c>
      <c r="T74" s="34" t="inlineStr">
        <is>
          <t>수동</t>
        </is>
      </c>
      <c r="U74" s="34" t="inlineStr">
        <is>
          <t>SCR-040-EM</t>
        </is>
      </c>
      <c r="V74" s="34" t="inlineStr">
        <is>
          <t>FN-015</t>
        </is>
      </c>
      <c r="W74" s="34" t="n"/>
      <c r="X74" s="34" t="n"/>
      <c r="Y74" s="34" t="n"/>
      <c r="Z74" s="34" t="n"/>
      <c r="AA74" s="34" t="inlineStr">
        <is>
          <t>락커 현황 조회</t>
        </is>
      </c>
      <c r="AB74" s="34" t="inlineStr">
        <is>
          <t>/api/v1/lockers</t>
        </is>
      </c>
      <c r="AC74" s="34" t="n"/>
    </row>
    <row r="75">
      <c r="A75" s="33" t="inlineStr">
        <is>
          <t>TC-080</t>
        </is>
      </c>
      <c r="B75" s="33" t="inlineStr">
        <is>
          <t>Web</t>
        </is>
      </c>
      <c r="C75" s="33" t="inlineStr">
        <is>
          <t>직원관리</t>
        </is>
      </c>
      <c r="D75" s="34" t="inlineStr">
        <is>
          <t>조회</t>
        </is>
      </c>
      <c r="E75" s="34" t="inlineStr">
        <is>
          <t>기능 테스트</t>
        </is>
      </c>
      <c r="F75" s="34" t="inlineStr">
        <is>
          <t>직원 목록 조회</t>
        </is>
      </c>
      <c r="G75" s="34" t="inlineStr">
        <is>
          <t>직원 등록 상태</t>
        </is>
      </c>
      <c r="H75" s="34" t="inlineStr">
        <is>
          <t>1) 직원 목록 접속</t>
        </is>
      </c>
      <c r="I75" s="34" t="inlineStr">
        <is>
          <t>직원 테이블 표시</t>
        </is>
      </c>
      <c r="J75" s="34" t="n"/>
      <c r="K75" s="34" t="inlineStr">
        <is>
          <t>미실행</t>
        </is>
      </c>
      <c r="L75" s="34" t="inlineStr">
        <is>
          <t>Critical</t>
        </is>
      </c>
      <c r="M75" s="34" t="inlineStr">
        <is>
          <t>Critical</t>
        </is>
      </c>
      <c r="N75" s="34" t="inlineStr">
        <is>
          <t>QA담당자1</t>
        </is>
      </c>
      <c r="O75" s="34" t="inlineStr">
        <is>
          <t>Staging</t>
        </is>
      </c>
      <c r="P75" s="34" t="inlineStr">
        <is>
          <t>Chrome</t>
        </is>
      </c>
      <c r="Q75" s="34" t="inlineStr">
        <is>
          <t>Desktop</t>
        </is>
      </c>
      <c r="R75" s="34" t="inlineStr">
        <is>
          <t>Windows 11</t>
        </is>
      </c>
      <c r="S75" s="34" t="inlineStr">
        <is>
          <t>1차</t>
        </is>
      </c>
      <c r="T75" s="34" t="inlineStr">
        <is>
          <t>수동</t>
        </is>
      </c>
      <c r="U75" s="34" t="inlineStr">
        <is>
          <t>SCR-050</t>
        </is>
      </c>
      <c r="V75" s="34" t="inlineStr">
        <is>
          <t>FN-023</t>
        </is>
      </c>
      <c r="W75" s="34" t="inlineStr">
        <is>
          <t>API-060</t>
        </is>
      </c>
      <c r="X75" s="34" t="n"/>
      <c r="Y75" s="34" t="n"/>
      <c r="Z75" s="34" t="inlineStr">
        <is>
          <t>락커 현황</t>
        </is>
      </c>
      <c r="AA75" s="34" t="inlineStr">
        <is>
          <t>메시지 발송</t>
        </is>
      </c>
      <c r="AB75" s="34" t="inlineStr">
        <is>
          <t>/api/v1/staff</t>
        </is>
      </c>
      <c r="AC75" s="34" t="n"/>
    </row>
    <row r="76">
      <c r="A76" s="33" t="inlineStr">
        <is>
          <t>TC-081</t>
        </is>
      </c>
      <c r="B76" s="33" t="inlineStr">
        <is>
          <t>Web</t>
        </is>
      </c>
      <c r="C76" s="33" t="inlineStr">
        <is>
          <t>직원관리</t>
        </is>
      </c>
      <c r="D76" s="34" t="inlineStr">
        <is>
          <t>필터</t>
        </is>
      </c>
      <c r="E76" s="34" t="inlineStr">
        <is>
          <t>기능 테스트</t>
        </is>
      </c>
      <c r="F76" s="34" t="inlineStr">
        <is>
          <t>역할별 필터</t>
        </is>
      </c>
      <c r="G76" s="34" t="inlineStr">
        <is>
          <t>다양한 역할 직원</t>
        </is>
      </c>
      <c r="H76" s="34" t="inlineStr">
        <is>
          <t>1) 역할 필터에서 "트레이너" 선택</t>
        </is>
      </c>
      <c r="I76" s="34" t="inlineStr">
        <is>
          <t>트레이너만 표시</t>
        </is>
      </c>
      <c r="J76" s="34" t="n"/>
      <c r="K76" s="34" t="inlineStr">
        <is>
          <t>미실행</t>
        </is>
      </c>
      <c r="L76" s="34" t="inlineStr">
        <is>
          <t>High</t>
        </is>
      </c>
      <c r="M76" s="34" t="inlineStr">
        <is>
          <t>Major</t>
        </is>
      </c>
      <c r="N76" s="34" t="inlineStr">
        <is>
          <t>QA담당자1</t>
        </is>
      </c>
      <c r="O76" s="34" t="inlineStr">
        <is>
          <t>Staging</t>
        </is>
      </c>
      <c r="P76" s="34" t="inlineStr">
        <is>
          <t>Chrome</t>
        </is>
      </c>
      <c r="Q76" s="34" t="inlineStr">
        <is>
          <t>Desktop</t>
        </is>
      </c>
      <c r="R76" s="34" t="inlineStr">
        <is>
          <t>Windows 11</t>
        </is>
      </c>
      <c r="S76" s="34" t="inlineStr">
        <is>
          <t>1차</t>
        </is>
      </c>
      <c r="T76" s="34" t="inlineStr">
        <is>
          <t>수동</t>
        </is>
      </c>
      <c r="U76" s="34" t="inlineStr">
        <is>
          <t>SCR-050</t>
        </is>
      </c>
      <c r="V76" s="34" t="inlineStr">
        <is>
          <t>FN-023</t>
        </is>
      </c>
      <c r="W76" s="34" t="inlineStr">
        <is>
          <t>API-060</t>
        </is>
      </c>
      <c r="X76" s="34" t="n"/>
      <c r="Y76" s="34" t="n"/>
      <c r="Z76" s="34" t="inlineStr">
        <is>
          <t>락커 현황</t>
        </is>
      </c>
      <c r="AA76" s="34" t="inlineStr">
        <is>
          <t>메시지 발송</t>
        </is>
      </c>
      <c r="AB76" s="34" t="inlineStr">
        <is>
          <t>/api/v1/staff</t>
        </is>
      </c>
      <c r="AC76" s="34" t="n"/>
    </row>
    <row r="77">
      <c r="A77" s="33" t="inlineStr">
        <is>
          <t>TC-082</t>
        </is>
      </c>
      <c r="B77" s="33" t="inlineStr">
        <is>
          <t>Web</t>
        </is>
      </c>
      <c r="C77" s="33" t="inlineStr">
        <is>
          <t>직원관리</t>
        </is>
      </c>
      <c r="D77" s="34" t="inlineStr">
        <is>
          <t>등록</t>
        </is>
      </c>
      <c r="E77" s="34" t="inlineStr">
        <is>
          <t>기능 테스트</t>
        </is>
      </c>
      <c r="F77" s="34" t="inlineStr">
        <is>
          <t>정상 직원 등록</t>
        </is>
      </c>
      <c r="G77" s="34" t="inlineStr">
        <is>
          <t>직원 등록 페이지</t>
        </is>
      </c>
      <c r="H77" s="34" t="inlineStr">
        <is>
          <t>1) 이름/연락처/역할/직급/입사일 입력
2) 저장</t>
        </is>
      </c>
      <c r="I77" s="34" t="inlineStr">
        <is>
          <t>'직원이 등록되었습니다.' toast</t>
        </is>
      </c>
      <c r="J77" s="34" t="n"/>
      <c r="K77" s="34" t="inlineStr">
        <is>
          <t>미실행</t>
        </is>
      </c>
      <c r="L77" s="34" t="inlineStr">
        <is>
          <t>Critical</t>
        </is>
      </c>
      <c r="M77" s="34" t="inlineStr">
        <is>
          <t>Critical</t>
        </is>
      </c>
      <c r="N77" s="34" t="inlineStr">
        <is>
          <t>QA담당자1</t>
        </is>
      </c>
      <c r="O77" s="34" t="inlineStr">
        <is>
          <t>Staging</t>
        </is>
      </c>
      <c r="P77" s="34" t="inlineStr">
        <is>
          <t>Chrome</t>
        </is>
      </c>
      <c r="Q77" s="34" t="inlineStr">
        <is>
          <t>Desktop</t>
        </is>
      </c>
      <c r="R77" s="34" t="inlineStr">
        <is>
          <t>Windows 11</t>
        </is>
      </c>
      <c r="S77" s="34" t="inlineStr">
        <is>
          <t>1차</t>
        </is>
      </c>
      <c r="T77" s="34" t="inlineStr">
        <is>
          <t>수동</t>
        </is>
      </c>
      <c r="U77" s="34" t="inlineStr">
        <is>
          <t>SCR-051</t>
        </is>
      </c>
      <c r="V77" s="34" t="inlineStr">
        <is>
          <t>FN-024</t>
        </is>
      </c>
      <c r="W77" s="34" t="inlineStr">
        <is>
          <t>API-062</t>
        </is>
      </c>
      <c r="X77" s="34" t="n"/>
      <c r="Y77" s="34" t="n"/>
      <c r="Z77" s="34" t="inlineStr">
        <is>
          <t>락커 관리</t>
        </is>
      </c>
      <c r="AA77" s="34" t="inlineStr">
        <is>
          <t>자동 알림 설정</t>
        </is>
      </c>
      <c r="AB77" s="34" t="inlineStr">
        <is>
          <t>/api/v1/staff</t>
        </is>
      </c>
      <c r="AC77" s="34" t="n"/>
    </row>
    <row r="78">
      <c r="A78" s="33" t="inlineStr">
        <is>
          <t>TC-083</t>
        </is>
      </c>
      <c r="B78" s="33" t="inlineStr">
        <is>
          <t>Web</t>
        </is>
      </c>
      <c r="C78" s="33" t="inlineStr">
        <is>
          <t>직원관리</t>
        </is>
      </c>
      <c r="D78" s="34" t="inlineStr">
        <is>
          <t>수정</t>
        </is>
      </c>
      <c r="E78" s="34" t="inlineStr">
        <is>
          <t>기능 테스트</t>
        </is>
      </c>
      <c r="F78" s="34" t="inlineStr">
        <is>
          <t>직원 수정</t>
        </is>
      </c>
      <c r="G78" s="34" t="inlineStr">
        <is>
          <t>직원 상세</t>
        </is>
      </c>
      <c r="H78" s="34" t="inlineStr">
        <is>
          <t>1) 정보 수정
2) 저장</t>
        </is>
      </c>
      <c r="I78" s="34" t="inlineStr">
        <is>
          <t>'직원 정보가 수정되었습니다.' toast</t>
        </is>
      </c>
      <c r="J78" s="34" t="n"/>
      <c r="K78" s="34" t="inlineStr">
        <is>
          <t>미실행</t>
        </is>
      </c>
      <c r="L78" s="34" t="inlineStr">
        <is>
          <t>High</t>
        </is>
      </c>
      <c r="M78" s="34" t="inlineStr">
        <is>
          <t>Major</t>
        </is>
      </c>
      <c r="N78" s="34" t="inlineStr">
        <is>
          <t>QA담당자1</t>
        </is>
      </c>
      <c r="O78" s="34" t="inlineStr">
        <is>
          <t>Staging</t>
        </is>
      </c>
      <c r="P78" s="34" t="inlineStr">
        <is>
          <t>Chrome</t>
        </is>
      </c>
      <c r="Q78" s="34" t="inlineStr">
        <is>
          <t>Desktop</t>
        </is>
      </c>
      <c r="R78" s="34" t="inlineStr">
        <is>
          <t>Windows 11</t>
        </is>
      </c>
      <c r="S78" s="34" t="inlineStr">
        <is>
          <t>1차</t>
        </is>
      </c>
      <c r="T78" s="34" t="inlineStr">
        <is>
          <t>수동</t>
        </is>
      </c>
      <c r="U78" s="34" t="inlineStr">
        <is>
          <t>SCR-051</t>
        </is>
      </c>
      <c r="V78" s="34" t="inlineStr">
        <is>
          <t>FN-025</t>
        </is>
      </c>
      <c r="W78" s="34" t="inlineStr">
        <is>
          <t>API-063</t>
        </is>
      </c>
      <c r="X78" s="34" t="n"/>
      <c r="Y78" s="34" t="n"/>
      <c r="Z78" s="34" t="inlineStr">
        <is>
          <t>락커 관리</t>
        </is>
      </c>
      <c r="AA78" s="34" t="inlineStr">
        <is>
          <t>쿠폰 관리</t>
        </is>
      </c>
      <c r="AB78" s="34" t="inlineStr">
        <is>
          <t>/api/v1/staff/{id}</t>
        </is>
      </c>
      <c r="AC78" s="34" t="n"/>
    </row>
    <row r="79">
      <c r="A79" s="33" t="inlineStr">
        <is>
          <t>TC-084</t>
        </is>
      </c>
      <c r="B79" s="33" t="inlineStr">
        <is>
          <t>Web</t>
        </is>
      </c>
      <c r="C79" s="33" t="inlineStr">
        <is>
          <t>직원관리</t>
        </is>
      </c>
      <c r="D79" s="34" t="inlineStr">
        <is>
          <t>삭제</t>
        </is>
      </c>
      <c r="E79" s="34" t="inlineStr">
        <is>
          <t>기능 테스트</t>
        </is>
      </c>
      <c r="F79" s="34" t="inlineStr">
        <is>
          <t>직원 삭제 (비활성화)</t>
        </is>
      </c>
      <c r="G79" s="34" t="inlineStr">
        <is>
          <t>직원 목록</t>
        </is>
      </c>
      <c r="H79" s="34" t="inlineStr">
        <is>
          <t>1) 삭제 클릭
2) 확인</t>
        </is>
      </c>
      <c r="I79" s="34" t="inlineStr">
        <is>
          <t>'직원이 삭제되었습니다.' toast, isActive=false</t>
        </is>
      </c>
      <c r="J79" s="34" t="n"/>
      <c r="K79" s="34" t="inlineStr">
        <is>
          <t>미실행</t>
        </is>
      </c>
      <c r="L79" s="34" t="inlineStr">
        <is>
          <t>High</t>
        </is>
      </c>
      <c r="M79" s="34" t="inlineStr">
        <is>
          <t>Critical</t>
        </is>
      </c>
      <c r="N79" s="34" t="inlineStr">
        <is>
          <t>QA담당자1</t>
        </is>
      </c>
      <c r="O79" s="34" t="inlineStr">
        <is>
          <t>Staging</t>
        </is>
      </c>
      <c r="P79" s="34" t="inlineStr">
        <is>
          <t>Chrome</t>
        </is>
      </c>
      <c r="Q79" s="34" t="inlineStr">
        <is>
          <t>Desktop</t>
        </is>
      </c>
      <c r="R79" s="34" t="inlineStr">
        <is>
          <t>Windows 11</t>
        </is>
      </c>
      <c r="S79" s="34" t="inlineStr">
        <is>
          <t>1차</t>
        </is>
      </c>
      <c r="T79" s="34" t="inlineStr">
        <is>
          <t>수동</t>
        </is>
      </c>
      <c r="U79" s="34" t="inlineStr">
        <is>
          <t>SCR-050</t>
        </is>
      </c>
      <c r="V79" s="34" t="inlineStr">
        <is>
          <t>FN-026</t>
        </is>
      </c>
      <c r="W79" s="34" t="inlineStr">
        <is>
          <t>API-064</t>
        </is>
      </c>
      <c r="X79" s="34" t="n"/>
      <c r="Y79" s="34" t="n"/>
      <c r="Z79" s="34" t="inlineStr">
        <is>
          <t>락커 현황</t>
        </is>
      </c>
      <c r="AA79" s="34" t="inlineStr">
        <is>
          <t>마일리지 관리</t>
        </is>
      </c>
      <c r="AB79" s="34" t="inlineStr">
        <is>
          <t>/api/v1/staff/{id}</t>
        </is>
      </c>
      <c r="AC79" s="34" t="n"/>
    </row>
    <row r="80">
      <c r="A80" s="33" t="inlineStr">
        <is>
          <t>TC-085</t>
        </is>
      </c>
      <c r="B80" s="33" t="inlineStr">
        <is>
          <t>Web</t>
        </is>
      </c>
      <c r="C80" s="33" t="inlineStr">
        <is>
          <t>직원관리</t>
        </is>
      </c>
      <c r="D80" s="34" t="inlineStr">
        <is>
          <t>빈 상태</t>
        </is>
      </c>
      <c r="E80" s="34" t="inlineStr">
        <is>
          <t>UI/UX 테스트</t>
        </is>
      </c>
      <c r="F80" s="34" t="inlineStr">
        <is>
          <t>직원 빈 목록</t>
        </is>
      </c>
      <c r="G80" s="34" t="inlineStr">
        <is>
          <t>직원 0명</t>
        </is>
      </c>
      <c r="H80" s="34" t="inlineStr">
        <is>
          <t>1) 직원 목록 접속</t>
        </is>
      </c>
      <c r="I80" s="34" t="inlineStr">
        <is>
          <t>'등록된 직원이 없습니다' EmptyState</t>
        </is>
      </c>
      <c r="J80" s="34" t="n"/>
      <c r="K80" s="34" t="inlineStr">
        <is>
          <t>미실행</t>
        </is>
      </c>
      <c r="L80" s="34" t="inlineStr">
        <is>
          <t>Medium</t>
        </is>
      </c>
      <c r="M80" s="34" t="inlineStr">
        <is>
          <t>Minor</t>
        </is>
      </c>
      <c r="N80" s="34" t="inlineStr">
        <is>
          <t>QA담당자1</t>
        </is>
      </c>
      <c r="O80" s="34" t="inlineStr">
        <is>
          <t>Staging</t>
        </is>
      </c>
      <c r="P80" s="34" t="inlineStr">
        <is>
          <t>Chrome</t>
        </is>
      </c>
      <c r="Q80" s="34" t="inlineStr">
        <is>
          <t>Desktop</t>
        </is>
      </c>
      <c r="R80" s="34" t="inlineStr">
        <is>
          <t>Windows 11</t>
        </is>
      </c>
      <c r="S80" s="34" t="inlineStr">
        <is>
          <t>1차</t>
        </is>
      </c>
      <c r="T80" s="34" t="inlineStr">
        <is>
          <t>수동</t>
        </is>
      </c>
      <c r="U80" s="34" t="inlineStr">
        <is>
          <t>SCR-050-EM</t>
        </is>
      </c>
      <c r="V80" s="34" t="inlineStr">
        <is>
          <t>FN-023</t>
        </is>
      </c>
      <c r="W80" s="34" t="n"/>
      <c r="X80" s="34" t="n"/>
      <c r="Y80" s="34" t="n"/>
      <c r="Z80" s="34" t="n"/>
      <c r="AA80" s="34" t="inlineStr">
        <is>
          <t>메시지 발송</t>
        </is>
      </c>
      <c r="AB80" s="34" t="n"/>
      <c r="AC80" s="34" t="n"/>
    </row>
    <row r="81">
      <c r="A81" s="33" t="inlineStr">
        <is>
          <t>TC-086</t>
        </is>
      </c>
      <c r="B81" s="33" t="inlineStr">
        <is>
          <t>Web</t>
        </is>
      </c>
      <c r="C81" s="33" t="inlineStr">
        <is>
          <t>직원관리</t>
        </is>
      </c>
      <c r="D81" s="34" t="inlineStr">
        <is>
          <t>등록</t>
        </is>
      </c>
      <c r="E81" s="34" t="inlineStr">
        <is>
          <t>기능 테스트</t>
        </is>
      </c>
      <c r="F81" s="34" t="inlineStr">
        <is>
          <t>직원 등록 유효성 에러</t>
        </is>
      </c>
      <c r="G81" s="34" t="inlineStr">
        <is>
          <t>직원 등록 페이지</t>
        </is>
      </c>
      <c r="H81" s="34" t="inlineStr">
        <is>
          <t>1) 이름 미입력
2) 저장</t>
        </is>
      </c>
      <c r="I81" s="34" t="inlineStr">
        <is>
          <t>필수 필드 에러 표시</t>
        </is>
      </c>
      <c r="J81" s="34" t="n"/>
      <c r="K81" s="34" t="inlineStr">
        <is>
          <t>미실행</t>
        </is>
      </c>
      <c r="L81" s="34" t="inlineStr">
        <is>
          <t>High</t>
        </is>
      </c>
      <c r="M81" s="34" t="inlineStr">
        <is>
          <t>Major</t>
        </is>
      </c>
      <c r="N81" s="34" t="inlineStr">
        <is>
          <t>QA담당자1</t>
        </is>
      </c>
      <c r="O81" s="34" t="inlineStr">
        <is>
          <t>Staging</t>
        </is>
      </c>
      <c r="P81" s="34" t="inlineStr">
        <is>
          <t>Chrome</t>
        </is>
      </c>
      <c r="Q81" s="34" t="inlineStr">
        <is>
          <t>Desktop</t>
        </is>
      </c>
      <c r="R81" s="34" t="inlineStr">
        <is>
          <t>Windows 11</t>
        </is>
      </c>
      <c r="S81" s="34" t="inlineStr">
        <is>
          <t>1차</t>
        </is>
      </c>
      <c r="T81" s="34" t="inlineStr">
        <is>
          <t>수동</t>
        </is>
      </c>
      <c r="U81" s="34" t="inlineStr">
        <is>
          <t>SCR-051-V</t>
        </is>
      </c>
      <c r="V81" s="34" t="inlineStr">
        <is>
          <t>FN-024</t>
        </is>
      </c>
      <c r="W81" s="34" t="n"/>
      <c r="X81" s="34" t="n"/>
      <c r="Y81" s="34" t="n"/>
      <c r="Z81" s="34" t="n"/>
      <c r="AA81" s="34" t="inlineStr">
        <is>
          <t>자동 알림 설정</t>
        </is>
      </c>
      <c r="AB81" s="34" t="n"/>
      <c r="AC81" s="34" t="n"/>
    </row>
    <row r="82">
      <c r="A82" s="33" t="inlineStr">
        <is>
          <t>TC-090</t>
        </is>
      </c>
      <c r="B82" s="33" t="inlineStr">
        <is>
          <t>Web</t>
        </is>
      </c>
      <c r="C82" s="33" t="inlineStr">
        <is>
          <t>급여관리</t>
        </is>
      </c>
      <c r="D82" s="34" t="inlineStr">
        <is>
          <t>조회</t>
        </is>
      </c>
      <c r="E82" s="34" t="inlineStr">
        <is>
          <t>기능 테스트</t>
        </is>
      </c>
      <c r="F82" s="34" t="inlineStr">
        <is>
          <t>급여 목록 조회</t>
        </is>
      </c>
      <c r="G82" s="34" t="inlineStr">
        <is>
          <t>급여 데이터 존재</t>
        </is>
      </c>
      <c r="H82" s="34" t="inlineStr">
        <is>
          <t>1) 급여 관리 접속</t>
        </is>
      </c>
      <c r="I82" s="34" t="inlineStr">
        <is>
          <t>급여 테이블 표시 (년/월/직원/기본급/실지급)</t>
        </is>
      </c>
      <c r="J82" s="34" t="n"/>
      <c r="K82" s="34" t="inlineStr">
        <is>
          <t>미실행</t>
        </is>
      </c>
      <c r="L82" s="34" t="inlineStr">
        <is>
          <t>Critical</t>
        </is>
      </c>
      <c r="M82" s="34" t="inlineStr">
        <is>
          <t>Critical</t>
        </is>
      </c>
      <c r="N82" s="34" t="inlineStr">
        <is>
          <t>QA담당자1</t>
        </is>
      </c>
      <c r="O82" s="34" t="inlineStr">
        <is>
          <t>Staging</t>
        </is>
      </c>
      <c r="P82" s="34" t="inlineStr">
        <is>
          <t>Chrome</t>
        </is>
      </c>
      <c r="Q82" s="34" t="inlineStr">
        <is>
          <t>Desktop</t>
        </is>
      </c>
      <c r="R82" s="34" t="inlineStr">
        <is>
          <t>Windows 11</t>
        </is>
      </c>
      <c r="S82" s="34" t="inlineStr">
        <is>
          <t>1차</t>
        </is>
      </c>
      <c r="T82" s="34" t="inlineStr">
        <is>
          <t>수동</t>
        </is>
      </c>
      <c r="U82" s="34" t="inlineStr">
        <is>
          <t>SCR-052</t>
        </is>
      </c>
      <c r="V82" s="34" t="inlineStr">
        <is>
          <t>FN-027</t>
        </is>
      </c>
      <c r="W82" s="34" t="inlineStr">
        <is>
          <t>API-070</t>
        </is>
      </c>
      <c r="X82" s="34" t="n"/>
      <c r="Y82" s="34" t="n"/>
      <c r="Z82" s="34" t="inlineStr">
        <is>
          <t>RFID 관리</t>
        </is>
      </c>
      <c r="AA82" s="34" t="inlineStr">
        <is>
          <t>계약 등록</t>
        </is>
      </c>
      <c r="AB82" s="34" t="inlineStr">
        <is>
          <t>/api/v1/payroll</t>
        </is>
      </c>
      <c r="AC82" s="34" t="n"/>
    </row>
    <row r="83">
      <c r="A83" s="33" t="inlineStr">
        <is>
          <t>TC-091</t>
        </is>
      </c>
      <c r="B83" s="33" t="inlineStr">
        <is>
          <t>Web</t>
        </is>
      </c>
      <c r="C83" s="33" t="inlineStr">
        <is>
          <t>급여관리</t>
        </is>
      </c>
      <c r="D83" s="34" t="inlineStr">
        <is>
          <t>필터</t>
        </is>
      </c>
      <c r="E83" s="34" t="inlineStr">
        <is>
          <t>기능 테스트</t>
        </is>
      </c>
      <c r="F83" s="34" t="inlineStr">
        <is>
          <t>년월 필터</t>
        </is>
      </c>
      <c r="G83" s="34" t="inlineStr">
        <is>
          <t>여러 월 급여</t>
        </is>
      </c>
      <c r="H83" s="34" t="inlineStr">
        <is>
          <t>1) 년: 2026, 월: 3 선택</t>
        </is>
      </c>
      <c r="I83" s="34" t="inlineStr">
        <is>
          <t>2026년 3월 급여만 표시</t>
        </is>
      </c>
      <c r="J83" s="34" t="n"/>
      <c r="K83" s="34" t="inlineStr">
        <is>
          <t>미실행</t>
        </is>
      </c>
      <c r="L83" s="34" t="inlineStr">
        <is>
          <t>High</t>
        </is>
      </c>
      <c r="M83" s="34" t="inlineStr">
        <is>
          <t>Major</t>
        </is>
      </c>
      <c r="N83" s="34" t="inlineStr">
        <is>
          <t>QA담당자1</t>
        </is>
      </c>
      <c r="O83" s="34" t="inlineStr">
        <is>
          <t>Staging</t>
        </is>
      </c>
      <c r="P83" s="34" t="inlineStr">
        <is>
          <t>Chrome</t>
        </is>
      </c>
      <c r="Q83" s="34" t="inlineStr">
        <is>
          <t>Desktop</t>
        </is>
      </c>
      <c r="R83" s="34" t="inlineStr">
        <is>
          <t>Windows 11</t>
        </is>
      </c>
      <c r="S83" s="34" t="inlineStr">
        <is>
          <t>1차</t>
        </is>
      </c>
      <c r="T83" s="34" t="inlineStr">
        <is>
          <t>수동</t>
        </is>
      </c>
      <c r="U83" s="34" t="inlineStr">
        <is>
          <t>SCR-052</t>
        </is>
      </c>
      <c r="V83" s="34" t="inlineStr">
        <is>
          <t>FN-027</t>
        </is>
      </c>
      <c r="W83" s="34" t="inlineStr">
        <is>
          <t>API-070</t>
        </is>
      </c>
      <c r="X83" s="34" t="n"/>
      <c r="Y83" s="34" t="n"/>
      <c r="Z83" s="34" t="inlineStr">
        <is>
          <t>RFID 관리</t>
        </is>
      </c>
      <c r="AA83" s="34" t="inlineStr">
        <is>
          <t>계약 등록</t>
        </is>
      </c>
      <c r="AB83" s="34" t="inlineStr">
        <is>
          <t>/api/v1/payroll</t>
        </is>
      </c>
      <c r="AC83" s="34" t="n"/>
    </row>
    <row r="84">
      <c r="A84" s="33" t="inlineStr">
        <is>
          <t>TC-092</t>
        </is>
      </c>
      <c r="B84" s="33" t="inlineStr">
        <is>
          <t>Web</t>
        </is>
      </c>
      <c r="C84" s="33" t="inlineStr">
        <is>
          <t>급여관리</t>
        </is>
      </c>
      <c r="D84" s="34" t="inlineStr">
        <is>
          <t>등록</t>
        </is>
      </c>
      <c r="E84" s="34" t="inlineStr">
        <is>
          <t>기능 테스트</t>
        </is>
      </c>
      <c r="F84" s="34" t="inlineStr">
        <is>
          <t>급여 등록</t>
        </is>
      </c>
      <c r="G84" s="34" t="inlineStr">
        <is>
          <t>직원 등록 상태</t>
        </is>
      </c>
      <c r="H84" s="34" t="inlineStr">
        <is>
          <t>1) 급여 등록
2) 기본급 3000000
3) 보너스 500000
4) 공제 200000</t>
        </is>
      </c>
      <c r="I84" s="34" t="inlineStr">
        <is>
          <t>netSalary=3300000, '급여가 등록되었습니다.' toast</t>
        </is>
      </c>
      <c r="J84" s="34" t="n"/>
      <c r="K84" s="34" t="inlineStr">
        <is>
          <t>미실행</t>
        </is>
      </c>
      <c r="L84" s="34" t="inlineStr">
        <is>
          <t>Critical</t>
        </is>
      </c>
      <c r="M84" s="34" t="inlineStr">
        <is>
          <t>Critical</t>
        </is>
      </c>
      <c r="N84" s="34" t="inlineStr">
        <is>
          <t>QA담당자1</t>
        </is>
      </c>
      <c r="O84" s="34" t="inlineStr">
        <is>
          <t>Staging</t>
        </is>
      </c>
      <c r="P84" s="34" t="inlineStr">
        <is>
          <t>Chrome</t>
        </is>
      </c>
      <c r="Q84" s="34" t="inlineStr">
        <is>
          <t>Desktop</t>
        </is>
      </c>
      <c r="R84" s="34" t="inlineStr">
        <is>
          <t>Windows 11</t>
        </is>
      </c>
      <c r="S84" s="34" t="inlineStr">
        <is>
          <t>1차</t>
        </is>
      </c>
      <c r="T84" s="34" t="inlineStr">
        <is>
          <t>수동</t>
        </is>
      </c>
      <c r="U84" s="34" t="inlineStr">
        <is>
          <t>SCR-052</t>
        </is>
      </c>
      <c r="V84" s="34" t="inlineStr">
        <is>
          <t>FN-029</t>
        </is>
      </c>
      <c r="W84" s="34" t="inlineStr">
        <is>
          <t>API-072</t>
        </is>
      </c>
      <c r="X84" s="34" t="n"/>
      <c r="Y84" s="34" t="n"/>
      <c r="Z84" s="34" t="inlineStr">
        <is>
          <t>RFID 관리</t>
        </is>
      </c>
      <c r="AA84" s="34" t="inlineStr">
        <is>
          <t>시스템 설정</t>
        </is>
      </c>
      <c r="AB84" s="34" t="inlineStr">
        <is>
          <t>/api/v1/payroll</t>
        </is>
      </c>
      <c r="AC84" s="34" t="n"/>
    </row>
    <row r="85">
      <c r="A85" s="33" t="inlineStr">
        <is>
          <t>TC-093</t>
        </is>
      </c>
      <c r="B85" s="33" t="inlineStr">
        <is>
          <t>Web</t>
        </is>
      </c>
      <c r="C85" s="33" t="inlineStr">
        <is>
          <t>급여관리</t>
        </is>
      </c>
      <c r="D85" s="34" t="inlineStr">
        <is>
          <t>지급</t>
        </is>
      </c>
      <c r="E85" s="34" t="inlineStr">
        <is>
          <t>기능 테스트</t>
        </is>
      </c>
      <c r="F85" s="34" t="inlineStr">
        <is>
          <t>급여 지급 처리</t>
        </is>
      </c>
      <c r="G85" s="34" t="inlineStr">
        <is>
          <t>PENDING 상태 급여</t>
        </is>
      </c>
      <c r="H85" s="34" t="inlineStr">
        <is>
          <t>1) 지급 버튼 클릭
2) 확인 다이얼로그 확인</t>
        </is>
      </c>
      <c r="I85" s="34" t="inlineStr">
        <is>
          <t>status=PAID, paidAt 설정, '급여가 지급 처리되었습니다.' toast</t>
        </is>
      </c>
      <c r="J85" s="34" t="n"/>
      <c r="K85" s="34" t="inlineStr">
        <is>
          <t>미실행</t>
        </is>
      </c>
      <c r="L85" s="34" t="inlineStr">
        <is>
          <t>Critical</t>
        </is>
      </c>
      <c r="M85" s="34" t="inlineStr">
        <is>
          <t>Critical</t>
        </is>
      </c>
      <c r="N85" s="34" t="inlineStr">
        <is>
          <t>QA담당자1</t>
        </is>
      </c>
      <c r="O85" s="34" t="inlineStr">
        <is>
          <t>Staging</t>
        </is>
      </c>
      <c r="P85" s="34" t="inlineStr">
        <is>
          <t>Chrome</t>
        </is>
      </c>
      <c r="Q85" s="34" t="inlineStr">
        <is>
          <t>Desktop</t>
        </is>
      </c>
      <c r="R85" s="34" t="inlineStr">
        <is>
          <t>Windows 11</t>
        </is>
      </c>
      <c r="S85" s="34" t="inlineStr">
        <is>
          <t>1차</t>
        </is>
      </c>
      <c r="T85" s="34" t="inlineStr">
        <is>
          <t>수동</t>
        </is>
      </c>
      <c r="U85" s="34" t="inlineStr">
        <is>
          <t>SCR-052-PAY</t>
        </is>
      </c>
      <c r="V85" s="34" t="inlineStr">
        <is>
          <t>FN-030</t>
        </is>
      </c>
      <c r="W85" s="34" t="inlineStr">
        <is>
          <t>API-073</t>
        </is>
      </c>
      <c r="X85" s="34" t="n"/>
      <c r="Y85" s="34" t="n"/>
      <c r="Z85" s="34" t="n"/>
      <c r="AA85" s="34" t="inlineStr">
        <is>
          <t>권한 관리</t>
        </is>
      </c>
      <c r="AB85" s="34" t="inlineStr">
        <is>
          <t>/api/v1/payroll/{id}/process</t>
        </is>
      </c>
      <c r="AC85" s="34" t="n"/>
    </row>
    <row r="86">
      <c r="A86" s="33" t="inlineStr">
        <is>
          <t>TC-094</t>
        </is>
      </c>
      <c r="B86" s="33" t="inlineStr">
        <is>
          <t>Web</t>
        </is>
      </c>
      <c r="C86" s="33" t="inlineStr">
        <is>
          <t>급여관리</t>
        </is>
      </c>
      <c r="D86" s="34" t="inlineStr">
        <is>
          <t>명세서</t>
        </is>
      </c>
      <c r="E86" s="34" t="inlineStr">
        <is>
          <t>기능 테스트</t>
        </is>
      </c>
      <c r="F86" s="34" t="inlineStr">
        <is>
          <t>급여 명세서 조회</t>
        </is>
      </c>
      <c r="G86" s="34" t="inlineStr">
        <is>
          <t>급여 기록 존재</t>
        </is>
      </c>
      <c r="H86" s="34" t="inlineStr">
        <is>
          <t>1) 명세서 보기 클릭</t>
        </is>
      </c>
      <c r="I86" s="34" t="inlineStr">
        <is>
          <t>급여 명세서 상세 표시 (수당/공제 항목)</t>
        </is>
      </c>
      <c r="J86" s="34" t="n"/>
      <c r="K86" s="34" t="inlineStr">
        <is>
          <t>미실행</t>
        </is>
      </c>
      <c r="L86" s="34" t="inlineStr">
        <is>
          <t>High</t>
        </is>
      </c>
      <c r="M86" s="34" t="inlineStr">
        <is>
          <t>Major</t>
        </is>
      </c>
      <c r="N86" s="34" t="inlineStr">
        <is>
          <t>QA담당자1</t>
        </is>
      </c>
      <c r="O86" s="34" t="inlineStr">
        <is>
          <t>Staging</t>
        </is>
      </c>
      <c r="P86" s="34" t="inlineStr">
        <is>
          <t>Chrome</t>
        </is>
      </c>
      <c r="Q86" s="34" t="inlineStr">
        <is>
          <t>Desktop</t>
        </is>
      </c>
      <c r="R86" s="34" t="inlineStr">
        <is>
          <t>Windows 11</t>
        </is>
      </c>
      <c r="S86" s="34" t="inlineStr">
        <is>
          <t>1차</t>
        </is>
      </c>
      <c r="T86" s="34" t="inlineStr">
        <is>
          <t>수동</t>
        </is>
      </c>
      <c r="U86" s="34" t="inlineStr">
        <is>
          <t>SCR-053</t>
        </is>
      </c>
      <c r="V86" s="34" t="inlineStr">
        <is>
          <t>FN-028</t>
        </is>
      </c>
      <c r="W86" s="34" t="inlineStr">
        <is>
          <t>API-071</t>
        </is>
      </c>
      <c r="X86" s="34" t="n"/>
      <c r="Y86" s="34" t="n"/>
      <c r="Z86" s="34" t="inlineStr">
        <is>
          <t>룸 관리</t>
        </is>
      </c>
      <c r="AA86" s="34" t="inlineStr">
        <is>
          <t>구독 관리</t>
        </is>
      </c>
      <c r="AB86" s="34" t="inlineStr">
        <is>
          <t>/api/v1/payroll/{id}/statement</t>
        </is>
      </c>
      <c r="AC86" s="34" t="n"/>
    </row>
    <row r="87">
      <c r="A87" s="33" t="inlineStr">
        <is>
          <t>TC-095</t>
        </is>
      </c>
      <c r="B87" s="33" t="inlineStr">
        <is>
          <t>Web</t>
        </is>
      </c>
      <c r="C87" s="33" t="inlineStr">
        <is>
          <t>급여관리</t>
        </is>
      </c>
      <c r="D87" s="34" t="inlineStr">
        <is>
          <t>빈 상태</t>
        </is>
      </c>
      <c r="E87" s="34" t="inlineStr">
        <is>
          <t>UI/UX 테스트</t>
        </is>
      </c>
      <c r="F87" s="34" t="inlineStr">
        <is>
          <t>급여 빈 목록</t>
        </is>
      </c>
      <c r="G87" s="34" t="inlineStr">
        <is>
          <t>급여 0건</t>
        </is>
      </c>
      <c r="H87" s="34" t="inlineStr">
        <is>
          <t>1) 급여 관리 접속</t>
        </is>
      </c>
      <c r="I87" s="34" t="inlineStr">
        <is>
          <t>'등록된 급여 데이터가 없습니다' EmptyState</t>
        </is>
      </c>
      <c r="J87" s="34" t="n"/>
      <c r="K87" s="34" t="inlineStr">
        <is>
          <t>미실행</t>
        </is>
      </c>
      <c r="L87" s="34" t="inlineStr">
        <is>
          <t>Medium</t>
        </is>
      </c>
      <c r="M87" s="34" t="inlineStr">
        <is>
          <t>Minor</t>
        </is>
      </c>
      <c r="N87" s="34" t="inlineStr">
        <is>
          <t>QA담당자1</t>
        </is>
      </c>
      <c r="O87" s="34" t="inlineStr">
        <is>
          <t>Staging</t>
        </is>
      </c>
      <c r="P87" s="34" t="inlineStr">
        <is>
          <t>Chrome</t>
        </is>
      </c>
      <c r="Q87" s="34" t="inlineStr">
        <is>
          <t>Desktop</t>
        </is>
      </c>
      <c r="R87" s="34" t="inlineStr">
        <is>
          <t>Windows 11</t>
        </is>
      </c>
      <c r="S87" s="34" t="inlineStr">
        <is>
          <t>1차</t>
        </is>
      </c>
      <c r="T87" s="34" t="inlineStr">
        <is>
          <t>수동</t>
        </is>
      </c>
      <c r="U87" s="34" t="inlineStr">
        <is>
          <t>SCR-052-EM</t>
        </is>
      </c>
      <c r="V87" s="34" t="inlineStr">
        <is>
          <t>FN-027</t>
        </is>
      </c>
      <c r="W87" s="34" t="n"/>
      <c r="X87" s="34" t="n"/>
      <c r="Y87" s="34" t="n"/>
      <c r="Z87" s="34" t="n"/>
      <c r="AA87" s="34" t="inlineStr">
        <is>
          <t>계약 등록</t>
        </is>
      </c>
      <c r="AB87" s="34" t="inlineStr">
        <is>
          <t>/api/v1/sales</t>
        </is>
      </c>
      <c r="AC87" s="34" t="n"/>
    </row>
    <row r="88">
      <c r="A88" s="33" t="inlineStr">
        <is>
          <t>TC-100</t>
        </is>
      </c>
      <c r="B88" s="33" t="inlineStr">
        <is>
          <t>Web</t>
        </is>
      </c>
      <c r="C88" s="33" t="inlineStr">
        <is>
          <t>락커관리</t>
        </is>
      </c>
      <c r="D88" s="34" t="inlineStr">
        <is>
          <t>조회</t>
        </is>
      </c>
      <c r="E88" s="34" t="inlineStr">
        <is>
          <t>기능 테스트</t>
        </is>
      </c>
      <c r="F88" s="34" t="inlineStr">
        <is>
          <t>락커 현황 조회</t>
        </is>
      </c>
      <c r="G88" s="34" t="inlineStr">
        <is>
          <t>락커 등록 상태</t>
        </is>
      </c>
      <c r="H88" s="34" t="inlineStr">
        <is>
          <t>1) 락커 현황 접속</t>
        </is>
      </c>
      <c r="I88" s="34" t="inlineStr">
        <is>
          <t>락커 그리드 표시 (사용가능/사용중/점검 색상 구분)</t>
        </is>
      </c>
      <c r="J88" s="34" t="n"/>
      <c r="K88" s="34" t="inlineStr">
        <is>
          <t>미실행</t>
        </is>
      </c>
      <c r="L88" s="34" t="inlineStr">
        <is>
          <t>Critical</t>
        </is>
      </c>
      <c r="M88" s="34" t="inlineStr">
        <is>
          <t>Critical</t>
        </is>
      </c>
      <c r="N88" s="34" t="inlineStr">
        <is>
          <t>QA담당자1</t>
        </is>
      </c>
      <c r="O88" s="34" t="inlineStr">
        <is>
          <t>Staging</t>
        </is>
      </c>
      <c r="P88" s="34" t="inlineStr">
        <is>
          <t>Chrome</t>
        </is>
      </c>
      <c r="Q88" s="34" t="inlineStr">
        <is>
          <t>Desktop</t>
        </is>
      </c>
      <c r="R88" s="34" t="inlineStr">
        <is>
          <t>Windows 11</t>
        </is>
      </c>
      <c r="S88" s="34" t="inlineStr">
        <is>
          <t>1차</t>
        </is>
      </c>
      <c r="T88" s="34" t="inlineStr">
        <is>
          <t>수동</t>
        </is>
      </c>
      <c r="U88" s="34" t="inlineStr">
        <is>
          <t>SCR-060</t>
        </is>
      </c>
      <c r="V88" s="34" t="inlineStr">
        <is>
          <t>FN-019</t>
        </is>
      </c>
      <c r="W88" s="34" t="inlineStr">
        <is>
          <t>API-050</t>
        </is>
      </c>
      <c r="X88" s="34" t="n"/>
      <c r="Y88" s="34" t="n"/>
      <c r="Z88" s="34" t="inlineStr">
        <is>
          <t>직원 목록</t>
        </is>
      </c>
      <c r="AA88" s="34" t="inlineStr">
        <is>
          <t>직원 목록 조회</t>
        </is>
      </c>
      <c r="AB88" s="34" t="inlineStr">
        <is>
          <t>/api/v1/lockers</t>
        </is>
      </c>
      <c r="AC88" s="34" t="n"/>
    </row>
    <row r="89">
      <c r="A89" s="33" t="inlineStr">
        <is>
          <t>TC-101</t>
        </is>
      </c>
      <c r="B89" s="33" t="inlineStr">
        <is>
          <t>Web</t>
        </is>
      </c>
      <c r="C89" s="33" t="inlineStr">
        <is>
          <t>락커관리</t>
        </is>
      </c>
      <c r="D89" s="34" t="inlineStr">
        <is>
          <t>배정</t>
        </is>
      </c>
      <c r="E89" s="34" t="inlineStr">
        <is>
          <t>기능 테스트</t>
        </is>
      </c>
      <c r="F89" s="34" t="inlineStr">
        <is>
          <t>락커 배정</t>
        </is>
      </c>
      <c r="G89" s="34" t="inlineStr">
        <is>
          <t>빈 락커 존재</t>
        </is>
      </c>
      <c r="H89" s="34" t="inlineStr">
        <is>
          <t>1) 빈 락커 클릭
2) 회원 검색/선택
3) 만료일 설정
4) 배정</t>
        </is>
      </c>
      <c r="I89" s="34" t="inlineStr">
        <is>
          <t>'락커가 배정되었습니다.' toast, 락커 IN_USE로 변경</t>
        </is>
      </c>
      <c r="J89" s="34" t="n"/>
      <c r="K89" s="34" t="inlineStr">
        <is>
          <t>미실행</t>
        </is>
      </c>
      <c r="L89" s="34" t="inlineStr">
        <is>
          <t>Critical</t>
        </is>
      </c>
      <c r="M89" s="34" t="inlineStr">
        <is>
          <t>Critical</t>
        </is>
      </c>
      <c r="N89" s="34" t="inlineStr">
        <is>
          <t>QA담당자1</t>
        </is>
      </c>
      <c r="O89" s="34" t="inlineStr">
        <is>
          <t>Staging</t>
        </is>
      </c>
      <c r="P89" s="34" t="inlineStr">
        <is>
          <t>Chrome</t>
        </is>
      </c>
      <c r="Q89" s="34" t="inlineStr">
        <is>
          <t>Desktop</t>
        </is>
      </c>
      <c r="R89" s="34" t="inlineStr">
        <is>
          <t>Windows 11</t>
        </is>
      </c>
      <c r="S89" s="34" t="inlineStr">
        <is>
          <t>1차</t>
        </is>
      </c>
      <c r="T89" s="34" t="inlineStr">
        <is>
          <t>수동</t>
        </is>
      </c>
      <c r="U89" s="34" t="inlineStr">
        <is>
          <t>SCR-060-ASN</t>
        </is>
      </c>
      <c r="V89" s="34" t="inlineStr">
        <is>
          <t>FN-020</t>
        </is>
      </c>
      <c r="W89" s="34" t="inlineStr">
        <is>
          <t>API-051</t>
        </is>
      </c>
      <c r="X89" s="34" t="n"/>
      <c r="Y89" s="34" t="n"/>
      <c r="Z89" s="34" t="n"/>
      <c r="AA89" s="34" t="inlineStr">
        <is>
          <t>직원 등록/수정</t>
        </is>
      </c>
      <c r="AB89" s="34" t="inlineStr">
        <is>
          <t>/api/v1/lockers/{id}/assign</t>
        </is>
      </c>
      <c r="AC89" s="34" t="n"/>
    </row>
    <row r="90">
      <c r="A90" s="33" t="inlineStr">
        <is>
          <t>TC-102</t>
        </is>
      </c>
      <c r="B90" s="33" t="inlineStr">
        <is>
          <t>Web</t>
        </is>
      </c>
      <c r="C90" s="33" t="inlineStr">
        <is>
          <t>락커관리</t>
        </is>
      </c>
      <c r="D90" s="34" t="inlineStr">
        <is>
          <t>반납</t>
        </is>
      </c>
      <c r="E90" s="34" t="inlineStr">
        <is>
          <t>기능 테스트</t>
        </is>
      </c>
      <c r="F90" s="34" t="inlineStr">
        <is>
          <t>락커 반납</t>
        </is>
      </c>
      <c r="G90" s="34" t="inlineStr">
        <is>
          <t>배정된 락커 존재</t>
        </is>
      </c>
      <c r="H90" s="34" t="inlineStr">
        <is>
          <t>1) 사용 중 락커 클릭
2) 반납 클릭
3) 확인</t>
        </is>
      </c>
      <c r="I90" s="34" t="inlineStr">
        <is>
          <t>'락커가 반납되었습니다.' toast, AVAILABLE로 변경</t>
        </is>
      </c>
      <c r="J90" s="34" t="n"/>
      <c r="K90" s="34" t="inlineStr">
        <is>
          <t>미실행</t>
        </is>
      </c>
      <c r="L90" s="34" t="inlineStr">
        <is>
          <t>Critical</t>
        </is>
      </c>
      <c r="M90" s="34" t="inlineStr">
        <is>
          <t>Critical</t>
        </is>
      </c>
      <c r="N90" s="34" t="inlineStr">
        <is>
          <t>QA담당자1</t>
        </is>
      </c>
      <c r="O90" s="34" t="inlineStr">
        <is>
          <t>Staging</t>
        </is>
      </c>
      <c r="P90" s="34" t="inlineStr">
        <is>
          <t>Chrome</t>
        </is>
      </c>
      <c r="Q90" s="34" t="inlineStr">
        <is>
          <t>Desktop</t>
        </is>
      </c>
      <c r="R90" s="34" t="inlineStr">
        <is>
          <t>Windows 11</t>
        </is>
      </c>
      <c r="S90" s="34" t="inlineStr">
        <is>
          <t>1차</t>
        </is>
      </c>
      <c r="T90" s="34" t="inlineStr">
        <is>
          <t>수동</t>
        </is>
      </c>
      <c r="U90" s="34" t="inlineStr">
        <is>
          <t>SCR-060-RLS</t>
        </is>
      </c>
      <c r="V90" s="34" t="inlineStr">
        <is>
          <t>FN-021</t>
        </is>
      </c>
      <c r="W90" s="34" t="inlineStr">
        <is>
          <t>API-052</t>
        </is>
      </c>
      <c r="X90" s="34" t="n"/>
      <c r="Y90" s="34" t="n"/>
      <c r="Z90" s="34" t="n"/>
      <c r="AA90" s="34" t="inlineStr">
        <is>
          <t>급여 관리</t>
        </is>
      </c>
      <c r="AB90" s="34" t="inlineStr">
        <is>
          <t>/api/v1/lockers/{id}/release</t>
        </is>
      </c>
      <c r="AC90" s="34" t="n"/>
    </row>
    <row r="91">
      <c r="A91" s="33" t="inlineStr">
        <is>
          <t>TC-103</t>
        </is>
      </c>
      <c r="B91" s="33" t="inlineStr">
        <is>
          <t>Web</t>
        </is>
      </c>
      <c r="C91" s="33" t="inlineStr">
        <is>
          <t>락커관리</t>
        </is>
      </c>
      <c r="D91" s="34" t="inlineStr">
        <is>
          <t>상태변경</t>
        </is>
      </c>
      <c r="E91" s="34" t="inlineStr">
        <is>
          <t>기능 테스트</t>
        </is>
      </c>
      <c r="F91" s="34" t="inlineStr">
        <is>
          <t>락커 점검 처리</t>
        </is>
      </c>
      <c r="G91" s="34" t="inlineStr">
        <is>
          <t>빈 락커 존재</t>
        </is>
      </c>
      <c r="H91" s="34" t="inlineStr">
        <is>
          <t>1) 락커 상태 변경
2) MAINTENANCE 선택</t>
        </is>
      </c>
      <c r="I91" s="34" t="inlineStr">
        <is>
          <t>'락커 상태가 변경되었습니다.' toast</t>
        </is>
      </c>
      <c r="J91" s="34" t="n"/>
      <c r="K91" s="34" t="inlineStr">
        <is>
          <t>미실행</t>
        </is>
      </c>
      <c r="L91" s="34" t="inlineStr">
        <is>
          <t>High</t>
        </is>
      </c>
      <c r="M91" s="34" t="inlineStr">
        <is>
          <t>Major</t>
        </is>
      </c>
      <c r="N91" s="34" t="inlineStr">
        <is>
          <t>QA담당자1</t>
        </is>
      </c>
      <c r="O91" s="34" t="inlineStr">
        <is>
          <t>Staging</t>
        </is>
      </c>
      <c r="P91" s="34" t="inlineStr">
        <is>
          <t>Chrome</t>
        </is>
      </c>
      <c r="Q91" s="34" t="inlineStr">
        <is>
          <t>Desktop</t>
        </is>
      </c>
      <c r="R91" s="34" t="inlineStr">
        <is>
          <t>Windows 11</t>
        </is>
      </c>
      <c r="S91" s="34" t="inlineStr">
        <is>
          <t>1차</t>
        </is>
      </c>
      <c r="T91" s="34" t="inlineStr">
        <is>
          <t>수동</t>
        </is>
      </c>
      <c r="U91" s="34" t="inlineStr">
        <is>
          <t>SCR-061</t>
        </is>
      </c>
      <c r="V91" s="34" t="inlineStr">
        <is>
          <t>FN-022</t>
        </is>
      </c>
      <c r="W91" s="34" t="inlineStr">
        <is>
          <t>API-053</t>
        </is>
      </c>
      <c r="X91" s="34" t="n"/>
      <c r="Y91" s="34" t="n"/>
      <c r="Z91" s="34" t="inlineStr">
        <is>
          <t>직원 등록</t>
        </is>
      </c>
      <c r="AA91" s="34" t="inlineStr">
        <is>
          <t>급여명세서 조회</t>
        </is>
      </c>
      <c r="AB91" s="34" t="inlineStr">
        <is>
          <t>/api/v1/lockers/{id}/status</t>
        </is>
      </c>
      <c r="AC91" s="34" t="n"/>
    </row>
    <row r="92">
      <c r="A92" s="33" t="inlineStr">
        <is>
          <t>TC-104</t>
        </is>
      </c>
      <c r="B92" s="33" t="inlineStr">
        <is>
          <t>Web</t>
        </is>
      </c>
      <c r="C92" s="33" t="inlineStr">
        <is>
          <t>락커관리</t>
        </is>
      </c>
      <c r="D92" s="34" t="inlineStr">
        <is>
          <t>필터</t>
        </is>
      </c>
      <c r="E92" s="34" t="inlineStr">
        <is>
          <t>기능 테스트</t>
        </is>
      </c>
      <c r="F92" s="34" t="inlineStr">
        <is>
          <t>락커 상태 필터</t>
        </is>
      </c>
      <c r="G92" s="34" t="inlineStr">
        <is>
          <t>다양한 상태 락커</t>
        </is>
      </c>
      <c r="H92" s="34" t="inlineStr">
        <is>
          <t>1) 상태 필터에서 "사용중" 선택</t>
        </is>
      </c>
      <c r="I92" s="34" t="inlineStr">
        <is>
          <t>IN_USE 락커만 표시</t>
        </is>
      </c>
      <c r="J92" s="34" t="n"/>
      <c r="K92" s="34" t="inlineStr">
        <is>
          <t>미실행</t>
        </is>
      </c>
      <c r="L92" s="34" t="inlineStr">
        <is>
          <t>High</t>
        </is>
      </c>
      <c r="M92" s="34" t="inlineStr">
        <is>
          <t>Major</t>
        </is>
      </c>
      <c r="N92" s="34" t="inlineStr">
        <is>
          <t>QA담당자1</t>
        </is>
      </c>
      <c r="O92" s="34" t="inlineStr">
        <is>
          <t>Staging</t>
        </is>
      </c>
      <c r="P92" s="34" t="inlineStr">
        <is>
          <t>Chrome</t>
        </is>
      </c>
      <c r="Q92" s="34" t="inlineStr">
        <is>
          <t>Desktop</t>
        </is>
      </c>
      <c r="R92" s="34" t="inlineStr">
        <is>
          <t>Windows 11</t>
        </is>
      </c>
      <c r="S92" s="34" t="inlineStr">
        <is>
          <t>1차</t>
        </is>
      </c>
      <c r="T92" s="34" t="inlineStr">
        <is>
          <t>수동</t>
        </is>
      </c>
      <c r="U92" s="34" t="inlineStr">
        <is>
          <t>SCR-060</t>
        </is>
      </c>
      <c r="V92" s="34" t="inlineStr">
        <is>
          <t>FN-019</t>
        </is>
      </c>
      <c r="W92" s="34" t="inlineStr">
        <is>
          <t>API-050</t>
        </is>
      </c>
      <c r="X92" s="34" t="n"/>
      <c r="Y92" s="34" t="n"/>
      <c r="Z92" s="34" t="inlineStr">
        <is>
          <t>직원 목록</t>
        </is>
      </c>
      <c r="AA92" s="34" t="inlineStr">
        <is>
          <t>직원 목록 조회</t>
        </is>
      </c>
      <c r="AB92" s="34" t="inlineStr">
        <is>
          <t>/api/v1/lockers</t>
        </is>
      </c>
      <c r="AC92" s="34" t="n"/>
    </row>
    <row r="93">
      <c r="A93" s="33" t="inlineStr">
        <is>
          <t>TC-110</t>
        </is>
      </c>
      <c r="B93" s="33" t="inlineStr">
        <is>
          <t>Web</t>
        </is>
      </c>
      <c r="C93" s="33" t="inlineStr">
        <is>
          <t>메시지</t>
        </is>
      </c>
      <c r="D93" s="34" t="inlineStr">
        <is>
          <t>발송</t>
        </is>
      </c>
      <c r="E93" s="34" t="inlineStr">
        <is>
          <t>기능 테스트</t>
        </is>
      </c>
      <c r="F93" s="34" t="inlineStr">
        <is>
          <t>SMS 메시지 발송</t>
        </is>
      </c>
      <c r="G93" s="34" t="inlineStr">
        <is>
          <t>회원 등록 상태</t>
        </is>
      </c>
      <c r="H93" s="34" t="inlineStr">
        <is>
          <t>1) 메시지 발송 접속
2) SMS 선택
3) 수신자 선택
4) 내용 입력
5) 발송</t>
        </is>
      </c>
      <c r="I93" s="34" t="inlineStr">
        <is>
          <t>'메시지가 발송되었습니다.' toast</t>
        </is>
      </c>
      <c r="J93" s="34" t="n"/>
      <c r="K93" s="34" t="inlineStr">
        <is>
          <t>미실행</t>
        </is>
      </c>
      <c r="L93" s="34" t="inlineStr">
        <is>
          <t>Critical</t>
        </is>
      </c>
      <c r="M93" s="34" t="inlineStr">
        <is>
          <t>Critical</t>
        </is>
      </c>
      <c r="N93" s="34" t="inlineStr">
        <is>
          <t>QA담당자1</t>
        </is>
      </c>
      <c r="O93" s="34" t="inlineStr">
        <is>
          <t>Staging</t>
        </is>
      </c>
      <c r="P93" s="34" t="inlineStr">
        <is>
          <t>Chrome</t>
        </is>
      </c>
      <c r="Q93" s="34" t="inlineStr">
        <is>
          <t>Desktop</t>
        </is>
      </c>
      <c r="R93" s="34" t="inlineStr">
        <is>
          <t>Windows 11</t>
        </is>
      </c>
      <c r="S93" s="34" t="inlineStr">
        <is>
          <t>1차</t>
        </is>
      </c>
      <c r="T93" s="34" t="inlineStr">
        <is>
          <t>수동</t>
        </is>
      </c>
      <c r="U93" s="34" t="inlineStr">
        <is>
          <t>SCR-062</t>
        </is>
      </c>
      <c r="V93" s="34" t="inlineStr">
        <is>
          <t>FN-031</t>
        </is>
      </c>
      <c r="W93" s="34" t="inlineStr">
        <is>
          <t>API-080</t>
        </is>
      </c>
      <c r="X93" s="34" t="n"/>
      <c r="Y93" s="34" t="n"/>
      <c r="Z93" s="34" t="inlineStr">
        <is>
          <t>급여 현황</t>
        </is>
      </c>
      <c r="AA93" s="34" t="inlineStr">
        <is>
          <t>키오스크 설정</t>
        </is>
      </c>
      <c r="AB93" s="34" t="inlineStr">
        <is>
          <t>/api/v1/messages/send</t>
        </is>
      </c>
      <c r="AC93" s="34" t="n"/>
    </row>
    <row r="94">
      <c r="A94" s="33" t="inlineStr">
        <is>
          <t>TC-111</t>
        </is>
      </c>
      <c r="B94" s="33" t="inlineStr">
        <is>
          <t>Web</t>
        </is>
      </c>
      <c r="C94" s="33" t="inlineStr">
        <is>
          <t>메시지</t>
        </is>
      </c>
      <c r="D94" s="34" t="inlineStr">
        <is>
          <t>발송</t>
        </is>
      </c>
      <c r="E94" s="34" t="inlineStr">
        <is>
          <t>기능 테스트</t>
        </is>
      </c>
      <c r="F94" s="34" t="inlineStr">
        <is>
          <t>카카오 메시지 발송</t>
        </is>
      </c>
      <c r="G94" s="34" t="inlineStr">
        <is>
          <t>회원 등록 상태</t>
        </is>
      </c>
      <c r="H94" s="34" t="inlineStr">
        <is>
          <t>1) KAKAO 선택
2) 수신자+내용
3) 발송</t>
        </is>
      </c>
      <c r="I94" s="34" t="inlineStr">
        <is>
          <t>카카오 발송 성공</t>
        </is>
      </c>
      <c r="J94" s="34" t="n"/>
      <c r="K94" s="34" t="inlineStr">
        <is>
          <t>미실행</t>
        </is>
      </c>
      <c r="L94" s="34" t="inlineStr">
        <is>
          <t>High</t>
        </is>
      </c>
      <c r="M94" s="34" t="inlineStr">
        <is>
          <t>Major</t>
        </is>
      </c>
      <c r="N94" s="34" t="inlineStr">
        <is>
          <t>QA담당자1</t>
        </is>
      </c>
      <c r="O94" s="34" t="inlineStr">
        <is>
          <t>Staging</t>
        </is>
      </c>
      <c r="P94" s="34" t="inlineStr">
        <is>
          <t>Chrome</t>
        </is>
      </c>
      <c r="Q94" s="34" t="inlineStr">
        <is>
          <t>Desktop</t>
        </is>
      </c>
      <c r="R94" s="34" t="inlineStr">
        <is>
          <t>Windows 11</t>
        </is>
      </c>
      <c r="S94" s="34" t="inlineStr">
        <is>
          <t>1차</t>
        </is>
      </c>
      <c r="T94" s="34" t="inlineStr">
        <is>
          <t>수동</t>
        </is>
      </c>
      <c r="U94" s="34" t="inlineStr">
        <is>
          <t>SCR-062</t>
        </is>
      </c>
      <c r="V94" s="34" t="inlineStr">
        <is>
          <t>FN-031</t>
        </is>
      </c>
      <c r="W94" s="34" t="inlineStr">
        <is>
          <t>API-080</t>
        </is>
      </c>
      <c r="X94" s="34" t="n"/>
      <c r="Y94" s="34" t="n"/>
      <c r="Z94" s="34" t="inlineStr">
        <is>
          <t>급여 현황</t>
        </is>
      </c>
      <c r="AA94" s="34" t="inlineStr">
        <is>
          <t>키오스크 설정</t>
        </is>
      </c>
      <c r="AB94" s="34" t="inlineStr">
        <is>
          <t>/api/v1/messages/send</t>
        </is>
      </c>
      <c r="AC94" s="34" t="n"/>
    </row>
    <row r="95">
      <c r="A95" s="33" t="inlineStr">
        <is>
          <t>TC-112</t>
        </is>
      </c>
      <c r="B95" s="33" t="inlineStr">
        <is>
          <t>Web</t>
        </is>
      </c>
      <c r="C95" s="33" t="inlineStr">
        <is>
          <t>메시지</t>
        </is>
      </c>
      <c r="D95" s="34" t="inlineStr">
        <is>
          <t>예약</t>
        </is>
      </c>
      <c r="E95" s="34" t="inlineStr">
        <is>
          <t>기능 테스트</t>
        </is>
      </c>
      <c r="F95" s="34" t="inlineStr">
        <is>
          <t>예약 발송</t>
        </is>
      </c>
      <c r="G95" s="34" t="inlineStr">
        <is>
          <t>회원 등록 상태</t>
        </is>
      </c>
      <c r="H95" s="34" t="inlineStr">
        <is>
          <t>1) 예약시간 설정
2) 발송</t>
        </is>
      </c>
      <c r="I95" s="34" t="inlineStr">
        <is>
          <t>'메시지가 예약되었습니다.' toast, status=SCHEDULED</t>
        </is>
      </c>
      <c r="J95" s="34" t="n"/>
      <c r="K95" s="34" t="inlineStr">
        <is>
          <t>미실행</t>
        </is>
      </c>
      <c r="L95" s="34" t="inlineStr">
        <is>
          <t>High</t>
        </is>
      </c>
      <c r="M95" s="34" t="inlineStr">
        <is>
          <t>Major</t>
        </is>
      </c>
      <c r="N95" s="34" t="inlineStr">
        <is>
          <t>QA담당자1</t>
        </is>
      </c>
      <c r="O95" s="34" t="inlineStr">
        <is>
          <t>Staging</t>
        </is>
      </c>
      <c r="P95" s="34" t="inlineStr">
        <is>
          <t>Chrome</t>
        </is>
      </c>
      <c r="Q95" s="34" t="inlineStr">
        <is>
          <t>Desktop</t>
        </is>
      </c>
      <c r="R95" s="34" t="inlineStr">
        <is>
          <t>Windows 11</t>
        </is>
      </c>
      <c r="S95" s="34" t="inlineStr">
        <is>
          <t>1차</t>
        </is>
      </c>
      <c r="T95" s="34" t="inlineStr">
        <is>
          <t>수동</t>
        </is>
      </c>
      <c r="U95" s="34" t="inlineStr">
        <is>
          <t>SCR-062</t>
        </is>
      </c>
      <c r="V95" s="34" t="inlineStr">
        <is>
          <t>FN-031</t>
        </is>
      </c>
      <c r="W95" s="34" t="inlineStr">
        <is>
          <t>API-080</t>
        </is>
      </c>
      <c r="X95" s="34" t="n"/>
      <c r="Y95" s="34" t="n"/>
      <c r="Z95" s="34" t="inlineStr">
        <is>
          <t>급여 현황</t>
        </is>
      </c>
      <c r="AA95" s="34" t="inlineStr">
        <is>
          <t>키오스크 설정</t>
        </is>
      </c>
      <c r="AB95" s="34" t="inlineStr">
        <is>
          <t>/api/v1/messages/send</t>
        </is>
      </c>
      <c r="AC95" s="34" t="n"/>
    </row>
    <row r="96">
      <c r="A96" s="33" t="inlineStr">
        <is>
          <t>TC-113</t>
        </is>
      </c>
      <c r="B96" s="33" t="inlineStr">
        <is>
          <t>Web</t>
        </is>
      </c>
      <c r="C96" s="33" t="inlineStr">
        <is>
          <t>메시지</t>
        </is>
      </c>
      <c r="D96" s="34" t="inlineStr">
        <is>
          <t>유효성</t>
        </is>
      </c>
      <c r="E96" s="34" t="inlineStr">
        <is>
          <t>기능 테스트</t>
        </is>
      </c>
      <c r="F96" s="34" t="inlineStr">
        <is>
          <t>수신자 미선택 발송 실패</t>
        </is>
      </c>
      <c r="G96" s="34" t="inlineStr">
        <is>
          <t>메시지 발송 페이지</t>
        </is>
      </c>
      <c r="H96" s="34" t="inlineStr">
        <is>
          <t>1) 수신자 미선택
2) 발송 클릭</t>
        </is>
      </c>
      <c r="I96" s="34" t="inlineStr">
        <is>
          <t>수신자 에러 메시지 표시</t>
        </is>
      </c>
      <c r="J96" s="34" t="n"/>
      <c r="K96" s="34" t="inlineStr">
        <is>
          <t>미실행</t>
        </is>
      </c>
      <c r="L96" s="34" t="inlineStr">
        <is>
          <t>High</t>
        </is>
      </c>
      <c r="M96" s="34" t="inlineStr">
        <is>
          <t>Major</t>
        </is>
      </c>
      <c r="N96" s="34" t="inlineStr">
        <is>
          <t>QA담당자1</t>
        </is>
      </c>
      <c r="O96" s="34" t="inlineStr">
        <is>
          <t>Staging</t>
        </is>
      </c>
      <c r="P96" s="34" t="inlineStr">
        <is>
          <t>Chrome</t>
        </is>
      </c>
      <c r="Q96" s="34" t="inlineStr">
        <is>
          <t>Desktop</t>
        </is>
      </c>
      <c r="R96" s="34" t="inlineStr">
        <is>
          <t>Windows 11</t>
        </is>
      </c>
      <c r="S96" s="34" t="inlineStr">
        <is>
          <t>1차</t>
        </is>
      </c>
      <c r="T96" s="34" t="inlineStr">
        <is>
          <t>수동</t>
        </is>
      </c>
      <c r="U96" s="34" t="inlineStr">
        <is>
          <t>SCR-062-V</t>
        </is>
      </c>
      <c r="V96" s="34" t="inlineStr">
        <is>
          <t>FN-031</t>
        </is>
      </c>
      <c r="W96" s="34" t="n"/>
      <c r="X96" s="34" t="n"/>
      <c r="Y96" s="34" t="n"/>
      <c r="Z96" s="34" t="n"/>
      <c r="AA96" s="34" t="inlineStr">
        <is>
          <t>키오스크 설정</t>
        </is>
      </c>
      <c r="AB96" s="34" t="n"/>
      <c r="AC96" s="34" t="n"/>
    </row>
    <row r="97">
      <c r="A97" s="33" t="inlineStr">
        <is>
          <t>TC-114</t>
        </is>
      </c>
      <c r="B97" s="33" t="inlineStr">
        <is>
          <t>Web</t>
        </is>
      </c>
      <c r="C97" s="33" t="inlineStr">
        <is>
          <t>메시지</t>
        </is>
      </c>
      <c r="D97" s="34" t="inlineStr">
        <is>
          <t>이력</t>
        </is>
      </c>
      <c r="E97" s="34" t="inlineStr">
        <is>
          <t>기능 테스트</t>
        </is>
      </c>
      <c r="F97" s="34" t="inlineStr">
        <is>
          <t>메시지 이력 조회</t>
        </is>
      </c>
      <c r="G97" s="34" t="inlineStr">
        <is>
          <t>발송 이력 존재</t>
        </is>
      </c>
      <c r="H97" s="34" t="inlineStr">
        <is>
          <t>1) 메시지 이력 접속</t>
        </is>
      </c>
      <c r="I97" s="34" t="inlineStr">
        <is>
          <t>발송 이력 테이블 표시</t>
        </is>
      </c>
      <c r="J97" s="34" t="n"/>
      <c r="K97" s="34" t="inlineStr">
        <is>
          <t>미실행</t>
        </is>
      </c>
      <c r="L97" s="34" t="inlineStr">
        <is>
          <t>High</t>
        </is>
      </c>
      <c r="M97" s="34" t="inlineStr">
        <is>
          <t>Major</t>
        </is>
      </c>
      <c r="N97" s="34" t="inlineStr">
        <is>
          <t>QA담당자1</t>
        </is>
      </c>
      <c r="O97" s="34" t="inlineStr">
        <is>
          <t>Staging</t>
        </is>
      </c>
      <c r="P97" s="34" t="inlineStr">
        <is>
          <t>Chrome</t>
        </is>
      </c>
      <c r="Q97" s="34" t="inlineStr">
        <is>
          <t>Desktop</t>
        </is>
      </c>
      <c r="R97" s="34" t="inlineStr">
        <is>
          <t>Windows 11</t>
        </is>
      </c>
      <c r="S97" s="34" t="inlineStr">
        <is>
          <t>1차</t>
        </is>
      </c>
      <c r="T97" s="34" t="inlineStr">
        <is>
          <t>수동</t>
        </is>
      </c>
      <c r="U97" s="34" t="inlineStr">
        <is>
          <t>SCR-063</t>
        </is>
      </c>
      <c r="V97" s="34" t="inlineStr">
        <is>
          <t>FN-032</t>
        </is>
      </c>
      <c r="W97" s="34" t="inlineStr">
        <is>
          <t>API-081</t>
        </is>
      </c>
      <c r="X97" s="34" t="n"/>
      <c r="Y97" s="34" t="n"/>
      <c r="Z97" s="34" t="inlineStr">
        <is>
          <t>급여명세서</t>
        </is>
      </c>
      <c r="AA97" s="34" t="inlineStr">
        <is>
          <t>IoT 설정</t>
        </is>
      </c>
      <c r="AB97" s="34" t="inlineStr">
        <is>
          <t>/api/v1/messages/history</t>
        </is>
      </c>
      <c r="AC97" s="34" t="n"/>
    </row>
    <row r="98">
      <c r="A98" s="33" t="inlineStr">
        <is>
          <t>TC-115</t>
        </is>
      </c>
      <c r="B98" s="33" t="inlineStr">
        <is>
          <t>Web</t>
        </is>
      </c>
      <c r="C98" s="33" t="inlineStr">
        <is>
          <t>메시지</t>
        </is>
      </c>
      <c r="D98" s="34" t="inlineStr">
        <is>
          <t>이력</t>
        </is>
      </c>
      <c r="E98" s="34" t="inlineStr">
        <is>
          <t>기능 테스트</t>
        </is>
      </c>
      <c r="F98" s="34" t="inlineStr">
        <is>
          <t>유형별 이력 필터</t>
        </is>
      </c>
      <c r="G98" s="34" t="inlineStr">
        <is>
          <t>다양한 유형 이력</t>
        </is>
      </c>
      <c r="H98" s="34" t="inlineStr">
        <is>
          <t>1) SMS 필터 선택</t>
        </is>
      </c>
      <c r="I98" s="34" t="inlineStr">
        <is>
          <t>SMS 이력만 표시</t>
        </is>
      </c>
      <c r="J98" s="34" t="n"/>
      <c r="K98" s="34" t="inlineStr">
        <is>
          <t>미실행</t>
        </is>
      </c>
      <c r="L98" s="34" t="inlineStr">
        <is>
          <t>Medium</t>
        </is>
      </c>
      <c r="M98" s="34" t="inlineStr">
        <is>
          <t>Minor</t>
        </is>
      </c>
      <c r="N98" s="34" t="inlineStr">
        <is>
          <t>QA담당자1</t>
        </is>
      </c>
      <c r="O98" s="34" t="inlineStr">
        <is>
          <t>Staging</t>
        </is>
      </c>
      <c r="P98" s="34" t="inlineStr">
        <is>
          <t>Chrome</t>
        </is>
      </c>
      <c r="Q98" s="34" t="inlineStr">
        <is>
          <t>Desktop</t>
        </is>
      </c>
      <c r="R98" s="34" t="inlineStr">
        <is>
          <t>Windows 11</t>
        </is>
      </c>
      <c r="S98" s="34" t="inlineStr">
        <is>
          <t>1차</t>
        </is>
      </c>
      <c r="T98" s="34" t="inlineStr">
        <is>
          <t>수동</t>
        </is>
      </c>
      <c r="U98" s="34" t="inlineStr">
        <is>
          <t>SCR-063</t>
        </is>
      </c>
      <c r="V98" s="34" t="inlineStr">
        <is>
          <t>FN-032</t>
        </is>
      </c>
      <c r="W98" s="34" t="inlineStr">
        <is>
          <t>API-081</t>
        </is>
      </c>
      <c r="X98" s="34" t="n"/>
      <c r="Y98" s="34" t="n"/>
      <c r="Z98" s="34" t="inlineStr">
        <is>
          <t>급여명세서</t>
        </is>
      </c>
      <c r="AA98" s="34" t="inlineStr">
        <is>
          <t>IoT 설정</t>
        </is>
      </c>
      <c r="AB98" s="34" t="inlineStr">
        <is>
          <t>/api/v1/messages/history</t>
        </is>
      </c>
      <c r="AC98" s="34" t="n"/>
    </row>
    <row r="99">
      <c r="A99" s="33" t="inlineStr">
        <is>
          <t>TC-120</t>
        </is>
      </c>
      <c r="B99" s="33" t="inlineStr">
        <is>
          <t>Web</t>
        </is>
      </c>
      <c r="C99" s="33" t="inlineStr">
        <is>
          <t>설정</t>
        </is>
      </c>
      <c r="D99" s="34" t="inlineStr">
        <is>
          <t>조회</t>
        </is>
      </c>
      <c r="E99" s="34" t="inlineStr">
        <is>
          <t>기능 테스트</t>
        </is>
      </c>
      <c r="F99" s="34" t="inlineStr">
        <is>
          <t>설정 조회</t>
        </is>
      </c>
      <c r="G99" s="34" t="inlineStr">
        <is>
          <t>설정 데이터 존재</t>
        </is>
      </c>
      <c r="H99" s="34" t="inlineStr">
        <is>
          <t>1) 설정 페이지 접속</t>
        </is>
      </c>
      <c r="I99" s="34" t="inlineStr">
        <is>
          <t>영업시간/알림/회원권 설정 표시</t>
        </is>
      </c>
      <c r="J99" s="34" t="n"/>
      <c r="K99" s="34" t="inlineStr">
        <is>
          <t>미실행</t>
        </is>
      </c>
      <c r="L99" s="34" t="inlineStr">
        <is>
          <t>Critical</t>
        </is>
      </c>
      <c r="M99" s="34" t="inlineStr">
        <is>
          <t>Critical</t>
        </is>
      </c>
      <c r="N99" s="34" t="inlineStr">
        <is>
          <t>QA담당자1</t>
        </is>
      </c>
      <c r="O99" s="34" t="inlineStr">
        <is>
          <t>Staging</t>
        </is>
      </c>
      <c r="P99" s="34" t="inlineStr">
        <is>
          <t>Chrome</t>
        </is>
      </c>
      <c r="Q99" s="34" t="inlineStr">
        <is>
          <t>Desktop</t>
        </is>
      </c>
      <c r="R99" s="34" t="inlineStr">
        <is>
          <t>Windows 11</t>
        </is>
      </c>
      <c r="S99" s="34" t="inlineStr">
        <is>
          <t>1차</t>
        </is>
      </c>
      <c r="T99" s="34" t="inlineStr">
        <is>
          <t>수동</t>
        </is>
      </c>
      <c r="U99" s="34" t="inlineStr">
        <is>
          <t>SCR-080</t>
        </is>
      </c>
      <c r="V99" s="34" t="inlineStr">
        <is>
          <t>FN-033</t>
        </is>
      </c>
      <c r="W99" s="34" t="inlineStr">
        <is>
          <t>API-090</t>
        </is>
      </c>
      <c r="X99" s="34" t="n"/>
      <c r="Y99" s="34" t="n"/>
      <c r="Z99" s="34" t="inlineStr">
        <is>
          <t>계약 마법사</t>
        </is>
      </c>
      <c r="AA99" s="34" t="inlineStr">
        <is>
          <t>지점 관리</t>
        </is>
      </c>
      <c r="AB99" s="34" t="inlineStr">
        <is>
          <t>/api/v1/settings</t>
        </is>
      </c>
      <c r="AC99" s="34" t="n"/>
    </row>
    <row r="100">
      <c r="A100" s="33" t="inlineStr">
        <is>
          <t>TC-121</t>
        </is>
      </c>
      <c r="B100" s="33" t="inlineStr">
        <is>
          <t>Web</t>
        </is>
      </c>
      <c r="C100" s="33" t="inlineStr">
        <is>
          <t>설정</t>
        </is>
      </c>
      <c r="D100" s="34" t="inlineStr">
        <is>
          <t>수정</t>
        </is>
      </c>
      <c r="E100" s="34" t="inlineStr">
        <is>
          <t>기능 테스트</t>
        </is>
      </c>
      <c r="F100" s="34" t="inlineStr">
        <is>
          <t>영업시간 수정</t>
        </is>
      </c>
      <c r="G100" s="34" t="inlineStr">
        <is>
          <t>설정 페이지 접속</t>
        </is>
      </c>
      <c r="H100" s="34" t="inlineStr">
        <is>
          <t>1) 영업시간 변경 (06:00→07:00)
2) 저장</t>
        </is>
      </c>
      <c r="I100" s="34" t="inlineStr">
        <is>
          <t>'설정이 저장되었습니다.' toast, 변경 반영</t>
        </is>
      </c>
      <c r="J100" s="34" t="n"/>
      <c r="K100" s="34" t="inlineStr">
        <is>
          <t>미실행</t>
        </is>
      </c>
      <c r="L100" s="34" t="inlineStr">
        <is>
          <t>Critical</t>
        </is>
      </c>
      <c r="M100" s="34" t="inlineStr">
        <is>
          <t>Critical</t>
        </is>
      </c>
      <c r="N100" s="34" t="inlineStr">
        <is>
          <t>QA담당자1</t>
        </is>
      </c>
      <c r="O100" s="34" t="inlineStr">
        <is>
          <t>Staging</t>
        </is>
      </c>
      <c r="P100" s="34" t="inlineStr">
        <is>
          <t>Chrome</t>
        </is>
      </c>
      <c r="Q100" s="34" t="inlineStr">
        <is>
          <t>Desktop</t>
        </is>
      </c>
      <c r="R100" s="34" t="inlineStr">
        <is>
          <t>Windows 11</t>
        </is>
      </c>
      <c r="S100" s="34" t="inlineStr">
        <is>
          <t>1차</t>
        </is>
      </c>
      <c r="T100" s="34" t="inlineStr">
        <is>
          <t>수동</t>
        </is>
      </c>
      <c r="U100" s="34" t="inlineStr">
        <is>
          <t>SCR-080</t>
        </is>
      </c>
      <c r="V100" s="34" t="inlineStr">
        <is>
          <t>FN-034</t>
        </is>
      </c>
      <c r="W100" s="34" t="inlineStr">
        <is>
          <t>API-091</t>
        </is>
      </c>
      <c r="X100" s="34" t="n"/>
      <c r="Y100" s="34" t="n"/>
      <c r="Z100" s="34" t="inlineStr">
        <is>
          <t>계약 마법사</t>
        </is>
      </c>
      <c r="AA100" s="34" t="inlineStr">
        <is>
          <t>GX 예약 오픈/관리</t>
        </is>
      </c>
      <c r="AB100" s="34" t="inlineStr">
        <is>
          <t>/api/v1/settings</t>
        </is>
      </c>
      <c r="AC100" s="34" t="n"/>
    </row>
    <row r="101">
      <c r="A101" s="33" t="inlineStr">
        <is>
          <t>TC-122</t>
        </is>
      </c>
      <c r="B101" s="33" t="inlineStr">
        <is>
          <t>Web</t>
        </is>
      </c>
      <c r="C101" s="33" t="inlineStr">
        <is>
          <t>설정</t>
        </is>
      </c>
      <c r="D101" s="34" t="inlineStr">
        <is>
          <t>수정</t>
        </is>
      </c>
      <c r="E101" s="34" t="inlineStr">
        <is>
          <t>기능 테스트</t>
        </is>
      </c>
      <c r="F101" s="34" t="inlineStr">
        <is>
          <t>알림 설정 토글</t>
        </is>
      </c>
      <c r="G101" s="34" t="inlineStr">
        <is>
          <t>설정 페이지</t>
        </is>
      </c>
      <c r="H101" s="34" t="inlineStr">
        <is>
          <t>1) SMS 알림 토글 ON
2) 저장</t>
        </is>
      </c>
      <c r="I101" s="34" t="inlineStr">
        <is>
          <t>smsEnabled=true 저장</t>
        </is>
      </c>
      <c r="J101" s="34" t="n"/>
      <c r="K101" s="34" t="inlineStr">
        <is>
          <t>미실행</t>
        </is>
      </c>
      <c r="L101" s="34" t="inlineStr">
        <is>
          <t>High</t>
        </is>
      </c>
      <c r="M101" s="34" t="inlineStr">
        <is>
          <t>Major</t>
        </is>
      </c>
      <c r="N101" s="34" t="inlineStr">
        <is>
          <t>QA담당자1</t>
        </is>
      </c>
      <c r="O101" s="34" t="inlineStr">
        <is>
          <t>Staging</t>
        </is>
      </c>
      <c r="P101" s="34" t="inlineStr">
        <is>
          <t>Chrome</t>
        </is>
      </c>
      <c r="Q101" s="34" t="inlineStr">
        <is>
          <t>Desktop</t>
        </is>
      </c>
      <c r="R101" s="34" t="inlineStr">
        <is>
          <t>Windows 11</t>
        </is>
      </c>
      <c r="S101" s="34" t="inlineStr">
        <is>
          <t>1차</t>
        </is>
      </c>
      <c r="T101" s="34" t="inlineStr">
        <is>
          <t>수동</t>
        </is>
      </c>
      <c r="U101" s="34" t="inlineStr">
        <is>
          <t>SCR-080</t>
        </is>
      </c>
      <c r="V101" s="34" t="inlineStr">
        <is>
          <t>FN-034</t>
        </is>
      </c>
      <c r="W101" s="34" t="inlineStr">
        <is>
          <t>API-091</t>
        </is>
      </c>
      <c r="X101" s="34" t="n"/>
      <c r="Y101" s="34" t="n"/>
      <c r="Z101" s="34" t="inlineStr">
        <is>
          <t>계약 마법사</t>
        </is>
      </c>
      <c r="AA101" s="34" t="inlineStr">
        <is>
          <t>GX 예약 오픈/관리</t>
        </is>
      </c>
      <c r="AB101" s="34" t="inlineStr">
        <is>
          <t>/api/v1/settings</t>
        </is>
      </c>
      <c r="AC101" s="34" t="n"/>
    </row>
    <row r="102">
      <c r="A102" s="33" t="inlineStr">
        <is>
          <t>TC-123</t>
        </is>
      </c>
      <c r="B102" s="33" t="inlineStr">
        <is>
          <t>Web</t>
        </is>
      </c>
      <c r="C102" s="33" t="inlineStr">
        <is>
          <t>설정</t>
        </is>
      </c>
      <c r="D102" s="34" t="inlineStr">
        <is>
          <t>로딩</t>
        </is>
      </c>
      <c r="E102" s="34" t="inlineStr">
        <is>
          <t>UI/UX 테스트</t>
        </is>
      </c>
      <c r="F102" s="34" t="inlineStr">
        <is>
          <t>설정 로딩 상태</t>
        </is>
      </c>
      <c r="G102" s="34" t="inlineStr">
        <is>
          <t>페이지 진입</t>
        </is>
      </c>
      <c r="H102" s="34" t="inlineStr">
        <is>
          <t>1) 설정 진입 시 로딩 확인</t>
        </is>
      </c>
      <c r="I102" s="34" t="inlineStr">
        <is>
          <t>폼 필드 스켈레톤 표시</t>
        </is>
      </c>
      <c r="J102" s="34" t="n"/>
      <c r="K102" s="34" t="inlineStr">
        <is>
          <t>미실행</t>
        </is>
      </c>
      <c r="L102" s="34" t="inlineStr">
        <is>
          <t>Medium</t>
        </is>
      </c>
      <c r="M102" s="34" t="inlineStr">
        <is>
          <t>Minor</t>
        </is>
      </c>
      <c r="N102" s="34" t="inlineStr">
        <is>
          <t>QA담당자1</t>
        </is>
      </c>
      <c r="O102" s="34" t="inlineStr">
        <is>
          <t>Staging</t>
        </is>
      </c>
      <c r="P102" s="34" t="inlineStr">
        <is>
          <t>Chrome</t>
        </is>
      </c>
      <c r="Q102" s="34" t="inlineStr">
        <is>
          <t>Desktop</t>
        </is>
      </c>
      <c r="R102" s="34" t="inlineStr">
        <is>
          <t>Windows 11</t>
        </is>
      </c>
      <c r="S102" s="34" t="inlineStr">
        <is>
          <t>1차</t>
        </is>
      </c>
      <c r="T102" s="34" t="inlineStr">
        <is>
          <t>수동</t>
        </is>
      </c>
      <c r="U102" s="34" t="inlineStr">
        <is>
          <t>SCR-080-L</t>
        </is>
      </c>
      <c r="V102" s="34" t="inlineStr">
        <is>
          <t>FN-033</t>
        </is>
      </c>
      <c r="W102" s="34" t="n"/>
      <c r="X102" s="34" t="n"/>
      <c r="Y102" s="34" t="n"/>
      <c r="Z102" s="34" t="n"/>
      <c r="AA102" s="34" t="inlineStr">
        <is>
          <t>지점 관리</t>
        </is>
      </c>
      <c r="AB102" s="34" t="inlineStr">
        <is>
          <t>/api/v1/system/reset</t>
        </is>
      </c>
      <c r="AC102" s="34" t="n"/>
    </row>
    <row r="103">
      <c r="A103" s="33" t="inlineStr">
        <is>
          <t>TC-124</t>
        </is>
      </c>
      <c r="B103" s="33" t="inlineStr">
        <is>
          <t>Web</t>
        </is>
      </c>
      <c r="C103" s="33" t="inlineStr">
        <is>
          <t>설정</t>
        </is>
      </c>
      <c r="D103" s="34" t="inlineStr">
        <is>
          <t>저장</t>
        </is>
      </c>
      <c r="E103" s="34" t="inlineStr">
        <is>
          <t>UI/UX 테스트</t>
        </is>
      </c>
      <c r="F103" s="34" t="inlineStr">
        <is>
          <t>설정 저장 중 로딩</t>
        </is>
      </c>
      <c r="G103" s="34" t="inlineStr">
        <is>
          <t>설정 수정 후</t>
        </is>
      </c>
      <c r="H103" s="34" t="inlineStr">
        <is>
          <t>1) 저장 클릭
2) 로딩 확인</t>
        </is>
      </c>
      <c r="I103" s="34" t="inlineStr">
        <is>
          <t>저장 버튼: 스피너 + '저장 중...'</t>
        </is>
      </c>
      <c r="J103" s="34" t="n"/>
      <c r="K103" s="34" t="inlineStr">
        <is>
          <t>미실행</t>
        </is>
      </c>
      <c r="L103" s="34" t="inlineStr">
        <is>
          <t>Medium</t>
        </is>
      </c>
      <c r="M103" s="34" t="inlineStr">
        <is>
          <t>Minor</t>
        </is>
      </c>
      <c r="N103" s="34" t="inlineStr">
        <is>
          <t>QA담당자1</t>
        </is>
      </c>
      <c r="O103" s="34" t="inlineStr">
        <is>
          <t>Staging</t>
        </is>
      </c>
      <c r="P103" s="34" t="inlineStr">
        <is>
          <t>Chrome</t>
        </is>
      </c>
      <c r="Q103" s="34" t="inlineStr">
        <is>
          <t>Desktop</t>
        </is>
      </c>
      <c r="R103" s="34" t="inlineStr">
        <is>
          <t>Windows 11</t>
        </is>
      </c>
      <c r="S103" s="34" t="inlineStr">
        <is>
          <t>1차</t>
        </is>
      </c>
      <c r="T103" s="34" t="inlineStr">
        <is>
          <t>수동</t>
        </is>
      </c>
      <c r="U103" s="34" t="inlineStr">
        <is>
          <t>SCR-080-SAV</t>
        </is>
      </c>
      <c r="V103" s="34" t="inlineStr">
        <is>
          <t>FN-034</t>
        </is>
      </c>
      <c r="W103" s="34" t="n"/>
      <c r="X103" s="34" t="n"/>
      <c r="Y103" s="34" t="n"/>
      <c r="Z103" s="34" t="n"/>
      <c r="AA103" s="34" t="inlineStr">
        <is>
          <t>GX 예약 오픈/관리</t>
        </is>
      </c>
      <c r="AB103" s="34" t="n"/>
      <c r="AC103" s="34" t="n"/>
    </row>
    <row r="104">
      <c r="A104" s="33" t="inlineStr">
        <is>
          <t>TC-130</t>
        </is>
      </c>
      <c r="B104" s="33" t="inlineStr">
        <is>
          <t>Web</t>
        </is>
      </c>
      <c r="C104" s="33" t="inlineStr">
        <is>
          <t>지점관리</t>
        </is>
      </c>
      <c r="D104" s="34" t="inlineStr">
        <is>
          <t>조회</t>
        </is>
      </c>
      <c r="E104" s="34" t="inlineStr">
        <is>
          <t>기능 테스트</t>
        </is>
      </c>
      <c r="F104" s="34" t="inlineStr">
        <is>
          <t>지점 목록 조회</t>
        </is>
      </c>
      <c r="G104" s="34" t="inlineStr">
        <is>
          <t>지점 등록 상태</t>
        </is>
      </c>
      <c r="H104" s="34" t="inlineStr">
        <is>
          <t>1) 지점 관리 접속</t>
        </is>
      </c>
      <c r="I104" s="34" t="inlineStr">
        <is>
          <t>지점 목록 테이블 표시</t>
        </is>
      </c>
      <c r="J104" s="34" t="n"/>
      <c r="K104" s="34" t="inlineStr">
        <is>
          <t>미실행</t>
        </is>
      </c>
      <c r="L104" s="34" t="inlineStr">
        <is>
          <t>Critical</t>
        </is>
      </c>
      <c r="M104" s="34" t="inlineStr">
        <is>
          <t>Critical</t>
        </is>
      </c>
      <c r="N104" s="34" t="inlineStr">
        <is>
          <t>QA담당자1</t>
        </is>
      </c>
      <c r="O104" s="34" t="inlineStr">
        <is>
          <t>Staging</t>
        </is>
      </c>
      <c r="P104" s="34" t="inlineStr">
        <is>
          <t>Chrome</t>
        </is>
      </c>
      <c r="Q104" s="34" t="inlineStr">
        <is>
          <t>Desktop</t>
        </is>
      </c>
      <c r="R104" s="34" t="inlineStr">
        <is>
          <t>Windows 11</t>
        </is>
      </c>
      <c r="S104" s="34" t="inlineStr">
        <is>
          <t>1차</t>
        </is>
      </c>
      <c r="T104" s="34" t="inlineStr">
        <is>
          <t>수동</t>
        </is>
      </c>
      <c r="U104" s="34" t="inlineStr">
        <is>
          <t>SCR-081</t>
        </is>
      </c>
      <c r="V104" s="34" t="inlineStr">
        <is>
          <t>FN-035</t>
        </is>
      </c>
      <c r="W104" s="34" t="inlineStr">
        <is>
          <t>API-100</t>
        </is>
      </c>
      <c r="X104" s="34" t="n"/>
      <c r="Y104" s="34" t="n"/>
      <c r="Z104" s="34" t="inlineStr">
        <is>
          <t>구독 관리</t>
        </is>
      </c>
      <c r="AA104" s="34" t="inlineStr">
        <is>
          <t>GX 출석 체크 자동화</t>
        </is>
      </c>
      <c r="AB104" s="34" t="inlineStr">
        <is>
          <t>/api/v1/branches/paginated</t>
        </is>
      </c>
      <c r="AC104" s="34" t="n"/>
    </row>
    <row r="105">
      <c r="A105" s="33" t="inlineStr">
        <is>
          <t>TC-131</t>
        </is>
      </c>
      <c r="B105" s="33" t="inlineStr">
        <is>
          <t>Web</t>
        </is>
      </c>
      <c r="C105" s="33" t="inlineStr">
        <is>
          <t>지점관리</t>
        </is>
      </c>
      <c r="D105" s="34" t="inlineStr">
        <is>
          <t>등록</t>
        </is>
      </c>
      <c r="E105" s="34" t="inlineStr">
        <is>
          <t>기능 테스트</t>
        </is>
      </c>
      <c r="F105" s="34" t="inlineStr">
        <is>
          <t>지점 등록</t>
        </is>
      </c>
      <c r="G105" s="34" t="inlineStr">
        <is>
          <t>지점 관리 접속</t>
        </is>
      </c>
      <c r="H105" s="34" t="inlineStr">
        <is>
          <t>1) 추가 클릭
2) 지점명/주소/연락처 입력
3) 저장</t>
        </is>
      </c>
      <c r="I105" s="34" t="inlineStr">
        <is>
          <t>'지점이 등록되었습니다.' toast</t>
        </is>
      </c>
      <c r="J105" s="34" t="n"/>
      <c r="K105" s="34" t="inlineStr">
        <is>
          <t>미실행</t>
        </is>
      </c>
      <c r="L105" s="34" t="inlineStr">
        <is>
          <t>Critical</t>
        </is>
      </c>
      <c r="M105" s="34" t="inlineStr">
        <is>
          <t>Critical</t>
        </is>
      </c>
      <c r="N105" s="34" t="inlineStr">
        <is>
          <t>QA담당자1</t>
        </is>
      </c>
      <c r="O105" s="34" t="inlineStr">
        <is>
          <t>Staging</t>
        </is>
      </c>
      <c r="P105" s="34" t="inlineStr">
        <is>
          <t>Chrome</t>
        </is>
      </c>
      <c r="Q105" s="34" t="inlineStr">
        <is>
          <t>Desktop</t>
        </is>
      </c>
      <c r="R105" s="34" t="inlineStr">
        <is>
          <t>Windows 11</t>
        </is>
      </c>
      <c r="S105" s="34" t="inlineStr">
        <is>
          <t>1차</t>
        </is>
      </c>
      <c r="T105" s="34" t="inlineStr">
        <is>
          <t>수동</t>
        </is>
      </c>
      <c r="U105" s="34" t="inlineStr">
        <is>
          <t>SCR-081-ADD</t>
        </is>
      </c>
      <c r="V105" s="34" t="inlineStr">
        <is>
          <t>FN-036</t>
        </is>
      </c>
      <c r="W105" s="34" t="inlineStr">
        <is>
          <t>API-102</t>
        </is>
      </c>
      <c r="X105" s="34" t="n"/>
      <c r="Y105" s="34" t="n"/>
      <c r="Z105" s="34" t="n"/>
      <c r="AA105" s="34" t="inlineStr">
        <is>
          <t>노쇼 페널티 자동 처리</t>
        </is>
      </c>
      <c r="AB105" s="34" t="inlineStr">
        <is>
          <t>/api/v1/branches</t>
        </is>
      </c>
      <c r="AC105" s="34" t="n"/>
    </row>
    <row r="106">
      <c r="A106" s="33" t="inlineStr">
        <is>
          <t>TC-132</t>
        </is>
      </c>
      <c r="B106" s="33" t="inlineStr">
        <is>
          <t>Web</t>
        </is>
      </c>
      <c r="C106" s="33" t="inlineStr">
        <is>
          <t>지점관리</t>
        </is>
      </c>
      <c r="D106" s="34" t="inlineStr">
        <is>
          <t>수정</t>
        </is>
      </c>
      <c r="E106" s="34" t="inlineStr">
        <is>
          <t>기능 테스트</t>
        </is>
      </c>
      <c r="F106" s="34" t="inlineStr">
        <is>
          <t>지점 수정</t>
        </is>
      </c>
      <c r="G106" s="34" t="inlineStr">
        <is>
          <t>지점 목록</t>
        </is>
      </c>
      <c r="H106" s="34" t="inlineStr">
        <is>
          <t>1) 수정 클릭
2) 주소 변경
3) 저장</t>
        </is>
      </c>
      <c r="I106" s="34" t="inlineStr">
        <is>
          <t>'지점 정보가 수정되었습니다.' toast</t>
        </is>
      </c>
      <c r="J106" s="34" t="n"/>
      <c r="K106" s="34" t="inlineStr">
        <is>
          <t>미실행</t>
        </is>
      </c>
      <c r="L106" s="34" t="inlineStr">
        <is>
          <t>High</t>
        </is>
      </c>
      <c r="M106" s="34" t="inlineStr">
        <is>
          <t>Major</t>
        </is>
      </c>
      <c r="N106" s="34" t="inlineStr">
        <is>
          <t>QA담당자1</t>
        </is>
      </c>
      <c r="O106" s="34" t="inlineStr">
        <is>
          <t>Staging</t>
        </is>
      </c>
      <c r="P106" s="34" t="inlineStr">
        <is>
          <t>Chrome</t>
        </is>
      </c>
      <c r="Q106" s="34" t="inlineStr">
        <is>
          <t>Desktop</t>
        </is>
      </c>
      <c r="R106" s="34" t="inlineStr">
        <is>
          <t>Windows 11</t>
        </is>
      </c>
      <c r="S106" s="34" t="inlineStr">
        <is>
          <t>1차</t>
        </is>
      </c>
      <c r="T106" s="34" t="inlineStr">
        <is>
          <t>수동</t>
        </is>
      </c>
      <c r="U106" s="34" t="inlineStr">
        <is>
          <t>SCR-081-EDT</t>
        </is>
      </c>
      <c r="V106" s="34" t="inlineStr">
        <is>
          <t>FN-037</t>
        </is>
      </c>
      <c r="W106" s="34" t="inlineStr">
        <is>
          <t>API-103</t>
        </is>
      </c>
      <c r="X106" s="34" t="n"/>
      <c r="Y106" s="34" t="n"/>
      <c r="Z106" s="34" t="n"/>
      <c r="AA106" s="34" t="inlineStr">
        <is>
          <t>스피닝/GX 좌석 예약</t>
        </is>
      </c>
      <c r="AB106" s="34" t="inlineStr">
        <is>
          <t>/api/v1/branches/{id}</t>
        </is>
      </c>
      <c r="AC106" s="34" t="n"/>
    </row>
    <row r="107">
      <c r="A107" s="33" t="inlineStr">
        <is>
          <t>TC-140</t>
        </is>
      </c>
      <c r="B107" s="33" t="inlineStr">
        <is>
          <t>Web</t>
        </is>
      </c>
      <c r="C107" s="33" t="inlineStr">
        <is>
          <t>체성분</t>
        </is>
      </c>
      <c r="D107" s="34" t="inlineStr">
        <is>
          <t>조회</t>
        </is>
      </c>
      <c r="E107" s="34" t="inlineStr">
        <is>
          <t>기능 테스트</t>
        </is>
      </c>
      <c r="F107" s="34" t="inlineStr">
        <is>
          <t>체성분 분석 페이지</t>
        </is>
      </c>
      <c r="G107" s="34" t="inlineStr">
        <is>
          <t>측정 데이터 존재</t>
        </is>
      </c>
      <c r="H107" s="34" t="inlineStr">
        <is>
          <t>1) 체성분 분석 접속</t>
        </is>
      </c>
      <c r="I107" s="34" t="inlineStr">
        <is>
          <t>차트 + 측정 이력 표시</t>
        </is>
      </c>
      <c r="J107" s="34" t="n"/>
      <c r="K107" s="34" t="inlineStr">
        <is>
          <t>미실행</t>
        </is>
      </c>
      <c r="L107" s="34" t="inlineStr">
        <is>
          <t>High</t>
        </is>
      </c>
      <c r="M107" s="34" t="inlineStr">
        <is>
          <t>Major</t>
        </is>
      </c>
      <c r="N107" s="34" t="inlineStr">
        <is>
          <t>QA담당자1</t>
        </is>
      </c>
      <c r="O107" s="34" t="inlineStr">
        <is>
          <t>Staging</t>
        </is>
      </c>
      <c r="P107" s="34" t="inlineStr">
        <is>
          <t>Chrome</t>
        </is>
      </c>
      <c r="Q107" s="34" t="inlineStr">
        <is>
          <t>Desktop</t>
        </is>
      </c>
      <c r="R107" s="34" t="inlineStr">
        <is>
          <t>Windows 11</t>
        </is>
      </c>
      <c r="S107" s="34" t="inlineStr">
        <is>
          <t>1차</t>
        </is>
      </c>
      <c r="T107" s="34" t="inlineStr">
        <is>
          <t>수동</t>
        </is>
      </c>
      <c r="U107" s="34" t="inlineStr">
        <is>
          <t>SCR-070</t>
        </is>
      </c>
      <c r="V107" s="34" t="n"/>
      <c r="W107" s="34" t="n"/>
      <c r="X107" s="34" t="n"/>
      <c r="Y107" s="34" t="n"/>
      <c r="Z107" s="34" t="inlineStr">
        <is>
          <t>메시지 발송</t>
        </is>
      </c>
      <c r="AA107" s="34" t="n"/>
      <c r="AB107" s="34" t="n"/>
      <c r="AC107" s="34" t="n"/>
    </row>
    <row r="108">
      <c r="A108" s="33" t="inlineStr">
        <is>
          <t>TC-141</t>
        </is>
      </c>
      <c r="B108" s="33" t="inlineStr">
        <is>
          <t>Web</t>
        </is>
      </c>
      <c r="C108" s="33" t="inlineStr">
        <is>
          <t>체성분</t>
        </is>
      </c>
      <c r="D108" s="34" t="inlineStr">
        <is>
          <t>빈 상태</t>
        </is>
      </c>
      <c r="E108" s="34" t="inlineStr">
        <is>
          <t>UI/UX 테스트</t>
        </is>
      </c>
      <c r="F108" s="34" t="inlineStr">
        <is>
          <t>체성분 빈 상태</t>
        </is>
      </c>
      <c r="G108" s="34" t="inlineStr">
        <is>
          <t>측정 0건</t>
        </is>
      </c>
      <c r="H108" s="34" t="inlineStr">
        <is>
          <t>1) 체성분 접속</t>
        </is>
      </c>
      <c r="I108" s="34" t="inlineStr">
        <is>
          <t>'체성분 측정 기록이 없습니다' EmptyState</t>
        </is>
      </c>
      <c r="J108" s="34" t="n"/>
      <c r="K108" s="34" t="inlineStr">
        <is>
          <t>미실행</t>
        </is>
      </c>
      <c r="L108" s="34" t="inlineStr">
        <is>
          <t>Medium</t>
        </is>
      </c>
      <c r="M108" s="34" t="inlineStr">
        <is>
          <t>Minor</t>
        </is>
      </c>
      <c r="N108" s="34" t="inlineStr">
        <is>
          <t>QA담당자1</t>
        </is>
      </c>
      <c r="O108" s="34" t="inlineStr">
        <is>
          <t>Staging</t>
        </is>
      </c>
      <c r="P108" s="34" t="inlineStr">
        <is>
          <t>Chrome</t>
        </is>
      </c>
      <c r="Q108" s="34" t="inlineStr">
        <is>
          <t>Desktop</t>
        </is>
      </c>
      <c r="R108" s="34" t="inlineStr">
        <is>
          <t>Windows 11</t>
        </is>
      </c>
      <c r="S108" s="34" t="inlineStr">
        <is>
          <t>1차</t>
        </is>
      </c>
      <c r="T108" s="34" t="inlineStr">
        <is>
          <t>수동</t>
        </is>
      </c>
      <c r="U108" s="34" t="inlineStr">
        <is>
          <t>SCR-070-EM</t>
        </is>
      </c>
      <c r="V108" s="34" t="n"/>
      <c r="W108" s="34" t="n"/>
      <c r="X108" s="34" t="n"/>
      <c r="Y108" s="34" t="n"/>
      <c r="Z108" s="34" t="n"/>
      <c r="AA108" s="34" t="n"/>
      <c r="AB108" s="34" t="n"/>
      <c r="AC108" s="34" t="n"/>
    </row>
    <row r="109">
      <c r="A109" s="33" t="inlineStr">
        <is>
          <t>TC-150</t>
        </is>
      </c>
      <c r="B109" s="33" t="inlineStr">
        <is>
          <t>Web</t>
        </is>
      </c>
      <c r="C109" s="33" t="inlineStr">
        <is>
          <t>계약</t>
        </is>
      </c>
      <c r="D109" s="34" t="inlineStr">
        <is>
          <t>Step1</t>
        </is>
      </c>
      <c r="E109" s="34" t="inlineStr">
        <is>
          <t>기능 테스트</t>
        </is>
      </c>
      <c r="F109" s="34" t="inlineStr">
        <is>
          <t>계약 마법사 - 회원 선택</t>
        </is>
      </c>
      <c r="G109" s="34" t="inlineStr">
        <is>
          <t>계약 페이지 접속</t>
        </is>
      </c>
      <c r="H109" s="34" t="inlineStr">
        <is>
          <t>1) 회원 검색
2) 회원 선택
3) 다음</t>
        </is>
      </c>
      <c r="I109" s="34" t="inlineStr">
        <is>
          <t>회원 선택 완료, Step2로 이동</t>
        </is>
      </c>
      <c r="J109" s="34" t="n"/>
      <c r="K109" s="34" t="inlineStr">
        <is>
          <t>미실행</t>
        </is>
      </c>
      <c r="L109" s="34" t="inlineStr">
        <is>
          <t>Critical</t>
        </is>
      </c>
      <c r="M109" s="34" t="inlineStr">
        <is>
          <t>Critical</t>
        </is>
      </c>
      <c r="N109" s="34" t="inlineStr">
        <is>
          <t>QA담당자1</t>
        </is>
      </c>
      <c r="O109" s="34" t="inlineStr">
        <is>
          <t>Staging</t>
        </is>
      </c>
      <c r="P109" s="34" t="inlineStr">
        <is>
          <t>Chrome</t>
        </is>
      </c>
      <c r="Q109" s="34" t="inlineStr">
        <is>
          <t>Desktop</t>
        </is>
      </c>
      <c r="R109" s="34" t="inlineStr">
        <is>
          <t>Windows 11</t>
        </is>
      </c>
      <c r="S109" s="34" t="inlineStr">
        <is>
          <t>1차</t>
        </is>
      </c>
      <c r="T109" s="34" t="inlineStr">
        <is>
          <t>수동</t>
        </is>
      </c>
      <c r="U109" s="34" t="inlineStr">
        <is>
          <t>SCR-071-S1</t>
        </is>
      </c>
      <c r="V109" s="34" t="n"/>
      <c r="W109" s="34" t="n"/>
      <c r="X109" s="34" t="n"/>
      <c r="Y109" s="34" t="n"/>
      <c r="Z109" s="34" t="n"/>
      <c r="AA109" s="34" t="n"/>
      <c r="AB109" s="34" t="n"/>
      <c r="AC109" s="34" t="n"/>
    </row>
    <row r="110">
      <c r="A110" s="33" t="inlineStr">
        <is>
          <t>TC-151</t>
        </is>
      </c>
      <c r="B110" s="33" t="inlineStr">
        <is>
          <t>Web</t>
        </is>
      </c>
      <c r="C110" s="33" t="inlineStr">
        <is>
          <t>계약</t>
        </is>
      </c>
      <c r="D110" s="34" t="inlineStr">
        <is>
          <t>Step2</t>
        </is>
      </c>
      <c r="E110" s="34" t="inlineStr">
        <is>
          <t>기능 테스트</t>
        </is>
      </c>
      <c r="F110" s="34" t="inlineStr">
        <is>
          <t>계약 마법사 - 상품 선택</t>
        </is>
      </c>
      <c r="G110" s="34" t="inlineStr">
        <is>
          <t>Step1 완료</t>
        </is>
      </c>
      <c r="H110" s="34" t="inlineStr">
        <is>
          <t>1) 상품 카테고리 선택
2) 상품 선택
3) 기간 설정
4) 다음</t>
        </is>
      </c>
      <c r="I110" s="34" t="inlineStr">
        <is>
          <t>상품 선택 + 옵션 설정 완료</t>
        </is>
      </c>
      <c r="J110" s="34" t="n"/>
      <c r="K110" s="34" t="inlineStr">
        <is>
          <t>미실행</t>
        </is>
      </c>
      <c r="L110" s="34" t="inlineStr">
        <is>
          <t>Critical</t>
        </is>
      </c>
      <c r="M110" s="34" t="inlineStr">
        <is>
          <t>Critical</t>
        </is>
      </c>
      <c r="N110" s="34" t="inlineStr">
        <is>
          <t>QA담당자1</t>
        </is>
      </c>
      <c r="O110" s="34" t="inlineStr">
        <is>
          <t>Staging</t>
        </is>
      </c>
      <c r="P110" s="34" t="inlineStr">
        <is>
          <t>Chrome</t>
        </is>
      </c>
      <c r="Q110" s="34" t="inlineStr">
        <is>
          <t>Desktop</t>
        </is>
      </c>
      <c r="R110" s="34" t="inlineStr">
        <is>
          <t>Windows 11</t>
        </is>
      </c>
      <c r="S110" s="34" t="inlineStr">
        <is>
          <t>1차</t>
        </is>
      </c>
      <c r="T110" s="34" t="inlineStr">
        <is>
          <t>수동</t>
        </is>
      </c>
      <c r="U110" s="34" t="inlineStr">
        <is>
          <t>SCR-071-S2</t>
        </is>
      </c>
      <c r="V110" s="34" t="n"/>
      <c r="W110" s="34" t="n"/>
      <c r="X110" s="34" t="n"/>
      <c r="Y110" s="34" t="n"/>
      <c r="Z110" s="34" t="n"/>
      <c r="AA110" s="34" t="n"/>
      <c r="AB110" s="34" t="n"/>
      <c r="AC110" s="34" t="n"/>
    </row>
    <row r="111">
      <c r="A111" s="33" t="inlineStr">
        <is>
          <t>TC-152</t>
        </is>
      </c>
      <c r="B111" s="33" t="inlineStr">
        <is>
          <t>Web</t>
        </is>
      </c>
      <c r="C111" s="33" t="inlineStr">
        <is>
          <t>계약</t>
        </is>
      </c>
      <c r="D111" s="34" t="inlineStr">
        <is>
          <t>Step3</t>
        </is>
      </c>
      <c r="E111" s="34" t="inlineStr">
        <is>
          <t>기능 테스트</t>
        </is>
      </c>
      <c r="F111" s="34" t="inlineStr">
        <is>
          <t>계약 마법사 - 결제 완료</t>
        </is>
      </c>
      <c r="G111" s="34" t="inlineStr">
        <is>
          <t>Step2 완료</t>
        </is>
      </c>
      <c r="H111" s="34" t="inlineStr">
        <is>
          <t>1) 결제 수단 선택
2) 금액 확인
3) 결제</t>
        </is>
      </c>
      <c r="I111" s="34" t="inlineStr">
        <is>
          <t>계약 완료 성공 화면 표시</t>
        </is>
      </c>
      <c r="J111" s="34" t="n"/>
      <c r="K111" s="34" t="inlineStr">
        <is>
          <t>미실행</t>
        </is>
      </c>
      <c r="L111" s="34" t="inlineStr">
        <is>
          <t>Critical</t>
        </is>
      </c>
      <c r="M111" s="34" t="inlineStr">
        <is>
          <t>Critical</t>
        </is>
      </c>
      <c r="N111" s="34" t="inlineStr">
        <is>
          <t>QA담당자1</t>
        </is>
      </c>
      <c r="O111" s="34" t="inlineStr">
        <is>
          <t>Staging</t>
        </is>
      </c>
      <c r="P111" s="34" t="inlineStr">
        <is>
          <t>Chrome</t>
        </is>
      </c>
      <c r="Q111" s="34" t="inlineStr">
        <is>
          <t>Desktop</t>
        </is>
      </c>
      <c r="R111" s="34" t="inlineStr">
        <is>
          <t>Windows 11</t>
        </is>
      </c>
      <c r="S111" s="34" t="inlineStr">
        <is>
          <t>1차</t>
        </is>
      </c>
      <c r="T111" s="34" t="inlineStr">
        <is>
          <t>수동</t>
        </is>
      </c>
      <c r="U111" s="34" t="inlineStr">
        <is>
          <t>SCR-071-S3</t>
        </is>
      </c>
      <c r="V111" s="34" t="n"/>
      <c r="W111" s="34" t="n"/>
      <c r="X111" s="34" t="n"/>
      <c r="Y111" s="34" t="n"/>
      <c r="Z111" s="34" t="n"/>
      <c r="AA111" s="34" t="n"/>
      <c r="AB111" s="34" t="n"/>
      <c r="AC111" s="34" t="n"/>
    </row>
    <row r="112">
      <c r="A112" s="33" t="inlineStr">
        <is>
          <t>TC-153</t>
        </is>
      </c>
      <c r="B112" s="33" t="inlineStr">
        <is>
          <t>Web</t>
        </is>
      </c>
      <c r="C112" s="33" t="inlineStr">
        <is>
          <t>계약</t>
        </is>
      </c>
      <c r="D112" s="34" t="inlineStr">
        <is>
          <t>Step1</t>
        </is>
      </c>
      <c r="E112" s="34" t="inlineStr">
        <is>
          <t>기능 테스트</t>
        </is>
      </c>
      <c r="F112" s="34" t="inlineStr">
        <is>
          <t>회원 미선택 시 다음 불가</t>
        </is>
      </c>
      <c r="G112" s="34" t="inlineStr">
        <is>
          <t>계약 페이지</t>
        </is>
      </c>
      <c r="H112" s="34" t="inlineStr">
        <is>
          <t>1) 회원 미선택
2) 다음 클릭</t>
        </is>
      </c>
      <c r="I112" s="34" t="inlineStr">
        <is>
          <t>다음 버튼 비활성 또는 에러</t>
        </is>
      </c>
      <c r="J112" s="34" t="n"/>
      <c r="K112" s="34" t="inlineStr">
        <is>
          <t>미실행</t>
        </is>
      </c>
      <c r="L112" s="34" t="inlineStr">
        <is>
          <t>High</t>
        </is>
      </c>
      <c r="M112" s="34" t="inlineStr">
        <is>
          <t>Major</t>
        </is>
      </c>
      <c r="N112" s="34" t="inlineStr">
        <is>
          <t>QA담당자1</t>
        </is>
      </c>
      <c r="O112" s="34" t="inlineStr">
        <is>
          <t>Staging</t>
        </is>
      </c>
      <c r="P112" s="34" t="inlineStr">
        <is>
          <t>Chrome</t>
        </is>
      </c>
      <c r="Q112" s="34" t="inlineStr">
        <is>
          <t>Desktop</t>
        </is>
      </c>
      <c r="R112" s="34" t="inlineStr">
        <is>
          <t>Windows 11</t>
        </is>
      </c>
      <c r="S112" s="34" t="inlineStr">
        <is>
          <t>1차</t>
        </is>
      </c>
      <c r="T112" s="34" t="inlineStr">
        <is>
          <t>수동</t>
        </is>
      </c>
      <c r="U112" s="34" t="inlineStr">
        <is>
          <t>SCR-071-S1</t>
        </is>
      </c>
      <c r="V112" s="34" t="n"/>
      <c r="W112" s="34" t="n"/>
      <c r="X112" s="34" t="n"/>
      <c r="Y112" s="34" t="n"/>
      <c r="Z112" s="34" t="n"/>
      <c r="AA112" s="34" t="n"/>
      <c r="AB112" s="34" t="n"/>
      <c r="AC112" s="34" t="n"/>
    </row>
    <row r="113">
      <c r="A113" s="33" t="inlineStr">
        <is>
          <t>TC-160</t>
        </is>
      </c>
      <c r="B113" s="33" t="inlineStr">
        <is>
          <t>Web</t>
        </is>
      </c>
      <c r="C113" s="33" t="inlineStr">
        <is>
          <t>쿠폰관리</t>
        </is>
      </c>
      <c r="D113" s="34" t="inlineStr">
        <is>
          <t>조회</t>
        </is>
      </c>
      <c r="E113" s="34" t="inlineStr">
        <is>
          <t>기능 테스트</t>
        </is>
      </c>
      <c r="F113" s="34" t="inlineStr">
        <is>
          <t>쿠폰 목록 조회</t>
        </is>
      </c>
      <c r="G113" s="34" t="inlineStr">
        <is>
          <t>쿠폰 등록 상태</t>
        </is>
      </c>
      <c r="H113" s="34" t="inlineStr">
        <is>
          <t>1) 쿠폰 관리 접속</t>
        </is>
      </c>
      <c r="I113" s="34" t="inlineStr">
        <is>
          <t>쿠폰 카드/리스트 표시</t>
        </is>
      </c>
      <c r="J113" s="34" t="n"/>
      <c r="K113" s="34" t="inlineStr">
        <is>
          <t>미실행</t>
        </is>
      </c>
      <c r="L113" s="34" t="inlineStr">
        <is>
          <t>High</t>
        </is>
      </c>
      <c r="M113" s="34" t="inlineStr">
        <is>
          <t>Major</t>
        </is>
      </c>
      <c r="N113" s="34" t="inlineStr">
        <is>
          <t>QA담당자1</t>
        </is>
      </c>
      <c r="O113" s="34" t="inlineStr">
        <is>
          <t>Staging</t>
        </is>
      </c>
      <c r="P113" s="34" t="inlineStr">
        <is>
          <t>Chrome</t>
        </is>
      </c>
      <c r="Q113" s="34" t="inlineStr">
        <is>
          <t>Desktop</t>
        </is>
      </c>
      <c r="R113" s="34" t="inlineStr">
        <is>
          <t>Windows 11</t>
        </is>
      </c>
      <c r="S113" s="34" t="inlineStr">
        <is>
          <t>1차</t>
        </is>
      </c>
      <c r="T113" s="34" t="inlineStr">
        <is>
          <t>수동</t>
        </is>
      </c>
      <c r="U113" s="34" t="inlineStr">
        <is>
          <t>SCR-090</t>
        </is>
      </c>
      <c r="V113" s="34" t="n"/>
      <c r="W113" s="34" t="n"/>
      <c r="X113" s="34" t="n"/>
      <c r="Y113" s="34" t="n"/>
      <c r="Z113" s="34" t="inlineStr">
        <is>
          <t>설정</t>
        </is>
      </c>
      <c r="AA113" s="34" t="n"/>
      <c r="AB113" s="34" t="n"/>
      <c r="AC113" s="34" t="n"/>
    </row>
    <row r="114">
      <c r="A114" s="33" t="inlineStr">
        <is>
          <t>TC-161</t>
        </is>
      </c>
      <c r="B114" s="33" t="inlineStr">
        <is>
          <t>Web</t>
        </is>
      </c>
      <c r="C114" s="33" t="inlineStr">
        <is>
          <t>쿠폰관리</t>
        </is>
      </c>
      <c r="D114" s="34" t="inlineStr">
        <is>
          <t>생성</t>
        </is>
      </c>
      <c r="E114" s="34" t="inlineStr">
        <is>
          <t>기능 테스트</t>
        </is>
      </c>
      <c r="F114" s="34" t="inlineStr">
        <is>
          <t>쿠폰 생성</t>
        </is>
      </c>
      <c r="G114" s="34" t="inlineStr">
        <is>
          <t>쿠폰 관리 접속</t>
        </is>
      </c>
      <c r="H114" s="34" t="inlineStr">
        <is>
          <t>1) 생성 클릭
2) 타입/금액/유효기간 입력
3) 저장</t>
        </is>
      </c>
      <c r="I114" s="34" t="inlineStr">
        <is>
          <t>쿠폰 생성 성공</t>
        </is>
      </c>
      <c r="J114" s="34" t="n"/>
      <c r="K114" s="34" t="inlineStr">
        <is>
          <t>미실행</t>
        </is>
      </c>
      <c r="L114" s="34" t="inlineStr">
        <is>
          <t>High</t>
        </is>
      </c>
      <c r="M114" s="34" t="inlineStr">
        <is>
          <t>Major</t>
        </is>
      </c>
      <c r="N114" s="34" t="inlineStr">
        <is>
          <t>QA담당자1</t>
        </is>
      </c>
      <c r="O114" s="34" t="inlineStr">
        <is>
          <t>Staging</t>
        </is>
      </c>
      <c r="P114" s="34" t="inlineStr">
        <is>
          <t>Chrome</t>
        </is>
      </c>
      <c r="Q114" s="34" t="inlineStr">
        <is>
          <t>Desktop</t>
        </is>
      </c>
      <c r="R114" s="34" t="inlineStr">
        <is>
          <t>Windows 11</t>
        </is>
      </c>
      <c r="S114" s="34" t="inlineStr">
        <is>
          <t>1차</t>
        </is>
      </c>
      <c r="T114" s="34" t="inlineStr">
        <is>
          <t>수동</t>
        </is>
      </c>
      <c r="U114" s="34" t="inlineStr">
        <is>
          <t>SCR-090-ADD</t>
        </is>
      </c>
      <c r="V114" s="34" t="n"/>
      <c r="W114" s="34" t="n"/>
      <c r="X114" s="34" t="n"/>
      <c r="Y114" s="34" t="n"/>
      <c r="Z114" s="34" t="n"/>
      <c r="AA114" s="34" t="n"/>
      <c r="AB114" s="34" t="n"/>
      <c r="AC114" s="34" t="n"/>
    </row>
    <row r="115">
      <c r="A115" s="33" t="inlineStr">
        <is>
          <t>TC-162</t>
        </is>
      </c>
      <c r="B115" s="33" t="inlineStr">
        <is>
          <t>Web</t>
        </is>
      </c>
      <c r="C115" s="33" t="inlineStr">
        <is>
          <t>쿠폰관리</t>
        </is>
      </c>
      <c r="D115" s="34" t="inlineStr">
        <is>
          <t>빈 상태</t>
        </is>
      </c>
      <c r="E115" s="34" t="inlineStr">
        <is>
          <t>UI/UX 테스트</t>
        </is>
      </c>
      <c r="F115" s="34" t="inlineStr">
        <is>
          <t>쿠폰 빈 상태</t>
        </is>
      </c>
      <c r="G115" s="34" t="inlineStr">
        <is>
          <t>쿠폰 0건</t>
        </is>
      </c>
      <c r="H115" s="34" t="inlineStr">
        <is>
          <t>1) 쿠폰 관리 접속</t>
        </is>
      </c>
      <c r="I115" s="34" t="inlineStr">
        <is>
          <t>'등록된 쿠폰이 없습니다' EmptyState</t>
        </is>
      </c>
      <c r="J115" s="34" t="n"/>
      <c r="K115" s="34" t="inlineStr">
        <is>
          <t>미실행</t>
        </is>
      </c>
      <c r="L115" s="34" t="inlineStr">
        <is>
          <t>Medium</t>
        </is>
      </c>
      <c r="M115" s="34" t="inlineStr">
        <is>
          <t>Minor</t>
        </is>
      </c>
      <c r="N115" s="34" t="inlineStr">
        <is>
          <t>QA담당자1</t>
        </is>
      </c>
      <c r="O115" s="34" t="inlineStr">
        <is>
          <t>Staging</t>
        </is>
      </c>
      <c r="P115" s="34" t="inlineStr">
        <is>
          <t>Chrome</t>
        </is>
      </c>
      <c r="Q115" s="34" t="inlineStr">
        <is>
          <t>Desktop</t>
        </is>
      </c>
      <c r="R115" s="34" t="inlineStr">
        <is>
          <t>Windows 11</t>
        </is>
      </c>
      <c r="S115" s="34" t="inlineStr">
        <is>
          <t>1차</t>
        </is>
      </c>
      <c r="T115" s="34" t="inlineStr">
        <is>
          <t>수동</t>
        </is>
      </c>
      <c r="U115" s="34" t="inlineStr">
        <is>
          <t>SCR-090-EM</t>
        </is>
      </c>
      <c r="V115" s="34" t="n"/>
      <c r="W115" s="34" t="n"/>
      <c r="X115" s="34" t="n"/>
      <c r="Y115" s="34" t="n"/>
      <c r="Z115" s="34" t="n"/>
      <c r="AA115" s="34" t="n"/>
      <c r="AB115" s="34" t="n"/>
      <c r="AC115" s="34" t="n"/>
    </row>
    <row r="116">
      <c r="A116" s="33" t="inlineStr">
        <is>
          <t>TC-165</t>
        </is>
      </c>
      <c r="B116" s="33" t="inlineStr">
        <is>
          <t>Web</t>
        </is>
      </c>
      <c r="C116" s="33" t="inlineStr">
        <is>
          <t>마일리지</t>
        </is>
      </c>
      <c r="D116" s="34" t="inlineStr">
        <is>
          <t>조회</t>
        </is>
      </c>
      <c r="E116" s="34" t="inlineStr">
        <is>
          <t>기능 테스트</t>
        </is>
      </c>
      <c r="F116" s="34" t="inlineStr">
        <is>
          <t>마일리지 이력 조회</t>
        </is>
      </c>
      <c r="G116" s="34" t="inlineStr">
        <is>
          <t>마일리지 이력 존재</t>
        </is>
      </c>
      <c r="H116" s="34" t="inlineStr">
        <is>
          <t>1) 마일리지 관리 접속</t>
        </is>
      </c>
      <c r="I116" s="34" t="inlineStr">
        <is>
          <t>마일리지 이력 테이블 표시</t>
        </is>
      </c>
      <c r="J116" s="34" t="n"/>
      <c r="K116" s="34" t="inlineStr">
        <is>
          <t>미실행</t>
        </is>
      </c>
      <c r="L116" s="34" t="inlineStr">
        <is>
          <t>High</t>
        </is>
      </c>
      <c r="M116" s="34" t="inlineStr">
        <is>
          <t>Major</t>
        </is>
      </c>
      <c r="N116" s="34" t="inlineStr">
        <is>
          <t>QA담당자1</t>
        </is>
      </c>
      <c r="O116" s="34" t="inlineStr">
        <is>
          <t>Staging</t>
        </is>
      </c>
      <c r="P116" s="34" t="inlineStr">
        <is>
          <t>Chrome</t>
        </is>
      </c>
      <c r="Q116" s="34" t="inlineStr">
        <is>
          <t>Desktop</t>
        </is>
      </c>
      <c r="R116" s="34" t="inlineStr">
        <is>
          <t>Windows 11</t>
        </is>
      </c>
      <c r="S116" s="34" t="inlineStr">
        <is>
          <t>1차</t>
        </is>
      </c>
      <c r="T116" s="34" t="inlineStr">
        <is>
          <t>수동</t>
        </is>
      </c>
      <c r="U116" s="34" t="inlineStr">
        <is>
          <t>SCR-091</t>
        </is>
      </c>
      <c r="V116" s="34" t="n"/>
      <c r="W116" s="34" t="n"/>
      <c r="X116" s="34" t="n"/>
      <c r="Y116" s="34" t="n"/>
      <c r="Z116" s="34" t="inlineStr">
        <is>
          <t>권한 설정</t>
        </is>
      </c>
      <c r="AA116" s="34" t="n"/>
      <c r="AB116" s="34" t="n"/>
      <c r="AC116" s="34" t="n"/>
    </row>
    <row r="117">
      <c r="A117" s="33" t="inlineStr">
        <is>
          <t>TC-166</t>
        </is>
      </c>
      <c r="B117" s="33" t="inlineStr">
        <is>
          <t>Web</t>
        </is>
      </c>
      <c r="C117" s="33" t="inlineStr">
        <is>
          <t>마일리지</t>
        </is>
      </c>
      <c r="D117" s="34" t="inlineStr">
        <is>
          <t>빈 상태</t>
        </is>
      </c>
      <c r="E117" s="34" t="inlineStr">
        <is>
          <t>UI/UX 테스트</t>
        </is>
      </c>
      <c r="F117" s="34" t="inlineStr">
        <is>
          <t>마일리지 빈 상태</t>
        </is>
      </c>
      <c r="G117" s="34" t="inlineStr">
        <is>
          <t>이력 0건</t>
        </is>
      </c>
      <c r="H117" s="34" t="inlineStr">
        <is>
          <t>1) 마일리지 접속</t>
        </is>
      </c>
      <c r="I117" s="34" t="inlineStr">
        <is>
          <t>'마일리지 이력이 없습니다' EmptyState</t>
        </is>
      </c>
      <c r="J117" s="34" t="n"/>
      <c r="K117" s="34" t="inlineStr">
        <is>
          <t>미실행</t>
        </is>
      </c>
      <c r="L117" s="34" t="inlineStr">
        <is>
          <t>Medium</t>
        </is>
      </c>
      <c r="M117" s="34" t="inlineStr">
        <is>
          <t>Minor</t>
        </is>
      </c>
      <c r="N117" s="34" t="inlineStr">
        <is>
          <t>QA담당자1</t>
        </is>
      </c>
      <c r="O117" s="34" t="inlineStr">
        <is>
          <t>Staging</t>
        </is>
      </c>
      <c r="P117" s="34" t="inlineStr">
        <is>
          <t>Chrome</t>
        </is>
      </c>
      <c r="Q117" s="34" t="inlineStr">
        <is>
          <t>Desktop</t>
        </is>
      </c>
      <c r="R117" s="34" t="inlineStr">
        <is>
          <t>Windows 11</t>
        </is>
      </c>
      <c r="S117" s="34" t="inlineStr">
        <is>
          <t>1차</t>
        </is>
      </c>
      <c r="T117" s="34" t="inlineStr">
        <is>
          <t>수동</t>
        </is>
      </c>
      <c r="U117" s="34" t="inlineStr">
        <is>
          <t>SCR-091-EM</t>
        </is>
      </c>
      <c r="V117" s="34" t="n"/>
      <c r="W117" s="34" t="n"/>
      <c r="X117" s="34" t="n"/>
      <c r="Y117" s="34" t="n"/>
      <c r="Z117" s="34" t="n"/>
      <c r="AA117" s="34" t="n"/>
      <c r="AB117" s="34" t="n"/>
      <c r="AC117" s="34" t="n"/>
    </row>
    <row r="118">
      <c r="A118" s="33" t="inlineStr">
        <is>
          <t>TC-170</t>
        </is>
      </c>
      <c r="B118" s="33" t="inlineStr">
        <is>
          <t>Web</t>
        </is>
      </c>
      <c r="C118" s="33" t="inlineStr">
        <is>
          <t>구독</t>
        </is>
      </c>
      <c r="D118" s="34" t="inlineStr">
        <is>
          <t>조회</t>
        </is>
      </c>
      <c r="E118" s="34" t="inlineStr">
        <is>
          <t>기능 테스트</t>
        </is>
      </c>
      <c r="F118" s="34" t="inlineStr">
        <is>
          <t>구독 관리 조회</t>
        </is>
      </c>
      <c r="G118" s="34" t="inlineStr">
        <is>
          <t>구독 데이터 존재</t>
        </is>
      </c>
      <c r="H118" s="34" t="inlineStr">
        <is>
          <t>1) 구독 관리 접속</t>
        </is>
      </c>
      <c r="I118" s="34" t="inlineStr">
        <is>
          <t>구독 플랜/상태 표시</t>
        </is>
      </c>
      <c r="J118" s="34" t="n"/>
      <c r="K118" s="34" t="inlineStr">
        <is>
          <t>미실행</t>
        </is>
      </c>
      <c r="L118" s="34" t="inlineStr">
        <is>
          <t>High</t>
        </is>
      </c>
      <c r="M118" s="34" t="inlineStr">
        <is>
          <t>Major</t>
        </is>
      </c>
      <c r="N118" s="34" t="inlineStr">
        <is>
          <t>QA담당자1</t>
        </is>
      </c>
      <c r="O118" s="34" t="inlineStr">
        <is>
          <t>Staging</t>
        </is>
      </c>
      <c r="P118" s="34" t="inlineStr">
        <is>
          <t>Chrome</t>
        </is>
      </c>
      <c r="Q118" s="34" t="inlineStr">
        <is>
          <t>Desktop</t>
        </is>
      </c>
      <c r="R118" s="34" t="inlineStr">
        <is>
          <t>Windows 11</t>
        </is>
      </c>
      <c r="S118" s="34" t="inlineStr">
        <is>
          <t>1차</t>
        </is>
      </c>
      <c r="T118" s="34" t="inlineStr">
        <is>
          <t>수동</t>
        </is>
      </c>
      <c r="U118" s="34" t="inlineStr">
        <is>
          <t>SCR-092</t>
        </is>
      </c>
      <c r="V118" s="34" t="n"/>
      <c r="W118" s="34" t="n"/>
      <c r="X118" s="34" t="n"/>
      <c r="Y118" s="34" t="n"/>
      <c r="Z118" s="34" t="inlineStr">
        <is>
          <t>키오스크 설정</t>
        </is>
      </c>
      <c r="AA118" s="34" t="n"/>
      <c r="AB118" s="34" t="n"/>
      <c r="AC118" s="34" t="n"/>
    </row>
    <row r="119">
      <c r="A119" s="33" t="inlineStr">
        <is>
          <t>TC-175</t>
        </is>
      </c>
      <c r="B119" s="33" t="inlineStr">
        <is>
          <t>Web</t>
        </is>
      </c>
      <c r="C119" s="33" t="inlineStr">
        <is>
          <t>RFID</t>
        </is>
      </c>
      <c r="D119" s="34" t="inlineStr">
        <is>
          <t>조회</t>
        </is>
      </c>
      <c r="E119" s="34" t="inlineStr">
        <is>
          <t>기능 테스트</t>
        </is>
      </c>
      <c r="F119" s="34" t="inlineStr">
        <is>
          <t>RFID 카드 목록 조회</t>
        </is>
      </c>
      <c r="G119" s="34" t="inlineStr">
        <is>
          <t>RFID 카드 등록 상태</t>
        </is>
      </c>
      <c r="H119" s="34" t="inlineStr">
        <is>
          <t>1) RFID 관리 접속</t>
        </is>
      </c>
      <c r="I119" s="34" t="inlineStr">
        <is>
          <t>RFID 카드 목록 표시</t>
        </is>
      </c>
      <c r="J119" s="34" t="n"/>
      <c r="K119" s="34" t="inlineStr">
        <is>
          <t>미실행</t>
        </is>
      </c>
      <c r="L119" s="34" t="inlineStr">
        <is>
          <t>High</t>
        </is>
      </c>
      <c r="M119" s="34" t="inlineStr">
        <is>
          <t>Major</t>
        </is>
      </c>
      <c r="N119" s="34" t="inlineStr">
        <is>
          <t>QA담당자1</t>
        </is>
      </c>
      <c r="O119" s="34" t="inlineStr">
        <is>
          <t>Staging</t>
        </is>
      </c>
      <c r="P119" s="34" t="inlineStr">
        <is>
          <t>Chrome</t>
        </is>
      </c>
      <c r="Q119" s="34" t="inlineStr">
        <is>
          <t>Desktop</t>
        </is>
      </c>
      <c r="R119" s="34" t="inlineStr">
        <is>
          <t>Windows 11</t>
        </is>
      </c>
      <c r="S119" s="34" t="inlineStr">
        <is>
          <t>1차</t>
        </is>
      </c>
      <c r="T119" s="34" t="inlineStr">
        <is>
          <t>수동</t>
        </is>
      </c>
      <c r="U119" s="34" t="inlineStr">
        <is>
          <t>SCR-093</t>
        </is>
      </c>
      <c r="V119" s="34" t="n"/>
      <c r="W119" s="34" t="n"/>
      <c r="X119" s="34" t="n"/>
      <c r="Y119" s="34" t="n"/>
      <c r="Z119" s="34" t="inlineStr">
        <is>
          <t>IoT 설정</t>
        </is>
      </c>
      <c r="AA119" s="34" t="n"/>
      <c r="AB119" s="34" t="n"/>
      <c r="AC119" s="34" t="n"/>
    </row>
    <row r="120">
      <c r="A120" s="33" t="inlineStr">
        <is>
          <t>TC-176</t>
        </is>
      </c>
      <c r="B120" s="33" t="inlineStr">
        <is>
          <t>Web</t>
        </is>
      </c>
      <c r="C120" s="33" t="inlineStr">
        <is>
          <t>RFID</t>
        </is>
      </c>
      <c r="D120" s="34" t="inlineStr">
        <is>
          <t>빈 상태</t>
        </is>
      </c>
      <c r="E120" s="34" t="inlineStr">
        <is>
          <t>UI/UX 테스트</t>
        </is>
      </c>
      <c r="F120" s="34" t="inlineStr">
        <is>
          <t>RFID 빈 상태</t>
        </is>
      </c>
      <c r="G120" s="34" t="inlineStr">
        <is>
          <t>RFID 0건</t>
        </is>
      </c>
      <c r="H120" s="34" t="inlineStr">
        <is>
          <t>1) RFID 관리 접속</t>
        </is>
      </c>
      <c r="I120" s="34" t="inlineStr">
        <is>
          <t>'등록된 RFID 카드가 없습니다' EmptyState</t>
        </is>
      </c>
      <c r="J120" s="34" t="n"/>
      <c r="K120" s="34" t="inlineStr">
        <is>
          <t>미실행</t>
        </is>
      </c>
      <c r="L120" s="34" t="inlineStr">
        <is>
          <t>Medium</t>
        </is>
      </c>
      <c r="M120" s="34" t="inlineStr">
        <is>
          <t>Minor</t>
        </is>
      </c>
      <c r="N120" s="34" t="inlineStr">
        <is>
          <t>QA담당자1</t>
        </is>
      </c>
      <c r="O120" s="34" t="inlineStr">
        <is>
          <t>Staging</t>
        </is>
      </c>
      <c r="P120" s="34" t="inlineStr">
        <is>
          <t>Chrome</t>
        </is>
      </c>
      <c r="Q120" s="34" t="inlineStr">
        <is>
          <t>Desktop</t>
        </is>
      </c>
      <c r="R120" s="34" t="inlineStr">
        <is>
          <t>Windows 11</t>
        </is>
      </c>
      <c r="S120" s="34" t="inlineStr">
        <is>
          <t>1차</t>
        </is>
      </c>
      <c r="T120" s="34" t="inlineStr">
        <is>
          <t>수동</t>
        </is>
      </c>
      <c r="U120" s="34" t="inlineStr">
        <is>
          <t>SCR-093-EM</t>
        </is>
      </c>
      <c r="V120" s="34" t="n"/>
      <c r="W120" s="34" t="n"/>
      <c r="X120" s="34" t="n"/>
      <c r="Y120" s="34" t="n"/>
      <c r="Z120" s="34" t="n"/>
      <c r="AA120" s="34" t="n"/>
      <c r="AB120" s="34" t="n"/>
      <c r="AC120" s="34" t="n"/>
    </row>
    <row r="121">
      <c r="A121" s="33" t="inlineStr">
        <is>
          <t>TC-180</t>
        </is>
      </c>
      <c r="B121" s="33" t="inlineStr">
        <is>
          <t>Web</t>
        </is>
      </c>
      <c r="C121" s="33" t="inlineStr">
        <is>
          <t>키오스크</t>
        </is>
      </c>
      <c r="D121" s="34" t="inlineStr">
        <is>
          <t>설정</t>
        </is>
      </c>
      <c r="E121" s="34" t="inlineStr">
        <is>
          <t>기능 테스트</t>
        </is>
      </c>
      <c r="F121" s="34" t="inlineStr">
        <is>
          <t>키오스크 설정 조회</t>
        </is>
      </c>
      <c r="G121" s="34" t="inlineStr">
        <is>
          <t>키오스크 설정 존재</t>
        </is>
      </c>
      <c r="H121" s="34" t="inlineStr">
        <is>
          <t>1) 키오스크 설정 접속</t>
        </is>
      </c>
      <c r="I121" s="34" t="inlineStr">
        <is>
          <t>키오스크 설정 화면 표시</t>
        </is>
      </c>
      <c r="J121" s="34" t="n"/>
      <c r="K121" s="34" t="inlineStr">
        <is>
          <t>미실행</t>
        </is>
      </c>
      <c r="L121" s="34" t="inlineStr">
        <is>
          <t>High</t>
        </is>
      </c>
      <c r="M121" s="34" t="inlineStr">
        <is>
          <t>Major</t>
        </is>
      </c>
      <c r="N121" s="34" t="inlineStr">
        <is>
          <t>QA담당자1</t>
        </is>
      </c>
      <c r="O121" s="34" t="inlineStr">
        <is>
          <t>Staging</t>
        </is>
      </c>
      <c r="P121" s="34" t="inlineStr">
        <is>
          <t>Chrome</t>
        </is>
      </c>
      <c r="Q121" s="34" t="inlineStr">
        <is>
          <t>Desktop</t>
        </is>
      </c>
      <c r="R121" s="34" t="inlineStr">
        <is>
          <t>Windows 11</t>
        </is>
      </c>
      <c r="S121" s="34" t="inlineStr">
        <is>
          <t>1차</t>
        </is>
      </c>
      <c r="T121" s="34" t="inlineStr">
        <is>
          <t>수동</t>
        </is>
      </c>
      <c r="U121" s="34" t="inlineStr">
        <is>
          <t>SCR-094</t>
        </is>
      </c>
      <c r="V121" s="34" t="n"/>
      <c r="W121" s="34" t="n"/>
      <c r="X121" s="34" t="n"/>
      <c r="Y121" s="34" t="n"/>
      <c r="Z121" s="34" t="inlineStr">
        <is>
          <t>지점 관리</t>
        </is>
      </c>
      <c r="AA121" s="34" t="n"/>
      <c r="AB121" s="34" t="n"/>
      <c r="AC121" s="34" t="n"/>
    </row>
    <row r="122">
      <c r="A122" s="33" t="inlineStr">
        <is>
          <t>TC-185</t>
        </is>
      </c>
      <c r="B122" s="33" t="inlineStr">
        <is>
          <t>Web</t>
        </is>
      </c>
      <c r="C122" s="33" t="inlineStr">
        <is>
          <t>IoT</t>
        </is>
      </c>
      <c r="D122" s="34" t="inlineStr">
        <is>
          <t>조회</t>
        </is>
      </c>
      <c r="E122" s="34" t="inlineStr">
        <is>
          <t>기능 테스트</t>
        </is>
      </c>
      <c r="F122" s="34" t="inlineStr">
        <is>
          <t>IoT 장비 목록 조회</t>
        </is>
      </c>
      <c r="G122" s="34" t="inlineStr">
        <is>
          <t>IoT 장비 등록 상태</t>
        </is>
      </c>
      <c r="H122" s="34" t="inlineStr">
        <is>
          <t>1) IoT 설정 접속</t>
        </is>
      </c>
      <c r="I122" s="34" t="inlineStr">
        <is>
          <t>IoT 장비 목록 표시</t>
        </is>
      </c>
      <c r="J122" s="34" t="n"/>
      <c r="K122" s="34" t="inlineStr">
        <is>
          <t>미실행</t>
        </is>
      </c>
      <c r="L122" s="34" t="inlineStr">
        <is>
          <t>High</t>
        </is>
      </c>
      <c r="M122" s="34" t="inlineStr">
        <is>
          <t>Major</t>
        </is>
      </c>
      <c r="N122" s="34" t="inlineStr">
        <is>
          <t>QA담당자1</t>
        </is>
      </c>
      <c r="O122" s="34" t="inlineStr">
        <is>
          <t>Staging</t>
        </is>
      </c>
      <c r="P122" s="34" t="inlineStr">
        <is>
          <t>Chrome</t>
        </is>
      </c>
      <c r="Q122" s="34" t="inlineStr">
        <is>
          <t>Desktop</t>
        </is>
      </c>
      <c r="R122" s="34" t="inlineStr">
        <is>
          <t>Windows 11</t>
        </is>
      </c>
      <c r="S122" s="34" t="inlineStr">
        <is>
          <t>1차</t>
        </is>
      </c>
      <c r="T122" s="34" t="inlineStr">
        <is>
          <t>수동</t>
        </is>
      </c>
      <c r="U122" s="34" t="inlineStr">
        <is>
          <t>SCR-IOT-L</t>
        </is>
      </c>
      <c r="V122" s="34" t="n"/>
      <c r="W122" s="34" t="n"/>
      <c r="X122" s="34" t="n"/>
      <c r="Y122" s="34" t="n"/>
      <c r="Z122" s="34" t="n"/>
      <c r="AA122" s="34" t="n"/>
      <c r="AB122" s="34" t="n"/>
      <c r="AC122" s="34" t="n"/>
    </row>
    <row r="123">
      <c r="A123" s="33" t="inlineStr">
        <is>
          <t>TC-186</t>
        </is>
      </c>
      <c r="B123" s="33" t="inlineStr">
        <is>
          <t>Web</t>
        </is>
      </c>
      <c r="C123" s="33" t="inlineStr">
        <is>
          <t>IoT</t>
        </is>
      </c>
      <c r="D123" s="34" t="inlineStr">
        <is>
          <t>빈 상태</t>
        </is>
      </c>
      <c r="E123" s="34" t="inlineStr">
        <is>
          <t>UI/UX 테스트</t>
        </is>
      </c>
      <c r="F123" s="34" t="inlineStr">
        <is>
          <t>IoT 빈 상태</t>
        </is>
      </c>
      <c r="G123" s="34" t="inlineStr">
        <is>
          <t>장비 0건</t>
        </is>
      </c>
      <c r="H123" s="34" t="inlineStr">
        <is>
          <t>1) IoT 설정 접속</t>
        </is>
      </c>
      <c r="I123" s="34" t="inlineStr">
        <is>
          <t>'등록된 IoT 장비가 없습니다' EmptyState</t>
        </is>
      </c>
      <c r="J123" s="34" t="n"/>
      <c r="K123" s="34" t="inlineStr">
        <is>
          <t>미실행</t>
        </is>
      </c>
      <c r="L123" s="34" t="inlineStr">
        <is>
          <t>Medium</t>
        </is>
      </c>
      <c r="M123" s="34" t="inlineStr">
        <is>
          <t>Minor</t>
        </is>
      </c>
      <c r="N123" s="34" t="inlineStr">
        <is>
          <t>QA담당자1</t>
        </is>
      </c>
      <c r="O123" s="34" t="inlineStr">
        <is>
          <t>Staging</t>
        </is>
      </c>
      <c r="P123" s="34" t="inlineStr">
        <is>
          <t>Chrome</t>
        </is>
      </c>
      <c r="Q123" s="34" t="inlineStr">
        <is>
          <t>Desktop</t>
        </is>
      </c>
      <c r="R123" s="34" t="inlineStr">
        <is>
          <t>Windows 11</t>
        </is>
      </c>
      <c r="S123" s="34" t="inlineStr">
        <is>
          <t>1차</t>
        </is>
      </c>
      <c r="T123" s="34" t="inlineStr">
        <is>
          <t>수동</t>
        </is>
      </c>
      <c r="U123" s="34" t="inlineStr">
        <is>
          <t>SCR-IOT-EM</t>
        </is>
      </c>
      <c r="V123" s="34" t="n"/>
      <c r="W123" s="34" t="n"/>
      <c r="X123" s="34" t="n"/>
      <c r="Y123" s="34" t="n"/>
      <c r="Z123" s="34" t="n"/>
      <c r="AA123" s="34" t="n"/>
      <c r="AB123" s="34" t="n"/>
      <c r="AC123" s="34" t="n"/>
    </row>
    <row r="124">
      <c r="A124" s="33" t="inlineStr">
        <is>
          <t>TC-190</t>
        </is>
      </c>
      <c r="B124" s="33" t="inlineStr">
        <is>
          <t>Web</t>
        </is>
      </c>
      <c r="C124" s="33" t="inlineStr">
        <is>
          <t>공통</t>
        </is>
      </c>
      <c r="D124" s="34" t="inlineStr">
        <is>
          <t>사이드바</t>
        </is>
      </c>
      <c r="E124" s="34" t="inlineStr">
        <is>
          <t>UI/UX 테스트</t>
        </is>
      </c>
      <c r="F124" s="34" t="inlineStr">
        <is>
          <t>사이드바 메뉴 네비게이션</t>
        </is>
      </c>
      <c r="G124" s="34" t="inlineStr">
        <is>
          <t>로그인 상태</t>
        </is>
      </c>
      <c r="H124" s="34" t="inlineStr">
        <is>
          <t>1) 사이드바 메뉴 항목 클릭</t>
        </is>
      </c>
      <c r="I124" s="34" t="inlineStr">
        <is>
          <t>해당 페이지로 이동, 활성 메뉴 하이라이트</t>
        </is>
      </c>
      <c r="J124" s="34" t="n"/>
      <c r="K124" s="34" t="inlineStr">
        <is>
          <t>미실행</t>
        </is>
      </c>
      <c r="L124" s="34" t="inlineStr">
        <is>
          <t>Critical</t>
        </is>
      </c>
      <c r="M124" s="34" t="inlineStr">
        <is>
          <t>Critical</t>
        </is>
      </c>
      <c r="N124" s="34" t="inlineStr">
        <is>
          <t>QA담당자1</t>
        </is>
      </c>
      <c r="O124" s="34" t="inlineStr">
        <is>
          <t>Staging</t>
        </is>
      </c>
      <c r="P124" s="34" t="inlineStr">
        <is>
          <t>Chrome</t>
        </is>
      </c>
      <c r="Q124" s="34" t="inlineStr">
        <is>
          <t>Desktop</t>
        </is>
      </c>
      <c r="R124" s="34" t="inlineStr">
        <is>
          <t>Windows 11</t>
        </is>
      </c>
      <c r="S124" s="34" t="inlineStr">
        <is>
          <t>1차</t>
        </is>
      </c>
      <c r="T124" s="34" t="inlineStr">
        <is>
          <t>수동</t>
        </is>
      </c>
      <c r="U124" s="34" t="inlineStr">
        <is>
          <t>SCR-CMN-SIDEBAR</t>
        </is>
      </c>
      <c r="V124" s="34" t="n"/>
      <c r="W124" s="34" t="n"/>
      <c r="X124" s="34" t="n"/>
      <c r="Y124" s="34" t="n"/>
      <c r="Z124" s="34" t="n"/>
      <c r="AA124" s="34" t="n"/>
      <c r="AB124" s="34" t="n"/>
      <c r="AC124" s="34" t="n"/>
    </row>
    <row r="125">
      <c r="A125" s="33" t="inlineStr">
        <is>
          <t>TC-191</t>
        </is>
      </c>
      <c r="B125" s="33" t="inlineStr">
        <is>
          <t>Web</t>
        </is>
      </c>
      <c r="C125" s="33" t="inlineStr">
        <is>
          <t>공통</t>
        </is>
      </c>
      <c r="D125" s="34" t="inlineStr">
        <is>
          <t>사이드바</t>
        </is>
      </c>
      <c r="E125" s="34" t="inlineStr">
        <is>
          <t>UI/UX 테스트</t>
        </is>
      </c>
      <c r="F125" s="34" t="inlineStr">
        <is>
          <t>사이드바 접기/펼치기</t>
        </is>
      </c>
      <c r="G125" s="34" t="inlineStr">
        <is>
          <t>로그인 상태</t>
        </is>
      </c>
      <c r="H125" s="34" t="inlineStr">
        <is>
          <t>1) 접기 버튼 클릭
2) 아이콘만 표시 확인
3) 펼치기</t>
        </is>
      </c>
      <c r="I125" s="34" t="inlineStr">
        <is>
          <t>240px→60px 전환, 아이콘만 표시, 다시 펼침</t>
        </is>
      </c>
      <c r="J125" s="34" t="n"/>
      <c r="K125" s="34" t="inlineStr">
        <is>
          <t>미실행</t>
        </is>
      </c>
      <c r="L125" s="34" t="inlineStr">
        <is>
          <t>Medium</t>
        </is>
      </c>
      <c r="M125" s="34" t="inlineStr">
        <is>
          <t>Minor</t>
        </is>
      </c>
      <c r="N125" s="34" t="inlineStr">
        <is>
          <t>QA담당자1</t>
        </is>
      </c>
      <c r="O125" s="34" t="inlineStr">
        <is>
          <t>Staging</t>
        </is>
      </c>
      <c r="P125" s="34" t="inlineStr">
        <is>
          <t>Chrome</t>
        </is>
      </c>
      <c r="Q125" s="34" t="inlineStr">
        <is>
          <t>Desktop</t>
        </is>
      </c>
      <c r="R125" s="34" t="inlineStr">
        <is>
          <t>Windows 11</t>
        </is>
      </c>
      <c r="S125" s="34" t="inlineStr">
        <is>
          <t>1차</t>
        </is>
      </c>
      <c r="T125" s="34" t="inlineStr">
        <is>
          <t>수동</t>
        </is>
      </c>
      <c r="U125" s="34" t="inlineStr">
        <is>
          <t>SCR-CMN-SIDEBAR</t>
        </is>
      </c>
      <c r="V125" s="34" t="n"/>
      <c r="W125" s="34" t="n"/>
      <c r="X125" s="34" t="n"/>
      <c r="Y125" s="34" t="n"/>
      <c r="Z125" s="34" t="n"/>
      <c r="AA125" s="34" t="n"/>
      <c r="AB125" s="34" t="n"/>
      <c r="AC125" s="34" t="n"/>
    </row>
    <row r="126">
      <c r="A126" s="33" t="inlineStr">
        <is>
          <t>TC-192</t>
        </is>
      </c>
      <c r="B126" s="33" t="inlineStr">
        <is>
          <t>Web</t>
        </is>
      </c>
      <c r="C126" s="33" t="inlineStr">
        <is>
          <t>공통</t>
        </is>
      </c>
      <c r="D126" s="34" t="inlineStr">
        <is>
          <t>사이드바</t>
        </is>
      </c>
      <c r="E126" s="34" t="inlineStr">
        <is>
          <t>반응형 테스트</t>
        </is>
      </c>
      <c r="F126" s="34" t="inlineStr">
        <is>
          <t>모바일 사이드바</t>
        </is>
      </c>
      <c r="G126" s="34" t="inlineStr">
        <is>
          <t>모바일 뷰포트</t>
        </is>
      </c>
      <c r="H126" s="34" t="inlineStr">
        <is>
          <t>1) 햄버거 아이콘 클릭
2) 슬라이드 오버레이 확인
3) 바깥 클릭 닫기</t>
        </is>
      </c>
      <c r="I126" s="34" t="inlineStr">
        <is>
          <t>슬라이드 오버레이 열림/닫힘</t>
        </is>
      </c>
      <c r="J126" s="34" t="n"/>
      <c r="K126" s="34" t="inlineStr">
        <is>
          <t>미실행</t>
        </is>
      </c>
      <c r="L126" s="34" t="inlineStr">
        <is>
          <t>High</t>
        </is>
      </c>
      <c r="M126" s="34" t="inlineStr">
        <is>
          <t>Major</t>
        </is>
      </c>
      <c r="N126" s="34" t="inlineStr">
        <is>
          <t>QA담당자1</t>
        </is>
      </c>
      <c r="O126" s="34" t="inlineStr">
        <is>
          <t>Staging</t>
        </is>
      </c>
      <c r="P126" s="34" t="inlineStr">
        <is>
          <t>Chrome</t>
        </is>
      </c>
      <c r="Q126" s="34" t="inlineStr">
        <is>
          <t>Desktop</t>
        </is>
      </c>
      <c r="R126" s="34" t="inlineStr">
        <is>
          <t>Windows 11</t>
        </is>
      </c>
      <c r="S126" s="34" t="inlineStr">
        <is>
          <t>1차</t>
        </is>
      </c>
      <c r="T126" s="34" t="inlineStr">
        <is>
          <t>수동</t>
        </is>
      </c>
      <c r="U126" s="34" t="inlineStr">
        <is>
          <t>SCR-CMN-SIDEBAR-M</t>
        </is>
      </c>
      <c r="V126" s="34" t="n"/>
      <c r="W126" s="34" t="n"/>
      <c r="X126" s="34" t="n"/>
      <c r="Y126" s="34" t="n"/>
      <c r="Z126" s="34" t="n"/>
      <c r="AA126" s="34" t="n"/>
      <c r="AB126" s="34" t="n"/>
      <c r="AC126" s="34" t="n"/>
    </row>
    <row r="127">
      <c r="A127" s="33" t="inlineStr">
        <is>
          <t>TC-193</t>
        </is>
      </c>
      <c r="B127" s="33" t="inlineStr">
        <is>
          <t>Web</t>
        </is>
      </c>
      <c r="C127" s="33" t="inlineStr">
        <is>
          <t>공통</t>
        </is>
      </c>
      <c r="D127" s="34" t="inlineStr">
        <is>
          <t>사이드바</t>
        </is>
      </c>
      <c r="E127" s="34" t="inlineStr">
        <is>
          <t>기능 테스트</t>
        </is>
      </c>
      <c r="F127" s="34" t="inlineStr">
        <is>
          <t>사이드바 사용자 정보 표시</t>
        </is>
      </c>
      <c r="G127" s="34" t="inlineStr">
        <is>
          <t>로그인 상태</t>
        </is>
      </c>
      <c r="H127" s="34" t="inlineStr">
        <is>
          <t>1) 사이드바 하단 사용자 정보 확인</t>
        </is>
      </c>
      <c r="I127" s="34" t="inlineStr">
        <is>
          <t>로그인한 사용자 이름/역할 표시</t>
        </is>
      </c>
      <c r="J127" s="34" t="n"/>
      <c r="K127" s="34" t="inlineStr">
        <is>
          <t>미실행</t>
        </is>
      </c>
      <c r="L127" s="34" t="inlineStr">
        <is>
          <t>High</t>
        </is>
      </c>
      <c r="M127" s="34" t="inlineStr">
        <is>
          <t>Major</t>
        </is>
      </c>
      <c r="N127" s="34" t="inlineStr">
        <is>
          <t>QA담당자1</t>
        </is>
      </c>
      <c r="O127" s="34" t="inlineStr">
        <is>
          <t>Staging</t>
        </is>
      </c>
      <c r="P127" s="34" t="inlineStr">
        <is>
          <t>Chrome</t>
        </is>
      </c>
      <c r="Q127" s="34" t="inlineStr">
        <is>
          <t>Desktop</t>
        </is>
      </c>
      <c r="R127" s="34" t="inlineStr">
        <is>
          <t>Windows 11</t>
        </is>
      </c>
      <c r="S127" s="34" t="inlineStr">
        <is>
          <t>1차</t>
        </is>
      </c>
      <c r="T127" s="34" t="inlineStr">
        <is>
          <t>수동</t>
        </is>
      </c>
      <c r="U127" s="34" t="inlineStr">
        <is>
          <t>SCR-CMN-SIDEBAR</t>
        </is>
      </c>
      <c r="V127" s="34" t="n"/>
      <c r="W127" s="34" t="n"/>
      <c r="X127" s="34" t="n"/>
      <c r="Y127" s="34" t="n"/>
      <c r="Z127" s="34" t="n"/>
      <c r="AA127" s="34" t="n"/>
      <c r="AB127" s="34" t="n"/>
      <c r="AC127" s="34" t="n"/>
    </row>
    <row r="128">
      <c r="A128" s="33" t="inlineStr">
        <is>
          <t>TC-194</t>
        </is>
      </c>
      <c r="B128" s="33" t="inlineStr">
        <is>
          <t>Web</t>
        </is>
      </c>
      <c r="C128" s="33" t="inlineStr">
        <is>
          <t>공통</t>
        </is>
      </c>
      <c r="D128" s="34" t="inlineStr">
        <is>
          <t>Toast</t>
        </is>
      </c>
      <c r="E128" s="34" t="inlineStr">
        <is>
          <t>UI/UX 테스트</t>
        </is>
      </c>
      <c r="F128" s="34" t="inlineStr">
        <is>
          <t>Toast 성공 알림</t>
        </is>
      </c>
      <c r="G128" s="34" t="inlineStr">
        <is>
          <t>API 호출 성공</t>
        </is>
      </c>
      <c r="H128" s="34" t="inlineStr">
        <is>
          <t>1) 회원 등록 등 성공 액션
2) Toast 확인</t>
        </is>
      </c>
      <c r="I128" s="34" t="inlineStr">
        <is>
          <t>성공 Toast 표시, 3초 후 자동 닫힘</t>
        </is>
      </c>
      <c r="J128" s="34" t="n"/>
      <c r="K128" s="34" t="inlineStr">
        <is>
          <t>미실행</t>
        </is>
      </c>
      <c r="L128" s="34" t="inlineStr">
        <is>
          <t>High</t>
        </is>
      </c>
      <c r="M128" s="34" t="inlineStr">
        <is>
          <t>Major</t>
        </is>
      </c>
      <c r="N128" s="34" t="inlineStr">
        <is>
          <t>QA담당자1</t>
        </is>
      </c>
      <c r="O128" s="34" t="inlineStr">
        <is>
          <t>Staging</t>
        </is>
      </c>
      <c r="P128" s="34" t="inlineStr">
        <is>
          <t>Chrome</t>
        </is>
      </c>
      <c r="Q128" s="34" t="inlineStr">
        <is>
          <t>Desktop</t>
        </is>
      </c>
      <c r="R128" s="34" t="inlineStr">
        <is>
          <t>Windows 11</t>
        </is>
      </c>
      <c r="S128" s="34" t="inlineStr">
        <is>
          <t>1차</t>
        </is>
      </c>
      <c r="T128" s="34" t="inlineStr">
        <is>
          <t>수동</t>
        </is>
      </c>
      <c r="U128" s="34" t="inlineStr">
        <is>
          <t>SCR-CMN-TOAST</t>
        </is>
      </c>
      <c r="V128" s="34" t="n"/>
      <c r="W128" s="34" t="n"/>
      <c r="X128" s="34" t="n"/>
      <c r="Y128" s="34" t="n"/>
      <c r="Z128" s="34" t="n"/>
      <c r="AA128" s="34" t="n"/>
      <c r="AB128" s="34" t="n"/>
      <c r="AC128" s="34" t="n"/>
    </row>
    <row r="129">
      <c r="A129" s="33" t="inlineStr">
        <is>
          <t>TC-195</t>
        </is>
      </c>
      <c r="B129" s="33" t="inlineStr">
        <is>
          <t>Web</t>
        </is>
      </c>
      <c r="C129" s="33" t="inlineStr">
        <is>
          <t>공통</t>
        </is>
      </c>
      <c r="D129" s="34" t="inlineStr">
        <is>
          <t>Toast</t>
        </is>
      </c>
      <c r="E129" s="34" t="inlineStr">
        <is>
          <t>UI/UX 테스트</t>
        </is>
      </c>
      <c r="F129" s="34" t="inlineStr">
        <is>
          <t>Toast 에러 알림</t>
        </is>
      </c>
      <c r="G129" s="34" t="inlineStr">
        <is>
          <t>API 호출 실패</t>
        </is>
      </c>
      <c r="H129" s="34" t="inlineStr">
        <is>
          <t>1) 에러 발생 시
2) Toast 확인</t>
        </is>
      </c>
      <c r="I129" s="34" t="inlineStr">
        <is>
          <t>에러 Toast 표시 (빨간색)</t>
        </is>
      </c>
      <c r="J129" s="34" t="n"/>
      <c r="K129" s="34" t="inlineStr">
        <is>
          <t>미실행</t>
        </is>
      </c>
      <c r="L129" s="34" t="inlineStr">
        <is>
          <t>High</t>
        </is>
      </c>
      <c r="M129" s="34" t="inlineStr">
        <is>
          <t>Major</t>
        </is>
      </c>
      <c r="N129" s="34" t="inlineStr">
        <is>
          <t>QA담당자1</t>
        </is>
      </c>
      <c r="O129" s="34" t="inlineStr">
        <is>
          <t>Staging</t>
        </is>
      </c>
      <c r="P129" s="34" t="inlineStr">
        <is>
          <t>Chrome</t>
        </is>
      </c>
      <c r="Q129" s="34" t="inlineStr">
        <is>
          <t>Desktop</t>
        </is>
      </c>
      <c r="R129" s="34" t="inlineStr">
        <is>
          <t>Windows 11</t>
        </is>
      </c>
      <c r="S129" s="34" t="inlineStr">
        <is>
          <t>1차</t>
        </is>
      </c>
      <c r="T129" s="34" t="inlineStr">
        <is>
          <t>수동</t>
        </is>
      </c>
      <c r="U129" s="34" t="inlineStr">
        <is>
          <t>SCR-CMN-TOAST</t>
        </is>
      </c>
      <c r="V129" s="34" t="n"/>
      <c r="W129" s="34" t="n"/>
      <c r="X129" s="34" t="n"/>
      <c r="Y129" s="34" t="n"/>
      <c r="Z129" s="34" t="n"/>
      <c r="AA129" s="34" t="n"/>
      <c r="AB129" s="34" t="n"/>
      <c r="AC129" s="34" t="n"/>
    </row>
    <row r="130">
      <c r="A130" s="33" t="inlineStr">
        <is>
          <t>TC-196</t>
        </is>
      </c>
      <c r="B130" s="33" t="inlineStr">
        <is>
          <t>Web</t>
        </is>
      </c>
      <c r="C130" s="33" t="inlineStr">
        <is>
          <t>공통</t>
        </is>
      </c>
      <c r="D130" s="34" t="inlineStr">
        <is>
          <t>EmptyState</t>
        </is>
      </c>
      <c r="E130" s="34" t="inlineStr">
        <is>
          <t>UI/UX 테스트</t>
        </is>
      </c>
      <c r="F130" s="34" t="inlineStr">
        <is>
          <t>EmptyState 컴포넌트</t>
        </is>
      </c>
      <c r="G130" s="34" t="inlineStr">
        <is>
          <t>데이터 0건</t>
        </is>
      </c>
      <c r="H130" s="34" t="inlineStr">
        <is>
          <t>1) 데이터 없는 목록 접속</t>
        </is>
      </c>
      <c r="I130" s="34" t="inlineStr">
        <is>
          <t>아이콘 + 메시지 + CTA 버튼 표시</t>
        </is>
      </c>
      <c r="J130" s="34" t="n"/>
      <c r="K130" s="34" t="inlineStr">
        <is>
          <t>미실행</t>
        </is>
      </c>
      <c r="L130" s="34" t="inlineStr">
        <is>
          <t>Medium</t>
        </is>
      </c>
      <c r="M130" s="34" t="inlineStr">
        <is>
          <t>Minor</t>
        </is>
      </c>
      <c r="N130" s="34" t="inlineStr">
        <is>
          <t>QA담당자1</t>
        </is>
      </c>
      <c r="O130" s="34" t="inlineStr">
        <is>
          <t>Staging</t>
        </is>
      </c>
      <c r="P130" s="34" t="inlineStr">
        <is>
          <t>Chrome</t>
        </is>
      </c>
      <c r="Q130" s="34" t="inlineStr">
        <is>
          <t>Desktop</t>
        </is>
      </c>
      <c r="R130" s="34" t="inlineStr">
        <is>
          <t>Windows 11</t>
        </is>
      </c>
      <c r="S130" s="34" t="inlineStr">
        <is>
          <t>1차</t>
        </is>
      </c>
      <c r="T130" s="34" t="inlineStr">
        <is>
          <t>수동</t>
        </is>
      </c>
      <c r="U130" s="34" t="inlineStr">
        <is>
          <t>SCR-CMN-EMPTY</t>
        </is>
      </c>
      <c r="V130" s="34" t="n"/>
      <c r="W130" s="34" t="n"/>
      <c r="X130" s="34" t="n"/>
      <c r="Y130" s="34" t="n"/>
      <c r="Z130" s="34" t="n"/>
      <c r="AA130" s="34" t="n"/>
      <c r="AB130" s="34" t="n"/>
      <c r="AC130" s="34" t="n"/>
    </row>
    <row r="131">
      <c r="A131" s="33" t="inlineStr">
        <is>
          <t>TC-197</t>
        </is>
      </c>
      <c r="B131" s="33" t="inlineStr">
        <is>
          <t>Web</t>
        </is>
      </c>
      <c r="C131" s="33" t="inlineStr">
        <is>
          <t>공통</t>
        </is>
      </c>
      <c r="D131" s="34" t="inlineStr">
        <is>
          <t>확인 다이얼로그</t>
        </is>
      </c>
      <c r="E131" s="34" t="inlineStr">
        <is>
          <t>UI/UX 테스트</t>
        </is>
      </c>
      <c r="F131" s="34" t="inlineStr">
        <is>
          <t>삭제 확인 다이얼로그</t>
        </is>
      </c>
      <c r="G131" s="34" t="inlineStr">
        <is>
          <t>삭제 가능 항목</t>
        </is>
      </c>
      <c r="H131" s="34" t="inlineStr">
        <is>
          <t>1) 삭제 클릭
2) 다이얼로그 확인
3) 취소 클릭
4) 다시 삭제
5) 확인 클릭</t>
        </is>
      </c>
      <c r="I131" s="34" t="inlineStr">
        <is>
          <t>다이얼로그 표시, 취소 시 닫힘, 확인 시 삭제 처리</t>
        </is>
      </c>
      <c r="J131" s="34" t="n"/>
      <c r="K131" s="34" t="inlineStr">
        <is>
          <t>미실행</t>
        </is>
      </c>
      <c r="L131" s="34" t="inlineStr">
        <is>
          <t>High</t>
        </is>
      </c>
      <c r="M131" s="34" t="inlineStr">
        <is>
          <t>Major</t>
        </is>
      </c>
      <c r="N131" s="34" t="inlineStr">
        <is>
          <t>QA담당자1</t>
        </is>
      </c>
      <c r="O131" s="34" t="inlineStr">
        <is>
          <t>Staging</t>
        </is>
      </c>
      <c r="P131" s="34" t="inlineStr">
        <is>
          <t>Chrome</t>
        </is>
      </c>
      <c r="Q131" s="34" t="inlineStr">
        <is>
          <t>Desktop</t>
        </is>
      </c>
      <c r="R131" s="34" t="inlineStr">
        <is>
          <t>Windows 11</t>
        </is>
      </c>
      <c r="S131" s="34" t="inlineStr">
        <is>
          <t>1차</t>
        </is>
      </c>
      <c r="T131" s="34" t="inlineStr">
        <is>
          <t>수동</t>
        </is>
      </c>
      <c r="U131" s="34" t="inlineStr">
        <is>
          <t>SCR-CMN-CONFIRM</t>
        </is>
      </c>
      <c r="V131" s="34" t="n"/>
      <c r="W131" s="34" t="n"/>
      <c r="X131" s="34" t="n"/>
      <c r="Y131" s="34" t="n"/>
      <c r="Z131" s="34" t="n"/>
      <c r="AA131" s="34" t="n"/>
      <c r="AB131" s="34" t="n"/>
      <c r="AC131" s="34" t="n"/>
    </row>
    <row r="132">
      <c r="A132" s="33" t="inlineStr">
        <is>
          <t>TC-198</t>
        </is>
      </c>
      <c r="B132" s="33" t="inlineStr">
        <is>
          <t>Web</t>
        </is>
      </c>
      <c r="C132" s="33" t="inlineStr">
        <is>
          <t>공통</t>
        </is>
      </c>
      <c r="D132" s="34" t="inlineStr">
        <is>
          <t>페이지네이션</t>
        </is>
      </c>
      <c r="E132" s="34" t="inlineStr">
        <is>
          <t>UI/UX 테스트</t>
        </is>
      </c>
      <c r="F132" s="34" t="inlineStr">
        <is>
          <t>테이블 페이지네이션</t>
        </is>
      </c>
      <c r="G132" s="34" t="inlineStr">
        <is>
          <t>20건+ 데이터</t>
        </is>
      </c>
      <c r="H132" s="34" t="inlineStr">
        <is>
          <t>1) 다음 페이지 클릭
2) 이전 페이지
3) 페이지 번호 직접 클릭</t>
        </is>
      </c>
      <c r="I132" s="34" t="inlineStr">
        <is>
          <t>페이지 이동, 현재 페이지 하이라이트</t>
        </is>
      </c>
      <c r="J132" s="34" t="n"/>
      <c r="K132" s="34" t="inlineStr">
        <is>
          <t>미실행</t>
        </is>
      </c>
      <c r="L132" s="34" t="inlineStr">
        <is>
          <t>High</t>
        </is>
      </c>
      <c r="M132" s="34" t="inlineStr">
        <is>
          <t>Major</t>
        </is>
      </c>
      <c r="N132" s="34" t="inlineStr">
        <is>
          <t>QA담당자1</t>
        </is>
      </c>
      <c r="O132" s="34" t="inlineStr">
        <is>
          <t>Staging</t>
        </is>
      </c>
      <c r="P132" s="34" t="inlineStr">
        <is>
          <t>Chrome</t>
        </is>
      </c>
      <c r="Q132" s="34" t="inlineStr">
        <is>
          <t>Desktop</t>
        </is>
      </c>
      <c r="R132" s="34" t="inlineStr">
        <is>
          <t>Windows 11</t>
        </is>
      </c>
      <c r="S132" s="34" t="inlineStr">
        <is>
          <t>1차</t>
        </is>
      </c>
      <c r="T132" s="34" t="inlineStr">
        <is>
          <t>수동</t>
        </is>
      </c>
      <c r="U132" s="34" t="inlineStr">
        <is>
          <t>SCR-CMN-TABLE</t>
        </is>
      </c>
      <c r="V132" s="34" t="n"/>
      <c r="W132" s="34" t="n"/>
      <c r="X132" s="34" t="n"/>
      <c r="Y132" s="34" t="n"/>
      <c r="Z132" s="34" t="n"/>
      <c r="AA132" s="34" t="n"/>
      <c r="AB132" s="34" t="n"/>
      <c r="AC132" s="34" t="n"/>
    </row>
    <row r="133">
      <c r="A133" s="33" t="inlineStr">
        <is>
          <t>TC-199</t>
        </is>
      </c>
      <c r="B133" s="33" t="inlineStr">
        <is>
          <t>Web</t>
        </is>
      </c>
      <c r="C133" s="33" t="inlineStr">
        <is>
          <t>공통</t>
        </is>
      </c>
      <c r="D133" s="34" t="inlineStr">
        <is>
          <t>테이블 정렬</t>
        </is>
      </c>
      <c r="E133" s="34" t="inlineStr">
        <is>
          <t>UI/UX 테스트</t>
        </is>
      </c>
      <c r="F133" s="34" t="inlineStr">
        <is>
          <t>컬럼 정렬</t>
        </is>
      </c>
      <c r="G133" s="34" t="inlineStr">
        <is>
          <t>테이블 데이터 존재</t>
        </is>
      </c>
      <c r="H133" s="34" t="inlineStr">
        <is>
          <t>1) 컬럼 헤더 클릭
2) 정렬 방향 확인
3) 다시 클릭</t>
        </is>
      </c>
      <c r="I133" s="34" t="inlineStr">
        <is>
          <t>오름차순/내림차순 토글, 정렬 아이콘 변경</t>
        </is>
      </c>
      <c r="J133" s="34" t="n"/>
      <c r="K133" s="34" t="inlineStr">
        <is>
          <t>미실행</t>
        </is>
      </c>
      <c r="L133" s="34" t="inlineStr">
        <is>
          <t>Medium</t>
        </is>
      </c>
      <c r="M133" s="34" t="inlineStr">
        <is>
          <t>Minor</t>
        </is>
      </c>
      <c r="N133" s="34" t="inlineStr">
        <is>
          <t>QA담당자1</t>
        </is>
      </c>
      <c r="O133" s="34" t="inlineStr">
        <is>
          <t>Staging</t>
        </is>
      </c>
      <c r="P133" s="34" t="inlineStr">
        <is>
          <t>Chrome</t>
        </is>
      </c>
      <c r="Q133" s="34" t="inlineStr">
        <is>
          <t>Desktop</t>
        </is>
      </c>
      <c r="R133" s="34" t="inlineStr">
        <is>
          <t>Windows 11</t>
        </is>
      </c>
      <c r="S133" s="34" t="inlineStr">
        <is>
          <t>1차</t>
        </is>
      </c>
      <c r="T133" s="34" t="inlineStr">
        <is>
          <t>수동</t>
        </is>
      </c>
      <c r="U133" s="34" t="inlineStr">
        <is>
          <t>SCR-CMN-TABLE</t>
        </is>
      </c>
      <c r="V133" s="34" t="n"/>
      <c r="W133" s="34" t="n"/>
      <c r="X133" s="34" t="n"/>
      <c r="Y133" s="34" t="n"/>
      <c r="Z133" s="34" t="n"/>
      <c r="AA133" s="34" t="n"/>
      <c r="AB133" s="34" t="n"/>
      <c r="AC133" s="34" t="n"/>
    </row>
    <row r="134">
      <c r="A134" s="33" t="inlineStr">
        <is>
          <t>TC-200</t>
        </is>
      </c>
      <c r="B134" s="33" t="inlineStr">
        <is>
          <t>Web</t>
        </is>
      </c>
      <c r="C134" s="33" t="inlineStr">
        <is>
          <t>반응형</t>
        </is>
      </c>
      <c r="D134" s="34" t="inlineStr">
        <is>
          <t>브레이크포인트</t>
        </is>
      </c>
      <c r="E134" s="34" t="inlineStr">
        <is>
          <t>반응형 테스트</t>
        </is>
      </c>
      <c r="F134" s="34" t="inlineStr">
        <is>
          <t>1280px 이상 레이아웃</t>
        </is>
      </c>
      <c r="G134" s="34" t="inlineStr">
        <is>
          <t>데스크톱 뷰포트</t>
        </is>
      </c>
      <c r="H134" s="34" t="inlineStr">
        <is>
          <t>1) 1280px 이상 뷰포트
2) 대시보드/목록 확인</t>
        </is>
      </c>
      <c r="I134" s="34" t="inlineStr">
        <is>
          <t>4열 카드, 3열 차트, 테이블 풀너비</t>
        </is>
      </c>
      <c r="J134" s="34" t="n"/>
      <c r="K134" s="34" t="inlineStr">
        <is>
          <t>미실행</t>
        </is>
      </c>
      <c r="L134" s="34" t="inlineStr">
        <is>
          <t>High</t>
        </is>
      </c>
      <c r="M134" s="34" t="inlineStr">
        <is>
          <t>Major</t>
        </is>
      </c>
      <c r="N134" s="34" t="inlineStr">
        <is>
          <t>QA담당자1</t>
        </is>
      </c>
      <c r="O134" s="34" t="inlineStr">
        <is>
          <t>Staging</t>
        </is>
      </c>
      <c r="P134" s="34" t="inlineStr">
        <is>
          <t>Chrome</t>
        </is>
      </c>
      <c r="Q134" s="34" t="inlineStr">
        <is>
          <t>Desktop</t>
        </is>
      </c>
      <c r="R134" s="34" t="inlineStr">
        <is>
          <t>Windows 11</t>
        </is>
      </c>
      <c r="S134" s="34" t="inlineStr">
        <is>
          <t>1차</t>
        </is>
      </c>
      <c r="T134" s="34" t="inlineStr">
        <is>
          <t>수동</t>
        </is>
      </c>
      <c r="U134" s="34" t="inlineStr">
        <is>
          <t>SCR-002</t>
        </is>
      </c>
      <c r="V134" s="34" t="n"/>
      <c r="W134" s="34" t="n"/>
      <c r="X134" s="34" t="n"/>
      <c r="Y134" s="34" t="n"/>
      <c r="Z134" s="34" t="inlineStr">
        <is>
          <t>대시보드</t>
        </is>
      </c>
      <c r="AA134" s="34" t="n"/>
      <c r="AB134" s="34" t="n"/>
      <c r="AC134" s="34" t="n"/>
    </row>
    <row r="135">
      <c r="A135" s="33" t="inlineStr">
        <is>
          <t>TC-201</t>
        </is>
      </c>
      <c r="B135" s="33" t="inlineStr">
        <is>
          <t>Web</t>
        </is>
      </c>
      <c r="C135" s="33" t="inlineStr">
        <is>
          <t>반응형</t>
        </is>
      </c>
      <c r="D135" s="34" t="inlineStr">
        <is>
          <t>브레이크포인트</t>
        </is>
      </c>
      <c r="E135" s="34" t="inlineStr">
        <is>
          <t>반응형 테스트</t>
        </is>
      </c>
      <c r="F135" s="34" t="inlineStr">
        <is>
          <t>768~1279px 레이아웃</t>
        </is>
      </c>
      <c r="G135" s="34" t="inlineStr">
        <is>
          <t>태블릿 뷰포트</t>
        </is>
      </c>
      <c r="H135" s="34" t="inlineStr">
        <is>
          <t>1) 1024px 뷰포트
2) 레이아웃 확인</t>
        </is>
      </c>
      <c r="I135" s="34" t="inlineStr">
        <is>
          <t>카드 3열→2열, 차트 2열, 테이블 가로스크롤</t>
        </is>
      </c>
      <c r="J135" s="34" t="n"/>
      <c r="K135" s="34" t="inlineStr">
        <is>
          <t>미실행</t>
        </is>
      </c>
      <c r="L135" s="34" t="inlineStr">
        <is>
          <t>High</t>
        </is>
      </c>
      <c r="M135" s="34" t="inlineStr">
        <is>
          <t>Major</t>
        </is>
      </c>
      <c r="N135" s="34" t="inlineStr">
        <is>
          <t>QA담당자1</t>
        </is>
      </c>
      <c r="O135" s="34" t="inlineStr">
        <is>
          <t>Staging</t>
        </is>
      </c>
      <c r="P135" s="34" t="inlineStr">
        <is>
          <t>Chrome</t>
        </is>
      </c>
      <c r="Q135" s="34" t="inlineStr">
        <is>
          <t>Desktop</t>
        </is>
      </c>
      <c r="R135" s="34" t="inlineStr">
        <is>
          <t>Windows 11</t>
        </is>
      </c>
      <c r="S135" s="34" t="inlineStr">
        <is>
          <t>1차</t>
        </is>
      </c>
      <c r="T135" s="34" t="inlineStr">
        <is>
          <t>수동</t>
        </is>
      </c>
      <c r="U135" s="34" t="inlineStr">
        <is>
          <t>SCR-002</t>
        </is>
      </c>
      <c r="V135" s="34" t="n"/>
      <c r="W135" s="34" t="n"/>
      <c r="X135" s="34" t="n"/>
      <c r="Y135" s="34" t="n"/>
      <c r="Z135" s="34" t="inlineStr">
        <is>
          <t>대시보드</t>
        </is>
      </c>
      <c r="AA135" s="34" t="n"/>
      <c r="AB135" s="34" t="n"/>
      <c r="AC135" s="34" t="n"/>
    </row>
    <row r="136">
      <c r="A136" s="33" t="inlineStr">
        <is>
          <t>TC-202</t>
        </is>
      </c>
      <c r="B136" s="33" t="inlineStr">
        <is>
          <t>Web</t>
        </is>
      </c>
      <c r="C136" s="33" t="inlineStr">
        <is>
          <t>반응형</t>
        </is>
      </c>
      <c r="D136" s="34" t="inlineStr">
        <is>
          <t>브레이크포인트</t>
        </is>
      </c>
      <c r="E136" s="34" t="inlineStr">
        <is>
          <t>반응형 테스트</t>
        </is>
      </c>
      <c r="F136" s="34" t="inlineStr">
        <is>
          <t>768px 미만 레이아웃</t>
        </is>
      </c>
      <c r="G136" s="34" t="inlineStr">
        <is>
          <t>모바일 뷰포트</t>
        </is>
      </c>
      <c r="H136" s="34" t="inlineStr">
        <is>
          <t>1) 375px 뷰포트
2) 레이아웃 확인</t>
        </is>
      </c>
      <c r="I136" s="34" t="inlineStr">
        <is>
          <t>카드 1열, 차트 1열, 사이드바 오버레이</t>
        </is>
      </c>
      <c r="J136" s="34" t="n"/>
      <c r="K136" s="34" t="inlineStr">
        <is>
          <t>미실행</t>
        </is>
      </c>
      <c r="L136" s="34" t="inlineStr">
        <is>
          <t>High</t>
        </is>
      </c>
      <c r="M136" s="34" t="inlineStr">
        <is>
          <t>Major</t>
        </is>
      </c>
      <c r="N136" s="34" t="inlineStr">
        <is>
          <t>QA담당자1</t>
        </is>
      </c>
      <c r="O136" s="34" t="inlineStr">
        <is>
          <t>Staging</t>
        </is>
      </c>
      <c r="P136" s="34" t="inlineStr">
        <is>
          <t>Chrome</t>
        </is>
      </c>
      <c r="Q136" s="34" t="inlineStr">
        <is>
          <t>Desktop</t>
        </is>
      </c>
      <c r="R136" s="34" t="inlineStr">
        <is>
          <t>Windows 11</t>
        </is>
      </c>
      <c r="S136" s="34" t="inlineStr">
        <is>
          <t>1차</t>
        </is>
      </c>
      <c r="T136" s="34" t="inlineStr">
        <is>
          <t>수동</t>
        </is>
      </c>
      <c r="U136" s="34" t="inlineStr">
        <is>
          <t>SCR-002-M</t>
        </is>
      </c>
      <c r="V136" s="34" t="n"/>
      <c r="W136" s="34" t="n"/>
      <c r="X136" s="34" t="n"/>
      <c r="Y136" s="34" t="n"/>
      <c r="Z136" s="34" t="n"/>
      <c r="AA136" s="34" t="n"/>
      <c r="AB136" s="34" t="n"/>
      <c r="AC136" s="34" t="n"/>
    </row>
    <row r="137">
      <c r="A137" s="33" t="inlineStr">
        <is>
          <t>TC-203</t>
        </is>
      </c>
      <c r="B137" s="33" t="inlineStr">
        <is>
          <t>Web</t>
        </is>
      </c>
      <c r="C137" s="33" t="inlineStr">
        <is>
          <t>접근성</t>
        </is>
      </c>
      <c r="D137" s="34" t="inlineStr">
        <is>
          <t>키보드</t>
        </is>
      </c>
      <c r="E137" s="34" t="inlineStr">
        <is>
          <t>접근성 테스트</t>
        </is>
      </c>
      <c r="F137" s="34" t="inlineStr">
        <is>
          <t>키보드 네비게이션</t>
        </is>
      </c>
      <c r="G137" s="34" t="inlineStr">
        <is>
          <t>로그인 페이지</t>
        </is>
      </c>
      <c r="H137" s="34" t="inlineStr">
        <is>
          <t>1) Tab키로 포커스 이동
2) Enter로 로그인</t>
        </is>
      </c>
      <c r="I137" s="34" t="inlineStr">
        <is>
          <t>Tab 순서 정상, Enter 동작, 포커스 링 표시</t>
        </is>
      </c>
      <c r="J137" s="34" t="n"/>
      <c r="K137" s="34" t="inlineStr">
        <is>
          <t>미실행</t>
        </is>
      </c>
      <c r="L137" s="34" t="inlineStr">
        <is>
          <t>Medium</t>
        </is>
      </c>
      <c r="M137" s="34" t="inlineStr">
        <is>
          <t>Minor</t>
        </is>
      </c>
      <c r="N137" s="34" t="inlineStr">
        <is>
          <t>QA담당자1</t>
        </is>
      </c>
      <c r="O137" s="34" t="inlineStr">
        <is>
          <t>Staging</t>
        </is>
      </c>
      <c r="P137" s="34" t="inlineStr">
        <is>
          <t>Chrome</t>
        </is>
      </c>
      <c r="Q137" s="34" t="inlineStr">
        <is>
          <t>Desktop</t>
        </is>
      </c>
      <c r="R137" s="34" t="inlineStr">
        <is>
          <t>Windows 11</t>
        </is>
      </c>
      <c r="S137" s="34" t="inlineStr">
        <is>
          <t>1차</t>
        </is>
      </c>
      <c r="T137" s="34" t="inlineStr">
        <is>
          <t>수동</t>
        </is>
      </c>
      <c r="U137" s="34" t="inlineStr">
        <is>
          <t>SCR-001</t>
        </is>
      </c>
      <c r="V137" s="34" t="n"/>
      <c r="W137" s="34" t="n"/>
      <c r="X137" s="34" t="n"/>
      <c r="Y137" s="34" t="n"/>
      <c r="Z137" s="34" t="inlineStr">
        <is>
          <t>로그인</t>
        </is>
      </c>
      <c r="AA137" s="34" t="n"/>
      <c r="AB137" s="34" t="n"/>
      <c r="AC137" s="34" t="n"/>
    </row>
    <row r="138">
      <c r="A138" s="33" t="inlineStr">
        <is>
          <t>TC-204</t>
        </is>
      </c>
      <c r="B138" s="33" t="inlineStr">
        <is>
          <t>Web</t>
        </is>
      </c>
      <c r="C138" s="33" t="inlineStr">
        <is>
          <t>접근성</t>
        </is>
      </c>
      <c r="D138" s="34" t="inlineStr">
        <is>
          <t>aria</t>
        </is>
      </c>
      <c r="E138" s="34" t="inlineStr">
        <is>
          <t>접근성 테스트</t>
        </is>
      </c>
      <c r="F138" s="34" t="inlineStr">
        <is>
          <t>aria-label 확인</t>
        </is>
      </c>
      <c r="G138" s="34" t="inlineStr">
        <is>
          <t>각 페이지</t>
        </is>
      </c>
      <c r="H138" s="34" t="inlineStr">
        <is>
          <t>1) 주요 입력 필드 aria-label 확인</t>
        </is>
      </c>
      <c r="I138" s="34" t="inlineStr">
        <is>
          <t>입력/버튼/탭에 aria-label 설정됨</t>
        </is>
      </c>
      <c r="J138" s="34" t="n"/>
      <c r="K138" s="34" t="inlineStr">
        <is>
          <t>미실행</t>
        </is>
      </c>
      <c r="L138" s="34" t="inlineStr">
        <is>
          <t>Medium</t>
        </is>
      </c>
      <c r="M138" s="34" t="inlineStr">
        <is>
          <t>Minor</t>
        </is>
      </c>
      <c r="N138" s="34" t="inlineStr">
        <is>
          <t>QA담당자1</t>
        </is>
      </c>
      <c r="O138" s="34" t="inlineStr">
        <is>
          <t>Staging</t>
        </is>
      </c>
      <c r="P138" s="34" t="inlineStr">
        <is>
          <t>Chrome</t>
        </is>
      </c>
      <c r="Q138" s="34" t="inlineStr">
        <is>
          <t>Desktop</t>
        </is>
      </c>
      <c r="R138" s="34" t="inlineStr">
        <is>
          <t>Windows 11</t>
        </is>
      </c>
      <c r="S138" s="34" t="inlineStr">
        <is>
          <t>1차</t>
        </is>
      </c>
      <c r="T138" s="34" t="inlineStr">
        <is>
          <t>수동</t>
        </is>
      </c>
      <c r="U138" s="34" t="inlineStr">
        <is>
          <t>SCR-001</t>
        </is>
      </c>
      <c r="V138" s="34" t="n"/>
      <c r="W138" s="34" t="n"/>
      <c r="X138" s="34" t="n"/>
      <c r="Y138" s="34" t="n"/>
      <c r="Z138" s="34" t="inlineStr">
        <is>
          <t>로그인</t>
        </is>
      </c>
      <c r="AA138" s="34" t="n"/>
      <c r="AB138" s="34" t="n"/>
      <c r="AC138" s="34" t="n"/>
    </row>
    <row r="139">
      <c r="A139" s="33" t="inlineStr">
        <is>
          <t>TC-058</t>
        </is>
      </c>
      <c r="B139" s="33" t="inlineStr">
        <is>
          <t>Web</t>
        </is>
      </c>
      <c r="C139" s="33" t="inlineStr">
        <is>
          <t>매출관리</t>
        </is>
      </c>
      <c r="D139" s="34" t="inlineStr">
        <is>
          <t>POS</t>
        </is>
      </c>
      <c r="E139" s="34" t="inlineStr">
        <is>
          <t>기능 테스트</t>
        </is>
      </c>
      <c r="F139" s="34" t="inlineStr">
        <is>
          <t>POS 장바구니 수량 변경</t>
        </is>
      </c>
      <c r="G139" s="34" t="inlineStr">
        <is>
          <t>POS 상품 선택</t>
        </is>
      </c>
      <c r="H139" s="34" t="inlineStr">
        <is>
          <t>1) 장바구니 상품 수량 +
2) 수량 - 
3) 총액 확인</t>
        </is>
      </c>
      <c r="I139" s="34" t="inlineStr">
        <is>
          <t>수량 변경 시 총액 자동 재계산</t>
        </is>
      </c>
      <c r="J139" s="34" t="n"/>
      <c r="K139" s="34" t="inlineStr">
        <is>
          <t>미실행</t>
        </is>
      </c>
      <c r="L139" s="34" t="inlineStr">
        <is>
          <t>High</t>
        </is>
      </c>
      <c r="M139" s="34" t="inlineStr">
        <is>
          <t>Major</t>
        </is>
      </c>
      <c r="N139" s="34" t="inlineStr">
        <is>
          <t>QA담당자1</t>
        </is>
      </c>
      <c r="O139" s="34" t="inlineStr">
        <is>
          <t>Staging</t>
        </is>
      </c>
      <c r="P139" s="34" t="inlineStr">
        <is>
          <t>Chrome</t>
        </is>
      </c>
      <c r="Q139" s="34" t="inlineStr">
        <is>
          <t>Desktop</t>
        </is>
      </c>
      <c r="R139" s="34" t="inlineStr">
        <is>
          <t>Windows 11</t>
        </is>
      </c>
      <c r="S139" s="34" t="inlineStr">
        <is>
          <t>1차</t>
        </is>
      </c>
      <c r="T139" s="34" t="inlineStr">
        <is>
          <t>수동</t>
        </is>
      </c>
      <c r="U139" s="34" t="inlineStr">
        <is>
          <t>SCR-032-CART</t>
        </is>
      </c>
      <c r="V139" s="34" t="inlineStr">
        <is>
          <t>FN-012</t>
        </is>
      </c>
      <c r="W139" s="34" t="n"/>
      <c r="X139" s="34" t="n"/>
      <c r="Y139" s="34" t="n"/>
      <c r="Z139" s="34" t="n"/>
      <c r="AA139" s="34" t="inlineStr">
        <is>
          <t>POS 결제 처리</t>
        </is>
      </c>
      <c r="AB139" s="34" t="inlineStr">
        <is>
          <t>/api/v1/sales</t>
        </is>
      </c>
      <c r="AC139" s="34" t="n"/>
    </row>
    <row r="140">
      <c r="A140" s="33" t="inlineStr">
        <is>
          <t>TC-059</t>
        </is>
      </c>
      <c r="B140" s="33" t="inlineStr">
        <is>
          <t>Web</t>
        </is>
      </c>
      <c r="C140" s="33" t="inlineStr">
        <is>
          <t>매출관리</t>
        </is>
      </c>
      <c r="D140" s="34" t="inlineStr">
        <is>
          <t>POS</t>
        </is>
      </c>
      <c r="E140" s="34" t="inlineStr">
        <is>
          <t>기능 테스트</t>
        </is>
      </c>
      <c r="F140" s="34" t="inlineStr">
        <is>
          <t>POS 할인 적용</t>
        </is>
      </c>
      <c r="G140" s="34" t="inlineStr">
        <is>
          <t>POS 상품 선택</t>
        </is>
      </c>
      <c r="H140" s="34" t="inlineStr">
        <is>
          <t>1) 할인 금액 입력
2) 총액 확인</t>
        </is>
      </c>
      <c r="I140" s="34" t="inlineStr">
        <is>
          <t>할인 적용 후 총액 감소</t>
        </is>
      </c>
      <c r="J140" s="34" t="n"/>
      <c r="K140" s="34" t="inlineStr">
        <is>
          <t>미실행</t>
        </is>
      </c>
      <c r="L140" s="34" t="inlineStr">
        <is>
          <t>High</t>
        </is>
      </c>
      <c r="M140" s="34" t="inlineStr">
        <is>
          <t>Major</t>
        </is>
      </c>
      <c r="N140" s="34" t="inlineStr">
        <is>
          <t>QA담당자1</t>
        </is>
      </c>
      <c r="O140" s="34" t="inlineStr">
        <is>
          <t>Staging</t>
        </is>
      </c>
      <c r="P140" s="34" t="inlineStr">
        <is>
          <t>Chrome</t>
        </is>
      </c>
      <c r="Q140" s="34" t="inlineStr">
        <is>
          <t>Desktop</t>
        </is>
      </c>
      <c r="R140" s="34" t="inlineStr">
        <is>
          <t>Windows 11</t>
        </is>
      </c>
      <c r="S140" s="34" t="inlineStr">
        <is>
          <t>1차</t>
        </is>
      </c>
      <c r="T140" s="34" t="inlineStr">
        <is>
          <t>수동</t>
        </is>
      </c>
      <c r="U140" s="34" t="inlineStr">
        <is>
          <t>SCR-032-CART</t>
        </is>
      </c>
      <c r="V140" s="34" t="inlineStr">
        <is>
          <t>FN-012</t>
        </is>
      </c>
      <c r="W140" s="34" t="n"/>
      <c r="X140" s="34" t="n"/>
      <c r="Y140" s="34" t="n"/>
      <c r="Z140" s="34" t="n"/>
      <c r="AA140" s="34" t="inlineStr">
        <is>
          <t>POS 결제 처리</t>
        </is>
      </c>
      <c r="AB140" s="34" t="inlineStr">
        <is>
          <t>/api/v1/sales</t>
        </is>
      </c>
      <c r="AC140" s="34" t="n"/>
    </row>
    <row r="141">
      <c r="A141" s="33" t="inlineStr">
        <is>
          <t>TC-057</t>
        </is>
      </c>
      <c r="B141" s="33" t="inlineStr">
        <is>
          <t>Web</t>
        </is>
      </c>
      <c r="C141" s="33" t="inlineStr">
        <is>
          <t>매출관리</t>
        </is>
      </c>
      <c r="D141" s="34" t="inlineStr">
        <is>
          <t>POS</t>
        </is>
      </c>
      <c r="E141" s="34" t="inlineStr">
        <is>
          <t>기능 테스트</t>
        </is>
      </c>
      <c r="F141" s="34" t="inlineStr">
        <is>
          <t>POS 분할결제</t>
        </is>
      </c>
      <c r="G141" s="34" t="inlineStr">
        <is>
          <t>POS 상품 선택</t>
        </is>
      </c>
      <c r="H141" s="34" t="inlineStr">
        <is>
          <t>1) 분할결제 선택
2) 카드 50000 + 현금 50000
3) 결제</t>
        </is>
      </c>
      <c r="I141" s="34" t="inlineStr">
        <is>
          <t>분할결제 성공, 각 결제수단별 금액 기록</t>
        </is>
      </c>
      <c r="J141" s="34" t="n"/>
      <c r="K141" s="34" t="inlineStr">
        <is>
          <t>미실행</t>
        </is>
      </c>
      <c r="L141" s="34" t="inlineStr">
        <is>
          <t>High</t>
        </is>
      </c>
      <c r="M141" s="34" t="inlineStr">
        <is>
          <t>Major</t>
        </is>
      </c>
      <c r="N141" s="34" t="inlineStr">
        <is>
          <t>QA담당자1</t>
        </is>
      </c>
      <c r="O141" s="34" t="inlineStr">
        <is>
          <t>Staging</t>
        </is>
      </c>
      <c r="P141" s="34" t="inlineStr">
        <is>
          <t>Chrome</t>
        </is>
      </c>
      <c r="Q141" s="34" t="inlineStr">
        <is>
          <t>Desktop</t>
        </is>
      </c>
      <c r="R141" s="34" t="inlineStr">
        <is>
          <t>Windows 11</t>
        </is>
      </c>
      <c r="S141" s="34" t="inlineStr">
        <is>
          <t>1차</t>
        </is>
      </c>
      <c r="T141" s="34" t="inlineStr">
        <is>
          <t>수동</t>
        </is>
      </c>
      <c r="U141" s="34" t="inlineStr">
        <is>
          <t>SCR-031</t>
        </is>
      </c>
      <c r="V141" s="34" t="inlineStr">
        <is>
          <t>FN-012</t>
        </is>
      </c>
      <c r="W141" s="34" t="inlineStr">
        <is>
          <t>API-032</t>
        </is>
      </c>
      <c r="X141" s="34" t="n"/>
      <c r="Y141" s="34" t="n"/>
      <c r="Z141" s="34" t="inlineStr">
        <is>
          <t>POS</t>
        </is>
      </c>
      <c r="AA141" s="34" t="inlineStr">
        <is>
          <t>POS 결제 처리</t>
        </is>
      </c>
      <c r="AB141" s="34" t="inlineStr">
        <is>
          <t>/api/v1/sales</t>
        </is>
      </c>
      <c r="AC141" s="34" t="n"/>
    </row>
    <row r="142">
      <c r="A142" s="33" t="inlineStr">
        <is>
          <t>TC-055b</t>
        </is>
      </c>
      <c r="B142" s="33" t="inlineStr">
        <is>
          <t>Web</t>
        </is>
      </c>
      <c r="C142" s="33" t="inlineStr">
        <is>
          <t>출석관리</t>
        </is>
      </c>
      <c r="D142" s="34" t="inlineStr">
        <is>
          <t>체크인</t>
        </is>
      </c>
      <c r="E142" s="34" t="inlineStr">
        <is>
          <t>기능 테스트</t>
        </is>
      </c>
      <c r="F142" s="34" t="inlineStr">
        <is>
          <t>PT 수업 체크인</t>
        </is>
      </c>
      <c r="G142" s="34" t="inlineStr">
        <is>
          <t>회원 PT 이용권 존재</t>
        </is>
      </c>
      <c r="H142" s="34" t="inlineStr">
        <is>
          <t>1) 체크인 모달
2) 유형: PT 선택
3) 체크인</t>
        </is>
      </c>
      <c r="I142" s="34" t="inlineStr">
        <is>
          <t>PT 유형으로 체크인 기록</t>
        </is>
      </c>
      <c r="J142" s="34" t="n"/>
      <c r="K142" s="34" t="inlineStr">
        <is>
          <t>미실행</t>
        </is>
      </c>
      <c r="L142" s="34" t="inlineStr">
        <is>
          <t>High</t>
        </is>
      </c>
      <c r="M142" s="34" t="inlineStr">
        <is>
          <t>Major</t>
        </is>
      </c>
      <c r="N142" s="34" t="inlineStr">
        <is>
          <t>QA담당자1</t>
        </is>
      </c>
      <c r="O142" s="34" t="inlineStr">
        <is>
          <t>Staging</t>
        </is>
      </c>
      <c r="P142" s="34" t="inlineStr">
        <is>
          <t>Chrome</t>
        </is>
      </c>
      <c r="Q142" s="34" t="inlineStr">
        <is>
          <t>Desktop</t>
        </is>
      </c>
      <c r="R142" s="34" t="inlineStr">
        <is>
          <t>Windows 11</t>
        </is>
      </c>
      <c r="S142" s="34" t="inlineStr">
        <is>
          <t>1차</t>
        </is>
      </c>
      <c r="T142" s="34" t="inlineStr">
        <is>
          <t>수동</t>
        </is>
      </c>
      <c r="U142" s="34" t="inlineStr">
        <is>
          <t>SCR-020-CI</t>
        </is>
      </c>
      <c r="V142" s="34" t="inlineStr">
        <is>
          <t>FN-009</t>
        </is>
      </c>
      <c r="W142" s="34" t="inlineStr">
        <is>
          <t>API-021</t>
        </is>
      </c>
      <c r="X142" s="34" t="n"/>
      <c r="Y142" s="34" t="n"/>
      <c r="Z142" s="34" t="n"/>
      <c r="AA142" s="34" t="inlineStr">
        <is>
          <t>일정 관리</t>
        </is>
      </c>
      <c r="AB142" s="34" t="inlineStr">
        <is>
          <t>/api/v1/lockers/:id</t>
        </is>
      </c>
      <c r="AC142" s="34" t="n"/>
    </row>
    <row r="143">
      <c r="A143" s="33" t="inlineStr">
        <is>
          <t>TC-055c</t>
        </is>
      </c>
      <c r="B143" s="33" t="inlineStr">
        <is>
          <t>Web</t>
        </is>
      </c>
      <c r="C143" s="33" t="inlineStr">
        <is>
          <t>출석관리</t>
        </is>
      </c>
      <c r="D143" s="34" t="inlineStr">
        <is>
          <t>체크인</t>
        </is>
      </c>
      <c r="E143" s="34" t="inlineStr">
        <is>
          <t>기능 테스트</t>
        </is>
      </c>
      <c r="F143" s="34" t="inlineStr">
        <is>
          <t>GX 수업 체크인</t>
        </is>
      </c>
      <c r="G143" s="34" t="inlineStr">
        <is>
          <t>회원 등록 상태</t>
        </is>
      </c>
      <c r="H143" s="34" t="inlineStr">
        <is>
          <t>1) 유형: GX 선택
2) 체크인</t>
        </is>
      </c>
      <c r="I143" s="34" t="inlineStr">
        <is>
          <t>GX 유형으로 체크인 기록</t>
        </is>
      </c>
      <c r="J143" s="34" t="n"/>
      <c r="K143" s="34" t="inlineStr">
        <is>
          <t>미실행</t>
        </is>
      </c>
      <c r="L143" s="34" t="inlineStr">
        <is>
          <t>Medium</t>
        </is>
      </c>
      <c r="M143" s="34" t="inlineStr">
        <is>
          <t>Minor</t>
        </is>
      </c>
      <c r="N143" s="34" t="inlineStr">
        <is>
          <t>QA담당자1</t>
        </is>
      </c>
      <c r="O143" s="34" t="inlineStr">
        <is>
          <t>Staging</t>
        </is>
      </c>
      <c r="P143" s="34" t="inlineStr">
        <is>
          <t>Chrome</t>
        </is>
      </c>
      <c r="Q143" s="34" t="inlineStr">
        <is>
          <t>Desktop</t>
        </is>
      </c>
      <c r="R143" s="34" t="inlineStr">
        <is>
          <t>Windows 11</t>
        </is>
      </c>
      <c r="S143" s="34" t="inlineStr">
        <is>
          <t>1차</t>
        </is>
      </c>
      <c r="T143" s="34" t="inlineStr">
        <is>
          <t>수동</t>
        </is>
      </c>
      <c r="U143" s="34" t="inlineStr">
        <is>
          <t>SCR-020-CI</t>
        </is>
      </c>
      <c r="V143" s="34" t="inlineStr">
        <is>
          <t>FN-009</t>
        </is>
      </c>
      <c r="W143" s="34" t="inlineStr">
        <is>
          <t>API-021</t>
        </is>
      </c>
      <c r="X143" s="34" t="n"/>
      <c r="Y143" s="34" t="n"/>
      <c r="Z143" s="34" t="n"/>
      <c r="AA143" s="34" t="inlineStr">
        <is>
          <t>일정 관리</t>
        </is>
      </c>
      <c r="AB143" s="34" t="inlineStr">
        <is>
          <t>/api/v1/lockers/:id</t>
        </is>
      </c>
      <c r="AC143" s="34" t="n"/>
    </row>
    <row r="144">
      <c r="A144" s="33" t="inlineStr">
        <is>
          <t>TC-105</t>
        </is>
      </c>
      <c r="B144" s="33" t="inlineStr">
        <is>
          <t>Web</t>
        </is>
      </c>
      <c r="C144" s="33" t="inlineStr">
        <is>
          <t>락커관리</t>
        </is>
      </c>
      <c r="D144" s="34" t="inlineStr">
        <is>
          <t>배정</t>
        </is>
      </c>
      <c r="E144" s="34" t="inlineStr">
        <is>
          <t>기능 테스트</t>
        </is>
      </c>
      <c r="F144" s="34" t="inlineStr">
        <is>
          <t>이미 배정된 락커 재배정 시도</t>
        </is>
      </c>
      <c r="G144" s="34" t="inlineStr">
        <is>
          <t>사용중 락커</t>
        </is>
      </c>
      <c r="H144" s="34" t="inlineStr">
        <is>
          <t>1) 사용 중 락커 클릭
2) 배정 시도</t>
        </is>
      </c>
      <c r="I144" s="34" t="inlineStr">
        <is>
          <t>이미 배정됨 안내, 반납 먼저 필요</t>
        </is>
      </c>
      <c r="J144" s="34" t="n"/>
      <c r="K144" s="34" t="inlineStr">
        <is>
          <t>미실행</t>
        </is>
      </c>
      <c r="L144" s="34" t="inlineStr">
        <is>
          <t>High</t>
        </is>
      </c>
      <c r="M144" s="34" t="inlineStr">
        <is>
          <t>Major</t>
        </is>
      </c>
      <c r="N144" s="34" t="inlineStr">
        <is>
          <t>QA담당자1</t>
        </is>
      </c>
      <c r="O144" s="34" t="inlineStr">
        <is>
          <t>Staging</t>
        </is>
      </c>
      <c r="P144" s="34" t="inlineStr">
        <is>
          <t>Chrome</t>
        </is>
      </c>
      <c r="Q144" s="34" t="inlineStr">
        <is>
          <t>Desktop</t>
        </is>
      </c>
      <c r="R144" s="34" t="inlineStr">
        <is>
          <t>Windows 11</t>
        </is>
      </c>
      <c r="S144" s="34" t="inlineStr">
        <is>
          <t>1차</t>
        </is>
      </c>
      <c r="T144" s="34" t="inlineStr">
        <is>
          <t>수동</t>
        </is>
      </c>
      <c r="U144" s="34" t="inlineStr">
        <is>
          <t>SCR-060</t>
        </is>
      </c>
      <c r="V144" s="34" t="inlineStr">
        <is>
          <t>FN-020</t>
        </is>
      </c>
      <c r="W144" s="34" t="n"/>
      <c r="X144" s="34" t="n"/>
      <c r="Y144" s="34" t="n"/>
      <c r="Z144" s="34" t="inlineStr">
        <is>
          <t>직원 목록</t>
        </is>
      </c>
      <c r="AA144" s="34" t="inlineStr">
        <is>
          <t>직원 등록/수정</t>
        </is>
      </c>
      <c r="AB144" s="34" t="inlineStr">
        <is>
          <t>/api/v1/staff</t>
        </is>
      </c>
      <c r="AC144" s="34" t="n"/>
    </row>
    <row r="145">
      <c r="A145" s="33" t="inlineStr">
        <is>
          <t>TC-106</t>
        </is>
      </c>
      <c r="B145" s="33" t="inlineStr">
        <is>
          <t>Web</t>
        </is>
      </c>
      <c r="C145" s="33" t="inlineStr">
        <is>
          <t>락커관리</t>
        </is>
      </c>
      <c r="D145" s="34" t="inlineStr">
        <is>
          <t>만료</t>
        </is>
      </c>
      <c r="E145" s="34" t="inlineStr">
        <is>
          <t>기능 테스트</t>
        </is>
      </c>
      <c r="F145" s="34" t="inlineStr">
        <is>
          <t>만료된 락커 표시</t>
        </is>
      </c>
      <c r="G145" s="34" t="inlineStr">
        <is>
          <t>만료일 지난 락커</t>
        </is>
      </c>
      <c r="H145" s="34" t="inlineStr">
        <is>
          <t>1) 락커 현황 확인</t>
        </is>
      </c>
      <c r="I145" s="34" t="inlineStr">
        <is>
          <t>만료 락커 빨간색 강조 표시</t>
        </is>
      </c>
      <c r="J145" s="34" t="n"/>
      <c r="K145" s="34" t="inlineStr">
        <is>
          <t>미실행</t>
        </is>
      </c>
      <c r="L145" s="34" t="inlineStr">
        <is>
          <t>High</t>
        </is>
      </c>
      <c r="M145" s="34" t="inlineStr">
        <is>
          <t>Major</t>
        </is>
      </c>
      <c r="N145" s="34" t="inlineStr">
        <is>
          <t>QA담당자1</t>
        </is>
      </c>
      <c r="O145" s="34" t="inlineStr">
        <is>
          <t>Staging</t>
        </is>
      </c>
      <c r="P145" s="34" t="inlineStr">
        <is>
          <t>Chrome</t>
        </is>
      </c>
      <c r="Q145" s="34" t="inlineStr">
        <is>
          <t>Desktop</t>
        </is>
      </c>
      <c r="R145" s="34" t="inlineStr">
        <is>
          <t>Windows 11</t>
        </is>
      </c>
      <c r="S145" s="34" t="inlineStr">
        <is>
          <t>1차</t>
        </is>
      </c>
      <c r="T145" s="34" t="inlineStr">
        <is>
          <t>수동</t>
        </is>
      </c>
      <c r="U145" s="34" t="inlineStr">
        <is>
          <t>SCR-060</t>
        </is>
      </c>
      <c r="V145" s="34" t="inlineStr">
        <is>
          <t>FN-019</t>
        </is>
      </c>
      <c r="W145" s="34" t="n"/>
      <c r="X145" s="34" t="n"/>
      <c r="Y145" s="34" t="n"/>
      <c r="Z145" s="34" t="inlineStr">
        <is>
          <t>직원 목록</t>
        </is>
      </c>
      <c r="AA145" s="34" t="inlineStr">
        <is>
          <t>직원 목록 조회</t>
        </is>
      </c>
      <c r="AB145" s="34" t="inlineStr">
        <is>
          <t>/api/v1/staff</t>
        </is>
      </c>
      <c r="AC145" s="34" t="n"/>
    </row>
    <row r="146">
      <c r="A146" s="33" t="inlineStr">
        <is>
          <t>TC-096</t>
        </is>
      </c>
      <c r="B146" s="33" t="inlineStr">
        <is>
          <t>Web</t>
        </is>
      </c>
      <c r="C146" s="33" t="inlineStr">
        <is>
          <t>급여관리</t>
        </is>
      </c>
      <c r="D146" s="34" t="inlineStr">
        <is>
          <t>명세서</t>
        </is>
      </c>
      <c r="E146" s="34" t="inlineStr">
        <is>
          <t>UI/UX 테스트</t>
        </is>
      </c>
      <c r="F146" s="34" t="inlineStr">
        <is>
          <t>급여 명세서 인쇄</t>
        </is>
      </c>
      <c r="G146" s="34" t="inlineStr">
        <is>
          <t>명세서 조회 상태</t>
        </is>
      </c>
      <c r="H146" s="34" t="inlineStr">
        <is>
          <t>1) 인쇄 버튼 클릭
2) 인쇄 미리보기 확인</t>
        </is>
      </c>
      <c r="I146" s="34" t="inlineStr">
        <is>
          <t>인쇄 미리보기 모달 표시, PDF 다운로드 가능</t>
        </is>
      </c>
      <c r="J146" s="34" t="n"/>
      <c r="K146" s="34" t="inlineStr">
        <is>
          <t>미실행</t>
        </is>
      </c>
      <c r="L146" s="34" t="inlineStr">
        <is>
          <t>Medium</t>
        </is>
      </c>
      <c r="M146" s="34" t="inlineStr">
        <is>
          <t>Minor</t>
        </is>
      </c>
      <c r="N146" s="34" t="inlineStr">
        <is>
          <t>QA담당자1</t>
        </is>
      </c>
      <c r="O146" s="34" t="inlineStr">
        <is>
          <t>Staging</t>
        </is>
      </c>
      <c r="P146" s="34" t="inlineStr">
        <is>
          <t>Chrome</t>
        </is>
      </c>
      <c r="Q146" s="34" t="inlineStr">
        <is>
          <t>Desktop</t>
        </is>
      </c>
      <c r="R146" s="34" t="inlineStr">
        <is>
          <t>Windows 11</t>
        </is>
      </c>
      <c r="S146" s="34" t="inlineStr">
        <is>
          <t>1차</t>
        </is>
      </c>
      <c r="T146" s="34" t="inlineStr">
        <is>
          <t>수동</t>
        </is>
      </c>
      <c r="U146" s="34" t="inlineStr">
        <is>
          <t>SCR-053-PRT</t>
        </is>
      </c>
      <c r="V146" s="34" t="inlineStr">
        <is>
          <t>FN-028</t>
        </is>
      </c>
      <c r="W146" s="34" t="n"/>
      <c r="X146" s="34" t="n"/>
      <c r="Y146" s="34" t="n"/>
      <c r="Z146" s="34" t="n"/>
      <c r="AA146" s="34" t="inlineStr">
        <is>
          <t>구독 관리</t>
        </is>
      </c>
      <c r="AB146" s="34" t="n"/>
      <c r="AC146" s="34" t="n"/>
    </row>
    <row r="147">
      <c r="A147" s="33" t="inlineStr">
        <is>
          <t>TC-097</t>
        </is>
      </c>
      <c r="B147" s="33" t="inlineStr">
        <is>
          <t>Web</t>
        </is>
      </c>
      <c r="C147" s="33" t="inlineStr">
        <is>
          <t>급여관리</t>
        </is>
      </c>
      <c r="D147" s="34" t="inlineStr">
        <is>
          <t>등록</t>
        </is>
      </c>
      <c r="E147" s="34" t="inlineStr">
        <is>
          <t>기능 테스트</t>
        </is>
      </c>
      <c r="F147" s="34" t="inlineStr">
        <is>
          <t>급여 netSalary 자동계산</t>
        </is>
      </c>
      <c r="G147" s="34" t="inlineStr">
        <is>
          <t>급여 등록 페이지</t>
        </is>
      </c>
      <c r="H147" s="34" t="inlineStr">
        <is>
          <t>1) 기본급: 3000000
2) 보너스: 500000
3) 공제: 200000
4) 실지급액 확인</t>
        </is>
      </c>
      <c r="I147" s="34" t="inlineStr">
        <is>
          <t>실지급액 = 3000000 + 500000 - 200000 = 3300000 자동표시</t>
        </is>
      </c>
      <c r="J147" s="34" t="n"/>
      <c r="K147" s="34" t="inlineStr">
        <is>
          <t>미실행</t>
        </is>
      </c>
      <c r="L147" s="34" t="inlineStr">
        <is>
          <t>High</t>
        </is>
      </c>
      <c r="M147" s="34" t="inlineStr">
        <is>
          <t>Major</t>
        </is>
      </c>
      <c r="N147" s="34" t="inlineStr">
        <is>
          <t>QA담당자1</t>
        </is>
      </c>
      <c r="O147" s="34" t="inlineStr">
        <is>
          <t>Staging</t>
        </is>
      </c>
      <c r="P147" s="34" t="inlineStr">
        <is>
          <t>Chrome</t>
        </is>
      </c>
      <c r="Q147" s="34" t="inlineStr">
        <is>
          <t>Desktop</t>
        </is>
      </c>
      <c r="R147" s="34" t="inlineStr">
        <is>
          <t>Windows 11</t>
        </is>
      </c>
      <c r="S147" s="34" t="inlineStr">
        <is>
          <t>1차</t>
        </is>
      </c>
      <c r="T147" s="34" t="inlineStr">
        <is>
          <t>수동</t>
        </is>
      </c>
      <c r="U147" s="34" t="inlineStr">
        <is>
          <t>SCR-052</t>
        </is>
      </c>
      <c r="V147" s="34" t="inlineStr">
        <is>
          <t>FN-029</t>
        </is>
      </c>
      <c r="W147" s="34" t="n"/>
      <c r="X147" s="34" t="n"/>
      <c r="Y147" s="34" t="n"/>
      <c r="Z147" s="34" t="inlineStr">
        <is>
          <t>RFID 관리</t>
        </is>
      </c>
      <c r="AA147" s="34" t="inlineStr">
        <is>
          <t>시스템 설정</t>
        </is>
      </c>
      <c r="AB147" s="34" t="n"/>
      <c r="AC147" s="34" t="n"/>
    </row>
    <row r="148">
      <c r="A148" s="33" t="inlineStr">
        <is>
          <t>TC-116</t>
        </is>
      </c>
      <c r="B148" s="33" t="inlineStr">
        <is>
          <t>Web</t>
        </is>
      </c>
      <c r="C148" s="33" t="inlineStr">
        <is>
          <t>메시지</t>
        </is>
      </c>
      <c r="D148" s="34" t="inlineStr">
        <is>
          <t>발송</t>
        </is>
      </c>
      <c r="E148" s="34" t="inlineStr">
        <is>
          <t>기능 테스트</t>
        </is>
      </c>
      <c r="F148" s="34" t="inlineStr">
        <is>
          <t>내용 미입력 발송 실패</t>
        </is>
      </c>
      <c r="G148" s="34" t="inlineStr">
        <is>
          <t>메시지 발송 페이지</t>
        </is>
      </c>
      <c r="H148" s="34" t="inlineStr">
        <is>
          <t>1) 수신자 선택
2) 내용 미입력
3) 발송</t>
        </is>
      </c>
      <c r="I148" s="34" t="inlineStr">
        <is>
          <t>내용 필수 에러 표시</t>
        </is>
      </c>
      <c r="J148" s="34" t="n"/>
      <c r="K148" s="34" t="inlineStr">
        <is>
          <t>미실행</t>
        </is>
      </c>
      <c r="L148" s="34" t="inlineStr">
        <is>
          <t>High</t>
        </is>
      </c>
      <c r="M148" s="34" t="inlineStr">
        <is>
          <t>Major</t>
        </is>
      </c>
      <c r="N148" s="34" t="inlineStr">
        <is>
          <t>QA담당자1</t>
        </is>
      </c>
      <c r="O148" s="34" t="inlineStr">
        <is>
          <t>Staging</t>
        </is>
      </c>
      <c r="P148" s="34" t="inlineStr">
        <is>
          <t>Chrome</t>
        </is>
      </c>
      <c r="Q148" s="34" t="inlineStr">
        <is>
          <t>Desktop</t>
        </is>
      </c>
      <c r="R148" s="34" t="inlineStr">
        <is>
          <t>Windows 11</t>
        </is>
      </c>
      <c r="S148" s="34" t="inlineStr">
        <is>
          <t>1차</t>
        </is>
      </c>
      <c r="T148" s="34" t="inlineStr">
        <is>
          <t>수동</t>
        </is>
      </c>
      <c r="U148" s="34" t="inlineStr">
        <is>
          <t>SCR-062-V</t>
        </is>
      </c>
      <c r="V148" s="34" t="inlineStr">
        <is>
          <t>FN-031</t>
        </is>
      </c>
      <c r="W148" s="34" t="n"/>
      <c r="X148" s="34" t="n"/>
      <c r="Y148" s="34" t="n"/>
      <c r="Z148" s="34" t="n"/>
      <c r="AA148" s="34" t="inlineStr">
        <is>
          <t>키오스크 설정</t>
        </is>
      </c>
      <c r="AB148" s="34" t="n"/>
      <c r="AC148" s="34" t="n"/>
    </row>
    <row r="149">
      <c r="A149" s="33" t="inlineStr">
        <is>
          <t>TC-117</t>
        </is>
      </c>
      <c r="B149" s="33" t="inlineStr">
        <is>
          <t>Web</t>
        </is>
      </c>
      <c r="C149" s="33" t="inlineStr">
        <is>
          <t>메시지</t>
        </is>
      </c>
      <c r="D149" s="34" t="inlineStr">
        <is>
          <t>이력</t>
        </is>
      </c>
      <c r="E149" s="34" t="inlineStr">
        <is>
          <t>기능 테스트</t>
        </is>
      </c>
      <c r="F149" s="34" t="inlineStr">
        <is>
          <t>기간별 이력 필터</t>
        </is>
      </c>
      <c r="G149" s="34" t="inlineStr">
        <is>
          <t>이력 존재</t>
        </is>
      </c>
      <c r="H149" s="34" t="inlineStr">
        <is>
          <t>1) 시작일/종료일 설정
2) 조회</t>
        </is>
      </c>
      <c r="I149" s="34" t="inlineStr">
        <is>
          <t>해당 기간 이력만 표시</t>
        </is>
      </c>
      <c r="J149" s="34" t="n"/>
      <c r="K149" s="34" t="inlineStr">
        <is>
          <t>미실행</t>
        </is>
      </c>
      <c r="L149" s="34" t="inlineStr">
        <is>
          <t>Medium</t>
        </is>
      </c>
      <c r="M149" s="34" t="inlineStr">
        <is>
          <t>Minor</t>
        </is>
      </c>
      <c r="N149" s="34" t="inlineStr">
        <is>
          <t>QA담당자1</t>
        </is>
      </c>
      <c r="O149" s="34" t="inlineStr">
        <is>
          <t>Staging</t>
        </is>
      </c>
      <c r="P149" s="34" t="inlineStr">
        <is>
          <t>Chrome</t>
        </is>
      </c>
      <c r="Q149" s="34" t="inlineStr">
        <is>
          <t>Desktop</t>
        </is>
      </c>
      <c r="R149" s="34" t="inlineStr">
        <is>
          <t>Windows 11</t>
        </is>
      </c>
      <c r="S149" s="34" t="inlineStr">
        <is>
          <t>1차</t>
        </is>
      </c>
      <c r="T149" s="34" t="inlineStr">
        <is>
          <t>수동</t>
        </is>
      </c>
      <c r="U149" s="34" t="inlineStr">
        <is>
          <t>SCR-063</t>
        </is>
      </c>
      <c r="V149" s="34" t="inlineStr">
        <is>
          <t>FN-032</t>
        </is>
      </c>
      <c r="W149" s="34" t="inlineStr">
        <is>
          <t>API-081</t>
        </is>
      </c>
      <c r="X149" s="34" t="n"/>
      <c r="Y149" s="34" t="n"/>
      <c r="Z149" s="34" t="inlineStr">
        <is>
          <t>급여명세서</t>
        </is>
      </c>
      <c r="AA149" s="34" t="inlineStr">
        <is>
          <t>IoT 설정</t>
        </is>
      </c>
      <c r="AB149" s="34" t="inlineStr">
        <is>
          <t>/api/v1/messages/history</t>
        </is>
      </c>
      <c r="AC149" s="34" t="n"/>
    </row>
    <row r="150">
      <c r="A150" s="33" t="inlineStr">
        <is>
          <t>TC-125</t>
        </is>
      </c>
      <c r="B150" s="33" t="inlineStr">
        <is>
          <t>Web</t>
        </is>
      </c>
      <c r="C150" s="33" t="inlineStr">
        <is>
          <t>설정</t>
        </is>
      </c>
      <c r="D150" s="34" t="inlineStr">
        <is>
          <t>수정</t>
        </is>
      </c>
      <c r="E150" s="34" t="inlineStr">
        <is>
          <t>기능 테스트</t>
        </is>
      </c>
      <c r="F150" s="34" t="inlineStr">
        <is>
          <t>만료 알림 설정</t>
        </is>
      </c>
      <c r="G150" s="34" t="inlineStr">
        <is>
          <t>설정 페이지</t>
        </is>
      </c>
      <c r="H150" s="34" t="inlineStr">
        <is>
          <t>1) 자동만료알림 ON
2) D-7 설정
3) 저장</t>
        </is>
      </c>
      <c r="I150" s="34" t="inlineStr">
        <is>
          <t>autoExpireNotification=true, expireNoticeDays=7</t>
        </is>
      </c>
      <c r="J150" s="34" t="n"/>
      <c r="K150" s="34" t="inlineStr">
        <is>
          <t>미실행</t>
        </is>
      </c>
      <c r="L150" s="34" t="inlineStr">
        <is>
          <t>High</t>
        </is>
      </c>
      <c r="M150" s="34" t="inlineStr">
        <is>
          <t>Major</t>
        </is>
      </c>
      <c r="N150" s="34" t="inlineStr">
        <is>
          <t>QA담당자1</t>
        </is>
      </c>
      <c r="O150" s="34" t="inlineStr">
        <is>
          <t>Staging</t>
        </is>
      </c>
      <c r="P150" s="34" t="inlineStr">
        <is>
          <t>Chrome</t>
        </is>
      </c>
      <c r="Q150" s="34" t="inlineStr">
        <is>
          <t>Desktop</t>
        </is>
      </c>
      <c r="R150" s="34" t="inlineStr">
        <is>
          <t>Windows 11</t>
        </is>
      </c>
      <c r="S150" s="34" t="inlineStr">
        <is>
          <t>1차</t>
        </is>
      </c>
      <c r="T150" s="34" t="inlineStr">
        <is>
          <t>수동</t>
        </is>
      </c>
      <c r="U150" s="34" t="inlineStr">
        <is>
          <t>SCR-080</t>
        </is>
      </c>
      <c r="V150" s="34" t="inlineStr">
        <is>
          <t>FN-034</t>
        </is>
      </c>
      <c r="W150" s="34" t="inlineStr">
        <is>
          <t>API-091</t>
        </is>
      </c>
      <c r="X150" s="34" t="n"/>
      <c r="Y150" s="34" t="n"/>
      <c r="Z150" s="34" t="inlineStr">
        <is>
          <t>계약 마법사</t>
        </is>
      </c>
      <c r="AA150" s="34" t="inlineStr">
        <is>
          <t>GX 예약 오픈/관리</t>
        </is>
      </c>
      <c r="AB150" s="34" t="inlineStr">
        <is>
          <t>/api/v1/settings</t>
        </is>
      </c>
      <c r="AC150" s="34" t="n"/>
    </row>
    <row r="151">
      <c r="A151" s="33" t="inlineStr">
        <is>
          <t>TC-133</t>
        </is>
      </c>
      <c r="B151" s="33" t="inlineStr">
        <is>
          <t>Web</t>
        </is>
      </c>
      <c r="C151" s="33" t="inlineStr">
        <is>
          <t>지점관리</t>
        </is>
      </c>
      <c r="D151" s="34" t="inlineStr">
        <is>
          <t>등록</t>
        </is>
      </c>
      <c r="E151" s="34" t="inlineStr">
        <is>
          <t>기능 테스트</t>
        </is>
      </c>
      <c r="F151" s="34" t="inlineStr">
        <is>
          <t>지점 등록 필수 필드 에러</t>
        </is>
      </c>
      <c r="G151" s="34" t="inlineStr">
        <is>
          <t>지점 추가 모달</t>
        </is>
      </c>
      <c r="H151" s="34" t="inlineStr">
        <is>
          <t>1) 지점명 미입력
2) 저장</t>
        </is>
      </c>
      <c r="I151" s="34" t="inlineStr">
        <is>
          <t>필수 필드 에러 표시</t>
        </is>
      </c>
      <c r="J151" s="34" t="n"/>
      <c r="K151" s="34" t="inlineStr">
        <is>
          <t>미실행</t>
        </is>
      </c>
      <c r="L151" s="34" t="inlineStr">
        <is>
          <t>High</t>
        </is>
      </c>
      <c r="M151" s="34" t="inlineStr">
        <is>
          <t>Major</t>
        </is>
      </c>
      <c r="N151" s="34" t="inlineStr">
        <is>
          <t>QA담당자1</t>
        </is>
      </c>
      <c r="O151" s="34" t="inlineStr">
        <is>
          <t>Staging</t>
        </is>
      </c>
      <c r="P151" s="34" t="inlineStr">
        <is>
          <t>Chrome</t>
        </is>
      </c>
      <c r="Q151" s="34" t="inlineStr">
        <is>
          <t>Desktop</t>
        </is>
      </c>
      <c r="R151" s="34" t="inlineStr">
        <is>
          <t>Windows 11</t>
        </is>
      </c>
      <c r="S151" s="34" t="inlineStr">
        <is>
          <t>1차</t>
        </is>
      </c>
      <c r="T151" s="34" t="inlineStr">
        <is>
          <t>수동</t>
        </is>
      </c>
      <c r="U151" s="34" t="inlineStr">
        <is>
          <t>SCR-081-ADD</t>
        </is>
      </c>
      <c r="V151" s="34" t="inlineStr">
        <is>
          <t>FN-036</t>
        </is>
      </c>
      <c r="W151" s="34" t="n"/>
      <c r="X151" s="34" t="n"/>
      <c r="Y151" s="34" t="n"/>
      <c r="Z151" s="34" t="n"/>
      <c r="AA151" s="34" t="inlineStr">
        <is>
          <t>노쇼 페널티 자동 처리</t>
        </is>
      </c>
      <c r="AB151" s="34" t="n"/>
      <c r="AC151" s="34" t="n"/>
    </row>
    <row r="152">
      <c r="A152" s="33" t="inlineStr">
        <is>
          <t>TC-154</t>
        </is>
      </c>
      <c r="B152" s="33" t="inlineStr">
        <is>
          <t>Web</t>
        </is>
      </c>
      <c r="C152" s="33" t="inlineStr">
        <is>
          <t>계약</t>
        </is>
      </c>
      <c r="D152" s="34" t="inlineStr">
        <is>
          <t>Step2</t>
        </is>
      </c>
      <c r="E152" s="34" t="inlineStr">
        <is>
          <t>기능 테스트</t>
        </is>
      </c>
      <c r="F152" s="34" t="inlineStr">
        <is>
          <t>상품 미선택 시 다음 불가</t>
        </is>
      </c>
      <c r="G152" s="34" t="inlineStr">
        <is>
          <t>Step1 완료</t>
        </is>
      </c>
      <c r="H152" s="34" t="inlineStr">
        <is>
          <t>1) 상품 미선택
2) 다음 클릭</t>
        </is>
      </c>
      <c r="I152" s="34" t="inlineStr">
        <is>
          <t>다음 불가, 상품 선택 안내</t>
        </is>
      </c>
      <c r="J152" s="34" t="n"/>
      <c r="K152" s="34" t="inlineStr">
        <is>
          <t>미실행</t>
        </is>
      </c>
      <c r="L152" s="34" t="inlineStr">
        <is>
          <t>High</t>
        </is>
      </c>
      <c r="M152" s="34" t="inlineStr">
        <is>
          <t>Major</t>
        </is>
      </c>
      <c r="N152" s="34" t="inlineStr">
        <is>
          <t>QA담당자1</t>
        </is>
      </c>
      <c r="O152" s="34" t="inlineStr">
        <is>
          <t>Staging</t>
        </is>
      </c>
      <c r="P152" s="34" t="inlineStr">
        <is>
          <t>Chrome</t>
        </is>
      </c>
      <c r="Q152" s="34" t="inlineStr">
        <is>
          <t>Desktop</t>
        </is>
      </c>
      <c r="R152" s="34" t="inlineStr">
        <is>
          <t>Windows 11</t>
        </is>
      </c>
      <c r="S152" s="34" t="inlineStr">
        <is>
          <t>1차</t>
        </is>
      </c>
      <c r="T152" s="34" t="inlineStr">
        <is>
          <t>수동</t>
        </is>
      </c>
      <c r="U152" s="34" t="inlineStr">
        <is>
          <t>SCR-071-S2</t>
        </is>
      </c>
      <c r="V152" s="34" t="n"/>
      <c r="W152" s="34" t="n"/>
      <c r="X152" s="34" t="n"/>
      <c r="Y152" s="34" t="n"/>
      <c r="Z152" s="34" t="n"/>
      <c r="AA152" s="34" t="n"/>
      <c r="AB152" s="34" t="n"/>
      <c r="AC152" s="34" t="n"/>
    </row>
    <row r="153">
      <c r="A153" s="33" t="inlineStr">
        <is>
          <t>TC-155</t>
        </is>
      </c>
      <c r="B153" s="33" t="inlineStr">
        <is>
          <t>Web</t>
        </is>
      </c>
      <c r="C153" s="33" t="inlineStr">
        <is>
          <t>계약</t>
        </is>
      </c>
      <c r="D153" s="34" t="inlineStr">
        <is>
          <t>완료</t>
        </is>
      </c>
      <c r="E153" s="34" t="inlineStr">
        <is>
          <t>UI/UX 테스트</t>
        </is>
      </c>
      <c r="F153" s="34" t="inlineStr">
        <is>
          <t>계약 완료 화면</t>
        </is>
      </c>
      <c r="G153" s="34" t="inlineStr">
        <is>
          <t>결제 성공</t>
        </is>
      </c>
      <c r="H153" s="34" t="inlineStr">
        <is>
          <t>1) 완료 화면 확인</t>
        </is>
      </c>
      <c r="I153" s="34" t="inlineStr">
        <is>
          <t>성공 아이콘 + 계약 요약 + 계약서출력/회원상세/목록 버튼</t>
        </is>
      </c>
      <c r="J153" s="34" t="n"/>
      <c r="K153" s="34" t="inlineStr">
        <is>
          <t>미실행</t>
        </is>
      </c>
      <c r="L153" s="34" t="inlineStr">
        <is>
          <t>Medium</t>
        </is>
      </c>
      <c r="M153" s="34" t="inlineStr">
        <is>
          <t>Minor</t>
        </is>
      </c>
      <c r="N153" s="34" t="inlineStr">
        <is>
          <t>QA담당자1</t>
        </is>
      </c>
      <c r="O153" s="34" t="inlineStr">
        <is>
          <t>Staging</t>
        </is>
      </c>
      <c r="P153" s="34" t="inlineStr">
        <is>
          <t>Chrome</t>
        </is>
      </c>
      <c r="Q153" s="34" t="inlineStr">
        <is>
          <t>Desktop</t>
        </is>
      </c>
      <c r="R153" s="34" t="inlineStr">
        <is>
          <t>Windows 11</t>
        </is>
      </c>
      <c r="S153" s="34" t="inlineStr">
        <is>
          <t>1차</t>
        </is>
      </c>
      <c r="T153" s="34" t="inlineStr">
        <is>
          <t>수동</t>
        </is>
      </c>
      <c r="U153" s="34" t="inlineStr">
        <is>
          <t>SCR-071-OK</t>
        </is>
      </c>
      <c r="V153" s="34" t="n"/>
      <c r="W153" s="34" t="n"/>
      <c r="X153" s="34" t="n"/>
      <c r="Y153" s="34" t="n"/>
      <c r="Z153" s="34" t="n"/>
      <c r="AA153" s="34" t="n"/>
      <c r="AB153" s="34" t="n"/>
      <c r="AC153" s="34" t="n"/>
    </row>
    <row r="154">
      <c r="A154" s="33" t="inlineStr">
        <is>
          <t>TC-163</t>
        </is>
      </c>
      <c r="B154" s="33" t="inlineStr">
        <is>
          <t>Web</t>
        </is>
      </c>
      <c r="C154" s="33" t="inlineStr">
        <is>
          <t>쿠폰관리</t>
        </is>
      </c>
      <c r="D154" s="34" t="inlineStr">
        <is>
          <t>생성</t>
        </is>
      </c>
      <c r="E154" s="34" t="inlineStr">
        <is>
          <t>기능 테스트</t>
        </is>
      </c>
      <c r="F154" s="34" t="inlineStr">
        <is>
          <t>쿠폰 유효기간 설정</t>
        </is>
      </c>
      <c r="G154" s="34" t="inlineStr">
        <is>
          <t>쿠폰 생성 모달</t>
        </is>
      </c>
      <c r="H154" s="34" t="inlineStr">
        <is>
          <t>1) 유효기간 시작/종료 설정
2) 저장</t>
        </is>
      </c>
      <c r="I154" s="34" t="inlineStr">
        <is>
          <t>유효기간 범위 설정 완료</t>
        </is>
      </c>
      <c r="J154" s="34" t="n"/>
      <c r="K154" s="34" t="inlineStr">
        <is>
          <t>미실행</t>
        </is>
      </c>
      <c r="L154" s="34" t="inlineStr">
        <is>
          <t>Medium</t>
        </is>
      </c>
      <c r="M154" s="34" t="inlineStr">
        <is>
          <t>Minor</t>
        </is>
      </c>
      <c r="N154" s="34" t="inlineStr">
        <is>
          <t>QA담당자1</t>
        </is>
      </c>
      <c r="O154" s="34" t="inlineStr">
        <is>
          <t>Staging</t>
        </is>
      </c>
      <c r="P154" s="34" t="inlineStr">
        <is>
          <t>Chrome</t>
        </is>
      </c>
      <c r="Q154" s="34" t="inlineStr">
        <is>
          <t>Desktop</t>
        </is>
      </c>
      <c r="R154" s="34" t="inlineStr">
        <is>
          <t>Windows 11</t>
        </is>
      </c>
      <c r="S154" s="34" t="inlineStr">
        <is>
          <t>1차</t>
        </is>
      </c>
      <c r="T154" s="34" t="inlineStr">
        <is>
          <t>수동</t>
        </is>
      </c>
      <c r="U154" s="34" t="inlineStr">
        <is>
          <t>SCR-090-ADD</t>
        </is>
      </c>
      <c r="V154" s="34" t="n"/>
      <c r="W154" s="34" t="n"/>
      <c r="X154" s="34" t="n"/>
      <c r="Y154" s="34" t="n"/>
      <c r="Z154" s="34" t="n"/>
      <c r="AA154" s="34" t="n"/>
      <c r="AB154" s="34" t="n"/>
      <c r="AC154" s="34" t="n"/>
    </row>
    <row r="155">
      <c r="A155" s="33" t="inlineStr">
        <is>
          <t>TC-056b</t>
        </is>
      </c>
      <c r="B155" s="33" t="inlineStr">
        <is>
          <t>Web</t>
        </is>
      </c>
      <c r="C155" s="33" t="inlineStr">
        <is>
          <t>매출관리</t>
        </is>
      </c>
      <c r="D155" s="34" t="inlineStr">
        <is>
          <t>POS</t>
        </is>
      </c>
      <c r="E155" s="34" t="inlineStr">
        <is>
          <t>기능 테스트</t>
        </is>
      </c>
      <c r="F155" s="34" t="inlineStr">
        <is>
          <t>SalesPos 상품 검색</t>
        </is>
      </c>
      <c r="G155" s="34" t="inlineStr">
        <is>
          <t>POS 페이지 접속</t>
        </is>
      </c>
      <c r="H155" s="34" t="inlineStr">
        <is>
          <t>1) 상품 검색 입력
2) 결과 확인</t>
        </is>
      </c>
      <c r="I155" s="34" t="inlineStr">
        <is>
          <t>검색어와 일치하는 상품만 표시</t>
        </is>
      </c>
      <c r="J155" s="34" t="n"/>
      <c r="K155" s="34" t="inlineStr">
        <is>
          <t>미실행</t>
        </is>
      </c>
      <c r="L155" s="34" t="inlineStr">
        <is>
          <t>High</t>
        </is>
      </c>
      <c r="M155" s="34" t="inlineStr">
        <is>
          <t>Major</t>
        </is>
      </c>
      <c r="N155" s="34" t="inlineStr">
        <is>
          <t>QA담당자1</t>
        </is>
      </c>
      <c r="O155" s="34" t="inlineStr">
        <is>
          <t>Staging</t>
        </is>
      </c>
      <c r="P155" s="34" t="inlineStr">
        <is>
          <t>Chrome</t>
        </is>
      </c>
      <c r="Q155" s="34" t="inlineStr">
        <is>
          <t>Desktop</t>
        </is>
      </c>
      <c r="R155" s="34" t="inlineStr">
        <is>
          <t>Windows 11</t>
        </is>
      </c>
      <c r="S155" s="34" t="inlineStr">
        <is>
          <t>1차</t>
        </is>
      </c>
      <c r="T155" s="34" t="inlineStr">
        <is>
          <t>수동</t>
        </is>
      </c>
      <c r="U155" s="34" t="inlineStr">
        <is>
          <t>SCR-032</t>
        </is>
      </c>
      <c r="V155" s="34" t="n"/>
      <c r="W155" s="34" t="n"/>
      <c r="X155" s="34" t="n"/>
      <c r="Y155" s="34" t="n"/>
      <c r="Z155" s="34" t="inlineStr">
        <is>
          <t>POS 결제</t>
        </is>
      </c>
      <c r="AA155" s="34" t="n"/>
      <c r="AB155" s="34" t="n"/>
      <c r="AC155" s="34" t="n"/>
    </row>
    <row r="156">
      <c r="A156" s="33" t="inlineStr">
        <is>
          <t>TC-056c</t>
        </is>
      </c>
      <c r="B156" s="33" t="inlineStr">
        <is>
          <t>Web</t>
        </is>
      </c>
      <c r="C156" s="33" t="inlineStr">
        <is>
          <t>매출관리</t>
        </is>
      </c>
      <c r="D156" s="34" t="inlineStr">
        <is>
          <t>POS</t>
        </is>
      </c>
      <c r="E156" s="34" t="inlineStr">
        <is>
          <t>UI/UX 테스트</t>
        </is>
      </c>
      <c r="F156" s="34" t="inlineStr">
        <is>
          <t>SalesPos 로딩 상태</t>
        </is>
      </c>
      <c r="G156" s="34" t="inlineStr">
        <is>
          <t>POS 진입</t>
        </is>
      </c>
      <c r="H156" s="34" t="inlineStr">
        <is>
          <t>1) 상품 로딩 확인</t>
        </is>
      </c>
      <c r="I156" s="34" t="inlineStr">
        <is>
          <t>상품 그리드 스켈레톤 표시</t>
        </is>
      </c>
      <c r="J156" s="34" t="n"/>
      <c r="K156" s="34" t="inlineStr">
        <is>
          <t>미실행</t>
        </is>
      </c>
      <c r="L156" s="34" t="inlineStr">
        <is>
          <t>Medium</t>
        </is>
      </c>
      <c r="M156" s="34" t="inlineStr">
        <is>
          <t>Minor</t>
        </is>
      </c>
      <c r="N156" s="34" t="inlineStr">
        <is>
          <t>QA담당자1</t>
        </is>
      </c>
      <c r="O156" s="34" t="inlineStr">
        <is>
          <t>Staging</t>
        </is>
      </c>
      <c r="P156" s="34" t="inlineStr">
        <is>
          <t>Chrome</t>
        </is>
      </c>
      <c r="Q156" s="34" t="inlineStr">
        <is>
          <t>Desktop</t>
        </is>
      </c>
      <c r="R156" s="34" t="inlineStr">
        <is>
          <t>Windows 11</t>
        </is>
      </c>
      <c r="S156" s="34" t="inlineStr">
        <is>
          <t>1차</t>
        </is>
      </c>
      <c r="T156" s="34" t="inlineStr">
        <is>
          <t>수동</t>
        </is>
      </c>
      <c r="U156" s="34" t="inlineStr">
        <is>
          <t>SCR-032-L</t>
        </is>
      </c>
      <c r="V156" s="34" t="n"/>
      <c r="W156" s="34" t="n"/>
      <c r="X156" s="34" t="n"/>
      <c r="Y156" s="34" t="n"/>
      <c r="Z156" s="34" t="n"/>
      <c r="AA156" s="34" t="n"/>
      <c r="AB156" s="34" t="n"/>
      <c r="AC156" s="34" t="n"/>
    </row>
    <row r="157">
      <c r="A157" s="33" t="inlineStr">
        <is>
          <t>TC-187</t>
        </is>
      </c>
      <c r="B157" s="33" t="inlineStr">
        <is>
          <t>Web</t>
        </is>
      </c>
      <c r="C157" s="33" t="inlineStr">
        <is>
          <t>자동알림</t>
        </is>
      </c>
      <c r="D157" s="34" t="inlineStr">
        <is>
          <t>조회</t>
        </is>
      </c>
      <c r="E157" s="34" t="inlineStr">
        <is>
          <t>기능 테스트</t>
        </is>
      </c>
      <c r="F157" s="34" t="inlineStr">
        <is>
          <t>자동알림 설정 조회</t>
        </is>
      </c>
      <c r="G157" s="34" t="inlineStr">
        <is>
          <t>자동알림 설정 존재</t>
        </is>
      </c>
      <c r="H157" s="34" t="inlineStr">
        <is>
          <t>1) 자동알림 설정 접속</t>
        </is>
      </c>
      <c r="I157" s="34" t="inlineStr">
        <is>
          <t>알림 규칙 목록 표시</t>
        </is>
      </c>
      <c r="J157" s="34" t="n"/>
      <c r="K157" s="34" t="inlineStr">
        <is>
          <t>미실행</t>
        </is>
      </c>
      <c r="L157" s="34" t="inlineStr">
        <is>
          <t>High</t>
        </is>
      </c>
      <c r="M157" s="34" t="inlineStr">
        <is>
          <t>Major</t>
        </is>
      </c>
      <c r="N157" s="34" t="inlineStr">
        <is>
          <t>QA담당자1</t>
        </is>
      </c>
      <c r="O157" s="34" t="inlineStr">
        <is>
          <t>Staging</t>
        </is>
      </c>
      <c r="P157" s="34" t="inlineStr">
        <is>
          <t>Chrome</t>
        </is>
      </c>
      <c r="Q157" s="34" t="inlineStr">
        <is>
          <t>Desktop</t>
        </is>
      </c>
      <c r="R157" s="34" t="inlineStr">
        <is>
          <t>Windows 11</t>
        </is>
      </c>
      <c r="S157" s="34" t="inlineStr">
        <is>
          <t>1차</t>
        </is>
      </c>
      <c r="T157" s="34" t="inlineStr">
        <is>
          <t>수동</t>
        </is>
      </c>
      <c r="U157" s="34" t="inlineStr">
        <is>
          <t>SCR-AUTO-L</t>
        </is>
      </c>
      <c r="V157" s="34" t="n"/>
      <c r="W157" s="34" t="n"/>
      <c r="X157" s="34" t="n"/>
      <c r="Y157" s="34" t="n"/>
      <c r="Z157" s="34" t="n"/>
      <c r="AA157" s="34" t="n"/>
      <c r="AB157" s="34" t="n"/>
      <c r="AC157" s="34" t="n"/>
    </row>
    <row r="158">
      <c r="A158" s="33" t="inlineStr">
        <is>
          <t>TC-188</t>
        </is>
      </c>
      <c r="B158" s="33" t="inlineStr">
        <is>
          <t>Web</t>
        </is>
      </c>
      <c r="C158" s="33" t="inlineStr">
        <is>
          <t>권한</t>
        </is>
      </c>
      <c r="D158" s="34" t="inlineStr">
        <is>
          <t>조회</t>
        </is>
      </c>
      <c r="E158" s="34" t="inlineStr">
        <is>
          <t>기능 테스트</t>
        </is>
      </c>
      <c r="F158" s="34" t="inlineStr">
        <is>
          <t>권한 매트릭스 조회</t>
        </is>
      </c>
      <c r="G158" s="34" t="inlineStr">
        <is>
          <t>권한 설정 존재</t>
        </is>
      </c>
      <c r="H158" s="34" t="inlineStr">
        <is>
          <t>1) 권한 설정 접속</t>
        </is>
      </c>
      <c r="I158" s="34" t="inlineStr">
        <is>
          <t>역할별 권한 매트릭스 표시</t>
        </is>
      </c>
      <c r="J158" s="34" t="n"/>
      <c r="K158" s="34" t="inlineStr">
        <is>
          <t>미실행</t>
        </is>
      </c>
      <c r="L158" s="34" t="inlineStr">
        <is>
          <t>High</t>
        </is>
      </c>
      <c r="M158" s="34" t="inlineStr">
        <is>
          <t>Major</t>
        </is>
      </c>
      <c r="N158" s="34" t="inlineStr">
        <is>
          <t>QA담당자1</t>
        </is>
      </c>
      <c r="O158" s="34" t="inlineStr">
        <is>
          <t>Staging</t>
        </is>
      </c>
      <c r="P158" s="34" t="inlineStr">
        <is>
          <t>Chrome</t>
        </is>
      </c>
      <c r="Q158" s="34" t="inlineStr">
        <is>
          <t>Desktop</t>
        </is>
      </c>
      <c r="R158" s="34" t="inlineStr">
        <is>
          <t>Windows 11</t>
        </is>
      </c>
      <c r="S158" s="34" t="inlineStr">
        <is>
          <t>1차</t>
        </is>
      </c>
      <c r="T158" s="34" t="inlineStr">
        <is>
          <t>수동</t>
        </is>
      </c>
      <c r="U158" s="34" t="inlineStr">
        <is>
          <t>SCR-PERM-L</t>
        </is>
      </c>
      <c r="V158" s="34" t="n"/>
      <c r="W158" s="34" t="n"/>
      <c r="X158" s="34" t="n"/>
      <c r="Y158" s="34" t="n"/>
      <c r="Z158" s="34" t="n"/>
      <c r="AA158" s="34" t="n"/>
      <c r="AB158" s="34" t="n"/>
      <c r="AC158" s="34" t="n"/>
    </row>
    <row r="159">
      <c r="A159" s="33" t="inlineStr">
        <is>
          <t>TC-189</t>
        </is>
      </c>
      <c r="B159" s="33" t="inlineStr">
        <is>
          <t>Web</t>
        </is>
      </c>
      <c r="C159" s="33" t="inlineStr">
        <is>
          <t>시설관리</t>
        </is>
      </c>
      <c r="D159" s="34" t="inlineStr">
        <is>
          <t>조회</t>
        </is>
      </c>
      <c r="E159" s="34" t="inlineStr">
        <is>
          <t>기능 테스트</t>
        </is>
      </c>
      <c r="F159" s="34" t="inlineStr">
        <is>
          <t>시설 목록 조회</t>
        </is>
      </c>
      <c r="G159" s="34" t="inlineStr">
        <is>
          <t>시설 등록 상태</t>
        </is>
      </c>
      <c r="H159" s="34" t="inlineStr">
        <is>
          <t>1) 시설 관리 접속</t>
        </is>
      </c>
      <c r="I159" s="34" t="inlineStr">
        <is>
          <t>시설/룸 목록 표시</t>
        </is>
      </c>
      <c r="J159" s="34" t="n"/>
      <c r="K159" s="34" t="inlineStr">
        <is>
          <t>미실행</t>
        </is>
      </c>
      <c r="L159" s="34" t="inlineStr">
        <is>
          <t>High</t>
        </is>
      </c>
      <c r="M159" s="34" t="inlineStr">
        <is>
          <t>Major</t>
        </is>
      </c>
      <c r="N159" s="34" t="inlineStr">
        <is>
          <t>QA담당자1</t>
        </is>
      </c>
      <c r="O159" s="34" t="inlineStr">
        <is>
          <t>Staging</t>
        </is>
      </c>
      <c r="P159" s="34" t="inlineStr">
        <is>
          <t>Chrome</t>
        </is>
      </c>
      <c r="Q159" s="34" t="inlineStr">
        <is>
          <t>Desktop</t>
        </is>
      </c>
      <c r="R159" s="34" t="inlineStr">
        <is>
          <t>Windows 11</t>
        </is>
      </c>
      <c r="S159" s="34" t="inlineStr">
        <is>
          <t>1차</t>
        </is>
      </c>
      <c r="T159" s="34" t="inlineStr">
        <is>
          <t>수동</t>
        </is>
      </c>
      <c r="U159" s="34" t="inlineStr">
        <is>
          <t>SCR-ROOM-L</t>
        </is>
      </c>
      <c r="V159" s="34" t="n"/>
      <c r="W159" s="34" t="n"/>
      <c r="X159" s="34" t="n"/>
      <c r="Y159" s="34" t="n"/>
      <c r="Z159" s="34" t="n"/>
      <c r="AA159" s="34" t="n"/>
      <c r="AB159" s="34" t="n"/>
      <c r="AC159" s="34" t="n"/>
    </row>
    <row r="160">
      <c r="A160" s="33" t="inlineStr">
        <is>
          <t>TC-189b</t>
        </is>
      </c>
      <c r="B160" s="33" t="inlineStr">
        <is>
          <t>Web</t>
        </is>
      </c>
      <c r="C160" s="33" t="inlineStr">
        <is>
          <t>시설관리</t>
        </is>
      </c>
      <c r="D160" s="34" t="inlineStr">
        <is>
          <t>등록</t>
        </is>
      </c>
      <c r="E160" s="34" t="inlineStr">
        <is>
          <t>기능 테스트</t>
        </is>
      </c>
      <c r="F160" s="34" t="inlineStr">
        <is>
          <t>시설 추가</t>
        </is>
      </c>
      <c r="G160" s="34" t="inlineStr">
        <is>
          <t>시설 관리 접속</t>
        </is>
      </c>
      <c r="H160" s="34" t="inlineStr">
        <is>
          <t>1) 추가 클릭
2) 시설명/유형 입력
3) 저장</t>
        </is>
      </c>
      <c r="I160" s="34" t="inlineStr">
        <is>
          <t>시설 등록 성공</t>
        </is>
      </c>
      <c r="J160" s="34" t="n"/>
      <c r="K160" s="34" t="inlineStr">
        <is>
          <t>미실행</t>
        </is>
      </c>
      <c r="L160" s="34" t="inlineStr">
        <is>
          <t>High</t>
        </is>
      </c>
      <c r="M160" s="34" t="inlineStr">
        <is>
          <t>Major</t>
        </is>
      </c>
      <c r="N160" s="34" t="inlineStr">
        <is>
          <t>QA담당자1</t>
        </is>
      </c>
      <c r="O160" s="34" t="inlineStr">
        <is>
          <t>Staging</t>
        </is>
      </c>
      <c r="P160" s="34" t="inlineStr">
        <is>
          <t>Chrome</t>
        </is>
      </c>
      <c r="Q160" s="34" t="inlineStr">
        <is>
          <t>Desktop</t>
        </is>
      </c>
      <c r="R160" s="34" t="inlineStr">
        <is>
          <t>Windows 11</t>
        </is>
      </c>
      <c r="S160" s="34" t="inlineStr">
        <is>
          <t>1차</t>
        </is>
      </c>
      <c r="T160" s="34" t="inlineStr">
        <is>
          <t>수동</t>
        </is>
      </c>
      <c r="U160" s="34" t="inlineStr">
        <is>
          <t>SCR-ROOM-ADD</t>
        </is>
      </c>
      <c r="V160" s="34" t="n"/>
      <c r="W160" s="34" t="n"/>
      <c r="X160" s="34" t="n"/>
      <c r="Y160" s="34" t="n"/>
      <c r="Z160" s="34" t="n"/>
      <c r="AA160" s="34" t="n"/>
      <c r="AB160" s="34" t="n"/>
      <c r="AC160" s="34" t="n"/>
    </row>
    <row r="161">
      <c r="A161" s="33" t="inlineStr">
        <is>
          <t>TC-189c</t>
        </is>
      </c>
      <c r="B161" s="33" t="inlineStr">
        <is>
          <t>Web</t>
        </is>
      </c>
      <c r="C161" s="33" t="inlineStr">
        <is>
          <t>시설관리</t>
        </is>
      </c>
      <c r="D161" s="34" t="inlineStr">
        <is>
          <t>빈 상태</t>
        </is>
      </c>
      <c r="E161" s="34" t="inlineStr">
        <is>
          <t>UI/UX 테스트</t>
        </is>
      </c>
      <c r="F161" s="34" t="inlineStr">
        <is>
          <t>시설 빈 상태</t>
        </is>
      </c>
      <c r="G161" s="34" t="inlineStr">
        <is>
          <t>시설 0건</t>
        </is>
      </c>
      <c r="H161" s="34" t="inlineStr">
        <is>
          <t>1) 시설 관리 접속</t>
        </is>
      </c>
      <c r="I161" s="34" t="inlineStr">
        <is>
          <t>'등록된 시설이 없습니다' EmptyState</t>
        </is>
      </c>
      <c r="J161" s="34" t="n"/>
      <c r="K161" s="34" t="inlineStr">
        <is>
          <t>미실행</t>
        </is>
      </c>
      <c r="L161" s="34" t="inlineStr">
        <is>
          <t>Medium</t>
        </is>
      </c>
      <c r="M161" s="34" t="inlineStr">
        <is>
          <t>Minor</t>
        </is>
      </c>
      <c r="N161" s="34" t="inlineStr">
        <is>
          <t>QA담당자1</t>
        </is>
      </c>
      <c r="O161" s="34" t="inlineStr">
        <is>
          <t>Staging</t>
        </is>
      </c>
      <c r="P161" s="34" t="inlineStr">
        <is>
          <t>Chrome</t>
        </is>
      </c>
      <c r="Q161" s="34" t="inlineStr">
        <is>
          <t>Desktop</t>
        </is>
      </c>
      <c r="R161" s="34" t="inlineStr">
        <is>
          <t>Windows 11</t>
        </is>
      </c>
      <c r="S161" s="34" t="inlineStr">
        <is>
          <t>1차</t>
        </is>
      </c>
      <c r="T161" s="34" t="inlineStr">
        <is>
          <t>수동</t>
        </is>
      </c>
      <c r="U161" s="34" t="inlineStr">
        <is>
          <t>SCR-ROOM-EM</t>
        </is>
      </c>
      <c r="V161" s="34" t="n"/>
      <c r="W161" s="34" t="n"/>
      <c r="X161" s="34" t="n"/>
      <c r="Y161" s="34" t="n"/>
      <c r="Z161" s="34" t="n"/>
      <c r="AA161" s="34" t="n"/>
      <c r="AB161" s="34" t="n"/>
      <c r="AC161" s="34" t="n"/>
    </row>
    <row r="162">
      <c r="A162" s="33" t="inlineStr">
        <is>
          <t>TC-205</t>
        </is>
      </c>
      <c r="B162" s="33" t="inlineStr">
        <is>
          <t>Web</t>
        </is>
      </c>
      <c r="C162" s="33" t="inlineStr">
        <is>
          <t>반응형</t>
        </is>
      </c>
      <c r="D162" s="34" t="inlineStr">
        <is>
          <t>회원목록</t>
        </is>
      </c>
      <c r="E162" s="34" t="inlineStr">
        <is>
          <t>반응형 테스트</t>
        </is>
      </c>
      <c r="F162" s="34" t="inlineStr">
        <is>
          <t>회원 목록 모바일 뷰</t>
        </is>
      </c>
      <c r="G162" s="34" t="inlineStr">
        <is>
          <t>모바일 뷰포트</t>
        </is>
      </c>
      <c r="H162" s="34" t="inlineStr">
        <is>
          <t>1) 회원 목록 접속
2) 카드형 리스트 확인</t>
        </is>
      </c>
      <c r="I162" s="34" t="inlineStr">
        <is>
          <t>카드형 리스트, 검색 상단 고정</t>
        </is>
      </c>
      <c r="J162" s="34" t="n"/>
      <c r="K162" s="34" t="inlineStr">
        <is>
          <t>미실행</t>
        </is>
      </c>
      <c r="L162" s="34" t="inlineStr">
        <is>
          <t>Medium</t>
        </is>
      </c>
      <c r="M162" s="34" t="inlineStr">
        <is>
          <t>Minor</t>
        </is>
      </c>
      <c r="N162" s="34" t="inlineStr">
        <is>
          <t>QA담당자1</t>
        </is>
      </c>
      <c r="O162" s="34" t="inlineStr">
        <is>
          <t>Staging</t>
        </is>
      </c>
      <c r="P162" s="34" t="inlineStr">
        <is>
          <t>Chrome</t>
        </is>
      </c>
      <c r="Q162" s="34" t="inlineStr">
        <is>
          <t>Desktop</t>
        </is>
      </c>
      <c r="R162" s="34" t="inlineStr">
        <is>
          <t>Windows 11</t>
        </is>
      </c>
      <c r="S162" s="34" t="inlineStr">
        <is>
          <t>1차</t>
        </is>
      </c>
      <c r="T162" s="34" t="inlineStr">
        <is>
          <t>수동</t>
        </is>
      </c>
      <c r="U162" s="34" t="inlineStr">
        <is>
          <t>SCR-010-M</t>
        </is>
      </c>
      <c r="V162" s="34" t="inlineStr">
        <is>
          <t>FN-003</t>
        </is>
      </c>
      <c r="W162" s="34" t="n"/>
      <c r="X162" s="34" t="n"/>
      <c r="Y162" s="34" t="n"/>
      <c r="Z162" s="34" t="n"/>
      <c r="AA162" s="34" t="inlineStr">
        <is>
          <t>회원 목록 조회/검색/필터</t>
        </is>
      </c>
      <c r="AB162" s="34" t="inlineStr">
        <is>
          <t>/api/v1/members</t>
        </is>
      </c>
      <c r="AC162" s="34" t="n"/>
    </row>
    <row r="163">
      <c r="A163" s="33" t="inlineStr">
        <is>
          <t>TC-206</t>
        </is>
      </c>
      <c r="B163" s="33" t="inlineStr">
        <is>
          <t>Web</t>
        </is>
      </c>
      <c r="C163" s="33" t="inlineStr">
        <is>
          <t>반응형</t>
        </is>
      </c>
      <c r="D163" s="34" t="inlineStr">
        <is>
          <t>매출</t>
        </is>
      </c>
      <c r="E163" s="34" t="inlineStr">
        <is>
          <t>반응형 테스트</t>
        </is>
      </c>
      <c r="F163" s="34" t="inlineStr">
        <is>
          <t>매출 관리 모바일 뷰</t>
        </is>
      </c>
      <c r="G163" s="34" t="inlineStr">
        <is>
          <t>모바일 뷰포트</t>
        </is>
      </c>
      <c r="H163" s="34" t="inlineStr">
        <is>
          <t>1) 매출 접속
2) 카드형 확인</t>
        </is>
      </c>
      <c r="I163" s="34" t="inlineStr">
        <is>
          <t>카드형 리스트</t>
        </is>
      </c>
      <c r="J163" s="34" t="n"/>
      <c r="K163" s="34" t="inlineStr">
        <is>
          <t>미실행</t>
        </is>
      </c>
      <c r="L163" s="34" t="inlineStr">
        <is>
          <t>Medium</t>
        </is>
      </c>
      <c r="M163" s="34" t="inlineStr">
        <is>
          <t>Minor</t>
        </is>
      </c>
      <c r="N163" s="34" t="inlineStr">
        <is>
          <t>QA담당자1</t>
        </is>
      </c>
      <c r="O163" s="34" t="inlineStr">
        <is>
          <t>Staging</t>
        </is>
      </c>
      <c r="P163" s="34" t="inlineStr">
        <is>
          <t>Chrome</t>
        </is>
      </c>
      <c r="Q163" s="34" t="inlineStr">
        <is>
          <t>Desktop</t>
        </is>
      </c>
      <c r="R163" s="34" t="inlineStr">
        <is>
          <t>Windows 11</t>
        </is>
      </c>
      <c r="S163" s="34" t="inlineStr">
        <is>
          <t>1차</t>
        </is>
      </c>
      <c r="T163" s="34" t="inlineStr">
        <is>
          <t>수동</t>
        </is>
      </c>
      <c r="U163" s="34" t="inlineStr">
        <is>
          <t>SCR-030-M</t>
        </is>
      </c>
      <c r="V163" s="34" t="n"/>
      <c r="W163" s="34" t="n"/>
      <c r="X163" s="34" t="n"/>
      <c r="Y163" s="34" t="n"/>
      <c r="Z163" s="34" t="n"/>
      <c r="AA163" s="34" t="n"/>
      <c r="AB163" s="34" t="n"/>
      <c r="AC163" s="34" t="n"/>
    </row>
    <row r="164">
      <c r="A164" s="33" t="inlineStr">
        <is>
          <t>TC-207</t>
        </is>
      </c>
      <c r="B164" s="33" t="inlineStr">
        <is>
          <t>Web</t>
        </is>
      </c>
      <c r="C164" s="33" t="inlineStr">
        <is>
          <t>반응형</t>
        </is>
      </c>
      <c r="D164" s="34" t="inlineStr">
        <is>
          <t>직원</t>
        </is>
      </c>
      <c r="E164" s="34" t="inlineStr">
        <is>
          <t>반응형 테스트</t>
        </is>
      </c>
      <c r="F164" s="34" t="inlineStr">
        <is>
          <t>직원 목록 모바일 뷰</t>
        </is>
      </c>
      <c r="G164" s="34" t="inlineStr">
        <is>
          <t>모바일 뷰포트</t>
        </is>
      </c>
      <c r="H164" s="34" t="inlineStr">
        <is>
          <t>1) 직원 목록 접속</t>
        </is>
      </c>
      <c r="I164" s="34" t="inlineStr">
        <is>
          <t>카드형 리스트</t>
        </is>
      </c>
      <c r="J164" s="34" t="n"/>
      <c r="K164" s="34" t="inlineStr">
        <is>
          <t>미실행</t>
        </is>
      </c>
      <c r="L164" s="34" t="inlineStr">
        <is>
          <t>Medium</t>
        </is>
      </c>
      <c r="M164" s="34" t="inlineStr">
        <is>
          <t>Minor</t>
        </is>
      </c>
      <c r="N164" s="34" t="inlineStr">
        <is>
          <t>QA담당자1</t>
        </is>
      </c>
      <c r="O164" s="34" t="inlineStr">
        <is>
          <t>Staging</t>
        </is>
      </c>
      <c r="P164" s="34" t="inlineStr">
        <is>
          <t>Chrome</t>
        </is>
      </c>
      <c r="Q164" s="34" t="inlineStr">
        <is>
          <t>Desktop</t>
        </is>
      </c>
      <c r="R164" s="34" t="inlineStr">
        <is>
          <t>Windows 11</t>
        </is>
      </c>
      <c r="S164" s="34" t="inlineStr">
        <is>
          <t>1차</t>
        </is>
      </c>
      <c r="T164" s="34" t="inlineStr">
        <is>
          <t>수동</t>
        </is>
      </c>
      <c r="U164" s="34" t="inlineStr">
        <is>
          <t>SCR-050-M</t>
        </is>
      </c>
      <c r="V164" s="34" t="n"/>
      <c r="W164" s="34" t="n"/>
      <c r="X164" s="34" t="n"/>
      <c r="Y164" s="34" t="n"/>
      <c r="Z164" s="34" t="n"/>
      <c r="AA164" s="34" t="n"/>
      <c r="AB164" s="34" t="n"/>
      <c r="AC164" s="34" t="n"/>
    </row>
    <row r="165">
      <c r="A165" s="33" t="inlineStr">
        <is>
          <t>TC-208</t>
        </is>
      </c>
      <c r="B165" s="33" t="inlineStr">
        <is>
          <t>Web</t>
        </is>
      </c>
      <c r="C165" s="33" t="inlineStr">
        <is>
          <t>반응형</t>
        </is>
      </c>
      <c r="D165" s="34" t="inlineStr">
        <is>
          <t>락커</t>
        </is>
      </c>
      <c r="E165" s="34" t="inlineStr">
        <is>
          <t>반응형 테스트</t>
        </is>
      </c>
      <c r="F165" s="34" t="inlineStr">
        <is>
          <t>락커 현황 모바일 뷰</t>
        </is>
      </c>
      <c r="G165" s="34" t="inlineStr">
        <is>
          <t>모바일 뷰포트</t>
        </is>
      </c>
      <c r="H165" s="34" t="inlineStr">
        <is>
          <t>1) 락커 현황 접속</t>
        </is>
      </c>
      <c r="I165" s="34" t="inlineStr">
        <is>
          <t>축소 그리드, 터치 선택</t>
        </is>
      </c>
      <c r="J165" s="34" t="n"/>
      <c r="K165" s="34" t="inlineStr">
        <is>
          <t>미실행</t>
        </is>
      </c>
      <c r="L165" s="34" t="inlineStr">
        <is>
          <t>Medium</t>
        </is>
      </c>
      <c r="M165" s="34" t="inlineStr">
        <is>
          <t>Minor</t>
        </is>
      </c>
      <c r="N165" s="34" t="inlineStr">
        <is>
          <t>QA담당자1</t>
        </is>
      </c>
      <c r="O165" s="34" t="inlineStr">
        <is>
          <t>Staging</t>
        </is>
      </c>
      <c r="P165" s="34" t="inlineStr">
        <is>
          <t>Chrome</t>
        </is>
      </c>
      <c r="Q165" s="34" t="inlineStr">
        <is>
          <t>Desktop</t>
        </is>
      </c>
      <c r="R165" s="34" t="inlineStr">
        <is>
          <t>Windows 11</t>
        </is>
      </c>
      <c r="S165" s="34" t="inlineStr">
        <is>
          <t>1차</t>
        </is>
      </c>
      <c r="T165" s="34" t="inlineStr">
        <is>
          <t>수동</t>
        </is>
      </c>
      <c r="U165" s="34" t="inlineStr">
        <is>
          <t>SCR-060-M</t>
        </is>
      </c>
      <c r="V165" s="34" t="n"/>
      <c r="W165" s="34" t="n"/>
      <c r="X165" s="34" t="n"/>
      <c r="Y165" s="34" t="n"/>
      <c r="Z165" s="34" t="n"/>
      <c r="AA165" s="34" t="n"/>
      <c r="AB165" s="34" t="n"/>
      <c r="AC165" s="34" t="n"/>
    </row>
    <row r="166">
      <c r="A166" s="33" t="inlineStr">
        <is>
          <t>TC-209</t>
        </is>
      </c>
      <c r="B166" s="33" t="inlineStr">
        <is>
          <t>Web</t>
        </is>
      </c>
      <c r="C166" s="33" t="inlineStr">
        <is>
          <t>반응형</t>
        </is>
      </c>
      <c r="D166" s="34" t="inlineStr">
        <is>
          <t>출석</t>
        </is>
      </c>
      <c r="E166" s="34" t="inlineStr">
        <is>
          <t>반응형 테스트</t>
        </is>
      </c>
      <c r="F166" s="34" t="inlineStr">
        <is>
          <t>출석 관리 모바일 뷰</t>
        </is>
      </c>
      <c r="G166" s="34" t="inlineStr">
        <is>
          <t>모바일 뷰포트</t>
        </is>
      </c>
      <c r="H166" s="34" t="inlineStr">
        <is>
          <t>1) 출석 관리 접속</t>
        </is>
      </c>
      <c r="I166" s="34" t="inlineStr">
        <is>
          <t>카드형 출석 목록</t>
        </is>
      </c>
      <c r="J166" s="34" t="n"/>
      <c r="K166" s="34" t="inlineStr">
        <is>
          <t>미실행</t>
        </is>
      </c>
      <c r="L166" s="34" t="inlineStr">
        <is>
          <t>Medium</t>
        </is>
      </c>
      <c r="M166" s="34" t="inlineStr">
        <is>
          <t>Minor</t>
        </is>
      </c>
      <c r="N166" s="34" t="inlineStr">
        <is>
          <t>QA담당자1</t>
        </is>
      </c>
      <c r="O166" s="34" t="inlineStr">
        <is>
          <t>Staging</t>
        </is>
      </c>
      <c r="P166" s="34" t="inlineStr">
        <is>
          <t>Chrome</t>
        </is>
      </c>
      <c r="Q166" s="34" t="inlineStr">
        <is>
          <t>Desktop</t>
        </is>
      </c>
      <c r="R166" s="34" t="inlineStr">
        <is>
          <t>Windows 11</t>
        </is>
      </c>
      <c r="S166" s="34" t="inlineStr">
        <is>
          <t>1차</t>
        </is>
      </c>
      <c r="T166" s="34" t="inlineStr">
        <is>
          <t>수동</t>
        </is>
      </c>
      <c r="U166" s="34" t="inlineStr">
        <is>
          <t>SCR-020-M</t>
        </is>
      </c>
      <c r="V166" s="34" t="n"/>
      <c r="W166" s="34" t="n"/>
      <c r="X166" s="34" t="n"/>
      <c r="Y166" s="34" t="n"/>
      <c r="Z166" s="34" t="n"/>
      <c r="AA166" s="34" t="n"/>
      <c r="AB166" s="34" t="n"/>
      <c r="AC166" s="34" t="n"/>
    </row>
    <row r="167">
      <c r="A167" s="33" t="inlineStr">
        <is>
          <t>TC-210</t>
        </is>
      </c>
      <c r="B167" s="33" t="inlineStr">
        <is>
          <t>Web</t>
        </is>
      </c>
      <c r="C167" s="33" t="inlineStr">
        <is>
          <t>반응형</t>
        </is>
      </c>
      <c r="D167" s="34" t="inlineStr">
        <is>
          <t>캘린더</t>
        </is>
      </c>
      <c r="E167" s="34" t="inlineStr">
        <is>
          <t>반응형 테스트</t>
        </is>
      </c>
      <c r="F167" s="34" t="inlineStr">
        <is>
          <t>캘린더 모바일 뷰</t>
        </is>
      </c>
      <c r="G167" s="34" t="inlineStr">
        <is>
          <t>모바일 뷰포트</t>
        </is>
      </c>
      <c r="H167" s="34" t="inlineStr">
        <is>
          <t>1) 캘린더 접속</t>
        </is>
      </c>
      <c r="I167" s="34" t="inlineStr">
        <is>
          <t>리스트 뷰 기본, 캘린더 접기 가능</t>
        </is>
      </c>
      <c r="J167" s="34" t="n"/>
      <c r="K167" s="34" t="inlineStr">
        <is>
          <t>미실행</t>
        </is>
      </c>
      <c r="L167" s="34" t="inlineStr">
        <is>
          <t>Medium</t>
        </is>
      </c>
      <c r="M167" s="34" t="inlineStr">
        <is>
          <t>Minor</t>
        </is>
      </c>
      <c r="N167" s="34" t="inlineStr">
        <is>
          <t>QA담당자1</t>
        </is>
      </c>
      <c r="O167" s="34" t="inlineStr">
        <is>
          <t>Staging</t>
        </is>
      </c>
      <c r="P167" s="34" t="inlineStr">
        <is>
          <t>Chrome</t>
        </is>
      </c>
      <c r="Q167" s="34" t="inlineStr">
        <is>
          <t>Desktop</t>
        </is>
      </c>
      <c r="R167" s="34" t="inlineStr">
        <is>
          <t>Windows 11</t>
        </is>
      </c>
      <c r="S167" s="34" t="inlineStr">
        <is>
          <t>1차</t>
        </is>
      </c>
      <c r="T167" s="34" t="inlineStr">
        <is>
          <t>수동</t>
        </is>
      </c>
      <c r="U167" s="34" t="inlineStr">
        <is>
          <t>SCR-021-M</t>
        </is>
      </c>
      <c r="V167" s="34" t="n"/>
      <c r="W167" s="34" t="n"/>
      <c r="X167" s="34" t="n"/>
      <c r="Y167" s="34" t="n"/>
      <c r="Z167" s="34" t="n"/>
      <c r="AA167" s="34" t="n"/>
      <c r="AB167" s="34" t="n"/>
      <c r="AC167" s="34" t="n"/>
    </row>
    <row r="168">
      <c r="A168" s="33" t="inlineStr">
        <is>
          <t>TC-211</t>
        </is>
      </c>
      <c r="B168" s="33" t="inlineStr">
        <is>
          <t>Web</t>
        </is>
      </c>
      <c r="C168" s="33" t="inlineStr">
        <is>
          <t>에러처리</t>
        </is>
      </c>
      <c r="D168" s="34" t="inlineStr">
        <is>
          <t>네트워크</t>
        </is>
      </c>
      <c r="E168" s="34" t="inlineStr">
        <is>
          <t>에러 처리 테스트</t>
        </is>
      </c>
      <c r="F168" s="34" t="inlineStr">
        <is>
          <t>네트워크 단절 시 동작</t>
        </is>
      </c>
      <c r="G168" s="34" t="inlineStr">
        <is>
          <t>로그인 상태</t>
        </is>
      </c>
      <c r="H168" s="34" t="inlineStr">
        <is>
          <t>1) 네트워크 단절
2) API 호출 시도</t>
        </is>
      </c>
      <c r="I168" s="34" t="inlineStr">
        <is>
          <t>에러 toast 표시, 재시도 안내</t>
        </is>
      </c>
      <c r="J168" s="34" t="n"/>
      <c r="K168" s="34" t="inlineStr">
        <is>
          <t>미실행</t>
        </is>
      </c>
      <c r="L168" s="34" t="inlineStr">
        <is>
          <t>High</t>
        </is>
      </c>
      <c r="M168" s="34" t="inlineStr">
        <is>
          <t>Critical</t>
        </is>
      </c>
      <c r="N168" s="34" t="inlineStr">
        <is>
          <t>QA담당자1</t>
        </is>
      </c>
      <c r="O168" s="34" t="inlineStr">
        <is>
          <t>Staging</t>
        </is>
      </c>
      <c r="P168" s="34" t="inlineStr">
        <is>
          <t>Chrome</t>
        </is>
      </c>
      <c r="Q168" s="34" t="inlineStr">
        <is>
          <t>Desktop</t>
        </is>
      </c>
      <c r="R168" s="34" t="inlineStr">
        <is>
          <t>Windows 11</t>
        </is>
      </c>
      <c r="S168" s="34" t="inlineStr">
        <is>
          <t>1차</t>
        </is>
      </c>
      <c r="T168" s="34" t="inlineStr">
        <is>
          <t>수동</t>
        </is>
      </c>
      <c r="U168" s="34" t="inlineStr">
        <is>
          <t>SCR-CMN-TOAST</t>
        </is>
      </c>
      <c r="V168" s="34" t="n"/>
      <c r="W168" s="34" t="n"/>
      <c r="X168" s="34" t="n"/>
      <c r="Y168" s="34" t="n"/>
      <c r="Z168" s="34" t="n"/>
      <c r="AA168" s="34" t="n"/>
      <c r="AB168" s="34" t="n"/>
      <c r="AC168" s="34" t="n"/>
    </row>
    <row r="169">
      <c r="A169" s="33" t="inlineStr">
        <is>
          <t>TC-212</t>
        </is>
      </c>
      <c r="B169" s="33" t="inlineStr">
        <is>
          <t>Web</t>
        </is>
      </c>
      <c r="C169" s="33" t="inlineStr">
        <is>
          <t>에러처리</t>
        </is>
      </c>
      <c r="D169" s="34" t="inlineStr">
        <is>
          <t>404</t>
        </is>
      </c>
      <c r="E169" s="34" t="inlineStr">
        <is>
          <t>에러 처리 테스트</t>
        </is>
      </c>
      <c r="F169" s="34" t="inlineStr">
        <is>
          <t>존재하지 않는 URL 접근</t>
        </is>
      </c>
      <c r="G169" s="34" t="inlineStr">
        <is>
          <t>로그인 상태</t>
        </is>
      </c>
      <c r="H169" s="34" t="inlineStr">
        <is>
          <t>1) /invalid-path 접속</t>
        </is>
      </c>
      <c r="I169" s="34" t="inlineStr">
        <is>
          <t>404 Not Found 페이지 표시</t>
        </is>
      </c>
      <c r="J169" s="34" t="n"/>
      <c r="K169" s="34" t="inlineStr">
        <is>
          <t>미실행</t>
        </is>
      </c>
      <c r="L169" s="34" t="inlineStr">
        <is>
          <t>High</t>
        </is>
      </c>
      <c r="M169" s="34" t="inlineStr">
        <is>
          <t>Major</t>
        </is>
      </c>
      <c r="N169" s="34" t="inlineStr">
        <is>
          <t>QA담당자1</t>
        </is>
      </c>
      <c r="O169" s="34" t="inlineStr">
        <is>
          <t>Staging</t>
        </is>
      </c>
      <c r="P169" s="34" t="inlineStr">
        <is>
          <t>Chrome</t>
        </is>
      </c>
      <c r="Q169" s="34" t="inlineStr">
        <is>
          <t>Desktop</t>
        </is>
      </c>
      <c r="R169" s="34" t="inlineStr">
        <is>
          <t>Windows 11</t>
        </is>
      </c>
      <c r="S169" s="34" t="inlineStr">
        <is>
          <t>1차</t>
        </is>
      </c>
      <c r="T169" s="34" t="inlineStr">
        <is>
          <t>수동</t>
        </is>
      </c>
      <c r="U169" s="34" t="inlineStr">
        <is>
          <t>SCR-ERR</t>
        </is>
      </c>
      <c r="V169" s="34" t="n"/>
      <c r="W169" s="34" t="n"/>
      <c r="X169" s="34" t="n"/>
      <c r="Y169" s="34" t="n"/>
      <c r="Z169" s="34" t="n"/>
      <c r="AA169" s="34" t="n"/>
      <c r="AB169" s="34" t="n"/>
      <c r="AC169" s="34" t="n"/>
    </row>
    <row r="170">
      <c r="A170" s="33" t="inlineStr">
        <is>
          <t>TC-213</t>
        </is>
      </c>
      <c r="B170" s="33" t="inlineStr">
        <is>
          <t>Web</t>
        </is>
      </c>
      <c r="C170" s="33" t="inlineStr">
        <is>
          <t>에러처리</t>
        </is>
      </c>
      <c r="D170" s="34" t="inlineStr">
        <is>
          <t>403</t>
        </is>
      </c>
      <c r="E170" s="34" t="inlineStr">
        <is>
          <t>에러 처리 테스트</t>
        </is>
      </c>
      <c r="F170" s="34" t="inlineStr">
        <is>
          <t>권한 없는 페이지 접근</t>
        </is>
      </c>
      <c r="G170" s="34" t="inlineStr">
        <is>
          <t>일반 직원 로그인</t>
        </is>
      </c>
      <c r="H170" s="34" t="inlineStr">
        <is>
          <t>1) 관리자 전용 페이지 접속</t>
        </is>
      </c>
      <c r="I170" s="34" t="inlineStr">
        <is>
          <t>403 Forbidden 페이지 또는 리다이렉트</t>
        </is>
      </c>
      <c r="J170" s="34" t="n"/>
      <c r="K170" s="34" t="inlineStr">
        <is>
          <t>미실행</t>
        </is>
      </c>
      <c r="L170" s="34" t="inlineStr">
        <is>
          <t>High</t>
        </is>
      </c>
      <c r="M170" s="34" t="inlineStr">
        <is>
          <t>Major</t>
        </is>
      </c>
      <c r="N170" s="34" t="inlineStr">
        <is>
          <t>QA담당자1</t>
        </is>
      </c>
      <c r="O170" s="34" t="inlineStr">
        <is>
          <t>Staging</t>
        </is>
      </c>
      <c r="P170" s="34" t="inlineStr">
        <is>
          <t>Chrome</t>
        </is>
      </c>
      <c r="Q170" s="34" t="inlineStr">
        <is>
          <t>Desktop</t>
        </is>
      </c>
      <c r="R170" s="34" t="inlineStr">
        <is>
          <t>Windows 11</t>
        </is>
      </c>
      <c r="S170" s="34" t="inlineStr">
        <is>
          <t>1차</t>
        </is>
      </c>
      <c r="T170" s="34" t="inlineStr">
        <is>
          <t>수동</t>
        </is>
      </c>
      <c r="U170" s="34" t="inlineStr">
        <is>
          <t>SCR-ERR</t>
        </is>
      </c>
      <c r="V170" s="34" t="n"/>
      <c r="W170" s="34" t="n"/>
      <c r="X170" s="34" t="n"/>
      <c r="Y170" s="34" t="n"/>
      <c r="Z170" s="34" t="n"/>
      <c r="AA170" s="34" t="n"/>
      <c r="AB170" s="34" t="n"/>
      <c r="AC170" s="34" t="n"/>
    </row>
    <row r="171">
      <c r="A171" s="33" t="inlineStr">
        <is>
          <t>TC-220</t>
        </is>
      </c>
      <c r="B171" s="33" t="inlineStr">
        <is>
          <t>Web</t>
        </is>
      </c>
      <c r="C171" s="33" t="inlineStr">
        <is>
          <t>회원관리</t>
        </is>
      </c>
      <c r="D171" s="34" t="inlineStr">
        <is>
          <t>등록</t>
        </is>
      </c>
      <c r="E171" s="34" t="inlineStr">
        <is>
          <t>기능 테스트</t>
        </is>
      </c>
      <c r="F171" s="34" t="inlineStr">
        <is>
          <t>이메일 중복 회원 등록</t>
        </is>
      </c>
      <c r="G171" s="34" t="inlineStr">
        <is>
          <t>동일 이메일 회원 존재</t>
        </is>
      </c>
      <c r="H171" s="34" t="inlineStr">
        <is>
          <t>1) 기존 이메일로 등록 시도</t>
        </is>
      </c>
      <c r="I171" s="34" t="inlineStr">
        <is>
          <t>중복 에러 또는 등록 허용 (정책에 따름)</t>
        </is>
      </c>
      <c r="J171" s="34" t="n"/>
      <c r="K171" s="34" t="inlineStr">
        <is>
          <t>미실행</t>
        </is>
      </c>
      <c r="L171" s="34" t="inlineStr">
        <is>
          <t>Medium</t>
        </is>
      </c>
      <c r="M171" s="34" t="inlineStr">
        <is>
          <t>Minor</t>
        </is>
      </c>
      <c r="N171" s="34" t="inlineStr">
        <is>
          <t>QA담당자1</t>
        </is>
      </c>
      <c r="O171" s="34" t="inlineStr">
        <is>
          <t>Staging</t>
        </is>
      </c>
      <c r="P171" s="34" t="inlineStr">
        <is>
          <t>Chrome</t>
        </is>
      </c>
      <c r="Q171" s="34" t="inlineStr">
        <is>
          <t>Desktop</t>
        </is>
      </c>
      <c r="R171" s="34" t="inlineStr">
        <is>
          <t>Windows 11</t>
        </is>
      </c>
      <c r="S171" s="34" t="inlineStr">
        <is>
          <t>1차</t>
        </is>
      </c>
      <c r="T171" s="34" t="inlineStr">
        <is>
          <t>수동</t>
        </is>
      </c>
      <c r="U171" s="34" t="inlineStr">
        <is>
          <t>SCR-012</t>
        </is>
      </c>
      <c r="V171" s="34" t="inlineStr">
        <is>
          <t>FN-005</t>
        </is>
      </c>
      <c r="W171" s="34" t="inlineStr">
        <is>
          <t>API-012</t>
        </is>
      </c>
      <c r="X171" s="34" t="n"/>
      <c r="Y171" s="34" t="n"/>
      <c r="Z171" s="34" t="inlineStr">
        <is>
          <t>회원 등록</t>
        </is>
      </c>
      <c r="AA171" s="34" t="inlineStr">
        <is>
          <t>회원 정보 수정</t>
        </is>
      </c>
      <c r="AB171" s="34" t="inlineStr">
        <is>
          <t>/api/v1/members/stats/summary</t>
        </is>
      </c>
      <c r="AC171" s="34" t="n"/>
    </row>
    <row r="172">
      <c r="A172" s="33" t="inlineStr">
        <is>
          <t>TC-221</t>
        </is>
      </c>
      <c r="B172" s="33" t="inlineStr">
        <is>
          <t>Web</t>
        </is>
      </c>
      <c r="C172" s="33" t="inlineStr">
        <is>
          <t>회원관리</t>
        </is>
      </c>
      <c r="D172" s="34" t="inlineStr">
        <is>
          <t>등록</t>
        </is>
      </c>
      <c r="E172" s="34" t="inlineStr">
        <is>
          <t>기능 테스트</t>
        </is>
      </c>
      <c r="F172" s="34" t="inlineStr">
        <is>
          <t>연락처 형식 검증</t>
        </is>
      </c>
      <c r="G172" s="34" t="inlineStr">
        <is>
          <t>회원 등록 페이지</t>
        </is>
      </c>
      <c r="H172" s="34" t="inlineStr">
        <is>
          <t>1) 연락처에 "abc" 입력
2) 저장</t>
        </is>
      </c>
      <c r="I172" s="34" t="inlineStr">
        <is>
          <t>연락처 형식 에러 메시지</t>
        </is>
      </c>
      <c r="J172" s="34" t="n"/>
      <c r="K172" s="34" t="inlineStr">
        <is>
          <t>미실행</t>
        </is>
      </c>
      <c r="L172" s="34" t="inlineStr">
        <is>
          <t>High</t>
        </is>
      </c>
      <c r="M172" s="34" t="inlineStr">
        <is>
          <t>Major</t>
        </is>
      </c>
      <c r="N172" s="34" t="inlineStr">
        <is>
          <t>QA담당자1</t>
        </is>
      </c>
      <c r="O172" s="34" t="inlineStr">
        <is>
          <t>Staging</t>
        </is>
      </c>
      <c r="P172" s="34" t="inlineStr">
        <is>
          <t>Chrome</t>
        </is>
      </c>
      <c r="Q172" s="34" t="inlineStr">
        <is>
          <t>Desktop</t>
        </is>
      </c>
      <c r="R172" s="34" t="inlineStr">
        <is>
          <t>Windows 11</t>
        </is>
      </c>
      <c r="S172" s="34" t="inlineStr">
        <is>
          <t>1차</t>
        </is>
      </c>
      <c r="T172" s="34" t="inlineStr">
        <is>
          <t>수동</t>
        </is>
      </c>
      <c r="U172" s="34" t="inlineStr">
        <is>
          <t>SCR-012-V</t>
        </is>
      </c>
      <c r="V172" s="34" t="inlineStr">
        <is>
          <t>FN-005</t>
        </is>
      </c>
      <c r="W172" s="34" t="n"/>
      <c r="X172" s="34" t="n"/>
      <c r="Y172" s="34" t="n"/>
      <c r="Z172" s="34" t="n"/>
      <c r="AA172" s="34" t="inlineStr">
        <is>
          <t>회원 정보 수정</t>
        </is>
      </c>
      <c r="AB172" s="34" t="inlineStr">
        <is>
          <t>/api/v1/members/:id</t>
        </is>
      </c>
      <c r="AC172" s="34" t="n"/>
    </row>
    <row r="173">
      <c r="A173" s="33" t="inlineStr">
        <is>
          <t>TC-222</t>
        </is>
      </c>
      <c r="B173" s="33" t="inlineStr">
        <is>
          <t>Web</t>
        </is>
      </c>
      <c r="C173" s="33" t="inlineStr">
        <is>
          <t>회원관리</t>
        </is>
      </c>
      <c r="D173" s="34" t="inlineStr">
        <is>
          <t>상세</t>
        </is>
      </c>
      <c r="E173" s="34" t="inlineStr">
        <is>
          <t>기능 테스트</t>
        </is>
      </c>
      <c r="F173" s="34" t="inlineStr">
        <is>
          <t>회원 상태 변경</t>
        </is>
      </c>
      <c r="G173" s="34" t="inlineStr">
        <is>
          <t>회원 상세 접속</t>
        </is>
      </c>
      <c r="H173" s="34" t="inlineStr">
        <is>
          <t>1) 상태를 ACTIVE → HOLDING 변경
2) 저장</t>
        </is>
      </c>
      <c r="I173" s="34" t="inlineStr">
        <is>
          <t>상태 변경 성공, 목록 반영</t>
        </is>
      </c>
      <c r="J173" s="34" t="n"/>
      <c r="K173" s="34" t="inlineStr">
        <is>
          <t>미실행</t>
        </is>
      </c>
      <c r="L173" s="34" t="inlineStr">
        <is>
          <t>High</t>
        </is>
      </c>
      <c r="M173" s="34" t="inlineStr">
        <is>
          <t>Major</t>
        </is>
      </c>
      <c r="N173" s="34" t="inlineStr">
        <is>
          <t>QA담당자1</t>
        </is>
      </c>
      <c r="O173" s="34" t="inlineStr">
        <is>
          <t>Staging</t>
        </is>
      </c>
      <c r="P173" s="34" t="inlineStr">
        <is>
          <t>Chrome</t>
        </is>
      </c>
      <c r="Q173" s="34" t="inlineStr">
        <is>
          <t>Desktop</t>
        </is>
      </c>
      <c r="R173" s="34" t="inlineStr">
        <is>
          <t>Windows 11</t>
        </is>
      </c>
      <c r="S173" s="34" t="inlineStr">
        <is>
          <t>1차</t>
        </is>
      </c>
      <c r="T173" s="34" t="inlineStr">
        <is>
          <t>수동</t>
        </is>
      </c>
      <c r="U173" s="34" t="inlineStr">
        <is>
          <t>SCR-011-T1</t>
        </is>
      </c>
      <c r="V173" s="34" t="inlineStr">
        <is>
          <t>FN-006</t>
        </is>
      </c>
      <c r="W173" s="34" t="inlineStr">
        <is>
          <t>API-013</t>
        </is>
      </c>
      <c r="X173" s="34" t="n"/>
      <c r="Y173" s="34" t="n"/>
      <c r="Z173" s="34" t="n"/>
      <c r="AA173" s="34" t="inlineStr">
        <is>
          <t>회원 상세 조회</t>
        </is>
      </c>
      <c r="AB173" s="34" t="inlineStr">
        <is>
          <t>/api/v1/attendance</t>
        </is>
      </c>
      <c r="AC173" s="34" t="n"/>
    </row>
    <row r="174">
      <c r="A174" s="33" t="inlineStr">
        <is>
          <t>TC-223</t>
        </is>
      </c>
      <c r="B174" s="33" t="inlineStr">
        <is>
          <t>Web</t>
        </is>
      </c>
      <c r="C174" s="33" t="inlineStr">
        <is>
          <t>회원관리</t>
        </is>
      </c>
      <c r="D174" s="34" t="inlineStr">
        <is>
          <t>목록</t>
        </is>
      </c>
      <c r="E174" s="34" t="inlineStr">
        <is>
          <t>기능 테스트</t>
        </is>
      </c>
      <c r="F174" s="34" t="inlineStr">
        <is>
          <t>전체선택 체크박스</t>
        </is>
      </c>
      <c r="G174" s="34" t="inlineStr">
        <is>
          <t>회원 목록 20건 표시</t>
        </is>
      </c>
      <c r="H174" s="34" t="inlineStr">
        <is>
          <t>1) 전체선택 체크박스 클릭</t>
        </is>
      </c>
      <c r="I174" s="34" t="inlineStr">
        <is>
          <t>현재 페이지 전체 선택, 벌크 액션바 표시</t>
        </is>
      </c>
      <c r="J174" s="34" t="n"/>
      <c r="K174" s="34" t="inlineStr">
        <is>
          <t>미실행</t>
        </is>
      </c>
      <c r="L174" s="34" t="inlineStr">
        <is>
          <t>Medium</t>
        </is>
      </c>
      <c r="M174" s="34" t="inlineStr">
        <is>
          <t>Minor</t>
        </is>
      </c>
      <c r="N174" s="34" t="inlineStr">
        <is>
          <t>QA담당자1</t>
        </is>
      </c>
      <c r="O174" s="34" t="inlineStr">
        <is>
          <t>Staging</t>
        </is>
      </c>
      <c r="P174" s="34" t="inlineStr">
        <is>
          <t>Chrome</t>
        </is>
      </c>
      <c r="Q174" s="34" t="inlineStr">
        <is>
          <t>Desktop</t>
        </is>
      </c>
      <c r="R174" s="34" t="inlineStr">
        <is>
          <t>Windows 11</t>
        </is>
      </c>
      <c r="S174" s="34" t="inlineStr">
        <is>
          <t>1차</t>
        </is>
      </c>
      <c r="T174" s="34" t="inlineStr">
        <is>
          <t>수동</t>
        </is>
      </c>
      <c r="U174" s="34" t="inlineStr">
        <is>
          <t>SCR-010-BK</t>
        </is>
      </c>
      <c r="V174" s="34" t="inlineStr">
        <is>
          <t>FN-003</t>
        </is>
      </c>
      <c r="W174" s="34" t="n"/>
      <c r="X174" s="34" t="n"/>
      <c r="Y174" s="34" t="n"/>
      <c r="Z174" s="34" t="n"/>
      <c r="AA174" s="34" t="inlineStr">
        <is>
          <t>회원 목록 조회/검색/필터</t>
        </is>
      </c>
      <c r="AB174" s="34" t="inlineStr">
        <is>
          <t>/api/v1/members</t>
        </is>
      </c>
      <c r="AC174" s="34" t="n"/>
    </row>
    <row r="175">
      <c r="A175" s="33" t="inlineStr">
        <is>
          <t>TC-224</t>
        </is>
      </c>
      <c r="B175" s="33" t="inlineStr">
        <is>
          <t>Web</t>
        </is>
      </c>
      <c r="C175" s="33" t="inlineStr">
        <is>
          <t>회원관리</t>
        </is>
      </c>
      <c r="D175" s="34" t="inlineStr">
        <is>
          <t>등록</t>
        </is>
      </c>
      <c r="E175" s="34" t="inlineStr">
        <is>
          <t>기능 테스트</t>
        </is>
      </c>
      <c r="F175" s="34" t="inlineStr">
        <is>
          <t>프로필 이미지 설정</t>
        </is>
      </c>
      <c r="G175" s="34" t="inlineStr">
        <is>
          <t>회원 등록 페이지</t>
        </is>
      </c>
      <c r="H175" s="34" t="inlineStr">
        <is>
          <t>1) 프로필 이미지 업로드</t>
        </is>
      </c>
      <c r="I175" s="34" t="inlineStr">
        <is>
          <t>이미지 미리보기 표시</t>
        </is>
      </c>
      <c r="J175" s="34" t="n"/>
      <c r="K175" s="34" t="inlineStr">
        <is>
          <t>미실행</t>
        </is>
      </c>
      <c r="L175" s="34" t="inlineStr">
        <is>
          <t>Medium</t>
        </is>
      </c>
      <c r="M175" s="34" t="inlineStr">
        <is>
          <t>Minor</t>
        </is>
      </c>
      <c r="N175" s="34" t="inlineStr">
        <is>
          <t>QA담당자1</t>
        </is>
      </c>
      <c r="O175" s="34" t="inlineStr">
        <is>
          <t>Staging</t>
        </is>
      </c>
      <c r="P175" s="34" t="inlineStr">
        <is>
          <t>Chrome</t>
        </is>
      </c>
      <c r="Q175" s="34" t="inlineStr">
        <is>
          <t>Desktop</t>
        </is>
      </c>
      <c r="R175" s="34" t="inlineStr">
        <is>
          <t>Windows 11</t>
        </is>
      </c>
      <c r="S175" s="34" t="inlineStr">
        <is>
          <t>1차</t>
        </is>
      </c>
      <c r="T175" s="34" t="inlineStr">
        <is>
          <t>수동</t>
        </is>
      </c>
      <c r="U175" s="34" t="inlineStr">
        <is>
          <t>SCR-012</t>
        </is>
      </c>
      <c r="V175" s="34" t="inlineStr">
        <is>
          <t>FN-005</t>
        </is>
      </c>
      <c r="W175" s="34" t="n"/>
      <c r="X175" s="34" t="n"/>
      <c r="Y175" s="34" t="n"/>
      <c r="Z175" s="34" t="inlineStr">
        <is>
          <t>회원 등록</t>
        </is>
      </c>
      <c r="AA175" s="34" t="inlineStr">
        <is>
          <t>회원 정보 수정</t>
        </is>
      </c>
      <c r="AB175" s="34" t="inlineStr">
        <is>
          <t>/api/v1/members/:id</t>
        </is>
      </c>
      <c r="AC175" s="34" t="n"/>
    </row>
    <row r="176">
      <c r="A176" s="33" t="inlineStr">
        <is>
          <t>TC-225</t>
        </is>
      </c>
      <c r="B176" s="33" t="inlineStr">
        <is>
          <t>Web</t>
        </is>
      </c>
      <c r="C176" s="33" t="inlineStr">
        <is>
          <t>회원관리</t>
        </is>
      </c>
      <c r="D176" s="34" t="inlineStr">
        <is>
          <t>상세</t>
        </is>
      </c>
      <c r="E176" s="34" t="inlineStr">
        <is>
          <t>기능 테스트</t>
        </is>
      </c>
      <c r="F176" s="34" t="inlineStr">
        <is>
          <t>메모 추가/수정</t>
        </is>
      </c>
      <c r="G176" s="34" t="inlineStr">
        <is>
          <t>회원 상세 접속</t>
        </is>
      </c>
      <c r="H176" s="34" t="inlineStr">
        <is>
          <t>1) 커뮤니케이션 탭
2) 메모 작성
3) 저장</t>
        </is>
      </c>
      <c r="I176" s="34" t="inlineStr">
        <is>
          <t>메모 저장 성공, 목록에 추가</t>
        </is>
      </c>
      <c r="J176" s="34" t="n"/>
      <c r="K176" s="34" t="inlineStr">
        <is>
          <t>미실행</t>
        </is>
      </c>
      <c r="L176" s="34" t="inlineStr">
        <is>
          <t>Medium</t>
        </is>
      </c>
      <c r="M176" s="34" t="inlineStr">
        <is>
          <t>Minor</t>
        </is>
      </c>
      <c r="N176" s="34" t="inlineStr">
        <is>
          <t>QA담당자1</t>
        </is>
      </c>
      <c r="O176" s="34" t="inlineStr">
        <is>
          <t>Staging</t>
        </is>
      </c>
      <c r="P176" s="34" t="inlineStr">
        <is>
          <t>Chrome</t>
        </is>
      </c>
      <c r="Q176" s="34" t="inlineStr">
        <is>
          <t>Desktop</t>
        </is>
      </c>
      <c r="R176" s="34" t="inlineStr">
        <is>
          <t>Windows 11</t>
        </is>
      </c>
      <c r="S176" s="34" t="inlineStr">
        <is>
          <t>1차</t>
        </is>
      </c>
      <c r="T176" s="34" t="inlineStr">
        <is>
          <t>수동</t>
        </is>
      </c>
      <c r="U176" s="34" t="inlineStr">
        <is>
          <t>SCR-011-T6</t>
        </is>
      </c>
      <c r="V176" s="34" t="inlineStr">
        <is>
          <t>FN-004</t>
        </is>
      </c>
      <c r="W176" s="34" t="n"/>
      <c r="X176" s="34" t="n"/>
      <c r="Y176" s="34" t="n"/>
      <c r="Z176" s="34" t="n"/>
      <c r="AA176" s="34" t="inlineStr">
        <is>
          <t>회원 등록</t>
        </is>
      </c>
      <c r="AB176" s="34" t="inlineStr">
        <is>
          <t>/api/v1/members</t>
        </is>
      </c>
      <c r="AC176" s="34" t="n"/>
    </row>
    <row r="177">
      <c r="A177" s="33" t="inlineStr">
        <is>
          <t>TC-226</t>
        </is>
      </c>
      <c r="B177" s="33" t="inlineStr">
        <is>
          <t>Web</t>
        </is>
      </c>
      <c r="C177" s="33" t="inlineStr">
        <is>
          <t>매출관리</t>
        </is>
      </c>
      <c r="D177" s="34" t="inlineStr">
        <is>
          <t>조회</t>
        </is>
      </c>
      <c r="E177" s="34" t="inlineStr">
        <is>
          <t>기능 테스트</t>
        </is>
      </c>
      <c r="F177" s="34" t="inlineStr">
        <is>
          <t>매출 상세 조회</t>
        </is>
      </c>
      <c r="G177" s="34" t="inlineStr">
        <is>
          <t>매출 목록 표시</t>
        </is>
      </c>
      <c r="H177" s="34" t="inlineStr">
        <is>
          <t>1) 매출 행 클릭</t>
        </is>
      </c>
      <c r="I177" s="34" t="inlineStr">
        <is>
          <t>매출 상세 정보 표시 (상품명/금액/결제수단/상태)</t>
        </is>
      </c>
      <c r="J177" s="34" t="n"/>
      <c r="K177" s="34" t="inlineStr">
        <is>
          <t>미실행</t>
        </is>
      </c>
      <c r="L177" s="34" t="inlineStr">
        <is>
          <t>High</t>
        </is>
      </c>
      <c r="M177" s="34" t="inlineStr">
        <is>
          <t>Major</t>
        </is>
      </c>
      <c r="N177" s="34" t="inlineStr">
        <is>
          <t>QA담당자1</t>
        </is>
      </c>
      <c r="O177" s="34" t="inlineStr">
        <is>
          <t>Staging</t>
        </is>
      </c>
      <c r="P177" s="34" t="inlineStr">
        <is>
          <t>Chrome</t>
        </is>
      </c>
      <c r="Q177" s="34" t="inlineStr">
        <is>
          <t>Desktop</t>
        </is>
      </c>
      <c r="R177" s="34" t="inlineStr">
        <is>
          <t>Windows 11</t>
        </is>
      </c>
      <c r="S177" s="34" t="inlineStr">
        <is>
          <t>1차</t>
        </is>
      </c>
      <c r="T177" s="34" t="inlineStr">
        <is>
          <t>수동</t>
        </is>
      </c>
      <c r="U177" s="34" t="inlineStr">
        <is>
          <t>SCR-030</t>
        </is>
      </c>
      <c r="V177" s="34" t="inlineStr">
        <is>
          <t>FN-011</t>
        </is>
      </c>
      <c r="W177" s="34" t="inlineStr">
        <is>
          <t>API-031</t>
        </is>
      </c>
      <c r="X177" s="34" t="n"/>
      <c r="Y177" s="34" t="n"/>
      <c r="Z177" s="34" t="inlineStr">
        <is>
          <t>매출 조회</t>
        </is>
      </c>
      <c r="AA177" s="34" t="inlineStr">
        <is>
          <t>POS 상품 선택/결제</t>
        </is>
      </c>
      <c r="AB177" s="34" t="inlineStr">
        <is>
          <t>/api/v1/sales/{id}</t>
        </is>
      </c>
      <c r="AC177" s="34" t="n"/>
    </row>
    <row r="178">
      <c r="A178" s="33" t="inlineStr">
        <is>
          <t>TC-227</t>
        </is>
      </c>
      <c r="B178" s="33" t="inlineStr">
        <is>
          <t>Web</t>
        </is>
      </c>
      <c r="C178" s="33" t="inlineStr">
        <is>
          <t>매출관리</t>
        </is>
      </c>
      <c r="D178" s="34" t="inlineStr">
        <is>
          <t>환불</t>
        </is>
      </c>
      <c r="E178" s="34" t="inlineStr">
        <is>
          <t>기능 테스트</t>
        </is>
      </c>
      <c r="F178" s="34" t="inlineStr">
        <is>
          <t>매출 환불 처리</t>
        </is>
      </c>
      <c r="G178" s="34" t="inlineStr">
        <is>
          <t>완료 상태 매출</t>
        </is>
      </c>
      <c r="H178" s="34" t="inlineStr">
        <is>
          <t>1) 환불 버튼 클릭
2) 사유 입력
3) 확인</t>
        </is>
      </c>
      <c r="I178" s="34" t="inlineStr">
        <is>
          <t>status=REFUNDED 변경</t>
        </is>
      </c>
      <c r="J178" s="34" t="n"/>
      <c r="K178" s="34" t="inlineStr">
        <is>
          <t>미실행</t>
        </is>
      </c>
      <c r="L178" s="34" t="inlineStr">
        <is>
          <t>Critical</t>
        </is>
      </c>
      <c r="M178" s="34" t="inlineStr">
        <is>
          <t>Critical</t>
        </is>
      </c>
      <c r="N178" s="34" t="inlineStr">
        <is>
          <t>QA담당자1</t>
        </is>
      </c>
      <c r="O178" s="34" t="inlineStr">
        <is>
          <t>Staging</t>
        </is>
      </c>
      <c r="P178" s="34" t="inlineStr">
        <is>
          <t>Chrome</t>
        </is>
      </c>
      <c r="Q178" s="34" t="inlineStr">
        <is>
          <t>Desktop</t>
        </is>
      </c>
      <c r="R178" s="34" t="inlineStr">
        <is>
          <t>Windows 11</t>
        </is>
      </c>
      <c r="S178" s="34" t="inlineStr">
        <is>
          <t>1차</t>
        </is>
      </c>
      <c r="T178" s="34" t="inlineStr">
        <is>
          <t>수동</t>
        </is>
      </c>
      <c r="U178" s="34" t="inlineStr">
        <is>
          <t>SCR-030</t>
        </is>
      </c>
      <c r="V178" s="34" t="inlineStr">
        <is>
          <t>FN-013</t>
        </is>
      </c>
      <c r="W178" s="34" t="inlineStr">
        <is>
          <t>API-033</t>
        </is>
      </c>
      <c r="X178" s="34" t="n"/>
      <c r="Y178" s="34" t="n"/>
      <c r="Z178" s="34" t="inlineStr">
        <is>
          <t>매출 조회</t>
        </is>
      </c>
      <c r="AA178" s="34" t="inlineStr">
        <is>
          <t>상품 목록 조회</t>
        </is>
      </c>
      <c r="AB178" s="34" t="inlineStr">
        <is>
          <t>/api/v1/sales/{id}</t>
        </is>
      </c>
      <c r="AC178" s="34" t="n"/>
    </row>
    <row r="179">
      <c r="A179" s="33" t="inlineStr">
        <is>
          <t>TC-228</t>
        </is>
      </c>
      <c r="B179" s="33" t="inlineStr">
        <is>
          <t>Web</t>
        </is>
      </c>
      <c r="C179" s="33" t="inlineStr">
        <is>
          <t>매출관리</t>
        </is>
      </c>
      <c r="D179" s="34" t="inlineStr">
        <is>
          <t>통계</t>
        </is>
      </c>
      <c r="E179" s="34" t="inlineStr">
        <is>
          <t>기능 테스트</t>
        </is>
      </c>
      <c r="F179" s="34" t="inlineStr">
        <is>
          <t>결제수단별 통계</t>
        </is>
      </c>
      <c r="G179" s="34" t="inlineStr">
        <is>
          <t>다양한 결제수단 매출</t>
        </is>
      </c>
      <c r="H179" s="34" t="inlineStr">
        <is>
          <t>1) 통계 확인</t>
        </is>
      </c>
      <c r="I179" s="34" t="inlineStr">
        <is>
          <t>카드/현금/이체/마일리지별 금액 정확</t>
        </is>
      </c>
      <c r="J179" s="34" t="n"/>
      <c r="K179" s="34" t="inlineStr">
        <is>
          <t>미실행</t>
        </is>
      </c>
      <c r="L179" s="34" t="inlineStr">
        <is>
          <t>High</t>
        </is>
      </c>
      <c r="M179" s="34" t="inlineStr">
        <is>
          <t>Major</t>
        </is>
      </c>
      <c r="N179" s="34" t="inlineStr">
        <is>
          <t>QA담당자1</t>
        </is>
      </c>
      <c r="O179" s="34" t="inlineStr">
        <is>
          <t>Staging</t>
        </is>
      </c>
      <c r="P179" s="34" t="inlineStr">
        <is>
          <t>Chrome</t>
        </is>
      </c>
      <c r="Q179" s="34" t="inlineStr">
        <is>
          <t>Desktop</t>
        </is>
      </c>
      <c r="R179" s="34" t="inlineStr">
        <is>
          <t>Windows 11</t>
        </is>
      </c>
      <c r="S179" s="34" t="inlineStr">
        <is>
          <t>1차</t>
        </is>
      </c>
      <c r="T179" s="34" t="inlineStr">
        <is>
          <t>수동</t>
        </is>
      </c>
      <c r="U179" s="34" t="inlineStr">
        <is>
          <t>SCR-030</t>
        </is>
      </c>
      <c r="V179" s="34" t="inlineStr">
        <is>
          <t>FN-011</t>
        </is>
      </c>
      <c r="W179" s="34" t="inlineStr">
        <is>
          <t>API-035</t>
        </is>
      </c>
      <c r="X179" s="34" t="n"/>
      <c r="Y179" s="34" t="n"/>
      <c r="Z179" s="34" t="inlineStr">
        <is>
          <t>매출 조회</t>
        </is>
      </c>
      <c r="AA179" s="34" t="inlineStr">
        <is>
          <t>POS 상품 선택/결제</t>
        </is>
      </c>
      <c r="AB179" s="34" t="inlineStr">
        <is>
          <t>/api/v1/sales/stats</t>
        </is>
      </c>
      <c r="AC179" s="34" t="n"/>
    </row>
    <row r="180">
      <c r="A180" s="33" t="inlineStr">
        <is>
          <t>TC-229</t>
        </is>
      </c>
      <c r="B180" s="33" t="inlineStr">
        <is>
          <t>Web</t>
        </is>
      </c>
      <c r="C180" s="33" t="inlineStr">
        <is>
          <t>출석관리</t>
        </is>
      </c>
      <c r="D180" s="34" t="inlineStr">
        <is>
          <t>조회</t>
        </is>
      </c>
      <c r="E180" s="34" t="inlineStr">
        <is>
          <t>기능 테스트</t>
        </is>
      </c>
      <c r="F180" s="34" t="inlineStr">
        <is>
          <t>회원별 출석 필터</t>
        </is>
      </c>
      <c r="G180" s="34" t="inlineStr">
        <is>
          <t>회원 출석 기록</t>
        </is>
      </c>
      <c r="H180" s="34" t="inlineStr">
        <is>
          <t>1) 회원ID로 필터</t>
        </is>
      </c>
      <c r="I180" s="34" t="inlineStr">
        <is>
          <t>해당 회원 출석만 표시</t>
        </is>
      </c>
      <c r="J180" s="34" t="n"/>
      <c r="K180" s="34" t="inlineStr">
        <is>
          <t>미실행</t>
        </is>
      </c>
      <c r="L180" s="34" t="inlineStr">
        <is>
          <t>High</t>
        </is>
      </c>
      <c r="M180" s="34" t="inlineStr">
        <is>
          <t>Major</t>
        </is>
      </c>
      <c r="N180" s="34" t="inlineStr">
        <is>
          <t>QA담당자1</t>
        </is>
      </c>
      <c r="O180" s="34" t="inlineStr">
        <is>
          <t>Staging</t>
        </is>
      </c>
      <c r="P180" s="34" t="inlineStr">
        <is>
          <t>Chrome</t>
        </is>
      </c>
      <c r="Q180" s="34" t="inlineStr">
        <is>
          <t>Desktop</t>
        </is>
      </c>
      <c r="R180" s="34" t="inlineStr">
        <is>
          <t>Windows 11</t>
        </is>
      </c>
      <c r="S180" s="34" t="inlineStr">
        <is>
          <t>1차</t>
        </is>
      </c>
      <c r="T180" s="34" t="inlineStr">
        <is>
          <t>수동</t>
        </is>
      </c>
      <c r="U180" s="34" t="inlineStr">
        <is>
          <t>SCR-020</t>
        </is>
      </c>
      <c r="V180" s="34" t="inlineStr">
        <is>
          <t>FN-008</t>
        </is>
      </c>
      <c r="W180" s="34" t="inlineStr">
        <is>
          <t>API-020</t>
        </is>
      </c>
      <c r="X180" s="34" t="n"/>
      <c r="Y180" s="34" t="n"/>
      <c r="Z180" s="34" t="inlineStr">
        <is>
          <t>출석 기록</t>
        </is>
      </c>
      <c r="AA180" s="34" t="inlineStr">
        <is>
          <t>출석 기록 조회</t>
        </is>
      </c>
      <c r="AB180" s="34" t="inlineStr">
        <is>
          <t>/api/v1/lockers</t>
        </is>
      </c>
      <c r="AC180" s="34" t="n"/>
    </row>
    <row r="181">
      <c r="A181" s="33" t="inlineStr">
        <is>
          <t>TC-230</t>
        </is>
      </c>
      <c r="B181" s="33" t="inlineStr">
        <is>
          <t>Web</t>
        </is>
      </c>
      <c r="C181" s="33" t="inlineStr">
        <is>
          <t>출석관리</t>
        </is>
      </c>
      <c r="D181" s="34" t="inlineStr">
        <is>
          <t>체크인</t>
        </is>
      </c>
      <c r="E181" s="34" t="inlineStr">
        <is>
          <t>에러 처리 테스트</t>
        </is>
      </c>
      <c r="F181" s="34" t="inlineStr">
        <is>
          <t>중복 체크인 방지</t>
        </is>
      </c>
      <c r="G181" s="34" t="inlineStr">
        <is>
          <t>이미 체크인 상태</t>
        </is>
      </c>
      <c r="H181" s="34" t="inlineStr">
        <is>
          <t>1) 동일 회원 재체크인 시도</t>
        </is>
      </c>
      <c r="I181" s="34" t="inlineStr">
        <is>
          <t>중복 체크인 경고 또는 기록</t>
        </is>
      </c>
      <c r="J181" s="34" t="n"/>
      <c r="K181" s="34" t="inlineStr">
        <is>
          <t>미실행</t>
        </is>
      </c>
      <c r="L181" s="34" t="inlineStr">
        <is>
          <t>High</t>
        </is>
      </c>
      <c r="M181" s="34" t="inlineStr">
        <is>
          <t>Major</t>
        </is>
      </c>
      <c r="N181" s="34" t="inlineStr">
        <is>
          <t>QA담당자1</t>
        </is>
      </c>
      <c r="O181" s="34" t="inlineStr">
        <is>
          <t>Staging</t>
        </is>
      </c>
      <c r="P181" s="34" t="inlineStr">
        <is>
          <t>Chrome</t>
        </is>
      </c>
      <c r="Q181" s="34" t="inlineStr">
        <is>
          <t>Desktop</t>
        </is>
      </c>
      <c r="R181" s="34" t="inlineStr">
        <is>
          <t>Windows 11</t>
        </is>
      </c>
      <c r="S181" s="34" t="inlineStr">
        <is>
          <t>1차</t>
        </is>
      </c>
      <c r="T181" s="34" t="inlineStr">
        <is>
          <t>수동</t>
        </is>
      </c>
      <c r="U181" s="34" t="inlineStr">
        <is>
          <t>SCR-020-CI</t>
        </is>
      </c>
      <c r="V181" s="34" t="inlineStr">
        <is>
          <t>FN-009</t>
        </is>
      </c>
      <c r="W181" s="34" t="inlineStr">
        <is>
          <t>API-021</t>
        </is>
      </c>
      <c r="X181" s="34" t="n"/>
      <c r="Y181" s="34" t="n"/>
      <c r="Z181" s="34" t="n"/>
      <c r="AA181" s="34" t="inlineStr">
        <is>
          <t>일정 관리</t>
        </is>
      </c>
      <c r="AB181" s="34" t="inlineStr">
        <is>
          <t>/api/v1/lockers/:id</t>
        </is>
      </c>
      <c r="AC181" s="34" t="n"/>
    </row>
    <row r="182">
      <c r="A182" s="33" t="inlineStr">
        <is>
          <t>TC-231</t>
        </is>
      </c>
      <c r="B182" s="33" t="inlineStr">
        <is>
          <t>Web</t>
        </is>
      </c>
      <c r="C182" s="33" t="inlineStr">
        <is>
          <t>상품관리</t>
        </is>
      </c>
      <c r="D182" s="34" t="inlineStr">
        <is>
          <t>조회</t>
        </is>
      </c>
      <c r="E182" s="34" t="inlineStr">
        <is>
          <t>기능 테스트</t>
        </is>
      </c>
      <c r="F182" s="34" t="inlineStr">
        <is>
          <t>상품 활성/비활성 토글</t>
        </is>
      </c>
      <c r="G182" s="34" t="inlineStr">
        <is>
          <t>상품 목록</t>
        </is>
      </c>
      <c r="H182" s="34" t="inlineStr">
        <is>
          <t>1) 비활성 토글
2) 비활성 상품 포함 조회</t>
        </is>
      </c>
      <c r="I182" s="34" t="inlineStr">
        <is>
          <t>비활성 상품도 표시 (회색)</t>
        </is>
      </c>
      <c r="J182" s="34" t="n"/>
      <c r="K182" s="34" t="inlineStr">
        <is>
          <t>미실행</t>
        </is>
      </c>
      <c r="L182" s="34" t="inlineStr">
        <is>
          <t>Medium</t>
        </is>
      </c>
      <c r="M182" s="34" t="inlineStr">
        <is>
          <t>Minor</t>
        </is>
      </c>
      <c r="N182" s="34" t="inlineStr">
        <is>
          <t>QA담당자1</t>
        </is>
      </c>
      <c r="O182" s="34" t="inlineStr">
        <is>
          <t>Staging</t>
        </is>
      </c>
      <c r="P182" s="34" t="inlineStr">
        <is>
          <t>Chrome</t>
        </is>
      </c>
      <c r="Q182" s="34" t="inlineStr">
        <is>
          <t>Desktop</t>
        </is>
      </c>
      <c r="R182" s="34" t="inlineStr">
        <is>
          <t>Windows 11</t>
        </is>
      </c>
      <c r="S182" s="34" t="inlineStr">
        <is>
          <t>1차</t>
        </is>
      </c>
      <c r="T182" s="34" t="inlineStr">
        <is>
          <t>수동</t>
        </is>
      </c>
      <c r="U182" s="34" t="inlineStr">
        <is>
          <t>SCR-040-FLT</t>
        </is>
      </c>
      <c r="V182" s="34" t="inlineStr">
        <is>
          <t>FN-015</t>
        </is>
      </c>
      <c r="W182" s="34" t="inlineStr">
        <is>
          <t>API-040</t>
        </is>
      </c>
      <c r="X182" s="34" t="n"/>
      <c r="Y182" s="34" t="n"/>
      <c r="Z182" s="34" t="n"/>
      <c r="AA182" s="34" t="inlineStr">
        <is>
          <t>락커 현황 조회</t>
        </is>
      </c>
      <c r="AB182" s="34" t="inlineStr">
        <is>
          <t>/api/v1/products</t>
        </is>
      </c>
      <c r="AC182" s="34" t="n"/>
    </row>
    <row r="183">
      <c r="A183" s="33" t="inlineStr">
        <is>
          <t>TC-232</t>
        </is>
      </c>
      <c r="B183" s="33" t="inlineStr">
        <is>
          <t>Web</t>
        </is>
      </c>
      <c r="C183" s="33" t="inlineStr">
        <is>
          <t>상품관리</t>
        </is>
      </c>
      <c r="D183" s="34" t="inlineStr">
        <is>
          <t>상세</t>
        </is>
      </c>
      <c r="E183" s="34" t="inlineStr">
        <is>
          <t>기능 테스트</t>
        </is>
      </c>
      <c r="F183" s="34" t="inlineStr">
        <is>
          <t>상품 상세 조회</t>
        </is>
      </c>
      <c r="G183" s="34" t="inlineStr">
        <is>
          <t>상품 목록</t>
        </is>
      </c>
      <c r="H183" s="34" t="inlineStr">
        <is>
          <t>1) 상품 클릭</t>
        </is>
      </c>
      <c r="I183" s="34" t="inlineStr">
        <is>
          <t>상품 상세 정보 표시</t>
        </is>
      </c>
      <c r="J183" s="34" t="n"/>
      <c r="K183" s="34" t="inlineStr">
        <is>
          <t>미실행</t>
        </is>
      </c>
      <c r="L183" s="34" t="inlineStr">
        <is>
          <t>High</t>
        </is>
      </c>
      <c r="M183" s="34" t="inlineStr">
        <is>
          <t>Major</t>
        </is>
      </c>
      <c r="N183" s="34" t="inlineStr">
        <is>
          <t>QA담당자1</t>
        </is>
      </c>
      <c r="O183" s="34" t="inlineStr">
        <is>
          <t>Staging</t>
        </is>
      </c>
      <c r="P183" s="34" t="inlineStr">
        <is>
          <t>Chrome</t>
        </is>
      </c>
      <c r="Q183" s="34" t="inlineStr">
        <is>
          <t>Desktop</t>
        </is>
      </c>
      <c r="R183" s="34" t="inlineStr">
        <is>
          <t>Windows 11</t>
        </is>
      </c>
      <c r="S183" s="34" t="inlineStr">
        <is>
          <t>1차</t>
        </is>
      </c>
      <c r="T183" s="34" t="inlineStr">
        <is>
          <t>수동</t>
        </is>
      </c>
      <c r="U183" s="34" t="inlineStr">
        <is>
          <t>SCR-040</t>
        </is>
      </c>
      <c r="V183" s="34" t="inlineStr">
        <is>
          <t>FN-015</t>
        </is>
      </c>
      <c r="W183" s="34" t="inlineStr">
        <is>
          <t>API-041</t>
        </is>
      </c>
      <c r="X183" s="34" t="n"/>
      <c r="Y183" s="34" t="n"/>
      <c r="Z183" s="34" t="inlineStr">
        <is>
          <t>상품 목록</t>
        </is>
      </c>
      <c r="AA183" s="34" t="inlineStr">
        <is>
          <t>락커 현황 조회</t>
        </is>
      </c>
      <c r="AB183" s="34" t="inlineStr">
        <is>
          <t>/api/v1/products/{id}</t>
        </is>
      </c>
      <c r="AC183" s="34" t="n"/>
    </row>
    <row r="184">
      <c r="A184" s="33" t="inlineStr">
        <is>
          <t>TC-233</t>
        </is>
      </c>
      <c r="B184" s="33" t="inlineStr">
        <is>
          <t>Web</t>
        </is>
      </c>
      <c r="C184" s="33" t="inlineStr">
        <is>
          <t>직원관리</t>
        </is>
      </c>
      <c r="D184" s="34" t="inlineStr">
        <is>
          <t>조회</t>
        </is>
      </c>
      <c r="E184" s="34" t="inlineStr">
        <is>
          <t>기능 테스트</t>
        </is>
      </c>
      <c r="F184" s="34" t="inlineStr">
        <is>
          <t>활성/비활성 직원 필터</t>
        </is>
      </c>
      <c r="G184" s="34" t="inlineStr">
        <is>
          <t>직원 목록</t>
        </is>
      </c>
      <c r="H184" s="34" t="inlineStr">
        <is>
          <t>1) 비활성 포함 필터</t>
        </is>
      </c>
      <c r="I184" s="34" t="inlineStr">
        <is>
          <t>비활성 직원도 표시</t>
        </is>
      </c>
      <c r="J184" s="34" t="n"/>
      <c r="K184" s="34" t="inlineStr">
        <is>
          <t>미실행</t>
        </is>
      </c>
      <c r="L184" s="34" t="inlineStr">
        <is>
          <t>Medium</t>
        </is>
      </c>
      <c r="M184" s="34" t="inlineStr">
        <is>
          <t>Minor</t>
        </is>
      </c>
      <c r="N184" s="34" t="inlineStr">
        <is>
          <t>QA담당자1</t>
        </is>
      </c>
      <c r="O184" s="34" t="inlineStr">
        <is>
          <t>Staging</t>
        </is>
      </c>
      <c r="P184" s="34" t="inlineStr">
        <is>
          <t>Chrome</t>
        </is>
      </c>
      <c r="Q184" s="34" t="inlineStr">
        <is>
          <t>Desktop</t>
        </is>
      </c>
      <c r="R184" s="34" t="inlineStr">
        <is>
          <t>Windows 11</t>
        </is>
      </c>
      <c r="S184" s="34" t="inlineStr">
        <is>
          <t>1차</t>
        </is>
      </c>
      <c r="T184" s="34" t="inlineStr">
        <is>
          <t>수동</t>
        </is>
      </c>
      <c r="U184" s="34" t="inlineStr">
        <is>
          <t>SCR-050</t>
        </is>
      </c>
      <c r="V184" s="34" t="inlineStr">
        <is>
          <t>FN-023</t>
        </is>
      </c>
      <c r="W184" s="34" t="inlineStr">
        <is>
          <t>API-060</t>
        </is>
      </c>
      <c r="X184" s="34" t="n"/>
      <c r="Y184" s="34" t="n"/>
      <c r="Z184" s="34" t="inlineStr">
        <is>
          <t>락커 현황</t>
        </is>
      </c>
      <c r="AA184" s="34" t="inlineStr">
        <is>
          <t>메시지 발송</t>
        </is>
      </c>
      <c r="AB184" s="34" t="inlineStr">
        <is>
          <t>/api/v1/staff</t>
        </is>
      </c>
      <c r="AC184" s="34" t="n"/>
    </row>
    <row r="185">
      <c r="A185" s="33" t="inlineStr">
        <is>
          <t>TC-234</t>
        </is>
      </c>
      <c r="B185" s="33" t="inlineStr">
        <is>
          <t>Web</t>
        </is>
      </c>
      <c r="C185" s="33" t="inlineStr">
        <is>
          <t>직원관리</t>
        </is>
      </c>
      <c r="D185" s="34" t="inlineStr">
        <is>
          <t>단건</t>
        </is>
      </c>
      <c r="E185" s="34" t="inlineStr">
        <is>
          <t>기능 테스트</t>
        </is>
      </c>
      <c r="F185" s="34" t="inlineStr">
        <is>
          <t>직원 상세 조회</t>
        </is>
      </c>
      <c r="G185" s="34" t="inlineStr">
        <is>
          <t>직원 목록</t>
        </is>
      </c>
      <c r="H185" s="34" t="inlineStr">
        <is>
          <t>1) 직원 클릭</t>
        </is>
      </c>
      <c r="I185" s="34" t="inlineStr">
        <is>
          <t>직원 상세 정보 표시</t>
        </is>
      </c>
      <c r="J185" s="34" t="n"/>
      <c r="K185" s="34" t="inlineStr">
        <is>
          <t>미실행</t>
        </is>
      </c>
      <c r="L185" s="34" t="inlineStr">
        <is>
          <t>High</t>
        </is>
      </c>
      <c r="M185" s="34" t="inlineStr">
        <is>
          <t>Major</t>
        </is>
      </c>
      <c r="N185" s="34" t="inlineStr">
        <is>
          <t>QA담당자1</t>
        </is>
      </c>
      <c r="O185" s="34" t="inlineStr">
        <is>
          <t>Staging</t>
        </is>
      </c>
      <c r="P185" s="34" t="inlineStr">
        <is>
          <t>Chrome</t>
        </is>
      </c>
      <c r="Q185" s="34" t="inlineStr">
        <is>
          <t>Desktop</t>
        </is>
      </c>
      <c r="R185" s="34" t="inlineStr">
        <is>
          <t>Windows 11</t>
        </is>
      </c>
      <c r="S185" s="34" t="inlineStr">
        <is>
          <t>1차</t>
        </is>
      </c>
      <c r="T185" s="34" t="inlineStr">
        <is>
          <t>수동</t>
        </is>
      </c>
      <c r="U185" s="34" t="inlineStr">
        <is>
          <t>SCR-050</t>
        </is>
      </c>
      <c r="V185" s="34" t="inlineStr">
        <is>
          <t>FN-023</t>
        </is>
      </c>
      <c r="W185" s="34" t="inlineStr">
        <is>
          <t>API-061</t>
        </is>
      </c>
      <c r="X185" s="34" t="n"/>
      <c r="Y185" s="34" t="n"/>
      <c r="Z185" s="34" t="inlineStr">
        <is>
          <t>락커 현황</t>
        </is>
      </c>
      <c r="AA185" s="34" t="inlineStr">
        <is>
          <t>메시지 발송</t>
        </is>
      </c>
      <c r="AB185" s="34" t="inlineStr">
        <is>
          <t>/api/v1/staff/{id}</t>
        </is>
      </c>
      <c r="AC185" s="34" t="n"/>
    </row>
    <row r="186">
      <c r="A186" s="33" t="inlineStr">
        <is>
          <t>TC-235</t>
        </is>
      </c>
      <c r="B186" s="33" t="inlineStr">
        <is>
          <t>Web</t>
        </is>
      </c>
      <c r="C186" s="33" t="inlineStr">
        <is>
          <t>락커관리</t>
        </is>
      </c>
      <c r="D186" s="34" t="inlineStr">
        <is>
          <t>조회</t>
        </is>
      </c>
      <c r="E186" s="34" t="inlineStr">
        <is>
          <t>기능 테스트</t>
        </is>
      </c>
      <c r="F186" s="34" t="inlineStr">
        <is>
          <t>락커 상태별 색상 확인</t>
        </is>
      </c>
      <c r="G186" s="34" t="inlineStr">
        <is>
          <t>다양한 상태 락커</t>
        </is>
      </c>
      <c r="H186" s="34" t="inlineStr">
        <is>
          <t>1) 락커 그리드 확인</t>
        </is>
      </c>
      <c r="I186" s="34" t="inlineStr">
        <is>
          <t>사용가능(녹색)/사용중(파랑)/점검(회색) 색상 구분</t>
        </is>
      </c>
      <c r="J186" s="34" t="n"/>
      <c r="K186" s="34" t="inlineStr">
        <is>
          <t>미실행</t>
        </is>
      </c>
      <c r="L186" s="34" t="inlineStr">
        <is>
          <t>Medium</t>
        </is>
      </c>
      <c r="M186" s="34" t="inlineStr">
        <is>
          <t>Minor</t>
        </is>
      </c>
      <c r="N186" s="34" t="inlineStr">
        <is>
          <t>QA담당자1</t>
        </is>
      </c>
      <c r="O186" s="34" t="inlineStr">
        <is>
          <t>Staging</t>
        </is>
      </c>
      <c r="P186" s="34" t="inlineStr">
        <is>
          <t>Chrome</t>
        </is>
      </c>
      <c r="Q186" s="34" t="inlineStr">
        <is>
          <t>Desktop</t>
        </is>
      </c>
      <c r="R186" s="34" t="inlineStr">
        <is>
          <t>Windows 11</t>
        </is>
      </c>
      <c r="S186" s="34" t="inlineStr">
        <is>
          <t>1차</t>
        </is>
      </c>
      <c r="T186" s="34" t="inlineStr">
        <is>
          <t>수동</t>
        </is>
      </c>
      <c r="U186" s="34" t="inlineStr">
        <is>
          <t>SCR-060</t>
        </is>
      </c>
      <c r="V186" s="34" t="inlineStr">
        <is>
          <t>FN-019</t>
        </is>
      </c>
      <c r="W186" s="34" t="n"/>
      <c r="X186" s="34" t="n"/>
      <c r="Y186" s="34" t="n"/>
      <c r="Z186" s="34" t="inlineStr">
        <is>
          <t>직원 목록</t>
        </is>
      </c>
      <c r="AA186" s="34" t="inlineStr">
        <is>
          <t>직원 목록 조회</t>
        </is>
      </c>
      <c r="AB186" s="34" t="inlineStr">
        <is>
          <t>/api/v1/staff</t>
        </is>
      </c>
      <c r="AC186" s="34" t="n"/>
    </row>
    <row r="187">
      <c r="A187" s="33" t="inlineStr">
        <is>
          <t>TC-236</t>
        </is>
      </c>
      <c r="B187" s="33" t="inlineStr">
        <is>
          <t>Web</t>
        </is>
      </c>
      <c r="C187" s="33" t="inlineStr">
        <is>
          <t>메시지</t>
        </is>
      </c>
      <c r="D187" s="34" t="inlineStr">
        <is>
          <t>발송</t>
        </is>
      </c>
      <c r="E187" s="34" t="inlineStr">
        <is>
          <t>기능 테스트</t>
        </is>
      </c>
      <c r="F187" s="34" t="inlineStr">
        <is>
          <t>다수 수신자 발송</t>
        </is>
      </c>
      <c r="G187" s="34" t="inlineStr">
        <is>
          <t>회원 100명</t>
        </is>
      </c>
      <c r="H187" s="34" t="inlineStr">
        <is>
          <t>1) 수신자 50명 선택
2) SMS 발송</t>
        </is>
      </c>
      <c r="I187" s="34" t="inlineStr">
        <is>
          <t>50명 일괄 발송 성공</t>
        </is>
      </c>
      <c r="J187" s="34" t="n"/>
      <c r="K187" s="34" t="inlineStr">
        <is>
          <t>미실행</t>
        </is>
      </c>
      <c r="L187" s="34" t="inlineStr">
        <is>
          <t>High</t>
        </is>
      </c>
      <c r="M187" s="34" t="inlineStr">
        <is>
          <t>Major</t>
        </is>
      </c>
      <c r="N187" s="34" t="inlineStr">
        <is>
          <t>QA담당자1</t>
        </is>
      </c>
      <c r="O187" s="34" t="inlineStr">
        <is>
          <t>Staging</t>
        </is>
      </c>
      <c r="P187" s="34" t="inlineStr">
        <is>
          <t>Chrome</t>
        </is>
      </c>
      <c r="Q187" s="34" t="inlineStr">
        <is>
          <t>Desktop</t>
        </is>
      </c>
      <c r="R187" s="34" t="inlineStr">
        <is>
          <t>Windows 11</t>
        </is>
      </c>
      <c r="S187" s="34" t="inlineStr">
        <is>
          <t>1차</t>
        </is>
      </c>
      <c r="T187" s="34" t="inlineStr">
        <is>
          <t>수동</t>
        </is>
      </c>
      <c r="U187" s="34" t="inlineStr">
        <is>
          <t>SCR-062</t>
        </is>
      </c>
      <c r="V187" s="34" t="inlineStr">
        <is>
          <t>FN-031</t>
        </is>
      </c>
      <c r="W187" s="34" t="inlineStr">
        <is>
          <t>API-080</t>
        </is>
      </c>
      <c r="X187" s="34" t="n"/>
      <c r="Y187" s="34" t="n"/>
      <c r="Z187" s="34" t="inlineStr">
        <is>
          <t>급여 현황</t>
        </is>
      </c>
      <c r="AA187" s="34" t="inlineStr">
        <is>
          <t>키오스크 설정</t>
        </is>
      </c>
      <c r="AB187" s="34" t="inlineStr">
        <is>
          <t>/api/v1/messages/send</t>
        </is>
      </c>
      <c r="AC187" s="34" t="n"/>
    </row>
    <row r="188">
      <c r="A188" s="33" t="inlineStr">
        <is>
          <t>TC-237</t>
        </is>
      </c>
      <c r="B188" s="33" t="inlineStr">
        <is>
          <t>Web</t>
        </is>
      </c>
      <c r="C188" s="33" t="inlineStr">
        <is>
          <t>메시지</t>
        </is>
      </c>
      <c r="D188" s="34" t="inlineStr">
        <is>
          <t>발송</t>
        </is>
      </c>
      <c r="E188" s="34" t="inlineStr">
        <is>
          <t>UI/UX 테스트</t>
        </is>
      </c>
      <c r="F188" s="34" t="inlineStr">
        <is>
          <t>메시지 발송 중 로딩</t>
        </is>
      </c>
      <c r="G188" s="34" t="inlineStr">
        <is>
          <t>메시지 발송 페이지</t>
        </is>
      </c>
      <c r="H188" s="34" t="inlineStr">
        <is>
          <t>1) 발송 클릭
2) 로딩 확인</t>
        </is>
      </c>
      <c r="I188" s="34" t="inlineStr">
        <is>
          <t>버튼: 스피너 + '발송 중...', 비활성</t>
        </is>
      </c>
      <c r="J188" s="34" t="n"/>
      <c r="K188" s="34" t="inlineStr">
        <is>
          <t>미실행</t>
        </is>
      </c>
      <c r="L188" s="34" t="inlineStr">
        <is>
          <t>Medium</t>
        </is>
      </c>
      <c r="M188" s="34" t="inlineStr">
        <is>
          <t>Minor</t>
        </is>
      </c>
      <c r="N188" s="34" t="inlineStr">
        <is>
          <t>QA담당자1</t>
        </is>
      </c>
      <c r="O188" s="34" t="inlineStr">
        <is>
          <t>Staging</t>
        </is>
      </c>
      <c r="P188" s="34" t="inlineStr">
        <is>
          <t>Chrome</t>
        </is>
      </c>
      <c r="Q188" s="34" t="inlineStr">
        <is>
          <t>Desktop</t>
        </is>
      </c>
      <c r="R188" s="34" t="inlineStr">
        <is>
          <t>Windows 11</t>
        </is>
      </c>
      <c r="S188" s="34" t="inlineStr">
        <is>
          <t>1차</t>
        </is>
      </c>
      <c r="T188" s="34" t="inlineStr">
        <is>
          <t>수동</t>
        </is>
      </c>
      <c r="U188" s="34" t="inlineStr">
        <is>
          <t>SCR-062-SND</t>
        </is>
      </c>
      <c r="V188" s="34" t="inlineStr">
        <is>
          <t>FN-031</t>
        </is>
      </c>
      <c r="W188" s="34" t="n"/>
      <c r="X188" s="34" t="n"/>
      <c r="Y188" s="34" t="n"/>
      <c r="Z188" s="34" t="n"/>
      <c r="AA188" s="34" t="inlineStr">
        <is>
          <t>키오스크 설정</t>
        </is>
      </c>
      <c r="AB188" s="34" t="n"/>
      <c r="AC188" s="34" t="n"/>
    </row>
    <row r="189">
      <c r="A189" s="33" t="inlineStr">
        <is>
          <t>TC-238</t>
        </is>
      </c>
      <c r="B189" s="33" t="inlineStr">
        <is>
          <t>Web</t>
        </is>
      </c>
      <c r="C189" s="33" t="inlineStr">
        <is>
          <t>캘린더</t>
        </is>
      </c>
      <c r="D189" s="34" t="inlineStr">
        <is>
          <t>일정</t>
        </is>
      </c>
      <c r="E189" s="34" t="inlineStr">
        <is>
          <t>기능 테스트</t>
        </is>
      </c>
      <c r="F189" s="34" t="inlineStr">
        <is>
          <t>일정 추가</t>
        </is>
      </c>
      <c r="G189" s="34" t="inlineStr">
        <is>
          <t>캘린더 접속</t>
        </is>
      </c>
      <c r="H189" s="34" t="inlineStr">
        <is>
          <t>1) 날짜 클릭
2) 일정 추가 모달
3) 정보 입력
4) 저장</t>
        </is>
      </c>
      <c r="I189" s="34" t="inlineStr">
        <is>
          <t>일정 추가 성공, 캘린더에 표시</t>
        </is>
      </c>
      <c r="J189" s="34" t="n"/>
      <c r="K189" s="34" t="inlineStr">
        <is>
          <t>미실행</t>
        </is>
      </c>
      <c r="L189" s="34" t="inlineStr">
        <is>
          <t>High</t>
        </is>
      </c>
      <c r="M189" s="34" t="inlineStr">
        <is>
          <t>Major</t>
        </is>
      </c>
      <c r="N189" s="34" t="inlineStr">
        <is>
          <t>QA담당자1</t>
        </is>
      </c>
      <c r="O189" s="34" t="inlineStr">
        <is>
          <t>Staging</t>
        </is>
      </c>
      <c r="P189" s="34" t="inlineStr">
        <is>
          <t>Chrome</t>
        </is>
      </c>
      <c r="Q189" s="34" t="inlineStr">
        <is>
          <t>Desktop</t>
        </is>
      </c>
      <c r="R189" s="34" t="inlineStr">
        <is>
          <t>Windows 11</t>
        </is>
      </c>
      <c r="S189" s="34" t="inlineStr">
        <is>
          <t>1차</t>
        </is>
      </c>
      <c r="T189" s="34" t="inlineStr">
        <is>
          <t>수동</t>
        </is>
      </c>
      <c r="U189" s="34" t="inlineStr">
        <is>
          <t>SCR-021-ADD</t>
        </is>
      </c>
      <c r="V189" s="34" t="n"/>
      <c r="W189" s="34" t="n"/>
      <c r="X189" s="34" t="n"/>
      <c r="Y189" s="34" t="n"/>
      <c r="Z189" s="34" t="n"/>
      <c r="AA189" s="34" t="n"/>
      <c r="AB189" s="34" t="n"/>
      <c r="AC189" s="34" t="n"/>
    </row>
    <row r="190">
      <c r="A190" s="33" t="inlineStr">
        <is>
          <t>TC-239</t>
        </is>
      </c>
      <c r="B190" s="33" t="inlineStr">
        <is>
          <t>Web</t>
        </is>
      </c>
      <c r="C190" s="33" t="inlineStr">
        <is>
          <t>캘린더</t>
        </is>
      </c>
      <c r="D190" s="34" t="inlineStr">
        <is>
          <t>일정</t>
        </is>
      </c>
      <c r="E190" s="34" t="inlineStr">
        <is>
          <t>기능 테스트</t>
        </is>
      </c>
      <c r="F190" s="34" t="inlineStr">
        <is>
          <t>월 네비게이션</t>
        </is>
      </c>
      <c r="G190" s="34" t="inlineStr">
        <is>
          <t>캘린더 접속</t>
        </is>
      </c>
      <c r="H190" s="34" t="inlineStr">
        <is>
          <t>1) 다음 월 클릭
2) 이전 월 클릭</t>
        </is>
      </c>
      <c r="I190" s="34" t="inlineStr">
        <is>
          <t>월 전환 정상, 해당 월 일정 로딩</t>
        </is>
      </c>
      <c r="J190" s="34" t="n"/>
      <c r="K190" s="34" t="inlineStr">
        <is>
          <t>미실행</t>
        </is>
      </c>
      <c r="L190" s="34" t="inlineStr">
        <is>
          <t>Medium</t>
        </is>
      </c>
      <c r="M190" s="34" t="inlineStr">
        <is>
          <t>Minor</t>
        </is>
      </c>
      <c r="N190" s="34" t="inlineStr">
        <is>
          <t>QA담당자1</t>
        </is>
      </c>
      <c r="O190" s="34" t="inlineStr">
        <is>
          <t>Staging</t>
        </is>
      </c>
      <c r="P190" s="34" t="inlineStr">
        <is>
          <t>Chrome</t>
        </is>
      </c>
      <c r="Q190" s="34" t="inlineStr">
        <is>
          <t>Desktop</t>
        </is>
      </c>
      <c r="R190" s="34" t="inlineStr">
        <is>
          <t>Windows 11</t>
        </is>
      </c>
      <c r="S190" s="34" t="inlineStr">
        <is>
          <t>1차</t>
        </is>
      </c>
      <c r="T190" s="34" t="inlineStr">
        <is>
          <t>수동</t>
        </is>
      </c>
      <c r="U190" s="34" t="inlineStr">
        <is>
          <t>SCR-021</t>
        </is>
      </c>
      <c r="V190" s="34" t="n"/>
      <c r="W190" s="34" t="n"/>
      <c r="X190" s="34" t="n"/>
      <c r="Y190" s="34" t="n"/>
      <c r="Z190" s="34" t="inlineStr">
        <is>
          <t>일정 관리</t>
        </is>
      </c>
      <c r="AA190" s="34" t="n"/>
      <c r="AB190" s="34" t="n"/>
      <c r="AC190" s="34" t="n"/>
    </row>
    <row r="191">
      <c r="A191" s="33" t="inlineStr">
        <is>
          <t>TC-240</t>
        </is>
      </c>
      <c r="B191" s="33" t="inlineStr">
        <is>
          <t>Web</t>
        </is>
      </c>
      <c r="C191" s="33" t="inlineStr">
        <is>
          <t>캘린더</t>
        </is>
      </c>
      <c r="D191" s="34" t="inlineStr">
        <is>
          <t>빈 상태</t>
        </is>
      </c>
      <c r="E191" s="34" t="inlineStr">
        <is>
          <t>UI/UX 테스트</t>
        </is>
      </c>
      <c r="F191" s="34" t="inlineStr">
        <is>
          <t>일정 없는 달</t>
        </is>
      </c>
      <c r="G191" s="34" t="inlineStr">
        <is>
          <t>일정 0건 월</t>
        </is>
      </c>
      <c r="H191" s="34" t="inlineStr">
        <is>
          <t>1) 해당 월 확인</t>
        </is>
      </c>
      <c r="I191" s="34" t="inlineStr">
        <is>
          <t>'등록된 일정이 없습니다' EmptyState</t>
        </is>
      </c>
      <c r="J191" s="34" t="n"/>
      <c r="K191" s="34" t="inlineStr">
        <is>
          <t>미실행</t>
        </is>
      </c>
      <c r="L191" s="34" t="inlineStr">
        <is>
          <t>Medium</t>
        </is>
      </c>
      <c r="M191" s="34" t="inlineStr">
        <is>
          <t>Minor</t>
        </is>
      </c>
      <c r="N191" s="34" t="inlineStr">
        <is>
          <t>QA담당자1</t>
        </is>
      </c>
      <c r="O191" s="34" t="inlineStr">
        <is>
          <t>Staging</t>
        </is>
      </c>
      <c r="P191" s="34" t="inlineStr">
        <is>
          <t>Chrome</t>
        </is>
      </c>
      <c r="Q191" s="34" t="inlineStr">
        <is>
          <t>Desktop</t>
        </is>
      </c>
      <c r="R191" s="34" t="inlineStr">
        <is>
          <t>Windows 11</t>
        </is>
      </c>
      <c r="S191" s="34" t="inlineStr">
        <is>
          <t>1차</t>
        </is>
      </c>
      <c r="T191" s="34" t="inlineStr">
        <is>
          <t>수동</t>
        </is>
      </c>
      <c r="U191" s="34" t="inlineStr">
        <is>
          <t>SCR-021-EM</t>
        </is>
      </c>
      <c r="V191" s="34" t="n"/>
      <c r="W191" s="34" t="n"/>
      <c r="X191" s="34" t="n"/>
      <c r="Y191" s="34" t="n"/>
      <c r="Z191" s="34" t="n"/>
      <c r="AA191" s="34" t="n"/>
      <c r="AB191" s="34" t="n"/>
      <c r="AC191" s="34" t="n"/>
    </row>
    <row r="192">
      <c r="A192" s="33" t="inlineStr">
        <is>
          <t>TC-241</t>
        </is>
      </c>
      <c r="B192" s="33" t="inlineStr">
        <is>
          <t>Web</t>
        </is>
      </c>
      <c r="C192" s="33" t="inlineStr">
        <is>
          <t>지점관리</t>
        </is>
      </c>
      <c r="D192" s="34" t="inlineStr">
        <is>
          <t>조회</t>
        </is>
      </c>
      <c r="E192" s="34" t="inlineStr">
        <is>
          <t>기능 테스트</t>
        </is>
      </c>
      <c r="F192" s="34" t="inlineStr">
        <is>
          <t>지점 상세 조회</t>
        </is>
      </c>
      <c r="G192" s="34" t="inlineStr">
        <is>
          <t>지점 목록</t>
        </is>
      </c>
      <c r="H192" s="34" t="inlineStr">
        <is>
          <t>1) 지점 행 클릭</t>
        </is>
      </c>
      <c r="I192" s="34" t="inlineStr">
        <is>
          <t>지점 상세 정보 모달/페이지 표시</t>
        </is>
      </c>
      <c r="J192" s="34" t="n"/>
      <c r="K192" s="34" t="inlineStr">
        <is>
          <t>미실행</t>
        </is>
      </c>
      <c r="L192" s="34" t="inlineStr">
        <is>
          <t>High</t>
        </is>
      </c>
      <c r="M192" s="34" t="inlineStr">
        <is>
          <t>Major</t>
        </is>
      </c>
      <c r="N192" s="34" t="inlineStr">
        <is>
          <t>QA담당자1</t>
        </is>
      </c>
      <c r="O192" s="34" t="inlineStr">
        <is>
          <t>Staging</t>
        </is>
      </c>
      <c r="P192" s="34" t="inlineStr">
        <is>
          <t>Chrome</t>
        </is>
      </c>
      <c r="Q192" s="34" t="inlineStr">
        <is>
          <t>Desktop</t>
        </is>
      </c>
      <c r="R192" s="34" t="inlineStr">
        <is>
          <t>Windows 11</t>
        </is>
      </c>
      <c r="S192" s="34" t="inlineStr">
        <is>
          <t>1차</t>
        </is>
      </c>
      <c r="T192" s="34" t="inlineStr">
        <is>
          <t>수동</t>
        </is>
      </c>
      <c r="U192" s="34" t="inlineStr">
        <is>
          <t>SCR-081</t>
        </is>
      </c>
      <c r="V192" s="34" t="inlineStr">
        <is>
          <t>FN-035</t>
        </is>
      </c>
      <c r="W192" s="34" t="inlineStr">
        <is>
          <t>API-101</t>
        </is>
      </c>
      <c r="X192" s="34" t="n"/>
      <c r="Y192" s="34" t="n"/>
      <c r="Z192" s="34" t="inlineStr">
        <is>
          <t>구독 관리</t>
        </is>
      </c>
      <c r="AA192" s="34" t="inlineStr">
        <is>
          <t>GX 출석 체크 자동화</t>
        </is>
      </c>
      <c r="AB192" s="34" t="inlineStr">
        <is>
          <t>/api/v1/branches/{id}</t>
        </is>
      </c>
      <c r="AC192" s="34" t="n"/>
    </row>
    <row r="193">
      <c r="A193" s="33" t="inlineStr">
        <is>
          <t>TC-242</t>
        </is>
      </c>
      <c r="B193" s="33" t="inlineStr">
        <is>
          <t>Web</t>
        </is>
      </c>
      <c r="C193" s="33" t="inlineStr">
        <is>
          <t>지점관리</t>
        </is>
      </c>
      <c r="D193" s="34" t="inlineStr">
        <is>
          <t>조회</t>
        </is>
      </c>
      <c r="E193" s="34" t="inlineStr">
        <is>
          <t>UI/UX 테스트</t>
        </is>
      </c>
      <c r="F193" s="34" t="inlineStr">
        <is>
          <t>지점 목록 로딩</t>
        </is>
      </c>
      <c r="G193" s="34" t="inlineStr">
        <is>
          <t>페이지 진입</t>
        </is>
      </c>
      <c r="H193" s="34" t="inlineStr">
        <is>
          <t>1) 로딩 확인</t>
        </is>
      </c>
      <c r="I193" s="34" t="inlineStr">
        <is>
          <t>테이블 스켈레톤 표시</t>
        </is>
      </c>
      <c r="J193" s="34" t="n"/>
      <c r="K193" s="34" t="inlineStr">
        <is>
          <t>미실행</t>
        </is>
      </c>
      <c r="L193" s="34" t="inlineStr">
        <is>
          <t>Medium</t>
        </is>
      </c>
      <c r="M193" s="34" t="inlineStr">
        <is>
          <t>Minor</t>
        </is>
      </c>
      <c r="N193" s="34" t="inlineStr">
        <is>
          <t>QA담당자1</t>
        </is>
      </c>
      <c r="O193" s="34" t="inlineStr">
        <is>
          <t>Staging</t>
        </is>
      </c>
      <c r="P193" s="34" t="inlineStr">
        <is>
          <t>Chrome</t>
        </is>
      </c>
      <c r="Q193" s="34" t="inlineStr">
        <is>
          <t>Desktop</t>
        </is>
      </c>
      <c r="R193" s="34" t="inlineStr">
        <is>
          <t>Windows 11</t>
        </is>
      </c>
      <c r="S193" s="34" t="inlineStr">
        <is>
          <t>1차</t>
        </is>
      </c>
      <c r="T193" s="34" t="inlineStr">
        <is>
          <t>수동</t>
        </is>
      </c>
      <c r="U193" s="34" t="inlineStr">
        <is>
          <t>SCR-081-L</t>
        </is>
      </c>
      <c r="V193" s="34" t="inlineStr">
        <is>
          <t>FN-035</t>
        </is>
      </c>
      <c r="W193" s="34" t="n"/>
      <c r="X193" s="34" t="n"/>
      <c r="Y193" s="34" t="n"/>
      <c r="Z193" s="34" t="n"/>
      <c r="AA193" s="34" t="inlineStr">
        <is>
          <t>GX 출석 체크 자동화</t>
        </is>
      </c>
      <c r="AB193" s="34" t="n"/>
      <c r="AC193" s="34" t="n"/>
    </row>
    <row r="194">
      <c r="A194" s="33" t="inlineStr">
        <is>
          <t>TC-243</t>
        </is>
      </c>
      <c r="B194" s="33" t="inlineStr">
        <is>
          <t>Web</t>
        </is>
      </c>
      <c r="C194" s="33" t="inlineStr">
        <is>
          <t>인증</t>
        </is>
      </c>
      <c r="D194" s="34" t="inlineStr">
        <is>
          <t>세션</t>
        </is>
      </c>
      <c r="E194" s="34" t="inlineStr">
        <is>
          <t>기능 테스트</t>
        </is>
      </c>
      <c r="F194" s="34" t="inlineStr">
        <is>
          <t>토큰 자동 갱신</t>
        </is>
      </c>
      <c r="G194" s="34" t="inlineStr">
        <is>
          <t>로그인 상태, 토큰 만료 임박</t>
        </is>
      </c>
      <c r="H194" s="34" t="inlineStr">
        <is>
          <t>1) 토큰 만료 시점에 API 호출</t>
        </is>
      </c>
      <c r="I194" s="34" t="inlineStr">
        <is>
          <t>Supabase Auth 자동 갱신, 사용자 경험 중단 없음</t>
        </is>
      </c>
      <c r="J194" s="34" t="n"/>
      <c r="K194" s="34" t="inlineStr">
        <is>
          <t>미실행</t>
        </is>
      </c>
      <c r="L194" s="34" t="inlineStr">
        <is>
          <t>Critical</t>
        </is>
      </c>
      <c r="M194" s="34" t="inlineStr">
        <is>
          <t>Critical</t>
        </is>
      </c>
      <c r="N194" s="34" t="inlineStr">
        <is>
          <t>QA담당자1</t>
        </is>
      </c>
      <c r="O194" s="34" t="inlineStr">
        <is>
          <t>Staging</t>
        </is>
      </c>
      <c r="P194" s="34" t="inlineStr">
        <is>
          <t>Chrome</t>
        </is>
      </c>
      <c r="Q194" s="34" t="inlineStr">
        <is>
          <t>Desktop</t>
        </is>
      </c>
      <c r="R194" s="34" t="inlineStr">
        <is>
          <t>Windows 11</t>
        </is>
      </c>
      <c r="S194" s="34" t="inlineStr">
        <is>
          <t>1차</t>
        </is>
      </c>
      <c r="T194" s="34" t="inlineStr">
        <is>
          <t>수동</t>
        </is>
      </c>
      <c r="U194" s="34" t="inlineStr">
        <is>
          <t>SCR-001</t>
        </is>
      </c>
      <c r="V194" s="34" t="inlineStr">
        <is>
          <t>FN-001</t>
        </is>
      </c>
      <c r="W194" s="34" t="inlineStr">
        <is>
          <t>API-005</t>
        </is>
      </c>
      <c r="X194" s="34" t="n"/>
      <c r="Y194" s="34" t="n"/>
      <c r="Z194" s="34" t="inlineStr">
        <is>
          <t>로그인</t>
        </is>
      </c>
      <c r="AA194" s="34" t="inlineStr">
        <is>
          <t>로그인</t>
        </is>
      </c>
      <c r="AB194" s="34" t="inlineStr">
        <is>
          <t>/api/v1/dashboard/unpaid-members</t>
        </is>
      </c>
      <c r="AC194" s="34" t="n"/>
    </row>
    <row r="195">
      <c r="A195" s="33" t="inlineStr">
        <is>
          <t>TC-244</t>
        </is>
      </c>
      <c r="B195" s="33" t="inlineStr">
        <is>
          <t>Web</t>
        </is>
      </c>
      <c r="C195" s="33" t="inlineStr">
        <is>
          <t>인증</t>
        </is>
      </c>
      <c r="D195" s="34" t="inlineStr">
        <is>
          <t>세션</t>
        </is>
      </c>
      <c r="E195" s="34" t="inlineStr">
        <is>
          <t>기능 테스트</t>
        </is>
      </c>
      <c r="F195" s="34" t="inlineStr">
        <is>
          <t>세션 만료 리다이렉트</t>
        </is>
      </c>
      <c r="G195" s="34" t="inlineStr">
        <is>
          <t>토큰 완전 만료</t>
        </is>
      </c>
      <c r="H195" s="34" t="inlineStr">
        <is>
          <t>1) 만료 후 페이지 이동</t>
        </is>
      </c>
      <c r="I195" s="34" t="inlineStr">
        <is>
          <t>로그인 페이지로 자동 리다이렉트</t>
        </is>
      </c>
      <c r="J195" s="34" t="n"/>
      <c r="K195" s="34" t="inlineStr">
        <is>
          <t>미실행</t>
        </is>
      </c>
      <c r="L195" s="34" t="inlineStr">
        <is>
          <t>Critical</t>
        </is>
      </c>
      <c r="M195" s="34" t="inlineStr">
        <is>
          <t>Critical</t>
        </is>
      </c>
      <c r="N195" s="34" t="inlineStr">
        <is>
          <t>QA담당자1</t>
        </is>
      </c>
      <c r="O195" s="34" t="inlineStr">
        <is>
          <t>Staging</t>
        </is>
      </c>
      <c r="P195" s="34" t="inlineStr">
        <is>
          <t>Chrome</t>
        </is>
      </c>
      <c r="Q195" s="34" t="inlineStr">
        <is>
          <t>Desktop</t>
        </is>
      </c>
      <c r="R195" s="34" t="inlineStr">
        <is>
          <t>Windows 11</t>
        </is>
      </c>
      <c r="S195" s="34" t="inlineStr">
        <is>
          <t>1차</t>
        </is>
      </c>
      <c r="T195" s="34" t="inlineStr">
        <is>
          <t>수동</t>
        </is>
      </c>
      <c r="U195" s="34" t="inlineStr">
        <is>
          <t>SCR-001</t>
        </is>
      </c>
      <c r="V195" s="34" t="inlineStr">
        <is>
          <t>FN-001</t>
        </is>
      </c>
      <c r="W195" s="34" t="n"/>
      <c r="X195" s="34" t="n"/>
      <c r="Y195" s="34" t="n"/>
      <c r="Z195" s="34" t="inlineStr">
        <is>
          <t>로그인</t>
        </is>
      </c>
      <c r="AA195" s="34" t="inlineStr">
        <is>
          <t>로그인</t>
        </is>
      </c>
      <c r="AB195" s="34" t="inlineStr">
        <is>
          <t>/api/v1/auth/login</t>
        </is>
      </c>
      <c r="AC195" s="34" t="n"/>
    </row>
    <row r="196">
      <c r="A196" s="33" t="inlineStr">
        <is>
          <t>TC-245</t>
        </is>
      </c>
      <c r="B196" s="33" t="inlineStr">
        <is>
          <t>Web</t>
        </is>
      </c>
      <c r="C196" s="33" t="inlineStr">
        <is>
          <t>데이터격리</t>
        </is>
      </c>
      <c r="D196" s="34" t="inlineStr">
        <is>
          <t>branchId</t>
        </is>
      </c>
      <c r="E196" s="34" t="inlineStr">
        <is>
          <t>보안 테스트</t>
        </is>
      </c>
      <c r="F196" s="34" t="inlineStr">
        <is>
          <t>branchId 기반 데이터 격리</t>
        </is>
      </c>
      <c r="G196" s="34" t="inlineStr">
        <is>
          <t>지점A 로그인</t>
        </is>
      </c>
      <c r="H196" s="34" t="inlineStr">
        <is>
          <t>1) 지점A 로그인
2) 회원 목록 확인
3) 다른 지점 데이터 미노출 확인</t>
        </is>
      </c>
      <c r="I196" s="34" t="inlineStr">
        <is>
          <t>지점A 데이터만 표시, 타지점 데이터 미노출</t>
        </is>
      </c>
      <c r="J196" s="34" t="n"/>
      <c r="K196" s="34" t="inlineStr">
        <is>
          <t>미실행</t>
        </is>
      </c>
      <c r="L196" s="34" t="inlineStr">
        <is>
          <t>Critical</t>
        </is>
      </c>
      <c r="M196" s="34" t="inlineStr">
        <is>
          <t>Blocker</t>
        </is>
      </c>
      <c r="N196" s="34" t="inlineStr">
        <is>
          <t>QA담당자1</t>
        </is>
      </c>
      <c r="O196" s="34" t="inlineStr">
        <is>
          <t>Staging</t>
        </is>
      </c>
      <c r="P196" s="34" t="inlineStr">
        <is>
          <t>Chrome</t>
        </is>
      </c>
      <c r="Q196" s="34" t="inlineStr">
        <is>
          <t>Desktop</t>
        </is>
      </c>
      <c r="R196" s="34" t="inlineStr">
        <is>
          <t>Windows 11</t>
        </is>
      </c>
      <c r="S196" s="34" t="inlineStr">
        <is>
          <t>1차</t>
        </is>
      </c>
      <c r="T196" s="34" t="inlineStr">
        <is>
          <t>수동</t>
        </is>
      </c>
      <c r="U196" s="34" t="inlineStr">
        <is>
          <t>SCR-010</t>
        </is>
      </c>
      <c r="V196" s="34" t="inlineStr">
        <is>
          <t>FN-003</t>
        </is>
      </c>
      <c r="W196" s="34" t="inlineStr">
        <is>
          <t>API-010</t>
        </is>
      </c>
      <c r="X196" s="34" t="n"/>
      <c r="Y196" s="34" t="n"/>
      <c r="Z196" s="34" t="inlineStr">
        <is>
          <t>회원 목록</t>
        </is>
      </c>
      <c r="AA196" s="34" t="inlineStr">
        <is>
          <t>회원 목록 조회/검색/필터</t>
        </is>
      </c>
      <c r="AB196" s="34" t="inlineStr">
        <is>
          <t>/api/v1/members/:id</t>
        </is>
      </c>
      <c r="AC196" s="34" t="n"/>
    </row>
    <row r="197">
      <c r="A197" s="33" t="inlineStr">
        <is>
          <t>TC-246</t>
        </is>
      </c>
      <c r="B197" s="33" t="inlineStr">
        <is>
          <t>Web</t>
        </is>
      </c>
      <c r="C197" s="33" t="inlineStr">
        <is>
          <t>데이터격리</t>
        </is>
      </c>
      <c r="D197" s="34" t="inlineStr">
        <is>
          <t>branchId</t>
        </is>
      </c>
      <c r="E197" s="34" t="inlineStr">
        <is>
          <t>보안 테스트</t>
        </is>
      </c>
      <c r="F197" s="34" t="inlineStr">
        <is>
          <t>branchId localStorage 검증</t>
        </is>
      </c>
      <c r="G197" s="34" t="inlineStr">
        <is>
          <t>로그인 상태</t>
        </is>
      </c>
      <c r="H197" s="34" t="inlineStr">
        <is>
          <t>1) localStorage branchId 확인
2) 로그아웃 후 확인</t>
        </is>
      </c>
      <c r="I197" s="34" t="inlineStr">
        <is>
          <t>로그인 시 저장, 로그아웃 시 제거</t>
        </is>
      </c>
      <c r="J197" s="34" t="n"/>
      <c r="K197" s="34" t="inlineStr">
        <is>
          <t>미실행</t>
        </is>
      </c>
      <c r="L197" s="34" t="inlineStr">
        <is>
          <t>High</t>
        </is>
      </c>
      <c r="M197" s="34" t="inlineStr">
        <is>
          <t>Major</t>
        </is>
      </c>
      <c r="N197" s="34" t="inlineStr">
        <is>
          <t>QA담당자1</t>
        </is>
      </c>
      <c r="O197" s="34" t="inlineStr">
        <is>
          <t>Staging</t>
        </is>
      </c>
      <c r="P197" s="34" t="inlineStr">
        <is>
          <t>Chrome</t>
        </is>
      </c>
      <c r="Q197" s="34" t="inlineStr">
        <is>
          <t>Desktop</t>
        </is>
      </c>
      <c r="R197" s="34" t="inlineStr">
        <is>
          <t>Windows 11</t>
        </is>
      </c>
      <c r="S197" s="34" t="inlineStr">
        <is>
          <t>1차</t>
        </is>
      </c>
      <c r="T197" s="34" t="inlineStr">
        <is>
          <t>수동</t>
        </is>
      </c>
      <c r="U197" s="34" t="inlineStr">
        <is>
          <t>SCR-CMN-SIDEBAR</t>
        </is>
      </c>
      <c r="V197" s="34" t="inlineStr">
        <is>
          <t>FN-001</t>
        </is>
      </c>
      <c r="W197" s="34" t="n"/>
      <c r="X197" s="34" t="n"/>
      <c r="Y197" s="34" t="n"/>
      <c r="Z197" s="34" t="n"/>
      <c r="AA197" s="34" t="inlineStr">
        <is>
          <t>로그인</t>
        </is>
      </c>
      <c r="AB197" s="34" t="inlineStr">
        <is>
          <t>/api/v1/auth/login</t>
        </is>
      </c>
      <c r="AC197" s="34" t="n"/>
    </row>
    <row r="198">
      <c r="A198" s="33" t="inlineStr">
        <is>
          <t>TC-247</t>
        </is>
      </c>
      <c r="B198" s="33" t="inlineStr">
        <is>
          <t>Web</t>
        </is>
      </c>
      <c r="C198" s="33" t="inlineStr">
        <is>
          <t>에러처리</t>
        </is>
      </c>
      <c r="D198" s="34" t="inlineStr">
        <is>
          <t>타임아웃</t>
        </is>
      </c>
      <c r="E198" s="34" t="inlineStr">
        <is>
          <t>에러 처리 테스트</t>
        </is>
      </c>
      <c r="F198" s="34" t="inlineStr">
        <is>
          <t>API 타임아웃 처리</t>
        </is>
      </c>
      <c r="G198" s="34" t="inlineStr">
        <is>
          <t>느린 네트워크</t>
        </is>
      </c>
      <c r="H198" s="34" t="inlineStr">
        <is>
          <t>1) 네트워크 throttle 적용
2) API 호출</t>
        </is>
      </c>
      <c r="I198" s="34" t="inlineStr">
        <is>
          <t>타임아웃 후 에러 toast, 재시도 가능</t>
        </is>
      </c>
      <c r="J198" s="34" t="n"/>
      <c r="K198" s="34" t="inlineStr">
        <is>
          <t>미실행</t>
        </is>
      </c>
      <c r="L198" s="34" t="inlineStr">
        <is>
          <t>High</t>
        </is>
      </c>
      <c r="M198" s="34" t="inlineStr">
        <is>
          <t>Major</t>
        </is>
      </c>
      <c r="N198" s="34" t="inlineStr">
        <is>
          <t>QA담당자1</t>
        </is>
      </c>
      <c r="O198" s="34" t="inlineStr">
        <is>
          <t>Staging</t>
        </is>
      </c>
      <c r="P198" s="34" t="inlineStr">
        <is>
          <t>Chrome</t>
        </is>
      </c>
      <c r="Q198" s="34" t="inlineStr">
        <is>
          <t>Desktop</t>
        </is>
      </c>
      <c r="R198" s="34" t="inlineStr">
        <is>
          <t>Windows 11</t>
        </is>
      </c>
      <c r="S198" s="34" t="inlineStr">
        <is>
          <t>1차</t>
        </is>
      </c>
      <c r="T198" s="34" t="inlineStr">
        <is>
          <t>수동</t>
        </is>
      </c>
      <c r="U198" s="34" t="inlineStr">
        <is>
          <t>SCR-CMN-TOAST</t>
        </is>
      </c>
      <c r="V198" s="34" t="n"/>
      <c r="W198" s="34" t="n"/>
      <c r="X198" s="34" t="n"/>
      <c r="Y198" s="34" t="n"/>
      <c r="Z198" s="34" t="n"/>
      <c r="AA198" s="34" t="n"/>
      <c r="AB198" s="34" t="n"/>
      <c r="AC198" s="34" t="n"/>
    </row>
    <row r="199">
      <c r="A199" s="33" t="inlineStr">
        <is>
          <t>TC-248</t>
        </is>
      </c>
      <c r="B199" s="33" t="inlineStr">
        <is>
          <t>Web</t>
        </is>
      </c>
      <c r="C199" s="33" t="inlineStr">
        <is>
          <t>에러처리</t>
        </is>
      </c>
      <c r="D199" s="34" t="inlineStr">
        <is>
          <t>동시성</t>
        </is>
      </c>
      <c r="E199" s="34" t="inlineStr">
        <is>
          <t>에러 처리 테스트</t>
        </is>
      </c>
      <c r="F199" s="34" t="inlineStr">
        <is>
          <t>동시 저장 충돌</t>
        </is>
      </c>
      <c r="G199" s="34" t="inlineStr">
        <is>
          <t>2명 동시 수정</t>
        </is>
      </c>
      <c r="H199" s="34" t="inlineStr">
        <is>
          <t>1) 동일 회원 동시 수정
2) 저장</t>
        </is>
      </c>
      <c r="I199" s="34" t="inlineStr">
        <is>
          <t>후행 저장 성공 또는 충돌 경고</t>
        </is>
      </c>
      <c r="J199" s="34" t="n"/>
      <c r="K199" s="34" t="inlineStr">
        <is>
          <t>미실행</t>
        </is>
      </c>
      <c r="L199" s="34" t="inlineStr">
        <is>
          <t>Medium</t>
        </is>
      </c>
      <c r="M199" s="34" t="inlineStr">
        <is>
          <t>Minor</t>
        </is>
      </c>
      <c r="N199" s="34" t="inlineStr">
        <is>
          <t>QA담당자1</t>
        </is>
      </c>
      <c r="O199" s="34" t="inlineStr">
        <is>
          <t>Staging</t>
        </is>
      </c>
      <c r="P199" s="34" t="inlineStr">
        <is>
          <t>Chrome</t>
        </is>
      </c>
      <c r="Q199" s="34" t="inlineStr">
        <is>
          <t>Desktop</t>
        </is>
      </c>
      <c r="R199" s="34" t="inlineStr">
        <is>
          <t>Windows 11</t>
        </is>
      </c>
      <c r="S199" s="34" t="inlineStr">
        <is>
          <t>1차</t>
        </is>
      </c>
      <c r="T199" s="34" t="inlineStr">
        <is>
          <t>수동</t>
        </is>
      </c>
      <c r="U199" s="34" t="inlineStr">
        <is>
          <t>SCR-013</t>
        </is>
      </c>
      <c r="V199" s="34" t="inlineStr">
        <is>
          <t>FN-006</t>
        </is>
      </c>
      <c r="W199" s="34" t="inlineStr">
        <is>
          <t>API-013</t>
        </is>
      </c>
      <c r="X199" s="34" t="n"/>
      <c r="Y199" s="34" t="n"/>
      <c r="Z199" s="34" t="inlineStr">
        <is>
          <t>회원 수정</t>
        </is>
      </c>
      <c r="AA199" s="34" t="inlineStr">
        <is>
          <t>회원 상세 조회</t>
        </is>
      </c>
      <c r="AB199" s="34" t="inlineStr">
        <is>
          <t>/api/v1/attendance</t>
        </is>
      </c>
      <c r="AC199" s="34" t="n"/>
    </row>
    <row r="200">
      <c r="A200" s="33" t="inlineStr">
        <is>
          <t>TC-249</t>
        </is>
      </c>
      <c r="B200" s="33" t="inlineStr">
        <is>
          <t>Web</t>
        </is>
      </c>
      <c r="C200" s="33" t="inlineStr">
        <is>
          <t>성능</t>
        </is>
      </c>
      <c r="D200" s="34" t="inlineStr">
        <is>
          <t>페이지로딩</t>
        </is>
      </c>
      <c r="E200" s="34" t="inlineStr">
        <is>
          <t>성능 테스트</t>
        </is>
      </c>
      <c r="F200" s="34" t="inlineStr">
        <is>
          <t>대시보드 초기 로딩 시간</t>
        </is>
      </c>
      <c r="G200" s="34" t="inlineStr">
        <is>
          <t>콜드 스타트</t>
        </is>
      </c>
      <c r="H200" s="34" t="inlineStr">
        <is>
          <t>1) 로그인 후 대시보드 로딩 시간 측정</t>
        </is>
      </c>
      <c r="I200" s="34" t="inlineStr">
        <is>
          <t>3초 이내 전체 로딩 완료</t>
        </is>
      </c>
      <c r="J200" s="34" t="n"/>
      <c r="K200" s="34" t="inlineStr">
        <is>
          <t>미실행</t>
        </is>
      </c>
      <c r="L200" s="34" t="inlineStr">
        <is>
          <t>High</t>
        </is>
      </c>
      <c r="M200" s="34" t="inlineStr">
        <is>
          <t>Major</t>
        </is>
      </c>
      <c r="N200" s="34" t="inlineStr">
        <is>
          <t>QA담당자1</t>
        </is>
      </c>
      <c r="O200" s="34" t="inlineStr">
        <is>
          <t>Staging</t>
        </is>
      </c>
      <c r="P200" s="34" t="inlineStr">
        <is>
          <t>Chrome</t>
        </is>
      </c>
      <c r="Q200" s="34" t="inlineStr">
        <is>
          <t>Desktop</t>
        </is>
      </c>
      <c r="R200" s="34" t="inlineStr">
        <is>
          <t>Windows 11</t>
        </is>
      </c>
      <c r="S200" s="34" t="inlineStr">
        <is>
          <t>1차</t>
        </is>
      </c>
      <c r="T200" s="34" t="inlineStr">
        <is>
          <t>수동</t>
        </is>
      </c>
      <c r="U200" s="34" t="inlineStr">
        <is>
          <t>SCR-002</t>
        </is>
      </c>
      <c r="V200" s="34" t="inlineStr">
        <is>
          <t>FN-002</t>
        </is>
      </c>
      <c r="W200" s="34" t="n"/>
      <c r="X200" s="34" t="n"/>
      <c r="Y200" s="34" t="n"/>
      <c r="Z200" s="34" t="inlineStr">
        <is>
          <t>대시보드</t>
        </is>
      </c>
      <c r="AA200" s="34" t="inlineStr">
        <is>
          <t>대시보드 통계 조회</t>
        </is>
      </c>
      <c r="AB200" s="34" t="inlineStr">
        <is>
          <t>/api/v1/dashboard/stats</t>
        </is>
      </c>
      <c r="AC200" s="34" t="n"/>
    </row>
    <row r="201">
      <c r="A201" s="33" t="inlineStr">
        <is>
          <t>TC-250</t>
        </is>
      </c>
      <c r="B201" s="33" t="inlineStr">
        <is>
          <t>Web</t>
        </is>
      </c>
      <c r="C201" s="33" t="inlineStr">
        <is>
          <t>성능</t>
        </is>
      </c>
      <c r="D201" s="34" t="inlineStr">
        <is>
          <t>목록조회</t>
        </is>
      </c>
      <c r="E201" s="34" t="inlineStr">
        <is>
          <t>성능 테스트</t>
        </is>
      </c>
      <c r="F201" s="34" t="inlineStr">
        <is>
          <t>회원 1000건 목록 성능</t>
        </is>
      </c>
      <c r="G201" s="34" t="inlineStr">
        <is>
          <t>회원 1000명 등록</t>
        </is>
      </c>
      <c r="H201" s="34" t="inlineStr">
        <is>
          <t>1) 회원 목록 접속
2) 로딩 시간 측정</t>
        </is>
      </c>
      <c r="I201" s="34" t="inlineStr">
        <is>
          <t>2초 이내 목록 표시, 페이지네이션 정상</t>
        </is>
      </c>
      <c r="J201" s="34" t="n"/>
      <c r="K201" s="34" t="inlineStr">
        <is>
          <t>미실행</t>
        </is>
      </c>
      <c r="L201" s="34" t="inlineStr">
        <is>
          <t>High</t>
        </is>
      </c>
      <c r="M201" s="34" t="inlineStr">
        <is>
          <t>Major</t>
        </is>
      </c>
      <c r="N201" s="34" t="inlineStr">
        <is>
          <t>QA담당자1</t>
        </is>
      </c>
      <c r="O201" s="34" t="inlineStr">
        <is>
          <t>Staging</t>
        </is>
      </c>
      <c r="P201" s="34" t="inlineStr">
        <is>
          <t>Chrome</t>
        </is>
      </c>
      <c r="Q201" s="34" t="inlineStr">
        <is>
          <t>Desktop</t>
        </is>
      </c>
      <c r="R201" s="34" t="inlineStr">
        <is>
          <t>Windows 11</t>
        </is>
      </c>
      <c r="S201" s="34" t="inlineStr">
        <is>
          <t>1차</t>
        </is>
      </c>
      <c r="T201" s="34" t="inlineStr">
        <is>
          <t>수동</t>
        </is>
      </c>
      <c r="U201" s="34" t="inlineStr">
        <is>
          <t>SCR-010</t>
        </is>
      </c>
      <c r="V201" s="34" t="inlineStr">
        <is>
          <t>FN-003</t>
        </is>
      </c>
      <c r="W201" s="34" t="inlineStr">
        <is>
          <t>API-010</t>
        </is>
      </c>
      <c r="X201" s="34" t="n"/>
      <c r="Y201" s="34" t="n"/>
      <c r="Z201" s="34" t="inlineStr">
        <is>
          <t>회원 목록</t>
        </is>
      </c>
      <c r="AA201" s="34" t="inlineStr">
        <is>
          <t>회원 목록 조회/검색/필터</t>
        </is>
      </c>
      <c r="AB201" s="34" t="inlineStr">
        <is>
          <t>/api/v1/members/:id</t>
        </is>
      </c>
      <c r="AC201" s="34" t="n"/>
    </row>
    <row r="202">
      <c r="A202" s="33" t="inlineStr">
        <is>
          <t>TC-251</t>
        </is>
      </c>
      <c r="B202" s="33" t="inlineStr">
        <is>
          <t>Web</t>
        </is>
      </c>
      <c r="C202" s="33" t="inlineStr">
        <is>
          <t>메시지</t>
        </is>
      </c>
      <c r="D202" s="34" t="inlineStr">
        <is>
          <t>발송</t>
        </is>
      </c>
      <c r="E202" s="34" t="inlineStr">
        <is>
          <t>기능 테스트</t>
        </is>
      </c>
      <c r="F202" s="34" t="inlineStr">
        <is>
          <t>정상 SMS 발송</t>
        </is>
      </c>
      <c r="G202" s="34" t="inlineStr">
        <is>
          <t>회원 선택, 메시지 작성</t>
        </is>
      </c>
      <c r="H202" s="34" t="inlineStr">
        <is>
          <t>1) 수신자 선택 2) 메시지 입력 3) 발송 클릭</t>
        </is>
      </c>
      <c r="I202" s="34" t="inlineStr">
        <is>
          <t>발송 성공 토스트, 발송이력 기록</t>
        </is>
      </c>
      <c r="K202" s="34" t="inlineStr">
        <is>
          <t>미실행</t>
        </is>
      </c>
      <c r="L202" s="34" t="inlineStr">
        <is>
          <t>High</t>
        </is>
      </c>
      <c r="M202" s="34" t="inlineStr">
        <is>
          <t>Major</t>
        </is>
      </c>
      <c r="T202" s="34" t="inlineStr">
        <is>
          <t>수동</t>
        </is>
      </c>
      <c r="U202" s="34" t="inlineStr">
        <is>
          <t>SCR-014</t>
        </is>
      </c>
      <c r="V202" s="34" t="inlineStr">
        <is>
          <t>FN-007</t>
        </is>
      </c>
      <c r="W202" s="34" t="inlineStr">
        <is>
          <t>API-008</t>
        </is>
      </c>
      <c r="AA202" s="34" t="inlineStr">
        <is>
          <t>체성분 기록/분석</t>
        </is>
      </c>
    </row>
    <row r="203">
      <c r="A203" s="33" t="inlineStr">
        <is>
          <t>TC-252</t>
        </is>
      </c>
      <c r="B203" s="33" t="inlineStr">
        <is>
          <t>Web</t>
        </is>
      </c>
      <c r="C203" s="33" t="inlineStr">
        <is>
          <t>메시지</t>
        </is>
      </c>
      <c r="D203" s="34" t="inlineStr">
        <is>
          <t>발송</t>
        </is>
      </c>
      <c r="E203" s="34" t="inlineStr">
        <is>
          <t>기능 테스트</t>
        </is>
      </c>
      <c r="F203" s="34" t="inlineStr">
        <is>
          <t>수신자 미선택 발송 시도</t>
        </is>
      </c>
      <c r="G203" s="34" t="inlineStr">
        <is>
          <t>메시지 발송 페이지</t>
        </is>
      </c>
      <c r="H203" s="34" t="inlineStr">
        <is>
          <t>1) 수신자 미선택 상태로 발송 클릭</t>
        </is>
      </c>
      <c r="I203" s="34" t="inlineStr">
        <is>
          <t>수신자 선택 필요 에러</t>
        </is>
      </c>
      <c r="K203" s="34" t="inlineStr">
        <is>
          <t>미실행</t>
        </is>
      </c>
      <c r="L203" s="34" t="inlineStr">
        <is>
          <t>High</t>
        </is>
      </c>
      <c r="M203" s="34" t="inlineStr">
        <is>
          <t>Major</t>
        </is>
      </c>
      <c r="T203" s="34" t="inlineStr">
        <is>
          <t>수동</t>
        </is>
      </c>
      <c r="U203" s="34" t="inlineStr">
        <is>
          <t>SCR-014</t>
        </is>
      </c>
      <c r="V203" s="34" t="inlineStr">
        <is>
          <t>FN-007</t>
        </is>
      </c>
      <c r="W203" s="34" t="inlineStr">
        <is>
          <t>API-008</t>
        </is>
      </c>
      <c r="AA203" s="34" t="inlineStr">
        <is>
          <t>체성분 기록/분석</t>
        </is>
      </c>
    </row>
    <row r="204">
      <c r="A204" s="33" t="inlineStr">
        <is>
          <t>TC-253</t>
        </is>
      </c>
      <c r="B204" s="33" t="inlineStr">
        <is>
          <t>Web</t>
        </is>
      </c>
      <c r="C204" s="33" t="inlineStr">
        <is>
          <t>메시지</t>
        </is>
      </c>
      <c r="D204" s="34" t="inlineStr">
        <is>
          <t>이력</t>
        </is>
      </c>
      <c r="E204" s="34" t="inlineStr">
        <is>
          <t>기능 테스트</t>
        </is>
      </c>
      <c r="F204" s="34" t="inlineStr">
        <is>
          <t>발송이력 조회</t>
        </is>
      </c>
      <c r="G204" s="34" t="inlineStr">
        <is>
          <t>발송 이력 존재</t>
        </is>
      </c>
      <c r="H204" s="34" t="inlineStr">
        <is>
          <t>1) 발송이력 탭 클릭</t>
        </is>
      </c>
      <c r="I204" s="34" t="inlineStr">
        <is>
          <t>발송일시/수신자/내용/상태 표시</t>
        </is>
      </c>
      <c r="K204" s="34" t="inlineStr">
        <is>
          <t>미실행</t>
        </is>
      </c>
      <c r="L204" s="34" t="inlineStr">
        <is>
          <t>High</t>
        </is>
      </c>
      <c r="M204" s="34" t="inlineStr">
        <is>
          <t>Major</t>
        </is>
      </c>
      <c r="T204" s="34" t="inlineStr">
        <is>
          <t>수동</t>
        </is>
      </c>
      <c r="U204" s="34" t="inlineStr">
        <is>
          <t>SCR-014</t>
        </is>
      </c>
      <c r="V204" s="34" t="inlineStr">
        <is>
          <t>FN-007</t>
        </is>
      </c>
      <c r="W204" s="34" t="inlineStr">
        <is>
          <t>API-008</t>
        </is>
      </c>
      <c r="AA204" s="34" t="inlineStr">
        <is>
          <t>체성분 기록/분석</t>
        </is>
      </c>
    </row>
    <row r="205">
      <c r="A205" s="33" t="inlineStr">
        <is>
          <t>TC-254</t>
        </is>
      </c>
      <c r="B205" s="33" t="inlineStr">
        <is>
          <t>Web</t>
        </is>
      </c>
      <c r="C205" s="33" t="inlineStr">
        <is>
          <t>시설관리</t>
        </is>
      </c>
      <c r="D205" s="34" t="inlineStr">
        <is>
          <t>룸상태</t>
        </is>
      </c>
      <c r="E205" s="34" t="inlineStr">
        <is>
          <t>기능 테스트</t>
        </is>
      </c>
      <c r="F205" s="34" t="inlineStr">
        <is>
          <t>시설 상태 토글 (운영→점검→고장)</t>
        </is>
      </c>
      <c r="G205" s="34" t="inlineStr">
        <is>
          <t>시설 목록 존재</t>
        </is>
      </c>
      <c r="H205" s="34" t="inlineStr">
        <is>
          <t>1) 상태 토글 3회 클릭</t>
        </is>
      </c>
      <c r="I205" s="34" t="inlineStr">
        <is>
          <t>운영중→점검중→고장→운영중 순환</t>
        </is>
      </c>
      <c r="K205" s="34" t="inlineStr">
        <is>
          <t>미실행</t>
        </is>
      </c>
      <c r="L205" s="34" t="inlineStr">
        <is>
          <t>High</t>
        </is>
      </c>
      <c r="M205" s="34" t="inlineStr">
        <is>
          <t>Major</t>
        </is>
      </c>
      <c r="T205" s="34" t="inlineStr">
        <is>
          <t>수동</t>
        </is>
      </c>
      <c r="U205" s="34" t="inlineStr">
        <is>
          <t>SCR-023</t>
        </is>
      </c>
      <c r="V205" s="34" t="inlineStr">
        <is>
          <t>FN-038</t>
        </is>
      </c>
      <c r="W205" s="34" t="inlineStr"/>
      <c r="AA205" s="34" t="inlineStr">
        <is>
          <t>좌석 고장/관리</t>
        </is>
      </c>
    </row>
    <row r="206">
      <c r="A206" s="33" t="inlineStr">
        <is>
          <t>TC-255</t>
        </is>
      </c>
      <c r="B206" s="33" t="inlineStr">
        <is>
          <t>Web</t>
        </is>
      </c>
      <c r="C206" s="33" t="inlineStr">
        <is>
          <t>시설관리</t>
        </is>
      </c>
      <c r="D206" s="34" t="inlineStr">
        <is>
          <t>룸상태</t>
        </is>
      </c>
      <c r="E206" s="34" t="inlineStr">
        <is>
          <t>기능 테스트</t>
        </is>
      </c>
      <c r="F206" s="34" t="inlineStr">
        <is>
          <t>고장 시설 빨간 배경</t>
        </is>
      </c>
      <c r="G206" s="34" t="inlineStr">
        <is>
          <t>고장 상태 시설</t>
        </is>
      </c>
      <c r="H206" s="34" t="inlineStr">
        <is>
          <t>1) 시설 목록 확인</t>
        </is>
      </c>
      <c r="I206" s="34" t="inlineStr">
        <is>
          <t>고장 카드에 빨간 배경</t>
        </is>
      </c>
      <c r="K206" s="34" t="inlineStr">
        <is>
          <t>미실행</t>
        </is>
      </c>
      <c r="L206" s="34" t="inlineStr">
        <is>
          <t>High</t>
        </is>
      </c>
      <c r="M206" s="34" t="inlineStr">
        <is>
          <t>Major</t>
        </is>
      </c>
      <c r="T206" s="34" t="inlineStr">
        <is>
          <t>수동</t>
        </is>
      </c>
      <c r="U206" s="34" t="inlineStr">
        <is>
          <t>SCR-023</t>
        </is>
      </c>
      <c r="V206" s="34" t="inlineStr">
        <is>
          <t>FN-038</t>
        </is>
      </c>
      <c r="W206" s="34" t="inlineStr"/>
      <c r="AA206" s="34" t="inlineStr">
        <is>
          <t>좌석 고장/관리</t>
        </is>
      </c>
    </row>
    <row r="207">
      <c r="A207" s="33" t="inlineStr">
        <is>
          <t>TC-256</t>
        </is>
      </c>
      <c r="B207" s="33" t="inlineStr">
        <is>
          <t>Web</t>
        </is>
      </c>
      <c r="C207" s="33" t="inlineStr">
        <is>
          <t>회원관리</t>
        </is>
      </c>
      <c r="D207" s="34" t="inlineStr">
        <is>
          <t>레슨</t>
        </is>
      </c>
      <c r="E207" s="34" t="inlineStr">
        <is>
          <t>기능 테스트</t>
        </is>
      </c>
      <c r="F207" s="34" t="inlineStr">
        <is>
          <t>레슨 기록 추가 + 서명</t>
        </is>
      </c>
      <c r="G207" s="34" t="inlineStr">
        <is>
          <t>회원 상세 레슨 탭</t>
        </is>
      </c>
      <c r="H207" s="34" t="inlineStr">
        <is>
          <t>1) 추가 버튼 2) 날짜/수업/트레이너/메모 입력 3) 서명 4) 저장</t>
        </is>
      </c>
      <c r="I207" s="34" t="inlineStr">
        <is>
          <t>레슨 목록에 추가, 서명완료 표시</t>
        </is>
      </c>
      <c r="K207" s="34" t="inlineStr">
        <is>
          <t>미실행</t>
        </is>
      </c>
      <c r="L207" s="34" t="inlineStr">
        <is>
          <t>High</t>
        </is>
      </c>
      <c r="M207" s="34" t="inlineStr">
        <is>
          <t>Major</t>
        </is>
      </c>
      <c r="T207" s="34" t="inlineStr">
        <is>
          <t>수동</t>
        </is>
      </c>
      <c r="U207" s="34" t="inlineStr">
        <is>
          <t>SCR-024</t>
        </is>
      </c>
      <c r="V207" s="34" t="inlineStr">
        <is>
          <t>FN-039</t>
        </is>
      </c>
      <c r="W207" s="34" t="inlineStr"/>
      <c r="AA207" s="34" t="inlineStr">
        <is>
          <t>레슨 기록 및 고객 서명</t>
        </is>
      </c>
    </row>
    <row r="208">
      <c r="A208" s="33" t="inlineStr">
        <is>
          <t>TC-257</t>
        </is>
      </c>
      <c r="B208" s="33" t="inlineStr">
        <is>
          <t>Web</t>
        </is>
      </c>
      <c r="C208" s="33" t="inlineStr">
        <is>
          <t>회원관리</t>
        </is>
      </c>
      <c r="D208" s="34" t="inlineStr">
        <is>
          <t>레슨</t>
        </is>
      </c>
      <c r="E208" s="34" t="inlineStr">
        <is>
          <t>기능 테스트</t>
        </is>
      </c>
      <c r="F208" s="34" t="inlineStr">
        <is>
          <t>레슨 기록 목록 조회</t>
        </is>
      </c>
      <c r="G208" s="34" t="inlineStr">
        <is>
          <t>레슨 기록 존재</t>
        </is>
      </c>
      <c r="H208" s="34" t="inlineStr">
        <is>
          <t>1) 회원 상세 → 레슨 탭</t>
        </is>
      </c>
      <c r="I208" s="34" t="inlineStr">
        <is>
          <t>날짜/수업명/트레이너/서명 표시</t>
        </is>
      </c>
      <c r="K208" s="34" t="inlineStr">
        <is>
          <t>미실행</t>
        </is>
      </c>
      <c r="L208" s="34" t="inlineStr">
        <is>
          <t>High</t>
        </is>
      </c>
      <c r="M208" s="34" t="inlineStr">
        <is>
          <t>Major</t>
        </is>
      </c>
      <c r="T208" s="34" t="inlineStr">
        <is>
          <t>수동</t>
        </is>
      </c>
      <c r="U208" s="34" t="inlineStr">
        <is>
          <t>SCR-024</t>
        </is>
      </c>
      <c r="V208" s="34" t="inlineStr">
        <is>
          <t>FN-039</t>
        </is>
      </c>
      <c r="W208" s="34" t="inlineStr"/>
      <c r="AA208" s="34" t="inlineStr">
        <is>
          <t>레슨 기록 및 고객 서명</t>
        </is>
      </c>
    </row>
    <row r="209">
      <c r="A209" s="33" t="inlineStr">
        <is>
          <t>TC-258</t>
        </is>
      </c>
      <c r="B209" s="33" t="inlineStr">
        <is>
          <t>Web</t>
        </is>
      </c>
      <c r="C209" s="33" t="inlineStr">
        <is>
          <t>회원관리</t>
        </is>
      </c>
      <c r="D209" s="34" t="inlineStr">
        <is>
          <t>리포트</t>
        </is>
      </c>
      <c r="E209" s="34" t="inlineStr">
        <is>
          <t>기능 테스트</t>
        </is>
      </c>
      <c r="F209" s="34" t="inlineStr">
        <is>
          <t>레슨 통계 표시</t>
        </is>
      </c>
      <c r="G209" s="34" t="inlineStr">
        <is>
          <t>레슨 기록 3건+</t>
        </is>
      </c>
      <c r="H209" s="34" t="inlineStr">
        <is>
          <t>1) 레슨 탭 하단 확인</t>
        </is>
      </c>
      <c r="I209" s="34" t="inlineStr">
        <is>
          <t>총횟수/이번달/최다수업 통계</t>
        </is>
      </c>
      <c r="K209" s="34" t="inlineStr">
        <is>
          <t>미실행</t>
        </is>
      </c>
      <c r="L209" s="34" t="inlineStr">
        <is>
          <t>High</t>
        </is>
      </c>
      <c r="M209" s="34" t="inlineStr">
        <is>
          <t>Major</t>
        </is>
      </c>
      <c r="T209" s="34" t="inlineStr">
        <is>
          <t>수동</t>
        </is>
      </c>
      <c r="U209" s="34" t="inlineStr">
        <is>
          <t>SCR-024</t>
        </is>
      </c>
      <c r="V209" s="34" t="inlineStr">
        <is>
          <t>FN-040</t>
        </is>
      </c>
      <c r="W209" s="34" t="inlineStr"/>
      <c r="AA209" s="34" t="inlineStr">
        <is>
          <t>레슨 통계/리포트</t>
        </is>
      </c>
    </row>
    <row r="210">
      <c r="A210" s="33" t="inlineStr">
        <is>
          <t>TC-259</t>
        </is>
      </c>
      <c r="B210" s="33" t="inlineStr">
        <is>
          <t>Web</t>
        </is>
      </c>
      <c r="C210" s="33" t="inlineStr">
        <is>
          <t>설정</t>
        </is>
      </c>
      <c r="D210" s="34" t="inlineStr">
        <is>
          <t>물품관리</t>
        </is>
      </c>
      <c r="E210" s="34" t="inlineStr">
        <is>
          <t>기능 테스트</t>
        </is>
      </c>
      <c r="F210" s="34" t="inlineStr">
        <is>
          <t>수건/운동복 재고 설정 및 저장</t>
        </is>
      </c>
      <c r="G210" s="34" t="inlineStr">
        <is>
          <t>설정 페이지</t>
        </is>
      </c>
      <c r="H210" s="34" t="inlineStr">
        <is>
          <t>1) 물품관리 탭 2) 재고 100 입력 3) 저장</t>
        </is>
      </c>
      <c r="I210" s="34" t="inlineStr">
        <is>
          <t>저장 성공, 새로고침 후 값 유지</t>
        </is>
      </c>
      <c r="K210" s="34" t="inlineStr">
        <is>
          <t>미실행</t>
        </is>
      </c>
      <c r="L210" s="34" t="inlineStr">
        <is>
          <t>High</t>
        </is>
      </c>
      <c r="M210" s="34" t="inlineStr">
        <is>
          <t>Major</t>
        </is>
      </c>
      <c r="T210" s="34" t="inlineStr">
        <is>
          <t>수동</t>
        </is>
      </c>
      <c r="U210" s="34" t="inlineStr">
        <is>
          <t>SCR-056</t>
        </is>
      </c>
      <c r="V210" s="34" t="inlineStr">
        <is>
          <t>FN-044</t>
        </is>
      </c>
      <c r="W210" s="34" t="inlineStr"/>
      <c r="AA210" s="34" t="inlineStr">
        <is>
          <t>수건/운동복 발급 관리</t>
        </is>
      </c>
    </row>
    <row r="211">
      <c r="A211" s="33" t="inlineStr">
        <is>
          <t>TC-260</t>
        </is>
      </c>
      <c r="B211" s="33" t="inlineStr">
        <is>
          <t>Web</t>
        </is>
      </c>
      <c r="C211" s="33" t="inlineStr">
        <is>
          <t>설정</t>
        </is>
      </c>
      <c r="D211" s="34" t="inlineStr">
        <is>
          <t>물품관리</t>
        </is>
      </c>
      <c r="E211" s="34" t="inlineStr">
        <is>
          <t>기능 테스트</t>
        </is>
      </c>
      <c r="F211" s="34" t="inlineStr">
        <is>
          <t>수건/운동복 잔여량 표시</t>
        </is>
      </c>
      <c r="G211" s="34" t="inlineStr">
        <is>
          <t>재고 설정 완료</t>
        </is>
      </c>
      <c r="H211" s="34" t="inlineStr">
        <is>
          <t>1) 물품관리 탭 확인</t>
        </is>
      </c>
      <c r="I211" s="34" t="inlineStr">
        <is>
          <t>재고/1일발급량/잔여량 그리드</t>
        </is>
      </c>
      <c r="K211" s="34" t="inlineStr">
        <is>
          <t>미실행</t>
        </is>
      </c>
      <c r="L211" s="34" t="inlineStr">
        <is>
          <t>High</t>
        </is>
      </c>
      <c r="M211" s="34" t="inlineStr">
        <is>
          <t>Major</t>
        </is>
      </c>
      <c r="T211" s="34" t="inlineStr">
        <is>
          <t>수동</t>
        </is>
      </c>
      <c r="U211" s="34" t="inlineStr">
        <is>
          <t>SCR-056</t>
        </is>
      </c>
      <c r="V211" s="34" t="inlineStr">
        <is>
          <t>FN-044</t>
        </is>
      </c>
      <c r="W211" s="34" t="inlineStr"/>
      <c r="AA211" s="34" t="inlineStr">
        <is>
          <t>수건/운동복 발급 관리</t>
        </is>
      </c>
    </row>
    <row r="212">
      <c r="A212" s="33" t="inlineStr">
        <is>
          <t>TC-261</t>
        </is>
      </c>
      <c r="B212" s="33" t="inlineStr">
        <is>
          <t>Web</t>
        </is>
      </c>
      <c r="C212" s="33" t="inlineStr">
        <is>
          <t>회원관리</t>
        </is>
      </c>
      <c r="D212" s="34" t="inlineStr">
        <is>
          <t>즐겨찾기</t>
        </is>
      </c>
      <c r="E212" s="34" t="inlineStr">
        <is>
          <t>기능 테스트</t>
        </is>
      </c>
      <c r="F212" s="34" t="inlineStr">
        <is>
          <t>즐겨찾기 추가/해제 토글</t>
        </is>
      </c>
      <c r="G212" s="34" t="inlineStr">
        <is>
          <t>회원 상세 페이지</t>
        </is>
      </c>
      <c r="H212" s="34" t="inlineStr">
        <is>
          <t>1) 별 아이콘 클릭(추가) 2) 다시 클릭(해제)</t>
        </is>
      </c>
      <c r="I212" s="34" t="inlineStr">
        <is>
          <t>별 토글, DB 저장 확인</t>
        </is>
      </c>
      <c r="K212" s="34" t="inlineStr">
        <is>
          <t>미실행</t>
        </is>
      </c>
      <c r="L212" s="34" t="inlineStr">
        <is>
          <t>High</t>
        </is>
      </c>
      <c r="M212" s="34" t="inlineStr">
        <is>
          <t>Major</t>
        </is>
      </c>
      <c r="T212" s="34" t="inlineStr">
        <is>
          <t>수동</t>
        </is>
      </c>
      <c r="U212" s="34" t="inlineStr">
        <is>
          <t>SCR-015</t>
        </is>
      </c>
      <c r="V212" s="34" t="inlineStr">
        <is>
          <t>FN-045</t>
        </is>
      </c>
      <c r="W212" s="34" t="inlineStr"/>
      <c r="AA212" s="34" t="inlineStr">
        <is>
          <t>FC 즐겨찾기 회원 방문 알림</t>
        </is>
      </c>
    </row>
    <row r="213">
      <c r="A213" s="33" t="inlineStr">
        <is>
          <t>TC-262</t>
        </is>
      </c>
      <c r="B213" s="33" t="inlineStr">
        <is>
          <t>Web</t>
        </is>
      </c>
      <c r="C213" s="33" t="inlineStr">
        <is>
          <t>회원관리</t>
        </is>
      </c>
      <c r="D213" s="34" t="inlineStr">
        <is>
          <t>즐겨찾기</t>
        </is>
      </c>
      <c r="E213" s="34" t="inlineStr">
        <is>
          <t>기능 테스트</t>
        </is>
      </c>
      <c r="F213" s="34" t="inlineStr">
        <is>
          <t>즐겨찾기 회원 방문 알림</t>
        </is>
      </c>
      <c r="G213" s="34" t="inlineStr">
        <is>
          <t>즐겨찾기 회원 출석</t>
        </is>
      </c>
      <c r="H213" s="34" t="inlineStr">
        <is>
          <t>1) 대시보드 접속</t>
        </is>
      </c>
      <c r="I213" s="34" t="inlineStr">
        <is>
          <t>즐겨찾기 방문 토스트 알림</t>
        </is>
      </c>
      <c r="K213" s="34" t="inlineStr">
        <is>
          <t>미실행</t>
        </is>
      </c>
      <c r="L213" s="34" t="inlineStr">
        <is>
          <t>High</t>
        </is>
      </c>
      <c r="M213" s="34" t="inlineStr">
        <is>
          <t>Major</t>
        </is>
      </c>
      <c r="T213" s="34" t="inlineStr">
        <is>
          <t>수동</t>
        </is>
      </c>
      <c r="U213" s="34" t="inlineStr">
        <is>
          <t>SCR-015</t>
        </is>
      </c>
      <c r="V213" s="34" t="inlineStr">
        <is>
          <t>FN-045</t>
        </is>
      </c>
      <c r="W213" s="34" t="inlineStr"/>
      <c r="AA213" s="34" t="inlineStr">
        <is>
          <t>FC 즐겨찾기 회원 방문 알림</t>
        </is>
      </c>
    </row>
    <row r="214">
      <c r="A214" s="33" t="inlineStr">
        <is>
          <t>TC-263</t>
        </is>
      </c>
      <c r="B214" s="33" t="inlineStr">
        <is>
          <t>Web</t>
        </is>
      </c>
      <c r="C214" s="33" t="inlineStr">
        <is>
          <t>공통</t>
        </is>
      </c>
      <c r="D214" s="34" t="inlineStr">
        <is>
          <t>엑셀</t>
        </is>
      </c>
      <c r="E214" s="34" t="inlineStr">
        <is>
          <t>기능 테스트</t>
        </is>
      </c>
      <c r="F214" s="34" t="inlineStr">
        <is>
          <t>엑셀 내보내기 - 회원 목록</t>
        </is>
      </c>
      <c r="G214" s="34" t="inlineStr">
        <is>
          <t>회원 데이터 존재</t>
        </is>
      </c>
      <c r="H214" s="34" t="inlineStr">
        <is>
          <t>1) 회원 목록 2) 엑셀 다운로드 클릭</t>
        </is>
      </c>
      <c r="I214" s="34" t="inlineStr">
        <is>
          <t>xlsx 다운로드, 데이터 일치</t>
        </is>
      </c>
      <c r="K214" s="34" t="inlineStr">
        <is>
          <t>미실행</t>
        </is>
      </c>
      <c r="L214" s="34" t="inlineStr">
        <is>
          <t>High</t>
        </is>
      </c>
      <c r="M214" s="34" t="inlineStr">
        <is>
          <t>Major</t>
        </is>
      </c>
      <c r="T214" s="34" t="inlineStr">
        <is>
          <t>수동</t>
        </is>
      </c>
      <c r="U214" s="34" t="inlineStr">
        <is>
          <t>SCR-095</t>
        </is>
      </c>
      <c r="V214" s="34" t="inlineStr">
        <is>
          <t>FN-046</t>
        </is>
      </c>
      <c r="W214" s="34" t="inlineStr"/>
      <c r="AA214" s="34" t="inlineStr">
        <is>
          <t>키오스크 타입별 UI 설정</t>
        </is>
      </c>
    </row>
    <row r="215">
      <c r="A215" s="33" t="inlineStr">
        <is>
          <t>TC-264</t>
        </is>
      </c>
      <c r="B215" s="33" t="inlineStr">
        <is>
          <t>Web</t>
        </is>
      </c>
      <c r="C215" s="33" t="inlineStr">
        <is>
          <t>공통</t>
        </is>
      </c>
      <c r="D215" s="34" t="inlineStr">
        <is>
          <t>엑셀</t>
        </is>
      </c>
      <c r="E215" s="34" t="inlineStr">
        <is>
          <t>기능 테스트</t>
        </is>
      </c>
      <c r="F215" s="34" t="inlineStr">
        <is>
          <t>엑셀 내보내기 - 매출 내역</t>
        </is>
      </c>
      <c r="G215" s="34" t="inlineStr">
        <is>
          <t>매출 데이터 존재</t>
        </is>
      </c>
      <c r="H215" s="34" t="inlineStr">
        <is>
          <t>1) 매출 페이지 2) 엑셀 다운로드</t>
        </is>
      </c>
      <c r="I215" s="34" t="inlineStr">
        <is>
          <t>xlsx 다운로드</t>
        </is>
      </c>
      <c r="K215" s="34" t="inlineStr">
        <is>
          <t>미실행</t>
        </is>
      </c>
      <c r="L215" s="34" t="inlineStr">
        <is>
          <t>High</t>
        </is>
      </c>
      <c r="M215" s="34" t="inlineStr">
        <is>
          <t>Major</t>
        </is>
      </c>
      <c r="T215" s="34" t="inlineStr">
        <is>
          <t>수동</t>
        </is>
      </c>
      <c r="U215" s="34" t="inlineStr">
        <is>
          <t>SCR-095</t>
        </is>
      </c>
      <c r="V215" s="34" t="inlineStr">
        <is>
          <t>FN-046</t>
        </is>
      </c>
      <c r="W215" s="34" t="inlineStr"/>
      <c r="AA215" s="34" t="inlineStr">
        <is>
          <t>키오스크 타입별 UI 설정</t>
        </is>
      </c>
    </row>
    <row r="216">
      <c r="A216" s="33" t="inlineStr">
        <is>
          <t>TC-265</t>
        </is>
      </c>
      <c r="B216" s="33" t="inlineStr">
        <is>
          <t>Web</t>
        </is>
      </c>
      <c r="C216" s="33" t="inlineStr">
        <is>
          <t>공통</t>
        </is>
      </c>
      <c r="D216" s="34" t="inlineStr">
        <is>
          <t>중복방지</t>
        </is>
      </c>
      <c r="E216" s="34" t="inlineStr">
        <is>
          <t>기능 테스트</t>
        </is>
      </c>
      <c r="F216" s="34" t="inlineStr">
        <is>
          <t>중복 결제 방지 (5분 이내)</t>
        </is>
      </c>
      <c r="G216" s="34" t="inlineStr">
        <is>
          <t>최근 동일 결제 존재</t>
        </is>
      </c>
      <c r="H216" s="34" t="inlineStr">
        <is>
          <t>1) 동일 회원/금액 재결제</t>
        </is>
      </c>
      <c r="I216" s="34" t="inlineStr">
        <is>
          <t>중복 경고 토스트</t>
        </is>
      </c>
      <c r="K216" s="34" t="inlineStr">
        <is>
          <t>미실행</t>
        </is>
      </c>
      <c r="L216" s="34" t="inlineStr">
        <is>
          <t>High</t>
        </is>
      </c>
      <c r="M216" s="34" t="inlineStr">
        <is>
          <t>Major</t>
        </is>
      </c>
      <c r="T216" s="34" t="inlineStr">
        <is>
          <t>수동</t>
        </is>
      </c>
      <c r="U216" s="34" t="inlineStr">
        <is>
          <t>SCR-033</t>
        </is>
      </c>
      <c r="V216" s="34" t="inlineStr">
        <is>
          <t>FN-048</t>
        </is>
      </c>
      <c r="W216" s="34" t="inlineStr"/>
      <c r="AA216" s="34" t="inlineStr">
        <is>
          <t>전체 데이터 엑셀 내보내기</t>
        </is>
      </c>
    </row>
    <row r="217">
      <c r="A217" s="33" t="inlineStr">
        <is>
          <t>TC-266</t>
        </is>
      </c>
      <c r="B217" s="33" t="inlineStr">
        <is>
          <t>Web</t>
        </is>
      </c>
      <c r="C217" s="33" t="inlineStr">
        <is>
          <t>공통</t>
        </is>
      </c>
      <c r="D217" s="34" t="inlineStr">
        <is>
          <t>중복방지</t>
        </is>
      </c>
      <c r="E217" s="34" t="inlineStr">
        <is>
          <t>기능 테스트</t>
        </is>
      </c>
      <c r="F217" s="34" t="inlineStr">
        <is>
          <t>중복 회원 등록 방지</t>
        </is>
      </c>
      <c r="G217" s="34" t="inlineStr">
        <is>
          <t>동일 전화번호 회원 존재</t>
        </is>
      </c>
      <c r="H217" s="34" t="inlineStr">
        <is>
          <t>1) 같은 전화번호로 등록</t>
        </is>
      </c>
      <c r="I217" s="34" t="inlineStr">
        <is>
          <t>중복 경고, 기존 회원명 안내</t>
        </is>
      </c>
      <c r="K217" s="34" t="inlineStr">
        <is>
          <t>미실행</t>
        </is>
      </c>
      <c r="L217" s="34" t="inlineStr">
        <is>
          <t>High</t>
        </is>
      </c>
      <c r="M217" s="34" t="inlineStr">
        <is>
          <t>Major</t>
        </is>
      </c>
      <c r="T217" s="34" t="inlineStr">
        <is>
          <t>수동</t>
        </is>
      </c>
      <c r="U217" s="34" t="inlineStr">
        <is>
          <t>SCR-033</t>
        </is>
      </c>
      <c r="V217" s="34" t="inlineStr">
        <is>
          <t>FN-048</t>
        </is>
      </c>
      <c r="W217" s="34" t="inlineStr"/>
      <c r="AA217" s="34" t="inlineStr">
        <is>
          <t>전체 데이터 엑셀 내보내기</t>
        </is>
      </c>
    </row>
    <row r="218">
      <c r="A218" s="33" t="inlineStr">
        <is>
          <t>TC-267</t>
        </is>
      </c>
      <c r="B218" s="33" t="inlineStr">
        <is>
          <t>Web</t>
        </is>
      </c>
      <c r="C218" s="33" t="inlineStr">
        <is>
          <t>회원관리</t>
        </is>
      </c>
      <c r="D218" s="34" t="inlineStr">
        <is>
          <t>홀딩</t>
        </is>
      </c>
      <c r="E218" s="34" t="inlineStr">
        <is>
          <t>기능 테스트</t>
        </is>
      </c>
      <c r="F218" s="34" t="inlineStr">
        <is>
          <t>홀딩 시작</t>
        </is>
      </c>
      <c r="G218" s="34" t="inlineStr">
        <is>
          <t>활성 회원 상세</t>
        </is>
      </c>
      <c r="H218" s="34" t="inlineStr">
        <is>
          <t>1) 홀딩 처리 버튼 2) 일수/사유 입력 3) 확인</t>
        </is>
      </c>
      <c r="I218" s="34" t="inlineStr">
        <is>
          <t>HOLDING 변경, 기간 표시</t>
        </is>
      </c>
      <c r="K218" s="34" t="inlineStr">
        <is>
          <t>미실행</t>
        </is>
      </c>
      <c r="L218" s="34" t="inlineStr">
        <is>
          <t>High</t>
        </is>
      </c>
      <c r="M218" s="34" t="inlineStr">
        <is>
          <t>Major</t>
        </is>
      </c>
      <c r="T218" s="34" t="inlineStr">
        <is>
          <t>수동</t>
        </is>
      </c>
      <c r="U218" s="34" t="inlineStr">
        <is>
          <t>SCR-041</t>
        </is>
      </c>
      <c r="V218" s="34" t="inlineStr">
        <is>
          <t>FN-049</t>
        </is>
      </c>
      <c r="W218" s="34" t="inlineStr"/>
      <c r="AA218" s="34" t="inlineStr">
        <is>
          <t>상품 한 화면 세팅</t>
        </is>
      </c>
    </row>
    <row r="219">
      <c r="A219" s="33" t="inlineStr">
        <is>
          <t>TC-268</t>
        </is>
      </c>
      <c r="B219" s="33" t="inlineStr">
        <is>
          <t>Web</t>
        </is>
      </c>
      <c r="C219" s="33" t="inlineStr">
        <is>
          <t>회원관리</t>
        </is>
      </c>
      <c r="D219" s="34" t="inlineStr">
        <is>
          <t>홀딩</t>
        </is>
      </c>
      <c r="E219" s="34" t="inlineStr">
        <is>
          <t>기능 테스트</t>
        </is>
      </c>
      <c r="F219" s="34" t="inlineStr">
        <is>
          <t>홀딩 해제 + 만료일 연장</t>
        </is>
      </c>
      <c r="G219" s="34" t="inlineStr">
        <is>
          <t>홀딩 중 회원</t>
        </is>
      </c>
      <c r="H219" s="34" t="inlineStr">
        <is>
          <t>1) 홀딩 해제 클릭</t>
        </is>
      </c>
      <c r="I219" s="34" t="inlineStr">
        <is>
          <t>ACTIVE 변경, 만료일 연장</t>
        </is>
      </c>
      <c r="K219" s="34" t="inlineStr">
        <is>
          <t>미실행</t>
        </is>
      </c>
      <c r="L219" s="34" t="inlineStr">
        <is>
          <t>High</t>
        </is>
      </c>
      <c r="M219" s="34" t="inlineStr">
        <is>
          <t>Major</t>
        </is>
      </c>
      <c r="T219" s="34" t="inlineStr">
        <is>
          <t>수동</t>
        </is>
      </c>
      <c r="U219" s="34" t="inlineStr">
        <is>
          <t>SCR-041</t>
        </is>
      </c>
      <c r="V219" s="34" t="inlineStr">
        <is>
          <t>FN-049</t>
        </is>
      </c>
      <c r="W219" s="34" t="inlineStr"/>
      <c r="AA219" s="34" t="inlineStr">
        <is>
          <t>상품 한 화면 세팅</t>
        </is>
      </c>
    </row>
    <row r="220">
      <c r="A220" s="33" t="inlineStr">
        <is>
          <t>TC-269</t>
        </is>
      </c>
      <c r="B220" s="33" t="inlineStr">
        <is>
          <t>Web</t>
        </is>
      </c>
      <c r="C220" s="33" t="inlineStr">
        <is>
          <t>결제</t>
        </is>
      </c>
      <c r="D220" s="34" t="inlineStr">
        <is>
          <t>마일리지</t>
        </is>
      </c>
      <c r="E220" s="34" t="inlineStr">
        <is>
          <t>기능 테스트</t>
        </is>
      </c>
      <c r="F220" s="34" t="inlineStr">
        <is>
          <t>결제 시 마일리지 자동 적립 (1%)</t>
        </is>
      </c>
      <c r="G220" s="34" t="inlineStr">
        <is>
          <t>결제 완료 시점</t>
        </is>
      </c>
      <c r="H220" s="34" t="inlineStr">
        <is>
          <t>1) POS 100,000원 결제</t>
        </is>
      </c>
      <c r="I220" s="34" t="inlineStr">
        <is>
          <t>마일리지 1,000P 적립</t>
        </is>
      </c>
      <c r="K220" s="34" t="inlineStr">
        <is>
          <t>미실행</t>
        </is>
      </c>
      <c r="L220" s="34" t="inlineStr">
        <is>
          <t>High</t>
        </is>
      </c>
      <c r="M220" s="34" t="inlineStr">
        <is>
          <t>Major</t>
        </is>
      </c>
      <c r="T220" s="34" t="inlineStr">
        <is>
          <t>수동</t>
        </is>
      </c>
      <c r="U220" s="34" t="inlineStr">
        <is>
          <t>SCR-050</t>
        </is>
      </c>
      <c r="V220" s="34" t="inlineStr">
        <is>
          <t>FN-050</t>
        </is>
      </c>
      <c r="W220" s="34" t="inlineStr"/>
      <c r="AA220" s="34" t="inlineStr">
        <is>
          <t>라커 우선순위 배정</t>
        </is>
      </c>
    </row>
    <row r="221">
      <c r="A221" s="33" t="inlineStr">
        <is>
          <t>TC-270</t>
        </is>
      </c>
      <c r="B221" s="33" t="inlineStr">
        <is>
          <t>Web</t>
        </is>
      </c>
      <c r="C221" s="33" t="inlineStr">
        <is>
          <t>결제</t>
        </is>
      </c>
      <c r="D221" s="34" t="inlineStr">
        <is>
          <t>마일리지</t>
        </is>
      </c>
      <c r="E221" s="34" t="inlineStr">
        <is>
          <t>기능 테스트</t>
        </is>
      </c>
      <c r="F221" s="34" t="inlineStr">
        <is>
          <t>마일리지 차감 결제</t>
        </is>
      </c>
      <c r="G221" s="34" t="inlineStr">
        <is>
          <t>마일리지 보유</t>
        </is>
      </c>
      <c r="H221" s="34" t="inlineStr">
        <is>
          <t>1) 마일리지 결제 선택 2) 금액 입력 3) 결제</t>
        </is>
      </c>
      <c r="I221" s="34" t="inlineStr">
        <is>
          <t>차감 완료, 잔여 표시</t>
        </is>
      </c>
      <c r="K221" s="34" t="inlineStr">
        <is>
          <t>미실행</t>
        </is>
      </c>
      <c r="L221" s="34" t="inlineStr">
        <is>
          <t>High</t>
        </is>
      </c>
      <c r="M221" s="34" t="inlineStr">
        <is>
          <t>Major</t>
        </is>
      </c>
      <c r="T221" s="34" t="inlineStr">
        <is>
          <t>수동</t>
        </is>
      </c>
      <c r="U221" s="34" t="inlineStr">
        <is>
          <t>SCR-050</t>
        </is>
      </c>
      <c r="V221" s="34" t="inlineStr">
        <is>
          <t>FN-050</t>
        </is>
      </c>
      <c r="W221" s="34" t="inlineStr"/>
      <c r="AA221" s="34" t="inlineStr">
        <is>
          <t>라커 우선순위 배정</t>
        </is>
      </c>
    </row>
    <row r="222">
      <c r="A222" s="33" t="inlineStr">
        <is>
          <t>TC-271</t>
        </is>
      </c>
      <c r="B222" s="33" t="inlineStr">
        <is>
          <t>Web</t>
        </is>
      </c>
      <c r="C222" s="33" t="inlineStr">
        <is>
          <t>결제</t>
        </is>
      </c>
      <c r="D222" s="34" t="inlineStr">
        <is>
          <t>마일리지</t>
        </is>
      </c>
      <c r="E222" s="34" t="inlineStr">
        <is>
          <t>기능 테스트</t>
        </is>
      </c>
      <c r="F222" s="34" t="inlineStr">
        <is>
          <t>마일리지 부족 에러</t>
        </is>
      </c>
      <c r="G222" s="34" t="inlineStr">
        <is>
          <t>500P 보유</t>
        </is>
      </c>
      <c r="H222" s="34" t="inlineStr">
        <is>
          <t>1) 1000P 차감 시도</t>
        </is>
      </c>
      <c r="I222" s="34" t="inlineStr">
        <is>
          <t>마일리지 부족 에러</t>
        </is>
      </c>
      <c r="K222" s="34" t="inlineStr">
        <is>
          <t>미실행</t>
        </is>
      </c>
      <c r="L222" s="34" t="inlineStr">
        <is>
          <t>High</t>
        </is>
      </c>
      <c r="M222" s="34" t="inlineStr">
        <is>
          <t>Major</t>
        </is>
      </c>
      <c r="T222" s="34" t="inlineStr">
        <is>
          <t>수동</t>
        </is>
      </c>
      <c r="U222" s="34" t="inlineStr">
        <is>
          <t>SCR-050</t>
        </is>
      </c>
      <c r="V222" s="34" t="inlineStr">
        <is>
          <t>FN-050</t>
        </is>
      </c>
      <c r="W222" s="34" t="inlineStr"/>
      <c r="AA222" s="34" t="inlineStr">
        <is>
          <t>라커 우선순위 배정</t>
        </is>
      </c>
    </row>
    <row r="223">
      <c r="A223" s="33" t="inlineStr">
        <is>
          <t>TC-272</t>
        </is>
      </c>
      <c r="B223" s="33" t="inlineStr">
        <is>
          <t>Web</t>
        </is>
      </c>
      <c r="C223" s="33" t="inlineStr">
        <is>
          <t>계약</t>
        </is>
      </c>
      <c r="D223" s="34" t="inlineStr">
        <is>
          <t>담당자</t>
        </is>
      </c>
      <c r="E223" s="34" t="inlineStr">
        <is>
          <t>기능 테스트</t>
        </is>
      </c>
      <c r="F223" s="34" t="inlineStr">
        <is>
          <t>계약 시 실적 담당자 선택</t>
        </is>
      </c>
      <c r="G223" s="34" t="inlineStr">
        <is>
          <t>Step3 진입</t>
        </is>
      </c>
      <c r="H223" s="34" t="inlineStr">
        <is>
          <t>1) 담당자 드롭다운 선택 2) 계약 완료</t>
        </is>
      </c>
      <c r="I223" s="34" t="inlineStr">
        <is>
          <t>매출에 staffId/Name 저장</t>
        </is>
      </c>
      <c r="K223" s="34" t="inlineStr">
        <is>
          <t>미실행</t>
        </is>
      </c>
      <c r="L223" s="34" t="inlineStr">
        <is>
          <t>High</t>
        </is>
      </c>
      <c r="M223" s="34" t="inlineStr">
        <is>
          <t>Major</t>
        </is>
      </c>
      <c r="T223" s="34" t="inlineStr">
        <is>
          <t>수동</t>
        </is>
      </c>
      <c r="U223" s="34" t="inlineStr">
        <is>
          <t>SCR-030</t>
        </is>
      </c>
      <c r="V223" s="34" t="inlineStr">
        <is>
          <t>FN-051</t>
        </is>
      </c>
      <c r="W223" s="34" t="inlineStr"/>
      <c r="AA223" s="34" t="inlineStr">
        <is>
          <t>실적 담당자/계약 처리자 분리</t>
        </is>
      </c>
    </row>
    <row r="224">
      <c r="A224" s="33" t="inlineStr">
        <is>
          <t>TC-273</t>
        </is>
      </c>
      <c r="B224" s="33" t="inlineStr">
        <is>
          <t>Web</t>
        </is>
      </c>
      <c r="C224" s="33" t="inlineStr">
        <is>
          <t>시설</t>
        </is>
      </c>
      <c r="D224" s="34" t="inlineStr">
        <is>
          <t>락커추천</t>
        </is>
      </c>
      <c r="E224" s="34" t="inlineStr">
        <is>
          <t>기능 테스트</t>
        </is>
      </c>
      <c r="F224" s="34" t="inlineStr">
        <is>
          <t>락커 추천 배정</t>
        </is>
      </c>
      <c r="G224" s="34" t="inlineStr">
        <is>
          <t>빈 락커 존재</t>
        </is>
      </c>
      <c r="H224" s="34" t="inlineStr">
        <is>
          <t>1) 락커 배정 모달</t>
        </is>
      </c>
      <c r="I224" s="34" t="inlineStr">
        <is>
          <t>최소 번호 빈 락커 추천</t>
        </is>
      </c>
      <c r="K224" s="34" t="inlineStr">
        <is>
          <t>미실행</t>
        </is>
      </c>
      <c r="L224" s="34" t="inlineStr">
        <is>
          <t>High</t>
        </is>
      </c>
      <c r="M224" s="34" t="inlineStr">
        <is>
          <t>Major</t>
        </is>
      </c>
      <c r="T224" s="34" t="inlineStr">
        <is>
          <t>수동</t>
        </is>
      </c>
      <c r="U224" s="34" t="inlineStr">
        <is>
          <t>SCR-030</t>
        </is>
      </c>
      <c r="V224" s="34" t="inlineStr">
        <is>
          <t>FN-051</t>
        </is>
      </c>
      <c r="W224" s="34" t="inlineStr"/>
      <c r="AA224" s="34" t="inlineStr">
        <is>
          <t>실적 담당자/계약 처리자 분리</t>
        </is>
      </c>
    </row>
    <row r="225">
      <c r="A225" s="33" t="inlineStr">
        <is>
          <t>TC-274</t>
        </is>
      </c>
      <c r="B225" s="33" t="inlineStr">
        <is>
          <t>Web</t>
        </is>
      </c>
      <c r="C225" s="33" t="inlineStr">
        <is>
          <t>결제</t>
        </is>
      </c>
      <c r="D225" s="34" t="inlineStr">
        <is>
          <t>프로모션</t>
        </is>
      </c>
      <c r="E225" s="34" t="inlineStr">
        <is>
          <t>기능 테스트</t>
        </is>
      </c>
      <c r="F225" s="34" t="inlineStr">
        <is>
          <t>프로모션 정률 할인</t>
        </is>
      </c>
      <c r="G225" s="34" t="inlineStr">
        <is>
          <t>10% 프로모션 활성</t>
        </is>
      </c>
      <c r="H225" s="34" t="inlineStr">
        <is>
          <t>1) 결제 시 프로모션 선택</t>
        </is>
      </c>
      <c r="I225" s="34" t="inlineStr">
        <is>
          <t>할인 금액 계산 표시</t>
        </is>
      </c>
      <c r="K225" s="34" t="inlineStr">
        <is>
          <t>미실행</t>
        </is>
      </c>
      <c r="L225" s="34" t="inlineStr">
        <is>
          <t>High</t>
        </is>
      </c>
      <c r="M225" s="34" t="inlineStr">
        <is>
          <t>Major</t>
        </is>
      </c>
      <c r="T225" s="34" t="inlineStr">
        <is>
          <t>수동</t>
        </is>
      </c>
      <c r="U225" s="34" t="inlineStr">
        <is>
          <t>SCR-041</t>
        </is>
      </c>
      <c r="V225" s="34" t="inlineStr">
        <is>
          <t>FN-052</t>
        </is>
      </c>
      <c r="W225" s="34" t="inlineStr"/>
      <c r="AA225" s="34" t="inlineStr">
        <is>
          <t>프로모션 할인 자동 적용</t>
        </is>
      </c>
    </row>
    <row r="226">
      <c r="A226" s="33" t="inlineStr">
        <is>
          <t>TC-275</t>
        </is>
      </c>
      <c r="B226" s="33" t="inlineStr">
        <is>
          <t>Web</t>
        </is>
      </c>
      <c r="C226" s="33" t="inlineStr">
        <is>
          <t>결제</t>
        </is>
      </c>
      <c r="D226" s="34" t="inlineStr">
        <is>
          <t>프로모션</t>
        </is>
      </c>
      <c r="E226" s="34" t="inlineStr">
        <is>
          <t>기능 테스트</t>
        </is>
      </c>
      <c r="F226" s="34" t="inlineStr">
        <is>
          <t>프로모션 정액 할인</t>
        </is>
      </c>
      <c r="G226" s="34" t="inlineStr">
        <is>
          <t>5000원 프로모션 활성</t>
        </is>
      </c>
      <c r="H226" s="34" t="inlineStr">
        <is>
          <t>1) 프로모션 선택</t>
        </is>
      </c>
      <c r="I226" s="34" t="inlineStr">
        <is>
          <t>5000원 차감</t>
        </is>
      </c>
      <c r="K226" s="34" t="inlineStr">
        <is>
          <t>미실행</t>
        </is>
      </c>
      <c r="L226" s="34" t="inlineStr">
        <is>
          <t>High</t>
        </is>
      </c>
      <c r="M226" s="34" t="inlineStr">
        <is>
          <t>Major</t>
        </is>
      </c>
      <c r="T226" s="34" t="inlineStr">
        <is>
          <t>수동</t>
        </is>
      </c>
      <c r="U226" s="34" t="inlineStr">
        <is>
          <t>SCR-041</t>
        </is>
      </c>
      <c r="V226" s="34" t="inlineStr">
        <is>
          <t>FN-052</t>
        </is>
      </c>
      <c r="W226" s="34" t="inlineStr"/>
      <c r="AA226" s="34" t="inlineStr">
        <is>
          <t>프로모션 할인 자동 적용</t>
        </is>
      </c>
    </row>
    <row r="227">
      <c r="A227" s="33" t="inlineStr">
        <is>
          <t>TC-276</t>
        </is>
      </c>
      <c r="B227" s="33" t="inlineStr">
        <is>
          <t>Web</t>
        </is>
      </c>
      <c r="C227" s="33" t="inlineStr">
        <is>
          <t>결제</t>
        </is>
      </c>
      <c r="D227" s="34" t="inlineStr">
        <is>
          <t>프로모션</t>
        </is>
      </c>
      <c r="E227" s="34" t="inlineStr">
        <is>
          <t>기능 테스트</t>
        </is>
      </c>
      <c r="F227" s="34" t="inlineStr">
        <is>
          <t>만료 프로모션 미표시</t>
        </is>
      </c>
      <c r="G227" s="34" t="inlineStr">
        <is>
          <t>만료 프로모션 존재</t>
        </is>
      </c>
      <c r="H227" s="34" t="inlineStr">
        <is>
          <t>1) 프로모션 목록 확인</t>
        </is>
      </c>
      <c r="I227" s="34" t="inlineStr">
        <is>
          <t>만료건 미표시</t>
        </is>
      </c>
      <c r="K227" s="34" t="inlineStr">
        <is>
          <t>미실행</t>
        </is>
      </c>
      <c r="L227" s="34" t="inlineStr">
        <is>
          <t>High</t>
        </is>
      </c>
      <c r="M227" s="34" t="inlineStr">
        <is>
          <t>Major</t>
        </is>
      </c>
      <c r="T227" s="34" t="inlineStr">
        <is>
          <t>수동</t>
        </is>
      </c>
      <c r="U227" s="34" t="inlineStr">
        <is>
          <t>SCR-041</t>
        </is>
      </c>
      <c r="V227" s="34" t="inlineStr">
        <is>
          <t>FN-052</t>
        </is>
      </c>
      <c r="W227" s="34" t="inlineStr"/>
      <c r="AA227" s="34" t="inlineStr">
        <is>
          <t>프로모션 할인 자동 적용</t>
        </is>
      </c>
    </row>
    <row r="228">
      <c r="A228" s="75" t="inlineStr">
        <is>
          <t>TC-277</t>
        </is>
      </c>
      <c r="B228" s="75" t="inlineStr">
        <is>
          <t>Web</t>
        </is>
      </c>
      <c r="C228" s="75" t="inlineStr">
        <is>
          <t>직원관리</t>
        </is>
      </c>
      <c r="D228" s="75" t="inlineStr">
        <is>
          <t>퇴사처리</t>
        </is>
      </c>
      <c r="E228" s="75" t="inlineStr">
        <is>
          <t>기능</t>
        </is>
      </c>
      <c r="F228" s="75" t="inlineStr">
        <is>
          <t>일반 직원 퇴사 처리 - 퇴사예정일 설정 후 계정 비활성화</t>
        </is>
      </c>
      <c r="G228" s="75" t="inlineStr">
        <is>
          <t>활성 상태 직원 존재, 센터장 로그인</t>
        </is>
      </c>
      <c r="H228" s="75" t="inlineStr">
        <is>
          <t>1. 직원관리 &gt; 대상 직원 선택
2. 퇴사 처리 클릭
3. 퇴사 예정일/사유 입력
4. 확인</t>
        </is>
      </c>
      <c r="I228" s="75" t="inlineStr">
        <is>
          <t>직원 상태 RESIGNED, 퇴사일 도래 시 로그인 차단, 데이터 보존</t>
        </is>
      </c>
      <c r="J228" s="75" t="n"/>
      <c r="K228" s="75" t="inlineStr">
        <is>
          <t>미실행</t>
        </is>
      </c>
      <c r="L228" s="75" t="inlineStr">
        <is>
          <t>P0</t>
        </is>
      </c>
      <c r="M228" s="75" t="n"/>
      <c r="N228" s="75" t="n"/>
      <c r="O228" s="75" t="n"/>
      <c r="P228" s="75" t="n"/>
      <c r="Q228" s="75" t="n"/>
      <c r="R228" s="75" t="n"/>
      <c r="S228" s="75" t="n"/>
      <c r="T228" s="75" t="n"/>
      <c r="U228" s="75" t="n"/>
      <c r="V228" s="75" t="inlineStr">
        <is>
          <t>FN-057</t>
        </is>
      </c>
      <c r="W228" s="75" t="n"/>
      <c r="X228" s="75" t="n"/>
      <c r="Y228" s="75" t="n"/>
      <c r="Z228" s="75" t="n"/>
      <c r="AA228" s="75" t="n"/>
      <c r="AB228" s="75" t="n"/>
      <c r="AC228" s="75" t="n"/>
    </row>
    <row r="229">
      <c r="A229" s="75" t="inlineStr">
        <is>
          <t>TC-278</t>
        </is>
      </c>
      <c r="B229" s="75" t="inlineStr">
        <is>
          <t>Web</t>
        </is>
      </c>
      <c r="C229" s="75" t="inlineStr">
        <is>
          <t>직원관리</t>
        </is>
      </c>
      <c r="D229" s="75" t="inlineStr">
        <is>
          <t>퇴사처리</t>
        </is>
      </c>
      <c r="E229" s="75" t="inlineStr">
        <is>
          <t>기능</t>
        </is>
      </c>
      <c r="F229" s="75" t="inlineStr">
        <is>
          <t>FC 퇴사 시 담당회원 자동 균등 재배정</t>
        </is>
      </c>
      <c r="G229" s="75" t="inlineStr">
        <is>
          <t>FC에 담당회원 5명, 같은 지점 다른 FC 2명</t>
        </is>
      </c>
      <c r="H229" s="75" t="inlineStr">
        <is>
          <t>1. FC 퇴사 예정일 설정
2. 담당회원 재배정 워크플로우 표시 확인
3. 자동 균등 배분 선택
4. 실행</t>
        </is>
      </c>
      <c r="I229" s="75" t="inlineStr">
        <is>
          <t>5명→2명 FC에 균등 배분(3/2명), 회원 알림 발송</t>
        </is>
      </c>
      <c r="J229" s="75" t="n"/>
      <c r="K229" s="75" t="inlineStr">
        <is>
          <t>미실행</t>
        </is>
      </c>
      <c r="L229" s="75" t="inlineStr">
        <is>
          <t>P0</t>
        </is>
      </c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75" t="inlineStr">
        <is>
          <t>FN-057</t>
        </is>
      </c>
      <c r="W229" s="75" t="n"/>
      <c r="X229" s="75" t="n"/>
      <c r="Y229" s="75" t="n"/>
      <c r="Z229" s="75" t="n"/>
      <c r="AA229" s="75" t="n"/>
      <c r="AB229" s="75" t="n"/>
      <c r="AC229" s="75" t="n"/>
    </row>
    <row r="230">
      <c r="A230" s="75" t="inlineStr">
        <is>
          <t>TC-279</t>
        </is>
      </c>
      <c r="B230" s="75" t="inlineStr">
        <is>
          <t>Web</t>
        </is>
      </c>
      <c r="C230" s="75" t="inlineStr">
        <is>
          <t>직원관리</t>
        </is>
      </c>
      <c r="D230" s="75" t="inlineStr">
        <is>
          <t>퇴사처리</t>
        </is>
      </c>
      <c r="E230" s="75" t="inlineStr">
        <is>
          <t>기능</t>
        </is>
      </c>
      <c r="F230" s="75" t="inlineStr">
        <is>
          <t>FC 퇴사 - PT 잔여횟수 회원은 수동지정 필수</t>
        </is>
      </c>
      <c r="G230" s="75" t="inlineStr">
        <is>
          <t>FC 담당회원 중 PT 잔여 3회 회원 존재</t>
        </is>
      </c>
      <c r="H230" s="75" t="inlineStr">
        <is>
          <t>1. FC 퇴사 처리
2. PT 잔여 회원은 자동배분 제외 확인
3. 후임 FC 수동 지정</t>
        </is>
      </c>
      <c r="I230" s="75" t="inlineStr">
        <is>
          <t>PT 잔여 회원만 수동지정 대상, 나머지 자동배분, 기존 PT기록 보존</t>
        </is>
      </c>
      <c r="J230" s="75" t="n"/>
      <c r="K230" s="75" t="inlineStr">
        <is>
          <t>미실행</t>
        </is>
      </c>
      <c r="L230" s="75" t="inlineStr">
        <is>
          <t>P0</t>
        </is>
      </c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75" t="inlineStr">
        <is>
          <t>FN-057</t>
        </is>
      </c>
      <c r="W230" s="75" t="n"/>
      <c r="X230" s="75" t="n"/>
      <c r="Y230" s="75" t="n"/>
      <c r="Z230" s="75" t="n"/>
      <c r="AA230" s="75" t="n"/>
      <c r="AB230" s="75" t="n"/>
      <c r="AC230" s="75" t="n"/>
    </row>
    <row r="231">
      <c r="A231" s="75" t="inlineStr">
        <is>
          <t>TC-280</t>
        </is>
      </c>
      <c r="B231" s="75" t="inlineStr">
        <is>
          <t>Web</t>
        </is>
      </c>
      <c r="C231" s="75" t="inlineStr">
        <is>
          <t>직원관리</t>
        </is>
      </c>
      <c r="D231" s="75" t="inlineStr">
        <is>
          <t>퇴사처리</t>
        </is>
      </c>
      <c r="E231" s="75" t="inlineStr">
        <is>
          <t>예외</t>
        </is>
      </c>
      <c r="F231" s="75" t="inlineStr">
        <is>
          <t>센터장 퇴사 - 후임 미지정 시 차단</t>
        </is>
      </c>
      <c r="G231" s="75" t="inlineStr">
        <is>
          <t>센터장 1명 지점, 슈퍼관리자 로그인</t>
        </is>
      </c>
      <c r="H231" s="75" t="inlineStr">
        <is>
          <t>1. 센터장 퇴사 처리 시도
2. 후임 센터장 미지정 상태에서 확인 클릭</t>
        </is>
      </c>
      <c r="I231" s="75" t="inlineStr">
        <is>
          <t>"후임 센터장을 먼저 지정해주세요" 에러, 퇴사 차단</t>
        </is>
      </c>
      <c r="J231" s="75" t="n"/>
      <c r="K231" s="75" t="inlineStr">
        <is>
          <t>미실행</t>
        </is>
      </c>
      <c r="L231" s="75" t="inlineStr">
        <is>
          <t>P0</t>
        </is>
      </c>
      <c r="M231" s="75" t="n"/>
      <c r="N231" s="75" t="n"/>
      <c r="O231" s="75" t="n"/>
      <c r="P231" s="75" t="n"/>
      <c r="Q231" s="75" t="n"/>
      <c r="R231" s="75" t="n"/>
      <c r="S231" s="75" t="n"/>
      <c r="T231" s="75" t="n"/>
      <c r="U231" s="75" t="n"/>
      <c r="V231" s="75" t="inlineStr">
        <is>
          <t>FN-057</t>
        </is>
      </c>
      <c r="W231" s="75" t="n"/>
      <c r="X231" s="75" t="n"/>
      <c r="Y231" s="75" t="n"/>
      <c r="Z231" s="75" t="n"/>
      <c r="AA231" s="75" t="n"/>
      <c r="AB231" s="75" t="n"/>
      <c r="AC231" s="75" t="n"/>
    </row>
    <row r="232">
      <c r="A232" s="75" t="inlineStr">
        <is>
          <t>TC-281</t>
        </is>
      </c>
      <c r="B232" s="75" t="inlineStr">
        <is>
          <t>Web</t>
        </is>
      </c>
      <c r="C232" s="75" t="inlineStr">
        <is>
          <t>직원관리</t>
        </is>
      </c>
      <c r="D232" s="75" t="inlineStr">
        <is>
          <t>데이터보존</t>
        </is>
      </c>
      <c r="E232" s="75" t="inlineStr">
        <is>
          <t>기능</t>
        </is>
      </c>
      <c r="F232" s="75" t="inlineStr">
        <is>
          <t>퇴사 직원 데이터 보존 및 읽기전용 확인</t>
        </is>
      </c>
      <c r="G232" s="75" t="inlineStr">
        <is>
          <t>퇴사 처리 완료 직원 존재</t>
        </is>
      </c>
      <c r="H232" s="75" t="inlineStr">
        <is>
          <t>1. 직원 목록 "전체" 필터
2. 퇴사 직원 "(퇴사)" 라벨 확인
3. 급여/매출/PT기록 조회</t>
        </is>
      </c>
      <c r="I232" s="75" t="inlineStr">
        <is>
          <t>모든 이력 조회 가능, 수정/삭제 불가(읽기전용)</t>
        </is>
      </c>
      <c r="J232" s="75" t="n"/>
      <c r="K232" s="75" t="inlineStr">
        <is>
          <t>미실행</t>
        </is>
      </c>
      <c r="L232" s="75" t="inlineStr">
        <is>
          <t>P0</t>
        </is>
      </c>
      <c r="M232" s="75" t="n"/>
      <c r="N232" s="75" t="n"/>
      <c r="O232" s="75" t="n"/>
      <c r="P232" s="75" t="n"/>
      <c r="Q232" s="75" t="n"/>
      <c r="R232" s="75" t="n"/>
      <c r="S232" s="75" t="n"/>
      <c r="T232" s="75" t="n"/>
      <c r="U232" s="75" t="n"/>
      <c r="V232" s="75" t="inlineStr">
        <is>
          <t>FN-057</t>
        </is>
      </c>
      <c r="W232" s="75" t="n"/>
      <c r="X232" s="75" t="n"/>
      <c r="Y232" s="75" t="n"/>
      <c r="Z232" s="75" t="n"/>
      <c r="AA232" s="75" t="n"/>
      <c r="AB232" s="75" t="n"/>
      <c r="AC232" s="75" t="n"/>
    </row>
    <row r="233">
      <c r="A233" s="75" t="inlineStr">
        <is>
          <t>TC-282</t>
        </is>
      </c>
      <c r="B233" s="75" t="inlineStr">
        <is>
          <t>Web</t>
        </is>
      </c>
      <c r="C233" s="75" t="inlineStr">
        <is>
          <t>급여관리</t>
        </is>
      </c>
      <c r="D233" s="75" t="inlineStr">
        <is>
          <t>최종정산</t>
        </is>
      </c>
      <c r="E233" s="75" t="inlineStr">
        <is>
          <t>기능</t>
        </is>
      </c>
      <c r="F233" s="75" t="inlineStr">
        <is>
          <t>퇴사 직원 최종 급여정산서 자동 생성</t>
        </is>
      </c>
      <c r="G233" s="75" t="inlineStr">
        <is>
          <t>퇴사 직원(근속 2년), 미지급 급여 존재</t>
        </is>
      </c>
      <c r="H233" s="75" t="inlineStr">
        <is>
          <t>1. 퇴사 처리 시 최종정산서 자동 생성 확인
2. 항목: 미지급급여/커미션/퇴직금/연차수당/선지급차감
3. 센터장 승인</t>
        </is>
      </c>
      <c r="I233" s="75" t="inlineStr">
        <is>
          <t>퇴직금=30일분×2년 정확, 승인 후 RESIGNED_SETTLED</t>
        </is>
      </c>
      <c r="J233" s="75" t="n"/>
      <c r="K233" s="75" t="inlineStr">
        <is>
          <t>미실행</t>
        </is>
      </c>
      <c r="L233" s="75" t="inlineStr">
        <is>
          <t>P0</t>
        </is>
      </c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75" t="inlineStr">
        <is>
          <t>FN-059</t>
        </is>
      </c>
      <c r="W233" s="75" t="n"/>
      <c r="X233" s="75" t="n"/>
      <c r="Y233" s="75" t="n"/>
      <c r="Z233" s="75" t="n"/>
      <c r="AA233" s="75" t="n"/>
      <c r="AB233" s="75" t="n"/>
      <c r="AC233" s="75" t="n"/>
    </row>
    <row r="234">
      <c r="A234" s="75" t="inlineStr">
        <is>
          <t>TC-283</t>
        </is>
      </c>
      <c r="B234" s="75" t="inlineStr">
        <is>
          <t>Web</t>
        </is>
      </c>
      <c r="C234" s="75" t="inlineStr">
        <is>
          <t>직원관리</t>
        </is>
      </c>
      <c r="D234" s="75" t="inlineStr">
        <is>
          <t>스케줄처리</t>
        </is>
      </c>
      <c r="E234" s="75" t="inlineStr">
        <is>
          <t>기능</t>
        </is>
      </c>
      <c r="F234" s="75" t="inlineStr">
        <is>
          <t>퇴사 예정 직원의 미래 스케줄 일괄 이관</t>
        </is>
      </c>
      <c r="G234" s="75" t="inlineStr">
        <is>
          <t>FC에 퇴사일 이후 PT 3건 예약</t>
        </is>
      </c>
      <c r="H234" s="75" t="inlineStr">
        <is>
          <t>1. 퇴사 예정일 설정
2. 이후 스케줄 목록 표시
3. 후임 FC에게 일괄 이관 선택</t>
        </is>
      </c>
      <c r="I234" s="75" t="inlineStr">
        <is>
          <t>3건 스케줄 후임으로 이관, 회원 알림</t>
        </is>
      </c>
      <c r="J234" s="75" t="n"/>
      <c r="K234" s="75" t="inlineStr">
        <is>
          <t>미실행</t>
        </is>
      </c>
      <c r="L234" s="75" t="inlineStr">
        <is>
          <t>P0</t>
        </is>
      </c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inlineStr">
        <is>
          <t>FN-057</t>
        </is>
      </c>
      <c r="W234" s="75" t="n"/>
      <c r="X234" s="75" t="n"/>
      <c r="Y234" s="75" t="n"/>
      <c r="Z234" s="75" t="n"/>
      <c r="AA234" s="75" t="n"/>
      <c r="AB234" s="75" t="n"/>
      <c r="AC234" s="75" t="n"/>
    </row>
    <row r="235">
      <c r="A235" s="75" t="inlineStr">
        <is>
          <t>TC-284</t>
        </is>
      </c>
      <c r="B235" s="75" t="inlineStr">
        <is>
          <t>Web</t>
        </is>
      </c>
      <c r="C235" s="75" t="inlineStr">
        <is>
          <t>직원관리</t>
        </is>
      </c>
      <c r="D235" s="75" t="inlineStr">
        <is>
          <t>지점이동</t>
        </is>
      </c>
      <c r="E235" s="75" t="inlineStr">
        <is>
          <t>기능</t>
        </is>
      </c>
      <c r="F235" s="75" t="inlineStr">
        <is>
          <t>직원 지점 이동(전보) 처리</t>
        </is>
      </c>
      <c r="G235" s="75" t="inlineStr">
        <is>
          <t>슈퍼관리자 로그인, A지점 FC, B지점 활성</t>
        </is>
      </c>
      <c r="H235" s="75" t="inlineStr">
        <is>
          <t>1. 직원관리 &gt; FC 선택
2. 지점 이동 &gt; B지점
3. 이동일/새역할 지정
4. 담당회원 재배정
5. 확인</t>
        </is>
      </c>
      <c r="I235" s="75" t="inlineStr">
        <is>
          <t>A지점 TRANSFERRED, B지점 새 계정, 급여 정산 분리</t>
        </is>
      </c>
      <c r="J235" s="75" t="n"/>
      <c r="K235" s="75" t="inlineStr">
        <is>
          <t>미실행</t>
        </is>
      </c>
      <c r="L235" s="75" t="inlineStr">
        <is>
          <t>P1</t>
        </is>
      </c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inlineStr">
        <is>
          <t>FN-060</t>
        </is>
      </c>
      <c r="W235" s="75" t="n"/>
      <c r="X235" s="75" t="n"/>
      <c r="Y235" s="75" t="n"/>
      <c r="Z235" s="75" t="n"/>
      <c r="AA235" s="75" t="n"/>
      <c r="AB235" s="75" t="n"/>
      <c r="AC235" s="75" t="n"/>
    </row>
    <row r="236">
      <c r="A236" s="75" t="inlineStr">
        <is>
          <t>TC-285</t>
        </is>
      </c>
      <c r="B236" s="75" t="inlineStr">
        <is>
          <t>Web</t>
        </is>
      </c>
      <c r="C236" s="75" t="inlineStr">
        <is>
          <t>직원관리</t>
        </is>
      </c>
      <c r="D236" s="75" t="inlineStr">
        <is>
          <t>휴직복직</t>
        </is>
      </c>
      <c r="E236" s="75" t="inlineStr">
        <is>
          <t>기능</t>
        </is>
      </c>
      <c r="F236" s="75" t="inlineStr">
        <is>
          <t>직원 휴직 등록 및 복직 처리</t>
        </is>
      </c>
      <c r="G236" s="75" t="inlineStr">
        <is>
          <t>FC 활성, 담당회원 3명</t>
        </is>
      </c>
      <c r="H236" s="75" t="inlineStr">
        <is>
          <t>1. 휴직 등록
2. 휴직 시작→로그인 차단
3. 담당회원 임시재배정
4. 복직 처리
5. 담당회원 원복</t>
        </is>
      </c>
      <c r="I236" s="75" t="inlineStr">
        <is>
          <t>휴직 중 로그인 차단, 복직 시 ACTIVE, 원복 가능</t>
        </is>
      </c>
      <c r="J236" s="75" t="n"/>
      <c r="K236" s="75" t="inlineStr">
        <is>
          <t>미실행</t>
        </is>
      </c>
      <c r="L236" s="75" t="inlineStr">
        <is>
          <t>P2</t>
        </is>
      </c>
      <c r="M236" s="75" t="n"/>
      <c r="N236" s="75" t="n"/>
      <c r="O236" s="75" t="n"/>
      <c r="P236" s="75" t="n"/>
      <c r="Q236" s="75" t="n"/>
      <c r="R236" s="75" t="n"/>
      <c r="S236" s="75" t="n"/>
      <c r="T236" s="75" t="n"/>
      <c r="U236" s="75" t="n"/>
      <c r="V236" s="75" t="inlineStr">
        <is>
          <t>FN-061</t>
        </is>
      </c>
      <c r="W236" s="75" t="n"/>
      <c r="X236" s="75" t="n"/>
      <c r="Y236" s="75" t="n"/>
      <c r="Z236" s="75" t="n"/>
      <c r="AA236" s="75" t="n"/>
      <c r="AB236" s="75" t="n"/>
      <c r="AC236" s="75" t="n"/>
    </row>
    <row r="237">
      <c r="A237" s="75" t="inlineStr">
        <is>
          <t>TC-286</t>
        </is>
      </c>
      <c r="B237" s="75" t="inlineStr">
        <is>
          <t>Web</t>
        </is>
      </c>
      <c r="C237" s="75" t="inlineStr">
        <is>
          <t>직원관리</t>
        </is>
      </c>
      <c r="D237" s="75" t="inlineStr">
        <is>
          <t>역할변경</t>
        </is>
      </c>
      <c r="E237" s="75" t="inlineStr">
        <is>
          <t>기능</t>
        </is>
      </c>
      <c r="F237" s="75" t="inlineStr">
        <is>
          <t>직원 역할 변경 (FC→매니저 승격)</t>
        </is>
      </c>
      <c r="G237" s="75" t="inlineStr">
        <is>
          <t>FC 활성, 담당회원 5명, 센터장 로그인</t>
        </is>
      </c>
      <c r="H237" s="75" t="inlineStr">
        <is>
          <t>1. 역할 변경 &gt; 매니저
2. 담당회원 재배정 선택
3. 확인</t>
        </is>
      </c>
      <c r="I237" s="75" t="inlineStr">
        <is>
          <t>즉시 메뉴/권한 변경, 담당회원 재배정, audit_log 기록</t>
        </is>
      </c>
      <c r="J237" s="75" t="n"/>
      <c r="K237" s="75" t="inlineStr">
        <is>
          <t>미실행</t>
        </is>
      </c>
      <c r="L237" s="75" t="inlineStr">
        <is>
          <t>P1</t>
        </is>
      </c>
      <c r="M237" s="75" t="n"/>
      <c r="N237" s="75" t="n"/>
      <c r="O237" s="75" t="n"/>
      <c r="P237" s="75" t="n"/>
      <c r="Q237" s="75" t="n"/>
      <c r="R237" s="75" t="n"/>
      <c r="S237" s="75" t="n"/>
      <c r="T237" s="75" t="n"/>
      <c r="U237" s="75" t="n"/>
      <c r="V237" s="75" t="inlineStr">
        <is>
          <t>FN-062</t>
        </is>
      </c>
      <c r="W237" s="75" t="n"/>
      <c r="X237" s="75" t="n"/>
      <c r="Y237" s="75" t="n"/>
      <c r="Z237" s="75" t="n"/>
      <c r="AA237" s="75" t="n"/>
      <c r="AB237" s="75" t="n"/>
      <c r="AC237" s="75" t="n"/>
    </row>
    <row r="238">
      <c r="A238" s="75" t="inlineStr">
        <is>
          <t>TC-287</t>
        </is>
      </c>
      <c r="B238" s="75" t="inlineStr">
        <is>
          <t>Web</t>
        </is>
      </c>
      <c r="C238" s="75" t="inlineStr">
        <is>
          <t>직원관리</t>
        </is>
      </c>
      <c r="D238" s="75" t="inlineStr">
        <is>
          <t>재입사</t>
        </is>
      </c>
      <c r="E238" s="75" t="inlineStr">
        <is>
          <t>기능</t>
        </is>
      </c>
      <c r="F238" s="75" t="inlineStr">
        <is>
          <t>퇴사 직원 재입사 - 이전 이력 연결</t>
        </is>
      </c>
      <c r="G238" s="75" t="inlineStr">
        <is>
          <t>3개월 전 퇴사 직원 존재</t>
        </is>
      </c>
      <c r="H238" s="75" t="inlineStr">
        <is>
          <t>1. 신규 직원 등록
2. "이전 이력 연결" 선택
3. 이전 직원 검색/선택</t>
        </is>
      </c>
      <c r="I238" s="75" t="inlineStr">
        <is>
          <t>새 ID 부여, previous_employee_id 연결, 이전 이력 읽기전용</t>
        </is>
      </c>
      <c r="J238" s="75" t="n"/>
      <c r="K238" s="75" t="inlineStr">
        <is>
          <t>미실행</t>
        </is>
      </c>
      <c r="L238" s="75" t="inlineStr">
        <is>
          <t>P2</t>
        </is>
      </c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75" t="inlineStr">
        <is>
          <t>FN-057</t>
        </is>
      </c>
      <c r="W238" s="75" t="n"/>
      <c r="X238" s="75" t="n"/>
      <c r="Y238" s="75" t="n"/>
      <c r="Z238" s="75" t="n"/>
      <c r="AA238" s="75" t="n"/>
      <c r="AB238" s="75" t="n"/>
      <c r="AC238" s="75" t="n"/>
    </row>
    <row r="239">
      <c r="A239" s="75" t="inlineStr">
        <is>
          <t>TC-288</t>
        </is>
      </c>
      <c r="B239" s="75" t="inlineStr">
        <is>
          <t>Web</t>
        </is>
      </c>
      <c r="C239" s="75" t="inlineStr">
        <is>
          <t>매출관리</t>
        </is>
      </c>
      <c r="D239" s="75" t="inlineStr">
        <is>
          <t>리포트</t>
        </is>
      </c>
      <c r="E239" s="75" t="inlineStr">
        <is>
          <t>기능</t>
        </is>
      </c>
      <c r="F239" s="75" t="inlineStr">
        <is>
          <t>퇴사 직원 매출 리포트 표시</t>
        </is>
      </c>
      <c r="G239" s="75" t="inlineStr">
        <is>
          <t>퇴사 직원 매출 10건</t>
        </is>
      </c>
      <c r="H239" s="75" t="inlineStr">
        <is>
          <t>1. 매출 리포트
2. 퇴사 직원 포함/제외 토글
3. 직원명 확인</t>
        </is>
      </c>
      <c r="I239" s="75" t="inlineStr">
        <is>
          <t>"(퇴사) 홍길동" 표시, 토글 필터 동작, staff_id 원본 유지</t>
        </is>
      </c>
      <c r="J239" s="75" t="n"/>
      <c r="K239" s="75" t="inlineStr">
        <is>
          <t>미실행</t>
        </is>
      </c>
      <c r="L239" s="75" t="inlineStr">
        <is>
          <t>P1</t>
        </is>
      </c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75" t="inlineStr">
        <is>
          <t>FN-057</t>
        </is>
      </c>
      <c r="W239" s="75" t="n"/>
      <c r="X239" s="75" t="n"/>
      <c r="Y239" s="75" t="n"/>
      <c r="Z239" s="75" t="n"/>
      <c r="AA239" s="75" t="n"/>
      <c r="AB239" s="75" t="n"/>
      <c r="AC239" s="75" t="n"/>
    </row>
    <row r="240">
      <c r="A240" s="76" t="inlineStr">
        <is>
          <t>TC-289</t>
        </is>
      </c>
      <c r="B240" s="76" t="inlineStr">
        <is>
          <t>Web</t>
        </is>
      </c>
      <c r="C240" s="76" t="inlineStr">
        <is>
          <t>회원관리</t>
        </is>
      </c>
      <c r="D240" s="76" t="inlineStr">
        <is>
          <t>지점이관</t>
        </is>
      </c>
      <c r="E240" s="76" t="inlineStr">
        <is>
          <t>기능</t>
        </is>
      </c>
      <c r="F240" s="76" t="inlineStr">
        <is>
          <t>회원 지점 이관 - 이용권 유지</t>
        </is>
      </c>
      <c r="G240" s="76" t="inlineStr">
        <is>
          <t>A지점 회원(PT잔여5회), B지점 활성, 슈퍼관리자</t>
        </is>
      </c>
      <c r="H240" s="76" t="inlineStr">
        <is>
          <t>1. 회원 이관 &gt; B지점
2. 체크: 미납금0/락커없음
3. PT "잔여횟수 유지" 선택
4. 승인</t>
        </is>
      </c>
      <c r="I240" s="76" t="inlineStr">
        <is>
          <t>branch_id 변경, PT 5회 이전, 이관 로그 생성</t>
        </is>
      </c>
      <c r="J240" s="76" t="n"/>
      <c r="K240" s="76" t="inlineStr">
        <is>
          <t>미실행</t>
        </is>
      </c>
      <c r="L240" s="76" t="inlineStr">
        <is>
          <t>P1</t>
        </is>
      </c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inlineStr">
        <is>
          <t>FN-058</t>
        </is>
      </c>
      <c r="W240" s="76" t="n"/>
      <c r="X240" s="76" t="n"/>
      <c r="Y240" s="76" t="n"/>
      <c r="Z240" s="76" t="n"/>
      <c r="AA240" s="76" t="n"/>
      <c r="AB240" s="76" t="n"/>
      <c r="AC240" s="76" t="n"/>
    </row>
    <row r="241">
      <c r="A241" s="76" t="inlineStr">
        <is>
          <t>TC-290</t>
        </is>
      </c>
      <c r="B241" s="76" t="inlineStr">
        <is>
          <t>Web</t>
        </is>
      </c>
      <c r="C241" s="76" t="inlineStr">
        <is>
          <t>회원관리</t>
        </is>
      </c>
      <c r="D241" s="76" t="inlineStr">
        <is>
          <t>지점이관</t>
        </is>
      </c>
      <c r="E241" s="76" t="inlineStr">
        <is>
          <t>예외</t>
        </is>
      </c>
      <c r="F241" s="76" t="inlineStr">
        <is>
          <t>회원 이관 - 미납금 시 차단</t>
        </is>
      </c>
      <c r="G241" s="76" t="inlineStr">
        <is>
          <t>미납금 3만원 회원</t>
        </is>
      </c>
      <c r="H241" s="76" t="inlineStr">
        <is>
          <t>1. 이관 시도</t>
        </is>
      </c>
      <c r="I241" s="76" t="inlineStr">
        <is>
          <t>"미납금 30,000원 정산 후 이관 가능" 차단</t>
        </is>
      </c>
      <c r="J241" s="76" t="n"/>
      <c r="K241" s="76" t="inlineStr">
        <is>
          <t>미실행</t>
        </is>
      </c>
      <c r="L241" s="76" t="inlineStr">
        <is>
          <t>P1</t>
        </is>
      </c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inlineStr">
        <is>
          <t>FN-058</t>
        </is>
      </c>
      <c r="W241" s="76" t="n"/>
      <c r="X241" s="76" t="n"/>
      <c r="Y241" s="76" t="n"/>
      <c r="Z241" s="76" t="n"/>
      <c r="AA241" s="76" t="n"/>
      <c r="AB241" s="76" t="n"/>
      <c r="AC241" s="76" t="n"/>
    </row>
    <row r="242">
      <c r="A242" s="76" t="inlineStr">
        <is>
          <t>TC-291</t>
        </is>
      </c>
      <c r="B242" s="76" t="inlineStr">
        <is>
          <t>Web</t>
        </is>
      </c>
      <c r="C242" s="76" t="inlineStr">
        <is>
          <t>회원관리</t>
        </is>
      </c>
      <c r="D242" s="76" t="inlineStr">
        <is>
          <t>지점이관</t>
        </is>
      </c>
      <c r="E242" s="76" t="inlineStr">
        <is>
          <t>예외</t>
        </is>
      </c>
      <c r="F242" s="76" t="inlineStr">
        <is>
          <t>회원 이관 - 락커 반납 필수</t>
        </is>
      </c>
      <c r="G242" s="76" t="inlineStr">
        <is>
          <t>락커 배정 회원</t>
        </is>
      </c>
      <c r="H242" s="76" t="inlineStr">
        <is>
          <t>1. 이관 시도
2. "락커 반납 필요" 경고
3. 반납 후 재시도</t>
        </is>
      </c>
      <c r="I242" s="76" t="inlineStr">
        <is>
          <t>미반납 시 차단, 반납 후 진행 가능</t>
        </is>
      </c>
      <c r="J242" s="76" t="n"/>
      <c r="K242" s="76" t="inlineStr">
        <is>
          <t>미실행</t>
        </is>
      </c>
      <c r="L242" s="76" t="inlineStr">
        <is>
          <t>P1</t>
        </is>
      </c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inlineStr">
        <is>
          <t>FN-058</t>
        </is>
      </c>
      <c r="W242" s="76" t="n"/>
      <c r="X242" s="76" t="n"/>
      <c r="Y242" s="76" t="n"/>
      <c r="Z242" s="76" t="n"/>
      <c r="AA242" s="76" t="n"/>
      <c r="AB242" s="76" t="n"/>
      <c r="AC242" s="76" t="n"/>
    </row>
    <row r="243">
      <c r="A243" s="76" t="inlineStr">
        <is>
          <t>TC-292</t>
        </is>
      </c>
      <c r="B243" s="76" t="inlineStr">
        <is>
          <t>Web</t>
        </is>
      </c>
      <c r="C243" s="76" t="inlineStr">
        <is>
          <t>회원관리</t>
        </is>
      </c>
      <c r="D243" s="76" t="inlineStr">
        <is>
          <t>탈퇴처리</t>
        </is>
      </c>
      <c r="E243" s="76" t="inlineStr">
        <is>
          <t>기능</t>
        </is>
      </c>
      <c r="F243" s="76" t="inlineStr">
        <is>
          <t>회원 자발적 탈퇴 - 환불 포함</t>
        </is>
      </c>
      <c r="G243" s="76" t="inlineStr">
        <is>
          <t>활성 회원 (잔여 이용권)</t>
        </is>
      </c>
      <c r="H243" s="76" t="inlineStr">
        <is>
          <t>1. 탈퇴 처리
2. 이용권 환불 선택
3. 락커 반납
4. 최종 확인</t>
        </is>
      </c>
      <c r="I243" s="76" t="inlineStr">
        <is>
          <t>WITHDRAWN, 환불, 락커 반납, 쿠폰/마일리지 소멸</t>
        </is>
      </c>
      <c r="J243" s="76" t="n"/>
      <c r="K243" s="76" t="inlineStr">
        <is>
          <t>미실행</t>
        </is>
      </c>
      <c r="L243" s="76" t="inlineStr">
        <is>
          <t>P0</t>
        </is>
      </c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inlineStr">
        <is>
          <t>FN-058</t>
        </is>
      </c>
      <c r="W243" s="76" t="n"/>
      <c r="X243" s="76" t="n"/>
      <c r="Y243" s="76" t="n"/>
      <c r="Z243" s="76" t="n"/>
      <c r="AA243" s="76" t="n"/>
      <c r="AB243" s="76" t="n"/>
      <c r="AC243" s="76" t="n"/>
    </row>
    <row r="244">
      <c r="A244" s="76" t="inlineStr">
        <is>
          <t>TC-293</t>
        </is>
      </c>
      <c r="B244" s="76" t="inlineStr">
        <is>
          <t>Web</t>
        </is>
      </c>
      <c r="C244" s="76" t="inlineStr">
        <is>
          <t>회원관리</t>
        </is>
      </c>
      <c r="D244" s="76" t="inlineStr">
        <is>
          <t>재가입</t>
        </is>
      </c>
      <c r="E244" s="76" t="inlineStr">
        <is>
          <t>기능</t>
        </is>
      </c>
      <c r="F244" s="76" t="inlineStr">
        <is>
          <t>탈퇴 회원 재가입 - 데이터 연결</t>
        </is>
      </c>
      <c r="G244" s="76" t="inlineStr">
        <is>
          <t>3개월 전 탈퇴 회원(마스킹 전)</t>
        </is>
      </c>
      <c r="H244" s="76" t="inlineStr">
        <is>
          <t>1. 동일 연락처 가입
2. "이전 이력 있음" 표시
3. 데이터 연결 선택</t>
        </is>
      </c>
      <c r="I244" s="76" t="inlineStr">
        <is>
          <t>새 member_id + previous_member_id 연결, 이전 이력 복원</t>
        </is>
      </c>
      <c r="J244" s="76" t="n"/>
      <c r="K244" s="76" t="inlineStr">
        <is>
          <t>미실행</t>
        </is>
      </c>
      <c r="L244" s="76" t="inlineStr">
        <is>
          <t>P2</t>
        </is>
      </c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inlineStr">
        <is>
          <t>FN-058</t>
        </is>
      </c>
      <c r="W244" s="76" t="n"/>
      <c r="X244" s="76" t="n"/>
      <c r="Y244" s="76" t="n"/>
      <c r="Z244" s="76" t="n"/>
      <c r="AA244" s="76" t="n"/>
      <c r="AB244" s="76" t="n"/>
      <c r="AC244" s="76" t="n"/>
    </row>
    <row r="245">
      <c r="A245" s="76" t="inlineStr">
        <is>
          <t>TC-294</t>
        </is>
      </c>
      <c r="B245" s="76" t="inlineStr">
        <is>
          <t>Web</t>
        </is>
      </c>
      <c r="C245" s="76" t="inlineStr">
        <is>
          <t>회원관리</t>
        </is>
      </c>
      <c r="D245" s="76" t="inlineStr">
        <is>
          <t>개인정보</t>
        </is>
      </c>
      <c r="E245" s="76" t="inlineStr">
        <is>
          <t>기능</t>
        </is>
      </c>
      <c r="F245" s="76" t="inlineStr">
        <is>
          <t>개인정보 삭제 요청 처리</t>
        </is>
      </c>
      <c r="G245" s="76" t="inlineStr">
        <is>
          <t>탈퇴 회원, 결제이력 3건</t>
        </is>
      </c>
      <c r="H245" s="76" t="inlineStr">
        <is>
          <t>1. 삭제 요청
2. 범위 확인
3. 실행</t>
        </is>
      </c>
      <c r="I245" s="76" t="inlineStr">
        <is>
          <t>체성분 삭제, 연락처 마스킹, 결제이력 5년 보존, audit_log</t>
        </is>
      </c>
      <c r="J245" s="76" t="n"/>
      <c r="K245" s="76" t="inlineStr">
        <is>
          <t>미실행</t>
        </is>
      </c>
      <c r="L245" s="76" t="inlineStr">
        <is>
          <t>P1</t>
        </is>
      </c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inlineStr">
        <is>
          <t>FN-058</t>
        </is>
      </c>
      <c r="W245" s="76" t="n"/>
      <c r="X245" s="76" t="n"/>
      <c r="Y245" s="76" t="n"/>
      <c r="Z245" s="76" t="n"/>
      <c r="AA245" s="76" t="n"/>
      <c r="AB245" s="76" t="n"/>
      <c r="AC245" s="76" t="n"/>
    </row>
    <row r="246">
      <c r="A246" s="76" t="inlineStr">
        <is>
          <t>TC-295</t>
        </is>
      </c>
      <c r="B246" s="76" t="inlineStr">
        <is>
          <t>Web</t>
        </is>
      </c>
      <c r="C246" s="76" t="inlineStr">
        <is>
          <t>회원관리</t>
        </is>
      </c>
      <c r="D246" s="76" t="inlineStr">
        <is>
          <t>다지점이용</t>
        </is>
      </c>
      <c r="E246" s="76" t="inlineStr">
        <is>
          <t>기능</t>
        </is>
      </c>
      <c r="F246" s="76" t="inlineStr">
        <is>
          <t>다지점 게스트 방문 출석/차감</t>
        </is>
      </c>
      <c r="G246" s="76" t="inlineStr">
        <is>
          <t>A지점 회원, B지점 게스트방문 허용</t>
        </is>
      </c>
      <c r="H246" s="76" t="inlineStr">
        <is>
          <t>1. B지점 출석
2. 이용권 차감 확인</t>
        </is>
      </c>
      <c r="I246" s="76" t="inlineStr">
        <is>
          <t>B지점 출석 기록, A지점 이용권 차감</t>
        </is>
      </c>
      <c r="J246" s="76" t="n"/>
      <c r="K246" s="76" t="inlineStr">
        <is>
          <t>미실행</t>
        </is>
      </c>
      <c r="L246" s="76" t="inlineStr">
        <is>
          <t>P2</t>
        </is>
      </c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inlineStr">
        <is>
          <t>FN-058</t>
        </is>
      </c>
      <c r="W246" s="76" t="n"/>
      <c r="X246" s="76" t="n"/>
      <c r="Y246" s="76" t="n"/>
      <c r="Z246" s="76" t="n"/>
      <c r="AA246" s="76" t="n"/>
      <c r="AB246" s="76" t="n"/>
      <c r="AC246" s="76" t="n"/>
    </row>
    <row r="247">
      <c r="A247" s="77" t="inlineStr">
        <is>
          <t>TC-296</t>
        </is>
      </c>
      <c r="B247" s="77" t="inlineStr">
        <is>
          <t>Web</t>
        </is>
      </c>
      <c r="C247" s="77" t="inlineStr">
        <is>
          <t>지점관리</t>
        </is>
      </c>
      <c r="D247" s="77" t="inlineStr">
        <is>
          <t>폐점</t>
        </is>
      </c>
      <c r="E247" s="77" t="inlineStr">
        <is>
          <t>기능</t>
        </is>
      </c>
      <c r="F247" s="77" t="inlineStr">
        <is>
          <t>지점 폐점 시 회원 일괄 처리 대시보드</t>
        </is>
      </c>
      <c r="G247" s="77" t="inlineStr">
        <is>
          <t>회원 20명 지점, 슈퍼관리자</t>
        </is>
      </c>
      <c r="H247" s="77" t="inlineStr">
        <is>
          <t>1. 폐점 시작
2. 회원별 이관/환불/자연소멸 선택
3. 미처리 알림 확인</t>
        </is>
      </c>
      <c r="I247" s="77" t="inlineStr">
        <is>
          <t>처리 현황 추적, 미처리 알림, 폐점일 자동 환불</t>
        </is>
      </c>
      <c r="J247" s="77" t="n"/>
      <c r="K247" s="77" t="inlineStr">
        <is>
          <t>미실행</t>
        </is>
      </c>
      <c r="L247" s="77" t="inlineStr">
        <is>
          <t>P1</t>
        </is>
      </c>
      <c r="M247" s="77" t="n"/>
      <c r="N247" s="77" t="n"/>
      <c r="O247" s="77" t="n"/>
      <c r="P247" s="77" t="n"/>
      <c r="Q247" s="77" t="n"/>
      <c r="R247" s="77" t="n"/>
      <c r="S247" s="77" t="n"/>
      <c r="T247" s="77" t="n"/>
      <c r="U247" s="77" t="n"/>
      <c r="V247" s="77" t="inlineStr">
        <is>
          <t>FN-064</t>
        </is>
      </c>
      <c r="W247" s="77" t="n"/>
      <c r="X247" s="77" t="n"/>
      <c r="Y247" s="77" t="n"/>
      <c r="Z247" s="77" t="n"/>
      <c r="AA247" s="77" t="n"/>
      <c r="AB247" s="77" t="n"/>
      <c r="AC247" s="77" t="n"/>
    </row>
    <row r="248">
      <c r="A248" s="76" t="inlineStr">
        <is>
          <t>TC-297</t>
        </is>
      </c>
      <c r="B248" s="76" t="inlineStr">
        <is>
          <t>Web</t>
        </is>
      </c>
      <c r="C248" s="76" t="inlineStr">
        <is>
          <t>회원관리</t>
        </is>
      </c>
      <c r="D248" s="76" t="inlineStr">
        <is>
          <t>이관</t>
        </is>
      </c>
      <c r="E248" s="76" t="inlineStr">
        <is>
          <t>기능</t>
        </is>
      </c>
      <c r="F248" s="76" t="inlineStr">
        <is>
          <t>쿠폰/마일리지 이관 정책 적용</t>
        </is>
      </c>
      <c r="G248" s="76" t="inlineStr">
        <is>
          <t>지점한정 쿠폰1 + 공통 쿠폰1 + 5000P</t>
        </is>
      </c>
      <c r="H248" s="76" t="inlineStr">
        <is>
          <t>1. 지점 이관
2. 쿠폰/포인트 처리 확인</t>
        </is>
      </c>
      <c r="I248" s="76" t="inlineStr">
        <is>
          <t>한정 쿠폰 소멸, 공통 쿠폰 이관, 포인트 유지</t>
        </is>
      </c>
      <c r="J248" s="76" t="n"/>
      <c r="K248" s="76" t="inlineStr">
        <is>
          <t>미실행</t>
        </is>
      </c>
      <c r="L248" s="76" t="inlineStr">
        <is>
          <t>P2</t>
        </is>
      </c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inlineStr">
        <is>
          <t>FN-058</t>
        </is>
      </c>
      <c r="W248" s="76" t="n"/>
      <c r="X248" s="76" t="n"/>
      <c r="Y248" s="76" t="n"/>
      <c r="Z248" s="76" t="n"/>
      <c r="AA248" s="76" t="n"/>
      <c r="AB248" s="76" t="n"/>
      <c r="AC248" s="76" t="n"/>
    </row>
    <row r="249">
      <c r="A249" s="77" t="inlineStr">
        <is>
          <t>TC-298</t>
        </is>
      </c>
      <c r="B249" s="77" t="inlineStr">
        <is>
          <t>Web</t>
        </is>
      </c>
      <c r="C249" s="77" t="inlineStr">
        <is>
          <t>지점관리</t>
        </is>
      </c>
      <c r="D249" s="77" t="inlineStr">
        <is>
          <t>폐점</t>
        </is>
      </c>
      <c r="E249" s="77" t="inlineStr">
        <is>
          <t>E2E</t>
        </is>
      </c>
      <c r="F249" s="77" t="inlineStr">
        <is>
          <t>지점 폐점 60일 프로세스 전체 흐름</t>
        </is>
      </c>
      <c r="G249" s="77" t="inlineStr">
        <is>
          <t>활성 지점(회원10, 직원5)</t>
        </is>
      </c>
      <c r="H249" s="77" t="inlineStr">
        <is>
          <t>1. CLOSING 전환
2. 신규가입 차단 확인
3. 회원 처리
4. 직원 처리
5. D-Day INACTIVE</t>
        </is>
      </c>
      <c r="I249" s="77" t="inlineStr">
        <is>
          <t>단계별 알림, 최종 정산서, 데이터 영구 보존</t>
        </is>
      </c>
      <c r="J249" s="77" t="n"/>
      <c r="K249" s="77" t="inlineStr">
        <is>
          <t>미실행</t>
        </is>
      </c>
      <c r="L249" s="77" t="inlineStr">
        <is>
          <t>P1</t>
        </is>
      </c>
      <c r="M249" s="77" t="n"/>
      <c r="N249" s="77" t="n"/>
      <c r="O249" s="77" t="n"/>
      <c r="P249" s="77" t="n"/>
      <c r="Q249" s="77" t="n"/>
      <c r="R249" s="77" t="n"/>
      <c r="S249" s="77" t="n"/>
      <c r="T249" s="77" t="n"/>
      <c r="U249" s="77" t="n"/>
      <c r="V249" s="77" t="inlineStr">
        <is>
          <t>FN-064</t>
        </is>
      </c>
      <c r="W249" s="77" t="n"/>
      <c r="X249" s="77" t="n"/>
      <c r="Y249" s="77" t="n"/>
      <c r="Z249" s="77" t="n"/>
      <c r="AA249" s="77" t="n"/>
      <c r="AB249" s="77" t="n"/>
      <c r="AC249" s="77" t="n"/>
    </row>
    <row r="250">
      <c r="A250" s="77" t="inlineStr">
        <is>
          <t>TC-299</t>
        </is>
      </c>
      <c r="B250" s="77" t="inlineStr">
        <is>
          <t>Web</t>
        </is>
      </c>
      <c r="C250" s="77" t="inlineStr">
        <is>
          <t>지점관리</t>
        </is>
      </c>
      <c r="D250" s="77" t="inlineStr">
        <is>
          <t>폐점</t>
        </is>
      </c>
      <c r="E250" s="77" t="inlineStr">
        <is>
          <t>기능</t>
        </is>
      </c>
      <c r="F250" s="77" t="inlineStr">
        <is>
          <t>지점 폐점 - 직원 일괄 처리</t>
        </is>
      </c>
      <c r="G250" s="77" t="inlineStr">
        <is>
          <t>폐점 진행 중, 직원 5명</t>
        </is>
      </c>
      <c r="H250" s="77" t="inlineStr">
        <is>
          <t>1. 일괄 대시보드
2. 2명 전보, 2명 퇴사, 1명 대기
3. 각각 실행</t>
        </is>
      </c>
      <c r="I250" s="77" t="inlineStr">
        <is>
          <t>전보: 새 계정, 퇴사: 정산서, 대기: 본사 임시 배치</t>
        </is>
      </c>
      <c r="J250" s="77" t="n"/>
      <c r="K250" s="77" t="inlineStr">
        <is>
          <t>미실행</t>
        </is>
      </c>
      <c r="L250" s="77" t="inlineStr">
        <is>
          <t>P1</t>
        </is>
      </c>
      <c r="M250" s="77" t="n"/>
      <c r="N250" s="77" t="n"/>
      <c r="O250" s="77" t="n"/>
      <c r="P250" s="77" t="n"/>
      <c r="Q250" s="77" t="n"/>
      <c r="R250" s="77" t="n"/>
      <c r="S250" s="77" t="n"/>
      <c r="T250" s="77" t="n"/>
      <c r="U250" s="77" t="n"/>
      <c r="V250" s="77" t="inlineStr">
        <is>
          <t>FN-064</t>
        </is>
      </c>
      <c r="W250" s="77" t="n"/>
      <c r="X250" s="77" t="n"/>
      <c r="Y250" s="77" t="n"/>
      <c r="Z250" s="77" t="n"/>
      <c r="AA250" s="77" t="n"/>
      <c r="AB250" s="77" t="n"/>
      <c r="AC250" s="77" t="n"/>
    </row>
    <row r="251">
      <c r="A251" s="77" t="inlineStr">
        <is>
          <t>TC-300</t>
        </is>
      </c>
      <c r="B251" s="77" t="inlineStr">
        <is>
          <t>Web</t>
        </is>
      </c>
      <c r="C251" s="77" t="inlineStr">
        <is>
          <t>지점관리</t>
        </is>
      </c>
      <c r="D251" s="77" t="inlineStr">
        <is>
          <t>일시휴업</t>
        </is>
      </c>
      <c r="E251" s="77" t="inlineStr">
        <is>
          <t>기능</t>
        </is>
      </c>
      <c r="F251" s="77" t="inlineStr">
        <is>
          <t>지점 일시 휴업 및 재개</t>
        </is>
      </c>
      <c r="G251" s="77" t="inlineStr">
        <is>
          <t>활성 지점(회원30명)</t>
        </is>
      </c>
      <c r="H251" s="77" t="inlineStr">
        <is>
          <t>1. 휴업 설정
2. 전 회원 자동 홀딩 확인
3. 재개 처리
4. 홀딩 해제+이용권 연장</t>
        </is>
      </c>
      <c r="I251" s="77" t="inlineStr">
        <is>
          <t>자동 홀딩/해제, 연장 정확, 재개 알림</t>
        </is>
      </c>
      <c r="J251" s="77" t="n"/>
      <c r="K251" s="77" t="inlineStr">
        <is>
          <t>미실행</t>
        </is>
      </c>
      <c r="L251" s="77" t="inlineStr">
        <is>
          <t>P2</t>
        </is>
      </c>
      <c r="M251" s="77" t="n"/>
      <c r="N251" s="77" t="n"/>
      <c r="O251" s="77" t="n"/>
      <c r="P251" s="77" t="n"/>
      <c r="Q251" s="77" t="n"/>
      <c r="R251" s="77" t="n"/>
      <c r="S251" s="77" t="n"/>
      <c r="T251" s="77" t="n"/>
      <c r="U251" s="77" t="n"/>
      <c r="V251" s="77" t="inlineStr">
        <is>
          <t>FN-066</t>
        </is>
      </c>
      <c r="W251" s="77" t="n"/>
      <c r="X251" s="77" t="n"/>
      <c r="Y251" s="77" t="n"/>
      <c r="Z251" s="77" t="n"/>
      <c r="AA251" s="77" t="n"/>
      <c r="AB251" s="77" t="n"/>
      <c r="AC251" s="77" t="n"/>
    </row>
    <row r="252">
      <c r="A252" s="77" t="inlineStr">
        <is>
          <t>TC-301</t>
        </is>
      </c>
      <c r="B252" s="77" t="inlineStr">
        <is>
          <t>Web</t>
        </is>
      </c>
      <c r="C252" s="77" t="inlineStr">
        <is>
          <t>지점관리</t>
        </is>
      </c>
      <c r="D252" s="77" t="inlineStr">
        <is>
          <t>신규오픈</t>
        </is>
      </c>
      <c r="E252" s="77" t="inlineStr">
        <is>
          <t>기능</t>
        </is>
      </c>
      <c r="F252" s="77" t="inlineStr">
        <is>
          <t>신규 지점 초기화 위저드</t>
        </is>
      </c>
      <c r="G252" s="77" t="inlineStr">
        <is>
          <t>슈퍼관리자, 기존 지점 1개</t>
        </is>
      </c>
      <c r="H252" s="77" t="inlineStr">
        <is>
          <t>1. 지점 생성
2. 상품 복사
3. 센터장 계정 생성
4. 체크리스트</t>
        </is>
      </c>
      <c r="I252" s="77" t="inlineStr">
        <is>
          <t>지점 생성, 상품 복사, 초기 비밀번호 발급</t>
        </is>
      </c>
      <c r="J252" s="77" t="n"/>
      <c r="K252" s="77" t="inlineStr">
        <is>
          <t>미실행</t>
        </is>
      </c>
      <c r="L252" s="77" t="inlineStr">
        <is>
          <t>P1</t>
        </is>
      </c>
      <c r="M252" s="77" t="n"/>
      <c r="N252" s="77" t="n"/>
      <c r="O252" s="77" t="n"/>
      <c r="P252" s="77" t="n"/>
      <c r="Q252" s="77" t="n"/>
      <c r="R252" s="77" t="n"/>
      <c r="S252" s="77" t="n"/>
      <c r="T252" s="77" t="n"/>
      <c r="U252" s="77" t="n"/>
      <c r="V252" s="77" t="inlineStr">
        <is>
          <t>FN-068</t>
        </is>
      </c>
      <c r="W252" s="77" t="n"/>
      <c r="X252" s="77" t="n"/>
      <c r="Y252" s="77" t="n"/>
      <c r="Z252" s="77" t="n"/>
      <c r="AA252" s="77" t="n"/>
      <c r="AB252" s="77" t="n"/>
      <c r="AC252" s="77" t="n"/>
    </row>
    <row r="253">
      <c r="A253" s="77" t="inlineStr">
        <is>
          <t>TC-302</t>
        </is>
      </c>
      <c r="B253" s="77" t="inlineStr">
        <is>
          <t>Web</t>
        </is>
      </c>
      <c r="C253" s="77" t="inlineStr">
        <is>
          <t>지점관리</t>
        </is>
      </c>
      <c r="D253" s="77" t="inlineStr">
        <is>
          <t>합병</t>
        </is>
      </c>
      <c r="E253" s="77" t="inlineStr">
        <is>
          <t>기능</t>
        </is>
      </c>
      <c r="F253" s="77" t="inlineStr">
        <is>
          <t>지점 합병 (흡수) - 중복회원 처리</t>
        </is>
      </c>
      <c r="G253" s="77" t="inlineStr">
        <is>
          <t>A(회원20), B(회원15), 중복 2명</t>
        </is>
      </c>
      <c r="H253" s="77" t="inlineStr">
        <is>
          <t>1. A에 B 흡수
2. 중복 탐지
3. 이용권 통합
4. 센터장 충돌 해결
5. 실행</t>
        </is>
      </c>
      <c r="I253" s="77" t="inlineStr">
        <is>
          <t>B 폐점, 회원 이관, 중복 합산, 역할 조정</t>
        </is>
      </c>
      <c r="J253" s="77" t="n"/>
      <c r="K253" s="77" t="inlineStr">
        <is>
          <t>미실행</t>
        </is>
      </c>
      <c r="L253" s="77" t="inlineStr">
        <is>
          <t>P3</t>
        </is>
      </c>
      <c r="M253" s="77" t="n"/>
      <c r="N253" s="77" t="n"/>
      <c r="O253" s="77" t="n"/>
      <c r="P253" s="77" t="n"/>
      <c r="Q253" s="77" t="n"/>
      <c r="R253" s="77" t="n"/>
      <c r="S253" s="77" t="n"/>
      <c r="T253" s="77" t="n"/>
      <c r="U253" s="77" t="n"/>
      <c r="V253" s="77" t="inlineStr">
        <is>
          <t>FN-065</t>
        </is>
      </c>
      <c r="W253" s="77" t="n"/>
      <c r="X253" s="77" t="n"/>
      <c r="Y253" s="77" t="n"/>
      <c r="Z253" s="77" t="n"/>
      <c r="AA253" s="77" t="n"/>
      <c r="AB253" s="77" t="n"/>
      <c r="AC253" s="77" t="n"/>
    </row>
    <row r="254">
      <c r="A254" s="77" t="inlineStr">
        <is>
          <t>TC-303</t>
        </is>
      </c>
      <c r="B254" s="77" t="inlineStr">
        <is>
          <t>Web</t>
        </is>
      </c>
      <c r="C254" s="77" t="inlineStr">
        <is>
          <t>지점관리</t>
        </is>
      </c>
      <c r="D254" s="77" t="inlineStr">
        <is>
          <t>본사변경</t>
        </is>
      </c>
      <c r="E254" s="77" t="inlineStr">
        <is>
          <t>기능</t>
        </is>
      </c>
      <c r="F254" s="77" t="inlineStr">
        <is>
          <t>본사 지점 변경</t>
        </is>
      </c>
      <c r="G254" s="77" t="inlineStr">
        <is>
          <t>A=본사, B 존재, 슈퍼관리자</t>
        </is>
      </c>
      <c r="H254" s="77" t="inlineStr">
        <is>
          <t>1. 본사 변경 &gt; B
2. 비밀번호 재확인</t>
        </is>
      </c>
      <c r="I254" s="77" t="inlineStr">
        <is>
          <t>A.is_hq=false, B.is_hq=true, audit_log</t>
        </is>
      </c>
      <c r="J254" s="77" t="n"/>
      <c r="K254" s="77" t="inlineStr">
        <is>
          <t>미실행</t>
        </is>
      </c>
      <c r="L254" s="77" t="inlineStr">
        <is>
          <t>P3</t>
        </is>
      </c>
      <c r="M254" s="77" t="n"/>
      <c r="N254" s="77" t="n"/>
      <c r="O254" s="77" t="n"/>
      <c r="P254" s="77" t="n"/>
      <c r="Q254" s="77" t="n"/>
      <c r="R254" s="77" t="n"/>
      <c r="S254" s="77" t="n"/>
      <c r="T254" s="77" t="n"/>
      <c r="U254" s="77" t="n"/>
      <c r="V254" s="77" t="inlineStr">
        <is>
          <t>FN-055</t>
        </is>
      </c>
      <c r="W254" s="77" t="n"/>
      <c r="X254" s="77" t="n"/>
      <c r="Y254" s="77" t="n"/>
      <c r="Z254" s="77" t="n"/>
      <c r="AA254" s="77" t="n"/>
      <c r="AB254" s="77" t="n"/>
      <c r="AC254" s="77" t="n"/>
    </row>
    <row r="255">
      <c r="A255" s="77" t="inlineStr">
        <is>
          <t>TC-304</t>
        </is>
      </c>
      <c r="B255" s="77" t="inlineStr">
        <is>
          <t>Web</t>
        </is>
      </c>
      <c r="C255" s="77" t="inlineStr">
        <is>
          <t>지점관리</t>
        </is>
      </c>
      <c r="D255" s="77" t="inlineStr">
        <is>
          <t>정원관리</t>
        </is>
      </c>
      <c r="E255" s="77" t="inlineStr">
        <is>
          <t>예외</t>
        </is>
      </c>
      <c r="F255" s="77" t="inlineStr">
        <is>
          <t>지점 정원 초과 시 가입 차단</t>
        </is>
      </c>
      <c r="G255" s="77" t="inlineStr">
        <is>
          <t>max_members=100, 현재 99명</t>
        </is>
      </c>
      <c r="H255" s="77" t="inlineStr">
        <is>
          <t>1. 100번째 가입→성공
2. 101번째 가입 시도</t>
        </is>
      </c>
      <c r="I255" s="77" t="inlineStr">
        <is>
          <t>100명 OK, 101번째 차단 + 슈퍼관리자 알림</t>
        </is>
      </c>
      <c r="J255" s="77" t="n"/>
      <c r="K255" s="77" t="inlineStr">
        <is>
          <t>미실행</t>
        </is>
      </c>
      <c r="L255" s="77" t="inlineStr">
        <is>
          <t>P2</t>
        </is>
      </c>
      <c r="M255" s="77" t="n"/>
      <c r="N255" s="77" t="n"/>
      <c r="O255" s="77" t="n"/>
      <c r="P255" s="77" t="n"/>
      <c r="Q255" s="77" t="n"/>
      <c r="R255" s="77" t="n"/>
      <c r="S255" s="77" t="n"/>
      <c r="T255" s="77" t="n"/>
      <c r="U255" s="77" t="n"/>
      <c r="V255" s="77" t="inlineStr">
        <is>
          <t>FN-067</t>
        </is>
      </c>
      <c r="W255" s="77" t="n"/>
      <c r="X255" s="77" t="n"/>
      <c r="Y255" s="77" t="n"/>
      <c r="Z255" s="77" t="n"/>
      <c r="AA255" s="77" t="n"/>
      <c r="AB255" s="77" t="n"/>
      <c r="AC255" s="77" t="n"/>
    </row>
    <row r="256">
      <c r="A256" s="78" t="inlineStr">
        <is>
          <t>TC-305</t>
        </is>
      </c>
      <c r="B256" s="78" t="inlineStr">
        <is>
          <t>Web</t>
        </is>
      </c>
      <c r="C256" s="78" t="inlineStr">
        <is>
          <t>권한관리</t>
        </is>
      </c>
      <c r="D256" s="78" t="inlineStr">
        <is>
          <t>슈퍼관리자</t>
        </is>
      </c>
      <c r="E256" s="78" t="inlineStr">
        <is>
          <t>기능</t>
        </is>
      </c>
      <c r="F256" s="78" t="inlineStr">
        <is>
          <t>슈퍼관리자 추가 지정</t>
        </is>
      </c>
      <c r="G256" s="78" t="inlineStr">
        <is>
          <t>슈퍼관리자 1명, 센터장 1명</t>
        </is>
      </c>
      <c r="H256" s="78" t="inlineStr">
        <is>
          <t>1. 슈퍼관리자 관리
2. 센터장 추가
3. 확인</t>
        </is>
      </c>
      <c r="I256" s="78" t="inlineStr">
        <is>
          <t>승격, branch_id=NULL, 전 지점 접근</t>
        </is>
      </c>
      <c r="J256" s="78" t="n"/>
      <c r="K256" s="78" t="inlineStr">
        <is>
          <t>미실행</t>
        </is>
      </c>
      <c r="L256" s="78" t="inlineStr">
        <is>
          <t>P0</t>
        </is>
      </c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inlineStr">
        <is>
          <t>FN-069</t>
        </is>
      </c>
      <c r="W256" s="78" t="n"/>
      <c r="X256" s="78" t="n"/>
      <c r="Y256" s="78" t="n"/>
      <c r="Z256" s="78" t="n"/>
      <c r="AA256" s="78" t="n"/>
      <c r="AB256" s="78" t="n"/>
      <c r="AC256" s="78" t="n"/>
    </row>
    <row r="257">
      <c r="A257" s="78" t="inlineStr">
        <is>
          <t>TC-306</t>
        </is>
      </c>
      <c r="B257" s="78" t="inlineStr">
        <is>
          <t>Web</t>
        </is>
      </c>
      <c r="C257" s="78" t="inlineStr">
        <is>
          <t>권한관리</t>
        </is>
      </c>
      <c r="D257" s="78" t="inlineStr">
        <is>
          <t>슈퍼관리자</t>
        </is>
      </c>
      <c r="E257" s="78" t="inlineStr">
        <is>
          <t>예외</t>
        </is>
      </c>
      <c r="F257" s="78" t="inlineStr">
        <is>
          <t>마지막 슈퍼관리자 해제 차단</t>
        </is>
      </c>
      <c r="G257" s="78" t="inlineStr">
        <is>
          <t>슈퍼관리자 1명만</t>
        </is>
      </c>
      <c r="H257" s="78" t="inlineStr">
        <is>
          <t>1. 본인 해제 시도</t>
        </is>
      </c>
      <c r="I257" s="78" t="inlineStr">
        <is>
          <t>"최소 1명 필요" 에러, 해제 차단</t>
        </is>
      </c>
      <c r="J257" s="78" t="n"/>
      <c r="K257" s="78" t="inlineStr">
        <is>
          <t>미실행</t>
        </is>
      </c>
      <c r="L257" s="78" t="inlineStr">
        <is>
          <t>P0</t>
        </is>
      </c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inlineStr">
        <is>
          <t>FN-069</t>
        </is>
      </c>
      <c r="W257" s="78" t="n"/>
      <c r="X257" s="78" t="n"/>
      <c r="Y257" s="78" t="n"/>
      <c r="Z257" s="78" t="n"/>
      <c r="AA257" s="78" t="n"/>
      <c r="AB257" s="78" t="n"/>
      <c r="AC257" s="78" t="n"/>
    </row>
    <row r="258">
      <c r="A258" s="78" t="inlineStr">
        <is>
          <t>TC-307</t>
        </is>
      </c>
      <c r="B258" s="78" t="inlineStr">
        <is>
          <t>Web</t>
        </is>
      </c>
      <c r="C258" s="78" t="inlineStr">
        <is>
          <t>권한관리</t>
        </is>
      </c>
      <c r="D258" s="78" t="inlineStr">
        <is>
          <t>슈퍼관리자</t>
        </is>
      </c>
      <c r="E258" s="78" t="inlineStr">
        <is>
          <t>예외</t>
        </is>
      </c>
      <c r="F258" s="78" t="inlineStr">
        <is>
          <t>슈퍼관리자 퇴사 - 소유권 이전 필수</t>
        </is>
      </c>
      <c r="G258" s="78" t="inlineStr">
        <is>
          <t>소유자이자 유일한 슈퍼관리자</t>
        </is>
      </c>
      <c r="H258" s="78" t="inlineStr">
        <is>
          <t>1. 퇴사 시도
2. 후임 지정 요구 확인
3. 소유권 이전 요구 확인</t>
        </is>
      </c>
      <c r="I258" s="78" t="inlineStr">
        <is>
          <t>후임+소유권 이전 전까지 퇴사 버튼 비활성화</t>
        </is>
      </c>
      <c r="J258" s="78" t="n"/>
      <c r="K258" s="78" t="inlineStr">
        <is>
          <t>미실행</t>
        </is>
      </c>
      <c r="L258" s="78" t="inlineStr">
        <is>
          <t>P0</t>
        </is>
      </c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inlineStr">
        <is>
          <t>FN-069</t>
        </is>
      </c>
      <c r="W258" s="78" t="n"/>
      <c r="X258" s="78" t="n"/>
      <c r="Y258" s="78" t="n"/>
      <c r="Z258" s="78" t="n"/>
      <c r="AA258" s="78" t="n"/>
      <c r="AB258" s="78" t="n"/>
      <c r="AC258" s="78" t="n"/>
    </row>
    <row r="259">
      <c r="A259" s="79" t="inlineStr">
        <is>
          <t>TC-308</t>
        </is>
      </c>
      <c r="B259" s="79" t="inlineStr">
        <is>
          <t>Web</t>
        </is>
      </c>
      <c r="C259" s="79" t="inlineStr">
        <is>
          <t>보안</t>
        </is>
      </c>
      <c r="D259" s="79" t="inlineStr">
        <is>
          <t>감사로그</t>
        </is>
      </c>
      <c r="E259" s="79" t="inlineStr">
        <is>
          <t>기능</t>
        </is>
      </c>
      <c r="F259" s="79" t="inlineStr">
        <is>
          <t>감사 로그 - 지점 전환 기록 확인</t>
        </is>
      </c>
      <c r="G259" s="79" t="inlineStr">
        <is>
          <t>슈퍼관리자 A→B 전환</t>
        </is>
      </c>
      <c r="H259" s="79" t="inlineStr">
        <is>
          <t>1. 지점 전환
2. 감사 로그 조회</t>
        </is>
      </c>
      <c r="I259" s="79" t="inlineStr">
        <is>
          <t>BRANCH_SWITCH 기록, from/to/timestamp</t>
        </is>
      </c>
      <c r="J259" s="79" t="n"/>
      <c r="K259" s="79" t="inlineStr">
        <is>
          <t>미실행</t>
        </is>
      </c>
      <c r="L259" s="79" t="inlineStr">
        <is>
          <t>P0</t>
        </is>
      </c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inlineStr">
        <is>
          <t>FN-063</t>
        </is>
      </c>
      <c r="W259" s="79" t="n"/>
      <c r="X259" s="79" t="n"/>
      <c r="Y259" s="79" t="n"/>
      <c r="Z259" s="79" t="n"/>
      <c r="AA259" s="79" t="n"/>
      <c r="AB259" s="79" t="n"/>
      <c r="AC259" s="79" t="n"/>
    </row>
    <row r="260">
      <c r="A260" s="79" t="inlineStr">
        <is>
          <t>TC-309</t>
        </is>
      </c>
      <c r="B260" s="79" t="inlineStr">
        <is>
          <t>Web</t>
        </is>
      </c>
      <c r="C260" s="79" t="inlineStr">
        <is>
          <t>보안</t>
        </is>
      </c>
      <c r="D260" s="79" t="inlineStr">
        <is>
          <t>감사로그</t>
        </is>
      </c>
      <c r="E260" s="79" t="inlineStr">
        <is>
          <t>보안</t>
        </is>
      </c>
      <c r="F260" s="79" t="inlineStr">
        <is>
          <t>감사 로그 삭제 불가 확인</t>
        </is>
      </c>
      <c r="G260" s="79" t="inlineStr">
        <is>
          <t>감사 로그 존재</t>
        </is>
      </c>
      <c r="H260" s="79" t="inlineStr">
        <is>
          <t>1. 삭제 UI 없음 확인
2. API DELETE 시도</t>
        </is>
      </c>
      <c r="I260" s="79" t="inlineStr">
        <is>
          <t>UI 없음, API→403 Forbidden</t>
        </is>
      </c>
      <c r="J260" s="79" t="n"/>
      <c r="K260" s="79" t="inlineStr">
        <is>
          <t>미실행</t>
        </is>
      </c>
      <c r="L260" s="79" t="inlineStr">
        <is>
          <t>P0</t>
        </is>
      </c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inlineStr">
        <is>
          <t>FN-063</t>
        </is>
      </c>
      <c r="W260" s="79" t="n"/>
      <c r="X260" s="79" t="n"/>
      <c r="Y260" s="79" t="n"/>
      <c r="Z260" s="79" t="n"/>
      <c r="AA260" s="79" t="n"/>
      <c r="AB260" s="79" t="n"/>
      <c r="AC260" s="79" t="n"/>
    </row>
    <row r="261">
      <c r="A261" s="79" t="inlineStr">
        <is>
          <t>TC-310</t>
        </is>
      </c>
      <c r="B261" s="79" t="inlineStr">
        <is>
          <t>Web</t>
        </is>
      </c>
      <c r="C261" s="79" t="inlineStr">
        <is>
          <t>보안</t>
        </is>
      </c>
      <c r="D261" s="79" t="inlineStr">
        <is>
          <t>계정잠금</t>
        </is>
      </c>
      <c r="E261" s="79" t="inlineStr">
        <is>
          <t>보안</t>
        </is>
      </c>
      <c r="F261" s="79" t="inlineStr">
        <is>
          <t>비밀번호 5회 실패 시 계정 잠금</t>
        </is>
      </c>
      <c r="G261" s="79" t="inlineStr">
        <is>
          <t>활성 직원 계정</t>
        </is>
      </c>
      <c r="H261" s="79" t="inlineStr">
        <is>
          <t>1. 잘못된 비밀번호 5회</t>
        </is>
      </c>
      <c r="I261" s="79" t="inlineStr">
        <is>
          <t>"30분 잠금" 표시, 로그인 차단</t>
        </is>
      </c>
      <c r="J261" s="79" t="n"/>
      <c r="K261" s="79" t="inlineStr">
        <is>
          <t>미실행</t>
        </is>
      </c>
      <c r="L261" s="79" t="inlineStr">
        <is>
          <t>P0</t>
        </is>
      </c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inlineStr">
        <is>
          <t>FN-073</t>
        </is>
      </c>
      <c r="W261" s="79" t="n"/>
      <c r="X261" s="79" t="n"/>
      <c r="Y261" s="79" t="n"/>
      <c r="Z261" s="79" t="n"/>
      <c r="AA261" s="79" t="n"/>
      <c r="AB261" s="79" t="n"/>
      <c r="AC261" s="79" t="n"/>
    </row>
    <row r="262">
      <c r="A262" s="79" t="inlineStr">
        <is>
          <t>TC-311</t>
        </is>
      </c>
      <c r="B262" s="79" t="inlineStr">
        <is>
          <t>Web</t>
        </is>
      </c>
      <c r="C262" s="79" t="inlineStr">
        <is>
          <t>보안</t>
        </is>
      </c>
      <c r="D262" s="79" t="inlineStr">
        <is>
          <t>동시접속</t>
        </is>
      </c>
      <c r="E262" s="79" t="inlineStr">
        <is>
          <t>보안</t>
        </is>
      </c>
      <c r="F262" s="79" t="inlineStr">
        <is>
          <t>동시 접속 제한 (일반 직원 1대)</t>
        </is>
      </c>
      <c r="G262" s="79" t="inlineStr">
        <is>
          <t>일반 직원(1디바이스 제한)</t>
        </is>
      </c>
      <c r="H262" s="79" t="inlineStr">
        <is>
          <t>1. PC 로그인
2. 모바일 동일 계정 로그인</t>
        </is>
      </c>
      <c r="I262" s="79" t="inlineStr">
        <is>
          <t>PC 세션 종료, 모바일 성공, 알림 표시</t>
        </is>
      </c>
      <c r="J262" s="79" t="n"/>
      <c r="K262" s="79" t="inlineStr">
        <is>
          <t>미실행</t>
        </is>
      </c>
      <c r="L262" s="79" t="inlineStr">
        <is>
          <t>P1</t>
        </is>
      </c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inlineStr">
        <is>
          <t>FN-073</t>
        </is>
      </c>
      <c r="W262" s="79" t="n"/>
      <c r="X262" s="79" t="n"/>
      <c r="Y262" s="79" t="n"/>
      <c r="Z262" s="79" t="n"/>
      <c r="AA262" s="79" t="n"/>
      <c r="AB262" s="79" t="n"/>
      <c r="AC262" s="79" t="n"/>
    </row>
    <row r="263">
      <c r="A263" s="78" t="inlineStr">
        <is>
          <t>TC-312</t>
        </is>
      </c>
      <c r="B263" s="78" t="inlineStr">
        <is>
          <t>Web</t>
        </is>
      </c>
      <c r="C263" s="78" t="inlineStr">
        <is>
          <t>리포트</t>
        </is>
      </c>
      <c r="D263" s="78" t="inlineStr">
        <is>
          <t>통합리포트</t>
        </is>
      </c>
      <c r="E263" s="78" t="inlineStr">
        <is>
          <t>기능</t>
        </is>
      </c>
      <c r="F263" s="78" t="inlineStr">
        <is>
          <t>통합 리포트 지점간 비교</t>
        </is>
      </c>
      <c r="G263" s="78" t="inlineStr">
        <is>
          <t>슈퍼관리자, 3개 지점</t>
        </is>
      </c>
      <c r="H263" s="78" t="inlineStr">
        <is>
          <t>1. 전체 지점 선택
2. 매출/회원 비교
3. 엑셀 내보내기</t>
        </is>
      </c>
      <c r="I263" s="78" t="inlineStr">
        <is>
          <t>합산 KPI + 지점별 순위 + 증감, 엑셀 다운로드</t>
        </is>
      </c>
      <c r="J263" s="78" t="n"/>
      <c r="K263" s="78" t="inlineStr">
        <is>
          <t>미실행</t>
        </is>
      </c>
      <c r="L263" s="78" t="inlineStr">
        <is>
          <t>P1</t>
        </is>
      </c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inlineStr">
        <is>
          <t>FN-070</t>
        </is>
      </c>
      <c r="W263" s="78" t="n"/>
      <c r="X263" s="78" t="n"/>
      <c r="Y263" s="78" t="n"/>
      <c r="Z263" s="78" t="n"/>
      <c r="AA263" s="78" t="n"/>
      <c r="AB263" s="78" t="n"/>
      <c r="AC263" s="78" t="n"/>
    </row>
    <row r="264">
      <c r="A264" s="80" t="inlineStr">
        <is>
          <t>TC-313</t>
        </is>
      </c>
      <c r="B264" s="80" t="inlineStr">
        <is>
          <t>Web</t>
        </is>
      </c>
      <c r="C264" s="80" t="inlineStr">
        <is>
          <t>매출관리</t>
        </is>
      </c>
      <c r="D264" s="80" t="inlineStr">
        <is>
          <t>크로스지점환불</t>
        </is>
      </c>
      <c r="E264" s="80" t="inlineStr">
        <is>
          <t>기능</t>
        </is>
      </c>
      <c r="F264" s="80" t="inlineStr">
        <is>
          <t>이관 후 환불 - 원지점 매출 차감</t>
        </is>
      </c>
      <c r="G264" s="80" t="inlineStr">
        <is>
          <t>A에서 PT 30만 구매→B 이관→잔여 10만</t>
        </is>
      </c>
      <c r="H264" s="80" t="inlineStr">
        <is>
          <t>1. B에서 환불(10만)
2. 승인</t>
        </is>
      </c>
      <c r="I264" s="80" t="inlineStr">
        <is>
          <t>A지점 매출 -10만, B지점 매출 영향 없음</t>
        </is>
      </c>
      <c r="J264" s="80" t="n"/>
      <c r="K264" s="80" t="inlineStr">
        <is>
          <t>미실행</t>
        </is>
      </c>
      <c r="L264" s="80" t="inlineStr">
        <is>
          <t>P1</t>
        </is>
      </c>
      <c r="M264" s="80" t="n"/>
      <c r="N264" s="80" t="n"/>
      <c r="O264" s="80" t="n"/>
      <c r="P264" s="80" t="n"/>
      <c r="Q264" s="80" t="n"/>
      <c r="R264" s="80" t="n"/>
      <c r="S264" s="80" t="n"/>
      <c r="T264" s="80" t="n"/>
      <c r="U264" s="80" t="n"/>
      <c r="V264" s="80" t="inlineStr">
        <is>
          <t>FN-058</t>
        </is>
      </c>
      <c r="W264" s="80" t="n"/>
      <c r="X264" s="80" t="n"/>
      <c r="Y264" s="80" t="n"/>
      <c r="Z264" s="80" t="n"/>
      <c r="AA264" s="80" t="n"/>
      <c r="AB264" s="80" t="n"/>
      <c r="AC264" s="80" t="n"/>
    </row>
    <row r="265">
      <c r="A265" s="80" t="inlineStr">
        <is>
          <t>TC-314</t>
        </is>
      </c>
      <c r="B265" s="80" t="inlineStr">
        <is>
          <t>Web</t>
        </is>
      </c>
      <c r="C265" s="80" t="inlineStr">
        <is>
          <t>매출관리</t>
        </is>
      </c>
      <c r="D265" s="80" t="inlineStr">
        <is>
          <t>환불권한</t>
        </is>
      </c>
      <c r="E265" s="80" t="inlineStr">
        <is>
          <t>보안</t>
        </is>
      </c>
      <c r="F265" s="80" t="inlineStr">
        <is>
          <t>환불 금액별 승인 권한 체크</t>
        </is>
      </c>
      <c r="G265" s="80" t="inlineStr">
        <is>
          <t>매니저 로그인</t>
        </is>
      </c>
      <c r="H265" s="80" t="inlineStr">
        <is>
          <t>1. 8만원 환불→성공
2. 15만원 환불 시도</t>
        </is>
      </c>
      <c r="I265" s="80" t="inlineStr">
        <is>
          <t>10만 이하 OK, 초과 "센터장 이상 필요"</t>
        </is>
      </c>
      <c r="J265" s="80" t="n"/>
      <c r="K265" s="80" t="inlineStr">
        <is>
          <t>미실행</t>
        </is>
      </c>
      <c r="L265" s="80" t="inlineStr">
        <is>
          <t>P1</t>
        </is>
      </c>
      <c r="M265" s="80" t="n"/>
      <c r="N265" s="80" t="n"/>
      <c r="O265" s="80" t="n"/>
      <c r="P265" s="80" t="n"/>
      <c r="Q265" s="80" t="n"/>
      <c r="R265" s="80" t="n"/>
      <c r="S265" s="80" t="n"/>
      <c r="T265" s="80" t="n"/>
      <c r="U265" s="80" t="n"/>
      <c r="V265" s="80" t="inlineStr">
        <is>
          <t>FN-058</t>
        </is>
      </c>
      <c r="W265" s="80" t="n"/>
      <c r="X265" s="80" t="n"/>
      <c r="Y265" s="80" t="n"/>
      <c r="Z265" s="80" t="n"/>
      <c r="AA265" s="80" t="n"/>
      <c r="AB265" s="80" t="n"/>
      <c r="AC265" s="80" t="n"/>
    </row>
    <row r="266">
      <c r="A266" s="80" t="inlineStr">
        <is>
          <t>TC-315</t>
        </is>
      </c>
      <c r="B266" s="80" t="inlineStr">
        <is>
          <t>Web</t>
        </is>
      </c>
      <c r="C266" s="80" t="inlineStr">
        <is>
          <t>급여관리</t>
        </is>
      </c>
      <c r="D266" s="80" t="inlineStr">
        <is>
          <t>지점이동정산</t>
        </is>
      </c>
      <c r="E266" s="80" t="inlineStr">
        <is>
          <t>기능</t>
        </is>
      </c>
      <c r="F266" s="80" t="inlineStr">
        <is>
          <t>직원 이동 시 급여 일할 정산</t>
        </is>
      </c>
      <c r="G266" s="80" t="inlineStr">
        <is>
          <t>FC: A지점 월급300만, 15일에 B이동</t>
        </is>
      </c>
      <c r="H266" s="80" t="inlineStr">
        <is>
          <t>1. 이동 처리
2. A 15일분 확인
3. B 16일부터 확인</t>
        </is>
      </c>
      <c r="I266" s="80" t="inlineStr">
        <is>
          <t>양 지점 각각 일할 정산, 합산=월급</t>
        </is>
      </c>
      <c r="J266" s="80" t="n"/>
      <c r="K266" s="80" t="inlineStr">
        <is>
          <t>미실행</t>
        </is>
      </c>
      <c r="L266" s="80" t="inlineStr">
        <is>
          <t>P1</t>
        </is>
      </c>
      <c r="M266" s="80" t="n"/>
      <c r="N266" s="80" t="n"/>
      <c r="O266" s="80" t="n"/>
      <c r="P266" s="80" t="n"/>
      <c r="Q266" s="80" t="n"/>
      <c r="R266" s="80" t="n"/>
      <c r="S266" s="80" t="n"/>
      <c r="T266" s="80" t="n"/>
      <c r="U266" s="80" t="n"/>
      <c r="V266" s="80" t="inlineStr">
        <is>
          <t>FN-060</t>
        </is>
      </c>
      <c r="W266" s="80" t="n"/>
      <c r="X266" s="80" t="n"/>
      <c r="Y266" s="80" t="n"/>
      <c r="Z266" s="80" t="n"/>
      <c r="AA266" s="80" t="n"/>
      <c r="AB266" s="80" t="n"/>
      <c r="AC266" s="80" t="n"/>
    </row>
    <row r="267">
      <c r="A267" s="80" t="inlineStr">
        <is>
          <t>TC-316</t>
        </is>
      </c>
      <c r="B267" s="80" t="inlineStr">
        <is>
          <t>Web</t>
        </is>
      </c>
      <c r="C267" s="80" t="inlineStr">
        <is>
          <t>설정</t>
        </is>
      </c>
      <c r="D267" s="80" t="inlineStr">
        <is>
          <t>요금제</t>
        </is>
      </c>
      <c r="E267" s="80" t="inlineStr">
        <is>
          <t>예외</t>
        </is>
      </c>
      <c r="F267" s="80" t="inlineStr">
        <is>
          <t>다운그레이드 제한 초과 체크</t>
        </is>
      </c>
      <c r="G267" s="80" t="inlineStr">
        <is>
          <t>Standard(3지점), Basic 시도</t>
        </is>
      </c>
      <c r="H267" s="80" t="inlineStr">
        <is>
          <t>1. Basic 선택
2. 시도</t>
        </is>
      </c>
      <c r="I267" s="80" t="inlineStr">
        <is>
          <t>"3지점→Basic 1지점 불가" 차단</t>
        </is>
      </c>
      <c r="J267" s="80" t="n"/>
      <c r="K267" s="80" t="inlineStr">
        <is>
          <t>미실행</t>
        </is>
      </c>
      <c r="L267" s="80" t="inlineStr">
        <is>
          <t>P2</t>
        </is>
      </c>
      <c r="M267" s="80" t="n"/>
      <c r="N267" s="80" t="n"/>
      <c r="O267" s="80" t="n"/>
      <c r="P267" s="80" t="n"/>
      <c r="Q267" s="80" t="n"/>
      <c r="R267" s="80" t="n"/>
      <c r="S267" s="80" t="n"/>
      <c r="T267" s="80" t="n"/>
      <c r="U267" s="80" t="n"/>
      <c r="V267" s="80" t="inlineStr">
        <is>
          <t>FN-072</t>
        </is>
      </c>
      <c r="W267" s="80" t="n"/>
      <c r="X267" s="80" t="n"/>
      <c r="Y267" s="80" t="n"/>
      <c r="Z267" s="80" t="n"/>
      <c r="AA267" s="80" t="n"/>
      <c r="AB267" s="80" t="n"/>
      <c r="AC267" s="80" t="n"/>
    </row>
    <row r="268">
      <c r="A268" s="76" t="inlineStr">
        <is>
          <t>TC-317</t>
        </is>
      </c>
      <c r="B268" s="76" t="inlineStr">
        <is>
          <t>Web</t>
        </is>
      </c>
      <c r="C268" s="76" t="inlineStr">
        <is>
          <t>회원관리</t>
        </is>
      </c>
      <c r="D268" s="76" t="inlineStr">
        <is>
          <t>미납재가입</t>
        </is>
      </c>
      <c r="E268" s="76" t="inlineStr">
        <is>
          <t>예외</t>
        </is>
      </c>
      <c r="F268" s="76" t="inlineStr">
        <is>
          <t>미납금 회원 다른 지점 재가입</t>
        </is>
      </c>
      <c r="G268" s="76" t="inlineStr">
        <is>
          <t>A지점 탈퇴(미납5만), B지점 재가입</t>
        </is>
      </c>
      <c r="H268" s="76" t="inlineStr">
        <is>
          <t>1. 동일 연락처 가입
2. 미납 이력 표시
3. 센터장 판단</t>
        </is>
      </c>
      <c r="I268" s="76" t="inlineStr">
        <is>
          <t>미납 안내, 가입 여부 센터장 재량</t>
        </is>
      </c>
      <c r="J268" s="76" t="n"/>
      <c r="K268" s="76" t="inlineStr">
        <is>
          <t>미실행</t>
        </is>
      </c>
      <c r="L268" s="76" t="inlineStr">
        <is>
          <t>P1</t>
        </is>
      </c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inlineStr">
        <is>
          <t>FN-058</t>
        </is>
      </c>
      <c r="W268" s="76" t="n"/>
      <c r="X268" s="76" t="n"/>
      <c r="Y268" s="76" t="n"/>
      <c r="Z268" s="76" t="n"/>
      <c r="AA268" s="76" t="n"/>
      <c r="AB268" s="76" t="n"/>
      <c r="AC268" s="76" t="n"/>
    </row>
    <row r="269">
      <c r="A269" s="79" t="inlineStr">
        <is>
          <t>TC-318</t>
        </is>
      </c>
      <c r="B269" s="79" t="inlineStr">
        <is>
          <t>Web</t>
        </is>
      </c>
      <c r="C269" s="79" t="inlineStr">
        <is>
          <t>데이터무결성</t>
        </is>
      </c>
      <c r="D269" s="79" t="inlineStr">
        <is>
          <t>연쇄삭제</t>
        </is>
      </c>
      <c r="E269" s="79" t="inlineStr">
        <is>
          <t>기능</t>
        </is>
      </c>
      <c r="F269" s="79" t="inlineStr">
        <is>
          <t>회원 탈퇴 시 연관 데이터 무결성</t>
        </is>
      </c>
      <c r="G269" s="79" t="inlineStr">
        <is>
          <t>매출5/계약2/출석30/락커1/쿠폰2/포인트3000</t>
        </is>
      </c>
      <c r="H269" s="79" t="inlineStr">
        <is>
          <t>1. 탈퇴 처리
2. 연관 데이터 확인</t>
        </is>
      </c>
      <c r="I269" s="79" t="inlineStr">
        <is>
          <t>sales유지, contracts→CANCELLED, locker→AVAILABLE, 쿠폰소멸, 포인트0</t>
        </is>
      </c>
      <c r="J269" s="79" t="n"/>
      <c r="K269" s="79" t="inlineStr">
        <is>
          <t>미실행</t>
        </is>
      </c>
      <c r="L269" s="79" t="inlineStr">
        <is>
          <t>P0</t>
        </is>
      </c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inlineStr">
        <is>
          <t>FN-058</t>
        </is>
      </c>
      <c r="W269" s="79" t="n"/>
      <c r="X269" s="79" t="n"/>
      <c r="Y269" s="79" t="n"/>
      <c r="Z269" s="79" t="n"/>
      <c r="AA269" s="79" t="n"/>
      <c r="AB269" s="79" t="n"/>
      <c r="AC269" s="79" t="n"/>
    </row>
  </sheetData>
  <autoFilter ref="A1:AC1"/>
  <dataValidations count="15">
    <dataValidation sqref="B2:B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"기능 테스트,UI/UX 테스트,API 테스트,성능 테스트,보안 테스트,호환성 테스트,회귀 테스트,탐색적 테스트"</formula1>
    </dataValidation>
    <dataValidation sqref="K2:K200" showDropDown="0" showInputMessage="0" showErrorMessage="0" allowBlank="1" type="list">
      <formula1>"미실행,Pass,Fail,Block,N/A,보류"</formula1>
    </dataValidation>
    <dataValidation sqref="L2:L200" showDropDown="0" showInputMessage="0" showErrorMessage="0" allowBlank="1" type="list">
      <formula1>"Critical,High,Medium,Low"</formula1>
    </dataValidation>
    <dataValidation sqref="M2:M200" showDropDown="0" showInputMessage="0" showErrorMessage="0" allowBlank="1" type="list">
      <formula1>"Blocker,Critical,Major,Minor,Trivial"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  <dataValidation sqref="O2:O200" showDropDown="0" showInputMessage="0" showErrorMessage="0" allowBlank="1" type="list">
      <formula1>"Production,Staging,Dev,QA"</formula1>
    </dataValidation>
    <dataValidation sqref="P2:P200" showDropDown="0" showInputMessage="0" showErrorMessage="0" allowBlank="1" type="list">
      <formula1>"Chrome,Safari,Firefox,Edge,Samsung Internet,인앱브라우저"</formula1>
    </dataValidation>
    <dataValidation sqref="Q2:Q200" showDropDown="0" showInputMessage="0" showErrorMessage="0" allowBlank="1" type="list">
      <formula1>"Desktop,iPhone 15,iPhone 14,Galaxy S24,Galaxy S23,iPad,Galaxy Tab,기타"</formula1>
    </dataValidation>
    <dataValidation sqref="R2:R200" showDropDown="0" showInputMessage="0" showErrorMessage="0" allowBlank="1" type="list">
      <formula1>"Windows 11,Windows 10,macOS,iOS 17,iOS 16,Android 14,Android 13"</formula1>
    </dataValidation>
    <dataValidation sqref="S2:S200" showDropDown="0" showInputMessage="0" showErrorMessage="0" allowBlank="1" type="list">
      <formula1>"1차,2차,3차,리그레션,핫픽스"</formula1>
    </dataValidation>
    <dataValidation sqref="T2:T200" showDropDown="0" showInputMessage="0" showErrorMessage="0" allowBlank="1" type="list">
      <formula1>"수동,자동화 완료,자동화 예정,자동화 불가"</formula1>
    </dataValidation>
    <dataValidation sqref="U2:U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V2:V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W2:W2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4" t="inlineStr">
        <is>
          <t>기획 문서 종합 대시보드</t>
        </is>
      </c>
    </row>
    <row r="3">
      <c r="A3" s="5" t="inlineStr">
        <is>
          <t>문서 작성 현황</t>
        </is>
      </c>
      <c r="B3" s="6" t="n"/>
      <c r="C3" s="6" t="n"/>
      <c r="D3" s="6" t="n"/>
    </row>
    <row r="4">
      <c r="A4" s="7" t="inlineStr">
        <is>
          <t>시트</t>
        </is>
      </c>
      <c r="B4" s="7" t="inlineStr">
        <is>
          <t>전체 항목</t>
        </is>
      </c>
      <c r="C4" s="7" t="inlineStr">
        <is>
          <t>확정</t>
        </is>
      </c>
      <c r="D4" s="7" t="inlineStr">
        <is>
          <t>작성중</t>
        </is>
      </c>
    </row>
    <row r="5">
      <c r="A5" s="8" t="inlineStr">
        <is>
          <t>IA(정보구조)</t>
        </is>
      </c>
      <c r="B5" s="8">
        <f>COUNTA('IA(정보구조)'!A2:A500)</f>
        <v/>
      </c>
      <c r="C5" s="8">
        <f>COUNTIF('IA(정보구조)'!K2:K500,"확정")</f>
        <v/>
      </c>
      <c r="D5" s="8">
        <f>COUNTIF('IA(정보구조)'!K2:K500,"작성중")</f>
        <v/>
      </c>
    </row>
    <row r="6">
      <c r="A6" s="8" t="inlineStr">
        <is>
          <t>화면설계서</t>
        </is>
      </c>
      <c r="B6" s="8">
        <f>COUNTA(화면설계서!A2:A500)</f>
        <v/>
      </c>
      <c r="C6" s="8">
        <f>COUNTIF(화면설계서!Q2:Q500,"확정")</f>
        <v/>
      </c>
      <c r="D6" s="8">
        <f>COUNTIF(화면설계서!Q2:Q500,"작성중")</f>
        <v/>
      </c>
    </row>
    <row r="7">
      <c r="A7" s="8" t="inlineStr">
        <is>
          <t>기능명세서</t>
        </is>
      </c>
      <c r="B7" s="8">
        <f>COUNTA(기능명세서!A2:A500)</f>
        <v/>
      </c>
      <c r="C7" s="8">
        <f>COUNTIF(기능명세서!P2:P500,"개발완료")</f>
        <v/>
      </c>
      <c r="D7" s="8">
        <f>COUNTIF(기능명세서!P2:P500,"기획완료")</f>
        <v/>
      </c>
    </row>
    <row r="8">
      <c r="A8" s="8" t="inlineStr">
        <is>
          <t>API명세서</t>
        </is>
      </c>
      <c r="B8" s="8">
        <f>COUNTA(API명세서!A2:A500)</f>
        <v/>
      </c>
      <c r="C8" s="8">
        <f>COUNTIF(API명세서!M2:M500,"개발완료")</f>
        <v/>
      </c>
      <c r="D8" s="8">
        <f>COUNTIF(API명세서!M2:M500,"설계중")</f>
        <v/>
      </c>
    </row>
    <row r="9">
      <c r="A9" s="8" t="inlineStr">
        <is>
          <t>데이터 정의서</t>
        </is>
      </c>
      <c r="B9" s="8">
        <f>COUNTA('데이터 정의서'!A2:A500)</f>
        <v/>
      </c>
      <c r="C9" s="8">
        <f>COUNTIF('데이터 정의서'!L2:L500,"확정")</f>
        <v/>
      </c>
      <c r="D9" s="8">
        <f>COUNTIF('데이터 정의서'!L2:L500,"작성중")</f>
        <v/>
      </c>
    </row>
    <row r="12">
      <c r="A12" s="5" t="inlineStr">
        <is>
          <t>QA 테스트 현황</t>
        </is>
      </c>
      <c r="B12" s="6" t="n"/>
    </row>
    <row r="13">
      <c r="A13" s="8" t="inlineStr">
        <is>
          <t>전체 TC 수</t>
        </is>
      </c>
      <c r="B13" s="8">
        <f>COUNTA(QA테스트케이스!A2:A500)</f>
        <v/>
      </c>
    </row>
    <row r="14">
      <c r="A14" s="8" t="inlineStr">
        <is>
          <t>Pass</t>
        </is>
      </c>
      <c r="B14" s="8">
        <f>COUNTIF(QA테스트케이스!K2:K500,"통과")</f>
        <v/>
      </c>
    </row>
    <row r="15">
      <c r="A15" s="8" t="inlineStr">
        <is>
          <t>Fail</t>
        </is>
      </c>
      <c r="B15" s="8">
        <f>COUNTIF(QA테스트케이스!K2:K500,"실패")</f>
        <v/>
      </c>
    </row>
    <row r="16">
      <c r="A16" s="8" t="inlineStr">
        <is>
          <t>Block</t>
        </is>
      </c>
      <c r="B16" s="8">
        <f>COUNTIF(QA테스트케이스!K2:K500,"차단")</f>
        <v/>
      </c>
    </row>
    <row r="17">
      <c r="A17" s="8" t="inlineStr">
        <is>
          <t>미실행</t>
        </is>
      </c>
      <c r="B17" s="8">
        <f>COUNTIF(QA테스트케이스!K2:K500,"미실행")</f>
        <v/>
      </c>
    </row>
    <row r="18">
      <c r="A18" s="8" t="inlineStr">
        <is>
          <t>Pass Rate (%)</t>
        </is>
      </c>
      <c r="B18" s="8">
        <f>IF(B14&gt;0,B14/(B14+B15+B16)*100,0)</f>
        <v/>
      </c>
    </row>
    <row r="21">
      <c r="A21" s="5" t="inlineStr">
        <is>
          <t>플랫폼별 QA 현황</t>
        </is>
      </c>
      <c r="B21" s="6" t="n"/>
      <c r="C21" s="6" t="n"/>
      <c r="D21" s="6" t="n"/>
    </row>
    <row r="22">
      <c r="A22" s="7" t="inlineStr">
        <is>
          <t>플랫폼</t>
        </is>
      </c>
      <c r="B22" s="7" t="inlineStr">
        <is>
          <t>총 TC</t>
        </is>
      </c>
      <c r="C22" s="7" t="inlineStr">
        <is>
          <t>Pass</t>
        </is>
      </c>
      <c r="D22" s="7" t="inlineStr">
        <is>
          <t>Fail</t>
        </is>
      </c>
    </row>
    <row r="23">
      <c r="A23" s="8" t="inlineStr">
        <is>
          <t>Web</t>
        </is>
      </c>
      <c r="B23" s="8">
        <f>COUNTIF(QA테스트케이스!B2:B500,"Web")</f>
        <v/>
      </c>
      <c r="C23" s="8">
        <f>COUNTIFS(QA테스트케이스!B2:B500,"Web",QA테스트케이스!K2:K500,"통과")</f>
        <v/>
      </c>
      <c r="D23" s="8">
        <f>COUNTIFS(QA테스트케이스!B2:B500,"Web",QA테스트케이스!K2:K500,"실패")</f>
        <v/>
      </c>
    </row>
    <row r="24">
      <c r="A24" s="8" t="inlineStr">
        <is>
          <t>App (iOS)</t>
        </is>
      </c>
      <c r="B24" s="8">
        <f>COUNTIF(QA테스트케이스!B2:B500,"App (iOS)")</f>
        <v/>
      </c>
      <c r="C24" s="8">
        <f>COUNTIFS(QA테스트케이스!B2:B500,"App (iOS)",QA테스트케이스!K2:K500,"통과")</f>
        <v/>
      </c>
      <c r="D24" s="8">
        <f>COUNTIFS(QA테스트케이스!B2:B500,"App (iOS)",QA테스트케이스!K2:K500,"실패")</f>
        <v/>
      </c>
    </row>
    <row r="25">
      <c r="A25" s="8" t="inlineStr">
        <is>
          <t>App (Android)</t>
        </is>
      </c>
      <c r="B25" s="8">
        <f>COUNTIF(QA테스트케이스!B2:B500,"App (Android)")</f>
        <v/>
      </c>
      <c r="C25" s="8">
        <f>COUNTIFS(QA테스트케이스!B2:B500,"App (Android)",QA테스트케이스!K2:K500,"통과")</f>
        <v/>
      </c>
      <c r="D25" s="8">
        <f>COUNTIFS(QA테스트케이스!B2:B500,"App (Android)",QA테스트케이스!K2:K500,"실패")</f>
        <v/>
      </c>
    </row>
    <row r="26">
      <c r="A26" s="8" t="inlineStr">
        <is>
          <t>공통</t>
        </is>
      </c>
      <c r="B26" s="8">
        <f>COUNTIF(QA테스트케이스!B2:B500,"공통")</f>
        <v/>
      </c>
      <c r="C26" s="8">
        <f>COUNTIFS(QA테스트케이스!B2:B500,"공통",QA테스트케이스!K2:K500,"통과")</f>
        <v/>
      </c>
      <c r="D26" s="8">
        <f>COUNTIFS(QA테스트케이스!B2:B500,"공통",QA테스트케이스!K2:K500,"실패")</f>
        <v/>
      </c>
    </row>
    <row r="29">
      <c r="A29" s="5" t="inlineStr">
        <is>
          <t>사용자 스토리 현황</t>
        </is>
      </c>
      <c r="B29" s="6" t="n"/>
    </row>
    <row r="30">
      <c r="A30" s="8" t="inlineStr">
        <is>
          <t>Backlog</t>
        </is>
      </c>
      <c r="B30" s="8">
        <f>COUNTIF('사용자 스토리'!J2:J500,"Backlog")</f>
        <v/>
      </c>
    </row>
    <row r="31">
      <c r="A31" s="8" t="inlineStr">
        <is>
          <t>To Do</t>
        </is>
      </c>
      <c r="B31" s="8">
        <f>COUNTIF('사용자 스토리'!J2:J500,"To Do")</f>
        <v/>
      </c>
    </row>
    <row r="32">
      <c r="A32" s="8" t="inlineStr">
        <is>
          <t>In Progress</t>
        </is>
      </c>
      <c r="B32" s="8">
        <f>COUNTIF('사용자 스토리'!J2:J500,"In Progress")</f>
        <v/>
      </c>
    </row>
    <row r="33">
      <c r="A33" s="8" t="inlineStr">
        <is>
          <t>In Review</t>
        </is>
      </c>
      <c r="B33" s="8">
        <f>COUNTIF('사용자 스토리'!J2:J500,"In Review")</f>
        <v/>
      </c>
    </row>
    <row r="34">
      <c r="A34" s="8" t="inlineStr">
        <is>
          <t>Done</t>
        </is>
      </c>
      <c r="B34" s="8">
        <f>COUNTIF('사용자 스토리'!J2:J500,"Done")</f>
        <v/>
      </c>
    </row>
    <row r="36">
      <c r="A36" s="5" t="inlineStr">
        <is>
          <t>UI 요소 현황</t>
        </is>
      </c>
      <c r="B36" s="6" t="n"/>
    </row>
    <row r="37">
      <c r="A37" s="8" t="inlineStr">
        <is>
          <t>전체 UI 요소 수</t>
        </is>
      </c>
      <c r="B37" s="8">
        <f>COUNTA('UI 요소 상세'!A2:A500)</f>
        <v/>
      </c>
    </row>
    <row r="38">
      <c r="A38" s="8" t="inlineStr">
        <is>
          <t>완료</t>
        </is>
      </c>
      <c r="B38" s="8">
        <f>COUNTIF('UI 요소 상세'!N2:N500,"완료")</f>
        <v/>
      </c>
    </row>
    <row r="39">
      <c r="A39" s="8" t="inlineStr">
        <is>
          <t>설계중</t>
        </is>
      </c>
      <c r="B39" s="8">
        <f>COUNTIF('UI 요소 상세'!N2:N500,"설계중")</f>
        <v/>
      </c>
    </row>
    <row r="40">
      <c r="A40" s="8" t="inlineStr">
        <is>
          <t>개발중</t>
        </is>
      </c>
      <c r="B40" s="8">
        <f>COUNTIF('UI 요소 상세'!N2:N500,"개발중")</f>
        <v/>
      </c>
    </row>
    <row r="42">
      <c r="A42" t="inlineStr">
        <is>
          <t>실제 현황 (2026-03-12 기준)</t>
        </is>
      </c>
    </row>
    <row r="43">
      <c r="A43" t="inlineStr">
        <is>
          <t>항목</t>
        </is>
      </c>
      <c r="B43" t="inlineStr">
        <is>
          <t>계획/기획</t>
        </is>
      </c>
      <c r="C43" t="inlineStr">
        <is>
          <t>구현 완료</t>
        </is>
      </c>
      <c r="D43" t="inlineStr">
        <is>
          <t>구현율</t>
        </is>
      </c>
    </row>
    <row r="44">
      <c r="A44" t="inlineStr">
        <is>
          <t>전체 화면 수</t>
        </is>
      </c>
      <c r="B44" t="inlineStr">
        <is>
          <t>95</t>
        </is>
      </c>
      <c r="C44" t="inlineStr">
        <is>
          <t>33</t>
        </is>
      </c>
      <c r="D44" t="inlineStr">
        <is>
          <t>35%</t>
        </is>
      </c>
    </row>
    <row r="45">
      <c r="A45" t="inlineStr">
        <is>
          <t>전체 기능 수</t>
        </is>
      </c>
      <c r="B45" t="inlineStr">
        <is>
          <t>90</t>
        </is>
      </c>
      <c r="C45" t="inlineStr">
        <is>
          <t>48</t>
        </is>
      </c>
      <c r="D45" t="inlineStr">
        <is>
          <t>53%</t>
        </is>
      </c>
    </row>
    <row r="46">
      <c r="A46" t="inlineStr">
        <is>
          <t>전체 API 수</t>
        </is>
      </c>
      <c r="B46" t="inlineStr">
        <is>
          <t>59</t>
        </is>
      </c>
      <c r="C46" t="inlineStr">
        <is>
          <t>59</t>
        </is>
      </c>
      <c r="D46" t="inlineStr">
        <is>
          <t>100% (Supabase 직접)</t>
        </is>
      </c>
    </row>
    <row r="47">
      <c r="A47" t="inlineStr">
        <is>
          <t>전체 UI 요소 수</t>
        </is>
      </c>
      <c r="B47" t="n">
        <v>156</v>
      </c>
      <c r="C47" t="n">
        <v>156</v>
      </c>
      <c r="D47" t="inlineStr">
        <is>
          <t>100%</t>
        </is>
      </c>
    </row>
    <row r="48">
      <c r="A48" t="inlineStr">
        <is>
          <t>전체 TC 수</t>
        </is>
      </c>
      <c r="B48" t="inlineStr">
        <is>
          <t>268</t>
        </is>
      </c>
      <c r="C48" t="inlineStr">
        <is>
          <t>50</t>
        </is>
      </c>
      <c r="D48" t="inlineStr">
        <is>
          <t>19%</t>
        </is>
      </c>
    </row>
    <row r="49">
      <c r="A49" t="inlineStr">
        <is>
          <t>전체 DB 테이블 수</t>
        </is>
      </c>
      <c r="B49" t="inlineStr">
        <is>
          <t>27</t>
        </is>
      </c>
      <c r="C49" t="inlineStr">
        <is>
          <t>21</t>
        </is>
      </c>
      <c r="D49" t="inlineStr">
        <is>
          <t>78%</t>
        </is>
      </c>
    </row>
    <row r="50">
      <c r="A50" t="inlineStr">
        <is>
          <t>전체 DB 컬럼 수</t>
        </is>
      </c>
      <c r="B50" t="inlineStr">
        <is>
          <t>336</t>
        </is>
      </c>
      <c r="C50" t="inlineStr">
        <is>
          <t>235</t>
        </is>
      </c>
      <c r="D50" t="inlineStr">
        <is>
          <t>70%</t>
        </is>
      </c>
    </row>
    <row r="51">
      <c r="A51" t="inlineStr">
        <is>
          <t>비즈니스 정책 수</t>
        </is>
      </c>
      <c r="B51" t="inlineStr">
        <is>
          <t>133</t>
        </is>
      </c>
      <c r="C51" t="inlineStr">
        <is>
          <t>71</t>
        </is>
      </c>
      <c r="D51" t="inlineStr">
        <is>
          <t>53%</t>
        </is>
      </c>
    </row>
    <row r="53">
      <c r="A53" t="inlineStr">
        <is>
          <t>주요 구현 현황</t>
        </is>
      </c>
    </row>
    <row r="54">
      <c r="A54" t="inlineStr">
        <is>
          <t>API 연동</t>
        </is>
      </c>
      <c r="B54" t="inlineStr">
        <is>
          <t>Supabase 직접</t>
        </is>
      </c>
      <c r="C54" t="inlineStr">
        <is>
          <t>31/33 페이지 연동</t>
        </is>
      </c>
      <c r="D54" t="inlineStr">
        <is>
          <t>93%</t>
        </is>
      </c>
    </row>
    <row r="55">
      <c r="A55" t="inlineStr">
        <is>
          <t>비즈니스 로직</t>
        </is>
      </c>
      <c r="B55" t="inlineStr">
        <is>
          <t>businessLogic.ts</t>
        </is>
      </c>
      <c r="C55" t="inlineStr">
        <is>
          <t>15개 함수 구현</t>
        </is>
      </c>
      <c r="D55" t="inlineStr">
        <is>
          <t>100%</t>
        </is>
      </c>
    </row>
    <row r="56">
      <c r="A56" t="inlineStr">
        <is>
          <t>엑셀 내보내기</t>
        </is>
      </c>
      <c r="B56" t="inlineStr">
        <is>
          <t>exportExcel.ts</t>
        </is>
      </c>
      <c r="C56" t="inlineStr">
        <is>
          <t>10+ 페이지 연결</t>
        </is>
      </c>
      <c r="D56" t="inlineStr">
        <is>
          <t>100%</t>
        </is>
      </c>
    </row>
    <row r="57">
      <c r="A57" t="inlineStr">
        <is>
          <t>외부 앱 (키오스크/모바일/트레이너/FC)</t>
        </is>
      </c>
      <c r="B57" t="inlineStr">
        <is>
          <t>22개 기능</t>
        </is>
      </c>
      <c r="C57" t="inlineStr">
        <is>
          <t>별도 프로젝트</t>
        </is>
      </c>
      <c r="D57" t="inlineStr">
        <is>
          <t>0%</t>
        </is>
      </c>
    </row>
    <row r="59">
      <c r="A59" s="30" t="inlineStr">
        <is>
          <t>추가된 시트</t>
        </is>
      </c>
    </row>
    <row r="60">
      <c r="A60" t="inlineStr">
        <is>
          <t>화면흐름도</t>
        </is>
      </c>
      <c r="B60" t="n">
        <v>49</v>
      </c>
    </row>
    <row r="61">
      <c r="A61" t="inlineStr">
        <is>
          <t>디자인토큰</t>
        </is>
      </c>
      <c r="B61" t="n">
        <v>75</v>
      </c>
    </row>
    <row r="63">
      <c r="A63" s="83" t="inlineStr">
        <is>
          <t>멀티테넌트 기획 현황 (BP-072~BP-133)</t>
        </is>
      </c>
      <c r="B63" s="84" t="n"/>
      <c r="C63" s="84" t="n"/>
      <c r="D63" s="84" t="n"/>
    </row>
    <row r="64">
      <c r="A64" s="85" t="inlineStr">
        <is>
          <t>영역</t>
        </is>
      </c>
      <c r="B64" s="85" t="inlineStr">
        <is>
          <t>정책 수</t>
        </is>
      </c>
      <c r="C64" s="85" t="inlineStr">
        <is>
          <t>관련 기능</t>
        </is>
      </c>
      <c r="D64" s="85" t="inlineStr">
        <is>
          <t>관련 TC</t>
        </is>
      </c>
    </row>
    <row r="65">
      <c r="A65" s="86" t="inlineStr">
        <is>
          <t>멀티테넌트 (기본)
(BP-072~082)</t>
        </is>
      </c>
      <c r="B65" s="86" t="inlineStr">
        <is>
          <t>11개</t>
        </is>
      </c>
      <c r="C65" s="86" t="inlineStr">
        <is>
          <t>FN-054~056 (3개)</t>
        </is>
      </c>
      <c r="D65" s="86" t="inlineStr">
        <is>
          <t>TC-기존</t>
        </is>
      </c>
    </row>
    <row r="66">
      <c r="A66" s="75" t="inlineStr">
        <is>
          <t>직원 라이프사이클
(BP-083~095)</t>
        </is>
      </c>
      <c r="B66" s="75" t="inlineStr">
        <is>
          <t>13개</t>
        </is>
      </c>
      <c r="C66" s="75" t="inlineStr">
        <is>
          <t>FN-057~063 (7개)</t>
        </is>
      </c>
      <c r="D66" s="75" t="inlineStr">
        <is>
          <t>TC-277~288 (12개)</t>
        </is>
      </c>
    </row>
    <row r="67">
      <c r="A67" s="76" t="inlineStr">
        <is>
          <t>회원 이관/보존
(BP-096~105)</t>
        </is>
      </c>
      <c r="B67" s="76" t="inlineStr">
        <is>
          <t>10개</t>
        </is>
      </c>
      <c r="C67" s="76" t="inlineStr">
        <is>
          <t>FN-058 (1개)</t>
        </is>
      </c>
      <c r="D67" s="76" t="inlineStr">
        <is>
          <t>TC-289~297 (9개)</t>
        </is>
      </c>
    </row>
    <row r="68">
      <c r="A68" s="77" t="inlineStr">
        <is>
          <t>지점 라이프사이클
(BP-106~112)</t>
        </is>
      </c>
      <c r="B68" s="77" t="inlineStr">
        <is>
          <t>7개</t>
        </is>
      </c>
      <c r="C68" s="77" t="inlineStr">
        <is>
          <t>FN-064~068 (5개)</t>
        </is>
      </c>
      <c r="D68" s="77" t="inlineStr">
        <is>
          <t>TC-298~304 (7개)</t>
        </is>
      </c>
    </row>
    <row r="69">
      <c r="A69" s="78" t="inlineStr">
        <is>
          <t>슈퍼관리자 관리
(BP-113~120)</t>
        </is>
      </c>
      <c r="B69" s="78" t="inlineStr">
        <is>
          <t>8개</t>
        </is>
      </c>
      <c r="C69" s="78" t="inlineStr">
        <is>
          <t>FN-069~073 (5개)</t>
        </is>
      </c>
      <c r="D69" s="78" t="inlineStr">
        <is>
          <t>TC-305~312 (8개)</t>
        </is>
      </c>
    </row>
    <row r="70">
      <c r="A70" s="79" t="inlineStr">
        <is>
          <t>데이터 보존/보안
(BP-121~127)</t>
        </is>
      </c>
      <c r="B70" s="79" t="inlineStr">
        <is>
          <t>7개</t>
        </is>
      </c>
      <c r="C70" s="79" t="inlineStr">
        <is>
          <t>공통 인프라</t>
        </is>
      </c>
      <c r="D70" s="79" t="inlineStr">
        <is>
          <t>TC-308~311,318 (5개)</t>
        </is>
      </c>
    </row>
    <row r="71">
      <c r="A71" s="80" t="inlineStr">
        <is>
          <t>정산/재무
(BP-128~133)</t>
        </is>
      </c>
      <c r="B71" s="80" t="inlineStr">
        <is>
          <t>6개</t>
        </is>
      </c>
      <c r="C71" s="80" t="inlineStr">
        <is>
          <t>기존 기능 확장</t>
        </is>
      </c>
      <c r="D71" s="80" t="inlineStr">
        <is>
          <t>TC-313~317 (5개)</t>
        </is>
      </c>
    </row>
    <row r="72">
      <c r="A72" s="87" t="inlineStr">
        <is>
          <t>합계</t>
        </is>
      </c>
      <c r="B72" s="87" t="inlineStr">
        <is>
          <t>62개 정책</t>
        </is>
      </c>
      <c r="C72" s="87" t="inlineStr">
        <is>
          <t>21개 신규 기능</t>
        </is>
      </c>
      <c r="D72" s="87" t="inlineStr">
        <is>
          <t>42개 TC</t>
        </is>
      </c>
    </row>
    <row r="74">
      <c r="A74" s="83" t="inlineStr">
        <is>
          <t>엣지케이스 시나리오 커버리지</t>
        </is>
      </c>
      <c r="B74" s="84" t="n"/>
      <c r="C74" s="84" t="n"/>
      <c r="D74" s="84" t="n"/>
    </row>
    <row r="75">
      <c r="A75" s="75" t="inlineStr">
        <is>
          <t>직원 퇴사 (일반/FC/센터장)</t>
        </is>
      </c>
      <c r="B75" s="75" t="inlineStr">
        <is>
          <t>정책 3개 + TC 4개</t>
        </is>
      </c>
      <c r="C75" s="75" t="inlineStr">
        <is>
          <t>완료</t>
        </is>
      </c>
    </row>
    <row r="76">
      <c r="A76" s="75" t="inlineStr">
        <is>
          <t>FC 퇴사 시 담당회원 재배정 (자동/수동/PT잔여)</t>
        </is>
      </c>
      <c r="B76" s="75" t="inlineStr">
        <is>
          <t>정책 1개 + TC 2개</t>
        </is>
      </c>
      <c r="C76" s="75" t="inlineStr">
        <is>
          <t>완료</t>
        </is>
      </c>
    </row>
    <row r="77">
      <c r="A77" s="75" t="inlineStr">
        <is>
          <t>퇴사 직원 데이터 보존 + 리포트 표시</t>
        </is>
      </c>
      <c r="B77" s="75" t="inlineStr">
        <is>
          <t>정책 2개 + TC 2개</t>
        </is>
      </c>
      <c r="C77" s="75" t="inlineStr">
        <is>
          <t>완료</t>
        </is>
      </c>
    </row>
    <row r="78">
      <c r="A78" s="75" t="inlineStr">
        <is>
          <t>퇴사 급여 최종정산 (퇴직금/연차/커미션)</t>
        </is>
      </c>
      <c r="B78" s="75" t="inlineStr">
        <is>
          <t>정책 1개 + TC 1개</t>
        </is>
      </c>
      <c r="C78" s="75" t="inlineStr">
        <is>
          <t>완료</t>
        </is>
      </c>
    </row>
    <row r="79">
      <c r="A79" s="75" t="inlineStr">
        <is>
          <t>퇴사 예정 스케줄 처리</t>
        </is>
      </c>
      <c r="B79" s="75" t="inlineStr">
        <is>
          <t>정책 1개 + TC 1개</t>
        </is>
      </c>
      <c r="C79" s="75" t="inlineStr">
        <is>
          <t>완료</t>
        </is>
      </c>
    </row>
    <row r="80">
      <c r="A80" s="75" t="inlineStr">
        <is>
          <t>직원 지점 이동(전보) + 급여 분리</t>
        </is>
      </c>
      <c r="B80" s="75" t="inlineStr">
        <is>
          <t>정책 1개 + TC 2개</t>
        </is>
      </c>
      <c r="C80" s="75" t="inlineStr">
        <is>
          <t>완료</t>
        </is>
      </c>
    </row>
    <row r="81">
      <c r="A81" s="75" t="inlineStr">
        <is>
          <t>직원 휴직/복직 (임시 재배정)</t>
        </is>
      </c>
      <c r="B81" s="75" t="inlineStr">
        <is>
          <t>정책 1개 + TC 1개</t>
        </is>
      </c>
      <c r="C81" s="75" t="inlineStr">
        <is>
          <t>완료</t>
        </is>
      </c>
    </row>
    <row r="82">
      <c r="A82" s="75" t="inlineStr">
        <is>
          <t>직원 역할 변경 (승격/강등)</t>
        </is>
      </c>
      <c r="B82" s="75" t="inlineStr">
        <is>
          <t>정책 1개 + TC 1개</t>
        </is>
      </c>
      <c r="C82" s="75" t="inlineStr">
        <is>
          <t>완료</t>
        </is>
      </c>
    </row>
    <row r="83">
      <c r="A83" s="75" t="inlineStr">
        <is>
          <t>퇴사 직원 재입사 (이력연결)</t>
        </is>
      </c>
      <c r="B83" s="75" t="inlineStr">
        <is>
          <t>정책 1개 + TC 1개</t>
        </is>
      </c>
      <c r="C83" s="75" t="inlineStr">
        <is>
          <t>완료</t>
        </is>
      </c>
    </row>
    <row r="84">
      <c r="A84" s="75" t="inlineStr">
        <is>
          <t>계정 잠금/보안 (5회실패/90일미접속)</t>
        </is>
      </c>
      <c r="B84" s="75" t="inlineStr">
        <is>
          <t>정책 1개 + TC 2개</t>
        </is>
      </c>
      <c r="C84" s="75" t="inlineStr">
        <is>
          <t>완료</t>
        </is>
      </c>
    </row>
    <row r="85">
      <c r="A85" s="75" t="inlineStr">
        <is>
          <t>회원 지점 이관 (이용권유지/환불/소진)</t>
        </is>
      </c>
      <c r="B85" s="75" t="inlineStr">
        <is>
          <t>정책 2개 + TC 3개</t>
        </is>
      </c>
      <c r="C85" s="75" t="inlineStr">
        <is>
          <t>완료</t>
        </is>
      </c>
    </row>
    <row r="86">
      <c r="A86" s="75" t="inlineStr">
        <is>
          <t>회원 탈퇴 (자발적/장기미이용/강제)</t>
        </is>
      </c>
      <c r="B86" s="75" t="inlineStr">
        <is>
          <t>정책 1개 + TC 1개</t>
        </is>
      </c>
      <c r="C86" s="75" t="inlineStr">
        <is>
          <t>완료</t>
        </is>
      </c>
    </row>
    <row r="87">
      <c r="A87" s="75" t="inlineStr">
        <is>
          <t>회원 재가입 (데이터연결/마스킹후)</t>
        </is>
      </c>
      <c r="B87" s="75" t="inlineStr">
        <is>
          <t>정책 1개 + TC 1개</t>
        </is>
      </c>
      <c r="C87" s="75" t="inlineStr">
        <is>
          <t>완료</t>
        </is>
      </c>
    </row>
    <row r="88">
      <c r="A88" s="75" t="inlineStr">
        <is>
          <t>개인정보 삭제 요청</t>
        </is>
      </c>
      <c r="B88" s="75" t="inlineStr">
        <is>
          <t>정책 1개 + TC 1개</t>
        </is>
      </c>
      <c r="C88" s="75" t="inlineStr">
        <is>
          <t>완료</t>
        </is>
      </c>
    </row>
    <row r="89">
      <c r="A89" s="75" t="inlineStr">
        <is>
          <t>다지점 게스트 방문</t>
        </is>
      </c>
      <c r="B89" s="75" t="inlineStr">
        <is>
          <t>정책 1개 + TC 1개</t>
        </is>
      </c>
      <c r="C89" s="75" t="inlineStr">
        <is>
          <t>완료</t>
        </is>
      </c>
    </row>
    <row r="90">
      <c r="A90" s="75" t="inlineStr">
        <is>
          <t>쿠폰/마일리지 이관</t>
        </is>
      </c>
      <c r="B90" s="75" t="inlineStr">
        <is>
          <t>정책 1개 + TC 1개</t>
        </is>
      </c>
      <c r="C90" s="75" t="inlineStr">
        <is>
          <t>완료</t>
        </is>
      </c>
    </row>
    <row r="91">
      <c r="A91" s="75" t="inlineStr">
        <is>
          <t>지점 폐점 60일 프로세스</t>
        </is>
      </c>
      <c r="B91" s="75" t="inlineStr">
        <is>
          <t>정책 2개 + TC 3개</t>
        </is>
      </c>
      <c r="C91" s="75" t="inlineStr">
        <is>
          <t>완료</t>
        </is>
      </c>
    </row>
    <row r="92">
      <c r="A92" s="75" t="inlineStr">
        <is>
          <t>지점 합병 (흡수/신설)</t>
        </is>
      </c>
      <c r="B92" s="75" t="inlineStr">
        <is>
          <t>정책 1개 + TC 1개</t>
        </is>
      </c>
      <c r="C92" s="75" t="inlineStr">
        <is>
          <t>완료</t>
        </is>
      </c>
    </row>
    <row r="93">
      <c r="A93" s="75" t="inlineStr">
        <is>
          <t>지점 일시 휴업 + 자동 홀딩</t>
        </is>
      </c>
      <c r="B93" s="75" t="inlineStr">
        <is>
          <t>정책 1개 + TC 1개</t>
        </is>
      </c>
      <c r="C93" s="75" t="inlineStr">
        <is>
          <t>완료</t>
        </is>
      </c>
    </row>
    <row r="94">
      <c r="A94" s="75" t="inlineStr">
        <is>
          <t>본사 지점 변경</t>
        </is>
      </c>
      <c r="B94" s="75" t="inlineStr">
        <is>
          <t>정책 1개 + TC 1개</t>
        </is>
      </c>
      <c r="C94" s="75" t="inlineStr">
        <is>
          <t>완료</t>
        </is>
      </c>
    </row>
    <row r="95">
      <c r="A95" s="75" t="inlineStr">
        <is>
          <t>지점 정원 초과 차단</t>
        </is>
      </c>
      <c r="B95" s="75" t="inlineStr">
        <is>
          <t>정책 1개 + TC 1개</t>
        </is>
      </c>
      <c r="C95" s="75" t="inlineStr">
        <is>
          <t>완료</t>
        </is>
      </c>
    </row>
    <row r="96">
      <c r="A96" s="75" t="inlineStr">
        <is>
          <t>슈퍼관리자 지정/해제/최소1인</t>
        </is>
      </c>
      <c r="B96" s="75" t="inlineStr">
        <is>
          <t>정책 2개 + TC 2개</t>
        </is>
      </c>
      <c r="C96" s="75" t="inlineStr">
        <is>
          <t>완료</t>
        </is>
      </c>
    </row>
    <row r="97">
      <c r="A97" s="75" t="inlineStr">
        <is>
          <t>슈퍼관리자 퇴사 + 소유권 이전</t>
        </is>
      </c>
      <c r="B97" s="75" t="inlineStr">
        <is>
          <t>정책 2개 + TC 1개</t>
        </is>
      </c>
      <c r="C97" s="75" t="inlineStr">
        <is>
          <t>완료</t>
        </is>
      </c>
    </row>
    <row r="98">
      <c r="A98" s="75" t="inlineStr">
        <is>
          <t>감사 로그 (불변/영구보존)</t>
        </is>
      </c>
      <c r="B98" s="75" t="inlineStr">
        <is>
          <t>정책 2개 + TC 2개</t>
        </is>
      </c>
      <c r="C98" s="75" t="inlineStr">
        <is>
          <t>완료</t>
        </is>
      </c>
    </row>
    <row r="99">
      <c r="A99" s="75" t="inlineStr">
        <is>
          <t>동시 접속 제한</t>
        </is>
      </c>
      <c r="B99" s="75" t="inlineStr">
        <is>
          <t>정책 1개 + TC 1개</t>
        </is>
      </c>
      <c r="C99" s="75" t="inlineStr">
        <is>
          <t>완료</t>
        </is>
      </c>
    </row>
    <row r="100">
      <c r="A100" s="75" t="inlineStr">
        <is>
          <t>이관 후 크로스지점 환불</t>
        </is>
      </c>
      <c r="B100" s="75" t="inlineStr">
        <is>
          <t>정책 1개 + TC 1개</t>
        </is>
      </c>
      <c r="C100" s="75" t="inlineStr">
        <is>
          <t>완료</t>
        </is>
      </c>
    </row>
    <row r="101">
      <c r="A101" s="75" t="inlineStr">
        <is>
          <t>환불 금액별 승인 권한</t>
        </is>
      </c>
      <c r="B101" s="75" t="inlineStr">
        <is>
          <t>정책 1개 + TC 1개</t>
        </is>
      </c>
      <c r="C101" s="75" t="inlineStr">
        <is>
          <t>완료</t>
        </is>
      </c>
    </row>
    <row r="102">
      <c r="A102" s="75" t="inlineStr">
        <is>
          <t>구독 요금제 (업/다운그레이드)</t>
        </is>
      </c>
      <c r="B102" s="75" t="inlineStr">
        <is>
          <t>정책 1개 + TC 1개</t>
        </is>
      </c>
      <c r="C102" s="75" t="inlineStr">
        <is>
          <t>완료</t>
        </is>
      </c>
    </row>
    <row r="103">
      <c r="A103" s="75" t="inlineStr">
        <is>
          <t>데이터 연쇄 무결성 (탈퇴/퇴사 시)</t>
        </is>
      </c>
      <c r="B103" s="75" t="inlineStr">
        <is>
          <t>정책 1개 + TC 1개</t>
        </is>
      </c>
      <c r="C103" s="75" t="inlineStr">
        <is>
          <t>완료</t>
        </is>
      </c>
    </row>
    <row r="104">
      <c r="A104" s="75" t="inlineStr">
        <is>
          <t>비상 복구 (전원 잠금)</t>
        </is>
      </c>
      <c r="B104" s="75" t="inlineStr">
        <is>
          <t>정책 1개 + TC 0개</t>
        </is>
      </c>
      <c r="C104" s="75" t="inlineStr">
        <is>
          <t>완료</t>
        </is>
      </c>
    </row>
    <row r="105">
      <c r="A105" s="75" t="inlineStr">
        <is>
          <t>소프트 삭제 전체 정책</t>
        </is>
      </c>
      <c r="B105" s="75" t="inlineStr">
        <is>
          <t>정책 1개 + TC 0개</t>
        </is>
      </c>
      <c r="C105" s="75" t="inlineStr">
        <is>
          <t>완료</t>
        </is>
      </c>
    </row>
    <row r="106">
      <c r="A106" s="75" t="inlineStr">
        <is>
          <t>개인정보 자동 마스킹</t>
        </is>
      </c>
      <c r="B106" s="75" t="inlineStr">
        <is>
          <t>정책 1개 + TC 0개</t>
        </is>
      </c>
      <c r="C106" s="75" t="inlineStr">
        <is>
          <t>완료</t>
        </is>
      </c>
    </row>
    <row r="107">
      <c r="A107" s="75" t="inlineStr">
        <is>
          <t>RLS 데이터 격리</t>
        </is>
      </c>
      <c r="B107" s="75" t="inlineStr">
        <is>
          <t>정책 1개 + TC 0개</t>
        </is>
      </c>
      <c r="C107" s="75" t="inlineStr">
        <is>
          <t>완료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70" customWidth="1" min="4" max="4"/>
    <col width="16" customWidth="1" min="5" max="5"/>
    <col width="16" customWidth="1" min="6" max="6"/>
    <col width="12" customWidth="1" min="7" max="7"/>
    <col width="10" customWidth="1" min="8" max="8"/>
  </cols>
  <sheetData>
    <row r="1" ht="30" customHeight="1">
      <c r="A1" s="9" t="inlineStr">
        <is>
          <t>정책 ID</t>
        </is>
      </c>
      <c r="B1" s="9" t="inlineStr">
        <is>
          <t>정책 영역</t>
        </is>
      </c>
      <c r="C1" s="9" t="inlineStr">
        <is>
          <t>정책명</t>
        </is>
      </c>
      <c r="D1" s="9" t="inlineStr">
        <is>
          <t>정책 설명</t>
        </is>
      </c>
      <c r="E1" s="9" t="inlineStr">
        <is>
          <t>관련 화면</t>
        </is>
      </c>
      <c r="F1" s="9" t="inlineStr">
        <is>
          <t>관련 기능</t>
        </is>
      </c>
      <c r="G1" s="9" t="inlineStr">
        <is>
          <t>우선순위</t>
        </is>
      </c>
      <c r="H1" s="9" t="inlineStr">
        <is>
          <t>상태</t>
        </is>
      </c>
    </row>
    <row r="2" ht="48" customHeight="1">
      <c r="A2" s="10" t="inlineStr">
        <is>
          <t>BP-001</t>
        </is>
      </c>
      <c r="B2" s="10" t="inlineStr">
        <is>
          <t>인증</t>
        </is>
      </c>
      <c r="C2" s="11" t="inlineStr">
        <is>
          <t>비밀번호 정책</t>
        </is>
      </c>
      <c r="D2" s="12" t="inlineStr">
        <is>
          <t>최소 8자, 영문+숫자+특수문자 조합 필수. 이전 3개 비밀번호 재사용 금지. 90일 경과 시 변경 권장 팝업(강제 변경 or 건너뛰기 선택 가능).</t>
        </is>
      </c>
      <c r="E2" s="13" t="inlineStr">
        <is>
          <t>SCR-001</t>
        </is>
      </c>
      <c r="F2" s="13" t="inlineStr">
        <is>
          <t>FN-001</t>
        </is>
      </c>
      <c r="G2" s="14" t="inlineStr">
        <is>
          <t>Critical</t>
        </is>
      </c>
      <c r="H2" s="13" t="inlineStr">
        <is>
          <t>확정</t>
        </is>
      </c>
    </row>
    <row r="3" ht="48" customHeight="1">
      <c r="A3" s="10" t="inlineStr">
        <is>
          <t>BP-002</t>
        </is>
      </c>
      <c r="B3" s="10" t="inlineStr">
        <is>
          <t>인증</t>
        </is>
      </c>
      <c r="C3" s="11" t="inlineStr">
        <is>
          <t>계정 잠금 정책</t>
        </is>
      </c>
      <c r="D3" s="12" t="inlineStr">
        <is>
          <t>로그인 5회 연속 실패 시 30분 잠금. 잠금 시 남은 시간 표시. 잠금 해제 방법: 비밀번호 찾기(이메일 인증) 또는 관리자 수동 해제.</t>
        </is>
      </c>
      <c r="E3" s="13" t="inlineStr">
        <is>
          <t>SCR-001</t>
        </is>
      </c>
      <c r="F3" s="13" t="inlineStr">
        <is>
          <t>FN-001</t>
        </is>
      </c>
      <c r="G3" s="14" t="inlineStr">
        <is>
          <t>Critical</t>
        </is>
      </c>
      <c r="H3" s="13" t="inlineStr">
        <is>
          <t>확정</t>
        </is>
      </c>
    </row>
    <row r="4" ht="48" customHeight="1">
      <c r="A4" s="10" t="inlineStr">
        <is>
          <t>BP-003</t>
        </is>
      </c>
      <c r="B4" s="10" t="inlineStr">
        <is>
          <t>인증</t>
        </is>
      </c>
      <c r="C4" s="11" t="inlineStr">
        <is>
          <t>세션 관리 정책</t>
        </is>
      </c>
      <c r="D4" s="12" t="inlineStr">
        <is>
          <t>동시 로그인 1개 세션만 허용. 새 로그인 시 기존 세션 강제 종료. JWT 토큰 만료: 2시간(기본). 로그인 유지 선택 시 Refresh Token 7일 유효.</t>
        </is>
      </c>
      <c r="E4" s="13" t="inlineStr">
        <is>
          <t>SCR-001</t>
        </is>
      </c>
      <c r="F4" s="13" t="inlineStr">
        <is>
          <t>FN-001</t>
        </is>
      </c>
      <c r="G4" s="14" t="inlineStr">
        <is>
          <t>Critical</t>
        </is>
      </c>
      <c r="H4" s="13" t="inlineStr">
        <is>
          <t>확정</t>
        </is>
      </c>
    </row>
    <row r="5" ht="48" customHeight="1">
      <c r="A5" s="10" t="inlineStr">
        <is>
          <t>BP-004</t>
        </is>
      </c>
      <c r="B5" s="10" t="inlineStr">
        <is>
          <t>인증</t>
        </is>
      </c>
      <c r="C5" s="11" t="inlineStr">
        <is>
          <t>지점 전환 정책</t>
        </is>
      </c>
      <c r="D5" s="12" t="inlineStr">
        <is>
          <t>로그인 시 선택한 지점의 데이터만 접근 가능. 헤더 드롭다운으로 재로그인 없이 지점 전환 허용(최고관리자/센터장 한정). 전환 즉시 해당 지점 데이터 리로드.</t>
        </is>
      </c>
      <c r="E5" s="13" t="inlineStr">
        <is>
          <t>SCR-001</t>
        </is>
      </c>
      <c r="F5" s="13" t="inlineStr">
        <is>
          <t>FN-002</t>
        </is>
      </c>
      <c r="G5" s="15" t="inlineStr">
        <is>
          <t>High</t>
        </is>
      </c>
      <c r="H5" s="13" t="inlineStr">
        <is>
          <t>확정</t>
        </is>
      </c>
    </row>
    <row r="6" ht="48" customHeight="1">
      <c r="A6" s="10" t="inlineStr">
        <is>
          <t>BP-005</t>
        </is>
      </c>
      <c r="B6" s="10" t="inlineStr">
        <is>
          <t>인증</t>
        </is>
      </c>
      <c r="C6" s="11" t="inlineStr">
        <is>
          <t>권한 매트릭스 정책</t>
        </is>
      </c>
      <c r="D6" s="12" t="inlineStr">
        <is>
          <t>역할별 메뉴/기능 접근 제한. 최고관리자&gt;센터장&gt;매니저&gt;FC&gt;스태프&gt;조회전용 계층. 메뉴별 CRUD 권한 세분화. 역할 변경 시 즉시 적용.</t>
        </is>
      </c>
      <c r="E6" s="13" t="inlineStr">
        <is>
          <t>SCR-093</t>
        </is>
      </c>
      <c r="F6" s="13" t="inlineStr">
        <is>
          <t>FN-003</t>
        </is>
      </c>
      <c r="G6" s="14" t="inlineStr">
        <is>
          <t>Critical</t>
        </is>
      </c>
      <c r="H6" s="13" t="inlineStr">
        <is>
          <t>확정</t>
        </is>
      </c>
    </row>
    <row r="7" ht="48" customHeight="1">
      <c r="A7" s="16" t="inlineStr">
        <is>
          <t>BP-006</t>
        </is>
      </c>
      <c r="B7" s="16" t="inlineStr">
        <is>
          <t>회원</t>
        </is>
      </c>
      <c r="C7" s="11" t="inlineStr">
        <is>
          <t>회원 상태 정의</t>
        </is>
      </c>
      <c r="D7" s="12" t="inlineStr">
        <is>
          <t>활성: 유효한 이용권 1개 이상 보유. 만료: 모든 이용권 만료(마지막 만료일 기준). 예정: 시작일이 미래인 이용권 보유. 임박: 만료 D-30 이내. 홀딩: 이용권 정지 중. 미등록: 이용권 없음.</t>
        </is>
      </c>
      <c r="E7" s="13" t="inlineStr">
        <is>
          <t>SCR-010</t>
        </is>
      </c>
      <c r="F7" s="13" t="inlineStr">
        <is>
          <t>FN-010</t>
        </is>
      </c>
      <c r="G7" s="14" t="inlineStr">
        <is>
          <t>Critical</t>
        </is>
      </c>
      <c r="H7" s="13" t="inlineStr">
        <is>
          <t>확정</t>
        </is>
      </c>
    </row>
    <row r="8" ht="48" customHeight="1">
      <c r="A8" s="16" t="inlineStr">
        <is>
          <t>BP-007</t>
        </is>
      </c>
      <c r="B8" s="16" t="inlineStr">
        <is>
          <t>회원</t>
        </is>
      </c>
      <c r="C8" s="11" t="inlineStr">
        <is>
          <t>회원 등록 규칙</t>
        </is>
      </c>
      <c r="D8" s="12" t="inlineStr">
        <is>
          <t>이름(2~20자 한글/영문), 성별, 연락처(010-XXXX-XXXX 형식) 필수. 연락처는 동일 지점 내 중복 불가. 회원번호 자동 생성: 지점코드-YYMMDD-순번. 출석번호 4자리 랜덤(중복 체크).</t>
        </is>
      </c>
      <c r="E8" s="13" t="inlineStr">
        <is>
          <t>SCR-012</t>
        </is>
      </c>
      <c r="F8" s="13" t="inlineStr">
        <is>
          <t>FN-012</t>
        </is>
      </c>
      <c r="G8" s="15" t="inlineStr">
        <is>
          <t>High</t>
        </is>
      </c>
      <c r="H8" s="13" t="inlineStr">
        <is>
          <t>확정</t>
        </is>
      </c>
    </row>
    <row r="9" ht="48" customHeight="1">
      <c r="A9" s="16" t="inlineStr">
        <is>
          <t>BP-008</t>
        </is>
      </c>
      <c r="B9" s="16" t="inlineStr">
        <is>
          <t>회원</t>
        </is>
      </c>
      <c r="C9" s="11" t="inlineStr">
        <is>
          <t>회원 수정 규칙</t>
        </is>
      </c>
      <c r="D9" s="12" t="inlineStr">
        <is>
          <t>수정 시 변경 전/후 값 자동 audit_log 기록(변경자+변경일시). 연락처 변경 시 재중복 체크 필수. 변경 이력은 회원 상세 이력 탭에서 조회 가능.</t>
        </is>
      </c>
      <c r="E9" s="13" t="inlineStr">
        <is>
          <t>SCR-013</t>
        </is>
      </c>
      <c r="F9" s="13" t="inlineStr">
        <is>
          <t>FN-013</t>
        </is>
      </c>
      <c r="G9" s="15" t="inlineStr">
        <is>
          <t>High</t>
        </is>
      </c>
      <c r="H9" s="13" t="inlineStr">
        <is>
          <t>확정</t>
        </is>
      </c>
    </row>
    <row r="10" ht="48" customHeight="1">
      <c r="A10" s="16" t="inlineStr">
        <is>
          <t>BP-009</t>
        </is>
      </c>
      <c r="B10" s="16" t="inlineStr">
        <is>
          <t>회원</t>
        </is>
      </c>
      <c r="C10" s="11" t="inlineStr">
        <is>
          <t>회원 삭제 규칙</t>
        </is>
      </c>
      <c r="D10" s="12" t="inlineStr">
        <is>
          <t>소프트 삭제(is_deleted 플래그). 미납 건 존재 시 삭제 불가(환불/정산 선행). 유효 이용권 존재 시 삭제 불가. 삭제 후 30일간 복구 가능. 복구 불가 시 영구 삭제 처리.</t>
        </is>
      </c>
      <c r="E10" s="13" t="inlineStr">
        <is>
          <t>SCR-011</t>
        </is>
      </c>
      <c r="F10" s="13" t="inlineStr">
        <is>
          <t>FN-011</t>
        </is>
      </c>
      <c r="G10" s="15" t="inlineStr">
        <is>
          <t>High</t>
        </is>
      </c>
      <c r="H10" s="13" t="inlineStr">
        <is>
          <t>확정</t>
        </is>
      </c>
    </row>
    <row r="11" ht="48" customHeight="1">
      <c r="A11" s="16" t="inlineStr">
        <is>
          <t>BP-010</t>
        </is>
      </c>
      <c r="B11" s="16" t="inlineStr">
        <is>
          <t>회원</t>
        </is>
      </c>
      <c r="C11" s="11" t="inlineStr">
        <is>
          <t>회원 검색 정책</t>
        </is>
      </c>
      <c r="D11" s="12" t="inlineStr">
        <is>
          <t>이름: 부분일치(2글자 이상). 연락처: 숫자만 추출 후 부분일치. 회원번호: 완전일치. 검색 debounce 300ms 적용. 모든 필터는 AND 조합. 삭제 회원은 기본 미표시(옵션 선택 시 표시).</t>
        </is>
      </c>
      <c r="E11" s="13" t="inlineStr">
        <is>
          <t>SCR-010</t>
        </is>
      </c>
      <c r="F11" s="13" t="inlineStr">
        <is>
          <t>FN-010</t>
        </is>
      </c>
      <c r="G11" s="17" t="inlineStr">
        <is>
          <t>Medium</t>
        </is>
      </c>
      <c r="H11" s="13" t="inlineStr">
        <is>
          <t>확정</t>
        </is>
      </c>
    </row>
    <row r="12" ht="48" customHeight="1">
      <c r="A12" s="18" t="inlineStr">
        <is>
          <t>BP-011</t>
        </is>
      </c>
      <c r="B12" s="18" t="inlineStr">
        <is>
          <t>매출</t>
        </is>
      </c>
      <c r="C12" s="11" t="inlineStr">
        <is>
          <t>매출 집계 규칙</t>
        </is>
      </c>
      <c r="D12" s="12" t="inlineStr">
        <is>
          <t>총매출 = 현금 + 카드 + 마일리지 - 환불. 순매출 = 총매출 - 부가세. 일/주/월/연 단위 집계. 지점별 완전 독립 집계. 환불 건은 마이너스로 반영.</t>
        </is>
      </c>
      <c r="E12" s="13" t="inlineStr">
        <is>
          <t>SCR-030</t>
        </is>
      </c>
      <c r="F12" s="13" t="inlineStr">
        <is>
          <t>FN-030</t>
        </is>
      </c>
      <c r="G12" s="14" t="inlineStr">
        <is>
          <t>Critical</t>
        </is>
      </c>
      <c r="H12" s="13" t="inlineStr">
        <is>
          <t>확정</t>
        </is>
      </c>
    </row>
    <row r="13" ht="48" customHeight="1">
      <c r="A13" s="18" t="inlineStr">
        <is>
          <t>BP-012</t>
        </is>
      </c>
      <c r="B13" s="18" t="inlineStr">
        <is>
          <t>매출</t>
        </is>
      </c>
      <c r="C13" s="11" t="inlineStr">
        <is>
          <t>환불 정책</t>
        </is>
      </c>
      <c r="D13" s="12" t="inlineStr">
        <is>
          <t>결제 후 7일 이내: 전액 환불. 7일 초과~이용 시작 전: 위약금 10% 공제. 이용 시작 후: 잔여일수 비례 일할 계산 환불. 환불 시 원래 결제 수단으로 반환. 마일리지 환불 시 잔여 마일리지 복원.</t>
        </is>
      </c>
      <c r="E13" s="13" t="inlineStr">
        <is>
          <t>SCR-030</t>
        </is>
      </c>
      <c r="F13" s="13" t="inlineStr">
        <is>
          <t>FN-031</t>
        </is>
      </c>
      <c r="G13" s="14" t="inlineStr">
        <is>
          <t>Critical</t>
        </is>
      </c>
      <c r="H13" s="13" t="inlineStr">
        <is>
          <t>확정</t>
        </is>
      </c>
    </row>
    <row r="14" ht="48" customHeight="1">
      <c r="A14" s="18" t="inlineStr">
        <is>
          <t>BP-013</t>
        </is>
      </c>
      <c r="B14" s="18" t="inlineStr">
        <is>
          <t>매출</t>
        </is>
      </c>
      <c r="C14" s="11" t="inlineStr">
        <is>
          <t>미수금 관리 정책</t>
        </is>
      </c>
      <c r="D14" s="12" t="inlineStr">
        <is>
          <t>미납 발생 즉시 회원 상태에 미수금 표시. 7일 경과: SMS 자동 발송(설정 시). 30일 경과: 장기 미납 분류. 이용권 정지 여부는 센터 설정에 따름.</t>
        </is>
      </c>
      <c r="E14" s="13" t="inlineStr">
        <is>
          <t>SCR-030</t>
        </is>
      </c>
      <c r="F14" s="13" t="inlineStr">
        <is>
          <t>FN-032</t>
        </is>
      </c>
      <c r="G14" s="15" t="inlineStr">
        <is>
          <t>High</t>
        </is>
      </c>
      <c r="H14" s="13" t="inlineStr">
        <is>
          <t>확정</t>
        </is>
      </c>
    </row>
    <row r="15" ht="48" customHeight="1">
      <c r="A15" s="18" t="inlineStr">
        <is>
          <t>BP-014</t>
        </is>
      </c>
      <c r="B15" s="18" t="inlineStr">
        <is>
          <t>매출</t>
        </is>
      </c>
      <c r="C15" s="11" t="inlineStr">
        <is>
          <t>결제 수단 정책</t>
        </is>
      </c>
      <c r="D15" s="12" t="inlineStr">
        <is>
          <t>현금: 거스름돈 계산 + 현금영수증 발행 옵션. 카드: 단말기 연동 또는 수기 입력. 마일리지: 잔액 초과 불가, 최소 사용 1,000원, 결제금액의 50% 한도. 혼합결제: 각 수단 합계 = 총 결제금액 일치 필수.</t>
        </is>
      </c>
      <c r="E15" s="13" t="inlineStr">
        <is>
          <t>SCR-032</t>
        </is>
      </c>
      <c r="F15" s="13" t="inlineStr">
        <is>
          <t>FN-033</t>
        </is>
      </c>
      <c r="G15" s="15" t="inlineStr">
        <is>
          <t>High</t>
        </is>
      </c>
      <c r="H15" s="13" t="inlineStr">
        <is>
          <t>확정</t>
        </is>
      </c>
    </row>
    <row r="16" ht="48" customHeight="1">
      <c r="A16" s="18" t="inlineStr">
        <is>
          <t>BP-015</t>
        </is>
      </c>
      <c r="B16" s="18" t="inlineStr">
        <is>
          <t>매출</t>
        </is>
      </c>
      <c r="C16" s="11" t="inlineStr">
        <is>
          <t>비회원 결제 정책</t>
        </is>
      </c>
      <c r="D16" s="12" t="inlineStr">
        <is>
          <t>회원 미선택 상태에서 비회원 결제 진행 가능. 마일리지 적립/사용 불가. 영수증에 비회원 표시. 비회원 결제 데이터는 별도 통계 집계.</t>
        </is>
      </c>
      <c r="E16" s="13" t="inlineStr">
        <is>
          <t>SCR-031</t>
        </is>
      </c>
      <c r="F16" s="13" t="inlineStr">
        <is>
          <t>FN-034</t>
        </is>
      </c>
      <c r="G16" s="17" t="inlineStr">
        <is>
          <t>Medium</t>
        </is>
      </c>
      <c r="H16" s="13" t="inlineStr">
        <is>
          <t>확정</t>
        </is>
      </c>
    </row>
    <row r="17" ht="48" customHeight="1">
      <c r="A17" s="19" t="inlineStr">
        <is>
          <t>BP-016</t>
        </is>
      </c>
      <c r="B17" s="19" t="inlineStr">
        <is>
          <t>상품</t>
        </is>
      </c>
      <c r="C17" s="11" t="inlineStr">
        <is>
          <t>상품 카테고리 체계</t>
        </is>
      </c>
      <c r="D17" s="12" t="inlineStr">
        <is>
          <t>시설이용권(헬스/수영/골프 등), 수강권PT(1:1 PT/그룹 PT), 수강권GX(요가/필라테스/사이클 등), 대여(락커/운동복/수건), 기타(음료/보충제/용품). 동일 카테고리 내 상품명 중복 불가.</t>
        </is>
      </c>
      <c r="E17" s="13" t="inlineStr">
        <is>
          <t>SCR-040</t>
        </is>
      </c>
      <c r="F17" s="13" t="inlineStr">
        <is>
          <t>FN-040</t>
        </is>
      </c>
      <c r="G17" s="15" t="inlineStr">
        <is>
          <t>High</t>
        </is>
      </c>
      <c r="H17" s="13" t="inlineStr">
        <is>
          <t>확정</t>
        </is>
      </c>
    </row>
    <row r="18" ht="48" customHeight="1">
      <c r="A18" s="19" t="inlineStr">
        <is>
          <t>BP-017</t>
        </is>
      </c>
      <c r="B18" s="19" t="inlineStr">
        <is>
          <t>상품</t>
        </is>
      </c>
      <c r="C18" s="11" t="inlineStr">
        <is>
          <t>가격 정책</t>
        </is>
      </c>
      <c r="D18" s="12" t="inlineStr">
        <is>
          <t>현금가 ≤ 카드가 권장(강제 아님). 가격 최소 0원(무료 상품 허용), 최대 99,999,999원. 부가세 포함/별도 선택 가능. 가격 변경 시 기존 계약 가격은 유지(소급 미적용).</t>
        </is>
      </c>
      <c r="E18" s="13" t="inlineStr">
        <is>
          <t>SCR-040</t>
        </is>
      </c>
      <c r="F18" s="13" t="inlineStr">
        <is>
          <t>FN-040</t>
        </is>
      </c>
      <c r="G18" s="15" t="inlineStr">
        <is>
          <t>High</t>
        </is>
      </c>
      <c r="H18" s="13" t="inlineStr">
        <is>
          <t>확정</t>
        </is>
      </c>
    </row>
    <row r="19" ht="48" customHeight="1">
      <c r="A19" s="19" t="inlineStr">
        <is>
          <t>BP-018</t>
        </is>
      </c>
      <c r="B19" s="19" t="inlineStr">
        <is>
          <t>상품</t>
        </is>
      </c>
      <c r="C19" s="11" t="inlineStr">
        <is>
          <t>이용 기간 정책</t>
        </is>
      </c>
      <c r="D19" s="12" t="inlineStr">
        <is>
          <t>시작일: 구매일 또는 지정일 선택. 홀딩 최대 일수/횟수 상품별 설정. 홀딩 시 잔여일 정지(소진 아님). 만료 후 재활성화 불가(재구매 필요). 홀딩 중 만료일 = 원래 만료일 + 홀딩일수.</t>
        </is>
      </c>
      <c r="E19" s="13" t="inlineStr">
        <is>
          <t>SCR-041</t>
        </is>
      </c>
      <c r="F19" s="13" t="inlineStr">
        <is>
          <t>FN-041</t>
        </is>
      </c>
      <c r="G19" s="15" t="inlineStr">
        <is>
          <t>High</t>
        </is>
      </c>
      <c r="H19" s="13" t="inlineStr">
        <is>
          <t>확정</t>
        </is>
      </c>
    </row>
    <row r="20" ht="48" customHeight="1">
      <c r="A20" s="19" t="inlineStr">
        <is>
          <t>BP-019</t>
        </is>
      </c>
      <c r="B20" s="19" t="inlineStr">
        <is>
          <t>상품</t>
        </is>
      </c>
      <c r="C20" s="11" t="inlineStr">
        <is>
          <t>키오스크 노출 정책</t>
        </is>
      </c>
      <c r="D20" s="12" t="inlineStr">
        <is>
          <t>노출 ON: 키오스크 판매 화면 표시. 노출 OFF: 키오스크 숨김, POS에서만 판매. 판매 중지: POS/키오스크 모두 비활성화. 재고 0 실물 상품: 자동 비활성화.</t>
        </is>
      </c>
      <c r="E20" s="13" t="inlineStr">
        <is>
          <t>SCR-041</t>
        </is>
      </c>
      <c r="F20" s="13" t="inlineStr">
        <is>
          <t>FN-042</t>
        </is>
      </c>
      <c r="G20" s="17" t="inlineStr">
        <is>
          <t>Medium</t>
        </is>
      </c>
      <c r="H20" s="13" t="inlineStr">
        <is>
          <t>확정</t>
        </is>
      </c>
    </row>
    <row r="21" ht="48" customHeight="1">
      <c r="A21" s="20" t="inlineStr">
        <is>
          <t>BP-020</t>
        </is>
      </c>
      <c r="B21" s="20" t="inlineStr">
        <is>
          <t>시설</t>
        </is>
      </c>
      <c r="C21" s="11" t="inlineStr">
        <is>
          <t>락커 배정 정책</t>
        </is>
      </c>
      <c r="D21" s="12" t="inlineStr">
        <is>
          <t>동일 유형 내 1회원 1락커 원칙. 배정 시 만료일 필수(상품 기간 연동 또는 수동 입력). 이미 배정된 락커 재배정 불가. 배정 취소는 배정일 당일만 가능.</t>
        </is>
      </c>
      <c r="E21" s="13" t="inlineStr">
        <is>
          <t>SCR-050</t>
        </is>
      </c>
      <c r="F21" s="13" t="inlineStr">
        <is>
          <t>FN-050</t>
        </is>
      </c>
      <c r="G21" s="15" t="inlineStr">
        <is>
          <t>High</t>
        </is>
      </c>
      <c r="H21" s="13" t="inlineStr">
        <is>
          <t>확정</t>
        </is>
      </c>
    </row>
    <row r="22" ht="48" customHeight="1">
      <c r="A22" s="20" t="inlineStr">
        <is>
          <t>BP-021</t>
        </is>
      </c>
      <c r="B22" s="20" t="inlineStr">
        <is>
          <t>시설</t>
        </is>
      </c>
      <c r="C22" s="11" t="inlineStr">
        <is>
          <t>락커 만료 처리 정책</t>
        </is>
      </c>
      <c r="D22" s="12" t="inlineStr">
        <is>
          <t>D-3: 만료임박 표시(노란색). D-0: 만료 표시(빨간색). D+3: 자동 해제 여부 센터 설정으로 결정. 일괄 해제: 만료+N일 초과 건 일괄 처리 기능 제공.</t>
        </is>
      </c>
      <c r="E22" s="13" t="inlineStr">
        <is>
          <t>SCR-050</t>
        </is>
      </c>
      <c r="F22" s="13" t="inlineStr">
        <is>
          <t>FN-050</t>
        </is>
      </c>
      <c r="G22" s="17" t="inlineStr">
        <is>
          <t>Medium</t>
        </is>
      </c>
      <c r="H22" s="13" t="inlineStr">
        <is>
          <t>확정</t>
        </is>
      </c>
    </row>
    <row r="23" ht="48" customHeight="1">
      <c r="A23" s="20" t="inlineStr">
        <is>
          <t>BP-022</t>
        </is>
      </c>
      <c r="B23" s="20" t="inlineStr">
        <is>
          <t>시설</t>
        </is>
      </c>
      <c r="C23" s="11" t="inlineStr">
        <is>
          <t>RFID 카드 정책</t>
        </is>
      </c>
      <c r="D23" s="12" t="inlineStr">
        <is>
          <t>1회원 1카드(활성 카드 기준). 카드 번호: 10자리 영숫자. 분실 신고 시 기존 카드 즉시 비활성화 후 신규 발급. 카드 반납 시 초기화 후 재사용 가능. 미등록 카드 태그 시 등록되지 않은 카드 표시.</t>
        </is>
      </c>
      <c r="E23" s="13" t="inlineStr">
        <is>
          <t>SCR-052</t>
        </is>
      </c>
      <c r="F23" s="13" t="inlineStr">
        <is>
          <t>FN-052</t>
        </is>
      </c>
      <c r="G23" s="15" t="inlineStr">
        <is>
          <t>High</t>
        </is>
      </c>
      <c r="H23" s="13" t="inlineStr">
        <is>
          <t>확정</t>
        </is>
      </c>
    </row>
    <row r="24" ht="48" customHeight="1">
      <c r="A24" s="20" t="inlineStr">
        <is>
          <t>BP-023</t>
        </is>
      </c>
      <c r="B24" s="20" t="inlineStr">
        <is>
          <t>시설</t>
        </is>
      </c>
      <c r="C24" s="11" t="inlineStr">
        <is>
          <t>룸 관리 정책</t>
        </is>
      </c>
      <c r="D24" s="12" t="inlineStr">
        <is>
          <t>룸명: 고유, 2~20자. 수용 인원: 1~100명. 유형: PT룸/GX룸/다목적. 미래 예약 존재 시 삭제 불가. 비활성화 시 신규 예약 차단(기존 예약 유지). 예약 가능 시간 요일별 설정.</t>
        </is>
      </c>
      <c r="E24" s="13" t="inlineStr">
        <is>
          <t>SCR-053</t>
        </is>
      </c>
      <c r="F24" s="13" t="inlineStr"/>
      <c r="G24" s="17" t="inlineStr">
        <is>
          <t>Medium</t>
        </is>
      </c>
      <c r="H24" s="13" t="inlineStr">
        <is>
          <t>확정</t>
        </is>
      </c>
    </row>
    <row r="25" ht="48" customHeight="1">
      <c r="A25" s="21" t="inlineStr">
        <is>
          <t>BP-024</t>
        </is>
      </c>
      <c r="B25" s="21" t="inlineStr">
        <is>
          <t>출석/일정</t>
        </is>
      </c>
      <c r="C25" s="11" t="inlineStr">
        <is>
          <t>출석 유형 정의</t>
        </is>
      </c>
      <c r="D25" s="12" t="inlineStr">
        <is>
          <t>일반: 키오스크/앱 체크인. PT: PT 수업 참석. GX: GX 수업 참석. 수동: 관리자 등록. 타지점 출석은 전지점 이용권 보유 시 허용, 원지점에 알림 발송, 실제 방문 지점에 기록.</t>
        </is>
      </c>
      <c r="E25" s="13" t="inlineStr">
        <is>
          <t>SCR-020</t>
        </is>
      </c>
      <c r="F25" s="13" t="inlineStr">
        <is>
          <t>FN-020</t>
        </is>
      </c>
      <c r="G25" s="15" t="inlineStr">
        <is>
          <t>High</t>
        </is>
      </c>
      <c r="H25" s="13" t="inlineStr">
        <is>
          <t>확정</t>
        </is>
      </c>
    </row>
    <row r="26" ht="48" customHeight="1">
      <c r="A26" s="21" t="inlineStr">
        <is>
          <t>BP-025</t>
        </is>
      </c>
      <c r="B26" s="21" t="inlineStr">
        <is>
          <t>출석/일정</t>
        </is>
      </c>
      <c r="C26" s="11" t="inlineStr">
        <is>
          <t>출석 차단 정책</t>
        </is>
      </c>
      <c r="D26" s="12" t="inlineStr">
        <is>
          <t>이용권 만료 회원: 기본 차단(센터 설정으로 허용 가능). 미납 회원: 센터 설정에 따라 허용/경고/차단 중 선택. 차단 시 키오스크 화면에 관리자에게 문의 메시지 표시.</t>
        </is>
      </c>
      <c r="E26" s="13" t="inlineStr">
        <is>
          <t>SCR-020</t>
        </is>
      </c>
      <c r="F26" s="13" t="inlineStr">
        <is>
          <t>FN-021</t>
        </is>
      </c>
      <c r="G26" s="15" t="inlineStr">
        <is>
          <t>High</t>
        </is>
      </c>
      <c r="H26" s="13" t="inlineStr">
        <is>
          <t>확정</t>
        </is>
      </c>
    </row>
    <row r="27" ht="48" customHeight="1">
      <c r="A27" s="21" t="inlineStr">
        <is>
          <t>BP-026</t>
        </is>
      </c>
      <c r="B27" s="21" t="inlineStr">
        <is>
          <t>출석/일정</t>
        </is>
      </c>
      <c r="C27" s="11" t="inlineStr">
        <is>
          <t>일정 충돌 규칙</t>
        </is>
      </c>
      <c r="D27" s="12" t="inlineStr">
        <is>
          <t>동일 시간대+동일 트레이너 배정 시 충돌 경고. 동일 시간대+동일 룸 사용 시 충돌 경고. 1:1 PT는 트레이너당 1건만. GX는 룸 수용 인원 초과 불가. 과거 일정 수정/삭제 불가.</t>
        </is>
      </c>
      <c r="E27" s="13" t="inlineStr">
        <is>
          <t>SCR-021</t>
        </is>
      </c>
      <c r="F27" s="13" t="inlineStr">
        <is>
          <t>FN-022</t>
        </is>
      </c>
      <c r="G27" s="15" t="inlineStr">
        <is>
          <t>High</t>
        </is>
      </c>
      <c r="H27" s="13" t="inlineStr">
        <is>
          <t>확정</t>
        </is>
      </c>
    </row>
    <row r="28" ht="48" customHeight="1">
      <c r="A28" s="21" t="inlineStr">
        <is>
          <t>BP-027</t>
        </is>
      </c>
      <c r="B28" s="21" t="inlineStr">
        <is>
          <t>출석/일정</t>
        </is>
      </c>
      <c r="C28" s="11" t="inlineStr">
        <is>
          <t>예약 취소 정책</t>
        </is>
      </c>
      <c r="D28" s="12" t="inlineStr">
        <is>
          <t>PT 예약 취소: 수업 24시간 전까지 무료 취소. 당일 취소: 회차 1회 차감(페널티). 노쇼: 회차 1회 차감+패널티 기록. 페널티 3회 누적 시 관리자 알림 발송.</t>
        </is>
      </c>
      <c r="E28" s="13" t="inlineStr">
        <is>
          <t>SCR-021</t>
        </is>
      </c>
      <c r="F28" s="13" t="inlineStr">
        <is>
          <t>FN-023</t>
        </is>
      </c>
      <c r="G28" s="15" t="inlineStr">
        <is>
          <t>High</t>
        </is>
      </c>
      <c r="H28" s="13" t="inlineStr">
        <is>
          <t>확정</t>
        </is>
      </c>
    </row>
    <row r="29" ht="48" customHeight="1">
      <c r="A29" s="22" t="inlineStr">
        <is>
          <t>BP-028</t>
        </is>
      </c>
      <c r="B29" s="22" t="inlineStr">
        <is>
          <t>직원/급여</t>
        </is>
      </c>
      <c r="C29" s="11" t="inlineStr">
        <is>
          <t>직원 역할 체계</t>
        </is>
      </c>
      <c r="D29" s="12" t="inlineStr">
        <is>
          <t>최고관리자(전체 시스템), 센터장(지점 전체), 매니저(회원/매출/상품), FC(회원 관리/PT 일정), 스태프(출석/키오스크), 조회전용(조회만). 역할 선택 시 기본 권한 자동 배정. 커스텀 권한 추가 설정 가능.</t>
        </is>
      </c>
      <c r="E29" s="13" t="inlineStr">
        <is>
          <t>SCR-060</t>
        </is>
      </c>
      <c r="F29" s="13" t="inlineStr">
        <is>
          <t>FN-019</t>
        </is>
      </c>
      <c r="G29" s="14" t="inlineStr">
        <is>
          <t>Critical</t>
        </is>
      </c>
      <c r="H29" s="13" t="inlineStr">
        <is>
          <t>확정</t>
        </is>
      </c>
    </row>
    <row r="30" ht="48" customHeight="1">
      <c r="A30" s="22" t="inlineStr">
        <is>
          <t>BP-029</t>
        </is>
      </c>
      <c r="B30" s="22" t="inlineStr">
        <is>
          <t>직원/급여</t>
        </is>
      </c>
      <c r="C30" s="11" t="inlineStr">
        <is>
          <t>퇴사 처리 정책</t>
        </is>
      </c>
      <c r="D30" s="12" t="inlineStr">
        <is>
          <t>퇴사 처리 시 관리자 계정 즉시 비활성화. 담당 회원 재배정 필요(알림 발송). 미지급 급여 정산 선행. 퇴사 후 데이터: 센터 설정에 따라 6개월 보관 또는 영구 보관.</t>
        </is>
      </c>
      <c r="E30" s="13" t="inlineStr">
        <is>
          <t>SCR-060</t>
        </is>
      </c>
      <c r="F30" s="13" t="inlineStr"/>
      <c r="G30" s="15" t="inlineStr">
        <is>
          <t>High</t>
        </is>
      </c>
      <c r="H30" s="13" t="inlineStr">
        <is>
          <t>확정</t>
        </is>
      </c>
    </row>
    <row r="31" ht="48" customHeight="1">
      <c r="A31" s="22" t="inlineStr">
        <is>
          <t>BP-030</t>
        </is>
      </c>
      <c r="B31" s="22" t="inlineStr">
        <is>
          <t>직원/급여</t>
        </is>
      </c>
      <c r="C31" s="11" t="inlineStr">
        <is>
          <t>급여 계산 정책</t>
        </is>
      </c>
      <c r="D31" s="12" t="inlineStr">
        <is>
          <t>실지급액 = 기본급 + 인센티브 + 수당 - 공제(4대보험+소득세). PT 인센티브: 건당 커미션(예: 30% 설정 가능). 마감: 매월 25일(설정 가능). 확정완료 후 수정 불가(관리자 잠금 해제 필요).</t>
        </is>
      </c>
      <c r="E31" s="13" t="inlineStr">
        <is>
          <t>SCR-062</t>
        </is>
      </c>
      <c r="F31" s="13" t="inlineStr">
        <is>
          <t>FN-021</t>
        </is>
      </c>
      <c r="G31" s="15" t="inlineStr">
        <is>
          <t>High</t>
        </is>
      </c>
      <c r="H31" s="13" t="inlineStr">
        <is>
          <t>확정</t>
        </is>
      </c>
    </row>
    <row r="32" ht="48" customHeight="1">
      <c r="A32" s="22" t="inlineStr">
        <is>
          <t>BP-031</t>
        </is>
      </c>
      <c r="B32" s="22" t="inlineStr">
        <is>
          <t>직원/급여</t>
        </is>
      </c>
      <c r="C32" s="11" t="inlineStr">
        <is>
          <t>급여 명세서 정책</t>
        </is>
      </c>
      <c r="D32" s="12" t="inlineStr">
        <is>
          <t>급여 확정완료 후 명세서 자동 생성. PDF 다운로드 + 이메일 자동 발송 옵션. 조회 권한: 본인 명세서 또는 센터장 이상. 이의 제기: 직원 → 관리자 재검토 요청 가능.</t>
        </is>
      </c>
      <c r="E32" s="13" t="inlineStr">
        <is>
          <t>SCR-063</t>
        </is>
      </c>
      <c r="F32" s="13" t="inlineStr">
        <is>
          <t>FN-021</t>
        </is>
      </c>
      <c r="G32" s="17" t="inlineStr">
        <is>
          <t>Medium</t>
        </is>
      </c>
      <c r="H32" s="13" t="inlineStr">
        <is>
          <t>확정</t>
        </is>
      </c>
    </row>
    <row r="33" ht="48" customHeight="1">
      <c r="A33" s="23" t="inlineStr">
        <is>
          <t>BP-032</t>
        </is>
      </c>
      <c r="B33" s="23" t="inlineStr">
        <is>
          <t>메시지/마케팅</t>
        </is>
      </c>
      <c r="C33" s="11" t="inlineStr">
        <is>
          <t>메시지 발송 정책</t>
        </is>
      </c>
      <c r="D33" s="12" t="inlineStr">
        <is>
          <t>SMS: 90자(70원/건). LMS: 2,000자(30원/건). 카카오 알림톡: 1,000자(8원/건). 발송 전 비용 사전 표시. 예약 발송: 최소 5분 후~최대 30일 후. 발송 실패 시 재시도 1회.</t>
        </is>
      </c>
      <c r="E33" s="13" t="inlineStr">
        <is>
          <t>SCR-070</t>
        </is>
      </c>
      <c r="F33" s="13" t="inlineStr">
        <is>
          <t>FN-023</t>
        </is>
      </c>
      <c r="G33" s="15" t="inlineStr">
        <is>
          <t>High</t>
        </is>
      </c>
      <c r="H33" s="13" t="inlineStr">
        <is>
          <t>확정</t>
        </is>
      </c>
    </row>
    <row r="34" ht="48" customHeight="1">
      <c r="A34" s="23" t="inlineStr">
        <is>
          <t>BP-033</t>
        </is>
      </c>
      <c r="B34" s="23" t="inlineStr">
        <is>
          <t>메시지/마케팅</t>
        </is>
      </c>
      <c r="C34" s="11" t="inlineStr">
        <is>
          <t>자동 알림 13종 정책</t>
        </is>
      </c>
      <c r="D34" s="12" t="inlineStr">
        <is>
          <t>이용권 만료 D-7/D-3/D-1/당일, 생일 축하, 장기 미출석(30일), 신규 환영, PT 전일 리마인드, 미납 안내, 락커 만료, 쿠폰 만료 임박, 재등록 유도(만료 후 7일), 정기 결제 안내. 매일 오전 9시 실행. 동일 회원+동일 규칙 1일 1회 중복 방지.</t>
        </is>
      </c>
      <c r="E34" s="13" t="inlineStr">
        <is>
          <t>SCR-071</t>
        </is>
      </c>
      <c r="F34" s="13" t="inlineStr">
        <is>
          <t>FN-F02</t>
        </is>
      </c>
      <c r="G34" s="15" t="inlineStr">
        <is>
          <t>High</t>
        </is>
      </c>
      <c r="H34" s="13" t="inlineStr">
        <is>
          <t>확정</t>
        </is>
      </c>
    </row>
    <row r="35" ht="48" customHeight="1">
      <c r="A35" s="23" t="inlineStr">
        <is>
          <t>BP-034</t>
        </is>
      </c>
      <c r="B35" s="23" t="inlineStr">
        <is>
          <t>메시지/마케팅</t>
        </is>
      </c>
      <c r="C35" s="11" t="inlineStr">
        <is>
          <t>쿠폰 정책</t>
        </is>
      </c>
      <c r="D35" s="12" t="inlineStr">
        <is>
          <t>유형: 정률(%)/정액(원)/무료이용권. 유효기간: 특정 기간 또는 발급일+N일. 사용 한도: 전체 N회 또는 회원당 1회. 최소 주문 금액 설정 가능. 만료 쿠폰 자동 비활성화. 발급건 존재 시 쿠폰 삭제 불가.</t>
        </is>
      </c>
      <c r="E35" s="13" t="inlineStr">
        <is>
          <t>SCR-072</t>
        </is>
      </c>
      <c r="F35" s="13" t="inlineStr">
        <is>
          <t>FN-025</t>
        </is>
      </c>
      <c r="G35" s="17" t="inlineStr">
        <is>
          <t>Medium</t>
        </is>
      </c>
      <c r="H35" s="13" t="inlineStr">
        <is>
          <t>확정</t>
        </is>
      </c>
    </row>
    <row r="36" ht="48" customHeight="1">
      <c r="A36" s="23" t="inlineStr">
        <is>
          <t>BP-035</t>
        </is>
      </c>
      <c r="B36" s="23" t="inlineStr">
        <is>
          <t>메시지/마케팅</t>
        </is>
      </c>
      <c r="C36" s="11" t="inlineStr">
        <is>
          <t>마일리지 정책</t>
        </is>
      </c>
      <c r="D36" s="12" t="inlineStr">
        <is>
          <t>기본 적립률: 결제금액의 N%(센터 설정). 유효기간: N개월(기본 12개월). 최소 사용: 1,000원 이상. 최대 사용: 결제금액의 50%(설정 가능). 현금 전환 불가. 결제 취소 시 자동 회수.</t>
        </is>
      </c>
      <c r="E36" s="13" t="inlineStr">
        <is>
          <t>SCR-073</t>
        </is>
      </c>
      <c r="F36" s="13" t="inlineStr">
        <is>
          <t>FN-026</t>
        </is>
      </c>
      <c r="G36" s="17" t="inlineStr">
        <is>
          <t>Medium</t>
        </is>
      </c>
      <c r="H36" s="13" t="inlineStr">
        <is>
          <t>확정</t>
        </is>
      </c>
    </row>
    <row r="37" ht="48" customHeight="1">
      <c r="A37" s="24" t="inlineStr">
        <is>
          <t>BP-036</t>
        </is>
      </c>
      <c r="B37" s="24" t="inlineStr">
        <is>
          <t>계약</t>
        </is>
      </c>
      <c r="C37" s="11" t="inlineStr">
        <is>
          <t>계약 프로세스 정책</t>
        </is>
      </c>
      <c r="D37" s="12" t="inlineStr">
        <is>
          <t>Step1 회원 선택(필수), Step2 상품 선택(1개 이상), Step3 기간/금액 설정(시작일/할인/서비스일수), Step4 결제(현금/카드/마일리지/혼합), Step5 전자서명(약관 동의+서명). 각 단계 완료 전 다음 단계 진입 불가.</t>
        </is>
      </c>
      <c r="E37" s="13" t="inlineStr">
        <is>
          <t>SCR-080</t>
        </is>
      </c>
      <c r="F37" s="13" t="inlineStr">
        <is>
          <t>FN-027</t>
        </is>
      </c>
      <c r="G37" s="14" t="inlineStr">
        <is>
          <t>Critical</t>
        </is>
      </c>
      <c r="H37" s="13" t="inlineStr">
        <is>
          <t>확정</t>
        </is>
      </c>
    </row>
    <row r="38" ht="48" customHeight="1">
      <c r="A38" s="24" t="inlineStr">
        <is>
          <t>BP-037</t>
        </is>
      </c>
      <c r="B38" s="24" t="inlineStr">
        <is>
          <t>계약</t>
        </is>
      </c>
      <c r="C38" s="11" t="inlineStr">
        <is>
          <t>할인 정책</t>
        </is>
      </c>
      <c r="D38" s="12" t="inlineStr">
        <is>
          <t>최대 할인율: 50%. 할인 유형: 재등록/신규/이벤트/관리자 재량. 할인 시 원가/할인가/최종가 모두 표시. 할인 사유 필수 입력. 할인 내역은 매출 통계에서 별도 조회 가능.</t>
        </is>
      </c>
      <c r="E38" s="13" t="inlineStr">
        <is>
          <t>SCR-080</t>
        </is>
      </c>
      <c r="F38" s="13" t="inlineStr">
        <is>
          <t>FN-052</t>
        </is>
      </c>
      <c r="G38" s="15" t="inlineStr">
        <is>
          <t>High</t>
        </is>
      </c>
      <c r="H38" s="13" t="inlineStr">
        <is>
          <t>확정</t>
        </is>
      </c>
    </row>
    <row r="39" ht="48" customHeight="1">
      <c r="A39" s="24" t="inlineStr">
        <is>
          <t>BP-038</t>
        </is>
      </c>
      <c r="B39" s="24" t="inlineStr">
        <is>
          <t>계약</t>
        </is>
      </c>
      <c r="C39" s="11" t="inlineStr">
        <is>
          <t>계약 완료 후 자동 처리</t>
        </is>
      </c>
      <c r="D39" s="12" t="inlineStr">
        <is>
          <t>이용권 자동 생성(시작일 기준). 매출 자동 등록. 마일리지 자동 적립(설정 시). 환영 메시지 자동 발송(설정 시). 계약서 PDF 자동 생성 및 저장.</t>
        </is>
      </c>
      <c r="E39" s="13" t="inlineStr">
        <is>
          <t>SCR-080</t>
        </is>
      </c>
      <c r="F39" s="13" t="inlineStr">
        <is>
          <t>FN-027</t>
        </is>
      </c>
      <c r="G39" s="15" t="inlineStr">
        <is>
          <t>High</t>
        </is>
      </c>
      <c r="H39" s="13" t="inlineStr">
        <is>
          <t>확정</t>
        </is>
      </c>
    </row>
    <row r="40" ht="48" customHeight="1">
      <c r="A40" s="25" t="inlineStr">
        <is>
          <t>BP-039</t>
        </is>
      </c>
      <c r="B40" s="25" t="inlineStr">
        <is>
          <t>지점</t>
        </is>
      </c>
      <c r="C40" s="11" t="inlineStr">
        <is>
          <t>지점 코드 규칙</t>
        </is>
      </c>
      <c r="D40" s="12" t="inlineStr">
        <is>
          <t>지점 코드: 영문 대문자 2~5자, 고유. 자동 생성 또는 수동 입력. 한 번 등록된 코드는 변경 불가. 회원번호/출석번호 생성 시 지점 코드 prefix로 사용.</t>
        </is>
      </c>
      <c r="E40" s="13" t="inlineStr">
        <is>
          <t>SCR-094</t>
        </is>
      </c>
      <c r="F40" s="13" t="inlineStr"/>
      <c r="G40" s="15" t="inlineStr">
        <is>
          <t>High</t>
        </is>
      </c>
      <c r="H40" s="13" t="inlineStr">
        <is>
          <t>확정</t>
        </is>
      </c>
    </row>
    <row r="41" ht="48" customHeight="1">
      <c r="A41" s="25" t="inlineStr">
        <is>
          <t>BP-040</t>
        </is>
      </c>
      <c r="B41" s="25" t="inlineStr">
        <is>
          <t>지점</t>
        </is>
      </c>
      <c r="C41" s="11" t="inlineStr">
        <is>
          <t>지점 데이터 격리 정책</t>
        </is>
      </c>
      <c r="D41" s="12" t="inlineStr">
        <is>
          <t>지점별 데이터 완전 격리(멀티테넌트). 모든 쿼리에 branch_id 필터 필수 적용. 지점 비활성화: 소속 데이터 유지, 로그인 차단. 데이터 초기화: 최고관리자+비밀번호 확인+2중 확인 필수.</t>
        </is>
      </c>
      <c r="E41" s="13" t="inlineStr">
        <is>
          <t>SCR-094</t>
        </is>
      </c>
      <c r="F41" s="13" t="inlineStr"/>
      <c r="G41" s="14" t="inlineStr">
        <is>
          <t>Critical</t>
        </is>
      </c>
      <c r="H41" s="13" t="inlineStr">
        <is>
          <t>확정</t>
        </is>
      </c>
    </row>
    <row r="42" ht="48" customHeight="1">
      <c r="A42" s="25" t="inlineStr">
        <is>
          <t>BP-041</t>
        </is>
      </c>
      <c r="B42" s="25" t="inlineStr">
        <is>
          <t>지점</t>
        </is>
      </c>
      <c r="C42" s="11" t="inlineStr">
        <is>
          <t>회원 지점 이동 정책</t>
        </is>
      </c>
      <c r="D42" s="12" t="inlineStr">
        <is>
          <t>이동 시 이용권 유지 또는 신규 발급 선택. 이동 전 미납 건 정산 선행. 이동 이력 기록(이동일시/처리자/사유). 원지점/이동지점 모두에 이력 표시.</t>
        </is>
      </c>
      <c r="E42" s="13" t="inlineStr">
        <is>
          <t>SCR-094</t>
        </is>
      </c>
      <c r="F42" s="13" t="inlineStr">
        <is>
          <t>FN-003</t>
        </is>
      </c>
      <c r="G42" s="15" t="inlineStr">
        <is>
          <t>High</t>
        </is>
      </c>
      <c r="H42" s="13" t="inlineStr">
        <is>
          <t>확정</t>
        </is>
      </c>
    </row>
    <row r="43" ht="48" customHeight="1">
      <c r="A43" s="26" t="inlineStr">
        <is>
          <t>BP-042</t>
        </is>
      </c>
      <c r="B43" s="26" t="inlineStr">
        <is>
          <t>대시보드</t>
        </is>
      </c>
      <c r="C43" s="11" t="inlineStr">
        <is>
          <t>대시보드 데이터 갱신 정책</t>
        </is>
      </c>
      <c r="D43" s="12" t="inlineStr">
        <is>
          <t>통계 카드: 페이지 진입 시 + 5분 주기 자동 갱신. 차트: 페이지 진입 시 1회 로드. 알림 리스트: 실시간(WebSocket 또는 30초 폴링). 만료임박 기준: D-7 이내. D-3 이내 긴급 표시(빨간색).</t>
        </is>
      </c>
      <c r="E43" s="13" t="inlineStr">
        <is>
          <t>SCR-002</t>
        </is>
      </c>
      <c r="F43" s="13" t="inlineStr">
        <is>
          <t>FN-002</t>
        </is>
      </c>
      <c r="G43" s="17" t="inlineStr">
        <is>
          <t>Medium</t>
        </is>
      </c>
      <c r="H43" s="13" t="inlineStr">
        <is>
          <t>확정</t>
        </is>
      </c>
    </row>
    <row r="44">
      <c r="A44" s="37" t="inlineStr">
        <is>
          <t>BP-043</t>
        </is>
      </c>
      <c r="B44" s="37" t="inlineStr">
        <is>
          <t>시설</t>
        </is>
      </c>
      <c r="C44" s="38" t="inlineStr">
        <is>
          <t>오프라인 모드 정책</t>
        </is>
      </c>
      <c r="D44" s="39" t="inlineStr">
        <is>
          <t>네트워크 장애 시 로컬 모드 자동 전환. 필수 기능(출입/라커/출석)은 오프라인에서도 동작. 로컬 데이터 최대 72시간 보관. 네트워크 복구 시 자동 동기화(서버 우선). 오프라인 불가 기능: 결제/환불/회원등록. 동기화 충돌 시 관리자 알림.</t>
        </is>
      </c>
      <c r="E44" s="37" t="inlineStr">
        <is>
          <t>SCR-096</t>
        </is>
      </c>
      <c r="F44" s="37" t="inlineStr">
        <is>
          <t>FN-047</t>
        </is>
      </c>
      <c r="G44" s="40" t="inlineStr">
        <is>
          <t>Critical</t>
        </is>
      </c>
      <c r="H44" s="37" t="inlineStr">
        <is>
          <t>신규</t>
        </is>
      </c>
    </row>
    <row r="45">
      <c r="A45" s="41" t="inlineStr">
        <is>
          <t>BP-044</t>
        </is>
      </c>
      <c r="B45" s="41" t="inlineStr">
        <is>
          <t>출석/일정</t>
        </is>
      </c>
      <c r="C45" s="42" t="inlineStr">
        <is>
          <t>GX 예약 오픈 정책</t>
        </is>
      </c>
      <c r="D45" s="43" t="inlineStr">
        <is>
          <t>GX 수업 예약 오픈 방식 2가지 지원: 1) 일괄 오픈(매주 특정 요일/시간에 다음주 전체 오픈), 2) 개별 오픈(수업 시작 N시간 전 자동 오픈). 센터별 방식 선택. 예약 오픈 시 회원 앱 알림 발송(설정 시). 강사 변경 시 일괄 수정 지원(기간 지정).</t>
        </is>
      </c>
      <c r="E45" s="41" t="inlineStr">
        <is>
          <t>SCR-022</t>
        </is>
      </c>
      <c r="F45" s="41" t="inlineStr">
        <is>
          <t>FN-034</t>
        </is>
      </c>
      <c r="G45" s="44" t="inlineStr">
        <is>
          <t>Critical</t>
        </is>
      </c>
      <c r="H45" s="41" t="inlineStr">
        <is>
          <t>신규</t>
        </is>
      </c>
    </row>
    <row r="46">
      <c r="A46" s="41" t="inlineStr">
        <is>
          <t>BP-045</t>
        </is>
      </c>
      <c r="B46" s="41" t="inlineStr">
        <is>
          <t>출석/일정</t>
        </is>
      </c>
      <c r="C46" s="42" t="inlineStr">
        <is>
          <t>GX/스피닝 노쇼 페널티 정책</t>
        </is>
      </c>
      <c r="D46" s="43" t="inlineStr">
        <is>
          <t>취소 가능 시한: 수업 시작 N시간 전(기본 5시간, 센터 설정). 시한 내 취소: 횟수 미차감. 시한 초과 취소 또는 노쇼: 1회 차감(수업 진행 처리). 월 N회(기본 2회) 노쇼 시 1주간 예약 제한 페널티. 페널티 부과 전 회원 알림 발송. 출석 체크 없이 하루 경과 시 자동 수업 완료 처리(레슨북 방식).</t>
        </is>
      </c>
      <c r="E46" s="41" t="inlineStr">
        <is>
          <t>SCR-022</t>
        </is>
      </c>
      <c r="F46" s="41" t="inlineStr">
        <is>
          <t>FN-036</t>
        </is>
      </c>
      <c r="G46" s="44" t="inlineStr">
        <is>
          <t>Critical</t>
        </is>
      </c>
      <c r="H46" s="41" t="inlineStr">
        <is>
          <t>신규</t>
        </is>
      </c>
    </row>
    <row r="47">
      <c r="A47" s="41" t="inlineStr">
        <is>
          <t>BP-046</t>
        </is>
      </c>
      <c r="B47" s="41" t="inlineStr">
        <is>
          <t>출석/일정</t>
        </is>
      </c>
      <c r="C47" s="42" t="inlineStr">
        <is>
          <t>좌석 예약 정책</t>
        </is>
      </c>
      <c r="D47" s="43" t="inlineStr">
        <is>
          <t>스피닝/GX 좌석 예약 선착순 방식. 예약 시간순으로 좌석 선택 우선권 부여. 고장 좌석: 관리자만 비활성화(사선 표시), 기예약자 자동 알림. 좌석 미선택 시 자동 랜덤 배정. 센터별 좌석 예약 ON/OFF 설정 가능.</t>
        </is>
      </c>
      <c r="E47" s="41" t="inlineStr">
        <is>
          <t>SCR-023</t>
        </is>
      </c>
      <c r="F47" s="41" t="inlineStr">
        <is>
          <t>FN-037</t>
        </is>
      </c>
      <c r="G47" s="44" t="inlineStr">
        <is>
          <t>High</t>
        </is>
      </c>
      <c r="H47" s="41" t="inlineStr">
        <is>
          <t>신규</t>
        </is>
      </c>
    </row>
    <row r="48">
      <c r="A48" s="41" t="inlineStr">
        <is>
          <t>BP-047</t>
        </is>
      </c>
      <c r="B48" s="41" t="inlineStr">
        <is>
          <t>출석/일정</t>
        </is>
      </c>
      <c r="C48" s="42" t="inlineStr">
        <is>
          <t>레슨 서명 정책</t>
        </is>
      </c>
      <c r="D48" s="43" t="inlineStr">
        <is>
          <t>PT/골프 레슨 완료 시 고객 터치 서명으로 수업 진위 확인. 서명 필수 여부: 센터별 ON/OFF 설정. 서명 필수 ON: 서명 없으면 수업 인정 불가, 관리자 확인 필요. 서명 없이 24시간 경과: 자동 수업 완료(센터 설정에 따라). 노쇼 = 수업 진행 처리(횟수 차감). 취소 = 횟수 미차감(시한 내).</t>
        </is>
      </c>
      <c r="E48" s="41" t="inlineStr">
        <is>
          <t>SCR-024</t>
        </is>
      </c>
      <c r="F48" s="41" t="inlineStr">
        <is>
          <t>FN-039</t>
        </is>
      </c>
      <c r="G48" s="44" t="inlineStr">
        <is>
          <t>High</t>
        </is>
      </c>
      <c r="H48" s="41" t="inlineStr">
        <is>
          <t>신규</t>
        </is>
      </c>
    </row>
    <row r="49">
      <c r="A49" s="37" t="inlineStr">
        <is>
          <t>BP-048</t>
        </is>
      </c>
      <c r="B49" s="37" t="inlineStr">
        <is>
          <t>시설</t>
        </is>
      </c>
      <c r="C49" s="38" t="inlineStr">
        <is>
          <t>라커 배정 우선순위 정책</t>
        </is>
      </c>
      <c r="D49" s="39" t="inlineStr">
        <is>
          <t>자동 배정 시 우선순위: 상단 &gt; 하단, 홀수 &gt; 짝수(센터 설정). 고장/점유 라커 자동 스킵. 퇴실 시 라커 자동 해제 여부 센터 설정. 마감 시 전체 라커 일괄 해제 기능 제공. 잔류물: 프론트 보관 15일 → 폐기. NFC/번호키/일반키 방식 센터별 선택 가능(표준: NFC 랜덤배정 또는 번호키 고정배정 2가지).</t>
        </is>
      </c>
      <c r="E49" s="37" t="inlineStr">
        <is>
          <t>SCR-050</t>
        </is>
      </c>
      <c r="F49" s="37" t="inlineStr">
        <is>
          <t>FN-050</t>
        </is>
      </c>
      <c r="G49" s="40" t="inlineStr">
        <is>
          <t>High</t>
        </is>
      </c>
      <c r="H49" s="37" t="inlineStr">
        <is>
          <t>신규</t>
        </is>
      </c>
    </row>
    <row r="50">
      <c r="A50" s="37" t="inlineStr">
        <is>
          <t>BP-049</t>
        </is>
      </c>
      <c r="B50" s="37" t="inlineStr">
        <is>
          <t>시설</t>
        </is>
      </c>
      <c r="C50" s="38" t="inlineStr">
        <is>
          <t>키오스크 타입 정책</t>
        </is>
      </c>
      <c r="D50" s="39" t="inlineStr">
        <is>
          <t>2가지 타입: 타입A(입퇴장/사물함 전용, 결제 없음), 타입B(1일권/시간권 현장 결제 포함). 지점 단위 설정(어드민). 타입B: PG사 결제 모듈 연동 필수. 타입별 키오스크 UI 자동 분기. 1일권 결제 시 가상 회원ID 자동 생성 + 당일 만료.</t>
        </is>
      </c>
      <c r="E50" s="37" t="inlineStr">
        <is>
          <t>SCR-095</t>
        </is>
      </c>
      <c r="F50" s="37" t="inlineStr">
        <is>
          <t>FN-046</t>
        </is>
      </c>
      <c r="G50" s="40" t="inlineStr">
        <is>
          <t>High</t>
        </is>
      </c>
      <c r="H50" s="37" t="inlineStr">
        <is>
          <t>신규</t>
        </is>
      </c>
    </row>
    <row r="51">
      <c r="A51" s="37" t="inlineStr">
        <is>
          <t>BP-050</t>
        </is>
      </c>
      <c r="B51" s="37" t="inlineStr">
        <is>
          <t>시설</t>
        </is>
      </c>
      <c r="C51" s="38" t="inlineStr">
        <is>
          <t>기기 전원 제어 정책</t>
        </is>
      </c>
      <c r="D51" s="39" t="inlineStr">
        <is>
          <t>키오스크: WOL(Wake-on-LAN) 원격 부팅/셧다운. 프로젝터: PJ Link 프로토콜 제어. 스케줄 설정: 오픈 N분 전 자동 부팅, 마감 시 자동 셧다운. 기기 상태 실시간 모니터링(온라인/오프라인/고장). 미응답 기기 3회 재시도 후 오프라인 표시 + 관리자 알림. 골프장 전 지점 적용 권장(연간 인건비 절감 효과).</t>
        </is>
      </c>
      <c r="E51" s="37" t="inlineStr">
        <is>
          <t>SCR-055</t>
        </is>
      </c>
      <c r="F51" s="37" t="inlineStr">
        <is>
          <t>FN-043</t>
        </is>
      </c>
      <c r="G51" s="40" t="inlineStr">
        <is>
          <t>Critical</t>
        </is>
      </c>
      <c r="H51" s="37" t="inlineStr">
        <is>
          <t>신규</t>
        </is>
      </c>
    </row>
    <row r="52">
      <c r="A52" s="37" t="inlineStr">
        <is>
          <t>BP-051</t>
        </is>
      </c>
      <c r="B52" s="37" t="inlineStr">
        <is>
          <t>시설</t>
        </is>
      </c>
      <c r="C52" s="38" t="inlineStr">
        <is>
          <t>수건/운동복 발급 정책</t>
        </is>
      </c>
      <c r="D52" s="39" t="inlineStr">
        <is>
          <t>기본 제공량: 수건 2장 + 운동복 1벌/일(센터 설정). 추가 발급: 유/무료 센터 설정. 발급 방식: QR 스캔/안면인식/NFC 택 1(센터 설정). 반납 시 포인트 적립 옵션. 과다 발급 알림: 평균 대비 150% 초과 시 관리자 알림. 월간 세탁비 자동 집계 + 입장객 대비 사용률 통계.</t>
        </is>
      </c>
      <c r="E52" s="37" t="inlineStr">
        <is>
          <t>SCR-056</t>
        </is>
      </c>
      <c r="F52" s="37" t="inlineStr">
        <is>
          <t>FN-044</t>
        </is>
      </c>
      <c r="G52" s="40" t="inlineStr">
        <is>
          <t>High</t>
        </is>
      </c>
      <c r="H52" s="37" t="inlineStr">
        <is>
          <t>신규</t>
        </is>
      </c>
    </row>
    <row r="53">
      <c r="A53" s="45" t="inlineStr">
        <is>
          <t>BP-052</t>
        </is>
      </c>
      <c r="B53" s="45" t="inlineStr">
        <is>
          <t>회원</t>
        </is>
      </c>
      <c r="C53" s="46" t="inlineStr">
        <is>
          <t>FC 즐겨찾기 알림 정책</t>
        </is>
      </c>
      <c r="D53" s="47" t="inlineStr">
        <is>
          <t>FC 개인 아이디별 즐겨찾기 회원 등록(수 제한 없음). 즐겨찾기 회원 입장 시 해당 FC에 실시간 푸시 알림(앱 푸시 + 관리자 화면 팝업). 알림 내용: 회원명, 잔여 이용권일수, 미납 여부. 이용권 만료 D-30 이내 회원 자동 즐겨찾기 추가(설정 시). 담당 FC 퇴사 시 즐겨찾기 재배정.</t>
        </is>
      </c>
      <c r="E53" s="45" t="inlineStr">
        <is>
          <t>SCR-015</t>
        </is>
      </c>
      <c r="F53" s="45" t="inlineStr">
        <is>
          <t>FN-045</t>
        </is>
      </c>
      <c r="G53" s="48" t="inlineStr">
        <is>
          <t>Critical</t>
        </is>
      </c>
      <c r="H53" s="45" t="inlineStr">
        <is>
          <t>신규</t>
        </is>
      </c>
    </row>
    <row r="54">
      <c r="A54" s="49" t="inlineStr">
        <is>
          <t>BP-053</t>
        </is>
      </c>
      <c r="B54" s="49" t="inlineStr">
        <is>
          <t>매출</t>
        </is>
      </c>
      <c r="C54" s="50" t="inlineStr">
        <is>
          <t>실적 귀속 정책</t>
        </is>
      </c>
      <c r="D54" s="51" t="inlineStr">
        <is>
          <t>최초 상담자에게 실적 귀속(기본). 귀속 유효기간: 상담일로부터 N일(기본 30일, 센터 설정). 유효기간 초과 시 귀속 해제, 새 상담자에게 이전. 계약 처리자 ≠ 실적 담당자 분리 가능. 실적: 개인 매출 + 팀 매출 이중 집계. 분쟁 방지: 상담 이력(일시/내용) 자동 기록.</t>
        </is>
      </c>
      <c r="E54" s="49" t="inlineStr">
        <is>
          <t>SCR-030</t>
        </is>
      </c>
      <c r="F54" s="49" t="inlineStr">
        <is>
          <t>FN-051</t>
        </is>
      </c>
      <c r="G54" s="52" t="inlineStr">
        <is>
          <t>High</t>
        </is>
      </c>
      <c r="H54" s="49" t="inlineStr">
        <is>
          <t>신규</t>
        </is>
      </c>
    </row>
    <row r="55">
      <c r="A55" s="53" t="inlineStr">
        <is>
          <t>BP-054</t>
        </is>
      </c>
      <c r="B55" s="53" t="inlineStr">
        <is>
          <t>상품</t>
        </is>
      </c>
      <c r="C55" s="54" t="inlineStr">
        <is>
          <t>프로모션 할인 자동화 정책</t>
        </is>
      </c>
      <c r="D55" s="55" t="inlineStr">
        <is>
          <t>프로모션 사전 등록: 기간/대상(신규/재등록/휴면복귀)/할인율 설정. 계약 시 해당 프로모션 자동 적용(수동 입력 불필요). FC 재량 할인: 센터장이 최대 한도 설정(예: 5%). 할인율 50% 초과: 센터장 승인 필요. 프로모션 중복 적용 불가(최대 혜택 자동 선택). 할인 적용 시 원가/할인가/최종가 모두 표시. 전체 할인 이력 감사 로그.</t>
        </is>
      </c>
      <c r="E55" s="53" t="inlineStr">
        <is>
          <t>SCR-041</t>
        </is>
      </c>
      <c r="F55" s="53" t="inlineStr">
        <is>
          <t>FN-052</t>
        </is>
      </c>
      <c r="G55" s="56" t="inlineStr">
        <is>
          <t>High</t>
        </is>
      </c>
      <c r="H55" s="53" t="inlineStr">
        <is>
          <t>신규</t>
        </is>
      </c>
    </row>
    <row r="56">
      <c r="A56" s="41" t="inlineStr">
        <is>
          <t>BP-055</t>
        </is>
      </c>
      <c r="B56" s="41" t="inlineStr">
        <is>
          <t>출석/일정</t>
        </is>
      </c>
      <c r="C56" s="42" t="inlineStr">
        <is>
          <t>GX 출석 체크 정책</t>
        </is>
      </c>
      <c r="D56" s="43" t="inlineStr">
        <is>
          <t>출석 체크 방식: QR코드(권장, 저비용) / NFC / 안면인식 / 수동. 전 매장 표준: QR코드 리더기 설치 권장. 센터 입장(키오스크) + 프로그램 예약 매칭 → 자동 출석 처리. 예약 후 미출석(수업 종료 시점): 노쇼 자동 처리. 비예약자 참석 감지 시 FC 알림(영업 기회).</t>
        </is>
      </c>
      <c r="E56" s="41" t="inlineStr">
        <is>
          <t>SCR-022</t>
        </is>
      </c>
      <c r="F56" s="41" t="inlineStr">
        <is>
          <t>FN-035</t>
        </is>
      </c>
      <c r="G56" s="44" t="inlineStr">
        <is>
          <t>Critical</t>
        </is>
      </c>
      <c r="H56" s="41" t="inlineStr">
        <is>
          <t>신규</t>
        </is>
      </c>
    </row>
    <row r="57">
      <c r="A57" s="57" t="inlineStr">
        <is>
          <t>BP-056</t>
        </is>
      </c>
      <c r="B57" s="57" t="inlineStr">
        <is>
          <t>키오스크</t>
        </is>
      </c>
      <c r="C57" s="58" t="inlineStr">
        <is>
          <t>키오스크 입장 인증 정책</t>
        </is>
      </c>
      <c r="D57" s="59" t="inlineStr">
        <is>
          <t>인증 방식 3가지 지원: 얼굴인식(브로제이 방식)/전화번호/NFC밴드(온핏 방식). 센터별 기본 인증 방식 설정. 얼굴인식 실패 시 전화번호 폴백. 동시 다중 인식 지원(얼굴인식). 만료 회원 입장: 센터 설정(허용/경고후허용/차단). 입장 시 라커 자동 배정(배정 규칙에 따라).</t>
        </is>
      </c>
      <c r="E57" s="57" t="inlineStr">
        <is>
          <t>SCR-K01</t>
        </is>
      </c>
      <c r="F57" s="57" t="inlineStr">
        <is>
          <t>FN-K01</t>
        </is>
      </c>
      <c r="G57" s="60" t="inlineStr">
        <is>
          <t>Critical</t>
        </is>
      </c>
      <c r="H57" s="57" t="inlineStr">
        <is>
          <t>신규</t>
        </is>
      </c>
    </row>
    <row r="58">
      <c r="A58" s="57" t="inlineStr">
        <is>
          <t>BP-057</t>
        </is>
      </c>
      <c r="B58" s="57" t="inlineStr">
        <is>
          <t>키오스크</t>
        </is>
      </c>
      <c r="C58" s="58" t="inlineStr">
        <is>
          <t>키오스크 퇴장/라커 해제 정책</t>
        </is>
      </c>
      <c r="D58" s="59" t="inlineStr">
        <is>
          <t>퇴장 방식: 인증 퇴장 or 라커키 반납 퇴장(대치점 방식). 퇴장 시 라커 자동 해제(센터 설정). 퇴장 미처리 시 마감 일괄 퇴장 처리. 이용시간 자동 기록(입장~퇴장). 라커 잔류물: 마감 시 체크리스트 생성.</t>
        </is>
      </c>
      <c r="E58" s="57" t="inlineStr">
        <is>
          <t>SCR-K02</t>
        </is>
      </c>
      <c r="F58" s="57" t="inlineStr">
        <is>
          <t>FN-K02</t>
        </is>
      </c>
      <c r="G58" s="60" t="inlineStr">
        <is>
          <t>Critical</t>
        </is>
      </c>
      <c r="H58" s="57" t="inlineStr">
        <is>
          <t>신규</t>
        </is>
      </c>
    </row>
    <row r="59">
      <c r="A59" s="57" t="inlineStr">
        <is>
          <t>BP-058</t>
        </is>
      </c>
      <c r="B59" s="57" t="inlineStr">
        <is>
          <t>키오스크</t>
        </is>
      </c>
      <c r="C59" s="58" t="inlineStr">
        <is>
          <t>골프 타석 시간 표시 정책</t>
        </is>
      </c>
      <c r="D59" s="59" t="inlineStr">
        <is>
          <t>대기시간/잔여시간 표시: 시:분 형식(예: 3시간 58분). 분 단위 표시 금지(238분 X). 60분 이하: 분만 표시(예: 45분). 1회 이용시간: 최대 60분(센터 설정 가능). 이용 종료 10분 전 화면 알림. 시간 종료 시 자동 스크린 잠금.</t>
        </is>
      </c>
      <c r="E59" s="57" t="inlineStr">
        <is>
          <t>SCR-K03, SCR-K07</t>
        </is>
      </c>
      <c r="F59" s="57" t="inlineStr">
        <is>
          <t>FN-K03, FN-K07</t>
        </is>
      </c>
      <c r="G59" s="60" t="inlineStr">
        <is>
          <t>High</t>
        </is>
      </c>
      <c r="H59" s="57" t="inlineStr">
        <is>
          <t>신규</t>
        </is>
      </c>
    </row>
    <row r="60">
      <c r="A60" s="57" t="inlineStr">
        <is>
          <t>BP-059</t>
        </is>
      </c>
      <c r="B60" s="57" t="inlineStr">
        <is>
          <t>키오스크</t>
        </is>
      </c>
      <c r="C60" s="58" t="inlineStr">
        <is>
          <t>사물함 영수증 정책</t>
        </is>
      </c>
      <c r="D60" s="59" t="inlineStr">
        <is>
          <t>대치점 벤치마크: 라커 배정 시 영수증 형태로 라커 번호 출력. 영수증에 라커 번호 크게 표시(고령 회원 배려). 라커 위치 안내(층/구역) 포함. 영수증 미수령 시 키오스크에서 재확인 가능. 분실 시 전화번호로 재조회.</t>
        </is>
      </c>
      <c r="E60" s="57" t="inlineStr">
        <is>
          <t>SCR-K04</t>
        </is>
      </c>
      <c r="F60" s="57" t="inlineStr">
        <is>
          <t>FN-K04</t>
        </is>
      </c>
      <c r="G60" s="60" t="inlineStr">
        <is>
          <t>Medium</t>
        </is>
      </c>
      <c r="H60" s="57" t="inlineStr">
        <is>
          <t>신규</t>
        </is>
      </c>
    </row>
    <row r="61">
      <c r="A61" s="45" t="inlineStr">
        <is>
          <t>BP-060</t>
        </is>
      </c>
      <c r="B61" s="45" t="inlineStr">
        <is>
          <t>회원앱</t>
        </is>
      </c>
      <c r="C61" s="46" t="inlineStr">
        <is>
          <t>회원 앱 QR 입장 정책</t>
        </is>
      </c>
      <c r="D61" s="47" t="inlineStr">
        <is>
          <t>QR코드: 일회용, 30초마다 자동 갱신(보안). QR 생성: 로그인 상태에서만 가능. 오프라인 시 QR 생성 불가(네트워크 필수). QR 스캔 → 입장 처리 + 라커 배정 동시 처리. QR 입장은 키오스크 얼굴인식/NFC와 동일 권한.</t>
        </is>
      </c>
      <c r="E61" s="45" t="inlineStr">
        <is>
          <t>SCR-M02</t>
        </is>
      </c>
      <c r="F61" s="45" t="inlineStr">
        <is>
          <t>FN-M02</t>
        </is>
      </c>
      <c r="G61" s="48" t="inlineStr">
        <is>
          <t>Critical</t>
        </is>
      </c>
      <c r="H61" s="45" t="inlineStr">
        <is>
          <t>신규</t>
        </is>
      </c>
    </row>
    <row r="62">
      <c r="A62" s="45" t="inlineStr">
        <is>
          <t>BP-061</t>
        </is>
      </c>
      <c r="B62" s="45" t="inlineStr">
        <is>
          <t>회원앱</t>
        </is>
      </c>
      <c r="C62" s="46" t="inlineStr">
        <is>
          <t>앱 원격 예약 정책</t>
        </is>
      </c>
      <c r="D62" s="47" t="inlineStr">
        <is>
          <t>GX/골프/PT 앱 원격 예약 가능. GX: 예약 오픈 시 앱 푸시 알림 → 선착순 예약. 골프: 원격 대기열 등록 → 순번 도달 시 푸시 알림 → 15분 이내 입장 필수. PT: 트레이너 빈 시간대에서 예약 → 트레이너 승인 필요(센터 설정). 취소 시한/노쇼 페널티는 관리자 정책과 동일 적용.</t>
        </is>
      </c>
      <c r="E62" s="45" t="inlineStr">
        <is>
          <t>SCR-M03, SCR-M04, SCR-M05</t>
        </is>
      </c>
      <c r="F62" s="45" t="inlineStr">
        <is>
          <t>FN-M03, FN-M04, FN-M05</t>
        </is>
      </c>
      <c r="G62" s="48" t="inlineStr">
        <is>
          <t>Critical</t>
        </is>
      </c>
      <c r="H62" s="45" t="inlineStr">
        <is>
          <t>신규</t>
        </is>
      </c>
    </row>
    <row r="63">
      <c r="A63" s="61" t="inlineStr">
        <is>
          <t>BP-062</t>
        </is>
      </c>
      <c r="B63" s="61" t="inlineStr">
        <is>
          <t>트레이너앱</t>
        </is>
      </c>
      <c r="C63" s="62" t="inlineStr">
        <is>
          <t>트레이너 레슨 기록 정책</t>
        </is>
      </c>
      <c r="D63" s="63" t="inlineStr">
        <is>
          <t>수업 완료 후 당일 내 레슨 기록 작성 권장. 3일 초과 미작성 시 관리자 알림. 고객 서명: 수업 완료 시 요청 → 고객 앱 or 현장 태블릿에서 서명. 서명 필수 여부: 센터별 ON/OFF. 미서명 24시간 경과: 정책에 따라 자동 완료 or 관리자 확인. 레슨 기록 수정: 작성 후 24시간 이내만 가능.</t>
        </is>
      </c>
      <c r="E63" s="61" t="inlineStr">
        <is>
          <t>SCR-T03</t>
        </is>
      </c>
      <c r="F63" s="61" t="inlineStr">
        <is>
          <t>FN-T02</t>
        </is>
      </c>
      <c r="G63" s="64" t="inlineStr">
        <is>
          <t>High</t>
        </is>
      </c>
      <c r="H63" s="61" t="inlineStr">
        <is>
          <t>신규</t>
        </is>
      </c>
    </row>
    <row r="64">
      <c r="A64" s="65" t="inlineStr">
        <is>
          <t>BP-063</t>
        </is>
      </c>
      <c r="B64" s="65" t="inlineStr">
        <is>
          <t>FC앱</t>
        </is>
      </c>
      <c r="C64" s="66" t="inlineStr">
        <is>
          <t>FC 방문 알림 정책</t>
        </is>
      </c>
      <c r="D64" s="67" t="inlineStr">
        <is>
          <t>즐겨찾기 회원 입장 시 해당 FC에 30초 이내 푸시 알림. 알림 내용: 회원명, 잔여 이용권일수, 미납 여부, 마지막 방문일. 알림 채널: 앱 푸시(필수) + 관리자 Web 팝업(선택). 알림 수신 거부 시 앱 내 배지만 표시. 비근무 시간 알림: 앱 내 축적, 출근 시 일괄 확인.</t>
        </is>
      </c>
      <c r="E64" s="65" t="inlineStr">
        <is>
          <t>SCR-F01, SCR-F02</t>
        </is>
      </c>
      <c r="F64" s="65" t="inlineStr">
        <is>
          <t>FN-F01, FN-F02</t>
        </is>
      </c>
      <c r="G64" s="68" t="inlineStr">
        <is>
          <t>Critical</t>
        </is>
      </c>
      <c r="H64" s="65" t="inlineStr">
        <is>
          <t>신규</t>
        </is>
      </c>
    </row>
    <row r="65">
      <c r="A65" s="65" t="inlineStr">
        <is>
          <t>BP-064</t>
        </is>
      </c>
      <c r="B65" s="65" t="inlineStr">
        <is>
          <t>FC앱</t>
        </is>
      </c>
      <c r="C65" s="66" t="inlineStr">
        <is>
          <t>상담 이력 및 실적 귀속 정책(앱)</t>
        </is>
      </c>
      <c r="D65" s="67" t="inlineStr">
        <is>
          <t>모든 상담은 일시/내용/결과 기록 필수. 최초 상담자 자동 기록 → 실적 귀속 근거. 상담 기록 수정: 24시간 이내만 가능(감사 로그). 동일 회원 타 FC 상담 이력 참조 가능(내용은 비공개 옵션). 상담 → 계약 전환율 자동 집계. 실적 귀속 잔여일수 앱에 표시(예: 'D-15 귀속 만료').</t>
        </is>
      </c>
      <c r="E65" s="65" t="inlineStr">
        <is>
          <t>SCR-F03</t>
        </is>
      </c>
      <c r="F65" s="65" t="inlineStr">
        <is>
          <t>FN-F03</t>
        </is>
      </c>
      <c r="G65" s="68" t="inlineStr">
        <is>
          <t>High</t>
        </is>
      </c>
      <c r="H65" s="65" t="inlineStr">
        <is>
          <t>신규</t>
        </is>
      </c>
    </row>
    <row r="66">
      <c r="A66" s="69" t="inlineStr">
        <is>
          <t>BP-065</t>
        </is>
      </c>
      <c r="B66" s="69" t="inlineStr">
        <is>
          <t>공통/UI</t>
        </is>
      </c>
      <c r="C66" s="70" t="inlineStr">
        <is>
          <t>GNB 검색 정책</t>
        </is>
      </c>
      <c r="D66" s="71" t="inlineStr">
        <is>
          <t>GNB 글로벌 검색바: 회원명/연락처 대상 검색. 2자 이상 입력 시 검색 시작(debounce 300ms). 최대 10건 미리보기 드롭다운 표시. 결과 클릭 시 회원 상세 이동. 결과 없음 시 "검색 결과가 없습니다" 표시.</t>
        </is>
      </c>
      <c r="E66" s="69" t="inlineStr">
        <is>
          <t>공통</t>
        </is>
      </c>
      <c r="F66" s="69" t="inlineStr">
        <is>
          <t>FN-003</t>
        </is>
      </c>
      <c r="G66" s="72" t="inlineStr">
        <is>
          <t>High</t>
        </is>
      </c>
      <c r="H66" s="69" t="inlineStr">
        <is>
          <t>확정</t>
        </is>
      </c>
    </row>
    <row r="67">
      <c r="A67" s="69" t="inlineStr">
        <is>
          <t>BP-066</t>
        </is>
      </c>
      <c r="B67" s="69" t="inlineStr">
        <is>
          <t>공통/UI</t>
        </is>
      </c>
      <c r="C67" s="70" t="inlineStr">
        <is>
          <t>파일 업로드 정책</t>
        </is>
      </c>
      <c r="D67" s="71" t="inlineStr">
        <is>
          <t>파일 업로드 크기/형식 제한: 프로필 이미지 2MB(PNG/JPG), 문서 10MB(PDF), 전자서명 500KB(PNG). 허용 형식 외 파일 선택 시 에러 토스트. Supabase Storage 업로드, 업로드 실패 시 3회 자동 재시도.</t>
        </is>
      </c>
      <c r="E67" s="69" t="inlineStr">
        <is>
          <t>공통</t>
        </is>
      </c>
      <c r="F67" s="69" t="inlineStr">
        <is>
          <t>FN-004, FN-027</t>
        </is>
      </c>
      <c r="G67" s="72" t="inlineStr">
        <is>
          <t>High</t>
        </is>
      </c>
      <c r="H67" s="69" t="inlineStr">
        <is>
          <t>확정</t>
        </is>
      </c>
    </row>
    <row r="68">
      <c r="A68" s="69" t="inlineStr">
        <is>
          <t>BP-067</t>
        </is>
      </c>
      <c r="B68" s="69" t="inlineStr">
        <is>
          <t>공통/UI</t>
        </is>
      </c>
      <c r="C68" s="70" t="inlineStr">
        <is>
          <t>엑셀 내보내기 정책</t>
        </is>
      </c>
      <c r="D68" s="71" t="inlineStr">
        <is>
          <t>엑셀 export 최대 10,000건. 초과 시 "최대 10,000건까지 다운로드 가능합니다" 안내. 파일명 규칙: "{기능명}_{YYYYMMDD}.xlsx" (예: 회원목록_20260312.xlsx). 다운로드 중 로딩 표시.</t>
        </is>
      </c>
      <c r="E68" s="69" t="inlineStr">
        <is>
          <t>공통</t>
        </is>
      </c>
      <c r="F68" s="69" t="inlineStr">
        <is>
          <t>FN-048</t>
        </is>
      </c>
      <c r="G68" s="72" t="inlineStr">
        <is>
          <t>Medium</t>
        </is>
      </c>
      <c r="H68" s="69" t="inlineStr">
        <is>
          <t>확정</t>
        </is>
      </c>
    </row>
    <row r="69">
      <c r="A69" s="69" t="inlineStr">
        <is>
          <t>BP-068</t>
        </is>
      </c>
      <c r="B69" s="69" t="inlineStr">
        <is>
          <t>공통/UI</t>
        </is>
      </c>
      <c r="C69" s="70" t="inlineStr">
        <is>
          <t>토스트 알림 정책</t>
        </is>
      </c>
      <c r="D69" s="71" t="inlineStr">
        <is>
          <t>토스트(sonner) 자동 닫힘: success/error 3초, info 5초, warning 5초. 우측 상단 표시. 여러 개 스택 지원. 수동 닫기 버튼 제공. 에러 토스트는 빨간색 배경, 성공은 초록색.</t>
        </is>
      </c>
      <c r="E69" s="69" t="inlineStr">
        <is>
          <t>공통</t>
        </is>
      </c>
      <c r="F69" s="69" t="inlineStr">
        <is>
          <t>FN-F02</t>
        </is>
      </c>
      <c r="G69" s="72" t="inlineStr">
        <is>
          <t>Medium</t>
        </is>
      </c>
      <c r="H69" s="69" t="inlineStr">
        <is>
          <t>확정</t>
        </is>
      </c>
    </row>
    <row r="70">
      <c r="A70" s="69" t="inlineStr">
        <is>
          <t>BP-069</t>
        </is>
      </c>
      <c r="B70" s="69" t="inlineStr">
        <is>
          <t>공통/UI</t>
        </is>
      </c>
      <c r="C70" s="70" t="inlineStr">
        <is>
          <t>페이지네이션 정책</t>
        </is>
      </c>
      <c r="D70" s="71" t="inlineStr">
        <is>
          <t>데이터 테이블 기본 페이지 크기: 20건. 옵션: [20, 50, 100]. 총 건수 표시. 현재 페이지/전체 페이지 표시. 첫페이지/이전/다음/마지막 버튼. URL 쿼리 파라미터로 페이지 유지.</t>
        </is>
      </c>
      <c r="E70" s="69" t="inlineStr">
        <is>
          <t>공통</t>
        </is>
      </c>
      <c r="F70" s="69" t="n"/>
      <c r="G70" s="72" t="inlineStr">
        <is>
          <t>Medium</t>
        </is>
      </c>
      <c r="H70" s="69" t="inlineStr">
        <is>
          <t>확정</t>
        </is>
      </c>
    </row>
    <row r="71">
      <c r="A71" s="69" t="inlineStr">
        <is>
          <t>BP-070</t>
        </is>
      </c>
      <c r="B71" s="69" t="inlineStr">
        <is>
          <t>공통/UI</t>
        </is>
      </c>
      <c r="C71" s="70" t="inlineStr">
        <is>
          <t>폼 검증 정책</t>
        </is>
      </c>
      <c r="D71" s="71" t="inlineStr">
        <is>
          <t>onSubmit 시점 검증 (실시간 검증은 이메일/전화번호 등 형식 필드만). 필드별 에러 메시지 빨간색 표시. 에러 발생 시 첫 번째 에러 필드로 자동 스크롤. 필수 필드 미입력 시 "필수 입력 항목입니다" 메시지. 서버 에러는 토스트로 표시.</t>
        </is>
      </c>
      <c r="E71" s="69" t="inlineStr">
        <is>
          <t>공통</t>
        </is>
      </c>
      <c r="F71" s="69" t="n"/>
      <c r="G71" s="72" t="inlineStr">
        <is>
          <t>High</t>
        </is>
      </c>
      <c r="H71" s="69" t="inlineStr">
        <is>
          <t>확정</t>
        </is>
      </c>
    </row>
    <row r="72">
      <c r="A72" s="69" t="inlineStr">
        <is>
          <t>BP-071</t>
        </is>
      </c>
      <c r="B72" s="69" t="inlineStr">
        <is>
          <t>공통/인증</t>
        </is>
      </c>
      <c r="C72" s="70" t="inlineStr">
        <is>
          <t>세션 타임아웃 정책</t>
        </is>
      </c>
      <c r="D72" s="71" t="inlineStr">
        <is>
          <t>JWT 토큰 만료 5분 전 경고 토스트 표시("세션이 곧 만료됩니다. 연장하시겠습니까?"). 연장 버튼 클릭 시 토큰 갱신. 만료 시 자동 로그아웃 + 로그인 페이지 리다이렉트. 로그인 유지 체크 시 Refresh Token으로 자동 갱신(7일).</t>
        </is>
      </c>
      <c r="E72" s="69" t="inlineStr">
        <is>
          <t>SCR-001</t>
        </is>
      </c>
      <c r="F72" s="69" t="inlineStr">
        <is>
          <t>FN-001</t>
        </is>
      </c>
      <c r="G72" s="72" t="inlineStr">
        <is>
          <t>Critical</t>
        </is>
      </c>
      <c r="H72" s="69" t="inlineStr">
        <is>
          <t>확정</t>
        </is>
      </c>
    </row>
    <row r="73">
      <c r="A73" s="73" t="inlineStr">
        <is>
          <t>BP-072</t>
        </is>
      </c>
      <c r="B73" s="73" t="inlineStr">
        <is>
          <t>멀티테넌트</t>
        </is>
      </c>
      <c r="C73" s="73" t="inlineStr">
        <is>
          <t>테넌트(본사) 구조 정책</t>
        </is>
      </c>
      <c r="D73" s="73" t="inlineStr">
        <is>
          <t>1개 테넌트 = 1개 헬스장 브랜드(본사). 테넌트 하위에 N개 지점.
본사가 별도 사무실일 수도 있고, 특정 지점이 본사 역할(예: 송파점=본사)일 수도 있음.
테넌트 생성 시 "본사 겸 지점" 여부 선택.
테넌트 간 데이터 완전 격리 (다른 헬스장 데이터 접근 불가).
테넌트별 요금제(basic/standard/premium)에 따라 지점 수 제한.</t>
        </is>
      </c>
      <c r="E73" s="73" t="inlineStr">
        <is>
          <t>SCR-094</t>
        </is>
      </c>
      <c r="F73" s="74" t="inlineStr">
        <is>
          <t>FN-033</t>
        </is>
      </c>
      <c r="G73" s="74" t="inlineStr">
        <is>
          <t>Critical</t>
        </is>
      </c>
      <c r="H73" s="74" t="inlineStr">
        <is>
          <t>확정</t>
        </is>
      </c>
    </row>
    <row r="74">
      <c r="A74" s="73" t="inlineStr">
        <is>
          <t>BP-073</t>
        </is>
      </c>
      <c r="B74" s="73" t="inlineStr">
        <is>
          <t>멀티테넌트</t>
        </is>
      </c>
      <c r="C74" s="73" t="inlineStr">
        <is>
          <t>슈퍼관리자(본사) 계정 정책</t>
        </is>
      </c>
      <c r="D74" s="73" t="inlineStr">
        <is>
          <t>슈퍼관리자 = 테넌트 소유자. branch_id = NULL (특정 지점에 소속되지 않음).
모든 지점 데이터 조회/수정 가능. 지점 전환 시 해당 지점 컨텍스트로 진입.
슈퍼관리자 전용 메뉴: 통합 대시보드, 지점 간 비교, 지점 생성/비활성화, 글로벌 설정.
슈퍼관리자가 "본사 겸 지점"의 센터장을 겸할 수 있음 (듀얼 역할).
슈퍼관리자 계정은 테넌트당 최대 3개.</t>
        </is>
      </c>
      <c r="E74" s="73" t="inlineStr">
        <is>
          <t>SCR-094, SCR-002</t>
        </is>
      </c>
      <c r="F74" s="74" t="inlineStr">
        <is>
          <t>FN-033, FN-002</t>
        </is>
      </c>
      <c r="G74" s="74" t="inlineStr">
        <is>
          <t>Critical</t>
        </is>
      </c>
      <c r="H74" s="74" t="inlineStr">
        <is>
          <t>확정</t>
        </is>
      </c>
    </row>
    <row r="75">
      <c r="A75" s="73" t="inlineStr">
        <is>
          <t>BP-074</t>
        </is>
      </c>
      <c r="B75" s="73" t="inlineStr">
        <is>
          <t>멀티테넌트</t>
        </is>
      </c>
      <c r="C75" s="73" t="inlineStr">
        <is>
          <t>지점별 계정 권한 정책</t>
        </is>
      </c>
      <c r="D75" s="73" t="inlineStr">
        <is>
          <t>지점 계정은 반드시 1개 지점에 소속 (branch_id 필수, NOT NULL).
지점 내 역할: 센터장 &gt; 매니저 &gt; FC &gt; 스태프 &gt; 조회전용.
센터장: 해당 지점 전체 관리 (회원/매출/직원/설정). 지점 간 전환 불가.
매니저: 회원/매출/상품 관리. 직원/설정 수정 불가.
FC: 담당 회원 관리, PT 일정, 실적 조회.
스태프: 출석/키오스크 운영.
조회전용: 모든 메뉴 읽기만 가능.
같은 직원이 여러 지점 소속 불가. 지점 이동 시 기존 지점 계정 비활성화 + 새 지점 계정 생성.</t>
        </is>
      </c>
      <c r="E75" s="73" t="inlineStr">
        <is>
          <t>SCR-091</t>
        </is>
      </c>
      <c r="F75" s="74" t="inlineStr">
        <is>
          <t>FN-030</t>
        </is>
      </c>
      <c r="G75" s="74" t="inlineStr">
        <is>
          <t>Critical</t>
        </is>
      </c>
      <c r="H75" s="74" t="inlineStr">
        <is>
          <t>확정</t>
        </is>
      </c>
    </row>
    <row r="76">
      <c r="A76" s="73" t="inlineStr">
        <is>
          <t>BP-075</t>
        </is>
      </c>
      <c r="B76" s="73" t="inlineStr">
        <is>
          <t>멀티테넌트</t>
        </is>
      </c>
      <c r="C76" s="73" t="inlineStr">
        <is>
          <t>슈퍼관리자 지점 전환 UX 정책</t>
        </is>
      </c>
      <c r="D76" s="73" t="inlineStr">
        <is>
          <t>헤더 드롭다운에 "전체 지점(통합)" + 개별 지점 목록 표시.
"전체 지점" 선택 시: 통합 대시보드 (전 지점 합산 KPI, 지점별 비교 차트).
개별 지점 선택 시: 해당 지점 컨텍스트 진입 (센터장과 동일한 화면, 데이터는 해당 지점만).
전환 시 현재 편집 중 폼이 있으면 "저장되지 않은 변경사항" 경고 모달.
전환 완료 시 브라우저 URL은 유지, 데이터만 리로드.
전환 이력: 로그 테이블에 기록 (who/when/from/to).
localStorage에 lastBranchId 저장 → 재로그인 시 마지막 지점 자동 선택.</t>
        </is>
      </c>
      <c r="E76" s="73" t="inlineStr">
        <is>
          <t>SCR-002</t>
        </is>
      </c>
      <c r="F76" s="74" t="inlineStr">
        <is>
          <t>FN-002, FN-033</t>
        </is>
      </c>
      <c r="G76" s="74" t="inlineStr">
        <is>
          <t>Critical</t>
        </is>
      </c>
      <c r="H76" s="74" t="inlineStr">
        <is>
          <t>확정</t>
        </is>
      </c>
    </row>
    <row r="77">
      <c r="A77" s="73" t="inlineStr">
        <is>
          <t>BP-076</t>
        </is>
      </c>
      <c r="B77" s="73" t="inlineStr">
        <is>
          <t>멀티테넌트</t>
        </is>
      </c>
      <c r="C77" s="73" t="inlineStr">
        <is>
          <t>통합 대시보드 정책 (슈퍼관리자 전용)</t>
        </is>
      </c>
      <c r="D77" s="73" t="inlineStr">
        <is>
          <t>슈퍼관리자가 "전체 지점" 선택 시 표시되는 통합 뷰.
1) 전체 지점 합산 KPI: 총회원/활성/매출/출석
2) 지점별 비교 차트: 매출 순위, 회원 수 순위, 출석률 순위
3) 지점별 상태 카드: 정상운영/이상감지(매출급감 등)/비활성 표시
4) 지점 간 회원 이동 현황
5) 전체 직원 현황 (지점별 인원, 퇴사 예정)
개별 지점 대시보드와 완전히 다른 레이아웃.</t>
        </is>
      </c>
      <c r="E77" s="73" t="inlineStr">
        <is>
          <t>SCR-002</t>
        </is>
      </c>
      <c r="F77" s="74" t="inlineStr">
        <is>
          <t>FN-002</t>
        </is>
      </c>
      <c r="G77" s="74" t="inlineStr">
        <is>
          <t>High</t>
        </is>
      </c>
      <c r="H77" s="74" t="inlineStr">
        <is>
          <t>확정</t>
        </is>
      </c>
    </row>
    <row r="78">
      <c r="A78" s="73" t="inlineStr">
        <is>
          <t>BP-077</t>
        </is>
      </c>
      <c r="B78" s="73" t="inlineStr">
        <is>
          <t>멀티테넌트</t>
        </is>
      </c>
      <c r="C78" s="73" t="inlineStr">
        <is>
          <t>지점 생성/비활성화 정책</t>
        </is>
      </c>
      <c r="D78" s="73" t="inlineStr">
        <is>
          <t>슈퍼관리자만 지점 생성 가능.
생성 시 필수: 지점명, 지점코드(영문2~5자, 고유), 주소, 연락처.
생성 시 선택: "본사 겸 지점" 플래그, 센터장 계정 동시 생성.
비활성화: 슈퍼관리자 + 비밀번호 재확인 + "INACTIVE 입력" 2중 확인.
비활성화 시: 소속 직원 계정 전체 잠금, 데이터 보존, 로그인 차단.
재활성화: 슈퍼관리자가 언제든 가능. 직원 계정은 개별 활성화 필요.
완전 삭제: 불가 (데이터 보존 의무). 데이터 초기화만 가능 (개발/테스트용).</t>
        </is>
      </c>
      <c r="E78" s="73" t="inlineStr">
        <is>
          <t>SCR-094</t>
        </is>
      </c>
      <c r="F78" s="74" t="inlineStr">
        <is>
          <t>FN-033</t>
        </is>
      </c>
      <c r="G78" s="74" t="inlineStr">
        <is>
          <t>Critical</t>
        </is>
      </c>
      <c r="H78" s="74" t="inlineStr">
        <is>
          <t>확정</t>
        </is>
      </c>
    </row>
    <row r="79">
      <c r="A79" s="73" t="inlineStr">
        <is>
          <t>BP-078</t>
        </is>
      </c>
      <c r="B79" s="73" t="inlineStr">
        <is>
          <t>멀티테넌트</t>
        </is>
      </c>
      <c r="C79" s="73" t="inlineStr">
        <is>
          <t>지점별 독립 설정 정책</t>
        </is>
      </c>
      <c r="D79" s="73" t="inlineStr">
        <is>
          <t>각 지점은 독립적인 settings 레코드 보유.
지점별 설정 항목: 영업시간, 알림설정, 테마, 키오스크 타입, 좌석예약 ON/OFF, 서명필수 ON/OFF.
글로벌 설정 (슈퍼관리자): 요금제, 브랜드 로고, 공통 상품 템플릿.
글로벌 설정은 지점 설정보다 우선하지 않음 (지점 자율).
단, 요금제 변경/브랜드명 변경은 전 지점에 즉시 반영.</t>
        </is>
      </c>
      <c r="E79" s="73" t="inlineStr">
        <is>
          <t>SCR-090, SCR-094</t>
        </is>
      </c>
      <c r="F79" s="74" t="inlineStr">
        <is>
          <t>FN-033</t>
        </is>
      </c>
      <c r="G79" s="74" t="inlineStr">
        <is>
          <t>High</t>
        </is>
      </c>
      <c r="H79" s="74" t="inlineStr">
        <is>
          <t>확정</t>
        </is>
      </c>
    </row>
    <row r="80">
      <c r="A80" s="73" t="inlineStr">
        <is>
          <t>BP-079</t>
        </is>
      </c>
      <c r="B80" s="73" t="inlineStr">
        <is>
          <t>멀티테넌트</t>
        </is>
      </c>
      <c r="C80" s="73" t="inlineStr">
        <is>
          <t>지점 간 회원 이동 정책 (상세)</t>
        </is>
      </c>
      <c r="D80" s="73" t="inlineStr">
        <is>
          <t>슈퍼관리자 또는 양쪽 센터장 승인 시 회원 지점 이동 가능.
이동 옵션: A) 이용권 유지 이동, B) 이용권 종료 + 신규 발급.
A 선택 시: 잔여일수/횟수 그대로 이전, 원지점 매출은 유지.
B 선택 시: 원지점 잔여분 환불 처리 → 새지점에서 신규 계약.
이동 전 필수 체크: 미납금 정산, 락커 반납, 진행 중 계약 확인.
이동 이력: 양쪽 지점에 기록, 슈퍼관리자 통합 뷰에서 조회 가능.</t>
        </is>
      </c>
      <c r="E80" s="73" t="inlineStr">
        <is>
          <t>SCR-094</t>
        </is>
      </c>
      <c r="F80" s="74" t="inlineStr">
        <is>
          <t>FN-033</t>
        </is>
      </c>
      <c r="G80" s="74" t="inlineStr">
        <is>
          <t>High</t>
        </is>
      </c>
      <c r="H80" s="74" t="inlineStr">
        <is>
          <t>확정</t>
        </is>
      </c>
    </row>
    <row r="81">
      <c r="A81" s="73" t="inlineStr">
        <is>
          <t>BP-080</t>
        </is>
      </c>
      <c r="B81" s="73" t="inlineStr">
        <is>
          <t>멀티테넌트</t>
        </is>
      </c>
      <c r="C81" s="73" t="inlineStr">
        <is>
          <t>로그인 플로우 정책 (상세)</t>
        </is>
      </c>
      <c r="D81" s="73" t="inlineStr">
        <is>
          <t>1) 이메일 입력 → 해당 테넌트 자동 식별 (이메일 도메인 or DB 조회).
2) 슈퍼관리자: 비밀번호 인증 → "전체 지점" 모드로 진입 (지점 선택 스킵).
3) 지점 직원: 비밀번호 인증 → 소속 지점 자동 진입 (지점 선택 불필요).
4) 복수 지점 소속 불가이므로 지점 선택 드롭다운은 슈퍼관리자 전환용.
5) 최초 로그인 시 비밀번호 변경 강제.
6) 비활성 지점 소속 직원: "지점이 비활성 상태입니다. 관리자에게 문의하세요." 표시.</t>
        </is>
      </c>
      <c r="E81" s="73" t="inlineStr">
        <is>
          <t>SCR-001</t>
        </is>
      </c>
      <c r="F81" s="74" t="inlineStr">
        <is>
          <t>FN-001</t>
        </is>
      </c>
      <c r="G81" s="74" t="inlineStr">
        <is>
          <t>Critical</t>
        </is>
      </c>
      <c r="H81" s="74" t="inlineStr">
        <is>
          <t>확정</t>
        </is>
      </c>
    </row>
    <row r="82">
      <c r="A82" s="73" t="inlineStr">
        <is>
          <t>BP-081</t>
        </is>
      </c>
      <c r="B82" s="73" t="inlineStr">
        <is>
          <t>멀티테넌트</t>
        </is>
      </c>
      <c r="C82" s="73" t="inlineStr">
        <is>
          <t>슈퍼관리자 전용 메뉴 정책</t>
        </is>
      </c>
      <c r="D82" s="73" t="inlineStr">
        <is>
          <t>슈퍼관리자에게만 표시되는 사이드바 메뉴:
- 통합 대시보드 (전 지점 합산)
- 지점 관리 (생성/수정/비활성화)
- 지점 비교 리포트 (매출/회원/출석 비교)
- 전체 직원 관리 (지점 이동, 역할 변경)
- 글로벌 설정 (요금제, 브랜드)
- 구독/결제 관리
지점 컨텍스트 진입 시에는 센터장과 동일한 메뉴 + "지점 전환" 드롭다운.
일반 직원 계정에서는 위 메뉴 완전히 숨김.</t>
        </is>
      </c>
      <c r="E82" s="73" t="inlineStr">
        <is>
          <t>SCR-094, SCR-002</t>
        </is>
      </c>
      <c r="F82" s="74" t="inlineStr">
        <is>
          <t>FN-033, FN-002, FN-030</t>
        </is>
      </c>
      <c r="G82" s="74" t="inlineStr">
        <is>
          <t>Critical</t>
        </is>
      </c>
      <c r="H82" s="74" t="inlineStr">
        <is>
          <t>확정</t>
        </is>
      </c>
    </row>
    <row r="83">
      <c r="A83" s="73" t="inlineStr">
        <is>
          <t>BP-082</t>
        </is>
      </c>
      <c r="B83" s="73" t="inlineStr">
        <is>
          <t>멀티테넌트</t>
        </is>
      </c>
      <c r="C83" s="73" t="inlineStr">
        <is>
          <t>API 데이터 격리 상세 정책</t>
        </is>
      </c>
      <c r="D83" s="73" t="inlineStr">
        <is>
          <t>모든 API 요청에 tenant_id + branch_id 자동 주입.
슈퍼관리자: tenant_id만 필터 (전체 지점 or branch_id 추가 필터).
지점 직원: tenant_id + branch_id 필터 (자기 지점만).
RLS(Row Level Security) 정책: Supabase RLS로 DB 레벨 격리.
API 레벨 이중 체크: 서버에서도 JWT의 branch_id와 요청 대상 데이터의 branch_id 비교.
크로스 지점 접근 시도 시: 403 Forbidden + 보안 로그 기록.
슈퍼관리자의 지점 전환: JWT에 current_branch_id 클레임 추가, 전환 시 토큰 갱신.</t>
        </is>
      </c>
      <c r="E83" s="73" t="inlineStr">
        <is>
          <t>공통</t>
        </is>
      </c>
      <c r="F83" s="74" t="inlineStr">
        <is>
          <t>FN-001, FN-033</t>
        </is>
      </c>
      <c r="G83" s="74" t="inlineStr">
        <is>
          <t>Critical</t>
        </is>
      </c>
      <c r="H83" s="74" t="inlineStr">
        <is>
          <t>확정</t>
        </is>
      </c>
    </row>
    <row r="84">
      <c r="A84" s="75" t="inlineStr">
        <is>
          <t>BP-083</t>
        </is>
      </c>
      <c r="B84" s="75" t="inlineStr">
        <is>
          <t>직원 라이프사이클</t>
        </is>
      </c>
      <c r="C84" s="75" t="inlineStr">
        <is>
          <t>직원 퇴사 처리 절차</t>
        </is>
      </c>
      <c r="D84" s="75" t="inlineStr">
        <is>
          <t>퇴사 처리는 반드시 센터장 또는 슈퍼관리자만 실행 가능.
1단계: 퇴사 예정일 설정 (최소 7일 전 등록 권장)
2단계: 담당 업무 인수인계 현황 확인 (미완료 시 경고)
3단계: 퇴사 처리 실행 → 계정 상태 RESIGNED로 변경
4단계: 퇴사일 도래 시 자동 로그인 차단
즉시 퇴사도 가능하나 "즉시 퇴사 시 인수인계 미완료 건이 있습니다" 경고 표시.
퇴사 처리 후 취소: 퇴사일 이전까지만 가능. 퇴사일 경과 후 복직은 별도 프로세스.</t>
        </is>
      </c>
      <c r="E84" s="75" t="inlineStr">
        <is>
          <t>SCR-091</t>
        </is>
      </c>
      <c r="F84" s="75" t="inlineStr">
        <is>
          <t>FN-057</t>
        </is>
      </c>
      <c r="G84" s="75" t="inlineStr">
        <is>
          <t>P0</t>
        </is>
      </c>
      <c r="H84" s="75" t="inlineStr">
        <is>
          <t>미구현</t>
        </is>
      </c>
    </row>
    <row r="85">
      <c r="A85" s="75" t="inlineStr">
        <is>
          <t>BP-084</t>
        </is>
      </c>
      <c r="B85" s="75" t="inlineStr">
        <is>
          <t>직원 라이프사이클</t>
        </is>
      </c>
      <c r="C85" s="75" t="inlineStr">
        <is>
          <t>FC 퇴사 시 담당회원 재배정</t>
        </is>
      </c>
      <c r="D85" s="75" t="inlineStr">
        <is>
          <t>FC 퇴사 예정일 설정 시 자동으로 "담당회원 재배정" 워크플로우 시작.
재배정 옵션:
A) 자동 균등 배분: 같은 지점 내 다른 FC에게 회원 수 기준 균등 배분
B) 수동 지정: 센터장/매니저가 회원별로 후임 FC 직접 지정
C) 미배정 풀: 당장 배정 불가 시 "미배정" 상태로 전환 (센터장에게 알림)
재배정 시 회원에게 자동 알림: "담당 트레이너가 [후임FC명]으로 변경되었습니다"
PT 잔여 횟수가 있는 회원: 반드시 수동 지정 (자동 배분 대상 제외)
퇴사 FC의 기존 PT/레슨 기록은 원본 그대로 보존 (수정/삭제 불가)</t>
        </is>
      </c>
      <c r="E85" s="75" t="inlineStr">
        <is>
          <t>SCR-091, SCR-042</t>
        </is>
      </c>
      <c r="F85" s="75" t="inlineStr">
        <is>
          <t>FN-039, FN-057</t>
        </is>
      </c>
      <c r="G85" s="75" t="inlineStr">
        <is>
          <t>P0</t>
        </is>
      </c>
      <c r="H85" s="75" t="inlineStr">
        <is>
          <t>미구현</t>
        </is>
      </c>
    </row>
    <row r="86">
      <c r="A86" s="75" t="inlineStr">
        <is>
          <t>BP-085</t>
        </is>
      </c>
      <c r="B86" s="75" t="inlineStr">
        <is>
          <t>직원 라이프사이클</t>
        </is>
      </c>
      <c r="C86" s="75" t="inlineStr">
        <is>
          <t>센터장 퇴사/교체 절차</t>
        </is>
      </c>
      <c r="D86" s="75" t="inlineStr">
        <is>
          <t>센터장은 지점의 최고 권한자이므로 특별 절차 필요.
1) 슈퍼관리자만 센터장 퇴사 처리 가능 (센터장 본인 불가)
2) 퇴사 전 반드시 후임 센터장 지정 필수 (공석 불가)
3) 후임 센터장 지정 시: 기존 매니저/FC 중 선택 → 역할 자동 승격
4) 외부 채용 시: 신규 계정 생성 + 센터장 역할 부여 동시 처리
5) 권한 이전: 퇴사 센터장의 모든 설정 권한이 후임에게 즉시 이전
6) 센터장 교체 이력: audit_log에 기록 + 슈퍼관리자에게 알림
7) 센터장 부재 시 임시 대행: 매니저 중 1인을 "대행" 지정 가능 (권한 동일, 기간 한정)</t>
        </is>
      </c>
      <c r="E86" s="75" t="inlineStr">
        <is>
          <t>SCR-091, SCR-094</t>
        </is>
      </c>
      <c r="F86" s="75" t="inlineStr">
        <is>
          <t>FN-057</t>
        </is>
      </c>
      <c r="G86" s="75" t="inlineStr">
        <is>
          <t>P0</t>
        </is>
      </c>
      <c r="H86" s="75" t="inlineStr">
        <is>
          <t>미구현</t>
        </is>
      </c>
    </row>
    <row r="87">
      <c r="A87" s="75" t="inlineStr">
        <is>
          <t>BP-086</t>
        </is>
      </c>
      <c r="B87" s="75" t="inlineStr">
        <is>
          <t>직원 라이프사이클</t>
        </is>
      </c>
      <c r="C87" s="75" t="inlineStr">
        <is>
          <t>퇴사 직원 데이터 보존 정책</t>
        </is>
      </c>
      <c r="D87" s="75" t="inlineStr">
        <is>
          <t>퇴사 직원의 계정은 절대 삭제하지 않음 (소프트 삭제 = status: RESIGNED).
보존 데이터:
- 기본 정보: 이름, 연락처, 입사일, 퇴사일, 퇴사사유
- 급여 이력: 전체 급여 지급 내역 영구 보존 (세무 5년 의무)
- 매출 기여: 해당 직원이 등록/관리한 매출 레코드의 staff_id 유지
- PT/레슨 기록: 진행한 모든 세션 기록 보존
- 출근 기록: 전체 출퇴근 이력 보존
- 상담 기록: 작성한 모든 상담 노트 보존
개인정보 마스킹: 퇴사 후 3년 경과 시 연락처/주소 자동 마스킹 (이름은 유지)
리포트에서 퇴사 직원 표시: "(퇴사)" 라벨 + 회색 텍스트</t>
        </is>
      </c>
      <c r="E87" s="75" t="inlineStr">
        <is>
          <t>공통</t>
        </is>
      </c>
      <c r="F87" s="75" t="inlineStr">
        <is>
          <t>FN-057</t>
        </is>
      </c>
      <c r="G87" s="75" t="inlineStr">
        <is>
          <t>P0</t>
        </is>
      </c>
      <c r="H87" s="75" t="inlineStr">
        <is>
          <t>미구현</t>
        </is>
      </c>
    </row>
    <row r="88">
      <c r="A88" s="75" t="inlineStr">
        <is>
          <t>BP-087</t>
        </is>
      </c>
      <c r="B88" s="75" t="inlineStr">
        <is>
          <t>직원 라이프사이클</t>
        </is>
      </c>
      <c r="C88" s="75" t="inlineStr">
        <is>
          <t>퇴사 직원 급여/커미션 최종 정산</t>
        </is>
      </c>
      <c r="D88" s="75" t="inlineStr">
        <is>
          <t>퇴사 처리 시 자동으로 "최종 정산서" 생성.
정산 항목:
1) 미지급 급여: 퇴사일까지 일할 계산
2) 미지급 커미션: 퇴사일 이전 확정된 매출의 커미션
3) 퇴직금: 1년 이상 근무 시 자동 계산 (30일분 평균임금 × 근속연수)
4) 미사용 연차수당: 잔여 연차 × 일급
5) 선지급 정산: 급여 선지급분이 있을 경우 차감
최종 정산 승인: 센터장(지점) 또는 슈퍼관리자(본사) 승인 필요
정산 완료 후 상태: RESIGNED_SETTLED
퇴사 후 발생하는 PT 연기/환불은 퇴사 직원 커미션에서 소급 차감하지 않음 (확정분 보호)</t>
        </is>
      </c>
      <c r="E88" s="75" t="inlineStr">
        <is>
          <t>SCR-091, SCR-080</t>
        </is>
      </c>
      <c r="F88" s="75" t="inlineStr">
        <is>
          <t>FN-057, FN-033</t>
        </is>
      </c>
      <c r="G88" s="75" t="inlineStr">
        <is>
          <t>P0</t>
        </is>
      </c>
      <c r="H88" s="75" t="inlineStr">
        <is>
          <t>미구현</t>
        </is>
      </c>
    </row>
    <row r="89">
      <c r="A89" s="75" t="inlineStr">
        <is>
          <t>BP-088</t>
        </is>
      </c>
      <c r="B89" s="75" t="inlineStr">
        <is>
          <t>직원 라이프사이클</t>
        </is>
      </c>
      <c r="C89" s="75" t="inlineStr">
        <is>
          <t>직원 지점 이동(전보) 정책</t>
        </is>
      </c>
      <c r="D89" s="75" t="inlineStr">
        <is>
          <t>슈퍼관리자만 직원의 지점 이동 실행 가능.
이동 절차:
1) 이동 대상 직원 선택 + 이동할 지점 + 이동일 + 새 역할 지정
2) 기존 지점 인수인계 확인 (FC: 담당회원 재배정, 센터장: 후임 지정)
3) 이동일 도래 시: 기존 계정 TRANSFERRED → 새 지점에 새 계정 생성
4) 급여 정산: 기존 지점 이동일까지 정산 마감, 새 지점 이동일부터 시작
5) 커미션: 이동 전 매출은 기존 지점에서 정산, 이동 후는 새 지점
주의: 동일 직원이 2개 이상 지점에 동시 소속 불가.
예외: 슈퍼관리자 겸 센터장은 본사 지점에만 소속 (다른 지점은 전환 접근)</t>
        </is>
      </c>
      <c r="E89" s="75" t="inlineStr">
        <is>
          <t>SCR-091, SCR-094</t>
        </is>
      </c>
      <c r="F89" s="75" t="inlineStr">
        <is>
          <t>FN-057</t>
        </is>
      </c>
      <c r="G89" s="75" t="inlineStr">
        <is>
          <t>P1</t>
        </is>
      </c>
      <c r="H89" s="75" t="inlineStr">
        <is>
          <t>미구현</t>
        </is>
      </c>
    </row>
    <row r="90">
      <c r="A90" s="75" t="inlineStr">
        <is>
          <t>BP-089</t>
        </is>
      </c>
      <c r="B90" s="75" t="inlineStr">
        <is>
          <t>직원 라이프사이클</t>
        </is>
      </c>
      <c r="C90" s="75" t="inlineStr">
        <is>
          <t>직원 휴직 처리 정책</t>
        </is>
      </c>
      <c r="D90" s="75" t="inlineStr">
        <is>
          <t>휴직 사유: 육아, 병가, 개인사유, 학업 등.
휴직 처리:
1) 센터장 또는 슈퍼관리자가 휴직 등록 (시작일, 예정 복직일, 사유)
2) 휴직 시작일: 계정 상태 ON_LEAVE, 로그인 차단
3) FC 휴직 시: 담당회원 임시 재배정 (복직 시 원복 옵션)
4) 급여: 휴직 기간 동안 무급 (유급휴직은 별도 설정)
5) 복직: 예정일에 자동 알림 → 센터장이 복직 처리 → 상태 ACTIVE 복원
6) 휴직 연장: 복직 예정일 전에 연장 신청 가능
7) 휴직 중 퇴사: 휴직 상태에서 바로 퇴사 처리 가능</t>
        </is>
      </c>
      <c r="E90" s="75" t="inlineStr">
        <is>
          <t>SCR-091</t>
        </is>
      </c>
      <c r="F90" s="75" t="inlineStr">
        <is>
          <t>FN-057</t>
        </is>
      </c>
      <c r="G90" s="75" t="inlineStr">
        <is>
          <t>P2</t>
        </is>
      </c>
      <c r="H90" s="75" t="inlineStr">
        <is>
          <t>미구현</t>
        </is>
      </c>
    </row>
    <row r="91">
      <c r="A91" s="75" t="inlineStr">
        <is>
          <t>BP-090</t>
        </is>
      </c>
      <c r="B91" s="75" t="inlineStr">
        <is>
          <t>직원 라이프사이클</t>
        </is>
      </c>
      <c r="C91" s="75" t="inlineStr">
        <is>
          <t>퇴사 직원 재입사 처리</t>
        </is>
      </c>
      <c r="D91" s="75" t="inlineStr">
        <is>
          <t>퇴사 후 재입사 시:
1) 기존 계정 재활성화가 아닌, 신규 계정 생성 (employee_id 새로 부여)
2) 이전 근무 이력 연결 여부: 센터장이 선택 (연결 시 previous_employee_id 참조)
3) 연결 시: 이전 급여/평가 이력 조회 가능 (수정 불가, 읽기 전용)
4) 미연결 시: 완전 신규 직원으로 취급
5) 퇴직금 산정: 재입사 시점부터 새로 기산 (이전 근속 미포함)
6) 동일 지점 재입사: 이전 담당 회원 자동 복원 옵션 (회원 동의 필요)
7) 다른 지점 재입사: 이전 지점 데이터 접근 불가</t>
        </is>
      </c>
      <c r="E91" s="75" t="inlineStr">
        <is>
          <t>SCR-091</t>
        </is>
      </c>
      <c r="F91" s="75" t="inlineStr">
        <is>
          <t>FN-057</t>
        </is>
      </c>
      <c r="G91" s="75" t="inlineStr">
        <is>
          <t>P2</t>
        </is>
      </c>
      <c r="H91" s="75" t="inlineStr">
        <is>
          <t>미구현</t>
        </is>
      </c>
    </row>
    <row r="92">
      <c r="A92" s="75" t="inlineStr">
        <is>
          <t>BP-091</t>
        </is>
      </c>
      <c r="B92" s="75" t="inlineStr">
        <is>
          <t>직원 라이프사이클</t>
        </is>
      </c>
      <c r="C92" s="75" t="inlineStr">
        <is>
          <t>직원 역할 변경 정책</t>
        </is>
      </c>
      <c r="D92" s="75" t="inlineStr">
        <is>
          <t>역할 변경 권한:
- 스태프→FC, FC→매니저: 센터장이 변경 가능
- 매니저→센터장: 슈퍼관리자만 가능
- 센터장→하위역할: 슈퍼관리자만 가능 (후임 센터장 선지정 필수)
역할 변경 시:
1) 즉시 반영: 메뉴/권한이 즉시 변경됨
2) 급여 체계 변경: 새 역할 급여 기준으로 변경일부터 적용
3) FC→매니저 승격 시: 기존 담당 회원 처리 옵션 (유지/재배정/혼합)
4) 매니저→FC 강등 시: 관리 권한 즉시 회수, 회원 배정 필요
5) 역할 변경 이력: audit_log에 기록
6) 동시 다중 역할 불가: 1인 1역할 원칙</t>
        </is>
      </c>
      <c r="E92" s="75" t="inlineStr">
        <is>
          <t>SCR-091</t>
        </is>
      </c>
      <c r="F92" s="75" t="inlineStr">
        <is>
          <t>FN-057</t>
        </is>
      </c>
      <c r="G92" s="75" t="inlineStr">
        <is>
          <t>P1</t>
        </is>
      </c>
      <c r="H92" s="75" t="inlineStr">
        <is>
          <t>미구현</t>
        </is>
      </c>
    </row>
    <row r="93">
      <c r="A93" s="75" t="inlineStr">
        <is>
          <t>BP-092</t>
        </is>
      </c>
      <c r="B93" s="75" t="inlineStr">
        <is>
          <t>직원 라이프사이클</t>
        </is>
      </c>
      <c r="C93" s="75" t="inlineStr">
        <is>
          <t>퇴사 예정 직원 스케줄 처리</t>
        </is>
      </c>
      <c r="D93" s="75" t="inlineStr">
        <is>
          <t>퇴사 예정일 설정 시:
1) 퇴사일 이후 예약된 PT/GX 스케줄 자동 탐색
2) 해당 스케줄 목록 표시 + 일괄 처리 옵션:
   A) 후임 FC에게 일괄 이관
   B) 회원에게 알림 후 개별 재예약
   C) 일괄 취소 + 환불/연기 처리
3) GX 정규 수업 담당 시: 후임 강사 지정 필수 (공석 수업 불가)
4) 퇴사일 이전 스케줄은 정상 유지
5) 퇴사 당일: 남은 스케줄 자동 체크 → 미처리 건 센터장에게 알림</t>
        </is>
      </c>
      <c r="E93" s="75" t="inlineStr">
        <is>
          <t>SCR-042, SCR-091</t>
        </is>
      </c>
      <c r="F93" s="75" t="inlineStr">
        <is>
          <t>FN-034, FN-057</t>
        </is>
      </c>
      <c r="G93" s="75" t="inlineStr">
        <is>
          <t>P0</t>
        </is>
      </c>
      <c r="H93" s="75" t="inlineStr">
        <is>
          <t>미구현</t>
        </is>
      </c>
    </row>
    <row r="94">
      <c r="A94" s="75" t="inlineStr">
        <is>
          <t>BP-093</t>
        </is>
      </c>
      <c r="B94" s="75" t="inlineStr">
        <is>
          <t>직원 라이프사이클</t>
        </is>
      </c>
      <c r="C94" s="75" t="inlineStr">
        <is>
          <t>직원 계정 잠금/보안 정책</t>
        </is>
      </c>
      <c r="D94" s="75" t="inlineStr">
        <is>
          <t>계정 잠금 조건:
1) 비밀번호 5회 연속 실패 → 30분 잠금
2) 10회 연속 실패 → 영구 잠금 (센터장/슈퍼관리자 해제 필요)
3) 90일 이상 미접속 → 휴면 전환 (다음 로그인 시 비밀번호 변경 강제)
4) 퇴사/비활성 지점 소속 → 자동 잠금
잠금 해제 권한:
- 일반 직원: 센터장이 해제
- 센터장: 슈퍼관리자가 해제
- 슈퍼관리자: 다른 슈퍼관리자가 해제 (최소 2인 필요한 이유)
비밀번호 정책: 최소 8자, 영문+숫자+특수문자, 이전 3개 비밀번호 재사용 불가</t>
        </is>
      </c>
      <c r="E94" s="75" t="inlineStr">
        <is>
          <t>SCR-001, SCR-091</t>
        </is>
      </c>
      <c r="F94" s="75" t="inlineStr">
        <is>
          <t>FN-057</t>
        </is>
      </c>
      <c r="G94" s="75" t="inlineStr">
        <is>
          <t>P0</t>
        </is>
      </c>
      <c r="H94" s="75" t="inlineStr">
        <is>
          <t>미구현</t>
        </is>
      </c>
    </row>
    <row r="95">
      <c r="A95" s="75" t="inlineStr">
        <is>
          <t>BP-094</t>
        </is>
      </c>
      <c r="B95" s="75" t="inlineStr">
        <is>
          <t>직원 라이프사이클</t>
        </is>
      </c>
      <c r="C95" s="75" t="inlineStr">
        <is>
          <t>직원 매출 기여 추적 정책</t>
        </is>
      </c>
      <c r="D95" s="75" t="inlineStr">
        <is>
          <t>모든 매출 레코드에 staff_id (판매/등록 직원) 필수 기록.
FC의 경우 추가로 assigned_fc_id (담당 FC) 기록.
매출 기여 산정:
1) 직접 판매: 해당 직원이 POS에서 결제 처리 → staff_id
2) 담당 기여: 담당 FC의 회원이 구매 → assigned_fc_id (판매자와 별도)
3) 팀 기여: GX 수업 등 다수 참여 → 주강사에게 귀속
퇴사 직원의 매출:
- 판매 레코드의 staff_id는 변경 불가 (원본 보존)
- 리포트에서 "(퇴사) 홍길동" 형태로 표시
- 퇴사 직원 매출 필터: 포함/제외 토글
- 환불/취소 발생 시: 퇴사 직원 커미션 소급 조정 안 함 (확정분 보호)</t>
        </is>
      </c>
      <c r="E95" s="75" t="inlineStr">
        <is>
          <t>SCR-080, SCR-091</t>
        </is>
      </c>
      <c r="F95" s="75" t="inlineStr">
        <is>
          <t>FN-033, FN-057</t>
        </is>
      </c>
      <c r="G95" s="75" t="inlineStr">
        <is>
          <t>P1</t>
        </is>
      </c>
      <c r="H95" s="75" t="inlineStr">
        <is>
          <t>미구현</t>
        </is>
      </c>
    </row>
    <row r="96">
      <c r="A96" s="75" t="inlineStr">
        <is>
          <t>BP-095</t>
        </is>
      </c>
      <c r="B96" s="75" t="inlineStr">
        <is>
          <t>직원 라이프사이클</t>
        </is>
      </c>
      <c r="C96" s="75" t="inlineStr">
        <is>
          <t>직원 접근 권한 매트릭스</t>
        </is>
      </c>
      <c r="D96" s="75" t="inlineStr">
        <is>
          <t>역할별 CRUD 권한 매트릭스:
| 기능\역할 | 슈퍼관리자 | 센터장 | 매니저 | FC | 스태프 | 조회전용 |
| 회원 관리 | CRUD | CRUD | CRUD | CR(담당만) | R | R |
| 매출/결제 | CRUD | CRUD | CRU | R(본인) | R | R |
| 직원 관리 | CRUD | CRU | R | R(본인) | R(본인) | R(본인) |
| 상품 관리 | CRUD | CRUD | CRU | R | R | R |
| 설정 | CRUD | CRU | R | - | - | - |
| 지점 관리 | CRUD | R(본인) | - | - | - | - |
| 급여 관리 | CRUD | CRU | R(본인) | R(본인) | R(본인) | R(본인) |
| 통합 리포트 | CRUD | - | - | - | - | - |
R=조회, C=생성, U=수정, D=삭제, -=접근불가</t>
        </is>
      </c>
      <c r="E96" s="75" t="inlineStr">
        <is>
          <t>공통</t>
        </is>
      </c>
      <c r="F96" s="75" t="inlineStr">
        <is>
          <t>FN-057</t>
        </is>
      </c>
      <c r="G96" s="75" t="inlineStr">
        <is>
          <t>P0</t>
        </is>
      </c>
      <c r="H96" s="75" t="inlineStr">
        <is>
          <t>미구현</t>
        </is>
      </c>
    </row>
    <row r="97">
      <c r="A97" s="76" t="inlineStr">
        <is>
          <t>BP-096</t>
        </is>
      </c>
      <c r="B97" s="76" t="inlineStr">
        <is>
          <t>회원 이관/보존</t>
        </is>
      </c>
      <c r="C97" s="76" t="inlineStr">
        <is>
          <t>회원 지점 이관 상세 프로세스</t>
        </is>
      </c>
      <c r="D97" s="76" t="inlineStr">
        <is>
          <t>이관 트리거: 슈퍼관리자 또는 양쪽 센터장 승인
이관 전 필수 체크리스트:
1) 미납금 확인 → 미납 시 정산 완료까지 이관 불가
2) 진행 중 PT 계약 → 잔여 횟수/금액 확인
3) 락커 보유 여부 → 원지점 반납 필수
4) 쿠폰/마일리지 잔액 → 이관 여부 선택
5) 진행 중 홀딩 → 홀딩 종료 후 이관 권장
이관 실행:
- members.branch_id 변경
- member_transfer_log 생성 (from/to/date/reason/approved_by)
- 이관 이전 데이터: 원지점에 읽기전용으로 보존
- 이관 이후 데이터: 새지점에서 생성
- 담당 FC: 새지점에서 재배정 (자동배정 or 수동지정)</t>
        </is>
      </c>
      <c r="E97" s="76" t="inlineStr">
        <is>
          <t>SCR-094</t>
        </is>
      </c>
      <c r="F97" s="76" t="inlineStr">
        <is>
          <t>FN-058</t>
        </is>
      </c>
      <c r="G97" s="76" t="inlineStr">
        <is>
          <t>P1</t>
        </is>
      </c>
      <c r="H97" s="76" t="inlineStr">
        <is>
          <t>미구현</t>
        </is>
      </c>
    </row>
    <row r="98">
      <c r="A98" s="76" t="inlineStr">
        <is>
          <t>BP-097</t>
        </is>
      </c>
      <c r="B98" s="76" t="inlineStr">
        <is>
          <t>회원 이관/보존</t>
        </is>
      </c>
      <c r="C98" s="76" t="inlineStr">
        <is>
          <t>PT 이용권 이관 정책</t>
        </is>
      </c>
      <c r="D98" s="76" t="inlineStr">
        <is>
          <t>PT 이관 옵션 (회원 선택):
A) 잔여 횟수 유지 이관:
   - 잔여 횟수 그대로 새 지점으로 이전
   - 단가 차이 발생 시: 새 지점 단가 기준 차액 정산
   - 원지점 매출은 원지점에 유지 (정산 완료분)
   - 새 지점 FC 배정 후 이어서 진행
B) 환불 후 신규 계약:
   - 원지점에서 잔여분 환불 (원지점 매출 차감)
   - 새 지점에서 신규 PT 계약
   - 기존 PT 기록은 원지점에 보존
C) 소진 후 이관:
   - 잔여 횟수 0이 될 때까지 원지점에서 이용
   - 소진 완료 후 자동 이관 실행
이관된 PT의 이전 세션 기록: 새 지점에서도 조회 가능 (읽기 전용)</t>
        </is>
      </c>
      <c r="E98" s="76" t="inlineStr">
        <is>
          <t>SCR-094</t>
        </is>
      </c>
      <c r="F98" s="76" t="inlineStr">
        <is>
          <t>FN-058, FN-039</t>
        </is>
      </c>
      <c r="G98" s="76" t="inlineStr">
        <is>
          <t>P1</t>
        </is>
      </c>
      <c r="H98" s="76" t="inlineStr">
        <is>
          <t>미구현</t>
        </is>
      </c>
    </row>
    <row r="99">
      <c r="A99" s="76" t="inlineStr">
        <is>
          <t>BP-098</t>
        </is>
      </c>
      <c r="B99" s="76" t="inlineStr">
        <is>
          <t>회원 이관/보존</t>
        </is>
      </c>
      <c r="C99" s="76" t="inlineStr">
        <is>
          <t>회원 탈퇴 처리 정책</t>
        </is>
      </c>
      <c r="D99" s="76" t="inlineStr">
        <is>
          <t>탈퇴 유형:
1) 자발적 탈퇴: 회원 요청 → 직원이 처리
2) 장기 미이용 자동 탈퇴: 12개월 미방문 + 잔여 이용권 없음 → 자동 DORMANT
3) 강제 탈퇴: 센터장 권한 (규정 위반 등)
탈퇴 전 필수 처리:
- 잔여 이용권: 환불 처리 or 포기 동의
- 미납금: 정산 완료
- 락커: 반납
- 개인물품: 수거 확인
탈퇴 후 데이터:
- 회원 상태: WITHDRAWN (삭제 아님)
- 기본정보: 6개월간 보존 후 마스킹 (이름 유지, 연락처/주소 마스킹)
- 결제/이용 이력: 5년간 보존 (세무 의무)
- 체성분 기록: 즉시 삭제 가능 (회원 요청 시)
재가입: 마스킹 전이면 기존 데이터 연결 가능, 마스킹 후면 신규 회원</t>
        </is>
      </c>
      <c r="E99" s="76" t="inlineStr">
        <is>
          <t>SCR-094</t>
        </is>
      </c>
      <c r="F99" s="76" t="inlineStr">
        <is>
          <t>FN-058</t>
        </is>
      </c>
      <c r="G99" s="76" t="inlineStr">
        <is>
          <t>P0</t>
        </is>
      </c>
      <c r="H99" s="76" t="inlineStr">
        <is>
          <t>미구현</t>
        </is>
      </c>
    </row>
    <row r="100">
      <c r="A100" s="76" t="inlineStr">
        <is>
          <t>BP-099</t>
        </is>
      </c>
      <c r="B100" s="76" t="inlineStr">
        <is>
          <t>회원 이관/보존</t>
        </is>
      </c>
      <c r="C100" s="76" t="inlineStr">
        <is>
          <t>다지점 이용 회원 정책</t>
        </is>
      </c>
      <c r="D100" s="76" t="inlineStr">
        <is>
          <t>동일 테넌트 내 회원이 여러 지점에서 이용하는 경우:
1) 회원은 "주 지점"(home_branch_id)에 소속 (1개만)
2) 다른 지점 이용: "게스트 방문"으로 처리
   - 게스트 방문 시 출석 기록은 방문 지점에 생성
   - 이용권 차감은 주 지점 이용권에서
3) 지점별 별도 이용권 구매 가능 (예: A지점 헬스, B지점 PT)
   - 이 경우 각 지점에서 독립적으로 관리
4) 마일리지/포인트: 테넌트 통합 관리 (지점 무관)
5) 게스트 방문 정책: 테넌트 설정에서 허용/불허 선택
   - 허용 시: 일 방문 횟수 제한 설정 가능
   - 불허 시: 주 지점에서만 이용 가능</t>
        </is>
      </c>
      <c r="E100" s="76" t="inlineStr">
        <is>
          <t>SCR-094</t>
        </is>
      </c>
      <c r="F100" s="76" t="inlineStr">
        <is>
          <t>FN-058</t>
        </is>
      </c>
      <c r="G100" s="76" t="inlineStr">
        <is>
          <t>P2</t>
        </is>
      </c>
      <c r="H100" s="76" t="inlineStr">
        <is>
          <t>미구현</t>
        </is>
      </c>
    </row>
    <row r="101">
      <c r="A101" s="76" t="inlineStr">
        <is>
          <t>BP-100</t>
        </is>
      </c>
      <c r="B101" s="76" t="inlineStr">
        <is>
          <t>회원 이관/보존</t>
        </is>
      </c>
      <c r="C101" s="76" t="inlineStr">
        <is>
          <t>회원 개인정보 삭제 요청 처리</t>
        </is>
      </c>
      <c r="D101" s="76" t="inlineStr">
        <is>
          <t>개인정보보호법 기반 삭제 요청 처리:
1) 회원이 개인정보 삭제 요청 → 센터장에게 알림
2) 삭제 범위 확인:
   - 즉시 삭제 가능: 체성분, 사진, 메모(개인적 내용)
   - 보존 의무: 결제 이력(5년), 계약서(5년), 세금계산서(5년)
   - 마스킹 처리: 이름 → "탈퇴회원#1234", 연락처 → "***-****-****"
3) 삭제 실행 후 복구 불가 경고 + 최종 확인
4) 삭제 로그: audit_log에 기록 (누가, 언제, 무엇을 삭제했는지)
5) 관련 직원 데이터: 상담기록의 회원명 마스킹, 매출기록의 회원ID는 유지(정산 목적)
6) 제3자 제공 데이터: 보험사 등에 제공된 데이터는 별도 회수 불가 안내</t>
        </is>
      </c>
      <c r="E101" s="76" t="inlineStr">
        <is>
          <t>공통</t>
        </is>
      </c>
      <c r="F101" s="76" t="inlineStr">
        <is>
          <t>FN-058</t>
        </is>
      </c>
      <c r="G101" s="76" t="inlineStr">
        <is>
          <t>P1</t>
        </is>
      </c>
      <c r="H101" s="76" t="inlineStr">
        <is>
          <t>미구현</t>
        </is>
      </c>
    </row>
    <row r="102">
      <c r="A102" s="76" t="inlineStr">
        <is>
          <t>BP-101</t>
        </is>
      </c>
      <c r="B102" s="76" t="inlineStr">
        <is>
          <t>회원 이관/보존</t>
        </is>
      </c>
      <c r="C102" s="76" t="inlineStr">
        <is>
          <t>회원 재가입 처리 정책</t>
        </is>
      </c>
      <c r="D102" s="76" t="inlineStr">
        <is>
          <t>재가입 시나리오별 처리:
1) 탈퇴 후 6개월 이내 재가입:
   - 기존 데이터 연결 여부 회원이 선택
   - 연결 시: 기존 이용 이력/체성분 기록 복원
   - 미연결 시: 완전 신규 회원으로 생성
2) 탈퇴 후 6개월 이상 재가입:
   - 개인정보 마스킹 완료 상태 → 신규 회원으로만 생성
   - 동일 연락처로 조회 시 "이전 회원 이력이 있으나 마스킹됨" 안내
3) 다른 지점 재가입:
   - 원지점 탈퇴 이력 조회 가능 (슈퍼관리자/센터장)
   - 이전 지점 미납금이 있으면 재가입 불가 (정산 필요)
4) 재가입 시 가입비/등록비: 센터장 재량으로 면제 가능</t>
        </is>
      </c>
      <c r="E102" s="76" t="inlineStr">
        <is>
          <t>SCR-094, SCR-070</t>
        </is>
      </c>
      <c r="F102" s="76" t="inlineStr">
        <is>
          <t>FN-058</t>
        </is>
      </c>
      <c r="G102" s="76" t="inlineStr">
        <is>
          <t>P2</t>
        </is>
      </c>
      <c r="H102" s="76" t="inlineStr">
        <is>
          <t>미구현</t>
        </is>
      </c>
    </row>
    <row r="103">
      <c r="A103" s="76" t="inlineStr">
        <is>
          <t>BP-102</t>
        </is>
      </c>
      <c r="B103" s="76" t="inlineStr">
        <is>
          <t>회원 이관/보존</t>
        </is>
      </c>
      <c r="C103" s="76" t="inlineStr">
        <is>
          <t>지점 폐점 시 회원 처리</t>
        </is>
      </c>
      <c r="D103" s="76" t="inlineStr">
        <is>
          <t>지점 비활성화/폐점 시 회원 일괄 처리:
1) 폐점 공지: 최소 30일 전 회원 전체 알림 발송
2) 회원 처리 옵션 (회원별 선택):
   A) 다른 지점 이관: 회원이 원하는 지점 선택 → 이관 프로세스
   B) 잔여 이용권 환불: 잔여일수/횟수 기준 환불
   C) 자연 소멸: 잔여 기간까지만 타지점 게스트 이용
3) 일괄 처리 대시보드: 센터장/슈퍼관리자가 회원별 상태 추적
   - 미처리/이관완료/환불완료/연락불가 상태 관리
4) 연락 불가 회원: 3회 이상 연락 시도 후 → 잔여분 예치금 전환
5) 폐점일까지 미처리 회원: 자동으로 잔여분 환불 처리 (예치금)</t>
        </is>
      </c>
      <c r="E103" s="76" t="inlineStr">
        <is>
          <t>SCR-094</t>
        </is>
      </c>
      <c r="F103" s="76" t="inlineStr">
        <is>
          <t>FN-058, FN-055</t>
        </is>
      </c>
      <c r="G103" s="76" t="inlineStr">
        <is>
          <t>P1</t>
        </is>
      </c>
      <c r="H103" s="76" t="inlineStr">
        <is>
          <t>미구현</t>
        </is>
      </c>
    </row>
    <row r="104">
      <c r="A104" s="76" t="inlineStr">
        <is>
          <t>BP-103</t>
        </is>
      </c>
      <c r="B104" s="76" t="inlineStr">
        <is>
          <t>회원 이관/보존</t>
        </is>
      </c>
      <c r="C104" s="76" t="inlineStr">
        <is>
          <t>쿠폰/마일리지 이관 정책</t>
        </is>
      </c>
      <c r="D104" s="76" t="inlineStr">
        <is>
          <t>지점 간 이관 시:
1) 쿠폰:
   - 지점 한정 쿠폰: 이관 불가 (원지점에서 사용 or 소멸)
   - 테넌트 공통 쿠폰: 자동 이관
   - 이관 시 쿠폰 유효기간은 유지 (연장 없음)
2) 마일리지/포인트:
   - 테넌트 통합 관리: 지점 이관과 무관하게 유지
   - 지점별 포인트: 이관 불가 (원지점에서 사용 or 소멸 선택)
3) 잔여 무료 이용권(체험권 등): 이관 불가
4) 락커 보증금: 원지점 반환 → 새 지점에서 신규 배정
탈퇴 시:
- 마일리지/포인트: 즉시 소멸 (환불 불가)
- 미사용 쿠폰: 즉시 소멸
- 락커 보증금: 반환</t>
        </is>
      </c>
      <c r="E104" s="76" t="inlineStr">
        <is>
          <t>SCR-094</t>
        </is>
      </c>
      <c r="F104" s="76" t="inlineStr">
        <is>
          <t>FN-058</t>
        </is>
      </c>
      <c r="G104" s="76" t="inlineStr">
        <is>
          <t>P2</t>
        </is>
      </c>
      <c r="H104" s="76" t="inlineStr">
        <is>
          <t>미구현</t>
        </is>
      </c>
    </row>
    <row r="105">
      <c r="A105" s="76" t="inlineStr">
        <is>
          <t>BP-104</t>
        </is>
      </c>
      <c r="B105" s="76" t="inlineStr">
        <is>
          <t>회원 이관/보존</t>
        </is>
      </c>
      <c r="C105" s="76" t="inlineStr">
        <is>
          <t>회원 계약/전자서명 이관 정책</t>
        </is>
      </c>
      <c r="D105" s="76" t="inlineStr">
        <is>
          <t>이관 시 계약 처리:
1) 진행 중 계약: 원지점 계약 종료 처리 → 새 지점에서 신규 계약
   - 단, "이용권 유지 이관" 선택 시: 원계약 이관 보충 조항 추가
2) 전자서명 원본: 원지점에 영구 보존 (법적 효력 유지)
3) 새 지점에서 필요한 서류:
   - 이관 동의서 (전자서명)
   - 새 지점 이용 약관 동의
   - 가격 차이 정산 동의서 (해당 시)
4) 계약서 열람: 원지점 계약은 새 지점에서도 열람 가능 (수정 불가)
폐점 시:
- 모든 계약서 원본: 슈퍼관리자 계정으로 이관 (영구 보존)
- 폐점 지점의 전자서명 인증서: 아카이브 처리</t>
        </is>
      </c>
      <c r="E105" s="76" t="inlineStr">
        <is>
          <t>SCR-094, SCR-078</t>
        </is>
      </c>
      <c r="F105" s="76" t="inlineStr">
        <is>
          <t>FN-058</t>
        </is>
      </c>
      <c r="G105" s="76" t="inlineStr">
        <is>
          <t>P2</t>
        </is>
      </c>
      <c r="H105" s="76" t="inlineStr">
        <is>
          <t>미구현</t>
        </is>
      </c>
    </row>
    <row r="106">
      <c r="A106" s="76" t="inlineStr">
        <is>
          <t>BP-105</t>
        </is>
      </c>
      <c r="B106" s="76" t="inlineStr">
        <is>
          <t>회원 이관/보존</t>
        </is>
      </c>
      <c r="C106" s="76" t="inlineStr">
        <is>
          <t>회원 락커 이관/폐점 처리</t>
        </is>
      </c>
      <c r="D106" s="76" t="inlineStr">
        <is>
          <t>이관 시 락커:
1) 원지점 락커 반납 필수 (개인물품 수거 확인)
2) 보증금: 원지점에서 반환
3) 새 지점 락커: 신규 배정 (빈 락커 있을 경우)
   - 빈 락커 없을 경우: 대기 명단 등록 + 알림
4) 락커 이용료 차이: 새 지점 기준 적용
폐점 시 락커:
1) 폐점 공지 시: 전체 락커 이용자에게 반납 안내
2) 폐점 D-7: 미반납 락커 목록 → 개별 연락
3) 폐점일: 미수거 물품 → 보관 (30일) → 폐기 안내
4) 보증금: 전액 반환 (계좌 이체)
퇴사 직원 담당 락커:
- 락커 관리 담당 변경 → 센터장 또는 후임자</t>
        </is>
      </c>
      <c r="E106" s="76" t="inlineStr">
        <is>
          <t>SCR-094, SCR-052</t>
        </is>
      </c>
      <c r="F106" s="76" t="inlineStr">
        <is>
          <t>FN-058, FN-029</t>
        </is>
      </c>
      <c r="G106" s="76" t="inlineStr">
        <is>
          <t>P1</t>
        </is>
      </c>
      <c r="H106" s="76" t="inlineStr">
        <is>
          <t>미구현</t>
        </is>
      </c>
    </row>
    <row r="107">
      <c r="A107" s="77" t="inlineStr">
        <is>
          <t>BP-106</t>
        </is>
      </c>
      <c r="B107" s="77" t="inlineStr">
        <is>
          <t>지점 라이프사이클</t>
        </is>
      </c>
      <c r="C107" s="77" t="inlineStr">
        <is>
          <t>지점 폐점 전체 프로세스</t>
        </is>
      </c>
      <c r="D107" s="77" t="inlineStr">
        <is>
          <t>폐점은 슈퍼관리자만 실행 가능. 최소 60일 프로세스:
D-60: 폐점 결정 → 지점 상태 CLOSING으로 변경
  - 신규 회원가입/계약 차단, 기존 회원 안내 시작
D-30: 회원 개별 상담 시작 (이관/환불/자연소멸 선택)
  - 직원 퇴사/전보 계획 수립
D-14: 최종 회원 처리 현황 점검
  - 미처리 회원 개별 연락 집중
D-7: 락커 전체 반납 마감, 시설 정리
  - 미수거 물품 보관 시작
D-Day: 지점 상태 INACTIVE, 전직원 계정 잠금
  - 최종 정산서 생성 (매출/환불/급여/퇴직금)
D+30: 미수거 물품 폐기 안내
D+90: 개인정보 마스킹 시작
데이터: 영구 보존 (조회만 가능, 수정 불가)</t>
        </is>
      </c>
      <c r="E107" s="77" t="inlineStr">
        <is>
          <t>SCR-094</t>
        </is>
      </c>
      <c r="F107" s="77" t="inlineStr">
        <is>
          <t>FN-055</t>
        </is>
      </c>
      <c r="G107" s="77" t="inlineStr">
        <is>
          <t>P1</t>
        </is>
      </c>
      <c r="H107" s="77" t="inlineStr">
        <is>
          <t>미구현</t>
        </is>
      </c>
    </row>
    <row r="108">
      <c r="A108" s="77" t="inlineStr">
        <is>
          <t>BP-107</t>
        </is>
      </c>
      <c r="B108" s="77" t="inlineStr">
        <is>
          <t>지점 라이프사이클</t>
        </is>
      </c>
      <c r="C108" s="77" t="inlineStr">
        <is>
          <t>지점 폐점 시 직원 처리</t>
        </is>
      </c>
      <c r="D108" s="77" t="inlineStr">
        <is>
          <t>폐점 지점 직원 처리 옵션:
1) 다른 지점 전보: 슈퍼관리자가 배치
   - 이동 가능 지점 목록 + 정원 현황 제공
   - 직원 희망 지점 신청 기능
   - 급여/역할: 이동 지점 기준으로 재협의
2) 퇴사 처리: 퇴직금 + 최종 정산
3) 대기 발령: 일시적으로 본사 소속 (슈퍼관리자 관리)
   - 대기 기간 중 급여: 테넌트 정책에 따름
   - 대기 기간 상한: 테넌트 설정 (기본 30일)
일괄 처리 대시보드:
- 직원별 상태: 전보확정/퇴사확정/대기/미정
- 미정 직원 D-14까지 처리 필수 (미처리 시 알림)</t>
        </is>
      </c>
      <c r="E108" s="77" t="inlineStr">
        <is>
          <t>SCR-094, SCR-091</t>
        </is>
      </c>
      <c r="F108" s="77" t="inlineStr">
        <is>
          <t>FN-055, FN-057</t>
        </is>
      </c>
      <c r="G108" s="77" t="inlineStr">
        <is>
          <t>P1</t>
        </is>
      </c>
      <c r="H108" s="77" t="inlineStr">
        <is>
          <t>미구현</t>
        </is>
      </c>
    </row>
    <row r="109">
      <c r="A109" s="77" t="inlineStr">
        <is>
          <t>BP-108</t>
        </is>
      </c>
      <c r="B109" s="77" t="inlineStr">
        <is>
          <t>지점 라이프사이클</t>
        </is>
      </c>
      <c r="C109" s="77" t="inlineStr">
        <is>
          <t>지점 합병 정책</t>
        </is>
      </c>
      <c r="D109" s="77" t="inlineStr">
        <is>
          <t>2개 이상 지점을 1개로 합병하는 프로세스:
1) 합병 유형:
   A) 흡수 합병: 지점A에 지점B 흡수 (A 존속, B 폐점)
   B) 신설 합병: A,B 폐점 → 새 지점C 생성
2) 회원 합병:
   - 중복 회원 확인 (동일 연락처/이름)
   - 중복 시: 이용권 통합 (잔여 합산) or 개별 유지
   - 이용권 통합 시: 높은 단가 기준 적용
3) 직원 합병:
   - 역할 충돌 해결: 센터장 2명 → 1명 센터장 + 1명 매니저
   - 정원 초과 시: 일부 직원 전보/퇴사 결정
4) 데이터 합병:
   - 매출/계약 이력: 원래 지점 태그 유지
   - 리포트에서 "합병 전/후" 필터 제공
5) 합병 이력: audit_log에 상세 기록</t>
        </is>
      </c>
      <c r="E109" s="77" t="inlineStr">
        <is>
          <t>SCR-094</t>
        </is>
      </c>
      <c r="F109" s="77" t="inlineStr">
        <is>
          <t>FN-055</t>
        </is>
      </c>
      <c r="G109" s="77" t="inlineStr">
        <is>
          <t>P3</t>
        </is>
      </c>
      <c r="H109" s="77" t="inlineStr">
        <is>
          <t>미구현</t>
        </is>
      </c>
    </row>
    <row r="110">
      <c r="A110" s="77" t="inlineStr">
        <is>
          <t>BP-109</t>
        </is>
      </c>
      <c r="B110" s="77" t="inlineStr">
        <is>
          <t>지점 라이프사이클</t>
        </is>
      </c>
      <c r="C110" s="77" t="inlineStr">
        <is>
          <t>신규 지점 오픈 초기화 정책</t>
        </is>
      </c>
      <c r="D110" s="77" t="inlineStr">
        <is>
          <t>슈퍼관리자가 신규 지점 생성 시 자동 초기화:
1) 필수 설정:
   - 지점명, 지점코드, 주소, 연락처, 영업시간
   - 센터장 계정 생성 (이메일 + 초기 비밀번호)
2) 선택 설정:
   - 본사 상품 템플릿 복사 (가격은 지점별 수정)
   - 기본 설정 복사 (기존 지점에서)
   - 락커 구조 설정 (구역/번호)
   - GX 프로그램 복사
3) 자동 생성:
   - 기본 역할 권한 세팅
   - 기본 알림 설정
   - 기본 쿠폰/이벤트 없음 (센터장이 생성)
4) 오픈 준비 체크리스트:
   ☐ 센터장 지정 ☐ 상품 등록 ☐ 영업시간 설정
   ☐ 직원 등록 ☐ 키오스크 설정 ☐ 테스트 결제</t>
        </is>
      </c>
      <c r="E110" s="77" t="inlineStr">
        <is>
          <t>SCR-094</t>
        </is>
      </c>
      <c r="F110" s="77" t="inlineStr">
        <is>
          <t>FN-055</t>
        </is>
      </c>
      <c r="G110" s="77" t="inlineStr">
        <is>
          <t>P1</t>
        </is>
      </c>
      <c r="H110" s="77" t="inlineStr">
        <is>
          <t>미구현</t>
        </is>
      </c>
    </row>
    <row r="111">
      <c r="A111" s="77" t="inlineStr">
        <is>
          <t>BP-110</t>
        </is>
      </c>
      <c r="B111" s="77" t="inlineStr">
        <is>
          <t>지점 라이프사이클</t>
        </is>
      </c>
      <c r="C111" s="77" t="inlineStr">
        <is>
          <t>지점 일시 휴업 정책</t>
        </is>
      </c>
      <c r="D111" s="77" t="inlineStr">
        <is>
          <t>시설 공사, 재난 등으로 일시 휴업:
1) 슈퍼관리자/센터장이 휴업 설정 (시작일, 예정 재개일, 사유)
2) 휴업 시 자동 처리:
   - 전 회원 이용권 자동 홀딩 (holding_reason: BRANCH_CLOSED)
   - 신규 예약/결제 차단
   - 회원/직원 전체 알림 발송
   - 키오스크 "휴업 중" 화면 전환
3) 직원 계정: 활성 유지 (관리 업무 가능)
4) 재개 시:
   - 전 회원 홀딩 자동 해제
   - 홀딩 기간만큼 이용권 자동 연장
   - 재개 알림 발송
5) 휴업 중 매출: 온라인 결제만 허용 여부 설정 가능</t>
        </is>
      </c>
      <c r="E111" s="77" t="inlineStr">
        <is>
          <t>SCR-094, SCR-090</t>
        </is>
      </c>
      <c r="F111" s="77" t="inlineStr">
        <is>
          <t>FN-055</t>
        </is>
      </c>
      <c r="G111" s="77" t="inlineStr">
        <is>
          <t>P2</t>
        </is>
      </c>
      <c r="H111" s="77" t="inlineStr">
        <is>
          <t>미구현</t>
        </is>
      </c>
    </row>
    <row r="112">
      <c r="A112" s="77" t="inlineStr">
        <is>
          <t>BP-111</t>
        </is>
      </c>
      <c r="B112" s="77" t="inlineStr">
        <is>
          <t>지점 라이프사이클</t>
        </is>
      </c>
      <c r="C112" s="77" t="inlineStr">
        <is>
          <t>본사 지점 변경 정책</t>
        </is>
      </c>
      <c r="D112" s="77" t="inlineStr">
        <is>
          <t>본사(HQ) 역할을 다른 지점으로 이전:
1) 슈퍼관리자만 실행 가능 + 비밀번호 재확인
2) 변경 시:
   - 기존 본사: is_hq = false
   - 새 본사: is_hq = true
3) 영향 범위:
   - 본사 겸 센터장인 슈퍼관리자의 소속 지점 변경
   - 세금계산서 발행 주체 변경 (본사 명의)
   - 글로벌 설정 관리 지점 변경
4) 주의사항:
   - 본사 변경은 사업적 의미이므로 법적 확인 안내
   - 변경 이력: audit_log에 기록
   - 변경 후 취소: 동일 프로세스로 재변경</t>
        </is>
      </c>
      <c r="E112" s="77" t="inlineStr">
        <is>
          <t>SCR-094</t>
        </is>
      </c>
      <c r="F112" s="77" t="inlineStr">
        <is>
          <t>FN-055</t>
        </is>
      </c>
      <c r="G112" s="77" t="inlineStr">
        <is>
          <t>P3</t>
        </is>
      </c>
      <c r="H112" s="77" t="inlineStr">
        <is>
          <t>미구현</t>
        </is>
      </c>
    </row>
    <row r="113">
      <c r="A113" s="77" t="inlineStr">
        <is>
          <t>BP-112</t>
        </is>
      </c>
      <c r="B113" s="77" t="inlineStr">
        <is>
          <t>지점 라이프사이클</t>
        </is>
      </c>
      <c r="C113" s="77" t="inlineStr">
        <is>
          <t>지점 정원/리소스 관리 정책</t>
        </is>
      </c>
      <c r="D113" s="77" t="inlineStr">
        <is>
          <t>지점별 리소스 제한:
1) 최대 회원 수: branches.max_members (NULL이면 무제한)
   - 80% 도달 시: 센터장에게 경고 알림
   - 100% 도달 시: 신규 가입 차단 + 슈퍼관리자 알림
2) 최대 직원 수: branches.max_staff (요금제 기반)
3) 최대 락커 수: branches.max_lockers
4) 최대 GX 동시 수업 수: 시설 규모 기반
5) 요금제별 제한:
   - Basic: 회원 500명, 직원 10명, 지점 1개
   - Standard: 회원 2000명, 직원 30명, 지점 3개
   - Premium: 무제한
6) 제한 초과 시: 업그레이드 안내 팝업</t>
        </is>
      </c>
      <c r="E113" s="77" t="inlineStr">
        <is>
          <t>SCR-094</t>
        </is>
      </c>
      <c r="F113" s="77" t="inlineStr">
        <is>
          <t>FN-055</t>
        </is>
      </c>
      <c r="G113" s="77" t="inlineStr">
        <is>
          <t>P2</t>
        </is>
      </c>
      <c r="H113" s="77" t="inlineStr">
        <is>
          <t>미구현</t>
        </is>
      </c>
    </row>
    <row r="114">
      <c r="A114" s="78" t="inlineStr">
        <is>
          <t>BP-113</t>
        </is>
      </c>
      <c r="B114" s="78" t="inlineStr">
        <is>
          <t>슈퍼관리자 관리</t>
        </is>
      </c>
      <c r="C114" s="78" t="inlineStr">
        <is>
          <t>슈퍼관리자 지정/해제 정책</t>
        </is>
      </c>
      <c r="D114" s="78" t="inlineStr">
        <is>
          <t>슈퍼관리자 관리 규칙:
1) 테넌트 최초 생성 시: 가입자가 자동으로 1호 슈퍼관리자
2) 추가 지정: 기존 슈퍼관리자가 다른 직원을 슈퍼관리자로 승격
   - 승격 대상: 센터장급 이상 권장 (제한은 아님)
   - 승격 시: 기존 지점 소속 해제, branch_id = NULL
3) 해제: 슈퍼관리자 → 일반 직원으로 강등
   - 해제 시: 반드시 소속 지점 + 역할 지정 필수
   - 마지막 1명은 해제 불가 (최소 1인 필수)
4) 최대 수: 테넌트당 3명 (보안 + 관리 효율)
5) 슈퍼관리자 간 권한 동등 (계층 없음)
6) 테넌트 소유자(owner): 슈퍼관리자 중 1명, 구독/결제 권한 보유</t>
        </is>
      </c>
      <c r="E114" s="78" t="inlineStr">
        <is>
          <t>SCR-094</t>
        </is>
      </c>
      <c r="F114" s="78" t="inlineStr">
        <is>
          <t>FN-057</t>
        </is>
      </c>
      <c r="G114" s="78" t="inlineStr">
        <is>
          <t>P0</t>
        </is>
      </c>
      <c r="H114" s="78" t="inlineStr">
        <is>
          <t>미구현</t>
        </is>
      </c>
    </row>
    <row r="115">
      <c r="A115" s="78" t="inlineStr">
        <is>
          <t>BP-114</t>
        </is>
      </c>
      <c r="B115" s="78" t="inlineStr">
        <is>
          <t>슈퍼관리자 관리</t>
        </is>
      </c>
      <c r="C115" s="78" t="inlineStr">
        <is>
          <t>슈퍼관리자 퇴사/교체 절차</t>
        </is>
      </c>
      <c r="D115" s="78" t="inlineStr">
        <is>
          <t>슈퍼관리자 퇴사 시 특별 절차:
1) 슈퍼관리자가 1명뿐인 경우:
   - 퇴사 처리 전 반드시 후임 슈퍼관리자 지정 필수
   - 미지정 시 퇴사 처리 버튼 비활성화
2) 테넌트 소유자(owner)가 퇴사하는 경우:
   - 소유권 이전 필수 (다른 슈퍼관리자에게)
   - 소유권 이전 = 구독/결제 수단 관리 권한 이전
   - 결제 수단 재등록 필요 시 안내
3) 퇴사 처리 후:
   - 슈퍼관리자 권한 즉시 회수
   - 해당 계정의 전체 활동 로그 아카이브
   - 다른 슈퍼관리자에게 알림
4) 비상 상황: 모든 슈퍼관리자 동시 잠금 시 → 플랫폼 운영팀 개입</t>
        </is>
      </c>
      <c r="E115" s="78" t="inlineStr">
        <is>
          <t>SCR-094, SCR-091</t>
        </is>
      </c>
      <c r="F115" s="78" t="inlineStr">
        <is>
          <t>FN-057</t>
        </is>
      </c>
      <c r="G115" s="78" t="inlineStr">
        <is>
          <t>P0</t>
        </is>
      </c>
      <c r="H115" s="78" t="inlineStr">
        <is>
          <t>미구현</t>
        </is>
      </c>
    </row>
    <row r="116">
      <c r="A116" s="78" t="inlineStr">
        <is>
          <t>BP-115</t>
        </is>
      </c>
      <c r="B116" s="78" t="inlineStr">
        <is>
          <t>슈퍼관리자 관리</t>
        </is>
      </c>
      <c r="C116" s="78" t="inlineStr">
        <is>
          <t>테넌트 소유권 이전 정책</t>
        </is>
      </c>
      <c r="D116" s="78" t="inlineStr">
        <is>
          <t>사업 양도/인수 시 테넌트 소유권 이전:
1) 현 소유자가 이전 요청 (플랫폼 내 기능)
2) 이전 대상: 기존 슈퍼관리자 or 새로운 사용자
3) 이전 절차:
   A) 이전 요청서 작성 (현 소유자)
   B) 새 소유자 이메일 인증 + 신원 확인
   C) 결제 수단 변경 (새 소유자 카드/계좌)
   D) 현 소유자 이중 인증 (비밀번호 + SMS)
   E) 이전 완료 → 현 소유자는 일반 슈퍼관리자 or 퇴사 처리
4) 이전 후:
   - 모든 데이터 그대로 유지
   - 기존 직원 계정 그대로 유지
   - 감사 로그에 소유권 이전 기록
5) 이전 취소: 72시간 이내 가능 (이후 불가)</t>
        </is>
      </c>
      <c r="E116" s="78" t="inlineStr">
        <is>
          <t>SCR-094</t>
        </is>
      </c>
      <c r="F116" s="78" t="inlineStr">
        <is>
          <t>FN-057</t>
        </is>
      </c>
      <c r="G116" s="78" t="inlineStr">
        <is>
          <t>P3</t>
        </is>
      </c>
      <c r="H116" s="78" t="inlineStr">
        <is>
          <t>미구현</t>
        </is>
      </c>
    </row>
    <row r="117">
      <c r="A117" s="78" t="inlineStr">
        <is>
          <t>BP-116</t>
        </is>
      </c>
      <c r="B117" s="78" t="inlineStr">
        <is>
          <t>슈퍼관리자 관리</t>
        </is>
      </c>
      <c r="C117" s="78" t="inlineStr">
        <is>
          <t>슈퍼관리자 활동 감사 정책</t>
        </is>
      </c>
      <c r="D117" s="78" t="inlineStr">
        <is>
          <t>슈퍼관리자는 전 지점에 접근 가능하므로 강화된 감사 필요:
기록 대상 (audit_log 자동 기록):
1) 지점 전환: 시간, from_branch, to_branch
2) 데이터 조회: 민감 데이터 조회 시 (급여, 개인정보)
3) 데이터 수정: 모든 CUD 작업 (변경 전/후 값)
4) 계정 관리: 직원 생성/삭제/역할변경
5) 지점 관리: 생성/비활성화/설정변경
6) 설정 변경: 글로벌 설정, 요금제 변경
7) 내보내기: 데이터 엑셀 내보내기 실행 시
감사 로그 접근:
- 슈퍼관리자 전용 메뉴에서 조회
- 본인 활동도 조회 가능 (투명성)
- 로그 삭제/수정 불가 (불변)
- 보존 기간: 영구</t>
        </is>
      </c>
      <c r="E117" s="78" t="inlineStr">
        <is>
          <t>SCR-094</t>
        </is>
      </c>
      <c r="F117" s="78" t="inlineStr">
        <is>
          <t>FN-057</t>
        </is>
      </c>
      <c r="G117" s="78" t="inlineStr">
        <is>
          <t>P0</t>
        </is>
      </c>
      <c r="H117" s="78" t="inlineStr">
        <is>
          <t>미구현</t>
        </is>
      </c>
    </row>
    <row r="118">
      <c r="A118" s="78" t="inlineStr">
        <is>
          <t>BP-117</t>
        </is>
      </c>
      <c r="B118" s="78" t="inlineStr">
        <is>
          <t>슈퍼관리자 관리</t>
        </is>
      </c>
      <c r="C118" s="78" t="inlineStr">
        <is>
          <t>슈퍼관리자 비상 복구 절차</t>
        </is>
      </c>
      <c r="D118" s="78" t="inlineStr">
        <is>
          <t>모든 슈퍼관리자가 접근 불가한 비상 상황:
시나리오:
A) 전원 비밀번호 분실: 이메일 기반 비밀번호 재설정
B) 전원 계정 잠금: 플랫폼 운영팀에 잠금 해제 요청
   - 본인 인증: 사업자등록증 + 대표자 신분증 제출
   - 운영팀 확인 후 임시 비밀번호 발급 (24시간 이내)
C) 전원 퇴사/연락두절:
   - 테넌트 소유자의 비상 연락처로 연락
   - 사업자등록증 기반 대표자 확인 → 새 소유자 계정 생성
D) 해킹/침해 의심:
   - 즉시 테넌트 전체 잠금 (운영팀)
   - 모든 세션 강제 종료
   - 비밀번호 전체 초기화
   - 침해 범위 조사 후 복구</t>
        </is>
      </c>
      <c r="E118" s="78" t="inlineStr">
        <is>
          <t>SCR-094</t>
        </is>
      </c>
      <c r="F118" s="78" t="inlineStr">
        <is>
          <t>FN-057</t>
        </is>
      </c>
      <c r="G118" s="78" t="inlineStr">
        <is>
          <t>P1</t>
        </is>
      </c>
      <c r="H118" s="78" t="inlineStr">
        <is>
          <t>미구현</t>
        </is>
      </c>
    </row>
    <row r="119">
      <c r="A119" s="78" t="inlineStr">
        <is>
          <t>BP-118</t>
        </is>
      </c>
      <c r="B119" s="78" t="inlineStr">
        <is>
          <t>슈퍼관리자 관리</t>
        </is>
      </c>
      <c r="C119" s="78" t="inlineStr">
        <is>
          <t>슈퍼관리자 겸직(듀얼롤) 정책</t>
        </is>
      </c>
      <c r="D119" s="78" t="inlineStr">
        <is>
          <t>슈퍼관리자가 특정 지점의 센터장을 겸하는 경우:
1) 설정: 슈퍼관리자 프로필에서 "본사 겸 지점" 선택 시 자동
2) 동작 방식:
   - "전체 지점" 모드: 슈퍼관리자 메뉴 표시
   - "소속 지점" 모드: 센터장 메뉴 표시 (+ 지점 전환 드롭다운)
   - 다른 지점 전환 시: 해당 지점 센터장 권한 (수정 가능)
3) 주의사항:
   - 겸직 지점의 급여: 센터장 급여로 해당 지점에서 지급
   - 슈퍼관리자 업무: 별도 급여 없음 (본사 관리는 소유자 역할)
4) 센터장 겸직 해제:
   - 해당 지점에 새 센터장 지정 → 자동 해제
   - 해제 후 순수 슈퍼관리자로 전환</t>
        </is>
      </c>
      <c r="E119" s="78" t="inlineStr">
        <is>
          <t>SCR-094, SCR-091</t>
        </is>
      </c>
      <c r="F119" s="78" t="inlineStr">
        <is>
          <t>FN-057</t>
        </is>
      </c>
      <c r="G119" s="78" t="inlineStr">
        <is>
          <t>P1</t>
        </is>
      </c>
      <c r="H119" s="78" t="inlineStr">
        <is>
          <t>미구현</t>
        </is>
      </c>
    </row>
    <row r="120">
      <c r="A120" s="78" t="inlineStr">
        <is>
          <t>BP-119</t>
        </is>
      </c>
      <c r="B120" s="78" t="inlineStr">
        <is>
          <t>슈퍼관리자 관리</t>
        </is>
      </c>
      <c r="C120" s="78" t="inlineStr">
        <is>
          <t>지점 간 통합 리포트 정책</t>
        </is>
      </c>
      <c r="D120" s="78" t="inlineStr">
        <is>
          <t>슈퍼관리자 전용 통합 리포트:
1) 매출 리포트:
   - 전 지점 합산 매출 (일/주/월/년)
   - 지점별 매출 순위 + 전월 대비 증감
   - 상품 카테고리별 매출 (지점별 비교)
   - 환불율 비교
2) 회원 리포트:
   - 전 지점 합산 회원 수 (활성/만료/탈퇴)
   - 지점별 신규가입/탈퇴 추이
   - 지점 간 이관 현황
   - 재등록율 비교
3) 직원 리포트:
   - 전 지점 직원 현황 (재직/휴직/퇴사예정)
   - 지점별 FC 1인당 회원 수
   - 급여 총액 비교
4) 출석 리포트:
   - 지점별 일평균 출석
   - 피크타임 비교
5) 내보내기: 통합 리포트 엑셀 다운로드</t>
        </is>
      </c>
      <c r="E120" s="78" t="inlineStr">
        <is>
          <t>SCR-094, SCR-080</t>
        </is>
      </c>
      <c r="F120" s="78" t="inlineStr">
        <is>
          <t>FN-054, FN-056</t>
        </is>
      </c>
      <c r="G120" s="78" t="inlineStr">
        <is>
          <t>P1</t>
        </is>
      </c>
      <c r="H120" s="78" t="inlineStr">
        <is>
          <t>미구현</t>
        </is>
      </c>
    </row>
    <row r="121">
      <c r="A121" s="78" t="inlineStr">
        <is>
          <t>BP-120</t>
        </is>
      </c>
      <c r="B121" s="78" t="inlineStr">
        <is>
          <t>슈퍼관리자 관리</t>
        </is>
      </c>
      <c r="C121" s="78" t="inlineStr">
        <is>
          <t>지점 간 상품/프로모션 관리 정책</t>
        </is>
      </c>
      <c r="D121" s="78" t="inlineStr">
        <is>
          <t>슈퍼관리자의 상품 관리 범위:
1) 글로벌 상품 템플릿:
   - 슈퍼관리자가 "공통 상품"을 생성 → 전 지점에 배포
   - 지점에서 가격만 수정 가능 (상품명/설명은 글로벌)
   - 글로벌 상품 수정 시: 전 지점에 즉시 반영 여부 선택
2) 지점 전용 상품:
   - 센터장이 자유롭게 생성 (해당 지점에서만 판매)
   - 슈퍼관리자도 조회/수정 가능
3) 글로벌 프로모션:
   - 슈퍼관리자가 전 지점 적용 프로모션 생성
   - 지점에서 옵트아웃 불가 (강제 적용)
4) 지점 프로모션:
   - 센터장이 해당 지점 한정 프로모션 생성
   - 슈퍼관리자 승인 필요 여부: 테넌트 설정</t>
        </is>
      </c>
      <c r="E121" s="78" t="inlineStr">
        <is>
          <t>SCR-094, SCR-072</t>
        </is>
      </c>
      <c r="F121" s="78" t="inlineStr">
        <is>
          <t>FN-055, FN-022</t>
        </is>
      </c>
      <c r="G121" s="78" t="inlineStr">
        <is>
          <t>P2</t>
        </is>
      </c>
      <c r="H121" s="78" t="inlineStr">
        <is>
          <t>미구현</t>
        </is>
      </c>
    </row>
    <row r="122">
      <c r="A122" s="79" t="inlineStr">
        <is>
          <t>BP-121</t>
        </is>
      </c>
      <c r="B122" s="79" t="inlineStr">
        <is>
          <t>데이터 보존/보안</t>
        </is>
      </c>
      <c r="C122" s="79" t="inlineStr">
        <is>
          <t>소프트 삭제 전체 정책</t>
        </is>
      </c>
      <c r="D122" s="79" t="inlineStr">
        <is>
          <t>시스템 전체 삭제 정책 (하드 삭제 금지):
소프트 삭제 대상 및 상태값:
- 회원: ACTIVE → EXPIRED/DORMANT/WITHDRAWN
- 직원: ACTIVE → RESIGNED/TRANSFERRED/ON_LEAVE
- 지점: ACTIVE → INACTIVE/CLOSING
- 상품: ACTIVE → DISCONTINUED
- 계약: ACTIVE → COMPLETED/CANCELLED/TRANSFERRED
- 이용권: ACTIVE → EXPIRED/REFUNDED/TRANSFERRED
소프트 삭제된 레코드:
1) 목록에서 기본 숨김 (필터로 "전체" 선택 시 표시)
2) 상세 페이지: 읽기 전용, 상태 라벨 표시
3) 리포트: 기간 내 활성 데이터만 집계 (삭제 데이터 제외)
4) API: 기본 active만 반환, include_deleted 파라미터로 확장
하드 삭제 가능 대상 (유일한 예외):
- 테스트 데이터 (is_test=true인 레코드)
- 개인정보 삭제 요청 시 민감 필드만</t>
        </is>
      </c>
      <c r="E122" s="79" t="inlineStr">
        <is>
          <t>공통</t>
        </is>
      </c>
      <c r="F122" s="79" t="inlineStr">
        <is>
          <t>FN-058</t>
        </is>
      </c>
      <c r="G122" s="79" t="inlineStr">
        <is>
          <t>P0</t>
        </is>
      </c>
      <c r="H122" s="79" t="inlineStr">
        <is>
          <t>미구현</t>
        </is>
      </c>
    </row>
    <row r="123">
      <c r="A123" s="79" t="inlineStr">
        <is>
          <t>BP-122</t>
        </is>
      </c>
      <c r="B123" s="79" t="inlineStr">
        <is>
          <t>데이터 보존/보안</t>
        </is>
      </c>
      <c r="C123" s="79" t="inlineStr">
        <is>
          <t>개인정보 자동 마스킹 정책</t>
        </is>
      </c>
      <c r="D123" s="79" t="inlineStr">
        <is>
          <t>법적 보존 기간 경과 후 자동 마스킹:
대상별 마스킹 시점:
1) 탈퇴 회원: 탈퇴 후 6개월
2) 퇴사 직원: 퇴사 후 3년
3) 만료 후 미방문 회원: 마지막 방문 후 24개월
마스킹 필드:
- 연락처: 010-****-1234 (뒤 4자리만 유지)
- 이메일: h***@gmail.com (첫글자 + 도메인만)
- 주소: 완전 삭제
- 생년월일: 연도만 유지 (1990-**-**)
보존 필드 (마스킹 안 함):
- 이름: 유지 (리포트 식별용)
- 회원번호/직원번호: 유지 (시스템 참조용)
- 결제 이력: 5년 보존 (세법)
- 계약서: 5년 보존
자동 마스킹 배치: 매일 새벽 3시 실행
마스킹 전 백업: 암호화된 아카이브 (복구 불가, 법적 요청 시만)</t>
        </is>
      </c>
      <c r="E123" s="79" t="inlineStr">
        <is>
          <t>공통</t>
        </is>
      </c>
      <c r="F123" s="79" t="inlineStr">
        <is>
          <t>FN-058</t>
        </is>
      </c>
      <c r="G123" s="79" t="inlineStr">
        <is>
          <t>P1</t>
        </is>
      </c>
      <c r="H123" s="79" t="inlineStr">
        <is>
          <t>미구현</t>
        </is>
      </c>
    </row>
    <row r="124">
      <c r="A124" s="79" t="inlineStr">
        <is>
          <t>BP-123</t>
        </is>
      </c>
      <c r="B124" s="79" t="inlineStr">
        <is>
          <t>데이터 보존/보안</t>
        </is>
      </c>
      <c r="C124" s="79" t="inlineStr">
        <is>
          <t>감사 로그 상세 정책</t>
        </is>
      </c>
      <c r="D124" s="79" t="inlineStr">
        <is>
          <t>audit_log 테이블 기록 범위:
1) 필수 기록 대상:
   - 로그인/로그아웃 (성공+실패)
   - 회원 생성/수정/탈퇴
   - 결제/환불
   - 직원 생성/역할변경/퇴사
   - 지점 전환 (슈퍼관리자)
   - 설정 변경
   - 데이터 내보내기
   - 권한 변경
2) 기록 형식:
   {action, target_type, target_id, before_value, after_value,
    user_id, branch_id, ip_address, user_agent, created_at}
3) 조회 권한:
   - 슈퍼관리자: 전체 테넌트 감사 로그
   - 센터장: 해당 지점 감사 로그
   - 기타: 본인 활동 로그만
4) 보존: 영구 (삭제/수정 불가, append-only)
5) 검색: 기간/사용자/액션타입/대상 필터</t>
        </is>
      </c>
      <c r="E124" s="79" t="inlineStr">
        <is>
          <t>공통</t>
        </is>
      </c>
      <c r="F124" s="79" t="inlineStr">
        <is>
          <t>FN-057</t>
        </is>
      </c>
      <c r="G124" s="79" t="inlineStr">
        <is>
          <t>P0</t>
        </is>
      </c>
      <c r="H124" s="79" t="inlineStr">
        <is>
          <t>미구현</t>
        </is>
      </c>
    </row>
    <row r="125">
      <c r="A125" s="79" t="inlineStr">
        <is>
          <t>BP-124</t>
        </is>
      </c>
      <c r="B125" s="79" t="inlineStr">
        <is>
          <t>데이터 보존/보안</t>
        </is>
      </c>
      <c r="C125" s="79" t="inlineStr">
        <is>
          <t>RLS(Row Level Security) 정책</t>
        </is>
      </c>
      <c r="D125" s="79" t="inlineStr">
        <is>
          <t>Supabase RLS로 DB 레벨 데이터 격리:
1) 테넌트 격리:
   - 모든 테이블에 tenant_id 컬럼
   - RLS: auth.jwt() -&gt;&gt; tenant_id = row.tenant_id
   - 테넌트 간 데이터 접근 완전 차단
2) 지점 격리:
   - branch_id가 있는 테이블: JWT의 branch_id 또는 is_super_admin 체크
   - 슈퍼관리자: 같은 테넌트 내 모든 지점 접근
   - 일반 직원: 본인 branch_id만 접근
3) 역할 기반 접근:
   - SELECT: 모든 역할 (조회전용 포함)
   - INSERT/UPDATE: 역할별 차등 (BP-095 매트릭스 참조)
   - DELETE: 소프트삭제만 허용, 실제 DELETE 금지
4) 예외:
   - 서비스 계정(service_role): RLS 우회 (백엔드 배치 작업용)
   - 마이그레이션: RLS 임시 비활성화 후 재활성화</t>
        </is>
      </c>
      <c r="E125" s="79" t="inlineStr">
        <is>
          <t>공통</t>
        </is>
      </c>
      <c r="F125" s="79" t="inlineStr">
        <is>
          <t>FN-057</t>
        </is>
      </c>
      <c r="G125" s="79" t="inlineStr">
        <is>
          <t>P0</t>
        </is>
      </c>
      <c r="H125" s="79" t="inlineStr">
        <is>
          <t>미구현</t>
        </is>
      </c>
    </row>
    <row r="126">
      <c r="A126" s="79" t="inlineStr">
        <is>
          <t>BP-125</t>
        </is>
      </c>
      <c r="B126" s="79" t="inlineStr">
        <is>
          <t>데이터 보존/보안</t>
        </is>
      </c>
      <c r="C126" s="79" t="inlineStr">
        <is>
          <t>데이터 백업/복구 정책</t>
        </is>
      </c>
      <c r="D126" s="79" t="inlineStr">
        <is>
          <t>데이터 보호 전략:
1) 자동 백업:
   - Supabase 일일 자동 백업 (Point-in-Time Recovery)
   - 보존 기간: 요금제별 (Basic 7일, Standard 30일, Premium 90일)
2) 수동 백업:
   - 슈퍼관리자: "데이터 내보내기" → 전체 데이터 JSON/CSV
   - 월 1회 자동 내보내기 이메일 (설정 시)
3) 복구 시나리오:
   A) 실수로 데이터 삭제: 소프트삭제이므로 상태 복원으로 해결
   B) 대량 데이터 오류: PITR로 특정 시점 복구 (운영팀 요청)
   C) 지점 데이터만 복구: 불가 (전체 복구만 가능 → 지점 데이터 추출)
4) 재해 복구:
   - RPO(복구 목표 시점): 24시간
   - RTO(복구 목표 시간): 4시간
5) 테스트: 분기 1회 복구 테스트 실시</t>
        </is>
      </c>
      <c r="E126" s="79" t="inlineStr">
        <is>
          <t>공통</t>
        </is>
      </c>
      <c r="F126" s="79" t="inlineStr">
        <is>
          <t>FN-057</t>
        </is>
      </c>
      <c r="G126" s="79" t="inlineStr">
        <is>
          <t>P2</t>
        </is>
      </c>
      <c r="H126" s="79" t="inlineStr">
        <is>
          <t>미구현</t>
        </is>
      </c>
    </row>
    <row r="127">
      <c r="A127" s="79" t="inlineStr">
        <is>
          <t>BP-126</t>
        </is>
      </c>
      <c r="B127" s="79" t="inlineStr">
        <is>
          <t>데이터 보존/보안</t>
        </is>
      </c>
      <c r="C127" s="79" t="inlineStr">
        <is>
          <t>세션/동시접속 관리 정책</t>
        </is>
      </c>
      <c r="D127" s="79" t="inlineStr">
        <is>
          <t>보안 강화를 위한 세션 관리:
1) 동시 접속 제한:
   - 일반 직원: 1 디바이스 (새 로그인 시 기존 세션 강제 종료)
   - 센터장: 2 디바이스 (PC + 모바일)
   - 슈퍼관리자: 3 디바이스
2) 세션 타임아웃:
   - 활동 중: 무제한
   - 비활동: 30분 후 경고 → 35분 후 자동 로그아웃
   - "로그인 유지" 체크 시: 7일 (Refresh Token)
3) 세션 강제 종료:
   - 센터장: 해당 지점 직원 세션 강제 종료 가능
   - 슈퍼관리자: 전 직원 세션 강제 종료 가능
4) IP 기반 접근 제한:
   - 지점별 허용 IP 대역 설정 (선택)
   - 허용 IP 외 접근 시: 이중 인증 요구</t>
        </is>
      </c>
      <c r="E127" s="79" t="inlineStr">
        <is>
          <t>공통</t>
        </is>
      </c>
      <c r="F127" s="79" t="inlineStr">
        <is>
          <t>FN-057</t>
        </is>
      </c>
      <c r="G127" s="79" t="inlineStr">
        <is>
          <t>P1</t>
        </is>
      </c>
      <c r="H127" s="79" t="inlineStr">
        <is>
          <t>미구현</t>
        </is>
      </c>
    </row>
    <row r="128">
      <c r="A128" s="79" t="inlineStr">
        <is>
          <t>BP-127</t>
        </is>
      </c>
      <c r="B128" s="79" t="inlineStr">
        <is>
          <t>데이터 보존/보안</t>
        </is>
      </c>
      <c r="C128" s="79" t="inlineStr">
        <is>
          <t>퇴사/탈퇴 연쇄 데이터 무결성 정책</t>
        </is>
      </c>
      <c r="D128" s="79" t="inlineStr">
        <is>
          <t>엔티티 삭제/비활성화 시 연관 데이터 처리 매트릭스:
직원 퇴사 시:
- sales.staff_id → 유지 (FK 연결, 표시 시 "(퇴사)" 라벨)
- contracts.staff_id → 유지
- attendance.trainer_id → 유지
- members.assigned_fc_id → NULL 또는 후임FC로 변경
- schedules(퇴사일 이후) → 삭제 or 이관
- payroll → 최종 정산 레코드 생성
회원 탈퇴 시:
- sales.member_id → 유지 (매출 보존)
- contracts → 상태 CANCELLED
- attendance → 유지 (통계용)
- lockers → 자동 반납 (status: AVAILABLE)
- coupons → 소멸
- mileage → 소멸 (잔액 0 처리)
- body_compositions → 회원 요청 시 삭제 가능
지점 비활성화 시:
- 소속 직원 → 계정 잠금 (데이터 보존)
- 소속 회원 → 이관 or 환불 처리
- 매출/계약 → 읽기 전용 보존
- 상품 → DISCONTINUED
- 설정 → 보존 (재활성화 시 복원)</t>
        </is>
      </c>
      <c r="E128" s="79" t="inlineStr">
        <is>
          <t>공통</t>
        </is>
      </c>
      <c r="F128" s="79" t="inlineStr">
        <is>
          <t>FN-057, FN-058</t>
        </is>
      </c>
      <c r="G128" s="79" t="inlineStr">
        <is>
          <t>P0</t>
        </is>
      </c>
      <c r="H128" s="79" t="inlineStr">
        <is>
          <t>미구현</t>
        </is>
      </c>
    </row>
    <row r="129">
      <c r="A129" s="80" t="inlineStr">
        <is>
          <t>BP-128</t>
        </is>
      </c>
      <c r="B129" s="80" t="inlineStr">
        <is>
          <t>정산/재무</t>
        </is>
      </c>
      <c r="C129" s="80" t="inlineStr">
        <is>
          <t>지점 간 매출 정산 정책</t>
        </is>
      </c>
      <c r="D129" s="80" t="inlineStr">
        <is>
          <t>회원 이관/게스트 방문 시 매출 귀속:
1) 원칙: 매출은 결제가 발생한 지점에 귀속
2) 회원 이관 시:
   - 이관 전 매출: 원지점에 유지
   - 이관 후 매출: 새 지점에 귀속
   - 이관 시 환불: 원지점 매출에서 차감
3) 게스트 방문 시:
   - 이용권 차감: 주 지점 이용권에서 차감
   - 매출 귀속: 주 지점 (이용권 구매 지점)
   - 추가 구매 시: 방문 지점에 귀속
4) 글로벌 프로모션 매출:
   - 결제 지점에 귀속 (본사가 아닌)
   - 할인분: 본사 부담 or 지점 부담 (프로모션 설정에 따름)
5) 통합 리포트에서 지점 간 정산 내역 조회 가능</t>
        </is>
      </c>
      <c r="E129" s="80" t="inlineStr">
        <is>
          <t>SCR-080, SCR-094</t>
        </is>
      </c>
      <c r="F129" s="80" t="inlineStr">
        <is>
          <t>FN-033, FN-056</t>
        </is>
      </c>
      <c r="G129" s="80" t="inlineStr">
        <is>
          <t>P1</t>
        </is>
      </c>
      <c r="H129" s="80" t="inlineStr">
        <is>
          <t>미구현</t>
        </is>
      </c>
    </row>
    <row r="130">
      <c r="A130" s="80" t="inlineStr">
        <is>
          <t>BP-129</t>
        </is>
      </c>
      <c r="B130" s="80" t="inlineStr">
        <is>
          <t>정산/재무</t>
        </is>
      </c>
      <c r="C130" s="80" t="inlineStr">
        <is>
          <t>환불/취소 크로스지점 처리</t>
        </is>
      </c>
      <c r="D130" s="80" t="inlineStr">
        <is>
          <t>이관 후 환불이 발생하는 복잡한 시나리오:
1) 원지점에서 구매 → 이관 → 새지점에서 환불 요청:
   - 환불 처리: 새 지점 센터장이 실행
   - 매출 차감: 원지점 매출에서 차감 (구매 지점 기준)
   - 커미션 조정: 원지점 판매 직원 커미션에서 차감
     (단, 퇴사 직원 커미션은 소급 조정 안 함)
2) 부분 환불:
   - 잔여 횟수 기준 일할 계산
   - 이관 전후 사용 횟수 각각 계산
3) 환불 승인 권한:
   - 10만원 이하: 매니저 이상
   - 10만원 초과: 센터장 이상
   - 100만원 초과: 슈퍼관리자 승인 필수
4) 환불 로그: audit_log에 상세 기록 (금액/사유/승인자)</t>
        </is>
      </c>
      <c r="E130" s="80" t="inlineStr">
        <is>
          <t>SCR-080, SCR-094</t>
        </is>
      </c>
      <c r="F130" s="80" t="inlineStr">
        <is>
          <t>FN-033, FN-058</t>
        </is>
      </c>
      <c r="G130" s="80" t="inlineStr">
        <is>
          <t>P1</t>
        </is>
      </c>
      <c r="H130" s="80" t="inlineStr">
        <is>
          <t>미구현</t>
        </is>
      </c>
    </row>
    <row r="131">
      <c r="A131" s="80" t="inlineStr">
        <is>
          <t>BP-130</t>
        </is>
      </c>
      <c r="B131" s="80" t="inlineStr">
        <is>
          <t>정산/재무</t>
        </is>
      </c>
      <c r="C131" s="80" t="inlineStr">
        <is>
          <t>지점별 독립 급여 정책</t>
        </is>
      </c>
      <c r="D131" s="80" t="inlineStr">
        <is>
          <t>각 지점은 독립적인 급여 체계:
1) 급여 설정:
   - 지점별 기본급, 인센티브 구조, 커미션율 독립 설정
   - 센터장이 해당 지점 급여 설정 관리
   - 슈퍼관리자: 전 지점 급여 조회 (수정은 센터장 권한)
2) 급여 지급:
   - 지점별 독립 정산 (지점 매출에서 지급)
   - 정산 기준일: 지점별 설정 가능 (매월 1일/10일/25일 등)
3) 직원 지점 이동 시:
   - 이동 전 지점: 이동일까지 일할 정산
   - 이동 후 지점: 이동일부터 새 급여 기준 적용
   - 이동 월 급여: 양쪽 지점에서 각각 지급
4) 통합 급여 리포트:
   - 슈퍼관리자: 전 지점 급여 총액, 인건비율 비교
   - 센터장: 해당 지점만</t>
        </is>
      </c>
      <c r="E131" s="80" t="inlineStr">
        <is>
          <t>SCR-080, SCR-091</t>
        </is>
      </c>
      <c r="F131" s="80" t="inlineStr">
        <is>
          <t>FN-033, FN-057</t>
        </is>
      </c>
      <c r="G131" s="80" t="inlineStr">
        <is>
          <t>P1</t>
        </is>
      </c>
      <c r="H131" s="80" t="inlineStr">
        <is>
          <t>미구현</t>
        </is>
      </c>
    </row>
    <row r="132">
      <c r="A132" s="80" t="inlineStr">
        <is>
          <t>BP-131</t>
        </is>
      </c>
      <c r="B132" s="80" t="inlineStr">
        <is>
          <t>정산/재무</t>
        </is>
      </c>
      <c r="C132" s="80" t="inlineStr">
        <is>
          <t>구독/요금제 정책</t>
        </is>
      </c>
      <c r="D132" s="80" t="inlineStr">
        <is>
          <t>테넌트 단위 SaaS 구독:
1) 요금제:
   - Basic: 월 5만원, 지점 1개, 회원 500명, 직원 10명
   - Standard: 월 15만원, 지점 3개, 회원 2000명, 직원 30명
   - Premium: 월 30만원, 무제한
   - 추가 지점: 월 3만원/지점 (Standard 이상)
2) 결제:
   - 테넌트 소유자만 결제 수단 관리
   - 자동 결제 (카드) or 계좌이체 (수동)
   - 미결제 시: D+3 알림 → D+7 기능 제한 → D+14 읽기전용 → D+30 접근 차단
3) 업/다운그레이드:
   - 업그레이드: 즉시 적용, 차액 일할 계산
   - 다운그레이드: 다음 결제일부터 적용
   - 다운그레이드 시 제한 초과 체크 (지점 수, 회원 수)
4) 해지: 데이터 90일 보존 후 완전 삭제 안내</t>
        </is>
      </c>
      <c r="E132" s="80" t="inlineStr">
        <is>
          <t>SCR-094</t>
        </is>
      </c>
      <c r="F132" s="80" t="inlineStr">
        <is>
          <t>FN-055</t>
        </is>
      </c>
      <c r="G132" s="80" t="inlineStr">
        <is>
          <t>P2</t>
        </is>
      </c>
      <c r="H132" s="80" t="inlineStr">
        <is>
          <t>미구현</t>
        </is>
      </c>
    </row>
    <row r="133">
      <c r="A133" s="80" t="inlineStr">
        <is>
          <t>BP-132</t>
        </is>
      </c>
      <c r="B133" s="80" t="inlineStr">
        <is>
          <t>정산/재무</t>
        </is>
      </c>
      <c r="C133" s="80" t="inlineStr">
        <is>
          <t>세금계산서/영수증 정책</t>
        </is>
      </c>
      <c r="D133" s="80" t="inlineStr">
        <is>
          <t>다지점 운영 시 세금 처리:
1) 세금계산서 발행 주체:
   - 본사 명의 일괄 발행 (기본)
   - 지점별 개별 발행 (사업자등록 별도 시)
   - 테넌트 설정에서 선택
2) 영수증:
   - 결제 발생 지점 명의로 자동 발행
   - 현금영수증: 결제 시 자동 (회원 연락처 기반)
3) 환불 시:
   - 마이너스 세금계산서/영수증 자동 발행
   - 크로스지점 환불: 원 결제 지점 명의
4) 리포트:
   - 월별 세금계산서 발행 내역
   - 부가세 신고 자료 (지점별/통합)
   - 엑셀 내보내기</t>
        </is>
      </c>
      <c r="E133" s="80" t="inlineStr">
        <is>
          <t>SCR-080</t>
        </is>
      </c>
      <c r="F133" s="80" t="inlineStr">
        <is>
          <t>FN-033</t>
        </is>
      </c>
      <c r="G133" s="80" t="inlineStr">
        <is>
          <t>P2</t>
        </is>
      </c>
      <c r="H133" s="80" t="inlineStr">
        <is>
          <t>미구현</t>
        </is>
      </c>
    </row>
    <row r="134">
      <c r="A134" s="80" t="inlineStr">
        <is>
          <t>BP-133</t>
        </is>
      </c>
      <c r="B134" s="80" t="inlineStr">
        <is>
          <t>정산/재무</t>
        </is>
      </c>
      <c r="C134" s="80" t="inlineStr">
        <is>
          <t>미납금/연체 크로스지점 처리</t>
        </is>
      </c>
      <c r="D134" s="80" t="inlineStr">
        <is>
          <t>회원의 미납금이 있는 상태에서 발생하는 시나리오:
1) 미납 회원 이관 요청:
   - 미납금 정산 완료 전까지 이관 차단
   - 예외: 슈퍼관리자 승인 시 미납금 이관 가능
     (미납금이 새 지점으로 이전, 원지점 매출에서 차감)
2) 미납 회원 재가입:
   - 동일 지점: 미납금 정산 필수
   - 다른 지점: 미납 이력 조회 가능, 가입은 센터장 재량
3) 미납 직원(급여 선지급분):
   - 퇴사 시: 최종 정산에서 차감
   - 지점 이동 시: 기존 지점에서 정산 후 이동
4) 폐점 시 미납금:
   - 본사(테넌트)에서 일괄 관리
   - 슈퍼관리자 대시보드에 미납 현황 표시</t>
        </is>
      </c>
      <c r="E134" s="80" t="inlineStr">
        <is>
          <t>SCR-080, SCR-094</t>
        </is>
      </c>
      <c r="F134" s="80" t="inlineStr">
        <is>
          <t>FN-033, FN-058</t>
        </is>
      </c>
      <c r="G134" s="80" t="inlineStr">
        <is>
          <t>P1</t>
        </is>
      </c>
      <c r="H134" s="80" t="inlineStr">
        <is>
          <t>미구현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22" customWidth="1" min="5" max="5"/>
    <col width="18" customWidth="1" min="6" max="6"/>
    <col width="18" customWidth="1" min="7" max="7"/>
    <col width="25" customWidth="1" min="8" max="8"/>
    <col width="30" customWidth="1" min="9" max="9"/>
    <col width="25" customWidth="1" min="10" max="10"/>
  </cols>
  <sheetData>
    <row r="1">
      <c r="A1" s="31" t="inlineStr">
        <is>
          <t>흐름 ID</t>
        </is>
      </c>
      <c r="B1" s="31" t="inlineStr">
        <is>
          <t>출발 화면</t>
        </is>
      </c>
      <c r="C1" s="31" t="inlineStr">
        <is>
          <t>트리거 요소</t>
        </is>
      </c>
      <c r="D1" s="31" t="inlineStr">
        <is>
          <t>트리거 액션</t>
        </is>
      </c>
      <c r="E1" s="31" t="inlineStr">
        <is>
          <t>도착 화면</t>
        </is>
      </c>
      <c r="F1" s="31" t="inlineStr">
        <is>
          <t>전환 방식</t>
        </is>
      </c>
      <c r="G1" s="31" t="inlineStr">
        <is>
          <t>전달 데이터</t>
        </is>
      </c>
      <c r="H1" s="31" t="inlineStr">
        <is>
          <t>뒤로가기 동작</t>
        </is>
      </c>
      <c r="I1" s="31" t="inlineStr">
        <is>
          <t>조건</t>
        </is>
      </c>
      <c r="J1" s="31" t="inlineStr">
        <is>
          <t>비고</t>
        </is>
      </c>
    </row>
    <row r="2">
      <c r="A2" s="33" t="inlineStr">
        <is>
          <t>FLW-001</t>
        </is>
      </c>
      <c r="B2" s="33" t="inlineStr">
        <is>
          <t>SCR-001 (로그인)</t>
        </is>
      </c>
      <c r="C2" s="33" t="inlineStr">
        <is>
          <t>로그인 버튼</t>
        </is>
      </c>
      <c r="D2" s="34" t="inlineStr">
        <is>
          <t>click/Enter</t>
        </is>
      </c>
      <c r="E2" s="34" t="inlineStr">
        <is>
          <t>SCR-002 (대시보드)</t>
        </is>
      </c>
      <c r="F2" s="34" t="inlineStr">
        <is>
          <t>page (redirect)</t>
        </is>
      </c>
      <c r="G2" s="34" t="inlineStr">
        <is>
          <t>JWT토큰, 사용자정보</t>
        </is>
      </c>
      <c r="H2" s="34" t="inlineStr">
        <is>
          <t>로그인 페이지로 돌아감</t>
        </is>
      </c>
      <c r="I2" s="34" t="inlineStr">
        <is>
          <t>이메일/비밀번호/지점 모두 입력 시</t>
        </is>
      </c>
      <c r="J2" s="34" t="inlineStr"/>
    </row>
    <row r="3">
      <c r="A3" s="33" t="inlineStr">
        <is>
          <t>FLW-002</t>
        </is>
      </c>
      <c r="B3" s="33" t="inlineStr">
        <is>
          <t>전체 페이지</t>
        </is>
      </c>
      <c r="C3" s="33" t="inlineStr">
        <is>
          <t>세션 만료</t>
        </is>
      </c>
      <c r="D3" s="34" t="inlineStr">
        <is>
          <t>auto</t>
        </is>
      </c>
      <c r="E3" s="34" t="inlineStr">
        <is>
          <t>SCR-001 (로그인)</t>
        </is>
      </c>
      <c r="F3" s="34" t="inlineStr">
        <is>
          <t>page (redirect)</t>
        </is>
      </c>
      <c r="G3" s="34" t="inlineStr">
        <is>
          <t>없음</t>
        </is>
      </c>
      <c r="H3" s="34" t="inlineStr">
        <is>
          <t>N/A</t>
        </is>
      </c>
      <c r="I3" s="34" t="inlineStr">
        <is>
          <t>JWT 토큰 만료 시 자동</t>
        </is>
      </c>
      <c r="J3" s="34" t="inlineStr"/>
    </row>
    <row r="4">
      <c r="A4" s="33" t="inlineStr">
        <is>
          <t>FLW-003</t>
        </is>
      </c>
      <c r="B4" s="33" t="inlineStr">
        <is>
          <t>AppSidebar</t>
        </is>
      </c>
      <c r="C4" s="33" t="inlineStr">
        <is>
          <t>로그아웃 버튼</t>
        </is>
      </c>
      <c r="D4" s="34" t="inlineStr">
        <is>
          <t>click</t>
        </is>
      </c>
      <c r="E4" s="34" t="inlineStr">
        <is>
          <t>SCR-001 (로그인)</t>
        </is>
      </c>
      <c r="F4" s="34" t="inlineStr">
        <is>
          <t>page (redirect)</t>
        </is>
      </c>
      <c r="G4" s="34" t="inlineStr">
        <is>
          <t>없음</t>
        </is>
      </c>
      <c r="H4" s="34" t="inlineStr">
        <is>
          <t>N/A</t>
        </is>
      </c>
      <c r="I4" s="34" t="inlineStr">
        <is>
          <t>항상</t>
        </is>
      </c>
      <c r="J4" s="34" t="inlineStr">
        <is>
          <t>localStorage 정리</t>
        </is>
      </c>
    </row>
    <row r="5">
      <c r="A5" s="33" t="inlineStr">
        <is>
          <t>FLW-010</t>
        </is>
      </c>
      <c r="B5" s="33" t="inlineStr">
        <is>
          <t>SCR-002 (대시보드)</t>
        </is>
      </c>
      <c r="C5" s="33" t="inlineStr">
        <is>
          <t>총회원 통계카드</t>
        </is>
      </c>
      <c r="D5" s="34" t="inlineStr">
        <is>
          <t>click</t>
        </is>
      </c>
      <c r="E5" s="34" t="inlineStr">
        <is>
          <t>SCR-010 (회원목록)</t>
        </is>
      </c>
      <c r="F5" s="34" t="inlineStr">
        <is>
          <t>page</t>
        </is>
      </c>
      <c r="G5" s="34" t="inlineStr">
        <is>
          <t>없음</t>
        </is>
      </c>
      <c r="H5" s="34" t="inlineStr">
        <is>
          <t>대시보드로 복귀</t>
        </is>
      </c>
      <c r="I5" s="34" t="inlineStr">
        <is>
          <t>항상</t>
        </is>
      </c>
      <c r="J5" s="34" t="inlineStr"/>
    </row>
    <row r="6">
      <c r="A6" s="33" t="inlineStr">
        <is>
          <t>FLW-011</t>
        </is>
      </c>
      <c r="B6" s="33" t="inlineStr">
        <is>
          <t>SCR-002 (대시보드)</t>
        </is>
      </c>
      <c r="C6" s="33" t="inlineStr">
        <is>
          <t>출석 통계카드</t>
        </is>
      </c>
      <c r="D6" s="34" t="inlineStr">
        <is>
          <t>click</t>
        </is>
      </c>
      <c r="E6" s="34" t="inlineStr">
        <is>
          <t>SCR-020 (출석)</t>
        </is>
      </c>
      <c r="F6" s="34" t="inlineStr">
        <is>
          <t>page</t>
        </is>
      </c>
      <c r="G6" s="34" t="inlineStr">
        <is>
          <t>없음</t>
        </is>
      </c>
      <c r="H6" s="34" t="inlineStr">
        <is>
          <t>대시보드로 복귀</t>
        </is>
      </c>
      <c r="I6" s="34" t="inlineStr">
        <is>
          <t>항상</t>
        </is>
      </c>
      <c r="J6" s="34" t="inlineStr"/>
    </row>
    <row r="7">
      <c r="A7" s="33" t="inlineStr">
        <is>
          <t>FLW-012</t>
        </is>
      </c>
      <c r="B7" s="33" t="inlineStr">
        <is>
          <t>SCR-002 (대시보드)</t>
        </is>
      </c>
      <c r="C7" s="33" t="inlineStr">
        <is>
          <t>매출 통계카드</t>
        </is>
      </c>
      <c r="D7" s="34" t="inlineStr">
        <is>
          <t>click</t>
        </is>
      </c>
      <c r="E7" s="34" t="inlineStr">
        <is>
          <t>SCR-030 (매출)</t>
        </is>
      </c>
      <c r="F7" s="34" t="inlineStr">
        <is>
          <t>page</t>
        </is>
      </c>
      <c r="G7" s="34" t="inlineStr">
        <is>
          <t>없음</t>
        </is>
      </c>
      <c r="H7" s="34" t="inlineStr">
        <is>
          <t>대시보드로 복귀</t>
        </is>
      </c>
      <c r="I7" s="34" t="inlineStr">
        <is>
          <t>항상</t>
        </is>
      </c>
      <c r="J7" s="34" t="inlineStr"/>
    </row>
    <row r="8">
      <c r="A8" s="33" t="inlineStr">
        <is>
          <t>FLW-013</t>
        </is>
      </c>
      <c r="B8" s="33" t="inlineStr">
        <is>
          <t>SCR-002 (대시보드)</t>
        </is>
      </c>
      <c r="C8" s="33" t="inlineStr">
        <is>
          <t>회원등록 버튼</t>
        </is>
      </c>
      <c r="D8" s="34" t="inlineStr">
        <is>
          <t>click</t>
        </is>
      </c>
      <c r="E8" s="34" t="inlineStr">
        <is>
          <t>SCR-012 (회원등록)</t>
        </is>
      </c>
      <c r="F8" s="34" t="inlineStr">
        <is>
          <t>page</t>
        </is>
      </c>
      <c r="G8" s="34" t="inlineStr">
        <is>
          <t>없음</t>
        </is>
      </c>
      <c r="H8" s="34" t="inlineStr">
        <is>
          <t>대시보드로 복귀</t>
        </is>
      </c>
      <c r="I8" s="34" t="inlineStr">
        <is>
          <t>항상</t>
        </is>
      </c>
      <c r="J8" s="34" t="inlineStr"/>
    </row>
    <row r="9">
      <c r="A9" s="33" t="inlineStr">
        <is>
          <t>FLW-014</t>
        </is>
      </c>
      <c r="B9" s="33" t="inlineStr">
        <is>
          <t>SCR-002 (대시보드)</t>
        </is>
      </c>
      <c r="C9" s="33" t="inlineStr">
        <is>
          <t>생일자/만료임박 회원명</t>
        </is>
      </c>
      <c r="D9" s="34" t="inlineStr">
        <is>
          <t>click</t>
        </is>
      </c>
      <c r="E9" s="34" t="inlineStr">
        <is>
          <t>SCR-011 (회원상세)</t>
        </is>
      </c>
      <c r="F9" s="34" t="inlineStr">
        <is>
          <t>page</t>
        </is>
      </c>
      <c r="G9" s="34" t="inlineStr">
        <is>
          <t>memberId</t>
        </is>
      </c>
      <c r="H9" s="34" t="inlineStr">
        <is>
          <t>대시보드로 복귀</t>
        </is>
      </c>
      <c r="I9" s="34" t="inlineStr">
        <is>
          <t>항상</t>
        </is>
      </c>
      <c r="J9" s="34" t="inlineStr"/>
    </row>
    <row r="10">
      <c r="A10" s="33" t="inlineStr">
        <is>
          <t>FLW-015</t>
        </is>
      </c>
      <c r="B10" s="33" t="inlineStr">
        <is>
          <t>SCR-002 (대시보드)</t>
        </is>
      </c>
      <c r="C10" s="33" t="inlineStr">
        <is>
          <t>미수금 결제 버튼</t>
        </is>
      </c>
      <c r="D10" s="34" t="inlineStr">
        <is>
          <t>click</t>
        </is>
      </c>
      <c r="E10" s="34" t="inlineStr">
        <is>
          <t>SCR-031 (POS)</t>
        </is>
      </c>
      <c r="F10" s="34" t="inlineStr">
        <is>
          <t>page</t>
        </is>
      </c>
      <c r="G10" s="34" t="inlineStr">
        <is>
          <t>없음</t>
        </is>
      </c>
      <c r="H10" s="34" t="inlineStr">
        <is>
          <t>대시보드로 복귀</t>
        </is>
      </c>
      <c r="I10" s="34" t="inlineStr">
        <is>
          <t>항상</t>
        </is>
      </c>
      <c r="J10" s="34" t="inlineStr"/>
    </row>
    <row r="11">
      <c r="A11" s="33" t="inlineStr">
        <is>
          <t>FLW-020</t>
        </is>
      </c>
      <c r="B11" s="33" t="inlineStr">
        <is>
          <t>SCR-010 (회원목록)</t>
        </is>
      </c>
      <c r="C11" s="33" t="inlineStr">
        <is>
          <t>회원명 클릭</t>
        </is>
      </c>
      <c r="D11" s="34" t="inlineStr">
        <is>
          <t>click</t>
        </is>
      </c>
      <c r="E11" s="34" t="inlineStr">
        <is>
          <t>SCR-011 (회원상세)</t>
        </is>
      </c>
      <c r="F11" s="34" t="inlineStr">
        <is>
          <t>page</t>
        </is>
      </c>
      <c r="G11" s="34" t="inlineStr">
        <is>
          <t>memberId</t>
        </is>
      </c>
      <c r="H11" s="34" t="inlineStr">
        <is>
          <t>회원목록으로 복귀, 스크롤위치 유지</t>
        </is>
      </c>
      <c r="I11" s="34" t="inlineStr">
        <is>
          <t>항상</t>
        </is>
      </c>
      <c r="J11" s="34" t="inlineStr"/>
    </row>
    <row r="12">
      <c r="A12" s="33" t="inlineStr">
        <is>
          <t>FLW-021</t>
        </is>
      </c>
      <c r="B12" s="33" t="inlineStr">
        <is>
          <t>SCR-010 (회원목록)</t>
        </is>
      </c>
      <c r="C12" s="33" t="inlineStr">
        <is>
          <t>회원추가 버튼</t>
        </is>
      </c>
      <c r="D12" s="34" t="inlineStr">
        <is>
          <t>click</t>
        </is>
      </c>
      <c r="E12" s="34" t="inlineStr">
        <is>
          <t>SCR-012 (회원등록)</t>
        </is>
      </c>
      <c r="F12" s="34" t="inlineStr">
        <is>
          <t>page</t>
        </is>
      </c>
      <c r="G12" s="34" t="inlineStr">
        <is>
          <t>없음</t>
        </is>
      </c>
      <c r="H12" s="34" t="inlineStr">
        <is>
          <t>회원목록으로 복귀</t>
        </is>
      </c>
      <c r="I12" s="34" t="inlineStr">
        <is>
          <t>항상</t>
        </is>
      </c>
      <c r="J12" s="34" t="inlineStr"/>
    </row>
    <row r="13">
      <c r="A13" s="33" t="inlineStr">
        <is>
          <t>FLW-022</t>
        </is>
      </c>
      <c r="B13" s="33" t="inlineStr">
        <is>
          <t>SCR-011 (회원상세)</t>
        </is>
      </c>
      <c r="C13" s="33" t="inlineStr">
        <is>
          <t>수정 버튼</t>
        </is>
      </c>
      <c r="D13" s="34" t="inlineStr">
        <is>
          <t>click</t>
        </is>
      </c>
      <c r="E13" s="34" t="inlineStr">
        <is>
          <t>SCR-013 (회원수정)</t>
        </is>
      </c>
      <c r="F13" s="34" t="inlineStr">
        <is>
          <t>page</t>
        </is>
      </c>
      <c r="G13" s="34" t="inlineStr">
        <is>
          <t>memberId</t>
        </is>
      </c>
      <c r="H13" s="34" t="inlineStr">
        <is>
          <t>회원상세로 복귀</t>
        </is>
      </c>
      <c r="I13" s="34" t="inlineStr">
        <is>
          <t>항상</t>
        </is>
      </c>
      <c r="J13" s="34" t="inlineStr"/>
    </row>
    <row r="14">
      <c r="A14" s="33" t="inlineStr">
        <is>
          <t>FLW-023</t>
        </is>
      </c>
      <c r="B14" s="33" t="inlineStr">
        <is>
          <t>SCR-011 (회원상세)</t>
        </is>
      </c>
      <c r="C14" s="33" t="inlineStr">
        <is>
          <t>삭제 버튼</t>
        </is>
      </c>
      <c r="D14" s="34" t="inlineStr">
        <is>
          <t>click</t>
        </is>
      </c>
      <c r="E14" s="34" t="inlineStr">
        <is>
          <t>-</t>
        </is>
      </c>
      <c r="F14" s="34" t="inlineStr">
        <is>
          <t>confirm-modal</t>
        </is>
      </c>
      <c r="G14" s="34" t="inlineStr">
        <is>
          <t>없음</t>
        </is>
      </c>
      <c r="H14" s="34" t="inlineStr">
        <is>
          <t>N/A</t>
        </is>
      </c>
      <c r="I14" s="34" t="inlineStr">
        <is>
          <t>'정말 삭제하시겠습니까?' 확인/취소</t>
        </is>
      </c>
      <c r="J14" s="34" t="inlineStr">
        <is>
          <t>소프트 삭제</t>
        </is>
      </c>
    </row>
    <row r="15">
      <c r="A15" s="33" t="inlineStr">
        <is>
          <t>FLW-024</t>
        </is>
      </c>
      <c r="B15" s="33" t="inlineStr">
        <is>
          <t>SCR-011 (회원상세)</t>
        </is>
      </c>
      <c r="C15" s="33" t="inlineStr">
        <is>
          <t>체성분 탭</t>
        </is>
      </c>
      <c r="D15" s="34" t="inlineStr">
        <is>
          <t>click</t>
        </is>
      </c>
      <c r="E15" s="34" t="inlineStr">
        <is>
          <t>SCR-014 (체성분)</t>
        </is>
      </c>
      <c r="F15" s="34" t="inlineStr">
        <is>
          <t>page</t>
        </is>
      </c>
      <c r="G15" s="34" t="inlineStr">
        <is>
          <t>memberId</t>
        </is>
      </c>
      <c r="H15" s="34" t="inlineStr">
        <is>
          <t>회원상세로 복귀</t>
        </is>
      </c>
      <c r="I15" s="34" t="inlineStr">
        <is>
          <t>항상</t>
        </is>
      </c>
      <c r="J15" s="34" t="inlineStr"/>
    </row>
    <row r="16">
      <c r="A16" s="33" t="inlineStr">
        <is>
          <t>FLW-025</t>
        </is>
      </c>
      <c r="B16" s="33" t="inlineStr">
        <is>
          <t>SCR-012 (회원등록)</t>
        </is>
      </c>
      <c r="C16" s="33" t="inlineStr">
        <is>
          <t>저장 완료</t>
        </is>
      </c>
      <c r="D16" s="34" t="inlineStr">
        <is>
          <t>submit</t>
        </is>
      </c>
      <c r="E16" s="34" t="inlineStr">
        <is>
          <t>SCR-011 (회원상세)</t>
        </is>
      </c>
      <c r="F16" s="34" t="inlineStr">
        <is>
          <t>page (redirect)</t>
        </is>
      </c>
      <c r="G16" s="34" t="inlineStr">
        <is>
          <t>새 memberId</t>
        </is>
      </c>
      <c r="H16" s="34" t="inlineStr">
        <is>
          <t>N/A (자동이동)</t>
        </is>
      </c>
      <c r="I16" s="34" t="inlineStr">
        <is>
          <t>검증 통과 시</t>
        </is>
      </c>
      <c r="J16" s="34" t="inlineStr"/>
    </row>
    <row r="17">
      <c r="A17" s="33" t="inlineStr">
        <is>
          <t>FLW-026</t>
        </is>
      </c>
      <c r="B17" s="33" t="inlineStr">
        <is>
          <t>SCR-012 (회원등록)</t>
        </is>
      </c>
      <c r="C17" s="33" t="inlineStr">
        <is>
          <t>취소 버튼</t>
        </is>
      </c>
      <c r="D17" s="34" t="inlineStr">
        <is>
          <t>click</t>
        </is>
      </c>
      <c r="E17" s="34" t="inlineStr">
        <is>
          <t>-</t>
        </is>
      </c>
      <c r="F17" s="34" t="inlineStr">
        <is>
          <t>confirm-modal</t>
        </is>
      </c>
      <c r="G17" s="34" t="inlineStr">
        <is>
          <t>없음</t>
        </is>
      </c>
      <c r="H17" s="34" t="inlineStr">
        <is>
          <t>N/A</t>
        </is>
      </c>
      <c r="I17" s="34" t="inlineStr">
        <is>
          <t>변경사항 있으면 확인 모달</t>
        </is>
      </c>
      <c r="J17" s="34" t="inlineStr"/>
    </row>
    <row r="18">
      <c r="A18" s="33" t="inlineStr">
        <is>
          <t>FLW-027</t>
        </is>
      </c>
      <c r="B18" s="33" t="inlineStr">
        <is>
          <t>SCR-014 (체성분)</t>
        </is>
      </c>
      <c r="C18" s="33" t="inlineStr">
        <is>
          <t>뒤로가기 버튼</t>
        </is>
      </c>
      <c r="D18" s="34" t="inlineStr">
        <is>
          <t>click</t>
        </is>
      </c>
      <c r="E18" s="34" t="inlineStr">
        <is>
          <t>SCR-011 (회원상세)</t>
        </is>
      </c>
      <c r="F18" s="34" t="inlineStr">
        <is>
          <t>page</t>
        </is>
      </c>
      <c r="G18" s="34" t="inlineStr">
        <is>
          <t>memberId</t>
        </is>
      </c>
      <c r="H18" s="34" t="inlineStr">
        <is>
          <t>회원상세로 복귀</t>
        </is>
      </c>
      <c r="I18" s="34" t="inlineStr">
        <is>
          <t>항상</t>
        </is>
      </c>
      <c r="J18" s="34" t="inlineStr"/>
    </row>
    <row r="19">
      <c r="A19" s="33" t="inlineStr">
        <is>
          <t>FLW-028</t>
        </is>
      </c>
      <c r="B19" s="33" t="inlineStr">
        <is>
          <t>SCR-014 (체성분)</t>
        </is>
      </c>
      <c r="C19" s="33" t="inlineStr">
        <is>
          <t>새 측정 추가</t>
        </is>
      </c>
      <c r="D19" s="34" t="inlineStr">
        <is>
          <t>click</t>
        </is>
      </c>
      <c r="E19" s="34" t="inlineStr">
        <is>
          <t>-</t>
        </is>
      </c>
      <c r="F19" s="34" t="inlineStr">
        <is>
          <t>modal</t>
        </is>
      </c>
      <c r="G19" s="34" t="inlineStr">
        <is>
          <t>없음</t>
        </is>
      </c>
      <c r="H19" s="34" t="inlineStr">
        <is>
          <t>모달 닫기</t>
        </is>
      </c>
      <c r="I19" s="34" t="inlineStr">
        <is>
          <t>항상</t>
        </is>
      </c>
      <c r="J19" s="34" t="inlineStr">
        <is>
          <t>날짜/체중/골격근/체지방 입력 모달</t>
        </is>
      </c>
    </row>
    <row r="20">
      <c r="A20" s="33" t="inlineStr">
        <is>
          <t>FLW-029</t>
        </is>
      </c>
      <c r="B20" s="33" t="inlineStr">
        <is>
          <t>SCR-014 (체성분)</t>
        </is>
      </c>
      <c r="C20" s="33" t="inlineStr">
        <is>
          <t>같은날짜 측정 존재</t>
        </is>
      </c>
      <c r="D20" s="34" t="inlineStr">
        <is>
          <t>submit</t>
        </is>
      </c>
      <c r="E20" s="34" t="inlineStr">
        <is>
          <t>-</t>
        </is>
      </c>
      <c r="F20" s="34" t="inlineStr">
        <is>
          <t>confirm-modal</t>
        </is>
      </c>
      <c r="G20" s="34" t="inlineStr">
        <is>
          <t>없음</t>
        </is>
      </c>
      <c r="H20" s="34" t="inlineStr">
        <is>
          <t>N/A</t>
        </is>
      </c>
      <c r="I20" s="34" t="inlineStr">
        <is>
          <t>동일 날짜 데이터 있을 때</t>
        </is>
      </c>
      <c r="J20" s="34" t="inlineStr">
        <is>
          <t>덮어쓰기 확인</t>
        </is>
      </c>
    </row>
    <row r="21">
      <c r="A21" s="33" t="inlineStr">
        <is>
          <t>FLW-030</t>
        </is>
      </c>
      <c r="B21" s="33" t="inlineStr">
        <is>
          <t>SCR-030 (매출)</t>
        </is>
      </c>
      <c r="C21" s="33" t="inlineStr">
        <is>
          <t>신규결제(POS) 버튼</t>
        </is>
      </c>
      <c r="D21" s="34" t="inlineStr">
        <is>
          <t>click</t>
        </is>
      </c>
      <c r="E21" s="34" t="inlineStr">
        <is>
          <t>SCR-031 (POS)</t>
        </is>
      </c>
      <c r="F21" s="34" t="inlineStr">
        <is>
          <t>page</t>
        </is>
      </c>
      <c r="G21" s="34" t="inlineStr">
        <is>
          <t>없음</t>
        </is>
      </c>
      <c r="H21" s="34" t="inlineStr">
        <is>
          <t>매출로 복귀</t>
        </is>
      </c>
      <c r="I21" s="34" t="inlineStr">
        <is>
          <t>항상</t>
        </is>
      </c>
      <c r="J21" s="34" t="inlineStr"/>
    </row>
    <row r="22">
      <c r="A22" s="33" t="inlineStr">
        <is>
          <t>FLW-031</t>
        </is>
      </c>
      <c r="B22" s="33" t="inlineStr">
        <is>
          <t>SCR-030 (매출)</t>
        </is>
      </c>
      <c r="C22" s="33" t="inlineStr">
        <is>
          <t>상품명 클릭</t>
        </is>
      </c>
      <c r="D22" s="34" t="inlineStr">
        <is>
          <t>click</t>
        </is>
      </c>
      <c r="E22" s="34" t="inlineStr">
        <is>
          <t>SCR-031 (POS)</t>
        </is>
      </c>
      <c r="F22" s="34" t="inlineStr">
        <is>
          <t>page</t>
        </is>
      </c>
      <c r="G22" s="34" t="inlineStr">
        <is>
          <t>없음</t>
        </is>
      </c>
      <c r="H22" s="34" t="inlineStr">
        <is>
          <t>매출로 복귀</t>
        </is>
      </c>
      <c r="I22" s="34" t="inlineStr">
        <is>
          <t>항상</t>
        </is>
      </c>
      <c r="J22" s="34" t="inlineStr"/>
    </row>
    <row r="23">
      <c r="A23" s="33" t="inlineStr">
        <is>
          <t>FLW-032</t>
        </is>
      </c>
      <c r="B23" s="33" t="inlineStr">
        <is>
          <t>SCR-030 (매출)</t>
        </is>
      </c>
      <c r="C23" s="33" t="inlineStr">
        <is>
          <t>구매자명 클릭</t>
        </is>
      </c>
      <c r="D23" s="34" t="inlineStr">
        <is>
          <t>click</t>
        </is>
      </c>
      <c r="E23" s="34" t="inlineStr">
        <is>
          <t>SCR-011 (회원상세)</t>
        </is>
      </c>
      <c r="F23" s="34" t="inlineStr">
        <is>
          <t>page</t>
        </is>
      </c>
      <c r="G23" s="34" t="inlineStr">
        <is>
          <t>memberId</t>
        </is>
      </c>
      <c r="H23" s="34" t="inlineStr">
        <is>
          <t>매출로 복귀</t>
        </is>
      </c>
      <c r="I23" s="34" t="inlineStr">
        <is>
          <t>항상</t>
        </is>
      </c>
      <c r="J23" s="34" t="inlineStr"/>
    </row>
    <row r="24">
      <c r="A24" s="33" t="inlineStr">
        <is>
          <t>FLW-033</t>
        </is>
      </c>
      <c r="B24" s="33" t="inlineStr">
        <is>
          <t>SCR-031 (POS)</t>
        </is>
      </c>
      <c r="C24" s="33" t="inlineStr">
        <is>
          <t>결제하기 버튼</t>
        </is>
      </c>
      <c r="D24" s="34" t="inlineStr">
        <is>
          <t>click</t>
        </is>
      </c>
      <c r="E24" s="34" t="inlineStr">
        <is>
          <t>SCR-032 (POS결제)</t>
        </is>
      </c>
      <c r="F24" s="34" t="inlineStr">
        <is>
          <t>page</t>
        </is>
      </c>
      <c r="G24" s="34" t="inlineStr">
        <is>
          <t>장바구니 데이터</t>
        </is>
      </c>
      <c r="H24" s="34" t="inlineStr">
        <is>
          <t>POS로 복귀</t>
        </is>
      </c>
      <c r="I24" s="34" t="inlineStr">
        <is>
          <t>장바구니 1개 이상</t>
        </is>
      </c>
      <c r="J24" s="34" t="inlineStr"/>
    </row>
    <row r="25">
      <c r="A25" s="33" t="inlineStr">
        <is>
          <t>FLW-034</t>
        </is>
      </c>
      <c r="B25" s="33" t="inlineStr">
        <is>
          <t>SCR-031 (POS)</t>
        </is>
      </c>
      <c r="C25" s="33" t="inlineStr">
        <is>
          <t>상품등록 버튼</t>
        </is>
      </c>
      <c r="D25" s="34" t="inlineStr">
        <is>
          <t>click</t>
        </is>
      </c>
      <c r="E25" s="34" t="inlineStr">
        <is>
          <t>SCR-041 (상품등록)</t>
        </is>
      </c>
      <c r="F25" s="34" t="inlineStr">
        <is>
          <t>page</t>
        </is>
      </c>
      <c r="G25" s="34" t="inlineStr">
        <is>
          <t>없음</t>
        </is>
      </c>
      <c r="H25" s="34" t="inlineStr">
        <is>
          <t>POS로 복귀</t>
        </is>
      </c>
      <c r="I25" s="34" t="inlineStr">
        <is>
          <t>항상</t>
        </is>
      </c>
      <c r="J25" s="34" t="inlineStr"/>
    </row>
    <row r="26">
      <c r="A26" s="33" t="inlineStr">
        <is>
          <t>FLW-035</t>
        </is>
      </c>
      <c r="B26" s="33" t="inlineStr">
        <is>
          <t>SCR-032 (POS결제)</t>
        </is>
      </c>
      <c r="C26" s="33" t="inlineStr">
        <is>
          <t>결제확인</t>
        </is>
      </c>
      <c r="D26" s="34" t="inlineStr">
        <is>
          <t>click</t>
        </is>
      </c>
      <c r="E26" s="34" t="inlineStr">
        <is>
          <t>-</t>
        </is>
      </c>
      <c r="F26" s="34" t="inlineStr">
        <is>
          <t>confirm-modal</t>
        </is>
      </c>
      <c r="G26" s="34" t="inlineStr">
        <is>
          <t>없음</t>
        </is>
      </c>
      <c r="H26" s="34" t="inlineStr">
        <is>
          <t>N/A</t>
        </is>
      </c>
      <c r="I26" s="34" t="inlineStr">
        <is>
          <t>금액 확인</t>
        </is>
      </c>
      <c r="J26" s="34" t="inlineStr">
        <is>
          <t>주문요약 표시</t>
        </is>
      </c>
    </row>
    <row r="27">
      <c r="A27" s="33" t="inlineStr">
        <is>
          <t>FLW-036</t>
        </is>
      </c>
      <c r="B27" s="33" t="inlineStr">
        <is>
          <t>SCR-032 (POS결제)</t>
        </is>
      </c>
      <c r="C27" s="33" t="inlineStr">
        <is>
          <t>결제완료</t>
        </is>
      </c>
      <c r="D27" s="34" t="inlineStr">
        <is>
          <t>auto</t>
        </is>
      </c>
      <c r="E27" s="34" t="inlineStr">
        <is>
          <t>결제완료 화면</t>
        </is>
      </c>
      <c r="F27" s="34" t="inlineStr">
        <is>
          <t>page-replace</t>
        </is>
      </c>
      <c r="G27" s="34" t="inlineStr">
        <is>
          <t>결제결과</t>
        </is>
      </c>
      <c r="H27" s="34" t="inlineStr">
        <is>
          <t>N/A (완료 화면)</t>
        </is>
      </c>
      <c r="I27" s="34" t="inlineStr">
        <is>
          <t>결제 성공 시</t>
        </is>
      </c>
      <c r="J27" s="34" t="inlineStr">
        <is>
          <t>전체 페이지 교체</t>
        </is>
      </c>
    </row>
    <row r="28">
      <c r="A28" s="33" t="inlineStr">
        <is>
          <t>FLW-037</t>
        </is>
      </c>
      <c r="B28" s="33" t="inlineStr">
        <is>
          <t>SCR-032 (POS결제)</t>
        </is>
      </c>
      <c r="C28" s="33" t="inlineStr">
        <is>
          <t>계속판매 버튼</t>
        </is>
      </c>
      <c r="D28" s="34" t="inlineStr">
        <is>
          <t>click</t>
        </is>
      </c>
      <c r="E28" s="34" t="inlineStr">
        <is>
          <t>SCR-031 (POS)</t>
        </is>
      </c>
      <c r="F28" s="34" t="inlineStr">
        <is>
          <t>page</t>
        </is>
      </c>
      <c r="G28" s="34" t="inlineStr">
        <is>
          <t>없음</t>
        </is>
      </c>
      <c r="H28" s="34" t="inlineStr">
        <is>
          <t>N/A</t>
        </is>
      </c>
      <c r="I28" s="34" t="inlineStr">
        <is>
          <t>결제완료 화면에서</t>
        </is>
      </c>
      <c r="J28" s="34" t="inlineStr">
        <is>
          <t>상태 초기화</t>
        </is>
      </c>
    </row>
    <row r="29">
      <c r="A29" s="33" t="inlineStr">
        <is>
          <t>FLW-040</t>
        </is>
      </c>
      <c r="B29" s="33" t="inlineStr">
        <is>
          <t>SCR-040 (상품목록)</t>
        </is>
      </c>
      <c r="C29" s="33" t="inlineStr">
        <is>
          <t>상품등록 버튼</t>
        </is>
      </c>
      <c r="D29" s="34" t="inlineStr">
        <is>
          <t>click</t>
        </is>
      </c>
      <c r="E29" s="34" t="inlineStr">
        <is>
          <t>SCR-041 (상품등록)</t>
        </is>
      </c>
      <c r="F29" s="34" t="inlineStr">
        <is>
          <t>page</t>
        </is>
      </c>
      <c r="G29" s="34" t="inlineStr">
        <is>
          <t>없음</t>
        </is>
      </c>
      <c r="H29" s="34" t="inlineStr">
        <is>
          <t>상품목록으로 복귀</t>
        </is>
      </c>
      <c r="I29" s="34" t="inlineStr">
        <is>
          <t>항상</t>
        </is>
      </c>
      <c r="J29" s="34" t="inlineStr"/>
    </row>
    <row r="30">
      <c r="A30" s="33" t="inlineStr">
        <is>
          <t>FLW-041</t>
        </is>
      </c>
      <c r="B30" s="33" t="inlineStr">
        <is>
          <t>SCR-040 (상품목록)</t>
        </is>
      </c>
      <c r="C30" s="33" t="inlineStr">
        <is>
          <t>수정 버튼</t>
        </is>
      </c>
      <c r="D30" s="34" t="inlineStr">
        <is>
          <t>click</t>
        </is>
      </c>
      <c r="E30" s="34" t="inlineStr">
        <is>
          <t>SCR-041 (상품등록)</t>
        </is>
      </c>
      <c r="F30" s="34" t="inlineStr">
        <is>
          <t>page</t>
        </is>
      </c>
      <c r="G30" s="34" t="inlineStr">
        <is>
          <t>productId</t>
        </is>
      </c>
      <c r="H30" s="34" t="inlineStr">
        <is>
          <t>상품목록으로 복귀</t>
        </is>
      </c>
      <c r="I30" s="34" t="inlineStr">
        <is>
          <t>항상</t>
        </is>
      </c>
      <c r="J30" s="34" t="inlineStr">
        <is>
          <t>수정 모드</t>
        </is>
      </c>
    </row>
    <row r="31">
      <c r="A31" s="33" t="inlineStr">
        <is>
          <t>FLW-042</t>
        </is>
      </c>
      <c r="B31" s="33" t="inlineStr">
        <is>
          <t>SCR-040 (상품목록)</t>
        </is>
      </c>
      <c r="C31" s="33" t="inlineStr">
        <is>
          <t>삭제 버튼</t>
        </is>
      </c>
      <c r="D31" s="34" t="inlineStr">
        <is>
          <t>click</t>
        </is>
      </c>
      <c r="E31" s="34" t="inlineStr">
        <is>
          <t>-</t>
        </is>
      </c>
      <c r="F31" s="34" t="inlineStr">
        <is>
          <t>confirm-modal</t>
        </is>
      </c>
      <c r="G31" s="34" t="inlineStr">
        <is>
          <t>없음</t>
        </is>
      </c>
      <c r="H31" s="34" t="inlineStr">
        <is>
          <t>N/A</t>
        </is>
      </c>
      <c r="I31" s="34" t="inlineStr">
        <is>
          <t>'상품을 삭제하시겠습니까?' danger</t>
        </is>
      </c>
      <c r="J31" s="34" t="inlineStr"/>
    </row>
    <row r="32">
      <c r="A32" s="33" t="inlineStr">
        <is>
          <t>FLW-043</t>
        </is>
      </c>
      <c r="B32" s="33" t="inlineStr">
        <is>
          <t>SCR-041 (상품등록)</t>
        </is>
      </c>
      <c r="C32" s="33" t="inlineStr">
        <is>
          <t>저장 완료</t>
        </is>
      </c>
      <c r="D32" s="34" t="inlineStr">
        <is>
          <t>submit</t>
        </is>
      </c>
      <c r="E32" s="34" t="inlineStr">
        <is>
          <t>SCR-040 (상품목록)</t>
        </is>
      </c>
      <c r="F32" s="34" t="inlineStr">
        <is>
          <t>page (redirect)</t>
        </is>
      </c>
      <c r="G32" s="34" t="inlineStr">
        <is>
          <t>없음</t>
        </is>
      </c>
      <c r="H32" s="34" t="inlineStr">
        <is>
          <t>N/A</t>
        </is>
      </c>
      <c r="I32" s="34" t="inlineStr">
        <is>
          <t>검증 통과 시</t>
        </is>
      </c>
      <c r="J32" s="34" t="inlineStr"/>
    </row>
    <row r="33">
      <c r="A33" s="33" t="inlineStr">
        <is>
          <t>FLW-050</t>
        </is>
      </c>
      <c r="B33" s="33" t="inlineStr">
        <is>
          <t>SCR-050 (락커)</t>
        </is>
      </c>
      <c r="C33" s="33" t="inlineStr">
        <is>
          <t>락커셀 클릭</t>
        </is>
      </c>
      <c r="D33" s="34" t="inlineStr">
        <is>
          <t>click</t>
        </is>
      </c>
      <c r="E33" s="34" t="inlineStr">
        <is>
          <t>-</t>
        </is>
      </c>
      <c r="F33" s="34" t="inlineStr">
        <is>
          <t>modal</t>
        </is>
      </c>
      <c r="G33" s="34" t="inlineStr">
        <is>
          <t>lockerId</t>
        </is>
      </c>
      <c r="H33" s="34" t="inlineStr">
        <is>
          <t>모달 닫기</t>
        </is>
      </c>
      <c r="I33" s="34" t="inlineStr">
        <is>
          <t>항상</t>
        </is>
      </c>
      <c r="J33" s="34" t="inlineStr">
        <is>
          <t>락커상세 모달</t>
        </is>
      </c>
    </row>
    <row r="34">
      <c r="A34" s="33" t="inlineStr">
        <is>
          <t>FLW-051</t>
        </is>
      </c>
      <c r="B34" s="33" t="inlineStr">
        <is>
          <t>SCR-050 (락커)</t>
        </is>
      </c>
      <c r="C34" s="33" t="inlineStr">
        <is>
          <t>모달 회원명</t>
        </is>
      </c>
      <c r="D34" s="34" t="inlineStr">
        <is>
          <t>click</t>
        </is>
      </c>
      <c r="E34" s="34" t="inlineStr">
        <is>
          <t>SCR-011 (회원상세)</t>
        </is>
      </c>
      <c r="F34" s="34" t="inlineStr">
        <is>
          <t>page</t>
        </is>
      </c>
      <c r="G34" s="34" t="inlineStr">
        <is>
          <t>memberId</t>
        </is>
      </c>
      <c r="H34" s="34" t="inlineStr">
        <is>
          <t>락커로 복귀</t>
        </is>
      </c>
      <c r="I34" s="34" t="inlineStr">
        <is>
          <t>배정된 회원 있을 때</t>
        </is>
      </c>
      <c r="J34" s="34" t="inlineStr"/>
    </row>
    <row r="35">
      <c r="A35" s="33" t="inlineStr">
        <is>
          <t>FLW-052</t>
        </is>
      </c>
      <c r="B35" s="33" t="inlineStr">
        <is>
          <t>SCR-050 (락커)</t>
        </is>
      </c>
      <c r="C35" s="33" t="inlineStr">
        <is>
          <t>배정해제 버튼</t>
        </is>
      </c>
      <c r="D35" s="34" t="inlineStr">
        <is>
          <t>click</t>
        </is>
      </c>
      <c r="E35" s="34" t="inlineStr">
        <is>
          <t>-</t>
        </is>
      </c>
      <c r="F35" s="34" t="inlineStr">
        <is>
          <t>confirm-modal</t>
        </is>
      </c>
      <c r="G35" s="34" t="inlineStr">
        <is>
          <t>없음</t>
        </is>
      </c>
      <c r="H35" s="34" t="inlineStr">
        <is>
          <t>N/A</t>
        </is>
      </c>
      <c r="I35" s="34" t="inlineStr">
        <is>
          <t>'배정을 해제하시겠습니까?' danger</t>
        </is>
      </c>
      <c r="J35" s="34" t="inlineStr"/>
    </row>
    <row r="36">
      <c r="A36" s="33" t="inlineStr">
        <is>
          <t>FLW-060</t>
        </is>
      </c>
      <c r="B36" s="33" t="inlineStr">
        <is>
          <t>SCR-060 (직원목록)</t>
        </is>
      </c>
      <c r="C36" s="33" t="inlineStr">
        <is>
          <t>직원등록 버튼</t>
        </is>
      </c>
      <c r="D36" s="34" t="inlineStr">
        <is>
          <t>click</t>
        </is>
      </c>
      <c r="E36" s="34" t="inlineStr">
        <is>
          <t>SCR-061 (직원등록)</t>
        </is>
      </c>
      <c r="F36" s="34" t="inlineStr">
        <is>
          <t>page</t>
        </is>
      </c>
      <c r="G36" s="34" t="inlineStr">
        <is>
          <t>없음</t>
        </is>
      </c>
      <c r="H36" s="34" t="inlineStr">
        <is>
          <t>직원목록으로 복귀</t>
        </is>
      </c>
      <c r="I36" s="34" t="inlineStr">
        <is>
          <t>항상</t>
        </is>
      </c>
      <c r="J36" s="34" t="inlineStr"/>
    </row>
    <row r="37">
      <c r="A37" s="33" t="inlineStr">
        <is>
          <t>FLW-061</t>
        </is>
      </c>
      <c r="B37" s="33" t="inlineStr">
        <is>
          <t>SCR-060 (직원목록)</t>
        </is>
      </c>
      <c r="C37" s="33" t="inlineStr">
        <is>
          <t>직원명 클릭</t>
        </is>
      </c>
      <c r="D37" s="34" t="inlineStr">
        <is>
          <t>click</t>
        </is>
      </c>
      <c r="E37" s="34" t="inlineStr">
        <is>
          <t>SCR-061 (직원등록)</t>
        </is>
      </c>
      <c r="F37" s="34" t="inlineStr">
        <is>
          <t>page</t>
        </is>
      </c>
      <c r="G37" s="34" t="inlineStr">
        <is>
          <t>staffId</t>
        </is>
      </c>
      <c r="H37" s="34" t="inlineStr">
        <is>
          <t>직원목록으로 복귀</t>
        </is>
      </c>
      <c r="I37" s="34" t="inlineStr">
        <is>
          <t>항상</t>
        </is>
      </c>
      <c r="J37" s="34" t="inlineStr">
        <is>
          <t>수정 모드</t>
        </is>
      </c>
    </row>
    <row r="38">
      <c r="A38" s="33" t="inlineStr">
        <is>
          <t>FLW-062</t>
        </is>
      </c>
      <c r="B38" s="33" t="inlineStr">
        <is>
          <t>SCR-070 (급여)</t>
        </is>
      </c>
      <c r="C38" s="33" t="inlineStr">
        <is>
          <t>직원명 클릭</t>
        </is>
      </c>
      <c r="D38" s="34" t="inlineStr">
        <is>
          <t>click</t>
        </is>
      </c>
      <c r="E38" s="34" t="inlineStr">
        <is>
          <t>SCR-071 (급여명세서)</t>
        </is>
      </c>
      <c r="F38" s="34" t="inlineStr">
        <is>
          <t>page</t>
        </is>
      </c>
      <c r="G38" s="34" t="inlineStr">
        <is>
          <t>staffId</t>
        </is>
      </c>
      <c r="H38" s="34" t="inlineStr">
        <is>
          <t>급여로 복귀</t>
        </is>
      </c>
      <c r="I38" s="34" t="inlineStr">
        <is>
          <t>항상</t>
        </is>
      </c>
      <c r="J38" s="34" t="inlineStr"/>
    </row>
    <row r="39">
      <c r="A39" s="33" t="inlineStr">
        <is>
          <t>FLW-063</t>
        </is>
      </c>
      <c r="B39" s="33" t="inlineStr">
        <is>
          <t>SCR-070 (급여)</t>
        </is>
      </c>
      <c r="C39" s="33" t="inlineStr">
        <is>
          <t>명세서 바로가기</t>
        </is>
      </c>
      <c r="D39" s="34" t="inlineStr">
        <is>
          <t>click</t>
        </is>
      </c>
      <c r="E39" s="34" t="inlineStr">
        <is>
          <t>SCR-071 (급여명세서)</t>
        </is>
      </c>
      <c r="F39" s="34" t="inlineStr">
        <is>
          <t>page</t>
        </is>
      </c>
      <c r="G39" s="34" t="inlineStr">
        <is>
          <t>없음</t>
        </is>
      </c>
      <c r="H39" s="34" t="inlineStr">
        <is>
          <t>급여로 복귀</t>
        </is>
      </c>
      <c r="I39" s="34" t="inlineStr">
        <is>
          <t>항상</t>
        </is>
      </c>
      <c r="J39" s="34" t="inlineStr"/>
    </row>
    <row r="40">
      <c r="A40" s="33" t="inlineStr">
        <is>
          <t>FLW-070</t>
        </is>
      </c>
      <c r="B40" s="33" t="inlineStr">
        <is>
          <t>SCR-080 (메시지)</t>
        </is>
      </c>
      <c r="C40" s="33" t="inlineStr">
        <is>
          <t>대상검색 버튼</t>
        </is>
      </c>
      <c r="D40" s="34" t="inlineStr">
        <is>
          <t>click</t>
        </is>
      </c>
      <c r="E40" s="34" t="inlineStr">
        <is>
          <t>-</t>
        </is>
      </c>
      <c r="F40" s="34" t="inlineStr">
        <is>
          <t>modal</t>
        </is>
      </c>
      <c r="G40" s="34" t="inlineStr">
        <is>
          <t>없음</t>
        </is>
      </c>
      <c r="H40" s="34" t="inlineStr">
        <is>
          <t>모달 닫기</t>
        </is>
      </c>
      <c r="I40" s="34" t="inlineStr">
        <is>
          <t>항상</t>
        </is>
      </c>
      <c r="J40" s="34" t="inlineStr">
        <is>
          <t>회원검색 체크리스트</t>
        </is>
      </c>
    </row>
    <row r="41">
      <c r="A41" s="33" t="inlineStr">
        <is>
          <t>FLW-071</t>
        </is>
      </c>
      <c r="B41" s="33" t="inlineStr">
        <is>
          <t>SCR-080 (메시지)</t>
        </is>
      </c>
      <c r="C41" s="33" t="inlineStr">
        <is>
          <t>발송 버튼</t>
        </is>
      </c>
      <c r="D41" s="34" t="inlineStr">
        <is>
          <t>click</t>
        </is>
      </c>
      <c r="E41" s="34" t="inlineStr">
        <is>
          <t>-</t>
        </is>
      </c>
      <c r="F41" s="34" t="inlineStr">
        <is>
          <t>modal (preview)</t>
        </is>
      </c>
      <c r="G41" s="34" t="inlineStr">
        <is>
          <t>없음</t>
        </is>
      </c>
      <c r="H41" s="34" t="inlineStr">
        <is>
          <t>모달 닫기</t>
        </is>
      </c>
      <c r="I41" s="34" t="inlineStr">
        <is>
          <t>수신자+내용 입력 완료 시</t>
        </is>
      </c>
      <c r="J41" s="34" t="inlineStr">
        <is>
          <t>미리보기 후 발송</t>
        </is>
      </c>
    </row>
    <row r="42">
      <c r="A42" s="33" t="inlineStr">
        <is>
          <t>FLW-080</t>
        </is>
      </c>
      <c r="B42" s="33" t="inlineStr">
        <is>
          <t>SCR-090 (전자계약)</t>
        </is>
      </c>
      <c r="C42" s="33" t="inlineStr">
        <is>
          <t>다음 버튼</t>
        </is>
      </c>
      <c r="D42" s="34" t="inlineStr">
        <is>
          <t>click</t>
        </is>
      </c>
      <c r="E42" s="34" t="inlineStr">
        <is>
          <t>다음 Step</t>
        </is>
      </c>
      <c r="F42" s="34" t="inlineStr">
        <is>
          <t>step-transition</t>
        </is>
      </c>
      <c r="G42" s="34" t="inlineStr">
        <is>
          <t>누적 데이터</t>
        </is>
      </c>
      <c r="H42" s="34" t="inlineStr">
        <is>
          <t>이전 Step으로</t>
        </is>
      </c>
      <c r="I42" s="34" t="inlineStr">
        <is>
          <t>현재 Step 검증 통과 시</t>
        </is>
      </c>
      <c r="J42" s="34" t="inlineStr">
        <is>
          <t>animate-in</t>
        </is>
      </c>
    </row>
    <row r="43">
      <c r="A43" s="33" t="inlineStr">
        <is>
          <t>FLW-081</t>
        </is>
      </c>
      <c r="B43" s="33" t="inlineStr">
        <is>
          <t>SCR-090 (전자계약)</t>
        </is>
      </c>
      <c r="C43" s="33" t="inlineStr">
        <is>
          <t>완료 버튼</t>
        </is>
      </c>
      <c r="D43" s="34" t="inlineStr">
        <is>
          <t>click</t>
        </is>
      </c>
      <c r="E43" s="34" t="inlineStr">
        <is>
          <t>-</t>
        </is>
      </c>
      <c r="F43" s="34" t="inlineStr">
        <is>
          <t>confirm-modal</t>
        </is>
      </c>
      <c r="G43" s="34" t="inlineStr">
        <is>
          <t>없음</t>
        </is>
      </c>
      <c r="H43" s="34" t="inlineStr">
        <is>
          <t>N/A</t>
        </is>
      </c>
      <c r="I43" s="34" t="inlineStr">
        <is>
          <t>Step 5에서</t>
        </is>
      </c>
      <c r="J43" s="34" t="inlineStr">
        <is>
          <t>계약 완료 확인</t>
        </is>
      </c>
    </row>
    <row r="44">
      <c r="A44" s="33" t="inlineStr">
        <is>
          <t>FLW-090</t>
        </is>
      </c>
      <c r="B44" s="33" t="inlineStr">
        <is>
          <t>SCR-096 (센터설정)</t>
        </is>
      </c>
      <c r="C44" s="33" t="inlineStr">
        <is>
          <t>탭 전환</t>
        </is>
      </c>
      <c r="D44" s="34" t="inlineStr">
        <is>
          <t>click</t>
        </is>
      </c>
      <c r="E44" s="34" t="inlineStr">
        <is>
          <t>같은 페이지 탭</t>
        </is>
      </c>
      <c r="F44" s="34" t="inlineStr">
        <is>
          <t>tab-switch</t>
        </is>
      </c>
      <c r="G44" s="34" t="inlineStr">
        <is>
          <t>없음</t>
        </is>
      </c>
      <c r="H44" s="34" t="inlineStr">
        <is>
          <t>N/A</t>
        </is>
      </c>
      <c r="I44" s="34" t="inlineStr">
        <is>
          <t>미저장 변경사항 있으면 경고 모달</t>
        </is>
      </c>
      <c r="J44" s="34" t="inlineStr"/>
    </row>
    <row r="45">
      <c r="A45" s="33" t="inlineStr">
        <is>
          <t>FLW-091</t>
        </is>
      </c>
      <c r="B45" s="33" t="inlineStr">
        <is>
          <t>SCR-094 (키오스크)</t>
        </is>
      </c>
      <c r="C45" s="33" t="inlineStr">
        <is>
          <t>TTS Play 버튼</t>
        </is>
      </c>
      <c r="D45" s="34" t="inlineStr">
        <is>
          <t>click</t>
        </is>
      </c>
      <c r="E45" s="34" t="inlineStr">
        <is>
          <t>-</t>
        </is>
      </c>
      <c r="F45" s="34" t="inlineStr">
        <is>
          <t>browser-api</t>
        </is>
      </c>
      <c r="G45" s="34" t="inlineStr">
        <is>
          <t>없음</t>
        </is>
      </c>
      <c r="H45" s="34" t="inlineStr">
        <is>
          <t>N/A</t>
        </is>
      </c>
      <c r="I45" s="34" t="inlineStr">
        <is>
          <t>항상</t>
        </is>
      </c>
      <c r="J45" s="34" t="inlineStr">
        <is>
          <t>speechSynthesis.speak()</t>
        </is>
      </c>
    </row>
    <row r="46">
      <c r="A46" s="33" t="inlineStr">
        <is>
          <t>FLW-092</t>
        </is>
      </c>
      <c r="B46" s="33" t="inlineStr">
        <is>
          <t>SCR-095 (IoT)</t>
        </is>
      </c>
      <c r="C46" s="33" t="inlineStr">
        <is>
          <t>키오스크설정 링크</t>
        </is>
      </c>
      <c r="D46" s="34" t="inlineStr">
        <is>
          <t>click</t>
        </is>
      </c>
      <c r="E46" s="34" t="inlineStr">
        <is>
          <t>SCR-094 (키오스크)</t>
        </is>
      </c>
      <c r="F46" s="34" t="inlineStr">
        <is>
          <t>page</t>
        </is>
      </c>
      <c r="G46" s="34" t="inlineStr">
        <is>
          <t>없음</t>
        </is>
      </c>
      <c r="H46" s="34" t="inlineStr">
        <is>
          <t>IoT로 복귀</t>
        </is>
      </c>
      <c r="I46" s="34" t="inlineStr">
        <is>
          <t>항상</t>
        </is>
      </c>
      <c r="J46" s="34" t="inlineStr"/>
    </row>
    <row r="47">
      <c r="A47" s="33" t="inlineStr">
        <is>
          <t>FLW-093</t>
        </is>
      </c>
      <c r="B47" s="33" t="inlineStr">
        <is>
          <t>SCR-097 (권한)</t>
        </is>
      </c>
      <c r="C47" s="33" t="inlineStr">
        <is>
          <t>직원 태그</t>
        </is>
      </c>
      <c r="D47" s="34" t="inlineStr">
        <is>
          <t>click</t>
        </is>
      </c>
      <c r="E47" s="34" t="inlineStr">
        <is>
          <t>SCR-060 (직원목록)</t>
        </is>
      </c>
      <c r="F47" s="34" t="inlineStr">
        <is>
          <t>page</t>
        </is>
      </c>
      <c r="G47" s="34" t="inlineStr">
        <is>
          <t>없음</t>
        </is>
      </c>
      <c r="H47" s="34" t="inlineStr">
        <is>
          <t>권한으로 복귀</t>
        </is>
      </c>
      <c r="I47" s="34" t="inlineStr">
        <is>
          <t>항상</t>
        </is>
      </c>
      <c r="J47" s="34" t="inlineStr"/>
    </row>
    <row r="48">
      <c r="A48" s="33" t="inlineStr">
        <is>
          <t>FLW-094</t>
        </is>
      </c>
      <c r="B48" s="33" t="inlineStr">
        <is>
          <t>SCR-098 (구독)</t>
        </is>
      </c>
      <c r="C48" s="33" t="inlineStr">
        <is>
          <t>플랜변경 버튼</t>
        </is>
      </c>
      <c r="D48" s="34" t="inlineStr">
        <is>
          <t>click</t>
        </is>
      </c>
      <c r="E48" s="34" t="inlineStr">
        <is>
          <t>요금제비교 탭</t>
        </is>
      </c>
      <c r="F48" s="34" t="inlineStr">
        <is>
          <t>tab-switch</t>
        </is>
      </c>
      <c r="G48" s="34" t="inlineStr">
        <is>
          <t>없음</t>
        </is>
      </c>
      <c r="H48" s="34" t="inlineStr">
        <is>
          <t>N/A</t>
        </is>
      </c>
      <c r="I48" s="34" t="inlineStr">
        <is>
          <t>항상</t>
        </is>
      </c>
      <c r="J48" s="34" t="inlineStr"/>
    </row>
    <row r="49">
      <c r="A49" s="33" t="inlineStr">
        <is>
          <t>FLW-095</t>
        </is>
      </c>
      <c r="B49" s="33" t="inlineStr">
        <is>
          <t>SCR-099 (지점)</t>
        </is>
      </c>
      <c r="C49" s="33" t="inlineStr">
        <is>
          <t>지점 비활성화</t>
        </is>
      </c>
      <c r="D49" s="34" t="inlineStr">
        <is>
          <t>click</t>
        </is>
      </c>
      <c r="E49" s="34" t="inlineStr">
        <is>
          <t>-</t>
        </is>
      </c>
      <c r="F49" s="34" t="inlineStr">
        <is>
          <t>modal (2-step)</t>
        </is>
      </c>
      <c r="G49" s="34" t="inlineStr">
        <is>
          <t>branchId</t>
        </is>
      </c>
      <c r="H49" s="34" t="inlineStr">
        <is>
          <t>모달 닫기</t>
        </is>
      </c>
      <c r="I49" s="34" t="inlineStr">
        <is>
          <t>항상</t>
        </is>
      </c>
      <c r="J49" s="34" t="inlineStr">
        <is>
          <t>Step1: 영향표시 → Step2: 최종확인</t>
        </is>
      </c>
    </row>
    <row r="50">
      <c r="A50" s="33" t="inlineStr">
        <is>
          <t>FLW-100</t>
        </is>
      </c>
      <c r="B50" s="33" t="inlineStr">
        <is>
          <t>모든 페이지</t>
        </is>
      </c>
      <c r="C50" s="33" t="inlineStr">
        <is>
          <t>GNB 메뉴 클릭</t>
        </is>
      </c>
      <c r="D50" s="34" t="inlineStr">
        <is>
          <t>click</t>
        </is>
      </c>
      <c r="E50" s="34" t="inlineStr">
        <is>
          <t>해당 페이지</t>
        </is>
      </c>
      <c r="F50" s="34" t="inlineStr">
        <is>
          <t>page</t>
        </is>
      </c>
      <c r="G50" s="34" t="inlineStr">
        <is>
          <t>없음</t>
        </is>
      </c>
      <c r="H50" s="34" t="inlineStr">
        <is>
          <t>이전 페이지</t>
        </is>
      </c>
      <c r="I50" s="34" t="inlineStr">
        <is>
          <t>항상</t>
        </is>
      </c>
      <c r="J50" s="34" t="inlineStr">
        <is>
          <t>사이드바 네비게이션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5" customWidth="1" min="4" max="4"/>
    <col width="45" customWidth="1" min="5" max="5"/>
    <col width="20" customWidth="1" min="6" max="6"/>
  </cols>
  <sheetData>
    <row r="1">
      <c r="A1" s="29" t="inlineStr">
        <is>
          <t>토큰 ID</t>
        </is>
      </c>
      <c r="B1" s="29" t="inlineStr">
        <is>
          <t>카테고리</t>
        </is>
      </c>
      <c r="C1" s="29" t="inlineStr">
        <is>
          <t>토큰명</t>
        </is>
      </c>
      <c r="D1" s="29" t="inlineStr">
        <is>
          <t>값</t>
        </is>
      </c>
      <c r="E1" s="29" t="inlineStr">
        <is>
          <t>용도</t>
        </is>
      </c>
      <c r="F1" s="29" t="inlineStr">
        <is>
          <t>비고</t>
        </is>
      </c>
    </row>
    <row r="2">
      <c r="A2" s="33" t="inlineStr">
        <is>
          <t>TK-001</t>
        </is>
      </c>
      <c r="B2" s="33" t="inlineStr">
        <is>
          <t>color</t>
        </is>
      </c>
      <c r="C2" s="33" t="inlineStr">
        <is>
          <t>primary-50</t>
        </is>
      </c>
      <c r="D2" s="34" t="inlineStr">
        <is>
          <t>#EFF6FF</t>
        </is>
      </c>
      <c r="E2" s="34" t="inlineStr">
        <is>
          <t>Primary 배경 (매우 연한)</t>
        </is>
      </c>
      <c r="F2" s="34" t="inlineStr"/>
    </row>
    <row r="3">
      <c r="A3" s="33" t="inlineStr">
        <is>
          <t>TK-002</t>
        </is>
      </c>
      <c r="B3" s="33" t="inlineStr">
        <is>
          <t>color</t>
        </is>
      </c>
      <c r="C3" s="33" t="inlineStr">
        <is>
          <t>primary-100</t>
        </is>
      </c>
      <c r="D3" s="34" t="inlineStr">
        <is>
          <t>#DBEAFE</t>
        </is>
      </c>
      <c r="E3" s="34" t="inlineStr">
        <is>
          <t>Primary light 배경, 선택된 항목 배경</t>
        </is>
      </c>
      <c r="F3" s="34" t="inlineStr"/>
    </row>
    <row r="4">
      <c r="A4" s="33" t="inlineStr">
        <is>
          <t>TK-003</t>
        </is>
      </c>
      <c r="B4" s="33" t="inlineStr">
        <is>
          <t>color</t>
        </is>
      </c>
      <c r="C4" s="33" t="inlineStr">
        <is>
          <t>primary-200</t>
        </is>
      </c>
      <c r="D4" s="34" t="inlineStr">
        <is>
          <t>#BFDBFE</t>
        </is>
      </c>
      <c r="E4" s="34" t="inlineStr">
        <is>
          <t>Primary 보더, 호버</t>
        </is>
      </c>
      <c r="F4" s="34" t="inlineStr"/>
    </row>
    <row r="5">
      <c r="A5" s="33" t="inlineStr">
        <is>
          <t>TK-004</t>
        </is>
      </c>
      <c r="B5" s="33" t="inlineStr">
        <is>
          <t>color</t>
        </is>
      </c>
      <c r="C5" s="33" t="inlineStr">
        <is>
          <t>primary-500</t>
        </is>
      </c>
      <c r="D5" s="34" t="inlineStr">
        <is>
          <t>#3B82F6</t>
        </is>
      </c>
      <c r="E5" s="34" t="inlineStr">
        <is>
          <t>주요 버튼, 활성 탭, 링크, 실지급액 강조</t>
        </is>
      </c>
      <c r="F5" s="34" t="inlineStr">
        <is>
          <t>메인 Primary 색상</t>
        </is>
      </c>
    </row>
    <row r="6">
      <c r="A6" s="33" t="inlineStr">
        <is>
          <t>TK-005</t>
        </is>
      </c>
      <c r="B6" s="33" t="inlineStr">
        <is>
          <t>color</t>
        </is>
      </c>
      <c r="C6" s="33" t="inlineStr">
        <is>
          <t>primary-600</t>
        </is>
      </c>
      <c r="D6" s="34" t="inlineStr">
        <is>
          <t>#2563EB</t>
        </is>
      </c>
      <c r="E6" s="34" t="inlineStr">
        <is>
          <t>버튼 호버, 헤더 배경</t>
        </is>
      </c>
      <c r="F6" s="34" t="inlineStr"/>
    </row>
    <row r="7">
      <c r="A7" s="33" t="inlineStr">
        <is>
          <t>TK-006</t>
        </is>
      </c>
      <c r="B7" s="33" t="inlineStr">
        <is>
          <t>color</t>
        </is>
      </c>
      <c r="C7" s="33" t="inlineStr">
        <is>
          <t>primary-700</t>
        </is>
      </c>
      <c r="D7" s="34" t="inlineStr">
        <is>
          <t>#1D4ED8</t>
        </is>
      </c>
      <c r="E7" s="34" t="inlineStr">
        <is>
          <t>버튼 active</t>
        </is>
      </c>
      <c r="F7" s="34" t="inlineStr"/>
    </row>
    <row r="8">
      <c r="A8" s="33" t="inlineStr">
        <is>
          <t>TK-010</t>
        </is>
      </c>
      <c r="B8" s="33" t="inlineStr">
        <is>
          <t>color</t>
        </is>
      </c>
      <c r="C8" s="33" t="inlineStr">
        <is>
          <t>accent-50</t>
        </is>
      </c>
      <c r="D8" s="34" t="inlineStr">
        <is>
          <t>#FFF7ED</t>
        </is>
      </c>
      <c r="E8" s="34" t="inlineStr">
        <is>
          <t>Accent 배경 (연한)</t>
        </is>
      </c>
      <c r="F8" s="34" t="inlineStr"/>
    </row>
    <row r="9">
      <c r="A9" s="33" t="inlineStr">
        <is>
          <t>TK-011</t>
        </is>
      </c>
      <c r="B9" s="33" t="inlineStr">
        <is>
          <t>color</t>
        </is>
      </c>
      <c r="C9" s="33" t="inlineStr">
        <is>
          <t>accent-500</t>
        </is>
      </c>
      <c r="D9" s="34" t="inlineStr">
        <is>
          <t>#F97316</t>
        </is>
      </c>
      <c r="E9" s="34" t="inlineStr">
        <is>
          <t>Accent 버튼, 완료 CTA, 강조 배지</t>
        </is>
      </c>
      <c r="F9" s="34" t="inlineStr"/>
    </row>
    <row r="10">
      <c r="A10" s="33" t="inlineStr">
        <is>
          <t>TK-012</t>
        </is>
      </c>
      <c r="B10" s="33" t="inlineStr">
        <is>
          <t>color</t>
        </is>
      </c>
      <c r="C10" s="33" t="inlineStr">
        <is>
          <t>accent-600</t>
        </is>
      </c>
      <c r="D10" s="34" t="inlineStr">
        <is>
          <t>#EA580C</t>
        </is>
      </c>
      <c r="E10" s="34" t="inlineStr">
        <is>
          <t>Accent 호버</t>
        </is>
      </c>
      <c r="F10" s="34" t="inlineStr"/>
    </row>
    <row r="11">
      <c r="A11" s="33" t="inlineStr">
        <is>
          <t>TK-020</t>
        </is>
      </c>
      <c r="B11" s="33" t="inlineStr">
        <is>
          <t>color</t>
        </is>
      </c>
      <c r="C11" s="33" t="inlineStr">
        <is>
          <t>gray-50</t>
        </is>
      </c>
      <c r="D11" s="34" t="inlineStr">
        <is>
          <t>#F9FAFB</t>
        </is>
      </c>
      <c r="E11" s="34" t="inlineStr">
        <is>
          <t>페이지 배경, surface-tertiary</t>
        </is>
      </c>
      <c r="F11" s="34" t="inlineStr"/>
    </row>
    <row r="12">
      <c r="A12" s="33" t="inlineStr">
        <is>
          <t>TK-021</t>
        </is>
      </c>
      <c r="B12" s="33" t="inlineStr">
        <is>
          <t>color</t>
        </is>
      </c>
      <c r="C12" s="33" t="inlineStr">
        <is>
          <t>gray-100</t>
        </is>
      </c>
      <c r="D12" s="34" t="inlineStr">
        <is>
          <t>#F3F4F6</t>
        </is>
      </c>
      <c r="E12" s="34" t="inlineStr">
        <is>
          <t>카드 배경, surface-secondary, 입력 배경</t>
        </is>
      </c>
      <c r="F12" s="34" t="inlineStr"/>
    </row>
    <row r="13">
      <c r="A13" s="33" t="inlineStr">
        <is>
          <t>TK-022</t>
        </is>
      </c>
      <c r="B13" s="33" t="inlineStr">
        <is>
          <t>color</t>
        </is>
      </c>
      <c r="C13" s="33" t="inlineStr">
        <is>
          <t>gray-200</t>
        </is>
      </c>
      <c r="D13" s="34" t="inlineStr">
        <is>
          <t>#E5E7EB</t>
        </is>
      </c>
      <c r="E13" s="34" t="inlineStr">
        <is>
          <t>보더, 구분선, border-line</t>
        </is>
      </c>
      <c r="F13" s="34" t="inlineStr"/>
    </row>
    <row r="14">
      <c r="A14" s="33" t="inlineStr">
        <is>
          <t>TK-023</t>
        </is>
      </c>
      <c r="B14" s="33" t="inlineStr">
        <is>
          <t>color</t>
        </is>
      </c>
      <c r="C14" s="33" t="inlineStr">
        <is>
          <t>gray-300</t>
        </is>
      </c>
      <c r="D14" s="34" t="inlineStr">
        <is>
          <t>#D1D5DB</t>
        </is>
      </c>
      <c r="E14" s="34" t="inlineStr">
        <is>
          <t>비활성 텍스트, placeholder</t>
        </is>
      </c>
      <c r="F14" s="34" t="inlineStr"/>
    </row>
    <row r="15">
      <c r="A15" s="33" t="inlineStr">
        <is>
          <t>TK-024</t>
        </is>
      </c>
      <c r="B15" s="33" t="inlineStr">
        <is>
          <t>color</t>
        </is>
      </c>
      <c r="C15" s="33" t="inlineStr">
        <is>
          <t>gray-500</t>
        </is>
      </c>
      <c r="D15" s="34" t="inlineStr">
        <is>
          <t>#6B7280</t>
        </is>
      </c>
      <c r="E15" s="34" t="inlineStr">
        <is>
          <t>보조 텍스트, 라벨, caption</t>
        </is>
      </c>
      <c r="F15" s="34" t="inlineStr"/>
    </row>
    <row r="16">
      <c r="A16" s="33" t="inlineStr">
        <is>
          <t>TK-025</t>
        </is>
      </c>
      <c r="B16" s="33" t="inlineStr">
        <is>
          <t>color</t>
        </is>
      </c>
      <c r="C16" s="33" t="inlineStr">
        <is>
          <t>gray-700</t>
        </is>
      </c>
      <c r="D16" s="34" t="inlineStr">
        <is>
          <t>#374151</t>
        </is>
      </c>
      <c r="E16" s="34" t="inlineStr">
        <is>
          <t>본문 텍스트</t>
        </is>
      </c>
      <c r="F16" s="34" t="inlineStr"/>
    </row>
    <row r="17">
      <c r="A17" s="33" t="inlineStr">
        <is>
          <t>TK-026</t>
        </is>
      </c>
      <c r="B17" s="33" t="inlineStr">
        <is>
          <t>color</t>
        </is>
      </c>
      <c r="C17" s="33" t="inlineStr">
        <is>
          <t>gray-900</t>
        </is>
      </c>
      <c r="D17" s="34" t="inlineStr">
        <is>
          <t>#111827</t>
        </is>
      </c>
      <c r="E17" s="34" t="inlineStr">
        <is>
          <t>제목, 강조 텍스트</t>
        </is>
      </c>
      <c r="F17" s="34" t="inlineStr"/>
    </row>
    <row r="18">
      <c r="A18" s="33" t="inlineStr">
        <is>
          <t>TK-030</t>
        </is>
      </c>
      <c r="B18" s="33" t="inlineStr">
        <is>
          <t>color</t>
        </is>
      </c>
      <c r="C18" s="33" t="inlineStr">
        <is>
          <t>success/green-500</t>
        </is>
      </c>
      <c r="D18" s="34" t="inlineStr">
        <is>
          <t>#22C55E</t>
        </is>
      </c>
      <c r="E18" s="34" t="inlineStr">
        <is>
          <t>성공, 활성, 증가(▲), 지급항목(Plus)</t>
        </is>
      </c>
      <c r="F18" s="34" t="inlineStr"/>
    </row>
    <row r="19">
      <c r="A19" s="33" t="inlineStr">
        <is>
          <t>TK-031</t>
        </is>
      </c>
      <c r="B19" s="33" t="inlineStr">
        <is>
          <t>color</t>
        </is>
      </c>
      <c r="C19" s="33" t="inlineStr">
        <is>
          <t>success-light</t>
        </is>
      </c>
      <c r="D19" s="34" t="inlineStr">
        <is>
          <t>#F0FDF4</t>
        </is>
      </c>
      <c r="E19" s="34" t="inlineStr">
        <is>
          <t>성공 배경</t>
        </is>
      </c>
      <c r="F19" s="34" t="inlineStr"/>
    </row>
    <row r="20">
      <c r="A20" s="33" t="inlineStr">
        <is>
          <t>TK-032</t>
        </is>
      </c>
      <c r="B20" s="33" t="inlineStr">
        <is>
          <t>color</t>
        </is>
      </c>
      <c r="C20" s="33" t="inlineStr">
        <is>
          <t>error/red-500</t>
        </is>
      </c>
      <c r="D20" s="34" t="inlineStr">
        <is>
          <t>#EF4444</t>
        </is>
      </c>
      <c r="E20" s="34" t="inlineStr">
        <is>
          <t>에러, 삭제, 감소(▼), 공제항목(Minus), 미수금</t>
        </is>
      </c>
      <c r="F20" s="34" t="inlineStr"/>
    </row>
    <row r="21">
      <c r="A21" s="33" t="inlineStr">
        <is>
          <t>TK-033</t>
        </is>
      </c>
      <c r="B21" s="33" t="inlineStr">
        <is>
          <t>color</t>
        </is>
      </c>
      <c r="C21" s="33" t="inlineStr">
        <is>
          <t>error-light</t>
        </is>
      </c>
      <c r="D21" s="34" t="inlineStr">
        <is>
          <t>#FEF2F2</t>
        </is>
      </c>
      <c r="E21" s="34" t="inlineStr">
        <is>
          <t>에러 배경</t>
        </is>
      </c>
      <c r="F21" s="34" t="inlineStr"/>
    </row>
    <row r="22">
      <c r="A22" s="33" t="inlineStr">
        <is>
          <t>TK-034</t>
        </is>
      </c>
      <c r="B22" s="33" t="inlineStr">
        <is>
          <t>color</t>
        </is>
      </c>
      <c r="C22" s="33" t="inlineStr">
        <is>
          <t>warning/amber-500</t>
        </is>
      </c>
      <c r="D22" s="34" t="inlineStr">
        <is>
          <t>#F59E0B</t>
        </is>
      </c>
      <c r="E22" s="34" t="inlineStr">
        <is>
          <t>경고, 만료임박, 변경감지, D-day 주의</t>
        </is>
      </c>
      <c r="F22" s="34" t="inlineStr"/>
    </row>
    <row r="23">
      <c r="A23" s="33" t="inlineStr">
        <is>
          <t>TK-035</t>
        </is>
      </c>
      <c r="B23" s="33" t="inlineStr">
        <is>
          <t>color</t>
        </is>
      </c>
      <c r="C23" s="33" t="inlineStr">
        <is>
          <t>warning-light</t>
        </is>
      </c>
      <c r="D23" s="34" t="inlineStr">
        <is>
          <t>#FFFBEB</t>
        </is>
      </c>
      <c r="E23" s="34" t="inlineStr">
        <is>
          <t>경고 배경</t>
        </is>
      </c>
      <c r="F23" s="34" t="inlineStr"/>
    </row>
    <row r="24">
      <c r="A24" s="33" t="inlineStr">
        <is>
          <t>TK-036</t>
        </is>
      </c>
      <c r="B24" s="33" t="inlineStr">
        <is>
          <t>color</t>
        </is>
      </c>
      <c r="C24" s="33" t="inlineStr">
        <is>
          <t>info/blue-500</t>
        </is>
      </c>
      <c r="D24" s="34" t="inlineStr">
        <is>
          <t>#3B82F6</t>
        </is>
      </c>
      <c r="E24" s="34" t="inlineStr">
        <is>
          <t>정보, 사용중(락커), 안내</t>
        </is>
      </c>
      <c r="F24" s="34" t="inlineStr"/>
    </row>
    <row r="25">
      <c r="A25" s="33" t="inlineStr">
        <is>
          <t>TK-037</t>
        </is>
      </c>
      <c r="B25" s="33" t="inlineStr">
        <is>
          <t>color</t>
        </is>
      </c>
      <c r="C25" s="33" t="inlineStr">
        <is>
          <t>info-light</t>
        </is>
      </c>
      <c r="D25" s="34" t="inlineStr">
        <is>
          <t>#EFF6FF</t>
        </is>
      </c>
      <c r="E25" s="34" t="inlineStr">
        <is>
          <t>정보 배경</t>
        </is>
      </c>
      <c r="F25" s="34" t="inlineStr"/>
    </row>
    <row r="26">
      <c r="A26" s="33" t="inlineStr">
        <is>
          <t>TK-040</t>
        </is>
      </c>
      <c r="B26" s="33" t="inlineStr">
        <is>
          <t>color</t>
        </is>
      </c>
      <c r="C26" s="33" t="inlineStr">
        <is>
          <t>mint</t>
        </is>
      </c>
      <c r="D26" s="34" t="inlineStr">
        <is>
          <t>#10B981 / #ECFDF5 bg</t>
        </is>
      </c>
      <c r="E26" s="34" t="inlineStr">
        <is>
          <t>StatCard mint variant, 마일리지 사용</t>
        </is>
      </c>
      <c r="F26" s="34" t="inlineStr"/>
    </row>
    <row r="27">
      <c r="A27" s="33" t="inlineStr">
        <is>
          <t>TK-041</t>
        </is>
      </c>
      <c r="B27" s="33" t="inlineStr">
        <is>
          <t>color</t>
        </is>
      </c>
      <c r="C27" s="33" t="inlineStr">
        <is>
          <t>peach</t>
        </is>
      </c>
      <c r="D27" s="34" t="inlineStr">
        <is>
          <t>#F97316 / #FFF7ED bg</t>
        </is>
      </c>
      <c r="E27" s="34" t="inlineStr">
        <is>
          <t>StatCard peach variant, 마일리지 발행</t>
        </is>
      </c>
      <c r="F27" s="34" t="inlineStr"/>
    </row>
    <row r="28">
      <c r="A28" s="33" t="inlineStr">
        <is>
          <t>TK-045</t>
        </is>
      </c>
      <c r="B28" s="33" t="inlineStr">
        <is>
          <t>color</t>
        </is>
      </c>
      <c r="C28" s="33" t="inlineStr">
        <is>
          <t>role-primary</t>
        </is>
      </c>
      <c r="D28" s="34" t="inlineStr">
        <is>
          <t>#3B82F6</t>
        </is>
      </c>
      <c r="E28" s="34" t="inlineStr">
        <is>
          <t>Primary 역할 배지</t>
        </is>
      </c>
      <c r="F28" s="34" t="inlineStr"/>
    </row>
    <row r="29">
      <c r="A29" s="33" t="inlineStr">
        <is>
          <t>TK-046</t>
        </is>
      </c>
      <c r="B29" s="33" t="inlineStr">
        <is>
          <t>color</t>
        </is>
      </c>
      <c r="C29" s="33" t="inlineStr">
        <is>
          <t>role-owner</t>
        </is>
      </c>
      <c r="D29" s="34" t="inlineStr">
        <is>
          <t>#7C3AED</t>
        </is>
      </c>
      <c r="E29" s="34" t="inlineStr">
        <is>
          <t>센터장 역할 배지</t>
        </is>
      </c>
      <c r="F29" s="34" t="inlineStr"/>
    </row>
    <row r="30">
      <c r="A30" s="33" t="inlineStr">
        <is>
          <t>TK-047</t>
        </is>
      </c>
      <c r="B30" s="33" t="inlineStr">
        <is>
          <t>color</t>
        </is>
      </c>
      <c r="C30" s="33" t="inlineStr">
        <is>
          <t>role-manager</t>
        </is>
      </c>
      <c r="D30" s="34" t="inlineStr">
        <is>
          <t>#059669</t>
        </is>
      </c>
      <c r="E30" s="34" t="inlineStr">
        <is>
          <t>매니저 역할 배지</t>
        </is>
      </c>
      <c r="F30" s="34" t="inlineStr"/>
    </row>
    <row r="31">
      <c r="A31" s="33" t="inlineStr">
        <is>
          <t>TK-048</t>
        </is>
      </c>
      <c r="B31" s="33" t="inlineStr">
        <is>
          <t>color</t>
        </is>
      </c>
      <c r="C31" s="33" t="inlineStr">
        <is>
          <t>role-fc</t>
        </is>
      </c>
      <c r="D31" s="34" t="inlineStr">
        <is>
          <t>#D97706</t>
        </is>
      </c>
      <c r="E31" s="34" t="inlineStr">
        <is>
          <t>FC 역할 배지</t>
        </is>
      </c>
      <c r="F31" s="34" t="inlineStr"/>
    </row>
    <row r="32">
      <c r="A32" s="33" t="inlineStr">
        <is>
          <t>TK-049</t>
        </is>
      </c>
      <c r="B32" s="33" t="inlineStr">
        <is>
          <t>color</t>
        </is>
      </c>
      <c r="C32" s="33" t="inlineStr">
        <is>
          <t>role-trainer</t>
        </is>
      </c>
      <c r="D32" s="34" t="inlineStr">
        <is>
          <t>#DC2626</t>
        </is>
      </c>
      <c r="E32" s="34" t="inlineStr">
        <is>
          <t>트레이너 역할 배지</t>
        </is>
      </c>
      <c r="F32" s="34" t="inlineStr"/>
    </row>
    <row r="33">
      <c r="A33" s="33" t="inlineStr">
        <is>
          <t>TK-100</t>
        </is>
      </c>
      <c r="B33" s="33" t="inlineStr">
        <is>
          <t>typography</t>
        </is>
      </c>
      <c r="C33" s="33" t="inlineStr">
        <is>
          <t>heading-1</t>
        </is>
      </c>
      <c r="D33" s="34" t="inlineStr">
        <is>
          <t>24px / bold / 1.3 line-height</t>
        </is>
      </c>
      <c r="E33" s="34" t="inlineStr">
        <is>
          <t>페이지 제목 (PageHeader)</t>
        </is>
      </c>
      <c r="F33" s="34" t="inlineStr"/>
    </row>
    <row r="34">
      <c r="A34" s="33" t="inlineStr">
        <is>
          <t>TK-101</t>
        </is>
      </c>
      <c r="B34" s="33" t="inlineStr">
        <is>
          <t>typography</t>
        </is>
      </c>
      <c r="C34" s="33" t="inlineStr">
        <is>
          <t>heading-2</t>
        </is>
      </c>
      <c r="D34" s="34" t="inlineStr">
        <is>
          <t>20px / semibold / 1.4</t>
        </is>
      </c>
      <c r="E34" s="34" t="inlineStr">
        <is>
          <t>섹션 제목, FormSection 제목</t>
        </is>
      </c>
      <c r="F34" s="34" t="inlineStr"/>
    </row>
    <row r="35">
      <c r="A35" s="33" t="inlineStr">
        <is>
          <t>TK-102</t>
        </is>
      </c>
      <c r="B35" s="33" t="inlineStr">
        <is>
          <t>typography</t>
        </is>
      </c>
      <c r="C35" s="33" t="inlineStr">
        <is>
          <t>heading-3</t>
        </is>
      </c>
      <c r="D35" s="34" t="inlineStr">
        <is>
          <t>16px / semibold / 1.5</t>
        </is>
      </c>
      <c r="E35" s="34" t="inlineStr">
        <is>
          <t>카드 제목, 탭 이름</t>
        </is>
      </c>
      <c r="F35" s="34" t="inlineStr"/>
    </row>
    <row r="36">
      <c r="A36" s="33" t="inlineStr">
        <is>
          <t>TK-103</t>
        </is>
      </c>
      <c r="B36" s="33" t="inlineStr">
        <is>
          <t>typography</t>
        </is>
      </c>
      <c r="C36" s="33" t="inlineStr">
        <is>
          <t>heading-4</t>
        </is>
      </c>
      <c r="D36" s="34" t="inlineStr">
        <is>
          <t>14px / semibold / 1.5</t>
        </is>
      </c>
      <c r="E36" s="34" t="inlineStr">
        <is>
          <t>소제목, 서브헤더</t>
        </is>
      </c>
      <c r="F36" s="34" t="inlineStr"/>
    </row>
    <row r="37">
      <c r="A37" s="33" t="inlineStr">
        <is>
          <t>TK-104</t>
        </is>
      </c>
      <c r="B37" s="33" t="inlineStr">
        <is>
          <t>typography</t>
        </is>
      </c>
      <c r="C37" s="33" t="inlineStr">
        <is>
          <t>body-lg</t>
        </is>
      </c>
      <c r="D37" s="34" t="inlineStr">
        <is>
          <t>16px / normal / 1.6</t>
        </is>
      </c>
      <c r="E37" s="34" t="inlineStr">
        <is>
          <t>본문 (큰)</t>
        </is>
      </c>
      <c r="F37" s="34" t="inlineStr"/>
    </row>
    <row r="38">
      <c r="A38" s="33" t="inlineStr">
        <is>
          <t>TK-105</t>
        </is>
      </c>
      <c r="B38" s="33" t="inlineStr">
        <is>
          <t>typography</t>
        </is>
      </c>
      <c r="C38" s="33" t="inlineStr">
        <is>
          <t>body-md</t>
        </is>
      </c>
      <c r="D38" s="34" t="inlineStr">
        <is>
          <t>14px / normal / 1.5</t>
        </is>
      </c>
      <c r="E38" s="34" t="inlineStr">
        <is>
          <t>본문 (기본), 테이블 셀, 입력값</t>
        </is>
      </c>
      <c r="F38" s="34" t="inlineStr">
        <is>
          <t>기본 텍스트 크기</t>
        </is>
      </c>
    </row>
    <row r="39">
      <c r="A39" s="33" t="inlineStr">
        <is>
          <t>TK-106</t>
        </is>
      </c>
      <c r="B39" s="33" t="inlineStr">
        <is>
          <t>typography</t>
        </is>
      </c>
      <c r="C39" s="33" t="inlineStr">
        <is>
          <t>body-sm</t>
        </is>
      </c>
      <c r="D39" s="34" t="inlineStr">
        <is>
          <t>13px / normal / 1.5</t>
        </is>
      </c>
      <c r="E39" s="34" t="inlineStr">
        <is>
          <t>보조 텍스트, 힌트</t>
        </is>
      </c>
      <c r="F39" s="34" t="inlineStr"/>
    </row>
    <row r="40">
      <c r="A40" s="33" t="inlineStr">
        <is>
          <t>TK-107</t>
        </is>
      </c>
      <c r="B40" s="33" t="inlineStr">
        <is>
          <t>typography</t>
        </is>
      </c>
      <c r="C40" s="33" t="inlineStr">
        <is>
          <t>caption</t>
        </is>
      </c>
      <c r="D40" s="34" t="inlineStr">
        <is>
          <t>12px / normal / 1.4</t>
        </is>
      </c>
      <c r="E40" s="34" t="inlineStr">
        <is>
          <t>캡션, 배지, 라벨, 에러메시지</t>
        </is>
      </c>
      <c r="F40" s="34" t="inlineStr"/>
    </row>
    <row r="41">
      <c r="A41" s="33" t="inlineStr">
        <is>
          <t>TK-108</t>
        </is>
      </c>
      <c r="B41" s="33" t="inlineStr">
        <is>
          <t>typography</t>
        </is>
      </c>
      <c r="C41" s="33" t="inlineStr">
        <is>
          <t>stat-number</t>
        </is>
      </c>
      <c r="D41" s="34" t="inlineStr">
        <is>
          <t>32px / bold / 1.2</t>
        </is>
      </c>
      <c r="E41" s="34" t="inlineStr">
        <is>
          <t>StatCard 숫자, 대시보드 KPI</t>
        </is>
      </c>
      <c r="F41" s="34" t="inlineStr"/>
    </row>
    <row r="42">
      <c r="A42" s="33" t="inlineStr">
        <is>
          <t>TK-109</t>
        </is>
      </c>
      <c r="B42" s="33" t="inlineStr">
        <is>
          <t>typography</t>
        </is>
      </c>
      <c r="C42" s="33" t="inlineStr">
        <is>
          <t>price-lg</t>
        </is>
      </c>
      <c r="D42" s="34" t="inlineStr">
        <is>
          <t>24px / bold / 1.2</t>
        </is>
      </c>
      <c r="E42" s="34" t="inlineStr">
        <is>
          <t>결제 금액, 총합계</t>
        </is>
      </c>
      <c r="F42" s="34" t="inlineStr"/>
    </row>
    <row r="43">
      <c r="A43" s="33" t="inlineStr">
        <is>
          <t>TK-110</t>
        </is>
      </c>
      <c r="B43" s="33" t="inlineStr">
        <is>
          <t>typography</t>
        </is>
      </c>
      <c r="C43" s="33" t="inlineStr">
        <is>
          <t>mono</t>
        </is>
      </c>
      <c r="D43" s="34" t="inlineStr">
        <is>
          <t>14px / monospace / 1.5</t>
        </is>
      </c>
      <c r="E43" s="34" t="inlineStr">
        <is>
          <t>카드번호, IP주소, 쿠폰코드</t>
        </is>
      </c>
      <c r="F43" s="34" t="inlineStr">
        <is>
          <t>font-mono</t>
        </is>
      </c>
    </row>
    <row r="44">
      <c r="A44" s="33" t="inlineStr">
        <is>
          <t>TK-200</t>
        </is>
      </c>
      <c r="B44" s="33" t="inlineStr">
        <is>
          <t>spacing</t>
        </is>
      </c>
      <c r="C44" s="33" t="inlineStr">
        <is>
          <t>page-padding-x</t>
        </is>
      </c>
      <c r="D44" s="34" t="inlineStr">
        <is>
          <t>24px (px-lg)</t>
        </is>
      </c>
      <c r="E44" s="34" t="inlineStr">
        <is>
          <t>페이지 좌우 패딩</t>
        </is>
      </c>
      <c r="F44" s="34" t="inlineStr"/>
    </row>
    <row r="45">
      <c r="A45" s="33" t="inlineStr">
        <is>
          <t>TK-201</t>
        </is>
      </c>
      <c r="B45" s="33" t="inlineStr">
        <is>
          <t>spacing</t>
        </is>
      </c>
      <c r="C45" s="33" t="inlineStr">
        <is>
          <t>page-padding-y</t>
        </is>
      </c>
      <c r="D45" s="34" t="inlineStr">
        <is>
          <t>24px (py-lg)</t>
        </is>
      </c>
      <c r="E45" s="34" t="inlineStr">
        <is>
          <t>페이지 상하 패딩</t>
        </is>
      </c>
      <c r="F45" s="34" t="inlineStr"/>
    </row>
    <row r="46">
      <c r="A46" s="33" t="inlineStr">
        <is>
          <t>TK-202</t>
        </is>
      </c>
      <c r="B46" s="33" t="inlineStr">
        <is>
          <t>spacing</t>
        </is>
      </c>
      <c r="C46" s="33" t="inlineStr">
        <is>
          <t>section-gap</t>
        </is>
      </c>
      <c r="D46" s="34" t="inlineStr">
        <is>
          <t>24px (gap-lg)</t>
        </is>
      </c>
      <c r="E46" s="34" t="inlineStr">
        <is>
          <t>섹션 간 간격</t>
        </is>
      </c>
      <c r="F46" s="34" t="inlineStr"/>
    </row>
    <row r="47">
      <c r="A47" s="33" t="inlineStr">
        <is>
          <t>TK-203</t>
        </is>
      </c>
      <c r="B47" s="33" t="inlineStr">
        <is>
          <t>spacing</t>
        </is>
      </c>
      <c r="C47" s="33" t="inlineStr">
        <is>
          <t>card-padding</t>
        </is>
      </c>
      <c r="D47" s="34" t="inlineStr">
        <is>
          <t>24px (p-lg)</t>
        </is>
      </c>
      <c r="E47" s="34" t="inlineStr">
        <is>
          <t>카드/박스 내부 패딩</t>
        </is>
      </c>
      <c r="F47" s="34" t="inlineStr"/>
    </row>
    <row r="48">
      <c r="A48" s="33" t="inlineStr">
        <is>
          <t>TK-204</t>
        </is>
      </c>
      <c r="B48" s="33" t="inlineStr">
        <is>
          <t>spacing</t>
        </is>
      </c>
      <c r="C48" s="33" t="inlineStr">
        <is>
          <t>card-gap</t>
        </is>
      </c>
      <c r="D48" s="34" t="inlineStr">
        <is>
          <t>16px (gap-md)</t>
        </is>
      </c>
      <c r="E48" s="34" t="inlineStr">
        <is>
          <t>카드 그리드 간격</t>
        </is>
      </c>
      <c r="F48" s="34" t="inlineStr"/>
    </row>
    <row r="49">
      <c r="A49" s="33" t="inlineStr">
        <is>
          <t>TK-205</t>
        </is>
      </c>
      <c r="B49" s="33" t="inlineStr">
        <is>
          <t>spacing</t>
        </is>
      </c>
      <c r="C49" s="33" t="inlineStr">
        <is>
          <t>form-gap</t>
        </is>
      </c>
      <c r="D49" s="34" t="inlineStr">
        <is>
          <t>16px (gap-md)</t>
        </is>
      </c>
      <c r="E49" s="34" t="inlineStr">
        <is>
          <t>폼 필드 간 간격</t>
        </is>
      </c>
      <c r="F49" s="34" t="inlineStr"/>
    </row>
    <row r="50">
      <c r="A50" s="33" t="inlineStr">
        <is>
          <t>TK-206</t>
        </is>
      </c>
      <c r="B50" s="33" t="inlineStr">
        <is>
          <t>spacing</t>
        </is>
      </c>
      <c r="C50" s="33" t="inlineStr">
        <is>
          <t>input-height</t>
        </is>
      </c>
      <c r="D50" s="34" t="inlineStr">
        <is>
          <t>40px (h-[40px])</t>
        </is>
      </c>
      <c r="E50" s="34" t="inlineStr">
        <is>
          <t>입력 필드 높이</t>
        </is>
      </c>
      <c r="F50" s="34" t="inlineStr"/>
    </row>
    <row r="51">
      <c r="A51" s="33" t="inlineStr">
        <is>
          <t>TK-207</t>
        </is>
      </c>
      <c r="B51" s="33" t="inlineStr">
        <is>
          <t>spacing</t>
        </is>
      </c>
      <c r="C51" s="33" t="inlineStr">
        <is>
          <t>button-height</t>
        </is>
      </c>
      <c r="D51" s="34" t="inlineStr">
        <is>
          <t>40px (h-[40px])</t>
        </is>
      </c>
      <c r="E51" s="34" t="inlineStr">
        <is>
          <t>버튼 높이 (기본)</t>
        </is>
      </c>
      <c r="F51" s="34" t="inlineStr"/>
    </row>
    <row r="52">
      <c r="A52" s="33" t="inlineStr">
        <is>
          <t>TK-208</t>
        </is>
      </c>
      <c r="B52" s="33" t="inlineStr">
        <is>
          <t>spacing</t>
        </is>
      </c>
      <c r="C52" s="33" t="inlineStr">
        <is>
          <t>button-height-sm</t>
        </is>
      </c>
      <c r="D52" s="34" t="inlineStr">
        <is>
          <t>32px</t>
        </is>
      </c>
      <c r="E52" s="34" t="inlineStr">
        <is>
          <t>작은 버튼 높이</t>
        </is>
      </c>
      <c r="F52" s="34" t="inlineStr"/>
    </row>
    <row r="53">
      <c r="A53" s="33" t="inlineStr">
        <is>
          <t>TK-209</t>
        </is>
      </c>
      <c r="B53" s="33" t="inlineStr">
        <is>
          <t>spacing</t>
        </is>
      </c>
      <c r="C53" s="33" t="inlineStr">
        <is>
          <t>button-height-lg</t>
        </is>
      </c>
      <c r="D53" s="34" t="inlineStr">
        <is>
          <t>48px</t>
        </is>
      </c>
      <c r="E53" s="34" t="inlineStr">
        <is>
          <t>큰 버튼 높이 (CTA)</t>
        </is>
      </c>
      <c r="F53" s="34" t="inlineStr"/>
    </row>
    <row r="54">
      <c r="A54" s="33" t="inlineStr">
        <is>
          <t>TK-210</t>
        </is>
      </c>
      <c r="B54" s="33" t="inlineStr">
        <is>
          <t>spacing</t>
        </is>
      </c>
      <c r="C54" s="33" t="inlineStr">
        <is>
          <t>sidebar-width</t>
        </is>
      </c>
      <c r="D54" s="34" t="inlineStr">
        <is>
          <t>280px</t>
        </is>
      </c>
      <c r="E54" s="34" t="inlineStr">
        <is>
          <t>사이드바 너비</t>
        </is>
      </c>
      <c r="F54" s="34" t="inlineStr"/>
    </row>
    <row r="55">
      <c r="A55" s="33" t="inlineStr">
        <is>
          <t>TK-211</t>
        </is>
      </c>
      <c r="B55" s="33" t="inlineStr">
        <is>
          <t>spacing</t>
        </is>
      </c>
      <c r="C55" s="33" t="inlineStr">
        <is>
          <t>cart-sidebar-width</t>
        </is>
      </c>
      <c r="D55" s="34" t="inlineStr">
        <is>
          <t>360px</t>
        </is>
      </c>
      <c r="E55" s="34" t="inlineStr">
        <is>
          <t>POS 장바구니 사이드바</t>
        </is>
      </c>
      <c r="F55" s="34" t="inlineStr"/>
    </row>
    <row r="56">
      <c r="A56" s="33" t="inlineStr">
        <is>
          <t>TK-212</t>
        </is>
      </c>
      <c r="B56" s="33" t="inlineStr">
        <is>
          <t>spacing</t>
        </is>
      </c>
      <c r="C56" s="33" t="inlineStr">
        <is>
          <t>payment-sidebar-width</t>
        </is>
      </c>
      <c r="D56" s="34" t="inlineStr">
        <is>
          <t>380px</t>
        </is>
      </c>
      <c r="E56" s="34" t="inlineStr">
        <is>
          <t>결제 사이드바</t>
        </is>
      </c>
      <c r="F56" s="34" t="inlineStr"/>
    </row>
    <row r="57">
      <c r="A57" s="33" t="inlineStr">
        <is>
          <t>TK-300</t>
        </is>
      </c>
      <c r="B57" s="33" t="inlineStr">
        <is>
          <t>radius</t>
        </is>
      </c>
      <c r="C57" s="33" t="inlineStr">
        <is>
          <t>button</t>
        </is>
      </c>
      <c r="D57" s="34" t="inlineStr">
        <is>
          <t>8px (rounded-lg)</t>
        </is>
      </c>
      <c r="E57" s="34" t="inlineStr">
        <is>
          <t>버튼, 배지, 입력 필드</t>
        </is>
      </c>
      <c r="F57" s="34" t="inlineStr"/>
    </row>
    <row r="58">
      <c r="A58" s="33" t="inlineStr">
        <is>
          <t>TK-301</t>
        </is>
      </c>
      <c r="B58" s="33" t="inlineStr">
        <is>
          <t>radius</t>
        </is>
      </c>
      <c r="C58" s="33" t="inlineStr">
        <is>
          <t>card</t>
        </is>
      </c>
      <c r="D58" s="34" t="inlineStr">
        <is>
          <t>12px (rounded-xl)</t>
        </is>
      </c>
      <c r="E58" s="34" t="inlineStr">
        <is>
          <t>카드, 박스, 모달 내부 영역</t>
        </is>
      </c>
      <c r="F58" s="34" t="inlineStr"/>
    </row>
    <row r="59">
      <c r="A59" s="33" t="inlineStr">
        <is>
          <t>TK-302</t>
        </is>
      </c>
      <c r="B59" s="33" t="inlineStr">
        <is>
          <t>radius</t>
        </is>
      </c>
      <c r="C59" s="33" t="inlineStr">
        <is>
          <t>modal</t>
        </is>
      </c>
      <c r="D59" s="34" t="inlineStr">
        <is>
          <t>16px (rounded-2xl)</t>
        </is>
      </c>
      <c r="E59" s="34" t="inlineStr">
        <is>
          <t>모달, 다이얼로그</t>
        </is>
      </c>
      <c r="F59" s="34" t="inlineStr"/>
    </row>
    <row r="60">
      <c r="A60" s="33" t="inlineStr">
        <is>
          <t>TK-303</t>
        </is>
      </c>
      <c r="B60" s="33" t="inlineStr">
        <is>
          <t>radius</t>
        </is>
      </c>
      <c r="C60" s="33" t="inlineStr">
        <is>
          <t>full</t>
        </is>
      </c>
      <c r="D60" s="34" t="inlineStr">
        <is>
          <t>9999px (rounded-full)</t>
        </is>
      </c>
      <c r="E60" s="34" t="inlineStr">
        <is>
          <t>아바타, 원형 토글, 상태 dot</t>
        </is>
      </c>
      <c r="F60" s="34" t="inlineStr"/>
    </row>
    <row r="61">
      <c r="A61" s="33" t="inlineStr">
        <is>
          <t>TK-304</t>
        </is>
      </c>
      <c r="B61" s="33" t="inlineStr">
        <is>
          <t>radius</t>
        </is>
      </c>
      <c r="C61" s="33" t="inlineStr">
        <is>
          <t>input</t>
        </is>
      </c>
      <c r="D61" s="34" t="inlineStr">
        <is>
          <t>8px (rounded-lg)</t>
        </is>
      </c>
      <c r="E61" s="34" t="inlineStr">
        <is>
          <t>입력 필드, select</t>
        </is>
      </c>
      <c r="F61" s="34" t="inlineStr"/>
    </row>
    <row r="62">
      <c r="A62" s="33" t="inlineStr">
        <is>
          <t>TK-400</t>
        </is>
      </c>
      <c r="B62" s="33" t="inlineStr">
        <is>
          <t>shadow</t>
        </is>
      </c>
      <c r="C62" s="33" t="inlineStr">
        <is>
          <t>card</t>
        </is>
      </c>
      <c r="D62" s="34" t="inlineStr">
        <is>
          <t>0 1px 3px rgba(0,0,0,0.1)</t>
        </is>
      </c>
      <c r="E62" s="34" t="inlineStr">
        <is>
          <t>카드 기본 그림자</t>
        </is>
      </c>
      <c r="F62" s="34" t="inlineStr">
        <is>
          <t>shadow-sm</t>
        </is>
      </c>
    </row>
    <row r="63">
      <c r="A63" s="33" t="inlineStr">
        <is>
          <t>TK-401</t>
        </is>
      </c>
      <c r="B63" s="33" t="inlineStr">
        <is>
          <t>shadow</t>
        </is>
      </c>
      <c r="C63" s="33" t="inlineStr">
        <is>
          <t>card-hover</t>
        </is>
      </c>
      <c r="D63" s="34" t="inlineStr">
        <is>
          <t>0 4px 6px rgba(0,0,0,0.1)</t>
        </is>
      </c>
      <c r="E63" s="34" t="inlineStr">
        <is>
          <t>카드 호버 그림자</t>
        </is>
      </c>
      <c r="F63" s="34" t="inlineStr">
        <is>
          <t>shadow-md</t>
        </is>
      </c>
    </row>
    <row r="64">
      <c r="A64" s="33" t="inlineStr">
        <is>
          <t>TK-402</t>
        </is>
      </c>
      <c r="B64" s="33" t="inlineStr">
        <is>
          <t>shadow</t>
        </is>
      </c>
      <c r="C64" s="33" t="inlineStr">
        <is>
          <t>modal</t>
        </is>
      </c>
      <c r="D64" s="34" t="inlineStr">
        <is>
          <t>0 20px 25px rgba(0,0,0,0.15)</t>
        </is>
      </c>
      <c r="E64" s="34" t="inlineStr">
        <is>
          <t>모달 그림자</t>
        </is>
      </c>
      <c r="F64" s="34" t="inlineStr">
        <is>
          <t>shadow-xl</t>
        </is>
      </c>
    </row>
    <row r="65">
      <c r="A65" s="33" t="inlineStr">
        <is>
          <t>TK-403</t>
        </is>
      </c>
      <c r="B65" s="33" t="inlineStr">
        <is>
          <t>shadow</t>
        </is>
      </c>
      <c r="C65" s="33" t="inlineStr">
        <is>
          <t>dropdown</t>
        </is>
      </c>
      <c r="D65" s="34" t="inlineStr">
        <is>
          <t>0 10px 15px rgba(0,0,0,0.1)</t>
        </is>
      </c>
      <c r="E65" s="34" t="inlineStr">
        <is>
          <t>드롭다운, 팝오버 그림자</t>
        </is>
      </c>
      <c r="F65" s="34" t="inlineStr">
        <is>
          <t>shadow-lg</t>
        </is>
      </c>
    </row>
    <row r="66">
      <c r="A66" s="33" t="inlineStr">
        <is>
          <t>TK-500</t>
        </is>
      </c>
      <c r="B66" s="33" t="inlineStr">
        <is>
          <t>breakpoint</t>
        </is>
      </c>
      <c r="C66" s="33" t="inlineStr">
        <is>
          <t>mobile</t>
        </is>
      </c>
      <c r="D66" s="34" t="inlineStr">
        <is>
          <t>&lt;640px (기본)</t>
        </is>
      </c>
      <c r="E66" s="34" t="inlineStr">
        <is>
          <t>모바일 (1열 레이아웃)</t>
        </is>
      </c>
      <c r="F66" s="34" t="inlineStr">
        <is>
          <t>Tailwind default</t>
        </is>
      </c>
    </row>
    <row r="67">
      <c r="A67" s="33" t="inlineStr">
        <is>
          <t>TK-501</t>
        </is>
      </c>
      <c r="B67" s="33" t="inlineStr">
        <is>
          <t>breakpoint</t>
        </is>
      </c>
      <c r="C67" s="33" t="inlineStr">
        <is>
          <t>sm</t>
        </is>
      </c>
      <c r="D67" s="34" t="inlineStr">
        <is>
          <t>≥640px</t>
        </is>
      </c>
      <c r="E67" s="34" t="inlineStr">
        <is>
          <t>작은 태블릿</t>
        </is>
      </c>
      <c r="F67" s="34" t="inlineStr">
        <is>
          <t>sm:</t>
        </is>
      </c>
    </row>
    <row r="68">
      <c r="A68" s="33" t="inlineStr">
        <is>
          <t>TK-502</t>
        </is>
      </c>
      <c r="B68" s="33" t="inlineStr">
        <is>
          <t>breakpoint</t>
        </is>
      </c>
      <c r="C68" s="33" t="inlineStr">
        <is>
          <t>md</t>
        </is>
      </c>
      <c r="D68" s="34" t="inlineStr">
        <is>
          <t>≥768px</t>
        </is>
      </c>
      <c r="E68" s="34" t="inlineStr">
        <is>
          <t>태블릿 (2열 전환 시작)</t>
        </is>
      </c>
      <c r="F68" s="34" t="inlineStr">
        <is>
          <t>md:</t>
        </is>
      </c>
    </row>
    <row r="69">
      <c r="A69" s="33" t="inlineStr">
        <is>
          <t>TK-503</t>
        </is>
      </c>
      <c r="B69" s="33" t="inlineStr">
        <is>
          <t>breakpoint</t>
        </is>
      </c>
      <c r="C69" s="33" t="inlineStr">
        <is>
          <t>lg</t>
        </is>
      </c>
      <c r="D69" s="34" t="inlineStr">
        <is>
          <t>≥1024px</t>
        </is>
      </c>
      <c r="E69" s="34" t="inlineStr">
        <is>
          <t>데스크톱 (사이드바+메인 2열)</t>
        </is>
      </c>
      <c r="F69" s="34" t="inlineStr">
        <is>
          <t>lg:</t>
        </is>
      </c>
    </row>
    <row r="70">
      <c r="A70" s="33" t="inlineStr">
        <is>
          <t>TK-504</t>
        </is>
      </c>
      <c r="B70" s="33" t="inlineStr">
        <is>
          <t>breakpoint</t>
        </is>
      </c>
      <c r="C70" s="33" t="inlineStr">
        <is>
          <t>xl</t>
        </is>
      </c>
      <c r="D70" s="34" t="inlineStr">
        <is>
          <t>≥1280px</t>
        </is>
      </c>
      <c r="E70" s="34" t="inlineStr">
        <is>
          <t>넓은 데스크톱 (3~6열 그리드)</t>
        </is>
      </c>
      <c r="F70" s="34" t="inlineStr">
        <is>
          <t>xl:</t>
        </is>
      </c>
    </row>
    <row r="71">
      <c r="A71" s="33" t="inlineStr">
        <is>
          <t>TK-600</t>
        </is>
      </c>
      <c r="B71" s="33" t="inlineStr">
        <is>
          <t>animation</t>
        </is>
      </c>
      <c r="C71" s="33" t="inlineStr">
        <is>
          <t>transition-default</t>
        </is>
      </c>
      <c r="D71" s="34" t="inlineStr">
        <is>
          <t>150ms ease</t>
        </is>
      </c>
      <c r="E71" s="34" t="inlineStr">
        <is>
          <t>버튼 호버, 색상 전환</t>
        </is>
      </c>
      <c r="F71" s="34" t="inlineStr">
        <is>
          <t>transition-all</t>
        </is>
      </c>
    </row>
    <row r="72">
      <c r="A72" s="33" t="inlineStr">
        <is>
          <t>TK-601</t>
        </is>
      </c>
      <c r="B72" s="33" t="inlineStr">
        <is>
          <t>animation</t>
        </is>
      </c>
      <c r="C72" s="33" t="inlineStr">
        <is>
          <t>transition-slow</t>
        </is>
      </c>
      <c r="D72" s="34" t="inlineStr">
        <is>
          <t>300ms ease</t>
        </is>
      </c>
      <c r="E72" s="34" t="inlineStr">
        <is>
          <t>모달 열기/닫기, 탭 전환</t>
        </is>
      </c>
      <c r="F72" s="34" t="inlineStr"/>
    </row>
    <row r="73">
      <c r="A73" s="33" t="inlineStr">
        <is>
          <t>TK-602</t>
        </is>
      </c>
      <c r="B73" s="33" t="inlineStr">
        <is>
          <t>animation</t>
        </is>
      </c>
      <c r="C73" s="33" t="inlineStr">
        <is>
          <t>spin</t>
        </is>
      </c>
      <c r="D73" s="34" t="inlineStr">
        <is>
          <t>1s linear infinite</t>
        </is>
      </c>
      <c r="E73" s="34" t="inlineStr">
        <is>
          <t>로딩 스핀 (Loader2)</t>
        </is>
      </c>
      <c r="F73" s="34" t="inlineStr">
        <is>
          <t>animate-spin</t>
        </is>
      </c>
    </row>
    <row r="74">
      <c r="A74" s="33" t="inlineStr">
        <is>
          <t>TK-603</t>
        </is>
      </c>
      <c r="B74" s="33" t="inlineStr">
        <is>
          <t>animation</t>
        </is>
      </c>
      <c r="C74" s="33" t="inlineStr">
        <is>
          <t>pulse</t>
        </is>
      </c>
      <c r="D74" s="34" t="inlineStr">
        <is>
          <t>2s ease-in-out infinite</t>
        </is>
      </c>
      <c r="E74" s="34" t="inlineStr">
        <is>
          <t>RFID 스캔 대기, 시간초과 경고</t>
        </is>
      </c>
      <c r="F74" s="34" t="inlineStr">
        <is>
          <t>animate-pulse</t>
        </is>
      </c>
    </row>
    <row r="75">
      <c r="A75" s="33" t="inlineStr">
        <is>
          <t>TK-604</t>
        </is>
      </c>
      <c r="B75" s="33" t="inlineStr">
        <is>
          <t>animation</t>
        </is>
      </c>
      <c r="C75" s="33" t="inlineStr">
        <is>
          <t>scale-press</t>
        </is>
      </c>
      <c r="D75" s="34" t="inlineStr">
        <is>
          <t>scale(0.98) 100ms</t>
        </is>
      </c>
      <c r="E75" s="34" t="inlineStr">
        <is>
          <t>버튼 클릭 피드백</t>
        </is>
      </c>
      <c r="F75" s="34" t="inlineStr">
        <is>
          <t>active:scale-[0.98]</t>
        </is>
      </c>
    </row>
    <row r="76">
      <c r="A76" s="33" t="inlineStr">
        <is>
          <t>TK-605</t>
        </is>
      </c>
      <c r="B76" s="33" t="inlineStr">
        <is>
          <t>animation</t>
        </is>
      </c>
      <c r="C76" s="33" t="inlineStr">
        <is>
          <t>fade-slide-in</t>
        </is>
      </c>
      <c r="D76" s="34" t="inlineStr">
        <is>
          <t>fade-in + slide-in-from-bottom-2</t>
        </is>
      </c>
      <c r="E76" s="34" t="inlineStr">
        <is>
          <t>모달, Step 전환</t>
        </is>
      </c>
      <c r="F76" s="34" t="inlineStr">
        <is>
          <t>animate-in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2026-03-11T06:49:12Z</dcterms:created>
  <dcterms:modified xsi:type="dcterms:W3CDTF">2026-03-13T01:17:51Z</dcterms:modified>
</cp:coreProperties>
</file>