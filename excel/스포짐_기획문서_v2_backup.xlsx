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</fonts>
  <fills count="17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2" t="inlineStr">
        <is>
          <t>인증</t>
        </is>
      </c>
      <c r="B2" s="2" t="inlineStr">
        <is>
          <t>로그인</t>
        </is>
      </c>
      <c r="D2" s="2" t="inlineStr">
        <is>
          <t>SCR-001</t>
        </is>
      </c>
      <c r="E2" s="2" t="inlineStr">
        <is>
          <t>로그인</t>
        </is>
      </c>
      <c r="F2" s="2" t="inlineStr">
        <is>
          <t>Web</t>
        </is>
      </c>
      <c r="G2" s="2" t="inlineStr">
        <is>
          <t>/login</t>
        </is>
      </c>
      <c r="H2" s="2" t="inlineStr">
        <is>
          <t>N</t>
        </is>
      </c>
      <c r="I2" s="2" t="inlineStr">
        <is>
          <t>비회원</t>
        </is>
      </c>
      <c r="J2" s="2" t="inlineStr">
        <is>
          <t>이메일/비밀번호 로그인 화면. 지점 선택 포함</t>
        </is>
      </c>
      <c r="K2" s="2" t="inlineStr">
        <is>
          <t>확정</t>
        </is>
      </c>
    </row>
    <row r="3">
      <c r="A3" s="2" t="inlineStr">
        <is>
          <t>대시보드</t>
        </is>
      </c>
      <c r="B3" s="2" t="inlineStr">
        <is>
          <t>메인</t>
        </is>
      </c>
      <c r="D3" s="2" t="inlineStr">
        <is>
          <t>SCR-002</t>
        </is>
      </c>
      <c r="E3" s="2" t="inlineStr">
        <is>
          <t>대시보드</t>
        </is>
      </c>
      <c r="F3" s="2" t="inlineStr">
        <is>
          <t>Web</t>
        </is>
      </c>
      <c r="G3" s="2" t="inlineStr">
        <is>
          <t>/</t>
        </is>
      </c>
      <c r="H3" s="2" t="inlineStr">
        <is>
          <t>Y</t>
        </is>
      </c>
      <c r="I3" s="2" t="inlineStr">
        <is>
          <t>전체</t>
        </is>
      </c>
      <c r="J3" s="2" t="inlineStr">
        <is>
          <t>지점별 핵심 KPI 요약 대시보드</t>
        </is>
      </c>
      <c r="K3" s="2" t="inlineStr">
        <is>
          <t>확정</t>
        </is>
      </c>
    </row>
    <row r="4">
      <c r="A4" s="2" t="inlineStr">
        <is>
          <t>회원관리</t>
        </is>
      </c>
      <c r="B4" s="2" t="inlineStr">
        <is>
          <t>회원</t>
        </is>
      </c>
      <c r="D4" s="2" t="inlineStr">
        <is>
          <t>SCR-010</t>
        </is>
      </c>
      <c r="E4" s="2" t="inlineStr">
        <is>
          <t>회원 목록</t>
        </is>
      </c>
      <c r="F4" s="2" t="inlineStr">
        <is>
          <t>Web</t>
        </is>
      </c>
      <c r="G4" s="2" t="inlineStr">
        <is>
          <t>/members</t>
        </is>
      </c>
      <c r="H4" s="2" t="inlineStr">
        <is>
          <t>Y</t>
        </is>
      </c>
      <c r="I4" s="2" t="inlineStr">
        <is>
          <t>매니저 이상</t>
        </is>
      </c>
      <c r="J4" s="2" t="inlineStr">
        <is>
          <t>회원 검색/필터/목록 조회</t>
        </is>
      </c>
      <c r="K4" s="2" t="inlineStr">
        <is>
          <t>확정</t>
        </is>
      </c>
    </row>
    <row r="5">
      <c r="A5" s="2" t="inlineStr">
        <is>
          <t>회원관리</t>
        </is>
      </c>
      <c r="B5" s="2" t="inlineStr">
        <is>
          <t>회원</t>
        </is>
      </c>
      <c r="D5" s="2" t="inlineStr">
        <is>
          <t>SCR-011</t>
        </is>
      </c>
      <c r="E5" s="2" t="inlineStr">
        <is>
          <t>회원 상세</t>
        </is>
      </c>
      <c r="F5" s="2" t="inlineStr">
        <is>
          <t>Web</t>
        </is>
      </c>
      <c r="G5" s="2" t="inlineStr">
        <is>
          <t>/members/detail</t>
        </is>
      </c>
      <c r="H5" s="2" t="inlineStr">
        <is>
          <t>Y</t>
        </is>
      </c>
      <c r="I5" s="2" t="inlineStr">
        <is>
          <t>매니저 이상</t>
        </is>
      </c>
      <c r="J5" s="2" t="inlineStr">
        <is>
          <t>회원 프로필, 이용권, 출석, 결제, 체성분, 메모 탭</t>
        </is>
      </c>
      <c r="K5" s="2" t="inlineStr">
        <is>
          <t>확정</t>
        </is>
      </c>
    </row>
    <row r="6">
      <c r="A6" s="2" t="inlineStr">
        <is>
          <t>회원관리</t>
        </is>
      </c>
      <c r="B6" s="2" t="inlineStr">
        <is>
          <t>회원</t>
        </is>
      </c>
      <c r="D6" s="2" t="inlineStr">
        <is>
          <t>SCR-012</t>
        </is>
      </c>
      <c r="E6" s="2" t="inlineStr">
        <is>
          <t>회원 등록</t>
        </is>
      </c>
      <c r="F6" s="2" t="inlineStr">
        <is>
          <t>Web</t>
        </is>
      </c>
      <c r="G6" s="2" t="inlineStr">
        <is>
          <t>/members/new</t>
        </is>
      </c>
      <c r="H6" s="2" t="inlineStr">
        <is>
          <t>Y</t>
        </is>
      </c>
      <c r="I6" s="2" t="inlineStr">
        <is>
          <t>매니저 이상</t>
        </is>
      </c>
      <c r="J6" s="2" t="inlineStr">
        <is>
          <t>신규 회원 등록 폼</t>
        </is>
      </c>
      <c r="K6" s="2" t="inlineStr">
        <is>
          <t>확정</t>
        </is>
      </c>
    </row>
    <row r="7">
      <c r="A7" s="2" t="inlineStr">
        <is>
          <t>회원관리</t>
        </is>
      </c>
      <c r="B7" s="2" t="inlineStr">
        <is>
          <t>회원</t>
        </is>
      </c>
      <c r="D7" s="2" t="inlineStr">
        <is>
          <t>SCR-013</t>
        </is>
      </c>
      <c r="E7" s="2" t="inlineStr">
        <is>
          <t>회원 수정</t>
        </is>
      </c>
      <c r="F7" s="2" t="inlineStr">
        <is>
          <t>Web</t>
        </is>
      </c>
      <c r="G7" s="2" t="inlineStr">
        <is>
          <t>/members/edit</t>
        </is>
      </c>
      <c r="H7" s="2" t="inlineStr">
        <is>
          <t>Y</t>
        </is>
      </c>
      <c r="I7" s="2" t="inlineStr">
        <is>
          <t>매니저 이상</t>
        </is>
      </c>
      <c r="J7" s="2" t="inlineStr">
        <is>
          <t>기존 회원 정보 수정 폼</t>
        </is>
      </c>
      <c r="K7" s="2" t="inlineStr">
        <is>
          <t>확정</t>
        </is>
      </c>
    </row>
    <row r="8">
      <c r="A8" s="2" t="inlineStr">
        <is>
          <t>회원관리</t>
        </is>
      </c>
      <c r="B8" s="2" t="inlineStr">
        <is>
          <t>체성분</t>
        </is>
      </c>
      <c r="D8" s="2" t="inlineStr">
        <is>
          <t>SCR-014</t>
        </is>
      </c>
      <c r="E8" s="2" t="inlineStr">
        <is>
          <t>체성분 분석</t>
        </is>
      </c>
      <c r="F8" s="2" t="inlineStr">
        <is>
          <t>Web</t>
        </is>
      </c>
      <c r="G8" s="2" t="inlineStr">
        <is>
          <t>/body-composition</t>
        </is>
      </c>
      <c r="H8" s="2" t="inlineStr">
        <is>
          <t>Y</t>
        </is>
      </c>
      <c r="I8" s="2" t="inlineStr">
        <is>
          <t>FC 이상</t>
        </is>
      </c>
      <c r="J8" s="2" t="inlineStr">
        <is>
          <t>체성분 측정 기록 및 변화 추이 차트</t>
        </is>
      </c>
      <c r="K8" s="2" t="inlineStr">
        <is>
          <t>확정</t>
        </is>
      </c>
    </row>
    <row r="9">
      <c r="A9" s="2" t="inlineStr">
        <is>
          <t>출석/일정</t>
        </is>
      </c>
      <c r="B9" s="2" t="inlineStr">
        <is>
          <t>출석</t>
        </is>
      </c>
      <c r="D9" s="2" t="inlineStr">
        <is>
          <t>SCR-020</t>
        </is>
      </c>
      <c r="E9" s="2" t="inlineStr">
        <is>
          <t>출석 기록</t>
        </is>
      </c>
      <c r="F9" s="2" t="inlineStr">
        <is>
          <t>Web</t>
        </is>
      </c>
      <c r="G9" s="2" t="inlineStr">
        <is>
          <t>/attendance</t>
        </is>
      </c>
      <c r="H9" s="2" t="inlineStr">
        <is>
          <t>Y</t>
        </is>
      </c>
      <c r="I9" s="2" t="inlineStr">
        <is>
          <t>스태프 이상</t>
        </is>
      </c>
      <c r="J9" s="2" t="inlineStr">
        <is>
          <t>회원 출석 현황 조회 (일별/주별/월별)</t>
        </is>
      </c>
      <c r="K9" s="2" t="inlineStr">
        <is>
          <t>확정</t>
        </is>
      </c>
    </row>
    <row r="10">
      <c r="A10" s="2" t="inlineStr">
        <is>
          <t>출석/일정</t>
        </is>
      </c>
      <c r="B10" s="2" t="inlineStr">
        <is>
          <t>일정</t>
        </is>
      </c>
      <c r="D10" s="2" t="inlineStr">
        <is>
          <t>SCR-021</t>
        </is>
      </c>
      <c r="E10" s="2" t="inlineStr">
        <is>
          <t>일정 관리</t>
        </is>
      </c>
      <c r="F10" s="2" t="inlineStr">
        <is>
          <t>Web</t>
        </is>
      </c>
      <c r="G10" s="2" t="inlineStr">
        <is>
          <t>/calendar</t>
        </is>
      </c>
      <c r="H10" s="2" t="inlineStr">
        <is>
          <t>Y</t>
        </is>
      </c>
      <c r="I10" s="2" t="inlineStr">
        <is>
          <t>스태프 이상</t>
        </is>
      </c>
      <c r="J10" s="2" t="inlineStr">
        <is>
          <t>PT/GX 일정 캘린더 뷰</t>
        </is>
      </c>
      <c r="K10" s="2" t="inlineStr">
        <is>
          <t>확정</t>
        </is>
      </c>
    </row>
    <row r="11">
      <c r="A11" s="2" t="inlineStr">
        <is>
          <t>매출/결제</t>
        </is>
      </c>
      <c r="B11" s="2" t="inlineStr">
        <is>
          <t>매출</t>
        </is>
      </c>
      <c r="D11" s="2" t="inlineStr">
        <is>
          <t>SCR-030</t>
        </is>
      </c>
      <c r="E11" s="2" t="inlineStr">
        <is>
          <t>매출 조회</t>
        </is>
      </c>
      <c r="F11" s="2" t="inlineStr">
        <is>
          <t>Web</t>
        </is>
      </c>
      <c r="G11" s="2" t="inlineStr">
        <is>
          <t>/sales</t>
        </is>
      </c>
      <c r="H11" s="2" t="inlineStr">
        <is>
          <t>Y</t>
        </is>
      </c>
      <c r="I11" s="2" t="inlineStr">
        <is>
          <t>매니저 이상</t>
        </is>
      </c>
      <c r="J11" s="2" t="inlineStr">
        <is>
          <t>매출 현황 조회, 필터, 통계 요약</t>
        </is>
      </c>
      <c r="K11" s="2" t="inlineStr">
        <is>
          <t>확정</t>
        </is>
      </c>
    </row>
    <row r="12">
      <c r="A12" s="2" t="inlineStr">
        <is>
          <t>매출/결제</t>
        </is>
      </c>
      <c r="B12" s="2" t="inlineStr">
        <is>
          <t>POS</t>
        </is>
      </c>
      <c r="D12" s="2" t="inlineStr">
        <is>
          <t>SCR-031</t>
        </is>
      </c>
      <c r="E12" s="2" t="inlineStr">
        <is>
          <t>POS</t>
        </is>
      </c>
      <c r="F12" s="2" t="inlineStr">
        <is>
          <t>Web</t>
        </is>
      </c>
      <c r="G12" s="2" t="inlineStr">
        <is>
          <t>/pos</t>
        </is>
      </c>
      <c r="H12" s="2" t="inlineStr">
        <is>
          <t>Y</t>
        </is>
      </c>
      <c r="I12" s="2" t="inlineStr">
        <is>
          <t>스태프 이상</t>
        </is>
      </c>
      <c r="J12" s="2" t="inlineStr">
        <is>
          <t>POS 상품 선택 및 장바구니</t>
        </is>
      </c>
      <c r="K12" s="2" t="inlineStr">
        <is>
          <t>확정</t>
        </is>
      </c>
    </row>
    <row r="13">
      <c r="A13" s="2" t="inlineStr">
        <is>
          <t>매출/결제</t>
        </is>
      </c>
      <c r="B13" s="2" t="inlineStr">
        <is>
          <t>POS</t>
        </is>
      </c>
      <c r="D13" s="2" t="inlineStr">
        <is>
          <t>SCR-032</t>
        </is>
      </c>
      <c r="E13" s="2" t="inlineStr">
        <is>
          <t>POS 결제</t>
        </is>
      </c>
      <c r="F13" s="2" t="inlineStr">
        <is>
          <t>Web</t>
        </is>
      </c>
      <c r="G13" s="2" t="inlineStr">
        <is>
          <t>/pos/payment</t>
        </is>
      </c>
      <c r="H13" s="2" t="inlineStr">
        <is>
          <t>Y</t>
        </is>
      </c>
      <c r="I13" s="2" t="inlineStr">
        <is>
          <t>스태프 이상</t>
        </is>
      </c>
      <c r="J13" s="2" t="inlineStr">
        <is>
          <t>결제 수단 선택 및 결제 처리</t>
        </is>
      </c>
      <c r="K13" s="2" t="inlineStr">
        <is>
          <t>확정</t>
        </is>
      </c>
    </row>
    <row r="14">
      <c r="A14" s="2" t="inlineStr">
        <is>
          <t>상품관리</t>
        </is>
      </c>
      <c r="B14" s="2" t="inlineStr">
        <is>
          <t>상품</t>
        </is>
      </c>
      <c r="D14" s="2" t="inlineStr">
        <is>
          <t>SCR-040</t>
        </is>
      </c>
      <c r="E14" s="2" t="inlineStr">
        <is>
          <t>상품 목록</t>
        </is>
      </c>
      <c r="F14" s="2" t="inlineStr">
        <is>
          <t>Web</t>
        </is>
      </c>
      <c r="G14" s="2" t="inlineStr">
        <is>
          <t>/products</t>
        </is>
      </c>
      <c r="H14" s="2" t="inlineStr">
        <is>
          <t>Y</t>
        </is>
      </c>
      <c r="I14" s="2" t="inlineStr">
        <is>
          <t>매니저 이상</t>
        </is>
      </c>
      <c r="J14" s="2" t="inlineStr">
        <is>
          <t>이용권/PT/기타 상품 목록</t>
        </is>
      </c>
      <c r="K14" s="2" t="inlineStr">
        <is>
          <t>확정</t>
        </is>
      </c>
    </row>
    <row r="15">
      <c r="A15" s="2" t="inlineStr">
        <is>
          <t>상품관리</t>
        </is>
      </c>
      <c r="B15" s="2" t="inlineStr">
        <is>
          <t>상품</t>
        </is>
      </c>
      <c r="D15" s="2" t="inlineStr">
        <is>
          <t>SCR-041</t>
        </is>
      </c>
      <c r="E15" s="2" t="inlineStr">
        <is>
          <t>상품 등록</t>
        </is>
      </c>
      <c r="F15" s="2" t="inlineStr">
        <is>
          <t>Web</t>
        </is>
      </c>
      <c r="G15" s="2" t="inlineStr">
        <is>
          <t>/products/new</t>
        </is>
      </c>
      <c r="H15" s="2" t="inlineStr">
        <is>
          <t>Y</t>
        </is>
      </c>
      <c r="I15" s="2" t="inlineStr">
        <is>
          <t>센터장 이상</t>
        </is>
      </c>
      <c r="J15" s="2" t="inlineStr">
        <is>
          <t>신규 상품 등록 폼</t>
        </is>
      </c>
      <c r="K15" s="2" t="inlineStr">
        <is>
          <t>확정</t>
        </is>
      </c>
    </row>
    <row r="16">
      <c r="A16" s="2" t="inlineStr">
        <is>
          <t>시설관리</t>
        </is>
      </c>
      <c r="B16" s="2" t="inlineStr">
        <is>
          <t>락커</t>
        </is>
      </c>
      <c r="D16" s="2" t="inlineStr">
        <is>
          <t>SCR-050</t>
        </is>
      </c>
      <c r="E16" s="2" t="inlineStr">
        <is>
          <t>락커 현황</t>
        </is>
      </c>
      <c r="F16" s="2" t="inlineStr">
        <is>
          <t>Web</t>
        </is>
      </c>
      <c r="G16" s="2" t="inlineStr">
        <is>
          <t>/locker</t>
        </is>
      </c>
      <c r="H16" s="2" t="inlineStr">
        <is>
          <t>Y</t>
        </is>
      </c>
      <c r="I16" s="2" t="inlineStr">
        <is>
          <t>스태프 이상</t>
        </is>
      </c>
      <c r="J16" s="2" t="inlineStr">
        <is>
          <t>락커 구역별 배정 현황 (색상 그리드)</t>
        </is>
      </c>
      <c r="K16" s="2" t="inlineStr">
        <is>
          <t>확정</t>
        </is>
      </c>
    </row>
    <row r="17">
      <c r="A17" s="2" t="inlineStr">
        <is>
          <t>시설관리</t>
        </is>
      </c>
      <c r="B17" s="2" t="inlineStr">
        <is>
          <t>락커</t>
        </is>
      </c>
      <c r="D17" s="2" t="inlineStr">
        <is>
          <t>SCR-051</t>
        </is>
      </c>
      <c r="E17" s="2" t="inlineStr">
        <is>
          <t>락커 관리</t>
        </is>
      </c>
      <c r="F17" s="2" t="inlineStr">
        <is>
          <t>Web</t>
        </is>
      </c>
      <c r="G17" s="2" t="inlineStr">
        <is>
          <t>/locker/management</t>
        </is>
      </c>
      <c r="H17" s="2" t="inlineStr">
        <is>
          <t>Y</t>
        </is>
      </c>
      <c r="I17" s="2" t="inlineStr">
        <is>
          <t>매니저 이상</t>
        </is>
      </c>
      <c r="J17" s="2" t="inlineStr">
        <is>
          <t>락커 배정/해제/일괄 관리</t>
        </is>
      </c>
      <c r="K17" s="2" t="inlineStr">
        <is>
          <t>확정</t>
        </is>
      </c>
    </row>
    <row r="18">
      <c r="A18" s="2" t="inlineStr">
        <is>
          <t>시설관리</t>
        </is>
      </c>
      <c r="B18" s="2" t="inlineStr">
        <is>
          <t>RFID</t>
        </is>
      </c>
      <c r="D18" s="2" t="inlineStr">
        <is>
          <t>SCR-052</t>
        </is>
      </c>
      <c r="E18" s="2" t="inlineStr">
        <is>
          <t>RFID 관리</t>
        </is>
      </c>
      <c r="F18" s="2" t="inlineStr">
        <is>
          <t>Web</t>
        </is>
      </c>
      <c r="G18" s="2" t="inlineStr">
        <is>
          <t>/rfid</t>
        </is>
      </c>
      <c r="H18" s="2" t="inlineStr">
        <is>
          <t>Y</t>
        </is>
      </c>
      <c r="I18" s="2" t="inlineStr">
        <is>
          <t>매니저 이상</t>
        </is>
      </c>
      <c r="J18" s="2" t="inlineStr">
        <is>
          <t>RFID 카드 등록/해제/이력 조회</t>
        </is>
      </c>
      <c r="K18" s="2" t="inlineStr">
        <is>
          <t>확정</t>
        </is>
      </c>
    </row>
    <row r="19">
      <c r="A19" s="2" t="inlineStr">
        <is>
          <t>시설관리</t>
        </is>
      </c>
      <c r="B19" s="2" t="inlineStr">
        <is>
          <t>룸</t>
        </is>
      </c>
      <c r="D19" s="2" t="inlineStr">
        <is>
          <t>SCR-053</t>
        </is>
      </c>
      <c r="E19" s="2" t="inlineStr">
        <is>
          <t>룸 관리</t>
        </is>
      </c>
      <c r="F19" s="2" t="inlineStr">
        <is>
          <t>Web</t>
        </is>
      </c>
      <c r="G19" s="2" t="inlineStr">
        <is>
          <t>/rooms</t>
        </is>
      </c>
      <c r="H19" s="2" t="inlineStr">
        <is>
          <t>Y</t>
        </is>
      </c>
      <c r="I19" s="2" t="inlineStr">
        <is>
          <t>매니저 이상</t>
        </is>
      </c>
      <c r="J19" s="2" t="inlineStr">
        <is>
          <t>GX룸/PT룸 관리 및 예약 설정</t>
        </is>
      </c>
      <c r="K19" s="2" t="inlineStr">
        <is>
          <t>확정</t>
        </is>
      </c>
    </row>
    <row r="20">
      <c r="A20" s="2" t="inlineStr">
        <is>
          <t>직원관리</t>
        </is>
      </c>
      <c r="B20" s="2" t="inlineStr">
        <is>
          <t>직원</t>
        </is>
      </c>
      <c r="D20" s="2" t="inlineStr">
        <is>
          <t>SCR-060</t>
        </is>
      </c>
      <c r="E20" s="2" t="inlineStr">
        <is>
          <t>직원 목록</t>
        </is>
      </c>
      <c r="F20" s="2" t="inlineStr">
        <is>
          <t>Web</t>
        </is>
      </c>
      <c r="G20" s="2" t="inlineStr">
        <is>
          <t>/staff</t>
        </is>
      </c>
      <c r="H20" s="2" t="inlineStr">
        <is>
          <t>Y</t>
        </is>
      </c>
      <c r="I20" s="2" t="inlineStr">
        <is>
          <t>센터장 이상</t>
        </is>
      </c>
      <c r="J20" s="2" t="inlineStr">
        <is>
          <t>직원 검색/필터/목록 조회</t>
        </is>
      </c>
      <c r="K20" s="2" t="inlineStr">
        <is>
          <t>확정</t>
        </is>
      </c>
    </row>
    <row r="21">
      <c r="A21" s="2" t="inlineStr">
        <is>
          <t>직원관리</t>
        </is>
      </c>
      <c r="B21" s="2" t="inlineStr">
        <is>
          <t>직원</t>
        </is>
      </c>
      <c r="D21" s="2" t="inlineStr">
        <is>
          <t>SCR-061</t>
        </is>
      </c>
      <c r="E21" s="2" t="inlineStr">
        <is>
          <t>직원 등록</t>
        </is>
      </c>
      <c r="F21" s="2" t="inlineStr">
        <is>
          <t>Web</t>
        </is>
      </c>
      <c r="G21" s="2" t="inlineStr">
        <is>
          <t>/staff/new</t>
        </is>
      </c>
      <c r="H21" s="2" t="inlineStr">
        <is>
          <t>Y</t>
        </is>
      </c>
      <c r="I21" s="2" t="inlineStr">
        <is>
          <t>센터장 이상</t>
        </is>
      </c>
      <c r="J21" s="2" t="inlineStr">
        <is>
          <t>신규 직원 등록 폼</t>
        </is>
      </c>
      <c r="K21" s="2" t="inlineStr">
        <is>
          <t>확정</t>
        </is>
      </c>
    </row>
    <row r="22">
      <c r="A22" s="2" t="inlineStr">
        <is>
          <t>직원관리</t>
        </is>
      </c>
      <c r="B22" s="2" t="inlineStr">
        <is>
          <t>급여</t>
        </is>
      </c>
      <c r="D22" s="2" t="inlineStr">
        <is>
          <t>SCR-062</t>
        </is>
      </c>
      <c r="E22" s="2" t="inlineStr">
        <is>
          <t>급여 현황</t>
        </is>
      </c>
      <c r="F22" s="2" t="inlineStr">
        <is>
          <t>Web</t>
        </is>
      </c>
      <c r="G22" s="2" t="inlineStr">
        <is>
          <t>/payroll</t>
        </is>
      </c>
      <c r="H22" s="2" t="inlineStr">
        <is>
          <t>Y</t>
        </is>
      </c>
      <c r="I22" s="2" t="inlineStr">
        <is>
          <t>센터장 이상</t>
        </is>
      </c>
      <c r="J22" s="2" t="inlineStr">
        <is>
          <t>월별 급여 현황 요약</t>
        </is>
      </c>
      <c r="K22" s="2" t="inlineStr">
        <is>
          <t>확정</t>
        </is>
      </c>
    </row>
    <row r="23">
      <c r="A23" s="2" t="inlineStr">
        <is>
          <t>직원관리</t>
        </is>
      </c>
      <c r="B23" s="2" t="inlineStr">
        <is>
          <t>급여</t>
        </is>
      </c>
      <c r="D23" s="2" t="inlineStr">
        <is>
          <t>SCR-063</t>
        </is>
      </c>
      <c r="E23" s="2" t="inlineStr">
        <is>
          <t>급여명세서</t>
        </is>
      </c>
      <c r="F23" s="2" t="inlineStr">
        <is>
          <t>Web</t>
        </is>
      </c>
      <c r="G23" s="2" t="inlineStr">
        <is>
          <t>/payroll/statements</t>
        </is>
      </c>
      <c r="H23" s="2" t="inlineStr">
        <is>
          <t>Y</t>
        </is>
      </c>
      <c r="I23" s="2" t="inlineStr">
        <is>
          <t>센터장 이상</t>
        </is>
      </c>
      <c r="J23" s="2" t="inlineStr">
        <is>
          <t>직원별 급여명세서 상세</t>
        </is>
      </c>
      <c r="K23" s="2" t="inlineStr">
        <is>
          <t>확정</t>
        </is>
      </c>
    </row>
    <row r="24">
      <c r="A24" s="2" t="inlineStr">
        <is>
          <t>메시지/마케팅</t>
        </is>
      </c>
      <c r="B24" s="2" t="inlineStr">
        <is>
          <t>메시지</t>
        </is>
      </c>
      <c r="D24" s="2" t="inlineStr">
        <is>
          <t>SCR-070</t>
        </is>
      </c>
      <c r="E24" s="2" t="inlineStr">
        <is>
          <t>메시지 발송</t>
        </is>
      </c>
      <c r="F24" s="2" t="inlineStr">
        <is>
          <t>Web</t>
        </is>
      </c>
      <c r="G24" s="2" t="inlineStr">
        <is>
          <t>/message</t>
        </is>
      </c>
      <c r="H24" s="2" t="inlineStr">
        <is>
          <t>Y</t>
        </is>
      </c>
      <c r="I24" s="2" t="inlineStr">
        <is>
          <t>매니저 이상</t>
        </is>
      </c>
      <c r="J24" s="2" t="inlineStr">
        <is>
          <t>SMS/카카오톡 메시지 발송</t>
        </is>
      </c>
      <c r="K24" s="2" t="inlineStr">
        <is>
          <t>확정</t>
        </is>
      </c>
    </row>
    <row r="25">
      <c r="A25" s="2" t="inlineStr">
        <is>
          <t>메시지/마케팅</t>
        </is>
      </c>
      <c r="B25" s="2" t="inlineStr">
        <is>
          <t>자동알림</t>
        </is>
      </c>
      <c r="D25" s="2" t="inlineStr">
        <is>
          <t>SCR-071</t>
        </is>
      </c>
      <c r="E25" s="2" t="inlineStr">
        <is>
          <t>자동 알림</t>
        </is>
      </c>
      <c r="F25" s="2" t="inlineStr">
        <is>
          <t>Web</t>
        </is>
      </c>
      <c r="G25" s="2" t="inlineStr">
        <is>
          <t>/message/auto-alarm</t>
        </is>
      </c>
      <c r="H25" s="2" t="inlineStr">
        <is>
          <t>Y</t>
        </is>
      </c>
      <c r="I25" s="2" t="inlineStr">
        <is>
          <t>매니저 이상</t>
        </is>
      </c>
      <c r="J25" s="2" t="inlineStr">
        <is>
          <t>자동 알림 규칙 설정 (만료/생일 등)</t>
        </is>
      </c>
      <c r="K25" s="2" t="inlineStr">
        <is>
          <t>확정</t>
        </is>
      </c>
    </row>
    <row r="26">
      <c r="A26" s="2" t="inlineStr">
        <is>
          <t>메시지/마케팅</t>
        </is>
      </c>
      <c r="B26" s="2" t="inlineStr">
        <is>
          <t>쿠폰</t>
        </is>
      </c>
      <c r="D26" s="2" t="inlineStr">
        <is>
          <t>SCR-072</t>
        </is>
      </c>
      <c r="E26" s="2" t="inlineStr">
        <is>
          <t>쿠폰 관리</t>
        </is>
      </c>
      <c r="F26" s="2" t="inlineStr">
        <is>
          <t>Web</t>
        </is>
      </c>
      <c r="G26" s="2" t="inlineStr">
        <is>
          <t>/message/coupon</t>
        </is>
      </c>
      <c r="H26" s="2" t="inlineStr">
        <is>
          <t>Y</t>
        </is>
      </c>
      <c r="I26" s="2" t="inlineStr">
        <is>
          <t>매니저 이상</t>
        </is>
      </c>
      <c r="J26" s="2" t="inlineStr">
        <is>
          <t>쿠폰 생성/발급/이력 관리</t>
        </is>
      </c>
      <c r="K26" s="2" t="inlineStr">
        <is>
          <t>확정</t>
        </is>
      </c>
    </row>
    <row r="27">
      <c r="A27" s="2" t="inlineStr">
        <is>
          <t>메시지/마케팅</t>
        </is>
      </c>
      <c r="B27" s="2" t="inlineStr">
        <is>
          <t>마일리지</t>
        </is>
      </c>
      <c r="D27" s="2" t="inlineStr">
        <is>
          <t>SCR-073</t>
        </is>
      </c>
      <c r="E27" s="2" t="inlineStr">
        <is>
          <t>마일리지 관리</t>
        </is>
      </c>
      <c r="F27" s="2" t="inlineStr">
        <is>
          <t>Web</t>
        </is>
      </c>
      <c r="G27" s="2" t="inlineStr">
        <is>
          <t>/mileage</t>
        </is>
      </c>
      <c r="H27" s="2" t="inlineStr">
        <is>
          <t>Y</t>
        </is>
      </c>
      <c r="I27" s="2" t="inlineStr">
        <is>
          <t>매니저 이상</t>
        </is>
      </c>
      <c r="J27" s="2" t="inlineStr">
        <is>
          <t>회원 마일리지 적립/사용 이력</t>
        </is>
      </c>
      <c r="K27" s="2" t="inlineStr">
        <is>
          <t>확정</t>
        </is>
      </c>
    </row>
    <row r="28">
      <c r="A28" s="2" t="inlineStr">
        <is>
          <t>계약/구독</t>
        </is>
      </c>
      <c r="B28" s="2" t="inlineStr">
        <is>
          <t>계약</t>
        </is>
      </c>
      <c r="D28" s="2" t="inlineStr">
        <is>
          <t>SCR-080</t>
        </is>
      </c>
      <c r="E28" s="2" t="inlineStr">
        <is>
          <t>계약 마법사</t>
        </is>
      </c>
      <c r="F28" s="2" t="inlineStr">
        <is>
          <t>Web</t>
        </is>
      </c>
      <c r="G28" s="2" t="inlineStr">
        <is>
          <t>/contracts/new</t>
        </is>
      </c>
      <c r="H28" s="2" t="inlineStr">
        <is>
          <t>Y</t>
        </is>
      </c>
      <c r="I28" s="2" t="inlineStr">
        <is>
          <t>매니저 이상</t>
        </is>
      </c>
      <c r="J28" s="2" t="inlineStr">
        <is>
          <t>단계별 계약 등록 위자드</t>
        </is>
      </c>
      <c r="K28" s="2" t="inlineStr">
        <is>
          <t>확정</t>
        </is>
      </c>
    </row>
    <row r="29">
      <c r="A29" s="2" t="inlineStr">
        <is>
          <t>계약/구독</t>
        </is>
      </c>
      <c r="B29" s="2" t="inlineStr">
        <is>
          <t>구독</t>
        </is>
      </c>
      <c r="D29" s="2" t="inlineStr">
        <is>
          <t>SCR-081</t>
        </is>
      </c>
      <c r="E29" s="2" t="inlineStr">
        <is>
          <t>구독 관리</t>
        </is>
      </c>
      <c r="F29" s="2" t="inlineStr">
        <is>
          <t>Web</t>
        </is>
      </c>
      <c r="G29" s="2" t="inlineStr">
        <is>
          <t>/subscription</t>
        </is>
      </c>
      <c r="H29" s="2" t="inlineStr">
        <is>
          <t>Y</t>
        </is>
      </c>
      <c r="I29" s="2" t="inlineStr">
        <is>
          <t>센터장 이상</t>
        </is>
      </c>
      <c r="J29" s="2" t="inlineStr">
        <is>
          <t>정기 구독 상품 관리</t>
        </is>
      </c>
      <c r="K29" s="2" t="inlineStr">
        <is>
          <t>확정</t>
        </is>
      </c>
    </row>
    <row r="30">
      <c r="A30" s="2" t="inlineStr">
        <is>
          <t>설정</t>
        </is>
      </c>
      <c r="B30" s="2" t="inlineStr">
        <is>
          <t>설정</t>
        </is>
      </c>
      <c r="D30" s="2" t="inlineStr">
        <is>
          <t>SCR-090</t>
        </is>
      </c>
      <c r="E30" s="2" t="inlineStr">
        <is>
          <t>설정</t>
        </is>
      </c>
      <c r="F30" s="2" t="inlineStr">
        <is>
          <t>Web</t>
        </is>
      </c>
      <c r="G30" s="2" t="inlineStr">
        <is>
          <t>/settings</t>
        </is>
      </c>
      <c r="H30" s="2" t="inlineStr">
        <is>
          <t>Y</t>
        </is>
      </c>
      <c r="I30" s="2" t="inlineStr">
        <is>
          <t>센터장 이상</t>
        </is>
      </c>
      <c r="J30" s="2" t="inlineStr">
        <is>
          <t>시스템 기본 설정</t>
        </is>
      </c>
      <c r="K30" s="2" t="inlineStr">
        <is>
          <t>확정</t>
        </is>
      </c>
    </row>
    <row r="31">
      <c r="A31" s="2" t="inlineStr">
        <is>
          <t>설정</t>
        </is>
      </c>
      <c r="B31" s="2" t="inlineStr">
        <is>
          <t>권한</t>
        </is>
      </c>
      <c r="D31" s="2" t="inlineStr">
        <is>
          <t>SCR-091</t>
        </is>
      </c>
      <c r="E31" s="2" t="inlineStr">
        <is>
          <t>권한 설정</t>
        </is>
      </c>
      <c r="F31" s="2" t="inlineStr">
        <is>
          <t>Web</t>
        </is>
      </c>
      <c r="G31" s="2" t="inlineStr">
        <is>
          <t>/settings/permissions</t>
        </is>
      </c>
      <c r="H31" s="2" t="inlineStr">
        <is>
          <t>Y</t>
        </is>
      </c>
      <c r="I31" s="2" t="inlineStr">
        <is>
          <t>최고관리자</t>
        </is>
      </c>
      <c r="J31" s="2" t="inlineStr">
        <is>
          <t>역할별 메뉴/기능 권한 매트릭스</t>
        </is>
      </c>
      <c r="K31" s="2" t="inlineStr">
        <is>
          <t>확정</t>
        </is>
      </c>
    </row>
    <row r="32">
      <c r="A32" s="2" t="inlineStr">
        <is>
          <t>설정</t>
        </is>
      </c>
      <c r="B32" s="2" t="inlineStr">
        <is>
          <t>키오스크</t>
        </is>
      </c>
      <c r="D32" s="2" t="inlineStr">
        <is>
          <t>SCR-092</t>
        </is>
      </c>
      <c r="E32" s="2" t="inlineStr">
        <is>
          <t>키오스크 설정</t>
        </is>
      </c>
      <c r="F32" s="2" t="inlineStr">
        <is>
          <t>Web</t>
        </is>
      </c>
      <c r="G32" s="2" t="inlineStr">
        <is>
          <t>/settings/kiosk</t>
        </is>
      </c>
      <c r="H32" s="2" t="inlineStr">
        <is>
          <t>Y</t>
        </is>
      </c>
      <c r="I32" s="2" t="inlineStr">
        <is>
          <t>센터장 이상</t>
        </is>
      </c>
      <c r="J32" s="2" t="inlineStr">
        <is>
          <t>키오스크 디스플레이/동작 설정</t>
        </is>
      </c>
      <c r="K32" s="2" t="inlineStr">
        <is>
          <t>확정</t>
        </is>
      </c>
    </row>
    <row r="33">
      <c r="A33" s="2" t="inlineStr">
        <is>
          <t>설정</t>
        </is>
      </c>
      <c r="B33" s="2" t="inlineStr">
        <is>
          <t>IoT</t>
        </is>
      </c>
      <c r="D33" s="2" t="inlineStr">
        <is>
          <t>SCR-093</t>
        </is>
      </c>
      <c r="E33" s="2" t="inlineStr">
        <is>
          <t>IoT 설정</t>
        </is>
      </c>
      <c r="F33" s="2" t="inlineStr">
        <is>
          <t>Web</t>
        </is>
      </c>
      <c r="G33" s="2" t="inlineStr">
        <is>
          <t>/settings/iot</t>
        </is>
      </c>
      <c r="H33" s="2" t="inlineStr">
        <is>
          <t>Y</t>
        </is>
      </c>
      <c r="I33" s="2" t="inlineStr">
        <is>
          <t>센터장 이상</t>
        </is>
      </c>
      <c r="J33" s="2" t="inlineStr">
        <is>
          <t>출입문/체성분 기기 연동 설정</t>
        </is>
      </c>
      <c r="K33" s="2" t="inlineStr">
        <is>
          <t>확정</t>
        </is>
      </c>
    </row>
    <row r="34">
      <c r="A34" s="2" t="inlineStr">
        <is>
          <t>설정</t>
        </is>
      </c>
      <c r="B34" s="2" t="inlineStr">
        <is>
          <t>지점</t>
        </is>
      </c>
      <c r="D34" s="2" t="inlineStr">
        <is>
          <t>SCR-094</t>
        </is>
      </c>
      <c r="E34" s="2" t="inlineStr">
        <is>
          <t>지점 관리</t>
        </is>
      </c>
      <c r="F34" s="2" t="inlineStr">
        <is>
          <t>Web</t>
        </is>
      </c>
      <c r="G34" s="2" t="inlineStr">
        <is>
          <t>/branches</t>
        </is>
      </c>
      <c r="H34" s="2" t="inlineStr">
        <is>
          <t>Y</t>
        </is>
      </c>
      <c r="I34" s="2" t="inlineStr">
        <is>
          <t>최고관리자</t>
        </is>
      </c>
      <c r="J34" s="2" t="inlineStr">
        <is>
          <t>지점 CRUD 및 멀티테넌트 관리</t>
        </is>
      </c>
      <c r="K34" s="2" t="inlineStr">
        <is>
          <t>확정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2" t="inlineStr">
        <is>
          <t>US-001</t>
        </is>
      </c>
      <c r="B2" s="2" t="inlineStr">
        <is>
          <t>인증</t>
        </is>
      </c>
      <c r="C2" s="2" t="inlineStr">
        <is>
          <t>비회원</t>
        </is>
      </c>
      <c r="D2" s="2" t="inlineStr">
        <is>
          <t>비회원으로서 이메일/비밀번호로 로그인하여 시스템에 접근하고 싶다</t>
        </is>
      </c>
      <c r="E2" s="2" t="inlineStr">
        <is>
          <t>1) 올바른 이메일/비밀번호 입력 시 대시보드로 이동
2) 5회 실패 시 계정 잠금
3) 지점 선택 후 해당 지점 데이터만 표시</t>
        </is>
      </c>
      <c r="F2" s="2" t="inlineStr">
        <is>
          <t>SCR-001</t>
        </is>
      </c>
      <c r="G2" s="2" t="inlineStr">
        <is>
          <t>Critical</t>
        </is>
      </c>
      <c r="H2" s="2" t="inlineStr">
        <is>
          <t>S</t>
        </is>
      </c>
      <c r="I2" s="2" t="inlineStr">
        <is>
          <t>개발자1</t>
        </is>
      </c>
      <c r="J2" s="2" t="inlineStr">
        <is>
          <t>To Do</t>
        </is>
      </c>
      <c r="K2" s="2" t="inlineStr">
        <is>
          <t>로그인</t>
        </is>
      </c>
      <c r="L2" s="2" t="n">
        <v>1</v>
      </c>
    </row>
    <row r="3">
      <c r="A3" s="2" t="inlineStr">
        <is>
          <t>US-002</t>
        </is>
      </c>
      <c r="B3" s="2" t="inlineStr">
        <is>
          <t>대시보드</t>
        </is>
      </c>
      <c r="C3" s="2" t="inlineStr">
        <is>
          <t>센터장</t>
        </is>
      </c>
      <c r="D3" s="2" t="inlineStr">
        <is>
          <t>센터장으로서 대시보드에서 지점 핵심 KPI를 한눈에 파악하고 싶다</t>
        </is>
      </c>
      <c r="E3" s="2" t="inlineStr">
        <is>
          <t>1) 총회원/활성/만료임박/만료 회원 수 카드 표시
2) 오늘 생일 회원 리스트
3) 미납 회원 리스트
4) 당월 매출 차트</t>
        </is>
      </c>
      <c r="F3" s="2" t="inlineStr">
        <is>
          <t>SCR-002</t>
        </is>
      </c>
      <c r="G3" s="2" t="inlineStr">
        <is>
          <t>Critical</t>
        </is>
      </c>
      <c r="H3" s="2" t="inlineStr">
        <is>
          <t>M</t>
        </is>
      </c>
      <c r="I3" s="2" t="inlineStr">
        <is>
          <t>개발자1</t>
        </is>
      </c>
      <c r="J3" s="2" t="inlineStr">
        <is>
          <t>To Do</t>
        </is>
      </c>
      <c r="K3" s="2" t="inlineStr">
        <is>
          <t>대시보드</t>
        </is>
      </c>
      <c r="L3" s="2" t="n">
        <v>1</v>
      </c>
    </row>
    <row r="4">
      <c r="A4" s="2" t="inlineStr">
        <is>
          <t>US-003</t>
        </is>
      </c>
      <c r="B4" s="2" t="inlineStr">
        <is>
          <t>회원관리</t>
        </is>
      </c>
      <c r="C4" s="2" t="inlineStr">
        <is>
          <t>매니저</t>
        </is>
      </c>
      <c r="D4" s="2" t="inlineStr">
        <is>
          <t>매니저로서 회원을 검색/필터하여 원하는 회원을 빠르게 찾고 싶다</t>
        </is>
      </c>
      <c r="E4" s="2" t="inlineStr">
        <is>
          <t>1) 이름/연락처/회원번호로 검색
2) 상태/성별/담당자 필터
3) 엑셀 다운로드 가능</t>
        </is>
      </c>
      <c r="F4" s="2" t="inlineStr">
        <is>
          <t>SCR-010</t>
        </is>
      </c>
      <c r="G4" s="2" t="inlineStr">
        <is>
          <t>Critical</t>
        </is>
      </c>
      <c r="H4" s="2" t="inlineStr">
        <is>
          <t>M</t>
        </is>
      </c>
      <c r="I4" s="2" t="inlineStr">
        <is>
          <t>개발자1</t>
        </is>
      </c>
      <c r="J4" s="2" t="inlineStr">
        <is>
          <t>To Do</t>
        </is>
      </c>
      <c r="K4" s="2" t="inlineStr">
        <is>
          <t>회원 목록</t>
        </is>
      </c>
      <c r="L4" s="2" t="n">
        <v>2</v>
      </c>
    </row>
    <row r="5">
      <c r="A5" s="2" t="inlineStr">
        <is>
          <t>US-004</t>
        </is>
      </c>
      <c r="B5" s="2" t="inlineStr">
        <is>
          <t>회원관리</t>
        </is>
      </c>
      <c r="C5" s="2" t="inlineStr">
        <is>
          <t>매니저</t>
        </is>
      </c>
      <c r="D5" s="2" t="inlineStr">
        <is>
          <t>매니저로서 신규 회원을 등록하고 싶다</t>
        </is>
      </c>
      <c r="E5" s="2" t="inlineStr">
        <is>
          <t>1) 필수 항목(이름/연락처/성별) 입력
2) 담당 FC 배정
3) 등록 완료 시 회원 상세로 이동</t>
        </is>
      </c>
      <c r="F5" s="2" t="inlineStr">
        <is>
          <t>SCR-012</t>
        </is>
      </c>
      <c r="G5" s="2" t="inlineStr">
        <is>
          <t>Critical</t>
        </is>
      </c>
      <c r="H5" s="2" t="inlineStr">
        <is>
          <t>M</t>
        </is>
      </c>
      <c r="I5" s="2" t="inlineStr">
        <is>
          <t>개발자1</t>
        </is>
      </c>
      <c r="J5" s="2" t="inlineStr">
        <is>
          <t>To Do</t>
        </is>
      </c>
      <c r="K5" s="2" t="inlineStr">
        <is>
          <t>회원 등록</t>
        </is>
      </c>
      <c r="L5" s="2" t="n">
        <v>0</v>
      </c>
    </row>
    <row r="6">
      <c r="A6" s="2" t="inlineStr">
        <is>
          <t>US-005</t>
        </is>
      </c>
      <c r="B6" s="2" t="inlineStr">
        <is>
          <t>회원관리</t>
        </is>
      </c>
      <c r="C6" s="2" t="inlineStr">
        <is>
          <t>매니저</t>
        </is>
      </c>
      <c r="D6" s="2" t="inlineStr">
        <is>
          <t>매니저로서 회원 상세 정보와 이용 이력을 확인하고 싶다</t>
        </is>
      </c>
      <c r="E6" s="2" t="inlineStr">
        <is>
          <t>1) 프로필/이용권/출석/결제/체성분/메모 탭 구성
2) 이용권 만료일 강조 표시
3) 출석 히트맵</t>
        </is>
      </c>
      <c r="F6" s="2" t="inlineStr">
        <is>
          <t>SCR-011</t>
        </is>
      </c>
      <c r="G6" s="2" t="inlineStr">
        <is>
          <t>High</t>
        </is>
      </c>
      <c r="H6" s="2" t="inlineStr">
        <is>
          <t>L</t>
        </is>
      </c>
      <c r="I6" s="2" t="inlineStr">
        <is>
          <t>개발자1</t>
        </is>
      </c>
      <c r="J6" s="2" t="inlineStr">
        <is>
          <t>To Do</t>
        </is>
      </c>
      <c r="K6" s="2" t="inlineStr">
        <is>
          <t>회원 상세</t>
        </is>
      </c>
      <c r="L6" s="2" t="n">
        <v>2</v>
      </c>
    </row>
    <row r="7">
      <c r="A7" s="2" t="inlineStr">
        <is>
          <t>US-006</t>
        </is>
      </c>
      <c r="B7" s="2" t="inlineStr">
        <is>
          <t>회원관리</t>
        </is>
      </c>
      <c r="C7" s="2" t="inlineStr">
        <is>
          <t>매니저</t>
        </is>
      </c>
      <c r="D7" s="2" t="inlineStr">
        <is>
          <t>매니저로서 회원 정보를 수정하고 싶다</t>
        </is>
      </c>
      <c r="E7" s="2" t="inlineStr">
        <is>
          <t>1) 기존 정보 프리필
2) 변경 이력 자동 기록
3) 담당자 변경 가능</t>
        </is>
      </c>
      <c r="F7" s="2" t="inlineStr">
        <is>
          <t>SCR-013</t>
        </is>
      </c>
      <c r="G7" s="2" t="inlineStr">
        <is>
          <t>High</t>
        </is>
      </c>
      <c r="H7" s="2" t="inlineStr">
        <is>
          <t>S</t>
        </is>
      </c>
      <c r="I7" s="2" t="inlineStr">
        <is>
          <t>개발자1</t>
        </is>
      </c>
      <c r="J7" s="2" t="inlineStr">
        <is>
          <t>To Do</t>
        </is>
      </c>
      <c r="K7" s="2" t="inlineStr">
        <is>
          <t>회원 수정</t>
        </is>
      </c>
      <c r="L7" s="2" t="n">
        <v>0</v>
      </c>
    </row>
    <row r="8">
      <c r="A8" s="2" t="inlineStr">
        <is>
          <t>US-007</t>
        </is>
      </c>
      <c r="B8" s="2" t="inlineStr">
        <is>
          <t>회원관리</t>
        </is>
      </c>
      <c r="C8" s="2" t="inlineStr">
        <is>
          <t>FC</t>
        </is>
      </c>
      <c r="D8" s="2" t="inlineStr">
        <is>
          <t>FC로서 회원의 체성분 측정 결과를 기록하고 변화 추이를 분석하고 싶다</t>
        </is>
      </c>
      <c r="E8" s="2" t="inlineStr">
        <is>
          <t>1) 체중/골격근/체지방률 등 입력
2) 측정일 기준 변화 차트
3) 목표 대비 달성률 표시</t>
        </is>
      </c>
      <c r="F8" s="2" t="inlineStr">
        <is>
          <t>SCR-014</t>
        </is>
      </c>
      <c r="G8" s="2" t="inlineStr">
        <is>
          <t>High</t>
        </is>
      </c>
      <c r="H8" s="2" t="inlineStr">
        <is>
          <t>M</t>
        </is>
      </c>
      <c r="I8" s="2" t="inlineStr">
        <is>
          <t>개발자2</t>
        </is>
      </c>
      <c r="J8" s="2" t="inlineStr">
        <is>
          <t>To Do</t>
        </is>
      </c>
      <c r="K8" s="2" t="inlineStr">
        <is>
          <t>체성분 분석</t>
        </is>
      </c>
      <c r="L8" s="2" t="n">
        <v>1</v>
      </c>
    </row>
    <row r="9">
      <c r="A9" s="2" t="inlineStr">
        <is>
          <t>US-008</t>
        </is>
      </c>
      <c r="B9" s="2" t="inlineStr">
        <is>
          <t>출석관리</t>
        </is>
      </c>
      <c r="C9" s="2" t="inlineStr">
        <is>
          <t>스태프</t>
        </is>
      </c>
      <c r="D9" s="2" t="inlineStr">
        <is>
          <t>스태프로서 회원의 출석 현황을 조회하고 싶다</t>
        </is>
      </c>
      <c r="E9" s="2" t="inlineStr">
        <is>
          <t>1) 일별/주별/월별 출석 조회
2) 출석 유형(일반/PT/GX) 구분
3) 타지점 출석 표시</t>
        </is>
      </c>
      <c r="F9" s="2" t="inlineStr">
        <is>
          <t>SCR-020</t>
        </is>
      </c>
      <c r="G9" s="2" t="inlineStr">
        <is>
          <t>High</t>
        </is>
      </c>
      <c r="H9" s="2" t="inlineStr">
        <is>
          <t>M</t>
        </is>
      </c>
      <c r="I9" s="2" t="inlineStr">
        <is>
          <t>개발자2</t>
        </is>
      </c>
      <c r="J9" s="2" t="inlineStr">
        <is>
          <t>To Do</t>
        </is>
      </c>
      <c r="K9" s="2" t="inlineStr">
        <is>
          <t>출석 기록</t>
        </is>
      </c>
      <c r="L9" s="2" t="n">
        <v>1</v>
      </c>
    </row>
    <row r="10">
      <c r="A10" s="2" t="inlineStr">
        <is>
          <t>US-009</t>
        </is>
      </c>
      <c r="B10" s="2" t="inlineStr">
        <is>
          <t>출석관리</t>
        </is>
      </c>
      <c r="C10" s="2" t="inlineStr">
        <is>
          <t>스태프</t>
        </is>
      </c>
      <c r="D10" s="2" t="inlineStr">
        <is>
          <t>스태프로서 PT/GX 일정을 캘린더로 관리하고 싶다</t>
        </is>
      </c>
      <c r="E10" s="2" t="inlineStr">
        <is>
          <t>1) 월/주/일 캘린더 뷰
2) 드래그앤드롭 일정 변경
3) 트레이너별 필터</t>
        </is>
      </c>
      <c r="F10" s="2" t="inlineStr">
        <is>
          <t>SCR-021</t>
        </is>
      </c>
      <c r="G10" s="2" t="inlineStr">
        <is>
          <t>High</t>
        </is>
      </c>
      <c r="H10" s="2" t="inlineStr">
        <is>
          <t>L</t>
        </is>
      </c>
      <c r="I10" s="2" t="inlineStr">
        <is>
          <t>개발자2</t>
        </is>
      </c>
      <c r="J10" s="2" t="inlineStr">
        <is>
          <t>To Do</t>
        </is>
      </c>
      <c r="K10" s="2" t="inlineStr">
        <is>
          <t>일정 관리</t>
        </is>
      </c>
      <c r="L10" s="2" t="n">
        <v>1</v>
      </c>
    </row>
    <row r="11">
      <c r="A11" s="2" t="inlineStr">
        <is>
          <t>US-010</t>
        </is>
      </c>
      <c r="B11" s="2" t="inlineStr">
        <is>
          <t>매출관리</t>
        </is>
      </c>
      <c r="C11" s="2" t="inlineStr">
        <is>
          <t>매니저</t>
        </is>
      </c>
      <c r="D11" s="2" t="inlineStr">
        <is>
          <t>매니저로서 매출 현황을 조회하고 통계를 확인하고 싶다</t>
        </is>
      </c>
      <c r="E11" s="2" t="inlineStr">
        <is>
          <t>1) 기간별 매출 필터
2) 유형별(이용권/PT/상품) 분류
3) 총매출/현금/카드/마일리지 요약
4) 엑셀 다운로드</t>
        </is>
      </c>
      <c r="F11" s="2" t="inlineStr">
        <is>
          <t>SCR-030</t>
        </is>
      </c>
      <c r="G11" s="2" t="inlineStr">
        <is>
          <t>Critical</t>
        </is>
      </c>
      <c r="H11" s="2" t="inlineStr">
        <is>
          <t>L</t>
        </is>
      </c>
      <c r="I11" s="2" t="inlineStr">
        <is>
          <t>개발자1</t>
        </is>
      </c>
      <c r="J11" s="2" t="inlineStr">
        <is>
          <t>To Do</t>
        </is>
      </c>
      <c r="K11" s="2" t="inlineStr">
        <is>
          <t>매출 조회</t>
        </is>
      </c>
      <c r="L11" s="2" t="n">
        <v>2</v>
      </c>
    </row>
    <row r="12">
      <c r="A12" s="2" t="inlineStr">
        <is>
          <t>US-011</t>
        </is>
      </c>
      <c r="B12" s="2" t="inlineStr">
        <is>
          <t>매출관리</t>
        </is>
      </c>
      <c r="C12" s="2" t="inlineStr">
        <is>
          <t>스태프</t>
        </is>
      </c>
      <c r="D12" s="2" t="inlineStr">
        <is>
          <t>스태프로서 POS에서 상품을 선택하고 결제를 처리하고 싶다</t>
        </is>
      </c>
      <c r="E12" s="2" t="inlineStr">
        <is>
          <t>1) 카테고리별 상품 그리드
2) 장바구니 담기/수량 변경
3) 현금/카드/마일리지 복합결제
4) 영수증 출력</t>
        </is>
      </c>
      <c r="F12" s="2" t="inlineStr">
        <is>
          <t>SCR-031</t>
        </is>
      </c>
      <c r="G12" s="2" t="inlineStr">
        <is>
          <t>Critical</t>
        </is>
      </c>
      <c r="H12" s="2" t="inlineStr">
        <is>
          <t>XL</t>
        </is>
      </c>
      <c r="I12" s="2" t="inlineStr">
        <is>
          <t>개발자1</t>
        </is>
      </c>
      <c r="J12" s="2" t="inlineStr">
        <is>
          <t>To Do</t>
        </is>
      </c>
      <c r="K12" s="2" t="inlineStr">
        <is>
          <t>POS</t>
        </is>
      </c>
      <c r="L12" s="2" t="n">
        <v>0</v>
      </c>
    </row>
    <row r="13">
      <c r="A13" s="2" t="inlineStr">
        <is>
          <t>US-012</t>
        </is>
      </c>
      <c r="B13" s="2" t="inlineStr">
        <is>
          <t>상품관리</t>
        </is>
      </c>
      <c r="C13" s="2" t="inlineStr">
        <is>
          <t>매니저</t>
        </is>
      </c>
      <c r="D13" s="2" t="inlineStr">
        <is>
          <t>매니저로서 상품 목록을 조회하고 관리하고 싶다</t>
        </is>
      </c>
      <c r="E13" s="2" t="inlineStr">
        <is>
          <t>1) 카테고리별 필터
2) 키오스크 노출 여부 토글
3) 상품 상태(판매중/중지) 관리</t>
        </is>
      </c>
      <c r="F13" s="2" t="inlineStr">
        <is>
          <t>SCR-040</t>
        </is>
      </c>
      <c r="G13" s="2" t="inlineStr">
        <is>
          <t>High</t>
        </is>
      </c>
      <c r="H13" s="2" t="inlineStr">
        <is>
          <t>M</t>
        </is>
      </c>
      <c r="I13" s="2" t="inlineStr">
        <is>
          <t>개발자2</t>
        </is>
      </c>
      <c r="J13" s="2" t="inlineStr">
        <is>
          <t>To Do</t>
        </is>
      </c>
      <c r="K13" s="2" t="inlineStr">
        <is>
          <t>상품 목록</t>
        </is>
      </c>
      <c r="L13" s="2" t="n">
        <v>2</v>
      </c>
    </row>
    <row r="14">
      <c r="A14" s="2" t="inlineStr">
        <is>
          <t>US-013</t>
        </is>
      </c>
      <c r="B14" s="2" t="inlineStr">
        <is>
          <t>상품관리</t>
        </is>
      </c>
      <c r="C14" s="2" t="inlineStr">
        <is>
          <t>센터장</t>
        </is>
      </c>
      <c r="D14" s="2" t="inlineStr">
        <is>
          <t>센터장으로서 신규 상품을 등록하고 싶다</t>
        </is>
      </c>
      <c r="E14" s="2" t="inlineStr">
        <is>
          <t>1) 카테고리/이름/가격/기간 입력
2) 현금가/카드가 별도 설정
3) 키오스크 노출 설정</t>
        </is>
      </c>
      <c r="F14" s="2" t="inlineStr">
        <is>
          <t>SCR-041</t>
        </is>
      </c>
      <c r="G14" s="2" t="inlineStr">
        <is>
          <t>High</t>
        </is>
      </c>
      <c r="H14" s="2" t="inlineStr">
        <is>
          <t>M</t>
        </is>
      </c>
      <c r="I14" s="2" t="inlineStr">
        <is>
          <t>개발자2</t>
        </is>
      </c>
      <c r="J14" s="2" t="inlineStr">
        <is>
          <t>To Do</t>
        </is>
      </c>
      <c r="K14" s="2" t="inlineStr">
        <is>
          <t>상품 등록</t>
        </is>
      </c>
      <c r="L14" s="2" t="n">
        <v>0</v>
      </c>
    </row>
    <row r="15">
      <c r="A15" s="2" t="inlineStr">
        <is>
          <t>US-014</t>
        </is>
      </c>
      <c r="B15" s="2" t="inlineStr">
        <is>
          <t>시설관리</t>
        </is>
      </c>
      <c r="C15" s="2" t="inlineStr">
        <is>
          <t>스태프</t>
        </is>
      </c>
      <c r="D15" s="2" t="inlineStr">
        <is>
          <t>스태프로서 락커 배정 현황을 한눈에 파악하고 싶다</t>
        </is>
      </c>
      <c r="E15" s="2" t="inlineStr">
        <is>
          <t>1) 구역별 락커 그리드 (색상으로 상태 구분)
2) 사용중/빈락커/만료임박 구분
3) 클릭 시 상세 모달</t>
        </is>
      </c>
      <c r="F15" s="2" t="inlineStr">
        <is>
          <t>SCR-050</t>
        </is>
      </c>
      <c r="G15" s="2" t="inlineStr">
        <is>
          <t>High</t>
        </is>
      </c>
      <c r="H15" s="2" t="inlineStr">
        <is>
          <t>M</t>
        </is>
      </c>
      <c r="I15" s="2" t="inlineStr">
        <is>
          <t>개발자2</t>
        </is>
      </c>
      <c r="J15" s="2" t="inlineStr">
        <is>
          <t>To Do</t>
        </is>
      </c>
      <c r="K15" s="2" t="inlineStr">
        <is>
          <t>락커 현황</t>
        </is>
      </c>
      <c r="L15" s="2" t="n">
        <v>2</v>
      </c>
    </row>
    <row r="16">
      <c r="A16" s="2" t="inlineStr">
        <is>
          <t>US-015</t>
        </is>
      </c>
      <c r="B16" s="2" t="inlineStr">
        <is>
          <t>시설관리</t>
        </is>
      </c>
      <c r="C16" s="2" t="inlineStr">
        <is>
          <t>매니저</t>
        </is>
      </c>
      <c r="D16" s="2" t="inlineStr">
        <is>
          <t>매니저로서 락커를 회원에게 배정/해제하고 싶다</t>
        </is>
      </c>
      <c r="E16" s="2" t="inlineStr">
        <is>
          <t>1) 회원 검색 후 빈 락커 배정
2) 만료일 설정
3) 일괄 해제 기능</t>
        </is>
      </c>
      <c r="F16" s="2" t="inlineStr">
        <is>
          <t>SCR-051</t>
        </is>
      </c>
      <c r="G16" s="2" t="inlineStr">
        <is>
          <t>High</t>
        </is>
      </c>
      <c r="H16" s="2" t="inlineStr">
        <is>
          <t>M</t>
        </is>
      </c>
      <c r="I16" s="2" t="inlineStr">
        <is>
          <t>개발자2</t>
        </is>
      </c>
      <c r="J16" s="2" t="inlineStr">
        <is>
          <t>To Do</t>
        </is>
      </c>
      <c r="K16" s="2" t="inlineStr">
        <is>
          <t>락커 관리</t>
        </is>
      </c>
      <c r="L16" s="2" t="n">
        <v>0</v>
      </c>
    </row>
    <row r="17">
      <c r="A17" s="2" t="inlineStr">
        <is>
          <t>US-016</t>
        </is>
      </c>
      <c r="B17" s="2" t="inlineStr">
        <is>
          <t>시설관리</t>
        </is>
      </c>
      <c r="C17" s="2" t="inlineStr">
        <is>
          <t>매니저</t>
        </is>
      </c>
      <c r="D17" s="2" t="inlineStr">
        <is>
          <t>매니저로서 RFID 카드를 관리하고 싶다</t>
        </is>
      </c>
      <c r="E17" s="2" t="inlineStr">
        <is>
          <t>1) RFID 카드 등록/해제
2) 회원-카드 매핑
3) 분실 처리</t>
        </is>
      </c>
      <c r="F17" s="2" t="inlineStr">
        <is>
          <t>SCR-052</t>
        </is>
      </c>
      <c r="G17" s="2" t="inlineStr">
        <is>
          <t>Medium</t>
        </is>
      </c>
      <c r="H17" s="2" t="inlineStr">
        <is>
          <t>S</t>
        </is>
      </c>
      <c r="I17" s="2" t="inlineStr">
        <is>
          <t>개발자2</t>
        </is>
      </c>
      <c r="J17" s="2" t="inlineStr">
        <is>
          <t>To Do</t>
        </is>
      </c>
      <c r="K17" s="2" t="inlineStr">
        <is>
          <t>RFID 관리</t>
        </is>
      </c>
      <c r="L17" s="2" t="n">
        <v>1</v>
      </c>
    </row>
    <row r="18">
      <c r="A18" s="2" t="inlineStr">
        <is>
          <t>US-017</t>
        </is>
      </c>
      <c r="B18" s="2" t="inlineStr">
        <is>
          <t>시설관리</t>
        </is>
      </c>
      <c r="C18" s="2" t="inlineStr">
        <is>
          <t>매니저</t>
        </is>
      </c>
      <c r="D18" s="2" t="inlineStr">
        <is>
          <t>매니저로서 GX룸/PT룸을 관리하고 싶다</t>
        </is>
      </c>
      <c r="E18" s="2" t="inlineStr">
        <is>
          <t>1) 룸 등록/수정/삭제
2) 수용 인원 설정
3) 예약 가능 시간대 설정</t>
        </is>
      </c>
      <c r="F18" s="2" t="inlineStr">
        <is>
          <t>SCR-053</t>
        </is>
      </c>
      <c r="G18" s="2" t="inlineStr">
        <is>
          <t>Medium</t>
        </is>
      </c>
      <c r="H18" s="2" t="inlineStr">
        <is>
          <t>S</t>
        </is>
      </c>
      <c r="I18" s="2" t="inlineStr">
        <is>
          <t>개발자2</t>
        </is>
      </c>
      <c r="J18" s="2" t="inlineStr">
        <is>
          <t>To Do</t>
        </is>
      </c>
      <c r="K18" s="2" t="inlineStr">
        <is>
          <t>룸 관리</t>
        </is>
      </c>
      <c r="L18" s="2" t="n">
        <v>1</v>
      </c>
    </row>
    <row r="19">
      <c r="A19" s="2" t="inlineStr">
        <is>
          <t>US-018</t>
        </is>
      </c>
      <c r="B19" s="2" t="inlineStr">
        <is>
          <t>직원관리</t>
        </is>
      </c>
      <c r="C19" s="2" t="inlineStr">
        <is>
          <t>센터장</t>
        </is>
      </c>
      <c r="D19" s="2" t="inlineStr">
        <is>
          <t>센터장으로서 직원 목록을 조회하고 싶다</t>
        </is>
      </c>
      <c r="E19" s="2" t="inlineStr">
        <is>
          <t>1) 역할/상태별 필터
2) 검색 기능
3) 직원 상세 이동</t>
        </is>
      </c>
      <c r="F19" s="2" t="inlineStr">
        <is>
          <t>SCR-060</t>
        </is>
      </c>
      <c r="G19" s="2" t="inlineStr">
        <is>
          <t>High</t>
        </is>
      </c>
      <c r="H19" s="2" t="inlineStr">
        <is>
          <t>M</t>
        </is>
      </c>
      <c r="I19" s="2" t="inlineStr">
        <is>
          <t>개발자1</t>
        </is>
      </c>
      <c r="J19" s="2" t="inlineStr">
        <is>
          <t>To Do</t>
        </is>
      </c>
      <c r="K19" s="2" t="inlineStr">
        <is>
          <t>직원 목록</t>
        </is>
      </c>
      <c r="L19" s="2" t="n">
        <v>2</v>
      </c>
    </row>
    <row r="20">
      <c r="A20" s="2" t="inlineStr">
        <is>
          <t>US-019</t>
        </is>
      </c>
      <c r="B20" s="2" t="inlineStr">
        <is>
          <t>직원관리</t>
        </is>
      </c>
      <c r="C20" s="2" t="inlineStr">
        <is>
          <t>센터장</t>
        </is>
      </c>
      <c r="D20" s="2" t="inlineStr">
        <is>
          <t>센터장으로서 신규 직원을 등록하고 싶다</t>
        </is>
      </c>
      <c r="E20" s="2" t="inlineStr">
        <is>
          <t>1) 이름/역할/연락처/입사일 입력
2) 관리자 계정 생성
3) 근무 유형 설정</t>
        </is>
      </c>
      <c r="F20" s="2" t="inlineStr">
        <is>
          <t>SCR-061</t>
        </is>
      </c>
      <c r="G20" s="2" t="inlineStr">
        <is>
          <t>High</t>
        </is>
      </c>
      <c r="H20" s="2" t="inlineStr">
        <is>
          <t>M</t>
        </is>
      </c>
      <c r="I20" s="2" t="inlineStr">
        <is>
          <t>개발자1</t>
        </is>
      </c>
      <c r="J20" s="2" t="inlineStr">
        <is>
          <t>To Do</t>
        </is>
      </c>
      <c r="K20" s="2" t="inlineStr">
        <is>
          <t>직원 등록</t>
        </is>
      </c>
      <c r="L20" s="2" t="n">
        <v>0</v>
      </c>
    </row>
    <row r="21">
      <c r="A21" s="2" t="inlineStr">
        <is>
          <t>US-020</t>
        </is>
      </c>
      <c r="B21" s="2" t="inlineStr">
        <is>
          <t>직원관리</t>
        </is>
      </c>
      <c r="C21" s="2" t="inlineStr">
        <is>
          <t>센터장</t>
        </is>
      </c>
      <c r="D21" s="2" t="inlineStr">
        <is>
          <t>센터장으로서 월별 급여 현황을 확인하고 싶다</t>
        </is>
      </c>
      <c r="E21" s="2" t="inlineStr">
        <is>
          <t>1) 월별 급여 요약
2) 기본급/인센티브/공제 내역
3) 지급 상태 관리</t>
        </is>
      </c>
      <c r="F21" s="2" t="inlineStr">
        <is>
          <t>SCR-062</t>
        </is>
      </c>
      <c r="G21" s="2" t="inlineStr">
        <is>
          <t>High</t>
        </is>
      </c>
      <c r="H21" s="2" t="inlineStr">
        <is>
          <t>L</t>
        </is>
      </c>
      <c r="I21" s="2" t="inlineStr">
        <is>
          <t>개발자1</t>
        </is>
      </c>
      <c r="J21" s="2" t="inlineStr">
        <is>
          <t>To Do</t>
        </is>
      </c>
      <c r="K21" s="2" t="inlineStr">
        <is>
          <t>급여 현황</t>
        </is>
      </c>
      <c r="L21" s="2" t="n">
        <v>2</v>
      </c>
    </row>
    <row r="22">
      <c r="A22" s="2" t="inlineStr">
        <is>
          <t>US-021</t>
        </is>
      </c>
      <c r="B22" s="2" t="inlineStr">
        <is>
          <t>직원관리</t>
        </is>
      </c>
      <c r="C22" s="2" t="inlineStr">
        <is>
          <t>센터장</t>
        </is>
      </c>
      <c r="D22" s="2" t="inlineStr">
        <is>
          <t>센터장으로서 직원별 급여명세서를 확인하고 싶다</t>
        </is>
      </c>
      <c r="E22" s="2" t="inlineStr">
        <is>
          <t>1) 직원별 상세 급여명세서
2) PDF 다운로드
3) 이력 조회</t>
        </is>
      </c>
      <c r="F22" s="2" t="inlineStr">
        <is>
          <t>SCR-063</t>
        </is>
      </c>
      <c r="G22" s="2" t="inlineStr">
        <is>
          <t>Medium</t>
        </is>
      </c>
      <c r="H22" s="2" t="inlineStr">
        <is>
          <t>M</t>
        </is>
      </c>
      <c r="I22" s="2" t="inlineStr">
        <is>
          <t>개발자1</t>
        </is>
      </c>
      <c r="J22" s="2" t="inlineStr">
        <is>
          <t>To Do</t>
        </is>
      </c>
      <c r="K22" s="2" t="inlineStr">
        <is>
          <t>급여명세서</t>
        </is>
      </c>
      <c r="L22" s="2" t="n">
        <v>0</v>
      </c>
    </row>
    <row r="23">
      <c r="A23" s="2" t="inlineStr">
        <is>
          <t>US-022</t>
        </is>
      </c>
      <c r="B23" s="2" t="inlineStr">
        <is>
          <t>메시지/마케팅</t>
        </is>
      </c>
      <c r="C23" s="2" t="inlineStr">
        <is>
          <t>매니저</t>
        </is>
      </c>
      <c r="D23" s="2" t="inlineStr">
        <is>
          <t>매니저로서 회원에게 SMS/카카오톡 메시지를 발송하고 싶다</t>
        </is>
      </c>
      <c r="E23" s="2" t="inlineStr">
        <is>
          <t>1) 수신자 선택 (개별/그룹/전체)
2) 메시지 유형 선택
3) 발송 이력 조회</t>
        </is>
      </c>
      <c r="F23" s="2" t="inlineStr">
        <is>
          <t>SCR-070</t>
        </is>
      </c>
      <c r="G23" s="2" t="inlineStr">
        <is>
          <t>High</t>
        </is>
      </c>
      <c r="H23" s="2" t="inlineStr">
        <is>
          <t>L</t>
        </is>
      </c>
      <c r="I23" s="2" t="inlineStr">
        <is>
          <t>개발자2</t>
        </is>
      </c>
      <c r="J23" s="2" t="inlineStr">
        <is>
          <t>To Do</t>
        </is>
      </c>
      <c r="K23" s="2" t="inlineStr">
        <is>
          <t>메시지 발송</t>
        </is>
      </c>
      <c r="L23" s="2" t="n">
        <v>2</v>
      </c>
    </row>
    <row r="24">
      <c r="A24" s="2" t="inlineStr">
        <is>
          <t>US-023</t>
        </is>
      </c>
      <c r="B24" s="2" t="inlineStr">
        <is>
          <t>메시지/마케팅</t>
        </is>
      </c>
      <c r="C24" s="2" t="inlineStr">
        <is>
          <t>매니저</t>
        </is>
      </c>
      <c r="D24" s="2" t="inlineStr">
        <is>
          <t>매니저로서 자동 알림 규칙을 설정하고 싶다</t>
        </is>
      </c>
      <c r="E24" s="2" t="inlineStr">
        <is>
          <t>1) 만료 D-7/D-3/D-1 알림
2) 생일 축하 알림
3) 장기 미출석 알림</t>
        </is>
      </c>
      <c r="F24" s="2" t="inlineStr">
        <is>
          <t>SCR-071</t>
        </is>
      </c>
      <c r="G24" s="2" t="inlineStr">
        <is>
          <t>Medium</t>
        </is>
      </c>
      <c r="H24" s="2" t="inlineStr">
        <is>
          <t>M</t>
        </is>
      </c>
      <c r="I24" s="2" t="inlineStr">
        <is>
          <t>개발자2</t>
        </is>
      </c>
      <c r="J24" s="2" t="inlineStr">
        <is>
          <t>To Do</t>
        </is>
      </c>
      <c r="K24" s="2" t="inlineStr">
        <is>
          <t>자동 알림</t>
        </is>
      </c>
      <c r="L24" s="2" t="n">
        <v>0</v>
      </c>
    </row>
    <row r="25">
      <c r="A25" s="2" t="inlineStr">
        <is>
          <t>US-024</t>
        </is>
      </c>
      <c r="B25" s="2" t="inlineStr">
        <is>
          <t>메시지/마케팅</t>
        </is>
      </c>
      <c r="C25" s="2" t="inlineStr">
        <is>
          <t>매니저</t>
        </is>
      </c>
      <c r="D25" s="2" t="inlineStr">
        <is>
          <t>매니저로서 쿠폰을 생성하고 발급하고 싶다</t>
        </is>
      </c>
      <c r="E25" s="2" t="inlineStr">
        <is>
          <t>1) 할인율/금액 쿠폰 생성
2) 유효기간 설정
3) 사용 이력 추적</t>
        </is>
      </c>
      <c r="F25" s="2" t="inlineStr">
        <is>
          <t>SCR-072</t>
        </is>
      </c>
      <c r="G25" s="2" t="inlineStr">
        <is>
          <t>Medium</t>
        </is>
      </c>
      <c r="H25" s="2" t="inlineStr">
        <is>
          <t>M</t>
        </is>
      </c>
      <c r="I25" s="2" t="inlineStr">
        <is>
          <t>개발자2</t>
        </is>
      </c>
      <c r="J25" s="2" t="inlineStr">
        <is>
          <t>To Do</t>
        </is>
      </c>
      <c r="K25" s="2" t="inlineStr">
        <is>
          <t>쿠폰 관리</t>
        </is>
      </c>
      <c r="L25" s="2" t="n">
        <v>2</v>
      </c>
    </row>
    <row r="26">
      <c r="A26" s="2" t="inlineStr">
        <is>
          <t>US-025</t>
        </is>
      </c>
      <c r="B26" s="2" t="inlineStr">
        <is>
          <t>메시지/마케팅</t>
        </is>
      </c>
      <c r="C26" s="2" t="inlineStr">
        <is>
          <t>매니저</t>
        </is>
      </c>
      <c r="D26" s="2" t="inlineStr">
        <is>
          <t>매니저로서 회원 마일리지를 관리하고 싶다</t>
        </is>
      </c>
      <c r="E26" s="2" t="inlineStr">
        <is>
          <t>1) 마일리지 적립/차감
2) 잔액 조회
3) 이력 조회</t>
        </is>
      </c>
      <c r="F26" s="2" t="inlineStr">
        <is>
          <t>SCR-073</t>
        </is>
      </c>
      <c r="G26" s="2" t="inlineStr">
        <is>
          <t>Medium</t>
        </is>
      </c>
      <c r="H26" s="2" t="inlineStr">
        <is>
          <t>S</t>
        </is>
      </c>
      <c r="I26" s="2" t="inlineStr">
        <is>
          <t>개발자2</t>
        </is>
      </c>
      <c r="J26" s="2" t="inlineStr">
        <is>
          <t>To Do</t>
        </is>
      </c>
      <c r="K26" s="2" t="inlineStr">
        <is>
          <t>마일리지 관리</t>
        </is>
      </c>
      <c r="L26" s="2" t="n">
        <v>0</v>
      </c>
    </row>
    <row r="27">
      <c r="A27" s="2" t="inlineStr">
        <is>
          <t>US-026</t>
        </is>
      </c>
      <c r="B27" s="2" t="inlineStr">
        <is>
          <t>계약/구독</t>
        </is>
      </c>
      <c r="C27" s="2" t="inlineStr">
        <is>
          <t>매니저</t>
        </is>
      </c>
      <c r="D27" s="2" t="inlineStr">
        <is>
          <t>매니저로서 단계별 계약 등록을 하고 싶다</t>
        </is>
      </c>
      <c r="E27" s="2" t="inlineStr">
        <is>
          <t>1) 회원 선택 → 상품 선택 → 기간/금액 설정 → 결제 → 확인
2) 계약서 자동 생성</t>
        </is>
      </c>
      <c r="F27" s="2" t="inlineStr">
        <is>
          <t>SCR-080</t>
        </is>
      </c>
      <c r="G27" s="2" t="inlineStr">
        <is>
          <t>Critical</t>
        </is>
      </c>
      <c r="H27" s="2" t="inlineStr">
        <is>
          <t>XL</t>
        </is>
      </c>
      <c r="I27" s="2" t="inlineStr">
        <is>
          <t>개발자1</t>
        </is>
      </c>
      <c r="J27" s="2" t="inlineStr">
        <is>
          <t>To Do</t>
        </is>
      </c>
      <c r="K27" s="2" t="inlineStr">
        <is>
          <t>계약 마법사</t>
        </is>
      </c>
      <c r="L27" s="2" t="n">
        <v>2</v>
      </c>
    </row>
    <row r="28">
      <c r="A28" s="2" t="inlineStr">
        <is>
          <t>US-027</t>
        </is>
      </c>
      <c r="B28" s="2" t="inlineStr">
        <is>
          <t>계약/구독</t>
        </is>
      </c>
      <c r="C28" s="2" t="inlineStr">
        <is>
          <t>센터장</t>
        </is>
      </c>
      <c r="D28" s="2" t="inlineStr">
        <is>
          <t>센터장으로서 정기 구독 상품을 관리하고 싶다</t>
        </is>
      </c>
      <c r="E28" s="2" t="inlineStr">
        <is>
          <t>1) 구독 상품 CRUD
2) 자동 결제 설정
3) 구독 현황 대시보드</t>
        </is>
      </c>
      <c r="F28" s="2" t="inlineStr">
        <is>
          <t>SCR-081</t>
        </is>
      </c>
      <c r="G28" s="2" t="inlineStr">
        <is>
          <t>Medium</t>
        </is>
      </c>
      <c r="H28" s="2" t="inlineStr">
        <is>
          <t>L</t>
        </is>
      </c>
      <c r="I28" s="2" t="inlineStr">
        <is>
          <t>개발자1</t>
        </is>
      </c>
      <c r="J28" s="2" t="inlineStr">
        <is>
          <t>To Do</t>
        </is>
      </c>
      <c r="K28" s="2" t="inlineStr">
        <is>
          <t>구독 관리</t>
        </is>
      </c>
      <c r="L28" s="2" t="n">
        <v>0</v>
      </c>
    </row>
    <row r="29">
      <c r="A29" s="2" t="inlineStr">
        <is>
          <t>US-028</t>
        </is>
      </c>
      <c r="B29" s="2" t="inlineStr">
        <is>
          <t>설정/권한</t>
        </is>
      </c>
      <c r="C29" s="2" t="inlineStr">
        <is>
          <t>센터장</t>
        </is>
      </c>
      <c r="D29" s="2" t="inlineStr">
        <is>
          <t>센터장으로서 시스템 기본 설정을 변경하고 싶다</t>
        </is>
      </c>
      <c r="E29" s="2" t="inlineStr">
        <is>
          <t>1) 센터명/영업시간/연락처 설정
2) 알림 설정
3) 테마 설정</t>
        </is>
      </c>
      <c r="F29" s="2" t="inlineStr">
        <is>
          <t>SCR-090</t>
        </is>
      </c>
      <c r="G29" s="2" t="inlineStr">
        <is>
          <t>Medium</t>
        </is>
      </c>
      <c r="H29" s="2" t="inlineStr">
        <is>
          <t>M</t>
        </is>
      </c>
      <c r="I29" s="2" t="inlineStr">
        <is>
          <t>개발자1</t>
        </is>
      </c>
      <c r="J29" s="2" t="inlineStr">
        <is>
          <t>To Do</t>
        </is>
      </c>
      <c r="K29" s="2" t="inlineStr">
        <is>
          <t>설정</t>
        </is>
      </c>
      <c r="L29" s="2" t="n">
        <v>5</v>
      </c>
    </row>
    <row r="30">
      <c r="A30" s="2" t="inlineStr">
        <is>
          <t>US-029</t>
        </is>
      </c>
      <c r="B30" s="2" t="inlineStr">
        <is>
          <t>설정/권한</t>
        </is>
      </c>
      <c r="C30" s="2" t="inlineStr">
        <is>
          <t>최고관리자</t>
        </is>
      </c>
      <c r="D30" s="2" t="inlineStr">
        <is>
          <t>최고관리자로서 역할별 권한을 세밀하게 설정하고 싶다</t>
        </is>
      </c>
      <c r="E30" s="2" t="inlineStr">
        <is>
          <t>1) 6단계 역할별 메뉴 접근 권한
2) 기능별 읽기/쓰기/삭제 권한
3) 변경 이력 로그</t>
        </is>
      </c>
      <c r="F30" s="2" t="inlineStr">
        <is>
          <t>SCR-091</t>
        </is>
      </c>
      <c r="G30" s="2" t="inlineStr">
        <is>
          <t>Critical</t>
        </is>
      </c>
      <c r="H30" s="2" t="inlineStr">
        <is>
          <t>L</t>
        </is>
      </c>
      <c r="I30" s="2" t="inlineStr">
        <is>
          <t>개발자1</t>
        </is>
      </c>
      <c r="J30" s="2" t="inlineStr">
        <is>
          <t>To Do</t>
        </is>
      </c>
      <c r="K30" s="2" t="inlineStr">
        <is>
          <t>권한 설정</t>
        </is>
      </c>
      <c r="L30" s="2" t="n">
        <v>0</v>
      </c>
    </row>
    <row r="31">
      <c r="A31" s="2" t="inlineStr">
        <is>
          <t>US-030</t>
        </is>
      </c>
      <c r="B31" s="2" t="inlineStr">
        <is>
          <t>설정/권한</t>
        </is>
      </c>
      <c r="C31" s="2" t="inlineStr">
        <is>
          <t>최고관리자</t>
        </is>
      </c>
      <c r="D31" s="2" t="inlineStr">
        <is>
          <t>최고관리자로서 지점을 추가/관리하고 싶다</t>
        </is>
      </c>
      <c r="E31" s="2" t="inlineStr">
        <is>
          <t>1) 지점 CRUD
2) 지점별 독립 데이터
3) 지점 간 회원 이동 처리</t>
        </is>
      </c>
      <c r="F31" s="2" t="inlineStr">
        <is>
          <t>SCR-094</t>
        </is>
      </c>
      <c r="G31" s="2" t="inlineStr">
        <is>
          <t>Critical</t>
        </is>
      </c>
      <c r="H31" s="2" t="inlineStr">
        <is>
          <t>L</t>
        </is>
      </c>
      <c r="I31" s="2" t="inlineStr">
        <is>
          <t>개발자1</t>
        </is>
      </c>
      <c r="J31" s="2" t="inlineStr">
        <is>
          <t>To Do</t>
        </is>
      </c>
      <c r="K31" s="2" t="inlineStr">
        <is>
          <t>지점 관리</t>
        </is>
      </c>
      <c r="L31" s="2" t="n">
        <v>0</v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</row>
    <row r="2">
      <c r="A2" s="2" t="inlineStr">
        <is>
          <t>SCR-001</t>
        </is>
      </c>
      <c r="B2" s="2" t="inlineStr">
        <is>
          <t>로그인</t>
        </is>
      </c>
      <c r="C2" s="2" t="inlineStr">
        <is>
          <t>Web</t>
        </is>
      </c>
      <c r="D2" s="2" t="inlineStr">
        <is>
          <t>/login</t>
        </is>
      </c>
      <c r="E2" s="2" t="inlineStr">
        <is>
          <t>이메일/비밀번호 기반 로그인 화면. 지점 선택 드롭다운 포함</t>
        </is>
      </c>
      <c r="F2" s="2" t="inlineStr">
        <is>
          <t>UI-001, UI-002, UI-003, UI-004, UI-005</t>
        </is>
      </c>
      <c r="G2" s="2" t="inlineStr">
        <is>
          <t>비밀번호 마스킹 토글, Enter키 로그인, 지점 선택 시 로고 변경</t>
        </is>
      </c>
      <c r="H2" s="2" t="inlineStr">
        <is>
          <t>JWT 토큰 기반 세션 관리</t>
        </is>
      </c>
      <c r="I2" s="2" t="n"/>
      <c r="J2" s="2" t="inlineStr">
        <is>
          <t>URL 직접 접근, 세션 만료 시 리다이렉트</t>
        </is>
      </c>
      <c r="K2" s="2" t="inlineStr">
        <is>
          <t>SCR-002 (대시보드)</t>
        </is>
      </c>
      <c r="L2" s="2" t="inlineStr">
        <is>
          <t>이메일 미입력: '이메일을 입력하세요'
비밀번호 오류: '비밀번호가 올바르지 않습니다'
계정 잠금: '5회 실패로 잠금됨'</t>
        </is>
      </c>
      <c r="M2" s="2" t="inlineStr">
        <is>
          <t>Tab 이동 순서, aria-label</t>
        </is>
      </c>
      <c r="N2" s="2" t="inlineStr">
        <is>
          <t>1024px 이상 중앙 정렬</t>
        </is>
      </c>
      <c r="O2" s="2" t="n"/>
      <c r="P2" s="2" t="n"/>
      <c r="Q2" s="2" t="inlineStr">
        <is>
          <t>확정</t>
        </is>
      </c>
      <c r="R2" s="2" t="inlineStr">
        <is>
          <t>개발팀</t>
        </is>
      </c>
      <c r="S2" s="2" t="n">
        <v>1</v>
      </c>
      <c r="T2" s="2" t="n">
        <v>6</v>
      </c>
      <c r="U2" s="2" t="n">
        <v>1</v>
      </c>
      <c r="V2" s="2" t="n"/>
      <c r="W2" s="2" t="n">
        <v>5</v>
      </c>
    </row>
    <row r="3">
      <c r="A3" s="2" t="inlineStr">
        <is>
          <t>SCR-002</t>
        </is>
      </c>
      <c r="B3" s="2" t="inlineStr">
        <is>
          <t>대시보드</t>
        </is>
      </c>
      <c r="C3" s="2" t="inlineStr">
        <is>
          <t>Web</t>
        </is>
      </c>
      <c r="D3" s="2" t="inlineStr">
        <is>
          <t>/</t>
        </is>
      </c>
      <c r="E3" s="2" t="inlineStr">
        <is>
          <t>지점별 핵심 KPI 대시보드. 회원/매출/출석 통계 카드 + 알림 리스트</t>
        </is>
      </c>
      <c r="F3" s="2" t="inlineStr">
        <is>
          <t>UI-006, UI-007, UI-008, UI-009, UI-010, UI-011, UI-012, UI-013</t>
        </is>
      </c>
      <c r="G3" s="2" t="inlineStr">
        <is>
          <t>통계 카드 클릭 시 상세 이동, 차트 호버 툴팁, 기간 필터</t>
        </is>
      </c>
      <c r="H3" s="2" t="inlineStr">
        <is>
          <t>반응형 그리드 (2열→1열)</t>
        </is>
      </c>
      <c r="I3" s="2" t="n"/>
      <c r="J3" s="2" t="inlineStr">
        <is>
          <t>SCR-001 (로그인 후)</t>
        </is>
      </c>
      <c r="K3" s="2" t="inlineStr">
        <is>
          <t>SCR-010, SCR-030, SCR-020</t>
        </is>
      </c>
      <c r="L3" s="2" t="inlineStr">
        <is>
          <t>데이터 로딩 실패: '데이터를 불러올 수 없습니다' + 재시도 버튼</t>
        </is>
      </c>
      <c r="M3" s="2" t="inlineStr">
        <is>
          <t>차트 alt-text</t>
        </is>
      </c>
      <c r="N3" s="2" t="inlineStr">
        <is>
          <t>1280px 이상 4열 카드</t>
        </is>
      </c>
      <c r="O3" s="2" t="n"/>
      <c r="P3" s="2" t="n"/>
      <c r="Q3" s="2" t="inlineStr">
        <is>
          <t>확정</t>
        </is>
      </c>
      <c r="R3" s="2" t="inlineStr">
        <is>
          <t>개발팀</t>
        </is>
      </c>
      <c r="S3" s="2" t="n">
        <v>1</v>
      </c>
      <c r="T3" s="2" t="n">
        <v>3</v>
      </c>
      <c r="U3" s="2" t="n">
        <v>5</v>
      </c>
      <c r="V3" s="2" t="n"/>
      <c r="W3" s="2" t="n">
        <v>8</v>
      </c>
    </row>
    <row r="4">
      <c r="A4" s="2" t="inlineStr">
        <is>
          <t>SCR-010</t>
        </is>
      </c>
      <c r="B4" s="2" t="inlineStr">
        <is>
          <t>회원 목록</t>
        </is>
      </c>
      <c r="C4" s="2" t="inlineStr">
        <is>
          <t>Web</t>
        </is>
      </c>
      <c r="D4" s="2" t="inlineStr">
        <is>
          <t>/members</t>
        </is>
      </c>
      <c r="E4" s="2" t="inlineStr">
        <is>
          <t>회원 검색, 필터, 페이지네이션이 포함된 목록 화면</t>
        </is>
      </c>
      <c r="F4" s="2" t="inlineStr">
        <is>
          <t>UI-014, UI-015, UI-016, UI-017, UI-018, UI-019, UI-020, UI-021</t>
        </is>
      </c>
      <c r="G4" s="2" t="inlineStr">
        <is>
          <t>실시간 검색, 필터 조합, 정렬, 페이지네이션, 엑셀 다운로드</t>
        </is>
      </c>
      <c r="H4" s="2" t="inlineStr">
        <is>
          <t>테이블 가로스크롤 (좁은 화면)</t>
        </is>
      </c>
      <c r="I4" s="2" t="n"/>
      <c r="J4" s="2" t="inlineStr">
        <is>
          <t>GNB 메뉴, SCR-002 바로가기</t>
        </is>
      </c>
      <c r="K4" s="2" t="inlineStr">
        <is>
          <t>SCR-011, SCR-012</t>
        </is>
      </c>
      <c r="L4" s="2" t="inlineStr">
        <is>
          <t>검색 결과 없음: '조건에 맞는 회원이 없습니다'
로딩 실패: 스켈레톤 + 재시도</t>
        </is>
      </c>
      <c r="M4" s="2" t="inlineStr">
        <is>
          <t>테이블 aria-label, 스크린리더 페이지 안내</t>
        </is>
      </c>
      <c r="N4" s="2" t="inlineStr">
        <is>
          <t>테이블 반응형 스크롤</t>
        </is>
      </c>
      <c r="O4" s="2" t="n"/>
      <c r="P4" s="2" t="n"/>
      <c r="Q4" s="2" t="inlineStr">
        <is>
          <t>확정</t>
        </is>
      </c>
      <c r="R4" s="2" t="inlineStr">
        <is>
          <t>개발팀</t>
        </is>
      </c>
      <c r="S4" s="2" t="n">
        <v>2</v>
      </c>
      <c r="T4" s="2" t="n">
        <v>4</v>
      </c>
      <c r="U4" s="2" t="n">
        <v>2</v>
      </c>
      <c r="V4" s="2" t="n"/>
      <c r="W4" s="2" t="n">
        <v>8</v>
      </c>
    </row>
    <row r="5">
      <c r="A5" s="2" t="inlineStr">
        <is>
          <t>SCR-011</t>
        </is>
      </c>
      <c r="B5" s="2" t="inlineStr">
        <is>
          <t>회원 상세</t>
        </is>
      </c>
      <c r="C5" s="2" t="inlineStr">
        <is>
          <t>Web</t>
        </is>
      </c>
      <c r="D5" s="2" t="inlineStr">
        <is>
          <t>/members/detail</t>
        </is>
      </c>
      <c r="E5" s="2" t="inlineStr">
        <is>
          <t>회원 프로필 + 탭(이용권/출석/결제/체성분/메모) 구성</t>
        </is>
      </c>
      <c r="F5" s="2" t="inlineStr">
        <is>
          <t>UI-022, UI-023, UI-024, UI-025, UI-026, UI-027</t>
        </is>
      </c>
      <c r="G5" s="2" t="inlineStr">
        <is>
          <t>탭 전환, 이용권 만료일 강조, 출석 히트맵, 결제 내역 페이지네이션</t>
        </is>
      </c>
      <c r="H5" s="2" t="inlineStr">
        <is>
          <t>탭 URL 파라미터 유지</t>
        </is>
      </c>
      <c r="I5" s="2" t="n"/>
      <c r="J5" s="2" t="inlineStr">
        <is>
          <t>SCR-010 회원 클릭</t>
        </is>
      </c>
      <c r="K5" s="2" t="inlineStr">
        <is>
          <t>SCR-013, SCR-014, SCR-010</t>
        </is>
      </c>
      <c r="L5" s="2" t="inlineStr">
        <is>
          <t>회원 미존재: 404 페이지
데이터 로딩 실패: 탭별 에러 표시</t>
        </is>
      </c>
      <c r="M5" s="2" t="inlineStr">
        <is>
          <t>탭 키보드 네비게이션</t>
        </is>
      </c>
      <c r="N5" s="2" t="inlineStr">
        <is>
          <t>탭 세로 배치 (좁은 화면)</t>
        </is>
      </c>
      <c r="O5" s="2" t="n"/>
      <c r="P5" s="2" t="n"/>
      <c r="Q5" s="2" t="inlineStr">
        <is>
          <t>확정</t>
        </is>
      </c>
      <c r="R5" s="2" t="inlineStr">
        <is>
          <t>개발팀</t>
        </is>
      </c>
      <c r="S5" s="2" t="n">
        <v>2</v>
      </c>
      <c r="T5" s="2" t="n">
        <v>1</v>
      </c>
      <c r="U5" s="2" t="n">
        <v>2</v>
      </c>
      <c r="V5" s="2" t="n"/>
      <c r="W5" s="2" t="n">
        <v>6</v>
      </c>
    </row>
    <row r="6">
      <c r="A6" s="2" t="inlineStr">
        <is>
          <t>SCR-012</t>
        </is>
      </c>
      <c r="B6" s="2" t="inlineStr">
        <is>
          <t>회원 등록</t>
        </is>
      </c>
      <c r="C6" s="2" t="inlineStr">
        <is>
          <t>Web</t>
        </is>
      </c>
      <c r="D6" s="2" t="inlineStr">
        <is>
          <t>/members/new</t>
        </is>
      </c>
      <c r="E6" s="2" t="inlineStr">
        <is>
          <t>신규 회원 등록 폼. 필수/선택 항목 구분</t>
        </is>
      </c>
      <c r="F6" s="2" t="inlineStr">
        <is>
          <t>UI-028, UI-029, UI-030, UI-031, UI-032, UI-033, UI-034, UI-035, UI-036, UI-037</t>
        </is>
      </c>
      <c r="G6" s="2" t="inlineStr">
        <is>
          <t>실시간 유효성 검사, 연락처 자동 포맷, 주소 검색 API 연동</t>
        </is>
      </c>
      <c r="H6" s="2" t="inlineStr">
        <is>
          <t>폼 상태 유지 (뒤로가기 시)</t>
        </is>
      </c>
      <c r="I6" s="2" t="n"/>
      <c r="J6" s="2" t="inlineStr">
        <is>
          <t>SCR-010 '회원등록' 버튼</t>
        </is>
      </c>
      <c r="K6" s="2" t="inlineStr">
        <is>
          <t>SCR-011 (등록 완료 후)</t>
        </is>
      </c>
      <c r="L6" s="2" t="inlineStr">
        <is>
          <t>필수 항목 미입력: 필드 하단 에러 메시지
중복 연락처: '이미 등록된 연락처입니다'
서버 오류: 토스트 알림</t>
        </is>
      </c>
      <c r="M6" s="2" t="inlineStr">
        <is>
          <t>필수 항목 aria-required</t>
        </is>
      </c>
      <c r="N6" s="2" t="inlineStr">
        <is>
          <t>폼 1열 배치</t>
        </is>
      </c>
      <c r="O6" s="2" t="n"/>
      <c r="P6" s="2" t="n"/>
      <c r="Q6" s="2" t="inlineStr">
        <is>
          <t>확정</t>
        </is>
      </c>
      <c r="R6" s="2" t="inlineStr">
        <is>
          <t>개발팀</t>
        </is>
      </c>
      <c r="S6" s="2" t="n">
        <v>0</v>
      </c>
      <c r="T6" s="2" t="n">
        <v>4</v>
      </c>
      <c r="U6" s="2" t="n">
        <v>1</v>
      </c>
      <c r="V6" s="2" t="n"/>
      <c r="W6" s="2" t="n">
        <v>10</v>
      </c>
    </row>
    <row r="7">
      <c r="A7" s="2" t="inlineStr">
        <is>
          <t>SCR-013</t>
        </is>
      </c>
      <c r="B7" s="2" t="inlineStr">
        <is>
          <t>회원 수정</t>
        </is>
      </c>
      <c r="C7" s="2" t="inlineStr">
        <is>
          <t>Web</t>
        </is>
      </c>
      <c r="D7" s="2" t="inlineStr">
        <is>
          <t>/members/edit</t>
        </is>
      </c>
      <c r="E7" s="2" t="inlineStr">
        <is>
          <t>기존 회원 정보 수정 폼. 기존 데이터 프리필</t>
        </is>
      </c>
      <c r="F7" s="2" t="inlineStr">
        <is>
          <t>UI-119, UI-120</t>
        </is>
      </c>
      <c r="G7" s="2" t="inlineStr">
        <is>
          <t>변경사항 비교 표시, 저장 전 확인 모달</t>
        </is>
      </c>
      <c r="H7" s="2" t="inlineStr">
        <is>
          <t>변경 이력 자동 기록</t>
        </is>
      </c>
      <c r="I7" s="2" t="n"/>
      <c r="J7" s="2" t="inlineStr">
        <is>
          <t>SCR-011 '수정' 버튼</t>
        </is>
      </c>
      <c r="K7" s="2" t="inlineStr">
        <is>
          <t>SCR-011 (저장 후)</t>
        </is>
      </c>
      <c r="L7" s="2" t="inlineStr">
        <is>
          <t>변경 없이 저장: '변경된 내용이 없습니다'
서버 오류: 토스트 알림</t>
        </is>
      </c>
      <c r="M7" s="2" t="inlineStr">
        <is>
          <t>폼 접근성 동일</t>
        </is>
      </c>
      <c r="N7" s="2" t="inlineStr">
        <is>
          <t>폼 1열 배치</t>
        </is>
      </c>
      <c r="O7" s="2" t="n"/>
      <c r="P7" s="2" t="n"/>
      <c r="Q7" s="2" t="inlineStr">
        <is>
          <t>확정</t>
        </is>
      </c>
      <c r="R7" s="2" t="inlineStr">
        <is>
          <t>개발팀</t>
        </is>
      </c>
      <c r="S7" s="2" t="n">
        <v>0</v>
      </c>
      <c r="T7" s="2" t="n">
        <v>1</v>
      </c>
      <c r="U7" s="2" t="n">
        <v>1</v>
      </c>
      <c r="V7" s="2" t="n"/>
      <c r="W7" s="2" t="n">
        <v>2</v>
      </c>
    </row>
    <row r="8">
      <c r="A8" s="2" t="inlineStr">
        <is>
          <t>SCR-014</t>
        </is>
      </c>
      <c r="B8" s="2" t="inlineStr">
        <is>
          <t>체성분 분석</t>
        </is>
      </c>
      <c r="C8" s="2" t="inlineStr">
        <is>
          <t>Web</t>
        </is>
      </c>
      <c r="D8" s="2" t="inlineStr">
        <is>
          <t>/body-composition</t>
        </is>
      </c>
      <c r="E8" s="2" t="inlineStr">
        <is>
          <t>회원별 체성분 측정 기록 입력 및 변화 추이 차트</t>
        </is>
      </c>
      <c r="F8" s="2" t="inlineStr">
        <is>
          <t>UI-121, UI-122</t>
        </is>
      </c>
      <c r="G8" s="2" t="inlineStr">
        <is>
          <t>측정값 입력 폼, 날짜별 라인 차트, 목표 대비 게이지</t>
        </is>
      </c>
      <c r="H8" s="2" t="inlineStr">
        <is>
          <t>차트 라이브러리 (Recharts)</t>
        </is>
      </c>
      <c r="I8" s="2" t="n"/>
      <c r="J8" s="2" t="inlineStr">
        <is>
          <t>SCR-011 '체성분' 탭</t>
        </is>
      </c>
      <c r="K8" s="2" t="inlineStr">
        <is>
          <t>SCR-011</t>
        </is>
      </c>
      <c r="L8" s="2" t="inlineStr">
        <is>
          <t>측정 데이터 없음: '아직 측정 기록이 없습니다'
입력 범위 초과: 경고 토스트</t>
        </is>
      </c>
      <c r="M8" s="2" t="inlineStr">
        <is>
          <t>차트 alt-text, 데이터 테이블 대체</t>
        </is>
      </c>
      <c r="N8" s="2" t="inlineStr">
        <is>
          <t>차트 반응형</t>
        </is>
      </c>
      <c r="O8" s="2" t="n"/>
      <c r="P8" s="2" t="n"/>
      <c r="Q8" s="2" t="inlineStr">
        <is>
          <t>확정</t>
        </is>
      </c>
      <c r="R8" s="2" t="inlineStr">
        <is>
          <t>개발팀</t>
        </is>
      </c>
      <c r="S8" s="2" t="n">
        <v>1</v>
      </c>
      <c r="T8" s="2" t="n">
        <v>0</v>
      </c>
      <c r="U8" s="2" t="n">
        <v>0</v>
      </c>
      <c r="V8" s="2" t="n"/>
      <c r="W8" s="2" t="n">
        <v>2</v>
      </c>
    </row>
    <row r="9">
      <c r="A9" s="2" t="inlineStr">
        <is>
          <t>SCR-020</t>
        </is>
      </c>
      <c r="B9" s="2" t="inlineStr">
        <is>
          <t>출석 기록</t>
        </is>
      </c>
      <c r="C9" s="2" t="inlineStr">
        <is>
          <t>Web</t>
        </is>
      </c>
      <c r="D9" s="2" t="inlineStr">
        <is>
          <t>/attendance</t>
        </is>
      </c>
      <c r="E9" s="2" t="inlineStr">
        <is>
          <t>회원 출석 현황 조회. 일별/주별/월별 뷰 전환</t>
        </is>
      </c>
      <c r="F9" s="2" t="inlineStr">
        <is>
          <t>UI-123, UI-124</t>
        </is>
      </c>
      <c r="G9" s="2" t="inlineStr">
        <is>
          <t>날짜 필터, 출석 유형 필터, 타지점 출석 표시</t>
        </is>
      </c>
      <c r="H9" s="2" t="inlineStr">
        <is>
          <t>캘린더 컴포넌트</t>
        </is>
      </c>
      <c r="I9" s="2" t="n"/>
      <c r="J9" s="2" t="inlineStr">
        <is>
          <t>GNB 메뉴</t>
        </is>
      </c>
      <c r="K9" s="2" t="inlineStr">
        <is>
          <t>SCR-011 (회원 클릭)</t>
        </is>
      </c>
      <c r="L9" s="2" t="inlineStr">
        <is>
          <t>데이터 없음: '해당 기간 출석 기록이 없습니다'</t>
        </is>
      </c>
      <c r="M9" s="2" t="inlineStr">
        <is>
          <t>날짜 선택 키보드 접근</t>
        </is>
      </c>
      <c r="N9" s="2" t="inlineStr">
        <is>
          <t>테이블 반응형</t>
        </is>
      </c>
      <c r="O9" s="2" t="n"/>
      <c r="P9" s="2" t="n"/>
      <c r="Q9" s="2" t="inlineStr">
        <is>
          <t>확정</t>
        </is>
      </c>
      <c r="R9" s="2" t="inlineStr">
        <is>
          <t>개발팀</t>
        </is>
      </c>
      <c r="S9" s="2" t="n">
        <v>1</v>
      </c>
      <c r="T9" s="2" t="n">
        <v>1</v>
      </c>
      <c r="U9" s="2" t="n">
        <v>2</v>
      </c>
      <c r="V9" s="2" t="n"/>
      <c r="W9" s="2" t="n">
        <v>2</v>
      </c>
    </row>
    <row r="10">
      <c r="A10" s="2" t="inlineStr">
        <is>
          <t>SCR-021</t>
        </is>
      </c>
      <c r="B10" s="2" t="inlineStr">
        <is>
          <t>일정 관리</t>
        </is>
      </c>
      <c r="C10" s="2" t="inlineStr">
        <is>
          <t>Web</t>
        </is>
      </c>
      <c r="D10" s="2" t="inlineStr">
        <is>
          <t>/calendar</t>
        </is>
      </c>
      <c r="E10" s="2" t="inlineStr">
        <is>
          <t>PT/GX 일정 캘린더. 월/주/일 뷰 전환</t>
        </is>
      </c>
      <c r="F10" s="2" t="inlineStr">
        <is>
          <t>UI-125, UI-126</t>
        </is>
      </c>
      <c r="G10" s="2" t="inlineStr">
        <is>
          <t>드래그앤드롭 일정 이동, 클릭 상세 모달, 트레이너 필터</t>
        </is>
      </c>
      <c r="H10" s="2" t="inlineStr">
        <is>
          <t>FullCalendar 라이브러리</t>
        </is>
      </c>
      <c r="I10" s="2" t="n"/>
      <c r="J10" s="2" t="inlineStr">
        <is>
          <t>GNB 메뉴</t>
        </is>
      </c>
      <c r="K10" s="2" t="inlineStr">
        <is>
          <t>SCR-011 (회원 연결)</t>
        </is>
      </c>
      <c r="L10" s="2" t="inlineStr">
        <is>
          <t>일정 충돌: '해당 시간에 이미 예약이 있습니다'
과거 일정 수정 불가</t>
        </is>
      </c>
      <c r="M10" s="2" t="inlineStr">
        <is>
          <t>캘린더 키보드 네비게이션</t>
        </is>
      </c>
      <c r="N10" s="2" t="inlineStr">
        <is>
          <t>뷰 자동 전환 (주→일)</t>
        </is>
      </c>
      <c r="O10" s="2" t="n"/>
      <c r="P10" s="2" t="n"/>
      <c r="Q10" s="2" t="inlineStr">
        <is>
          <t>확정</t>
        </is>
      </c>
      <c r="R10" s="2" t="inlineStr">
        <is>
          <t>개발팀</t>
        </is>
      </c>
      <c r="S10" s="2" t="n">
        <v>1</v>
      </c>
      <c r="T10" s="2" t="n">
        <v>0</v>
      </c>
      <c r="U10" s="2" t="n">
        <v>0</v>
      </c>
      <c r="V10" s="2" t="n"/>
      <c r="W10" s="2" t="n">
        <v>2</v>
      </c>
    </row>
    <row r="11">
      <c r="A11" s="2" t="inlineStr">
        <is>
          <t>SCR-030</t>
        </is>
      </c>
      <c r="B11" s="2" t="inlineStr">
        <is>
          <t>매출 조회</t>
        </is>
      </c>
      <c r="C11" s="2" t="inlineStr">
        <is>
          <t>Web</t>
        </is>
      </c>
      <c r="D11" s="2" t="inlineStr">
        <is>
          <t>/sales</t>
        </is>
      </c>
      <c r="E11" s="2" t="inlineStr">
        <is>
          <t>매출 현황 조회. 기간/유형/상태 필터 + 통계 요약 카드</t>
        </is>
      </c>
      <c r="F11" s="2" t="inlineStr">
        <is>
          <t>UI-038, UI-039, UI-040, UI-041, UI-042, UI-043, UI-044</t>
        </is>
      </c>
      <c r="G11" s="2" t="inlineStr">
        <is>
          <t>날짜 범위 선택, 유형 필터, 상태 필터, 통계 카드 갱신, 엑셀 다운로드</t>
        </is>
      </c>
      <c r="H11" s="2" t="inlineStr">
        <is>
          <t>금액 포맷 (천단위 콤마)</t>
        </is>
      </c>
      <c r="I11" s="2" t="n"/>
      <c r="J11" s="2" t="inlineStr">
        <is>
          <t>GNB 메뉴, SCR-002 매출 카드</t>
        </is>
      </c>
      <c r="K11" s="2" t="inlineStr">
        <is>
          <t>SCR-031 (POS 이동)</t>
        </is>
      </c>
      <c r="L11" s="2" t="inlineStr">
        <is>
          <t>데이터 없음: '해당 기간 매출이 없습니다'
다운로드 실패: 재시도 안내</t>
        </is>
      </c>
      <c r="M11" s="2" t="inlineStr">
        <is>
          <t>금액 스크린리더 읽기</t>
        </is>
      </c>
      <c r="N11" s="2" t="inlineStr">
        <is>
          <t>통계 카드 2열→1열</t>
        </is>
      </c>
      <c r="O11" s="2" t="n"/>
      <c r="P11" s="2" t="n"/>
      <c r="Q11" s="2" t="inlineStr">
        <is>
          <t>확정</t>
        </is>
      </c>
      <c r="R11" s="2" t="inlineStr">
        <is>
          <t>개발팀</t>
        </is>
      </c>
      <c r="S11" s="2" t="n">
        <v>2</v>
      </c>
      <c r="T11" s="2" t="n">
        <v>2</v>
      </c>
      <c r="U11" s="2" t="n">
        <v>2</v>
      </c>
      <c r="V11" s="2" t="n"/>
      <c r="W11" s="2" t="n">
        <v>7</v>
      </c>
    </row>
    <row r="12">
      <c r="A12" s="2" t="inlineStr">
        <is>
          <t>SCR-031</t>
        </is>
      </c>
      <c r="B12" s="2" t="inlineStr">
        <is>
          <t>POS</t>
        </is>
      </c>
      <c r="C12" s="2" t="inlineStr">
        <is>
          <t>Web</t>
        </is>
      </c>
      <c r="D12" s="2" t="inlineStr">
        <is>
          <t>/pos</t>
        </is>
      </c>
      <c r="E12" s="2" t="inlineStr">
        <is>
          <t>POS 상품 선택 화면. 카테고리 탭 + 상품 그리드 + 장바구니</t>
        </is>
      </c>
      <c r="F12" s="2" t="inlineStr">
        <is>
          <t>UI-045, UI-046, UI-047, UI-048</t>
        </is>
      </c>
      <c r="G12" s="2" t="inlineStr">
        <is>
          <t>카테고리 탭 전환, 상품 클릭 시 장바구니 추가, 수량 조절, 삭제</t>
        </is>
      </c>
      <c r="H12" s="2" t="inlineStr">
        <is>
          <t>2컬럼 레이아웃 (상품 | 장바구니)</t>
        </is>
      </c>
      <c r="I12" s="2" t="n"/>
      <c r="J12" s="2" t="inlineStr">
        <is>
          <t>GNB 메뉴, SCR-030</t>
        </is>
      </c>
      <c r="K12" s="2" t="inlineStr">
        <is>
          <t>SCR-032 (결제 진행)</t>
        </is>
      </c>
      <c r="L12" s="2" t="inlineStr">
        <is>
          <t>장바구니 비어있음: '상품을 선택해주세요'
재고 없음: 상품 비활성화</t>
        </is>
      </c>
      <c r="M12" s="2" t="inlineStr">
        <is>
          <t>상품 그리드 키보드 선택</t>
        </is>
      </c>
      <c r="N12" s="2" t="inlineStr">
        <is>
          <t>장바구니 하단 고정</t>
        </is>
      </c>
      <c r="O12" s="2" t="n"/>
      <c r="P12" s="2" t="n"/>
      <c r="Q12" s="2" t="inlineStr">
        <is>
          <t>확정</t>
        </is>
      </c>
      <c r="R12" s="2" t="inlineStr">
        <is>
          <t>개발팀</t>
        </is>
      </c>
      <c r="S12" s="2" t="n">
        <v>0</v>
      </c>
      <c r="T12" s="2" t="n">
        <v>1</v>
      </c>
      <c r="U12" s="2" t="n">
        <v>0</v>
      </c>
      <c r="V12" s="2" t="n"/>
      <c r="W12" s="2" t="n">
        <v>4</v>
      </c>
    </row>
    <row r="13">
      <c r="A13" s="2" t="inlineStr">
        <is>
          <t>SCR-032</t>
        </is>
      </c>
      <c r="B13" s="2" t="inlineStr">
        <is>
          <t>POS 결제</t>
        </is>
      </c>
      <c r="C13" s="2" t="inlineStr">
        <is>
          <t>Web</t>
        </is>
      </c>
      <c r="D13" s="2" t="inlineStr">
        <is>
          <t>/pos/payment</t>
        </is>
      </c>
      <c r="E13" s="2" t="inlineStr">
        <is>
          <t>결제 수단 선택 및 결제 처리. 복합결제 지원</t>
        </is>
      </c>
      <c r="F13" s="2" t="inlineStr">
        <is>
          <t>UI-049, UI-050, UI-051, UI-052</t>
        </is>
      </c>
      <c r="G13" s="2" t="inlineStr">
        <is>
          <t>결제수단 선택, 금액 입력, 마일리지 사용, 결제 확인 모달</t>
        </is>
      </c>
      <c r="H13" s="2" t="inlineStr">
        <is>
          <t>결제 API 연동</t>
        </is>
      </c>
      <c r="I13" s="2" t="n"/>
      <c r="J13" s="2" t="inlineStr">
        <is>
          <t>SCR-031 '결제' 버튼</t>
        </is>
      </c>
      <c r="K13" s="2" t="inlineStr">
        <is>
          <t>SCR-030 (결제 완료 후)</t>
        </is>
      </c>
      <c r="L13" s="2" t="inlineStr">
        <is>
          <t>결제 실패: '결제에 실패했습니다. 다시 시도해주세요'
잔액 부족: 안내 메시지</t>
        </is>
      </c>
      <c r="M13" s="2" t="inlineStr">
        <is>
          <t>금액 입력 접근성</t>
        </is>
      </c>
      <c r="N13" s="2" t="inlineStr">
        <is>
          <t>모달 팝업</t>
        </is>
      </c>
      <c r="O13" s="2" t="n"/>
      <c r="P13" s="2" t="n"/>
      <c r="Q13" s="2" t="inlineStr">
        <is>
          <t>확정</t>
        </is>
      </c>
      <c r="R13" s="2" t="inlineStr">
        <is>
          <t>개발팀</t>
        </is>
      </c>
      <c r="S13" s="2" t="n">
        <v>1</v>
      </c>
      <c r="T13" s="2" t="n">
        <v>3</v>
      </c>
      <c r="U13" s="2" t="n">
        <v>1</v>
      </c>
      <c r="V13" s="2" t="n"/>
      <c r="W13" s="2" t="n">
        <v>4</v>
      </c>
    </row>
    <row r="14">
      <c r="A14" s="2" t="inlineStr">
        <is>
          <t>SCR-040</t>
        </is>
      </c>
      <c r="B14" s="2" t="inlineStr">
        <is>
          <t>상품 목록</t>
        </is>
      </c>
      <c r="C14" s="2" t="inlineStr">
        <is>
          <t>Web</t>
        </is>
      </c>
      <c r="D14" s="2" t="inlineStr">
        <is>
          <t>/products</t>
        </is>
      </c>
      <c r="E14" s="2" t="inlineStr">
        <is>
          <t>이용권/PT/기타 상품 목록. 카테고리 필터</t>
        </is>
      </c>
      <c r="F14" s="2" t="inlineStr">
        <is>
          <t>UI-082, UI-083, UI-084</t>
        </is>
      </c>
      <c r="G14" s="2" t="inlineStr">
        <is>
          <t>카테고리 필터, 상태 토글, 정렬</t>
        </is>
      </c>
      <c r="H14" s="2" t="inlineStr">
        <is>
          <t>테이블 레이아웃</t>
        </is>
      </c>
      <c r="I14" s="2" t="n"/>
      <c r="J14" s="2" t="inlineStr">
        <is>
          <t>GNB 메뉴</t>
        </is>
      </c>
      <c r="K14" s="2" t="inlineStr">
        <is>
          <t>SCR-041 (등록), SCR-040 (수정 모달)</t>
        </is>
      </c>
      <c r="L14" s="2" t="inlineStr">
        <is>
          <t>상품 없음: '등록된 상품이 없습니다'</t>
        </is>
      </c>
      <c r="M14" s="2" t="inlineStr">
        <is>
          <t>테이블 접근성</t>
        </is>
      </c>
      <c r="N14" s="2" t="inlineStr">
        <is>
          <t>테이블 반응형</t>
        </is>
      </c>
      <c r="O14" s="2" t="n"/>
      <c r="P14" s="2" t="n"/>
      <c r="Q14" s="2" t="inlineStr">
        <is>
          <t>확정</t>
        </is>
      </c>
      <c r="R14" s="2" t="inlineStr">
        <is>
          <t>개발팀</t>
        </is>
      </c>
      <c r="S14" s="2" t="n">
        <v>2</v>
      </c>
      <c r="T14" s="2" t="n">
        <v>0</v>
      </c>
      <c r="U14" s="2" t="n">
        <v>1</v>
      </c>
      <c r="V14" s="2" t="n"/>
      <c r="W14" s="2" t="n">
        <v>3</v>
      </c>
    </row>
    <row r="15">
      <c r="A15" s="2" t="inlineStr">
        <is>
          <t>SCR-041</t>
        </is>
      </c>
      <c r="B15" s="2" t="inlineStr">
        <is>
          <t>상품 등록</t>
        </is>
      </c>
      <c r="C15" s="2" t="inlineStr">
        <is>
          <t>Web</t>
        </is>
      </c>
      <c r="D15" s="2" t="inlineStr">
        <is>
          <t>/products/new</t>
        </is>
      </c>
      <c r="E15" s="2" t="inlineStr">
        <is>
          <t>신규 상품 등록 폼. 카테고리/이름/가격/기간 설정</t>
        </is>
      </c>
      <c r="F15" s="2" t="inlineStr">
        <is>
          <t>UI-085, UI-086, UI-087, UI-088</t>
        </is>
      </c>
      <c r="G15" s="2" t="inlineStr">
        <is>
          <t>카테고리 선택 시 하위 필드 변경, 가격 입력 포맷</t>
        </is>
      </c>
      <c r="H15" s="2" t="inlineStr">
        <is>
          <t>폼 유효성 검사</t>
        </is>
      </c>
      <c r="I15" s="2" t="n"/>
      <c r="J15" s="2" t="inlineStr">
        <is>
          <t>SCR-040 '등록' 버튼</t>
        </is>
      </c>
      <c r="K15" s="2" t="inlineStr">
        <is>
          <t>SCR-040 (저장 후)</t>
        </is>
      </c>
      <c r="L15" s="2" t="inlineStr">
        <is>
          <t>필수 미입력: 필드별 에러
중복 상품명: 경고</t>
        </is>
      </c>
      <c r="M15" s="2" t="inlineStr">
        <is>
          <t>폼 접근성</t>
        </is>
      </c>
      <c r="N15" s="2" t="inlineStr">
        <is>
          <t>폼 1열</t>
        </is>
      </c>
      <c r="O15" s="2" t="n"/>
      <c r="P15" s="2" t="n"/>
      <c r="Q15" s="2" t="inlineStr">
        <is>
          <t>확정</t>
        </is>
      </c>
      <c r="R15" s="2" t="inlineStr">
        <is>
          <t>개발팀</t>
        </is>
      </c>
      <c r="S15" s="2" t="n">
        <v>0</v>
      </c>
      <c r="T15" s="2" t="n">
        <v>1</v>
      </c>
      <c r="U15" s="2" t="n">
        <v>1</v>
      </c>
      <c r="V15" s="2" t="n"/>
      <c r="W15" s="2" t="n">
        <v>4</v>
      </c>
    </row>
    <row r="16">
      <c r="A16" s="2" t="inlineStr">
        <is>
          <t>SCR-050</t>
        </is>
      </c>
      <c r="B16" s="2" t="inlineStr">
        <is>
          <t>락커 현황</t>
        </is>
      </c>
      <c r="C16" s="2" t="inlineStr">
        <is>
          <t>Web</t>
        </is>
      </c>
      <c r="D16" s="2" t="inlineStr">
        <is>
          <t>/locker</t>
        </is>
      </c>
      <c r="E16" s="2" t="inlineStr">
        <is>
          <t>구역별 락커 그리드. 색상으로 상태 구분 (사용중/빈/만료임박)</t>
        </is>
      </c>
      <c r="F16" s="2" t="inlineStr">
        <is>
          <t>UI-053, UI-054, UI-055, UI-056</t>
        </is>
      </c>
      <c r="G16" s="2" t="inlineStr">
        <is>
          <t>구역 탭 전환, 락커 클릭 시 상세 모달, 범례 표시</t>
        </is>
      </c>
      <c r="H16" s="2" t="inlineStr">
        <is>
          <t>CSS Grid 레이아웃</t>
        </is>
      </c>
      <c r="I16" s="2" t="n"/>
      <c r="J16" s="2" t="inlineStr">
        <is>
          <t>GNB 메뉴</t>
        </is>
      </c>
      <c r="K16" s="2" t="inlineStr">
        <is>
          <t>SCR-051 (관리 이동)</t>
        </is>
      </c>
      <c r="L16" s="2" t="inlineStr">
        <is>
          <t>락커 없음: '등록된 락커가 없습니다'</t>
        </is>
      </c>
      <c r="M16" s="2" t="inlineStr">
        <is>
          <t>색상 + 패턴으로 상태 구분 (색약 대응)</t>
        </is>
      </c>
      <c r="N16" s="2" t="inlineStr">
        <is>
          <t>그리드 반응형</t>
        </is>
      </c>
      <c r="O16" s="2" t="n"/>
      <c r="P16" s="2" t="n"/>
      <c r="Q16" s="2" t="inlineStr">
        <is>
          <t>확정</t>
        </is>
      </c>
      <c r="R16" s="2" t="inlineStr">
        <is>
          <t>개발팀</t>
        </is>
      </c>
      <c r="S16" s="2" t="n">
        <v>2</v>
      </c>
      <c r="T16" s="2" t="n">
        <v>1</v>
      </c>
      <c r="U16" s="2" t="n">
        <v>1</v>
      </c>
      <c r="V16" s="2" t="n"/>
      <c r="W16" s="2" t="n">
        <v>4</v>
      </c>
    </row>
    <row r="17">
      <c r="A17" s="2" t="inlineStr">
        <is>
          <t>SCR-051</t>
        </is>
      </c>
      <c r="B17" s="2" t="inlineStr">
        <is>
          <t>락커 관리</t>
        </is>
      </c>
      <c r="C17" s="2" t="inlineStr">
        <is>
          <t>Web</t>
        </is>
      </c>
      <c r="D17" s="2" t="inlineStr">
        <is>
          <t>/locker/management</t>
        </is>
      </c>
      <c r="E17" s="2" t="inlineStr">
        <is>
          <t>락커 배정/해제/일괄 관리</t>
        </is>
      </c>
      <c r="F17" s="2" t="inlineStr">
        <is>
          <t>UI-089, UI-090, UI-091, UI-092</t>
        </is>
      </c>
      <c r="G17" s="2" t="inlineStr">
        <is>
          <t>회원 검색 → 빈 락커 선택 → 배정, 일괄 선택 해제</t>
        </is>
      </c>
      <c r="H17" s="2" t="inlineStr">
        <is>
          <t>배정 모달</t>
        </is>
      </c>
      <c r="I17" s="2" t="n"/>
      <c r="J17" s="2" t="inlineStr">
        <is>
          <t>SCR-050, GNB</t>
        </is>
      </c>
      <c r="K17" s="2" t="inlineStr">
        <is>
          <t>SCR-050</t>
        </is>
      </c>
      <c r="L17" s="2" t="inlineStr">
        <is>
          <t>이미 배정된 락커: '이미 사용중인 락커입니다'</t>
        </is>
      </c>
      <c r="M17" s="2" t="inlineStr">
        <is>
          <t>모달 접근성</t>
        </is>
      </c>
      <c r="N17" s="2" t="inlineStr">
        <is>
          <t>모달 반응형</t>
        </is>
      </c>
      <c r="O17" s="2" t="n"/>
      <c r="P17" s="2" t="n"/>
      <c r="Q17" s="2" t="inlineStr">
        <is>
          <t>확정</t>
        </is>
      </c>
      <c r="R17" s="2" t="inlineStr">
        <is>
          <t>개발팀</t>
        </is>
      </c>
      <c r="S17" s="2" t="n">
        <v>0</v>
      </c>
      <c r="T17" s="2" t="n">
        <v>1</v>
      </c>
      <c r="U17" s="2" t="n">
        <v>1</v>
      </c>
      <c r="V17" s="2" t="n"/>
      <c r="W17" s="2" t="n">
        <v>4</v>
      </c>
    </row>
    <row r="18">
      <c r="A18" s="2" t="inlineStr">
        <is>
          <t>SCR-052</t>
        </is>
      </c>
      <c r="B18" s="2" t="inlineStr">
        <is>
          <t>RFID 관리</t>
        </is>
      </c>
      <c r="C18" s="2" t="inlineStr">
        <is>
          <t>Web</t>
        </is>
      </c>
      <c r="D18" s="2" t="inlineStr">
        <is>
          <t>/rfid</t>
        </is>
      </c>
      <c r="E18" s="2" t="inlineStr">
        <is>
          <t>RFID 카드 등록/해제/이력 조회</t>
        </is>
      </c>
      <c r="F18" s="2" t="inlineStr">
        <is>
          <t>UI-108, UI-109, UI-110</t>
        </is>
      </c>
      <c r="G18" s="2" t="inlineStr">
        <is>
          <t>카드 번호 스캔 입력, 회원 매핑, 분실 처리 버튼</t>
        </is>
      </c>
      <c r="H18" s="2" t="inlineStr">
        <is>
          <t>RFID 리더기 연동</t>
        </is>
      </c>
      <c r="I18" s="2" t="n"/>
      <c r="J18" s="2" t="inlineStr">
        <is>
          <t>GNB 메뉴</t>
        </is>
      </c>
      <c r="K18" s="2" t="inlineStr">
        <is>
          <t>SCR-011 (회원 연결)</t>
        </is>
      </c>
      <c r="L18" s="2" t="inlineStr">
        <is>
          <t>미등록 카드: '등록되지 않은 카드입니다'
이미 매핑: '다른 회원에게 배정된 카드'</t>
        </is>
      </c>
      <c r="M18" s="2" t="inlineStr">
        <is>
          <t>폼 접근성</t>
        </is>
      </c>
      <c r="N18" s="2" t="inlineStr">
        <is>
          <t>테이블 반응형</t>
        </is>
      </c>
      <c r="O18" s="2" t="n"/>
      <c r="P18" s="2" t="n"/>
      <c r="Q18" s="2" t="inlineStr">
        <is>
          <t>확정</t>
        </is>
      </c>
      <c r="R18" s="2" t="inlineStr">
        <is>
          <t>개발팀</t>
        </is>
      </c>
      <c r="S18" s="2" t="n">
        <v>1</v>
      </c>
      <c r="T18" s="2" t="n">
        <v>1</v>
      </c>
      <c r="U18" s="2" t="n">
        <v>0</v>
      </c>
      <c r="V18" s="2" t="n"/>
      <c r="W18" s="2" t="n">
        <v>3</v>
      </c>
    </row>
    <row r="19">
      <c r="A19" s="2" t="inlineStr">
        <is>
          <t>SCR-053</t>
        </is>
      </c>
      <c r="B19" s="2" t="inlineStr">
        <is>
          <t>룸 관리</t>
        </is>
      </c>
      <c r="C19" s="2" t="inlineStr">
        <is>
          <t>Web</t>
        </is>
      </c>
      <c r="D19" s="2" t="inlineStr">
        <is>
          <t>/rooms</t>
        </is>
      </c>
      <c r="E19" s="2" t="inlineStr">
        <is>
          <t>GX룸/PT룸 등록/수정/삭제. 예약 시간대 설정</t>
        </is>
      </c>
      <c r="F19" s="2" t="inlineStr">
        <is>
          <t>UI-111, UI-112</t>
        </is>
      </c>
      <c r="G19" s="2" t="inlineStr">
        <is>
          <t>룸 카드 뷰, 수용인원 설정, 시간대 슬롯 설정</t>
        </is>
      </c>
      <c r="H19" s="2" t="inlineStr">
        <is>
          <t>카드 레이아웃</t>
        </is>
      </c>
      <c r="I19" s="2" t="n"/>
      <c r="J19" s="2" t="inlineStr">
        <is>
          <t>GNB 메뉴</t>
        </is>
      </c>
      <c r="K19" s="2" t="inlineStr">
        <is>
          <t>SCR-021 (일정 연결)</t>
        </is>
      </c>
      <c r="L19" s="2" t="inlineStr">
        <is>
          <t>룸 삭제 시 예약 존재: '기존 예약이 있어 삭제할 수 없습니다'</t>
        </is>
      </c>
      <c r="M19" s="2" t="inlineStr">
        <is>
          <t>카드 접근성</t>
        </is>
      </c>
      <c r="N19" s="2" t="inlineStr">
        <is>
          <t>카드 반응형</t>
        </is>
      </c>
      <c r="O19" s="2" t="n"/>
      <c r="P19" s="2" t="n"/>
      <c r="Q19" s="2" t="inlineStr">
        <is>
          <t>확정</t>
        </is>
      </c>
      <c r="R19" s="2" t="inlineStr">
        <is>
          <t>개발팀</t>
        </is>
      </c>
      <c r="S19" s="2" t="n">
        <v>1</v>
      </c>
      <c r="T19" s="2" t="n">
        <v>1</v>
      </c>
      <c r="U19" s="2" t="n">
        <v>0</v>
      </c>
      <c r="V19" s="2" t="n"/>
      <c r="W19" s="2" t="n">
        <v>2</v>
      </c>
    </row>
    <row r="20">
      <c r="A20" s="2" t="inlineStr">
        <is>
          <t>SCR-060</t>
        </is>
      </c>
      <c r="B20" s="2" t="inlineStr">
        <is>
          <t>직원 목록</t>
        </is>
      </c>
      <c r="C20" s="2" t="inlineStr">
        <is>
          <t>Web</t>
        </is>
      </c>
      <c r="D20" s="2" t="inlineStr">
        <is>
          <t>/staff</t>
        </is>
      </c>
      <c r="E20" s="2" t="inlineStr">
        <is>
          <t>직원 검색/필터/목록 조회</t>
        </is>
      </c>
      <c r="F20" s="2" t="inlineStr">
        <is>
          <t>UI-057, UI-058, UI-059, UI-060, UI-061</t>
        </is>
      </c>
      <c r="G20" s="2" t="inlineStr">
        <is>
          <t>역할 필터, 상태 필터, 검색, 테이블 정렬</t>
        </is>
      </c>
      <c r="H20" s="2" t="inlineStr">
        <is>
          <t>테이블 레이아웃</t>
        </is>
      </c>
      <c r="I20" s="2" t="n"/>
      <c r="J20" s="2" t="inlineStr">
        <is>
          <t>GNB 메뉴</t>
        </is>
      </c>
      <c r="K20" s="2" t="inlineStr">
        <is>
          <t>SCR-061 (등록), 직원 상세 모달</t>
        </is>
      </c>
      <c r="L20" s="2" t="inlineStr">
        <is>
          <t>검색 결과 없음: '조건에 맞는 직원이 없습니다'</t>
        </is>
      </c>
      <c r="M20" s="2" t="inlineStr">
        <is>
          <t>테이블 접근성</t>
        </is>
      </c>
      <c r="N20" s="2" t="inlineStr">
        <is>
          <t>테이블 반응형</t>
        </is>
      </c>
      <c r="O20" s="2" t="n"/>
      <c r="P20" s="2" t="n"/>
      <c r="Q20" s="2" t="inlineStr">
        <is>
          <t>확정</t>
        </is>
      </c>
      <c r="R20" s="2" t="inlineStr">
        <is>
          <t>개발팀</t>
        </is>
      </c>
      <c r="S20" s="2" t="n">
        <v>2</v>
      </c>
      <c r="T20" s="2" t="n">
        <v>1</v>
      </c>
      <c r="U20" s="2" t="n">
        <v>3</v>
      </c>
      <c r="V20" s="2" t="n"/>
      <c r="W20" s="2" t="n">
        <v>5</v>
      </c>
    </row>
    <row r="21">
      <c r="A21" s="2" t="inlineStr">
        <is>
          <t>SCR-061</t>
        </is>
      </c>
      <c r="B21" s="2" t="inlineStr">
        <is>
          <t>직원 등록</t>
        </is>
      </c>
      <c r="C21" s="2" t="inlineStr">
        <is>
          <t>Web</t>
        </is>
      </c>
      <c r="D21" s="2" t="inlineStr">
        <is>
          <t>/staff/new</t>
        </is>
      </c>
      <c r="E21" s="2" t="inlineStr">
        <is>
          <t>신규 직원 등록 폼</t>
        </is>
      </c>
      <c r="F21" s="2" t="inlineStr">
        <is>
          <t>UI-093, UI-094, UI-095, UI-096, UI-097</t>
        </is>
      </c>
      <c r="G21" s="2" t="inlineStr">
        <is>
          <t>역할 선택 시 권한 미리보기, 관리자 계정 자동 생성 옵션</t>
        </is>
      </c>
      <c r="H21" s="2" t="inlineStr">
        <is>
          <t>폼 레이아웃</t>
        </is>
      </c>
      <c r="I21" s="2" t="n"/>
      <c r="J21" s="2" t="inlineStr">
        <is>
          <t>SCR-060 '등록' 버튼</t>
        </is>
      </c>
      <c r="K21" s="2" t="inlineStr">
        <is>
          <t>SCR-060 (저장 후)</t>
        </is>
      </c>
      <c r="L21" s="2" t="inlineStr">
        <is>
          <t>필수 미입력: 필드별 에러
중복 이메일: 경고</t>
        </is>
      </c>
      <c r="M21" s="2" t="inlineStr">
        <is>
          <t>폼 접근성</t>
        </is>
      </c>
      <c r="N21" s="2" t="inlineStr">
        <is>
          <t>폼 1열</t>
        </is>
      </c>
      <c r="O21" s="2" t="n"/>
      <c r="P21" s="2" t="n"/>
      <c r="Q21" s="2" t="inlineStr">
        <is>
          <t>확정</t>
        </is>
      </c>
      <c r="R21" s="2" t="inlineStr">
        <is>
          <t>개발팀</t>
        </is>
      </c>
      <c r="S21" s="2" t="n">
        <v>0</v>
      </c>
      <c r="T21" s="2" t="n">
        <v>1</v>
      </c>
      <c r="U21" s="2" t="n">
        <v>1</v>
      </c>
      <c r="V21" s="2" t="n"/>
      <c r="W21" s="2" t="n">
        <v>5</v>
      </c>
    </row>
    <row r="22">
      <c r="A22" s="2" t="inlineStr">
        <is>
          <t>SCR-062</t>
        </is>
      </c>
      <c r="B22" s="2" t="inlineStr">
        <is>
          <t>급여 현황</t>
        </is>
      </c>
      <c r="C22" s="2" t="inlineStr">
        <is>
          <t>Web</t>
        </is>
      </c>
      <c r="D22" s="2" t="inlineStr">
        <is>
          <t>/payroll</t>
        </is>
      </c>
      <c r="E22" s="2" t="inlineStr">
        <is>
          <t>월별 급여 현황 테이블. 합계/평균 요약</t>
        </is>
      </c>
      <c r="F22" s="2" t="inlineStr">
        <is>
          <t>UI-098, UI-099, UI-100</t>
        </is>
      </c>
      <c r="G22" s="2" t="inlineStr">
        <is>
          <t>월 선택, 지급상태 필터, 합계 행</t>
        </is>
      </c>
      <c r="H22" s="2" t="inlineStr">
        <is>
          <t>테이블 + 요약 카드</t>
        </is>
      </c>
      <c r="I22" s="2" t="n"/>
      <c r="J22" s="2" t="inlineStr">
        <is>
          <t>GNB 메뉴</t>
        </is>
      </c>
      <c r="K22" s="2" t="inlineStr">
        <is>
          <t>SCR-063 (명세서)</t>
        </is>
      </c>
      <c r="L22" s="2" t="inlineStr">
        <is>
          <t>데이터 없음: '해당 월 급여 데이터가 없습니다'</t>
        </is>
      </c>
      <c r="M22" s="2" t="inlineStr">
        <is>
          <t>테이블 접근성</t>
        </is>
      </c>
      <c r="N22" s="2" t="inlineStr">
        <is>
          <t>테이블 반응형</t>
        </is>
      </c>
      <c r="O22" s="2" t="n"/>
      <c r="P22" s="2" t="n"/>
      <c r="Q22" s="2" t="inlineStr">
        <is>
          <t>확정</t>
        </is>
      </c>
      <c r="R22" s="2" t="inlineStr">
        <is>
          <t>개발팀</t>
        </is>
      </c>
      <c r="S22" s="2" t="n">
        <v>2</v>
      </c>
      <c r="T22" s="2" t="n">
        <v>1</v>
      </c>
      <c r="U22" s="2" t="n">
        <v>1</v>
      </c>
      <c r="V22" s="2" t="n"/>
      <c r="W22" s="2" t="n">
        <v>3</v>
      </c>
    </row>
    <row r="23">
      <c r="A23" s="2" t="inlineStr">
        <is>
          <t>SCR-063</t>
        </is>
      </c>
      <c r="B23" s="2" t="inlineStr">
        <is>
          <t>급여명세서</t>
        </is>
      </c>
      <c r="C23" s="2" t="inlineStr">
        <is>
          <t>Web</t>
        </is>
      </c>
      <c r="D23" s="2" t="inlineStr">
        <is>
          <t>/payroll/statements</t>
        </is>
      </c>
      <c r="E23" s="2" t="inlineStr">
        <is>
          <t>직원별 급여명세서 상세. PDF 다운로드</t>
        </is>
      </c>
      <c r="F23" s="2" t="inlineStr">
        <is>
          <t>UI-127, UI-128, UI-129</t>
        </is>
      </c>
      <c r="G23" s="2" t="inlineStr">
        <is>
          <t>직원 선택, 월 선택, 명세서 상세 표시, PDF 다운로드</t>
        </is>
      </c>
      <c r="H23" s="2" t="inlineStr">
        <is>
          <t>PDF 생성 (html2pdf)</t>
        </is>
      </c>
      <c r="I23" s="2" t="n"/>
      <c r="J23" s="2" t="inlineStr">
        <is>
          <t>SCR-062 직원 클릭</t>
        </is>
      </c>
      <c r="K23" s="2" t="inlineStr">
        <is>
          <t>SCR-062</t>
        </is>
      </c>
      <c r="L23" s="2" t="inlineStr">
        <is>
          <t>명세서 없음: '해당 월 명세서가 없습니다'</t>
        </is>
      </c>
      <c r="M23" s="2" t="inlineStr">
        <is>
          <t>명세서 접근성</t>
        </is>
      </c>
      <c r="N23" s="2" t="inlineStr">
        <is>
          <t>A4 레이아웃</t>
        </is>
      </c>
      <c r="O23" s="2" t="n"/>
      <c r="P23" s="2" t="n"/>
      <c r="Q23" s="2" t="inlineStr">
        <is>
          <t>확정</t>
        </is>
      </c>
      <c r="R23" s="2" t="inlineStr">
        <is>
          <t>개발팀</t>
        </is>
      </c>
      <c r="S23" s="2" t="n">
        <v>0</v>
      </c>
      <c r="T23" s="2" t="n">
        <v>1</v>
      </c>
      <c r="U23" s="2" t="n">
        <v>0</v>
      </c>
      <c r="V23" s="2" t="n"/>
      <c r="W23" s="2" t="n">
        <v>3</v>
      </c>
    </row>
    <row r="24">
      <c r="A24" s="2" t="inlineStr">
        <is>
          <t>SCR-070</t>
        </is>
      </c>
      <c r="B24" s="2" t="inlineStr">
        <is>
          <t>메시지 발송</t>
        </is>
      </c>
      <c r="C24" s="2" t="inlineStr">
        <is>
          <t>Web</t>
        </is>
      </c>
      <c r="D24" s="2" t="inlineStr">
        <is>
          <t>/message</t>
        </is>
      </c>
      <c r="E24" s="2" t="inlineStr">
        <is>
          <t>SMS/카카오톡 메시지 발송. 수신자 선택 + 본문 편집</t>
        </is>
      </c>
      <c r="F24" s="2" t="inlineStr">
        <is>
          <t>UI-062, UI-063, UI-064, UI-065, UI-066</t>
        </is>
      </c>
      <c r="G24" s="2" t="inlineStr">
        <is>
          <t>수신자 검색/그룹 선택, 메시지 유형 탭, 미리보기, 발송 이력 테이블</t>
        </is>
      </c>
      <c r="H24" s="2" t="inlineStr">
        <is>
          <t>메시지 API 연동</t>
        </is>
      </c>
      <c r="I24" s="2" t="n"/>
      <c r="J24" s="2" t="inlineStr">
        <is>
          <t>GNB 메뉴</t>
        </is>
      </c>
      <c r="K24" s="2" t="inlineStr">
        <is>
          <t>발송 이력 상세 모달</t>
        </is>
      </c>
      <c r="L24" s="2" t="inlineStr">
        <is>
          <t>수신자 미선택: '수신자를 선택해주세요'
발송 실패: 실패 건 재발송 옵션</t>
        </is>
      </c>
      <c r="M24" s="2" t="inlineStr">
        <is>
          <t>폼 접근성</t>
        </is>
      </c>
      <c r="N24" s="2" t="inlineStr">
        <is>
          <t>2컬럼→1컬럼</t>
        </is>
      </c>
      <c r="O24" s="2" t="n"/>
      <c r="P24" s="2" t="n"/>
      <c r="Q24" s="2" t="inlineStr">
        <is>
          <t>확정</t>
        </is>
      </c>
      <c r="R24" s="2" t="inlineStr">
        <is>
          <t>개발팀</t>
        </is>
      </c>
      <c r="S24" s="2" t="n">
        <v>2</v>
      </c>
      <c r="T24" s="2" t="n">
        <v>2</v>
      </c>
      <c r="U24" s="2" t="n">
        <v>0</v>
      </c>
      <c r="V24" s="2" t="n"/>
      <c r="W24" s="2" t="n">
        <v>5</v>
      </c>
    </row>
    <row r="25">
      <c r="A25" s="2" t="inlineStr">
        <is>
          <t>SCR-071</t>
        </is>
      </c>
      <c r="B25" s="2" t="inlineStr">
        <is>
          <t>자동 알림</t>
        </is>
      </c>
      <c r="C25" s="2" t="inlineStr">
        <is>
          <t>Web</t>
        </is>
      </c>
      <c r="D25" s="2" t="inlineStr">
        <is>
          <t>/message/auto-alarm</t>
        </is>
      </c>
      <c r="E25" s="2" t="inlineStr">
        <is>
          <t>자동 알림 규칙 설정 (만료/생일/미출석 등)</t>
        </is>
      </c>
      <c r="F25" s="2" t="inlineStr">
        <is>
          <t>UI-101, UI-102</t>
        </is>
      </c>
      <c r="G25" s="2" t="inlineStr">
        <is>
          <t>규칙 토글 ON/OFF, 발송 시점 설정, 메시지 템플릿 편집</t>
        </is>
      </c>
      <c r="H25" s="2" t="inlineStr">
        <is>
          <t>규칙 엔진 설정 UI</t>
        </is>
      </c>
      <c r="I25" s="2" t="n"/>
      <c r="J25" s="2" t="inlineStr">
        <is>
          <t>SCR-070, GNB</t>
        </is>
      </c>
      <c r="K25" s="2" t="inlineStr">
        <is>
          <t>SCR-070 (발송 이력)</t>
        </is>
      </c>
      <c r="L25" s="2" t="inlineStr">
        <is>
          <t>템플릿 미입력: '메시지 내용을 입력해주세요'</t>
        </is>
      </c>
      <c r="M25" s="2" t="inlineStr">
        <is>
          <t>토글 접근성</t>
        </is>
      </c>
      <c r="N25" s="2" t="inlineStr">
        <is>
          <t>폼 1열</t>
        </is>
      </c>
      <c r="O25" s="2" t="n"/>
      <c r="P25" s="2" t="n"/>
      <c r="Q25" s="2" t="inlineStr">
        <is>
          <t>확정</t>
        </is>
      </c>
      <c r="R25" s="2" t="inlineStr">
        <is>
          <t>개발팀</t>
        </is>
      </c>
      <c r="S25" s="2" t="n">
        <v>0</v>
      </c>
      <c r="T25" s="2" t="n">
        <v>0</v>
      </c>
      <c r="U25" s="2" t="n">
        <v>0</v>
      </c>
      <c r="V25" s="2" t="n"/>
      <c r="W25" s="2" t="n">
        <v>2</v>
      </c>
    </row>
    <row r="26">
      <c r="A26" s="2" t="inlineStr">
        <is>
          <t>SCR-072</t>
        </is>
      </c>
      <c r="B26" s="2" t="inlineStr">
        <is>
          <t>쿠폰 관리</t>
        </is>
      </c>
      <c r="C26" s="2" t="inlineStr">
        <is>
          <t>Web</t>
        </is>
      </c>
      <c r="D26" s="2" t="inlineStr">
        <is>
          <t>/message/coupon</t>
        </is>
      </c>
      <c r="E26" s="2" t="inlineStr">
        <is>
          <t>쿠폰 생성/발급/이력 관리</t>
        </is>
      </c>
      <c r="F26" s="2" t="inlineStr">
        <is>
          <t>UI-103, UI-104</t>
        </is>
      </c>
      <c r="G26" s="2" t="inlineStr">
        <is>
          <t>쿠폰 생성 모달, 발급 대상 선택, 사용 이력 테이블</t>
        </is>
      </c>
      <c r="H26" s="2" t="inlineStr">
        <is>
          <t>모달 + 테이블</t>
        </is>
      </c>
      <c r="I26" s="2" t="n"/>
      <c r="J26" s="2" t="inlineStr">
        <is>
          <t>GNB 메뉴</t>
        </is>
      </c>
      <c r="K26" s="2" t="inlineStr">
        <is>
          <t>쿠폰 상세 모달</t>
        </is>
      </c>
      <c r="L26" s="2" t="inlineStr">
        <is>
          <t>유효기간 만료: '만료된 쿠폰입니다'
사용 한도 초과: 비활성화</t>
        </is>
      </c>
      <c r="M26" s="2" t="inlineStr">
        <is>
          <t>모달 접근성</t>
        </is>
      </c>
      <c r="N26" s="2" t="inlineStr">
        <is>
          <t>테이블 반응형</t>
        </is>
      </c>
      <c r="O26" s="2" t="n"/>
      <c r="P26" s="2" t="n"/>
      <c r="Q26" s="2" t="inlineStr">
        <is>
          <t>확정</t>
        </is>
      </c>
      <c r="R26" s="2" t="inlineStr">
        <is>
          <t>개발팀</t>
        </is>
      </c>
      <c r="S26" s="2" t="n">
        <v>2</v>
      </c>
      <c r="T26" s="2" t="n">
        <v>1</v>
      </c>
      <c r="U26" s="2" t="n">
        <v>0</v>
      </c>
      <c r="V26" s="2" t="n"/>
      <c r="W26" s="2" t="n">
        <v>2</v>
      </c>
    </row>
    <row r="27">
      <c r="A27" s="2" t="inlineStr">
        <is>
          <t>SCR-073</t>
        </is>
      </c>
      <c r="B27" s="2" t="inlineStr">
        <is>
          <t>마일리지 관리</t>
        </is>
      </c>
      <c r="C27" s="2" t="inlineStr">
        <is>
          <t>Web</t>
        </is>
      </c>
      <c r="D27" s="2" t="inlineStr">
        <is>
          <t>/mileage</t>
        </is>
      </c>
      <c r="E27" s="2" t="inlineStr">
        <is>
          <t>회원 마일리지 적립/사용 이력 조회 및 관리</t>
        </is>
      </c>
      <c r="F27" s="2" t="inlineStr">
        <is>
          <t>UI-105, UI-106, UI-107</t>
        </is>
      </c>
      <c r="G27" s="2" t="inlineStr">
        <is>
          <t>회원 검색, 적립/차감 모달, 이력 테이블</t>
        </is>
      </c>
      <c r="H27" s="2" t="inlineStr">
        <is>
          <t>모달 + 테이블</t>
        </is>
      </c>
      <c r="I27" s="2" t="n"/>
      <c r="J27" s="2" t="inlineStr">
        <is>
          <t>GNB 메뉴</t>
        </is>
      </c>
      <c r="K27" s="2" t="inlineStr">
        <is>
          <t>SCR-011 (회원 연결)</t>
        </is>
      </c>
      <c r="L27" s="2" t="inlineStr">
        <is>
          <t>잔액 부족 차감: '마일리지가 부족합니다'</t>
        </is>
      </c>
      <c r="M27" s="2" t="inlineStr">
        <is>
          <t>테이블 접근성</t>
        </is>
      </c>
      <c r="N27" s="2" t="inlineStr">
        <is>
          <t>테이블 반응형</t>
        </is>
      </c>
      <c r="O27" s="2" t="n"/>
      <c r="P27" s="2" t="n"/>
      <c r="Q27" s="2" t="inlineStr">
        <is>
          <t>확정</t>
        </is>
      </c>
      <c r="R27" s="2" t="inlineStr">
        <is>
          <t>개발팀</t>
        </is>
      </c>
      <c r="S27" s="2" t="n">
        <v>0</v>
      </c>
      <c r="T27" s="2" t="n">
        <v>1</v>
      </c>
      <c r="U27" s="2" t="n">
        <v>0</v>
      </c>
      <c r="V27" s="2" t="n"/>
      <c r="W27" s="2" t="n">
        <v>3</v>
      </c>
    </row>
    <row r="28">
      <c r="A28" s="2" t="inlineStr">
        <is>
          <t>SCR-080</t>
        </is>
      </c>
      <c r="B28" s="2" t="inlineStr">
        <is>
          <t>계약 마법사</t>
        </is>
      </c>
      <c r="C28" s="2" t="inlineStr">
        <is>
          <t>Web</t>
        </is>
      </c>
      <c r="D28" s="2" t="inlineStr">
        <is>
          <t>/contracts/new</t>
        </is>
      </c>
      <c r="E28" s="2" t="inlineStr">
        <is>
          <t>단계별 계약 등록 위자드 (회원→상품→기간→결제→확인)</t>
        </is>
      </c>
      <c r="F28" s="2" t="inlineStr">
        <is>
          <t>UI-067, UI-068, UI-069, UI-070, UI-071, UI-072</t>
        </is>
      </c>
      <c r="G28" s="2" t="inlineStr">
        <is>
          <t>스텝 인디케이터, 이전/다음 버튼, 단계별 유효성 검사</t>
        </is>
      </c>
      <c r="H28" s="2" t="inlineStr">
        <is>
          <t>위자드 컴포넌트</t>
        </is>
      </c>
      <c r="I28" s="2" t="n"/>
      <c r="J28" s="2" t="inlineStr">
        <is>
          <t>SCR-011, SCR-031</t>
        </is>
      </c>
      <c r="K28" s="2" t="inlineStr">
        <is>
          <t>SCR-011 (완료 후)</t>
        </is>
      </c>
      <c r="L28" s="2" t="inlineStr">
        <is>
          <t>필수 단계 미완료: '이전 단계를 완료해주세요'
결제 실패: 재시도 옵션</t>
        </is>
      </c>
      <c r="M28" s="2" t="inlineStr">
        <is>
          <t>스텝 접근성</t>
        </is>
      </c>
      <c r="N28" s="2" t="inlineStr">
        <is>
          <t>스텝 세로 배치</t>
        </is>
      </c>
      <c r="O28" s="2" t="n"/>
      <c r="P28" s="2" t="n"/>
      <c r="Q28" s="2" t="inlineStr">
        <is>
          <t>확정</t>
        </is>
      </c>
      <c r="R28" s="2" t="inlineStr">
        <is>
          <t>개발팀</t>
        </is>
      </c>
      <c r="S28" s="2" t="n">
        <v>2</v>
      </c>
      <c r="T28" s="2" t="n">
        <v>2</v>
      </c>
      <c r="U28" s="2" t="n">
        <v>0</v>
      </c>
      <c r="V28" s="2" t="n"/>
      <c r="W28" s="2" t="n">
        <v>6</v>
      </c>
    </row>
    <row r="29">
      <c r="A29" s="2" t="inlineStr">
        <is>
          <t>SCR-081</t>
        </is>
      </c>
      <c r="B29" s="2" t="inlineStr">
        <is>
          <t>구독 관리</t>
        </is>
      </c>
      <c r="C29" s="2" t="inlineStr">
        <is>
          <t>Web</t>
        </is>
      </c>
      <c r="D29" s="2" t="inlineStr">
        <is>
          <t>/subscription</t>
        </is>
      </c>
      <c r="E29" s="2" t="inlineStr">
        <is>
          <t>정기 구독 상품 관리. 자동 결제 현황</t>
        </is>
      </c>
      <c r="F29" s="2" t="inlineStr">
        <is>
          <t>UI-113, UI-114</t>
        </is>
      </c>
      <c r="G29" s="2" t="inlineStr">
        <is>
          <t>구독 상품 목록, 결제 현황 대시보드, 구독 상세 모달</t>
        </is>
      </c>
      <c r="H29" s="2" t="inlineStr">
        <is>
          <t>테이블 + 카드</t>
        </is>
      </c>
      <c r="I29" s="2" t="n"/>
      <c r="J29" s="2" t="inlineStr">
        <is>
          <t>GNB 메뉴</t>
        </is>
      </c>
      <c r="K29" s="2" t="inlineStr">
        <is>
          <t>구독 상세 모달</t>
        </is>
      </c>
      <c r="L29" s="2" t="inlineStr">
        <is>
          <t>결제 실패 구독: 경고 배지 표시</t>
        </is>
      </c>
      <c r="M29" s="2" t="inlineStr">
        <is>
          <t>테이블 접근성</t>
        </is>
      </c>
      <c r="N29" s="2" t="inlineStr">
        <is>
          <t>카드 반응형</t>
        </is>
      </c>
      <c r="O29" s="2" t="n"/>
      <c r="P29" s="2" t="n"/>
      <c r="Q29" s="2" t="inlineStr">
        <is>
          <t>확정</t>
        </is>
      </c>
      <c r="R29" s="2" t="inlineStr">
        <is>
          <t>개발팀</t>
        </is>
      </c>
      <c r="S29" s="2" t="n">
        <v>0</v>
      </c>
      <c r="T29" s="2" t="n">
        <v>0</v>
      </c>
      <c r="U29" s="2" t="n">
        <v>0</v>
      </c>
      <c r="V29" s="2" t="n"/>
      <c r="W29" s="2" t="n">
        <v>2</v>
      </c>
    </row>
    <row r="30">
      <c r="A30" s="2" t="inlineStr">
        <is>
          <t>SCR-090</t>
        </is>
      </c>
      <c r="B30" s="2" t="inlineStr">
        <is>
          <t>설정</t>
        </is>
      </c>
      <c r="C30" s="2" t="inlineStr">
        <is>
          <t>Web</t>
        </is>
      </c>
      <c r="D30" s="2" t="inlineStr">
        <is>
          <t>/settings</t>
        </is>
      </c>
      <c r="E30" s="2" t="inlineStr">
        <is>
          <t>시스템 기본 설정. 센터 정보/영업시간/알림 등</t>
        </is>
      </c>
      <c r="F30" s="2" t="inlineStr">
        <is>
          <t>UI-073, UI-074, UI-075</t>
        </is>
      </c>
      <c r="G30" s="2" t="inlineStr">
        <is>
          <t>탭 구성 (기본/알림/테마), 저장 버튼</t>
        </is>
      </c>
      <c r="H30" s="2" t="inlineStr">
        <is>
          <t>탭 + 폼</t>
        </is>
      </c>
      <c r="I30" s="2" t="n"/>
      <c r="J30" s="2" t="inlineStr">
        <is>
          <t>GNB 메뉴</t>
        </is>
      </c>
      <c r="K30" s="2" t="inlineStr">
        <is>
          <t>SCR-091, SCR-092, SCR-093</t>
        </is>
      </c>
      <c r="L30" s="2" t="inlineStr">
        <is>
          <t>저장 실패: 토스트 에러</t>
        </is>
      </c>
      <c r="M30" s="2" t="inlineStr">
        <is>
          <t>탭 접근성</t>
        </is>
      </c>
      <c r="N30" s="2" t="inlineStr">
        <is>
          <t>폼 1열</t>
        </is>
      </c>
      <c r="O30" s="2" t="n"/>
      <c r="P30" s="2" t="n"/>
      <c r="Q30" s="2" t="inlineStr">
        <is>
          <t>확정</t>
        </is>
      </c>
      <c r="R30" s="2" t="inlineStr">
        <is>
          <t>개발팀</t>
        </is>
      </c>
      <c r="S30" s="2" t="n">
        <v>5</v>
      </c>
      <c r="T30" s="2" t="n">
        <v>0</v>
      </c>
      <c r="U30" s="2" t="n">
        <v>0</v>
      </c>
      <c r="V30" s="2" t="n"/>
      <c r="W30" s="2" t="n">
        <v>3</v>
      </c>
    </row>
    <row r="31">
      <c r="A31" s="2" t="inlineStr">
        <is>
          <t>SCR-091</t>
        </is>
      </c>
      <c r="B31" s="2" t="inlineStr">
        <is>
          <t>권한 설정</t>
        </is>
      </c>
      <c r="C31" s="2" t="inlineStr">
        <is>
          <t>Web</t>
        </is>
      </c>
      <c r="D31" s="2" t="inlineStr">
        <is>
          <t>/settings/permissions</t>
        </is>
      </c>
      <c r="E31" s="2" t="inlineStr">
        <is>
          <t>역할별 메뉴/기능 권한 매트릭스</t>
        </is>
      </c>
      <c r="F31" s="2" t="inlineStr">
        <is>
          <t>UI-076, UI-077, UI-078</t>
        </is>
      </c>
      <c r="G31" s="2" t="inlineStr">
        <is>
          <t>역할 탭, 권한 체크박스 매트릭스, 일괄 설정</t>
        </is>
      </c>
      <c r="H31" s="2" t="inlineStr">
        <is>
          <t>매트릭스 테이블</t>
        </is>
      </c>
      <c r="I31" s="2" t="n"/>
      <c r="J31" s="2" t="inlineStr">
        <is>
          <t>SCR-090, GNB</t>
        </is>
      </c>
      <c r="K31" s="2" t="inlineStr">
        <is>
          <t>SCR-090</t>
        </is>
      </c>
      <c r="L31" s="2" t="inlineStr">
        <is>
          <t>권한 충돌: 경고 표시</t>
        </is>
      </c>
      <c r="M31" s="2" t="inlineStr">
        <is>
          <t>체크박스 접근성</t>
        </is>
      </c>
      <c r="N31" s="2" t="inlineStr">
        <is>
          <t>테이블 가로스크롤</t>
        </is>
      </c>
      <c r="O31" s="2" t="n"/>
      <c r="P31" s="2" t="n"/>
      <c r="Q31" s="2" t="inlineStr">
        <is>
          <t>확정</t>
        </is>
      </c>
      <c r="R31" s="2" t="inlineStr">
        <is>
          <t>개발팀</t>
        </is>
      </c>
      <c r="S31" s="2" t="n">
        <v>0</v>
      </c>
      <c r="T31" s="2" t="n">
        <v>2</v>
      </c>
      <c r="U31" s="2" t="n">
        <v>0</v>
      </c>
      <c r="V31" s="2" t="n"/>
      <c r="W31" s="2" t="n">
        <v>3</v>
      </c>
    </row>
    <row r="32">
      <c r="A32" s="2" t="inlineStr">
        <is>
          <t>SCR-092</t>
        </is>
      </c>
      <c r="B32" s="2" t="inlineStr">
        <is>
          <t>키오스크 설정</t>
        </is>
      </c>
      <c r="C32" s="2" t="inlineStr">
        <is>
          <t>Web</t>
        </is>
      </c>
      <c r="D32" s="2" t="inlineStr">
        <is>
          <t>/settings/kiosk</t>
        </is>
      </c>
      <c r="E32" s="2" t="inlineStr">
        <is>
          <t>키오스크 디스플레이/동작 설정</t>
        </is>
      </c>
      <c r="F32" s="2" t="inlineStr">
        <is>
          <t>UI-115, UI-116</t>
        </is>
      </c>
      <c r="G32" s="2" t="inlineStr">
        <is>
          <t>미리보기, 로고 업로드, 동작 시나리오 설정</t>
        </is>
      </c>
      <c r="H32" s="2" t="inlineStr">
        <is>
          <t>미리보기 컴포넌트</t>
        </is>
      </c>
      <c r="I32" s="2" t="n"/>
      <c r="J32" s="2" t="inlineStr">
        <is>
          <t>SCR-090, GNB</t>
        </is>
      </c>
      <c r="K32" s="2" t="inlineStr">
        <is>
          <t>SCR-090</t>
        </is>
      </c>
      <c r="L32" s="2" t="inlineStr">
        <is>
          <t>이미지 용량 초과: '5MB 이하 파일만 업로드 가능합니다'</t>
        </is>
      </c>
      <c r="M32" s="2" t="inlineStr">
        <is>
          <t>폼 접근성</t>
        </is>
      </c>
      <c r="N32" s="2" t="inlineStr">
        <is>
          <t>폼 1열</t>
        </is>
      </c>
      <c r="O32" s="2" t="n"/>
      <c r="P32" s="2" t="n"/>
      <c r="Q32" s="2" t="inlineStr">
        <is>
          <t>확정</t>
        </is>
      </c>
      <c r="R32" s="2" t="inlineStr">
        <is>
          <t>개발팀</t>
        </is>
      </c>
      <c r="S32" s="2" t="n">
        <v>0</v>
      </c>
      <c r="T32" s="2" t="n">
        <v>0</v>
      </c>
      <c r="U32" s="2" t="n">
        <v>0</v>
      </c>
      <c r="V32" s="2" t="n"/>
      <c r="W32" s="2" t="n">
        <v>2</v>
      </c>
    </row>
    <row r="33">
      <c r="A33" s="2" t="inlineStr">
        <is>
          <t>SCR-093</t>
        </is>
      </c>
      <c r="B33" s="2" t="inlineStr">
        <is>
          <t>IoT 설정</t>
        </is>
      </c>
      <c r="C33" s="2" t="inlineStr">
        <is>
          <t>Web</t>
        </is>
      </c>
      <c r="D33" s="2" t="inlineStr">
        <is>
          <t>/settings/iot</t>
        </is>
      </c>
      <c r="E33" s="2" t="inlineStr">
        <is>
          <t>출입문/체성분 기기 연동 설정</t>
        </is>
      </c>
      <c r="F33" s="2" t="inlineStr">
        <is>
          <t>UI-117, UI-118</t>
        </is>
      </c>
      <c r="G33" s="2" t="inlineStr">
        <is>
          <t>기기 목록, 연결 상태 표시, 테스트 버튼</t>
        </is>
      </c>
      <c r="H33" s="2" t="inlineStr">
        <is>
          <t>기기 연동 API</t>
        </is>
      </c>
      <c r="I33" s="2" t="n"/>
      <c r="J33" s="2" t="inlineStr">
        <is>
          <t>SCR-090, GNB</t>
        </is>
      </c>
      <c r="K33" s="2" t="inlineStr">
        <is>
          <t>SCR-090</t>
        </is>
      </c>
      <c r="L33" s="2" t="inlineStr">
        <is>
          <t>연결 실패: '기기와 연결할 수 없습니다' + 재시도</t>
        </is>
      </c>
      <c r="M33" s="2" t="inlineStr">
        <is>
          <t>상태 아이콘 alt-text</t>
        </is>
      </c>
      <c r="N33" s="2" t="inlineStr">
        <is>
          <t>테이블 반응형</t>
        </is>
      </c>
      <c r="O33" s="2" t="n"/>
      <c r="P33" s="2" t="n"/>
      <c r="Q33" s="2" t="inlineStr">
        <is>
          <t>확정</t>
        </is>
      </c>
      <c r="R33" s="2" t="inlineStr">
        <is>
          <t>개발팀</t>
        </is>
      </c>
      <c r="S33" s="2" t="n">
        <v>0</v>
      </c>
      <c r="T33" s="2" t="n">
        <v>1</v>
      </c>
      <c r="U33" s="2" t="n">
        <v>0</v>
      </c>
      <c r="V33" s="2" t="n"/>
      <c r="W33" s="2" t="n">
        <v>2</v>
      </c>
    </row>
    <row r="34">
      <c r="A34" s="2" t="inlineStr">
        <is>
          <t>SCR-094</t>
        </is>
      </c>
      <c r="B34" s="2" t="inlineStr">
        <is>
          <t>지점 관리</t>
        </is>
      </c>
      <c r="C34" s="2" t="inlineStr">
        <is>
          <t>Web</t>
        </is>
      </c>
      <c r="D34" s="2" t="inlineStr">
        <is>
          <t>/branches</t>
        </is>
      </c>
      <c r="E34" s="2" t="inlineStr">
        <is>
          <t>지점 CRUD. 멀티테넌트 관리</t>
        </is>
      </c>
      <c r="F34" s="2" t="inlineStr">
        <is>
          <t>UI-079, UI-080, UI-081</t>
        </is>
      </c>
      <c r="G34" s="2" t="inlineStr">
        <is>
          <t>지점 카드/테이블 뷰 전환, 지점 추가 모달, 데이터 초기화</t>
        </is>
      </c>
      <c r="H34" s="2" t="inlineStr">
        <is>
          <t>카드/테이블 토글</t>
        </is>
      </c>
      <c r="I34" s="2" t="n"/>
      <c r="J34" s="2" t="inlineStr">
        <is>
          <t>GNB 메뉴 (최고관리자만)</t>
        </is>
      </c>
      <c r="K34" s="2" t="inlineStr">
        <is>
          <t>지점 상세 모달</t>
        </is>
      </c>
      <c r="L34" s="2" t="inlineStr">
        <is>
          <t>지점 삭제 시 데이터 존재: '소속 데이터가 있어 삭제 불가'</t>
        </is>
      </c>
      <c r="M34" s="2" t="inlineStr">
        <is>
          <t>카드/테이블 접근성</t>
        </is>
      </c>
      <c r="N34" s="2" t="inlineStr">
        <is>
          <t>카드 반응형</t>
        </is>
      </c>
      <c r="O34" s="2" t="n"/>
      <c r="P34" s="2" t="n"/>
      <c r="Q34" s="2" t="inlineStr">
        <is>
          <t>확정</t>
        </is>
      </c>
      <c r="R34" s="2" t="inlineStr">
        <is>
          <t>개발팀</t>
        </is>
      </c>
      <c r="S34" s="2" t="n">
        <v>0</v>
      </c>
      <c r="T34" s="2" t="n">
        <v>2</v>
      </c>
      <c r="U34" s="2" t="n">
        <v>1</v>
      </c>
      <c r="V34" s="2" t="n"/>
      <c r="W34" s="2" t="n">
        <v>3</v>
      </c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</row>
    <row r="2">
      <c r="A2" s="3" t="inlineStr">
        <is>
          <t>▼ SCR-001</t>
        </is>
      </c>
      <c r="B2" s="3" t="inlineStr">
        <is>
          <t>로그인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outlineLevel="1">
      <c r="A3" s="2" t="inlineStr">
        <is>
          <t>UI-001</t>
        </is>
      </c>
      <c r="B3" s="2" t="inlineStr">
        <is>
          <t>SCR-001</t>
        </is>
      </c>
      <c r="C3" s="2" t="inlineStr">
        <is>
          <t>이메일 입력</t>
        </is>
      </c>
      <c r="D3" s="2" t="inlineStr">
        <is>
          <t>Input</t>
        </is>
      </c>
      <c r="E3" s="2" t="inlineStr">
        <is>
          <t>로그인 이메일 주소 입력 필드</t>
        </is>
      </c>
      <c r="F3" s="2" t="inlineStr">
        <is>
          <t>포커스 시 라벨 상단 이동, 실시간 이메일 형식 검증</t>
        </is>
      </c>
      <c r="G3" s="2" t="inlineStr">
        <is>
          <t>FN-001</t>
        </is>
      </c>
      <c r="H3" s="2" t="inlineStr">
        <is>
          <t>API-001</t>
        </is>
      </c>
      <c r="I3" s="2" t="inlineStr">
        <is>
          <t>&lt;input type='email'&gt; + 실시간 validation</t>
        </is>
      </c>
      <c r="J3" s="2" t="n"/>
      <c r="K3" s="2" t="inlineStr">
        <is>
          <t>이메일 형식 검증 (regex)</t>
        </is>
      </c>
      <c r="L3" s="2" t="inlineStr">
        <is>
          <t>올바른 이메일 주소를 입력하세요</t>
        </is>
      </c>
      <c r="M3" s="2" t="inlineStr">
        <is>
          <t>aria-label='이메일'</t>
        </is>
      </c>
      <c r="N3" s="2" t="inlineStr">
        <is>
          <t>설계중</t>
        </is>
      </c>
      <c r="O3" s="2" t="n"/>
      <c r="P3" s="2" t="inlineStr">
        <is>
          <t>로그인</t>
        </is>
      </c>
      <c r="Q3" s="2" t="inlineStr">
        <is>
          <t>로그인</t>
        </is>
      </c>
      <c r="R3" s="2" t="inlineStr">
        <is>
          <t>/api/v1/auth/login</t>
        </is>
      </c>
      <c r="S3" s="2" t="n"/>
    </row>
    <row r="4" outlineLevel="1">
      <c r="A4" s="2" t="inlineStr">
        <is>
          <t>UI-002</t>
        </is>
      </c>
      <c r="B4" s="2" t="inlineStr">
        <is>
          <t>SCR-001</t>
        </is>
      </c>
      <c r="C4" s="2" t="inlineStr">
        <is>
          <t>비밀번호 입력</t>
        </is>
      </c>
      <c r="D4" s="2" t="inlineStr">
        <is>
          <t>Input</t>
        </is>
      </c>
      <c r="E4" s="2" t="inlineStr">
        <is>
          <t>로그인 비밀번호 입력 필드</t>
        </is>
      </c>
      <c r="F4" s="2" t="inlineStr">
        <is>
          <t>마스킹 토글 버튼, Enter키 로그인 트리거</t>
        </is>
      </c>
      <c r="G4" s="2" t="inlineStr">
        <is>
          <t>FN-001</t>
        </is>
      </c>
      <c r="H4" s="2" t="inlineStr">
        <is>
          <t>API-001</t>
        </is>
      </c>
      <c r="I4" s="2" t="inlineStr">
        <is>
          <t>&lt;input type='password'&gt; + visibility toggle</t>
        </is>
      </c>
      <c r="J4" s="2" t="n"/>
      <c r="K4" s="2" t="inlineStr">
        <is>
          <t>최소 1자 이상</t>
        </is>
      </c>
      <c r="L4" s="2" t="inlineStr">
        <is>
          <t>비밀번호를 입력하세요</t>
        </is>
      </c>
      <c r="M4" s="2" t="inlineStr">
        <is>
          <t>aria-label='비밀번호'</t>
        </is>
      </c>
      <c r="N4" s="2" t="inlineStr">
        <is>
          <t>설계중</t>
        </is>
      </c>
      <c r="O4" s="2" t="n"/>
      <c r="P4" s="2" t="inlineStr">
        <is>
          <t>로그인</t>
        </is>
      </c>
      <c r="Q4" s="2" t="inlineStr">
        <is>
          <t>로그인</t>
        </is>
      </c>
      <c r="R4" s="2" t="inlineStr">
        <is>
          <t>/api/v1/auth/login</t>
        </is>
      </c>
      <c r="S4" s="2" t="n"/>
    </row>
    <row r="5" outlineLevel="1">
      <c r="A5" s="2" t="inlineStr">
        <is>
          <t>UI-003</t>
        </is>
      </c>
      <c r="B5" s="2" t="inlineStr">
        <is>
          <t>SCR-001</t>
        </is>
      </c>
      <c r="C5" s="2" t="inlineStr">
        <is>
          <t>지점 선택</t>
        </is>
      </c>
      <c r="D5" s="2" t="inlineStr">
        <is>
          <t>Select</t>
        </is>
      </c>
      <c r="E5" s="2" t="inlineStr">
        <is>
          <t>로그인 시 접근할 지점 선택 드롭다운</t>
        </is>
      </c>
      <c r="F5" s="2" t="inlineStr">
        <is>
          <t>선택 시 지점 로고/색상 변경</t>
        </is>
      </c>
      <c r="G5" s="2" t="inlineStr">
        <is>
          <t>FN-001</t>
        </is>
      </c>
      <c r="H5" s="2" t="inlineStr">
        <is>
          <t>API-001</t>
        </is>
      </c>
      <c r="I5" s="2" t="inlineStr">
        <is>
          <t>&lt;select&gt; 커스텀 드롭다운</t>
        </is>
      </c>
      <c r="J5" s="2" t="n"/>
      <c r="K5" s="2" t="inlineStr">
        <is>
          <t>필수 선택</t>
        </is>
      </c>
      <c r="L5" s="2" t="inlineStr">
        <is>
          <t>지점을 선택하세요</t>
        </is>
      </c>
      <c r="M5" s="2" t="inlineStr">
        <is>
          <t>aria-label='지점 선택'</t>
        </is>
      </c>
      <c r="N5" s="2" t="inlineStr">
        <is>
          <t>설계중</t>
        </is>
      </c>
      <c r="O5" s="2" t="n"/>
      <c r="P5" s="2" t="inlineStr">
        <is>
          <t>로그인</t>
        </is>
      </c>
      <c r="Q5" s="2" t="inlineStr">
        <is>
          <t>로그인</t>
        </is>
      </c>
      <c r="R5" s="2" t="inlineStr">
        <is>
          <t>/api/v1/auth/login</t>
        </is>
      </c>
      <c r="S5" s="2" t="n"/>
    </row>
    <row r="6" outlineLevel="1">
      <c r="A6" s="2" t="inlineStr">
        <is>
          <t>UI-004</t>
        </is>
      </c>
      <c r="B6" s="2" t="inlineStr">
        <is>
          <t>SCR-001</t>
        </is>
      </c>
      <c r="C6" s="2" t="inlineStr">
        <is>
          <t>로그인 버튼</t>
        </is>
      </c>
      <c r="D6" s="2" t="inlineStr">
        <is>
          <t>Button</t>
        </is>
      </c>
      <c r="E6" s="2" t="inlineStr">
        <is>
          <t>로그인 실행 버튼</t>
        </is>
      </c>
      <c r="F6" s="2" t="inlineStr">
        <is>
          <t>클릭/Enter 시 로그인 API 호출, 로딩 스피너</t>
        </is>
      </c>
      <c r="G6" s="2" t="inlineStr">
        <is>
          <t>FN-001</t>
        </is>
      </c>
      <c r="H6" s="2" t="inlineStr">
        <is>
          <t>API-001</t>
        </is>
      </c>
      <c r="I6" s="2" t="inlineStr">
        <is>
          <t>&lt;button&gt; + loading state</t>
        </is>
      </c>
      <c r="J6" s="2" t="n"/>
      <c r="K6" s="2" t="inlineStr">
        <is>
          <t>이메일/비밀번호/지점 모두 입력 시 활성화</t>
        </is>
      </c>
      <c r="L6" s="2" t="inlineStr">
        <is>
          <t>로그인에 실패했습니다</t>
        </is>
      </c>
      <c r="M6" s="2" t="inlineStr">
        <is>
          <t>aria-label='로그인'</t>
        </is>
      </c>
      <c r="N6" s="2" t="inlineStr">
        <is>
          <t>설계중</t>
        </is>
      </c>
      <c r="O6" s="2" t="n"/>
      <c r="P6" s="2" t="inlineStr">
        <is>
          <t>로그인</t>
        </is>
      </c>
      <c r="Q6" s="2" t="inlineStr">
        <is>
          <t>로그인</t>
        </is>
      </c>
      <c r="R6" s="2" t="inlineStr">
        <is>
          <t>/api/v1/auth/login</t>
        </is>
      </c>
      <c r="S6" s="2" t="n"/>
    </row>
    <row r="7" outlineLevel="1">
      <c r="A7" s="2" t="inlineStr">
        <is>
          <t>UI-005</t>
        </is>
      </c>
      <c r="B7" s="2" t="inlineStr">
        <is>
          <t>SCR-001</t>
        </is>
      </c>
      <c r="C7" s="2" t="inlineStr">
        <is>
          <t>비밀번호 찾기 링크</t>
        </is>
      </c>
      <c r="D7" s="2" t="inlineStr">
        <is>
          <t>Link</t>
        </is>
      </c>
      <c r="E7" s="2" t="inlineStr">
        <is>
          <t>비밀번호 재설정 페이지 이동 링크</t>
        </is>
      </c>
      <c r="F7" s="2" t="inlineStr">
        <is>
          <t>클릭 시 비밀번호 찾기 모달 오픈</t>
        </is>
      </c>
      <c r="G7" s="2" t="n"/>
      <c r="H7" s="2" t="n"/>
      <c r="I7" s="2" t="inlineStr">
        <is>
          <t>&lt;a&gt; + 모달 트리거</t>
        </is>
      </c>
      <c r="J7" s="2" t="n"/>
      <c r="K7" s="2" t="n"/>
      <c r="L7" s="2" t="n"/>
      <c r="M7" s="2" t="inlineStr">
        <is>
          <t>aria-label='비밀번호 찾기'</t>
        </is>
      </c>
      <c r="N7" s="2" t="inlineStr">
        <is>
          <t>설계중</t>
        </is>
      </c>
      <c r="O7" s="2" t="n"/>
      <c r="P7" s="2" t="inlineStr">
        <is>
          <t>로그인</t>
        </is>
      </c>
      <c r="Q7" s="2">
        <f>IFERROR(VLOOKUP(G7,기능명세서!A:B,2,FALSE()),"")</f>
        <v/>
      </c>
      <c r="R7" s="2">
        <f>IFERROR(VLOOKUP(H7,API명세서!A:D,4,FALSE()),"")</f>
        <v/>
      </c>
      <c r="S7" s="2" t="n"/>
    </row>
    <row r="8">
      <c r="A8" s="3" t="inlineStr">
        <is>
          <t>▼ SCR-002</t>
        </is>
      </c>
      <c r="B8" s="3" t="inlineStr">
        <is>
          <t>대시보드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 outlineLevel="1">
      <c r="A9" s="2" t="inlineStr">
        <is>
          <t>UI-006</t>
        </is>
      </c>
      <c r="B9" s="2" t="inlineStr">
        <is>
          <t>SCR-002</t>
        </is>
      </c>
      <c r="C9" s="2" t="inlineStr">
        <is>
          <t>총회원 통계 카드</t>
        </is>
      </c>
      <c r="D9" s="2" t="inlineStr">
        <is>
          <t>Card</t>
        </is>
      </c>
      <c r="E9" s="2" t="inlineStr">
        <is>
          <t>전체 회원 수 표시 카드</t>
        </is>
      </c>
      <c r="F9" s="2" t="inlineStr">
        <is>
          <t>클릭 시 SCR-010 이동, 전일 대비 증감 표시</t>
        </is>
      </c>
      <c r="G9" s="2" t="inlineStr">
        <is>
          <t>FN-002</t>
        </is>
      </c>
      <c r="H9" s="2" t="inlineStr">
        <is>
          <t>API-003</t>
        </is>
      </c>
      <c r="I9" s="2" t="inlineStr">
        <is>
          <t>Card 컴포넌트 + 숫자 애니메이션</t>
        </is>
      </c>
      <c r="J9" s="2" t="n"/>
      <c r="K9" s="2" t="n"/>
      <c r="L9" s="2" t="n"/>
      <c r="M9" s="2" t="inlineStr">
        <is>
          <t>aria-label='총 회원 수'</t>
        </is>
      </c>
      <c r="N9" s="2" t="inlineStr">
        <is>
          <t>설계중</t>
        </is>
      </c>
      <c r="O9" s="2" t="n"/>
      <c r="P9" s="2" t="inlineStr">
        <is>
          <t>대시보드</t>
        </is>
      </c>
      <c r="Q9" s="2" t="inlineStr">
        <is>
          <t>대시보드 통계 조회</t>
        </is>
      </c>
      <c r="R9" s="2" t="inlineStr">
        <is>
          <t>/api/v1/dashboard/stats</t>
        </is>
      </c>
      <c r="S9" s="2" t="n"/>
    </row>
    <row r="10" outlineLevel="1">
      <c r="A10" s="2" t="inlineStr">
        <is>
          <t>UI-007</t>
        </is>
      </c>
      <c r="B10" s="2" t="inlineStr">
        <is>
          <t>SCR-002</t>
        </is>
      </c>
      <c r="C10" s="2" t="inlineStr">
        <is>
          <t>활성회원 통계 카드</t>
        </is>
      </c>
      <c r="D10" s="2" t="inlineStr">
        <is>
          <t>Card</t>
        </is>
      </c>
      <c r="E10" s="2" t="inlineStr">
        <is>
          <t>활성(이용중) 회원 수 카드</t>
        </is>
      </c>
      <c r="F10" s="2" t="inlineStr">
        <is>
          <t>클릭 시 SCR-010 활성 필터 이동</t>
        </is>
      </c>
      <c r="G10" s="2" t="inlineStr">
        <is>
          <t>FN-002</t>
        </is>
      </c>
      <c r="H10" s="2" t="inlineStr">
        <is>
          <t>API-003</t>
        </is>
      </c>
      <c r="I10" s="2" t="inlineStr">
        <is>
          <t>Card 컴포넌트</t>
        </is>
      </c>
      <c r="J10" s="2" t="n"/>
      <c r="K10" s="2" t="n"/>
      <c r="L10" s="2" t="n"/>
      <c r="M10" s="2" t="inlineStr">
        <is>
          <t>aria-label='활성 회원 수'</t>
        </is>
      </c>
      <c r="N10" s="2" t="inlineStr">
        <is>
          <t>설계중</t>
        </is>
      </c>
      <c r="O10" s="2" t="n"/>
      <c r="P10" s="2" t="inlineStr">
        <is>
          <t>대시보드</t>
        </is>
      </c>
      <c r="Q10" s="2" t="inlineStr">
        <is>
          <t>대시보드 통계 조회</t>
        </is>
      </c>
      <c r="R10" s="2" t="inlineStr">
        <is>
          <t>/api/v1/dashboard/stats</t>
        </is>
      </c>
      <c r="S10" s="2" t="n"/>
    </row>
    <row r="11" outlineLevel="1">
      <c r="A11" s="2" t="inlineStr">
        <is>
          <t>UI-008</t>
        </is>
      </c>
      <c r="B11" s="2" t="inlineStr">
        <is>
          <t>SCR-002</t>
        </is>
      </c>
      <c r="C11" s="2" t="inlineStr">
        <is>
          <t>만료임박 통계 카드</t>
        </is>
      </c>
      <c r="D11" s="2" t="inlineStr">
        <is>
          <t>Card</t>
        </is>
      </c>
      <c r="E11" s="2" t="inlineStr">
        <is>
          <t>7일 내 만료 예정 회원 수 카드</t>
        </is>
      </c>
      <c r="F11" s="2" t="inlineStr">
        <is>
          <t>클릭 시 SCR-010 만료임박 필터 이동, 경고 색상</t>
        </is>
      </c>
      <c r="G11" s="2" t="inlineStr">
        <is>
          <t>FN-002</t>
        </is>
      </c>
      <c r="H11" s="2" t="inlineStr">
        <is>
          <t>API-006</t>
        </is>
      </c>
      <c r="I11" s="2" t="inlineStr">
        <is>
          <t>Card 컴포넌트 + 경고 스타일</t>
        </is>
      </c>
      <c r="J11" s="2" t="n"/>
      <c r="K11" s="2" t="n"/>
      <c r="L11" s="2" t="n"/>
      <c r="M11" s="2" t="inlineStr">
        <is>
          <t>aria-label='만료 임박 회원'</t>
        </is>
      </c>
      <c r="N11" s="2" t="inlineStr">
        <is>
          <t>설계중</t>
        </is>
      </c>
      <c r="O11" s="2" t="n"/>
      <c r="P11" s="2" t="inlineStr">
        <is>
          <t>대시보드</t>
        </is>
      </c>
      <c r="Q11" s="2" t="inlineStr">
        <is>
          <t>대시보드 통계 조회</t>
        </is>
      </c>
      <c r="R11" s="2" t="inlineStr">
        <is>
          <t>/api/v1/dashboard/expiring-members</t>
        </is>
      </c>
      <c r="S11" s="2" t="n"/>
    </row>
    <row r="12" outlineLevel="1">
      <c r="A12" s="2" t="inlineStr">
        <is>
          <t>UI-009</t>
        </is>
      </c>
      <c r="B12" s="2" t="inlineStr">
        <is>
          <t>SCR-002</t>
        </is>
      </c>
      <c r="C12" s="2" t="inlineStr">
        <is>
          <t>만료회원 통계 카드</t>
        </is>
      </c>
      <c r="D12" s="2" t="inlineStr">
        <is>
          <t>Card</t>
        </is>
      </c>
      <c r="E12" s="2" t="inlineStr">
        <is>
          <t>이용권 만료된 회원 수 카드</t>
        </is>
      </c>
      <c r="F12" s="2" t="inlineStr">
        <is>
          <t>클릭 시 SCR-010 만료 필터 이동</t>
        </is>
      </c>
      <c r="G12" s="2" t="inlineStr">
        <is>
          <t>FN-002</t>
        </is>
      </c>
      <c r="H12" s="2" t="inlineStr">
        <is>
          <t>API-003</t>
        </is>
      </c>
      <c r="I12" s="2" t="inlineStr">
        <is>
          <t>Card 컴포넌트</t>
        </is>
      </c>
      <c r="J12" s="2" t="n"/>
      <c r="K12" s="2" t="n"/>
      <c r="L12" s="2" t="n"/>
      <c r="M12" s="2" t="inlineStr">
        <is>
          <t>aria-label='만료 회원 수'</t>
        </is>
      </c>
      <c r="N12" s="2" t="inlineStr">
        <is>
          <t>설계중</t>
        </is>
      </c>
      <c r="O12" s="2" t="n"/>
      <c r="P12" s="2" t="inlineStr">
        <is>
          <t>대시보드</t>
        </is>
      </c>
      <c r="Q12" s="2" t="inlineStr">
        <is>
          <t>대시보드 통계 조회</t>
        </is>
      </c>
      <c r="R12" s="2" t="inlineStr">
        <is>
          <t>/api/v1/dashboard/stats</t>
        </is>
      </c>
      <c r="S12" s="2" t="n"/>
    </row>
    <row r="13" outlineLevel="1">
      <c r="A13" s="2" t="inlineStr">
        <is>
          <t>UI-010</t>
        </is>
      </c>
      <c r="B13" s="2" t="inlineStr">
        <is>
          <t>SCR-002</t>
        </is>
      </c>
      <c r="C13" s="2" t="inlineStr">
        <is>
          <t>생일회원 리스트</t>
        </is>
      </c>
      <c r="D13" s="2" t="inlineStr">
        <is>
          <t>List</t>
        </is>
      </c>
      <c r="E13" s="2" t="inlineStr">
        <is>
          <t>오늘 생일인 회원 목록</t>
        </is>
      </c>
      <c r="F13" s="2" t="inlineStr">
        <is>
          <t>회원명 클릭 시 SCR-011 이동</t>
        </is>
      </c>
      <c r="G13" s="2" t="inlineStr">
        <is>
          <t>FN-002</t>
        </is>
      </c>
      <c r="H13" s="2" t="inlineStr">
        <is>
          <t>API-004</t>
        </is>
      </c>
      <c r="I13" s="2" t="inlineStr">
        <is>
          <t>리스트 컴포넌트 (최대 5명)</t>
        </is>
      </c>
      <c r="J13" s="2" t="n"/>
      <c r="K13" s="2" t="n"/>
      <c r="L13" s="2" t="n"/>
      <c r="M13" s="2" t="inlineStr">
        <is>
          <t>aria-label='오늘 생일 회원'</t>
        </is>
      </c>
      <c r="N13" s="2" t="inlineStr">
        <is>
          <t>설계중</t>
        </is>
      </c>
      <c r="O13" s="2" t="n"/>
      <c r="P13" s="2" t="inlineStr">
        <is>
          <t>대시보드</t>
        </is>
      </c>
      <c r="Q13" s="2" t="inlineStr">
        <is>
          <t>대시보드 통계 조회</t>
        </is>
      </c>
      <c r="R13" s="2" t="inlineStr">
        <is>
          <t>/api/v1/dashboard/birthday-members</t>
        </is>
      </c>
      <c r="S13" s="2" t="n"/>
    </row>
    <row r="14" outlineLevel="1">
      <c r="A14" s="2" t="inlineStr">
        <is>
          <t>UI-011</t>
        </is>
      </c>
      <c r="B14" s="2" t="inlineStr">
        <is>
          <t>SCR-002</t>
        </is>
      </c>
      <c r="C14" s="2" t="inlineStr">
        <is>
          <t>미납회원 리스트</t>
        </is>
      </c>
      <c r="D14" s="2" t="inlineStr">
        <is>
          <t>List</t>
        </is>
      </c>
      <c r="E14" s="2" t="inlineStr">
        <is>
          <t>미납 내역이 있는 회원 목록</t>
        </is>
      </c>
      <c r="F14" s="2" t="inlineStr">
        <is>
          <t>회원명 클릭 시 SCR-011 이동, 미납 금액 표시</t>
        </is>
      </c>
      <c r="G14" s="2" t="inlineStr">
        <is>
          <t>FN-002</t>
        </is>
      </c>
      <c r="H14" s="2" t="inlineStr">
        <is>
          <t>API-005</t>
        </is>
      </c>
      <c r="I14" s="2" t="inlineStr">
        <is>
          <t>리스트 컴포넌트 + 금액 강조</t>
        </is>
      </c>
      <c r="J14" s="2" t="n"/>
      <c r="K14" s="2" t="n"/>
      <c r="L14" s="2" t="n"/>
      <c r="M14" s="2" t="inlineStr">
        <is>
          <t>aria-label='미납 회원'</t>
        </is>
      </c>
      <c r="N14" s="2" t="inlineStr">
        <is>
          <t>설계중</t>
        </is>
      </c>
      <c r="O14" s="2" t="n"/>
      <c r="P14" s="2" t="inlineStr">
        <is>
          <t>대시보드</t>
        </is>
      </c>
      <c r="Q14" s="2" t="inlineStr">
        <is>
          <t>대시보드 통계 조회</t>
        </is>
      </c>
      <c r="R14" s="2" t="inlineStr">
        <is>
          <t>/api/v1/dashboard/unpaid-members</t>
        </is>
      </c>
      <c r="S14" s="2" t="n"/>
    </row>
    <row r="15" outlineLevel="1">
      <c r="A15" s="2" t="inlineStr">
        <is>
          <t>UI-012</t>
        </is>
      </c>
      <c r="B15" s="2" t="inlineStr">
        <is>
          <t>SCR-002</t>
        </is>
      </c>
      <c r="C15" s="2" t="inlineStr">
        <is>
          <t>만료예정 리스트</t>
        </is>
      </c>
      <c r="D15" s="2" t="inlineStr">
        <is>
          <t>List</t>
        </is>
      </c>
      <c r="E15" s="2" t="inlineStr">
        <is>
          <t>7일 내 만료 예정 회원 목록</t>
        </is>
      </c>
      <c r="F15" s="2" t="inlineStr">
        <is>
          <t>회원명 클릭 시 SCR-011 이동, D-day 표시</t>
        </is>
      </c>
      <c r="G15" s="2" t="inlineStr">
        <is>
          <t>FN-002</t>
        </is>
      </c>
      <c r="H15" s="2" t="inlineStr">
        <is>
          <t>API-006</t>
        </is>
      </c>
      <c r="I15" s="2" t="inlineStr">
        <is>
          <t>리스트 컴포넌트 + D-day 배지</t>
        </is>
      </c>
      <c r="J15" s="2" t="n"/>
      <c r="K15" s="2" t="n"/>
      <c r="L15" s="2" t="n"/>
      <c r="M15" s="2" t="inlineStr">
        <is>
          <t>aria-label='만료 예정 회원'</t>
        </is>
      </c>
      <c r="N15" s="2" t="inlineStr">
        <is>
          <t>설계중</t>
        </is>
      </c>
      <c r="O15" s="2" t="n"/>
      <c r="P15" s="2" t="inlineStr">
        <is>
          <t>대시보드</t>
        </is>
      </c>
      <c r="Q15" s="2" t="inlineStr">
        <is>
          <t>대시보드 통계 조회</t>
        </is>
      </c>
      <c r="R15" s="2" t="inlineStr">
        <is>
          <t>/api/v1/dashboard/expiring-members</t>
        </is>
      </c>
      <c r="S15" s="2" t="n"/>
    </row>
    <row r="16" outlineLevel="1">
      <c r="A16" s="2" t="inlineStr">
        <is>
          <t>UI-013</t>
        </is>
      </c>
      <c r="B16" s="2" t="inlineStr">
        <is>
          <t>SCR-002</t>
        </is>
      </c>
      <c r="C16" s="2" t="inlineStr">
        <is>
          <t>매출 차트</t>
        </is>
      </c>
      <c r="D16" s="2" t="inlineStr">
        <is>
          <t>Card</t>
        </is>
      </c>
      <c r="E16" s="2" t="inlineStr">
        <is>
          <t>당월 매출 추이 라인 차트</t>
        </is>
      </c>
      <c r="F16" s="2" t="inlineStr">
        <is>
          <t>호버 시 일별 금액 툴팁, 기간 필터</t>
        </is>
      </c>
      <c r="G16" s="2" t="inlineStr">
        <is>
          <t>FN-002</t>
        </is>
      </c>
      <c r="H16" s="2" t="inlineStr">
        <is>
          <t>API-003</t>
        </is>
      </c>
      <c r="I16" s="2" t="inlineStr">
        <is>
          <t>Recharts LineChart</t>
        </is>
      </c>
      <c r="J16" s="2" t="n"/>
      <c r="K16" s="2" t="n"/>
      <c r="L16" s="2" t="n"/>
      <c r="M16" s="2" t="inlineStr">
        <is>
          <t>차트 데이터 테이블 대체 제공</t>
        </is>
      </c>
      <c r="N16" s="2" t="inlineStr">
        <is>
          <t>설계중</t>
        </is>
      </c>
      <c r="O16" s="2" t="n"/>
      <c r="P16" s="2" t="inlineStr">
        <is>
          <t>대시보드</t>
        </is>
      </c>
      <c r="Q16" s="2" t="inlineStr">
        <is>
          <t>대시보드 통계 조회</t>
        </is>
      </c>
      <c r="R16" s="2" t="inlineStr">
        <is>
          <t>/api/v1/dashboard/stats</t>
        </is>
      </c>
      <c r="S16" s="2" t="n"/>
    </row>
    <row r="17">
      <c r="A17" s="3" t="inlineStr">
        <is>
          <t>▼ SCR-010</t>
        </is>
      </c>
      <c r="B17" s="3" t="inlineStr">
        <is>
          <t>회원 목록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outlineLevel="1">
      <c r="A18" s="2" t="inlineStr">
        <is>
          <t>UI-014</t>
        </is>
      </c>
      <c r="B18" s="2" t="inlineStr">
        <is>
          <t>SCR-010</t>
        </is>
      </c>
      <c r="C18" s="2" t="inlineStr">
        <is>
          <t>검색바</t>
        </is>
      </c>
      <c r="D18" s="2" t="inlineStr">
        <is>
          <t>Input</t>
        </is>
      </c>
      <c r="E18" s="2" t="inlineStr">
        <is>
          <t>회원 이름/연락처/번호 검색 입력</t>
        </is>
      </c>
      <c r="F18" s="2" t="inlineStr">
        <is>
          <t>실시간 검색 (300ms debounce), 검색 아이콘</t>
        </is>
      </c>
      <c r="G18" s="2" t="inlineStr">
        <is>
          <t>FN-003</t>
        </is>
      </c>
      <c r="H18" s="2" t="inlineStr">
        <is>
          <t>API-007</t>
        </is>
      </c>
      <c r="I18" s="2" t="inlineStr">
        <is>
          <t>SearchInput 컴포넌트</t>
        </is>
      </c>
      <c r="J18" s="2" t="n"/>
      <c r="K18" s="2" t="inlineStr">
        <is>
          <t>최소 2자 이상</t>
        </is>
      </c>
      <c r="L18" s="2" t="inlineStr">
        <is>
          <t>검색어를 입력하세요</t>
        </is>
      </c>
      <c r="M18" s="2" t="inlineStr">
        <is>
          <t>aria-label='회원 검색'</t>
        </is>
      </c>
      <c r="N18" s="2" t="inlineStr">
        <is>
          <t>설계중</t>
        </is>
      </c>
      <c r="O18" s="2" t="n"/>
      <c r="P18" s="2" t="inlineStr">
        <is>
          <t>회원 목록</t>
        </is>
      </c>
      <c r="Q18" s="2" t="inlineStr">
        <is>
          <t>회원 목록 조회/검색/필터</t>
        </is>
      </c>
      <c r="R18" s="2" t="inlineStr">
        <is>
          <t>/api/v1/members</t>
        </is>
      </c>
      <c r="S18" s="2" t="n"/>
    </row>
    <row r="19" outlineLevel="1">
      <c r="A19" s="2" t="inlineStr">
        <is>
          <t>UI-015</t>
        </is>
      </c>
      <c r="B19" s="2" t="inlineStr">
        <is>
          <t>SCR-010</t>
        </is>
      </c>
      <c r="C19" s="2" t="inlineStr">
        <is>
          <t>상태 필터</t>
        </is>
      </c>
      <c r="D19" s="2" t="inlineStr">
        <is>
          <t>Select</t>
        </is>
      </c>
      <c r="E19" s="2" t="inlineStr">
        <is>
          <t>회원 상태(활성/만료/휴회/탈퇴) 필터</t>
        </is>
      </c>
      <c r="F19" s="2" t="inlineStr">
        <is>
          <t>멀티 선택 가능, 선택 시 즉시 필터 적용</t>
        </is>
      </c>
      <c r="G19" s="2" t="inlineStr">
        <is>
          <t>FN-003</t>
        </is>
      </c>
      <c r="H19" s="2" t="inlineStr">
        <is>
          <t>API-007</t>
        </is>
      </c>
      <c r="I19" s="2" t="inlineStr">
        <is>
          <t>MultiSelect 컴포넌트</t>
        </is>
      </c>
      <c r="J19" s="2" t="n"/>
      <c r="K19" s="2" t="inlineStr">
        <is>
          <t>1개 이상 선택 필수</t>
        </is>
      </c>
      <c r="L19" s="2" t="inlineStr">
        <is>
          <t>상태 필터을(를) 선택하세요</t>
        </is>
      </c>
      <c r="M19" s="2" t="inlineStr">
        <is>
          <t>aria-label='상태 필터'</t>
        </is>
      </c>
      <c r="N19" s="2" t="inlineStr">
        <is>
          <t>설계중</t>
        </is>
      </c>
      <c r="O19" s="2" t="n"/>
      <c r="P19" s="2" t="inlineStr">
        <is>
          <t>회원 목록</t>
        </is>
      </c>
      <c r="Q19" s="2" t="inlineStr">
        <is>
          <t>회원 목록 조회/검색/필터</t>
        </is>
      </c>
      <c r="R19" s="2" t="inlineStr">
        <is>
          <t>/api/v1/members</t>
        </is>
      </c>
      <c r="S19" s="2" t="n"/>
    </row>
    <row r="20" outlineLevel="1">
      <c r="A20" s="2" t="inlineStr">
        <is>
          <t>UI-016</t>
        </is>
      </c>
      <c r="B20" s="2" t="inlineStr">
        <is>
          <t>SCR-010</t>
        </is>
      </c>
      <c r="C20" s="2" t="inlineStr">
        <is>
          <t>성별 필터</t>
        </is>
      </c>
      <c r="D20" s="2" t="inlineStr">
        <is>
          <t>Select</t>
        </is>
      </c>
      <c r="E20" s="2" t="inlineStr">
        <is>
          <t>성별(전체/남/여) 필터</t>
        </is>
      </c>
      <c r="F20" s="2" t="inlineStr">
        <is>
          <t>단일 선택, 즉시 적용</t>
        </is>
      </c>
      <c r="G20" s="2" t="inlineStr">
        <is>
          <t>FN-003</t>
        </is>
      </c>
      <c r="H20" s="2" t="inlineStr">
        <is>
          <t>API-007</t>
        </is>
      </c>
      <c r="I20" s="2" t="inlineStr">
        <is>
          <t>Select 컴포넌트</t>
        </is>
      </c>
      <c r="J20" s="2" t="n"/>
      <c r="K20" s="2" t="inlineStr">
        <is>
          <t>1개 이상 선택 필수</t>
        </is>
      </c>
      <c r="L20" s="2" t="inlineStr">
        <is>
          <t>성별 필터을(를) 선택하세요</t>
        </is>
      </c>
      <c r="M20" s="2" t="inlineStr">
        <is>
          <t>aria-label='성별 필터'</t>
        </is>
      </c>
      <c r="N20" s="2" t="inlineStr">
        <is>
          <t>설계중</t>
        </is>
      </c>
      <c r="O20" s="2" t="n"/>
      <c r="P20" s="2" t="inlineStr">
        <is>
          <t>회원 목록</t>
        </is>
      </c>
      <c r="Q20" s="2" t="inlineStr">
        <is>
          <t>회원 목록 조회/검색/필터</t>
        </is>
      </c>
      <c r="R20" s="2" t="inlineStr">
        <is>
          <t>/api/v1/members</t>
        </is>
      </c>
      <c r="S20" s="2" t="n"/>
    </row>
    <row r="21" outlineLevel="1">
      <c r="A21" s="2" t="inlineStr">
        <is>
          <t>UI-017</t>
        </is>
      </c>
      <c r="B21" s="2" t="inlineStr">
        <is>
          <t>SCR-010</t>
        </is>
      </c>
      <c r="C21" s="2" t="inlineStr">
        <is>
          <t>담당자 필터</t>
        </is>
      </c>
      <c r="D21" s="2" t="inlineStr">
        <is>
          <t>Select</t>
        </is>
      </c>
      <c r="E21" s="2" t="inlineStr">
        <is>
          <t>담당 FC 필터</t>
        </is>
      </c>
      <c r="F21" s="2" t="inlineStr">
        <is>
          <t>단일 선택, 즉시 적용</t>
        </is>
      </c>
      <c r="G21" s="2" t="inlineStr">
        <is>
          <t>FN-003</t>
        </is>
      </c>
      <c r="H21" s="2" t="inlineStr">
        <is>
          <t>API-007</t>
        </is>
      </c>
      <c r="I21" s="2" t="inlineStr">
        <is>
          <t>Select 컴포넌트</t>
        </is>
      </c>
      <c r="J21" s="2" t="n"/>
      <c r="K21" s="2" t="inlineStr">
        <is>
          <t>1개 이상 선택 필수</t>
        </is>
      </c>
      <c r="L21" s="2" t="inlineStr">
        <is>
          <t>담당자 필터을(를) 선택하세요</t>
        </is>
      </c>
      <c r="M21" s="2" t="inlineStr">
        <is>
          <t>aria-label='담당자 필터'</t>
        </is>
      </c>
      <c r="N21" s="2" t="inlineStr">
        <is>
          <t>설계중</t>
        </is>
      </c>
      <c r="O21" s="2" t="n"/>
      <c r="P21" s="2" t="inlineStr">
        <is>
          <t>회원 목록</t>
        </is>
      </c>
      <c r="Q21" s="2" t="inlineStr">
        <is>
          <t>회원 목록 조회/검색/필터</t>
        </is>
      </c>
      <c r="R21" s="2" t="inlineStr">
        <is>
          <t>/api/v1/members</t>
        </is>
      </c>
      <c r="S21" s="2" t="n"/>
    </row>
    <row r="22" outlineLevel="1">
      <c r="A22" s="2" t="inlineStr">
        <is>
          <t>UI-018</t>
        </is>
      </c>
      <c r="B22" s="2" t="inlineStr">
        <is>
          <t>SCR-010</t>
        </is>
      </c>
      <c r="C22" s="2" t="inlineStr">
        <is>
          <t>회원 테이블</t>
        </is>
      </c>
      <c r="D22" s="2" t="inlineStr">
        <is>
          <t>List</t>
        </is>
      </c>
      <c r="E22" s="2" t="inlineStr">
        <is>
          <t>회원 목록 데이터 테이블</t>
        </is>
      </c>
      <c r="F22" s="2" t="inlineStr">
        <is>
          <t>행 클릭 시 SCR-011 이동, 컬럼 정렬, 행 호버</t>
        </is>
      </c>
      <c r="G22" s="2" t="inlineStr">
        <is>
          <t>FN-003</t>
        </is>
      </c>
      <c r="H22" s="2" t="inlineStr">
        <is>
          <t>API-007</t>
        </is>
      </c>
      <c r="I22" s="2" t="inlineStr">
        <is>
          <t>DataTable 컴포넌트 + 정렬/페이지네이션</t>
        </is>
      </c>
      <c r="J22" s="2" t="n"/>
      <c r="K22" s="2" t="n"/>
      <c r="L22" s="2" t="n"/>
      <c r="M22" s="2" t="inlineStr">
        <is>
          <t>aria-label='회원 목록 테이블'</t>
        </is>
      </c>
      <c r="N22" s="2" t="inlineStr">
        <is>
          <t>설계중</t>
        </is>
      </c>
      <c r="O22" s="2" t="n"/>
      <c r="P22" s="2" t="inlineStr">
        <is>
          <t>회원 목록</t>
        </is>
      </c>
      <c r="Q22" s="2" t="inlineStr">
        <is>
          <t>회원 목록 조회/검색/필터</t>
        </is>
      </c>
      <c r="R22" s="2" t="inlineStr">
        <is>
          <t>/api/v1/members</t>
        </is>
      </c>
      <c r="S22" s="2" t="n"/>
    </row>
    <row r="23" outlineLevel="1">
      <c r="A23" s="2" t="inlineStr">
        <is>
          <t>UI-019</t>
        </is>
      </c>
      <c r="B23" s="2" t="inlineStr">
        <is>
          <t>SCR-010</t>
        </is>
      </c>
      <c r="C23" s="2" t="inlineStr">
        <is>
          <t>페이지네이션</t>
        </is>
      </c>
      <c r="D23" s="2" t="inlineStr">
        <is>
          <t>Nav</t>
        </is>
      </c>
      <c r="E23" s="2" t="inlineStr">
        <is>
          <t>테이블 하단 페이지 네비게이션</t>
        </is>
      </c>
      <c r="F23" s="2" t="inlineStr">
        <is>
          <t>페이지 이동, 페이지당 행 수 선택</t>
        </is>
      </c>
      <c r="G23" s="2" t="inlineStr">
        <is>
          <t>FN-003</t>
        </is>
      </c>
      <c r="H23" s="2" t="inlineStr">
        <is>
          <t>API-007</t>
        </is>
      </c>
      <c r="I23" s="2" t="inlineStr">
        <is>
          <t>Pagination 컴포넌트</t>
        </is>
      </c>
      <c r="J23" s="2" t="n"/>
      <c r="K23" s="2" t="n"/>
      <c r="L23" s="2" t="n"/>
      <c r="M23" s="2" t="inlineStr">
        <is>
          <t>aria-label='페이지 이동'</t>
        </is>
      </c>
      <c r="N23" s="2" t="inlineStr">
        <is>
          <t>설계중</t>
        </is>
      </c>
      <c r="O23" s="2" t="n"/>
      <c r="P23" s="2" t="inlineStr">
        <is>
          <t>회원 목록</t>
        </is>
      </c>
      <c r="Q23" s="2" t="inlineStr">
        <is>
          <t>회원 목록 조회/검색/필터</t>
        </is>
      </c>
      <c r="R23" s="2" t="inlineStr">
        <is>
          <t>/api/v1/members</t>
        </is>
      </c>
      <c r="S23" s="2" t="n"/>
    </row>
    <row r="24" outlineLevel="1">
      <c r="A24" s="2" t="inlineStr">
        <is>
          <t>UI-020</t>
        </is>
      </c>
      <c r="B24" s="2" t="inlineStr">
        <is>
          <t>SCR-010</t>
        </is>
      </c>
      <c r="C24" s="2" t="inlineStr">
        <is>
          <t>엑셀 다운로드</t>
        </is>
      </c>
      <c r="D24" s="2" t="inlineStr">
        <is>
          <t>Button</t>
        </is>
      </c>
      <c r="E24" s="2" t="inlineStr">
        <is>
          <t>현재 필터 결과 엑셀 다운로드</t>
        </is>
      </c>
      <c r="F24" s="2" t="inlineStr">
        <is>
          <t>클릭 시 xlsx 파일 다운로드, 로딩 표시</t>
        </is>
      </c>
      <c r="G24" s="2" t="inlineStr">
        <is>
          <t>FN-003</t>
        </is>
      </c>
      <c r="H24" s="2" t="inlineStr">
        <is>
          <t>API-007</t>
        </is>
      </c>
      <c r="I24" s="2" t="inlineStr">
        <is>
          <t>다운로드 버튼 + 로딩 스피너</t>
        </is>
      </c>
      <c r="J24" s="2" t="n"/>
      <c r="K24" s="2" t="n"/>
      <c r="L24" s="2" t="n"/>
      <c r="M24" s="2" t="inlineStr">
        <is>
          <t>aria-label='엑셀 다운로드'</t>
        </is>
      </c>
      <c r="N24" s="2" t="inlineStr">
        <is>
          <t>설계중</t>
        </is>
      </c>
      <c r="O24" s="2" t="n"/>
      <c r="P24" s="2" t="inlineStr">
        <is>
          <t>회원 목록</t>
        </is>
      </c>
      <c r="Q24" s="2" t="inlineStr">
        <is>
          <t>회원 목록 조회/검색/필터</t>
        </is>
      </c>
      <c r="R24" s="2" t="inlineStr">
        <is>
          <t>/api/v1/members</t>
        </is>
      </c>
      <c r="S24" s="2" t="n"/>
    </row>
    <row r="25" outlineLevel="1">
      <c r="A25" s="2" t="inlineStr">
        <is>
          <t>UI-021</t>
        </is>
      </c>
      <c r="B25" s="2" t="inlineStr">
        <is>
          <t>SCR-010</t>
        </is>
      </c>
      <c r="C25" s="2" t="inlineStr">
        <is>
          <t>회원등록 버튼</t>
        </is>
      </c>
      <c r="D25" s="2" t="inlineStr">
        <is>
          <t>Button</t>
        </is>
      </c>
      <c r="E25" s="2" t="inlineStr">
        <is>
          <t>신규 회원 등록 페이지 이동 버튼</t>
        </is>
      </c>
      <c r="F25" s="2" t="inlineStr">
        <is>
          <t>클릭 시 SCR-012 이동</t>
        </is>
      </c>
      <c r="G25" s="2" t="inlineStr">
        <is>
          <t>FN-004</t>
        </is>
      </c>
      <c r="H25" s="2" t="n"/>
      <c r="I25" s="2" t="inlineStr">
        <is>
          <t>Primary Button</t>
        </is>
      </c>
      <c r="J25" s="2" t="n"/>
      <c r="K25" s="2" t="n"/>
      <c r="L25" s="2" t="n"/>
      <c r="M25" s="2" t="inlineStr">
        <is>
          <t>aria-label='회원 등록'</t>
        </is>
      </c>
      <c r="N25" s="2" t="inlineStr">
        <is>
          <t>설계중</t>
        </is>
      </c>
      <c r="O25" s="2" t="n"/>
      <c r="P25" s="2" t="inlineStr">
        <is>
          <t>회원 목록</t>
        </is>
      </c>
      <c r="Q25" s="2" t="inlineStr">
        <is>
          <t>회원 등록</t>
        </is>
      </c>
      <c r="R25" s="2">
        <f>IFERROR(VLOOKUP(H25,API명세서!A:D,4,FALSE()),"")</f>
        <v/>
      </c>
      <c r="S25" s="2" t="n"/>
    </row>
    <row r="26">
      <c r="A26" s="3" t="inlineStr">
        <is>
          <t>▼ SCR-011</t>
        </is>
      </c>
      <c r="B26" s="3" t="inlineStr">
        <is>
          <t>회원 상세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 outlineLevel="1">
      <c r="A27" s="2" t="inlineStr">
        <is>
          <t>UI-022</t>
        </is>
      </c>
      <c r="B27" s="2" t="inlineStr">
        <is>
          <t>SCR-011</t>
        </is>
      </c>
      <c r="C27" s="2" t="inlineStr">
        <is>
          <t>프로필 영역</t>
        </is>
      </c>
      <c r="D27" s="2" t="inlineStr">
        <is>
          <t>Card</t>
        </is>
      </c>
      <c r="E27" s="2" t="inlineStr">
        <is>
          <t>회원 기본 정보 카드 (사진/이름/연락처/상태)</t>
        </is>
      </c>
      <c r="F27" s="2" t="inlineStr">
        <is>
          <t>수정 버튼 → SCR-013 이동</t>
        </is>
      </c>
      <c r="G27" s="2" t="inlineStr">
        <is>
          <t>FN-006</t>
        </is>
      </c>
      <c r="H27" s="2" t="inlineStr">
        <is>
          <t>API-008</t>
        </is>
      </c>
      <c r="I27" s="2" t="inlineStr">
        <is>
          <t>프로필 Card 컴포넌트</t>
        </is>
      </c>
      <c r="J27" s="2" t="n"/>
      <c r="K27" s="2" t="n"/>
      <c r="L27" s="2" t="n"/>
      <c r="M27" s="2" t="inlineStr">
        <is>
          <t>aria-label='회원 프로필'</t>
        </is>
      </c>
      <c r="N27" s="2" t="inlineStr">
        <is>
          <t>설계중</t>
        </is>
      </c>
      <c r="O27" s="2" t="n"/>
      <c r="P27" s="2" t="inlineStr">
        <is>
          <t>회원 상세</t>
        </is>
      </c>
      <c r="Q27" s="2" t="inlineStr">
        <is>
          <t>회원 상세 조회</t>
        </is>
      </c>
      <c r="R27" s="2" t="inlineStr">
        <is>
          <t>/api/v1/members/:id</t>
        </is>
      </c>
      <c r="S27" s="2" t="n"/>
    </row>
    <row r="28" outlineLevel="1">
      <c r="A28" s="2" t="inlineStr">
        <is>
          <t>UI-023</t>
        </is>
      </c>
      <c r="B28" s="2" t="inlineStr">
        <is>
          <t>SCR-011</t>
        </is>
      </c>
      <c r="C28" s="2" t="inlineStr">
        <is>
          <t>이용권 탭</t>
        </is>
      </c>
      <c r="D28" s="2" t="inlineStr">
        <is>
          <t>Tab</t>
        </is>
      </c>
      <c r="E28" s="2" t="inlineStr">
        <is>
          <t>보유 이용권 목록 탭</t>
        </is>
      </c>
      <c r="F28" s="2" t="inlineStr">
        <is>
          <t>만료일 강조, 잔여 횟수 표시</t>
        </is>
      </c>
      <c r="G28" s="2" t="inlineStr">
        <is>
          <t>FN-006</t>
        </is>
      </c>
      <c r="H28" s="2" t="inlineStr">
        <is>
          <t>API-008</t>
        </is>
      </c>
      <c r="I28" s="2" t="inlineStr">
        <is>
          <t>Tab + 이용권 리스트</t>
        </is>
      </c>
      <c r="J28" s="2" t="n"/>
      <c r="K28" s="2" t="n"/>
      <c r="L28" s="2" t="n"/>
      <c r="M28" s="2" t="inlineStr">
        <is>
          <t>aria-label='이용권 탭'</t>
        </is>
      </c>
      <c r="N28" s="2" t="inlineStr">
        <is>
          <t>설계중</t>
        </is>
      </c>
      <c r="O28" s="2" t="n"/>
      <c r="P28" s="2" t="inlineStr">
        <is>
          <t>회원 상세</t>
        </is>
      </c>
      <c r="Q28" s="2" t="inlineStr">
        <is>
          <t>회원 상세 조회</t>
        </is>
      </c>
      <c r="R28" s="2" t="inlineStr">
        <is>
          <t>/api/v1/members/:id</t>
        </is>
      </c>
      <c r="S28" s="2" t="n"/>
    </row>
    <row r="29" outlineLevel="1">
      <c r="A29" s="2" t="inlineStr">
        <is>
          <t>UI-024</t>
        </is>
      </c>
      <c r="B29" s="2" t="inlineStr">
        <is>
          <t>SCR-011</t>
        </is>
      </c>
      <c r="C29" s="2" t="inlineStr">
        <is>
          <t>출석 탭</t>
        </is>
      </c>
      <c r="D29" s="2" t="inlineStr">
        <is>
          <t>Tab</t>
        </is>
      </c>
      <c r="E29" s="2" t="inlineStr">
        <is>
          <t>출석 이력 탭 (히트맵 + 리스트)</t>
        </is>
      </c>
      <c r="F29" s="2" t="inlineStr">
        <is>
          <t>히트맵 날짜 클릭 시 상세, 타지점 출석 구분</t>
        </is>
      </c>
      <c r="G29" s="2" t="inlineStr">
        <is>
          <t>FN-006</t>
        </is>
      </c>
      <c r="H29" s="2" t="inlineStr">
        <is>
          <t>API-013</t>
        </is>
      </c>
      <c r="I29" s="2" t="inlineStr">
        <is>
          <t>Tab + 히트맵 + 테이블</t>
        </is>
      </c>
      <c r="J29" s="2" t="n"/>
      <c r="K29" s="2" t="n"/>
      <c r="L29" s="2" t="n"/>
      <c r="M29" s="2" t="inlineStr">
        <is>
          <t>aria-label='출석 탭'</t>
        </is>
      </c>
      <c r="N29" s="2" t="inlineStr">
        <is>
          <t>설계중</t>
        </is>
      </c>
      <c r="O29" s="2" t="n"/>
      <c r="P29" s="2" t="inlineStr">
        <is>
          <t>회원 상세</t>
        </is>
      </c>
      <c r="Q29" s="2" t="inlineStr">
        <is>
          <t>회원 상세 조회</t>
        </is>
      </c>
      <c r="R29" s="2" t="inlineStr">
        <is>
          <t>/api/v1/attendance</t>
        </is>
      </c>
      <c r="S29" s="2" t="n"/>
    </row>
    <row r="30" outlineLevel="1">
      <c r="A30" s="2" t="inlineStr">
        <is>
          <t>UI-025</t>
        </is>
      </c>
      <c r="B30" s="2" t="inlineStr">
        <is>
          <t>SCR-011</t>
        </is>
      </c>
      <c r="C30" s="2" t="inlineStr">
        <is>
          <t>결제 탭</t>
        </is>
      </c>
      <c r="D30" s="2" t="inlineStr">
        <is>
          <t>Tab</t>
        </is>
      </c>
      <c r="E30" s="2" t="inlineStr">
        <is>
          <t>결제/매출 이력 탭</t>
        </is>
      </c>
      <c r="F30" s="2" t="inlineStr">
        <is>
          <t>결제 상세 모달, 환불 처리</t>
        </is>
      </c>
      <c r="G30" s="2" t="inlineStr">
        <is>
          <t>FN-006</t>
        </is>
      </c>
      <c r="H30" s="2" t="inlineStr">
        <is>
          <t>API-015</t>
        </is>
      </c>
      <c r="I30" s="2" t="inlineStr">
        <is>
          <t>Tab + 결제 테이블</t>
        </is>
      </c>
      <c r="J30" s="2" t="n"/>
      <c r="K30" s="2" t="n"/>
      <c r="L30" s="2" t="n"/>
      <c r="M30" s="2" t="inlineStr">
        <is>
          <t>aria-label='결제 탭'</t>
        </is>
      </c>
      <c r="N30" s="2" t="inlineStr">
        <is>
          <t>설계중</t>
        </is>
      </c>
      <c r="O30" s="2" t="n"/>
      <c r="P30" s="2" t="inlineStr">
        <is>
          <t>회원 상세</t>
        </is>
      </c>
      <c r="Q30" s="2" t="inlineStr">
        <is>
          <t>회원 상세 조회</t>
        </is>
      </c>
      <c r="R30" s="2" t="inlineStr">
        <is>
          <t>/api/v1/sales</t>
        </is>
      </c>
      <c r="S30" s="2" t="n"/>
    </row>
    <row r="31" outlineLevel="1">
      <c r="A31" s="2" t="inlineStr">
        <is>
          <t>UI-026</t>
        </is>
      </c>
      <c r="B31" s="2" t="inlineStr">
        <is>
          <t>SCR-011</t>
        </is>
      </c>
      <c r="C31" s="2" t="inlineStr">
        <is>
          <t>체성분 탭</t>
        </is>
      </c>
      <c r="D31" s="2" t="inlineStr">
        <is>
          <t>Tab</t>
        </is>
      </c>
      <c r="E31" s="2" t="inlineStr">
        <is>
          <t>체성분 측정 이력 + 차트 탭</t>
        </is>
      </c>
      <c r="F31" s="2" t="inlineStr">
        <is>
          <t>측정 추가, 변화 추이 차트</t>
        </is>
      </c>
      <c r="G31" s="2" t="inlineStr">
        <is>
          <t>FN-007</t>
        </is>
      </c>
      <c r="H31" s="2" t="inlineStr">
        <is>
          <t>API-008</t>
        </is>
      </c>
      <c r="I31" s="2" t="inlineStr">
        <is>
          <t>Tab + 차트 + 입력 폼</t>
        </is>
      </c>
      <c r="J31" s="2" t="n"/>
      <c r="K31" s="2" t="n"/>
      <c r="L31" s="2" t="n"/>
      <c r="M31" s="2" t="inlineStr">
        <is>
          <t>aria-label='체성분 탭'</t>
        </is>
      </c>
      <c r="N31" s="2" t="inlineStr">
        <is>
          <t>설계중</t>
        </is>
      </c>
      <c r="O31" s="2" t="n"/>
      <c r="P31" s="2" t="inlineStr">
        <is>
          <t>회원 상세</t>
        </is>
      </c>
      <c r="Q31" s="2" t="inlineStr">
        <is>
          <t>체성분 기록/분석</t>
        </is>
      </c>
      <c r="R31" s="2" t="inlineStr">
        <is>
          <t>/api/v1/members/:id</t>
        </is>
      </c>
      <c r="S31" s="2" t="n"/>
    </row>
    <row r="32" outlineLevel="1">
      <c r="A32" s="2" t="inlineStr">
        <is>
          <t>UI-027</t>
        </is>
      </c>
      <c r="B32" s="2" t="inlineStr">
        <is>
          <t>SCR-011</t>
        </is>
      </c>
      <c r="C32" s="2" t="inlineStr">
        <is>
          <t>메모 탭</t>
        </is>
      </c>
      <c r="D32" s="2" t="inlineStr">
        <is>
          <t>Tab</t>
        </is>
      </c>
      <c r="E32" s="2" t="inlineStr">
        <is>
          <t>상담/메모 기록 탭</t>
        </is>
      </c>
      <c r="F32" s="2" t="inlineStr">
        <is>
          <t>메모 추가/수정/삭제, 시간순 정렬</t>
        </is>
      </c>
      <c r="G32" s="2" t="inlineStr">
        <is>
          <t>FN-006</t>
        </is>
      </c>
      <c r="H32" s="2" t="inlineStr">
        <is>
          <t>API-008</t>
        </is>
      </c>
      <c r="I32" s="2" t="inlineStr">
        <is>
          <t>Tab + 메모 리스트 + 에디터</t>
        </is>
      </c>
      <c r="J32" s="2" t="n"/>
      <c r="K32" s="2" t="n"/>
      <c r="L32" s="2" t="n"/>
      <c r="M32" s="2" t="inlineStr">
        <is>
          <t>aria-label='메모 탭'</t>
        </is>
      </c>
      <c r="N32" s="2" t="inlineStr">
        <is>
          <t>설계중</t>
        </is>
      </c>
      <c r="O32" s="2" t="n"/>
      <c r="P32" s="2" t="inlineStr">
        <is>
          <t>회원 상세</t>
        </is>
      </c>
      <c r="Q32" s="2" t="inlineStr">
        <is>
          <t>회원 상세 조회</t>
        </is>
      </c>
      <c r="R32" s="2" t="inlineStr">
        <is>
          <t>/api/v1/members/:id</t>
        </is>
      </c>
      <c r="S32" s="2" t="n"/>
    </row>
    <row r="33">
      <c r="A33" s="3" t="inlineStr">
        <is>
          <t>▼ SCR-012</t>
        </is>
      </c>
      <c r="B33" s="3" t="inlineStr">
        <is>
          <t>회원 등록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outlineLevel="1">
      <c r="A34" s="2" t="inlineStr">
        <is>
          <t>UI-028</t>
        </is>
      </c>
      <c r="B34" s="2" t="inlineStr">
        <is>
          <t>SCR-012</t>
        </is>
      </c>
      <c r="C34" s="2" t="inlineStr">
        <is>
          <t>이름 입력</t>
        </is>
      </c>
      <c r="D34" s="2" t="inlineStr">
        <is>
          <t>Input</t>
        </is>
      </c>
      <c r="E34" s="2" t="inlineStr">
        <is>
          <t>회원 이름 입력 필드</t>
        </is>
      </c>
      <c r="F34" s="2" t="inlineStr">
        <is>
          <t>필수 항목, 한글 2~20자</t>
        </is>
      </c>
      <c r="G34" s="2" t="inlineStr">
        <is>
          <t>FN-004</t>
        </is>
      </c>
      <c r="H34" s="2" t="inlineStr">
        <is>
          <t>API-009</t>
        </is>
      </c>
      <c r="I34" s="2" t="inlineStr">
        <is>
          <t>&lt;input&gt; + validation</t>
        </is>
      </c>
      <c r="J34" s="2" t="n"/>
      <c r="K34" s="2" t="inlineStr">
        <is>
          <t>한글 2~20자</t>
        </is>
      </c>
      <c r="L34" s="2" t="inlineStr">
        <is>
          <t>이름을 입력하세요</t>
        </is>
      </c>
      <c r="M34" s="2" t="inlineStr">
        <is>
          <t>aria-required='true'</t>
        </is>
      </c>
      <c r="N34" s="2" t="inlineStr">
        <is>
          <t>설계중</t>
        </is>
      </c>
      <c r="O34" s="2" t="n"/>
      <c r="P34" s="2" t="inlineStr">
        <is>
          <t>회원 등록</t>
        </is>
      </c>
      <c r="Q34" s="2" t="inlineStr">
        <is>
          <t>회원 등록</t>
        </is>
      </c>
      <c r="R34" s="2" t="inlineStr">
        <is>
          <t>/api/v1/members</t>
        </is>
      </c>
      <c r="S34" s="2" t="n"/>
    </row>
    <row r="35" outlineLevel="1">
      <c r="A35" s="2" t="inlineStr">
        <is>
          <t>UI-029</t>
        </is>
      </c>
      <c r="B35" s="2" t="inlineStr">
        <is>
          <t>SCR-012</t>
        </is>
      </c>
      <c r="C35" s="2" t="inlineStr">
        <is>
          <t>성별 선택</t>
        </is>
      </c>
      <c r="D35" s="2" t="inlineStr">
        <is>
          <t>Radio</t>
        </is>
      </c>
      <c r="E35" s="2" t="inlineStr">
        <is>
          <t>성별 선택 (남/여)</t>
        </is>
      </c>
      <c r="F35" s="2" t="inlineStr">
        <is>
          <t>라디오 버튼 2개</t>
        </is>
      </c>
      <c r="G35" s="2" t="inlineStr">
        <is>
          <t>FN-004</t>
        </is>
      </c>
      <c r="H35" s="2" t="inlineStr">
        <is>
          <t>API-009</t>
        </is>
      </c>
      <c r="I35" s="2" t="inlineStr">
        <is>
          <t>RadioGroup 컴포넌트</t>
        </is>
      </c>
      <c r="J35" s="2" t="n"/>
      <c r="K35" s="2" t="inlineStr">
        <is>
          <t>필수 선택</t>
        </is>
      </c>
      <c r="L35" s="2" t="inlineStr">
        <is>
          <t>성별을 선택하세요</t>
        </is>
      </c>
      <c r="M35" s="2" t="inlineStr">
        <is>
          <t>role='radiogroup'</t>
        </is>
      </c>
      <c r="N35" s="2" t="inlineStr">
        <is>
          <t>설계중</t>
        </is>
      </c>
      <c r="O35" s="2" t="n"/>
      <c r="P35" s="2" t="inlineStr">
        <is>
          <t>회원 등록</t>
        </is>
      </c>
      <c r="Q35" s="2" t="inlineStr">
        <is>
          <t>회원 등록</t>
        </is>
      </c>
      <c r="R35" s="2" t="inlineStr">
        <is>
          <t>/api/v1/members</t>
        </is>
      </c>
      <c r="S35" s="2" t="n"/>
    </row>
    <row r="36" outlineLevel="1">
      <c r="A36" s="2" t="inlineStr">
        <is>
          <t>UI-030</t>
        </is>
      </c>
      <c r="B36" s="2" t="inlineStr">
        <is>
          <t>SCR-012</t>
        </is>
      </c>
      <c r="C36" s="2" t="inlineStr">
        <is>
          <t>생년월일</t>
        </is>
      </c>
      <c r="D36" s="2" t="inlineStr">
        <is>
          <t>Input</t>
        </is>
      </c>
      <c r="E36" s="2" t="inlineStr">
        <is>
          <t>생년월일 입력 (date picker)</t>
        </is>
      </c>
      <c r="F36" s="2" t="inlineStr">
        <is>
          <t>달력 팝업 또는 직접 입력</t>
        </is>
      </c>
      <c r="G36" s="2" t="inlineStr">
        <is>
          <t>FN-004</t>
        </is>
      </c>
      <c r="H36" s="2" t="inlineStr">
        <is>
          <t>API-009</t>
        </is>
      </c>
      <c r="I36" s="2" t="inlineStr">
        <is>
          <t>DatePicker 컴포넌트</t>
        </is>
      </c>
      <c r="J36" s="2" t="n"/>
      <c r="K36" s="2" t="inlineStr">
        <is>
          <t>미래 날짜 불가</t>
        </is>
      </c>
      <c r="L36" s="2" t="inlineStr">
        <is>
          <t>올바른 날짜를 입력하세요</t>
        </is>
      </c>
      <c r="M36" s="2" t="inlineStr">
        <is>
          <t>aria-label='생년월일'</t>
        </is>
      </c>
      <c r="N36" s="2" t="inlineStr">
        <is>
          <t>설계중</t>
        </is>
      </c>
      <c r="O36" s="2" t="n"/>
      <c r="P36" s="2" t="inlineStr">
        <is>
          <t>회원 등록</t>
        </is>
      </c>
      <c r="Q36" s="2" t="inlineStr">
        <is>
          <t>회원 등록</t>
        </is>
      </c>
      <c r="R36" s="2" t="inlineStr">
        <is>
          <t>/api/v1/members</t>
        </is>
      </c>
      <c r="S36" s="2" t="n"/>
    </row>
    <row r="37" outlineLevel="1">
      <c r="A37" s="2" t="inlineStr">
        <is>
          <t>UI-031</t>
        </is>
      </c>
      <c r="B37" s="2" t="inlineStr">
        <is>
          <t>SCR-012</t>
        </is>
      </c>
      <c r="C37" s="2" t="inlineStr">
        <is>
          <t>연락처 입력</t>
        </is>
      </c>
      <c r="D37" s="2" t="inlineStr">
        <is>
          <t>Input</t>
        </is>
      </c>
      <c r="E37" s="2" t="inlineStr">
        <is>
          <t>연락처 입력 (자동 하이픈)</t>
        </is>
      </c>
      <c r="F37" s="2" t="inlineStr">
        <is>
          <t>입력 시 자동 포맷 (010-xxxx-xxxx)</t>
        </is>
      </c>
      <c r="G37" s="2" t="inlineStr">
        <is>
          <t>FN-004</t>
        </is>
      </c>
      <c r="H37" s="2" t="inlineStr">
        <is>
          <t>API-009</t>
        </is>
      </c>
      <c r="I37" s="2" t="inlineStr">
        <is>
          <t>PhoneInput 컴포넌트</t>
        </is>
      </c>
      <c r="J37" s="2" t="n"/>
      <c r="K37" s="2" t="inlineStr">
        <is>
          <t>전화번호 형식 검증, 중복 체크</t>
        </is>
      </c>
      <c r="L37" s="2" t="inlineStr">
        <is>
          <t>올바른 연락처를 입력하세요</t>
        </is>
      </c>
      <c r="M37" s="2" t="inlineStr">
        <is>
          <t>aria-label='연락처'</t>
        </is>
      </c>
      <c r="N37" s="2" t="inlineStr">
        <is>
          <t>설계중</t>
        </is>
      </c>
      <c r="O37" s="2" t="n"/>
      <c r="P37" s="2" t="inlineStr">
        <is>
          <t>회원 등록</t>
        </is>
      </c>
      <c r="Q37" s="2" t="inlineStr">
        <is>
          <t>회원 등록</t>
        </is>
      </c>
      <c r="R37" s="2" t="inlineStr">
        <is>
          <t>/api/v1/members</t>
        </is>
      </c>
      <c r="S37" s="2" t="n"/>
    </row>
    <row r="38" outlineLevel="1">
      <c r="A38" s="2" t="inlineStr">
        <is>
          <t>UI-032</t>
        </is>
      </c>
      <c r="B38" s="2" t="inlineStr">
        <is>
          <t>SCR-012</t>
        </is>
      </c>
      <c r="C38" s="2" t="inlineStr">
        <is>
          <t>이메일 입력</t>
        </is>
      </c>
      <c r="D38" s="2" t="inlineStr">
        <is>
          <t>Input</t>
        </is>
      </c>
      <c r="E38" s="2" t="inlineStr">
        <is>
          <t>이메일 주소 입력</t>
        </is>
      </c>
      <c r="F38" s="2" t="inlineStr">
        <is>
          <t>선택 항목</t>
        </is>
      </c>
      <c r="G38" s="2" t="inlineStr">
        <is>
          <t>FN-004</t>
        </is>
      </c>
      <c r="H38" s="2" t="inlineStr">
        <is>
          <t>API-009</t>
        </is>
      </c>
      <c r="I38" s="2" t="inlineStr">
        <is>
          <t>&lt;input type='email'&gt;</t>
        </is>
      </c>
      <c r="J38" s="2" t="n"/>
      <c r="K38" s="2" t="inlineStr">
        <is>
          <t>이메일 형식 검증</t>
        </is>
      </c>
      <c r="L38" s="2" t="inlineStr">
        <is>
          <t>올바른 이메일을 입력하세요</t>
        </is>
      </c>
      <c r="M38" s="2" t="inlineStr">
        <is>
          <t>aria-label='이메일'</t>
        </is>
      </c>
      <c r="N38" s="2" t="inlineStr">
        <is>
          <t>설계중</t>
        </is>
      </c>
      <c r="O38" s="2" t="n"/>
      <c r="P38" s="2" t="inlineStr">
        <is>
          <t>회원 등록</t>
        </is>
      </c>
      <c r="Q38" s="2" t="inlineStr">
        <is>
          <t>회원 등록</t>
        </is>
      </c>
      <c r="R38" s="2" t="inlineStr">
        <is>
          <t>/api/v1/members</t>
        </is>
      </c>
      <c r="S38" s="2" t="n"/>
    </row>
    <row r="39" outlineLevel="1">
      <c r="A39" s="2" t="inlineStr">
        <is>
          <t>UI-033</t>
        </is>
      </c>
      <c r="B39" s="2" t="inlineStr">
        <is>
          <t>SCR-012</t>
        </is>
      </c>
      <c r="C39" s="2" t="inlineStr">
        <is>
          <t>주소 입력</t>
        </is>
      </c>
      <c r="D39" s="2" t="inlineStr">
        <is>
          <t>Input</t>
        </is>
      </c>
      <c r="E39" s="2" t="inlineStr">
        <is>
          <t>주소 검색 및 입력</t>
        </is>
      </c>
      <c r="F39" s="2" t="inlineStr">
        <is>
          <t>다음 주소 API 연동</t>
        </is>
      </c>
      <c r="G39" s="2" t="inlineStr">
        <is>
          <t>FN-004</t>
        </is>
      </c>
      <c r="H39" s="2" t="inlineStr">
        <is>
          <t>API-009</t>
        </is>
      </c>
      <c r="I39" s="2" t="inlineStr">
        <is>
          <t>AddressSearch 컴포넌트</t>
        </is>
      </c>
      <c r="J39" s="2" t="n"/>
      <c r="K39" s="2" t="inlineStr">
        <is>
          <t>최소 5자 이상</t>
        </is>
      </c>
      <c r="L39" s="2" t="inlineStr">
        <is>
          <t>주소를 입력하세요</t>
        </is>
      </c>
      <c r="M39" s="2" t="inlineStr">
        <is>
          <t>aria-label='주소'</t>
        </is>
      </c>
      <c r="N39" s="2" t="inlineStr">
        <is>
          <t>설계중</t>
        </is>
      </c>
      <c r="O39" s="2" t="n"/>
      <c r="P39" s="2" t="inlineStr">
        <is>
          <t>회원 등록</t>
        </is>
      </c>
      <c r="Q39" s="2" t="inlineStr">
        <is>
          <t>회원 등록</t>
        </is>
      </c>
      <c r="R39" s="2" t="inlineStr">
        <is>
          <t>/api/v1/members</t>
        </is>
      </c>
      <c r="S39" s="2" t="n"/>
    </row>
    <row r="40" outlineLevel="1">
      <c r="A40" s="2" t="inlineStr">
        <is>
          <t>UI-034</t>
        </is>
      </c>
      <c r="B40" s="2" t="inlineStr">
        <is>
          <t>SCR-012</t>
        </is>
      </c>
      <c r="C40" s="2" t="inlineStr">
        <is>
          <t>메모 입력</t>
        </is>
      </c>
      <c r="D40" s="2" t="inlineStr">
        <is>
          <t>Textarea</t>
        </is>
      </c>
      <c r="E40" s="2" t="inlineStr">
        <is>
          <t>관리자 메모 입력</t>
        </is>
      </c>
      <c r="F40" s="2" t="inlineStr">
        <is>
          <t>최대 500자, 글자수 카운터</t>
        </is>
      </c>
      <c r="G40" s="2" t="inlineStr">
        <is>
          <t>FN-004</t>
        </is>
      </c>
      <c r="H40" s="2" t="inlineStr">
        <is>
          <t>API-009</t>
        </is>
      </c>
      <c r="I40" s="2" t="inlineStr">
        <is>
          <t>&lt;textarea&gt; + counter</t>
        </is>
      </c>
      <c r="J40" s="2" t="n"/>
      <c r="K40" s="2" t="inlineStr">
        <is>
          <t>최대 500자</t>
        </is>
      </c>
      <c r="L40" s="2" t="inlineStr">
        <is>
          <t>메모 입력을(를) 입력하세요</t>
        </is>
      </c>
      <c r="M40" s="2" t="inlineStr">
        <is>
          <t>aria-label='메모'</t>
        </is>
      </c>
      <c r="N40" s="2" t="inlineStr">
        <is>
          <t>설계중</t>
        </is>
      </c>
      <c r="O40" s="2" t="n"/>
      <c r="P40" s="2" t="inlineStr">
        <is>
          <t>회원 등록</t>
        </is>
      </c>
      <c r="Q40" s="2" t="inlineStr">
        <is>
          <t>회원 등록</t>
        </is>
      </c>
      <c r="R40" s="2" t="inlineStr">
        <is>
          <t>/api/v1/members</t>
        </is>
      </c>
      <c r="S40" s="2" t="n"/>
    </row>
    <row r="41" outlineLevel="1">
      <c r="A41" s="2" t="inlineStr">
        <is>
          <t>UI-035</t>
        </is>
      </c>
      <c r="B41" s="2" t="inlineStr">
        <is>
          <t>SCR-012</t>
        </is>
      </c>
      <c r="C41" s="2" t="inlineStr">
        <is>
          <t>담당자 선택</t>
        </is>
      </c>
      <c r="D41" s="2" t="inlineStr">
        <is>
          <t>Select</t>
        </is>
      </c>
      <c r="E41" s="2" t="inlineStr">
        <is>
          <t>담당 FC 선택 드롭다운</t>
        </is>
      </c>
      <c r="F41" s="2" t="inlineStr">
        <is>
          <t>직원 목록에서 FC 역할만 필터</t>
        </is>
      </c>
      <c r="G41" s="2" t="inlineStr">
        <is>
          <t>FN-004</t>
        </is>
      </c>
      <c r="H41" s="2" t="inlineStr">
        <is>
          <t>API-009</t>
        </is>
      </c>
      <c r="I41" s="2" t="inlineStr">
        <is>
          <t>Select 컴포넌트</t>
        </is>
      </c>
      <c r="J41" s="2" t="n"/>
      <c r="K41" s="2" t="inlineStr">
        <is>
          <t>1개 이상 선택 필수</t>
        </is>
      </c>
      <c r="L41" s="2" t="inlineStr">
        <is>
          <t>담당자 선택을(를) 선택하세요</t>
        </is>
      </c>
      <c r="M41" s="2" t="inlineStr">
        <is>
          <t>aria-label='담당자 선택'</t>
        </is>
      </c>
      <c r="N41" s="2" t="inlineStr">
        <is>
          <t>설계중</t>
        </is>
      </c>
      <c r="O41" s="2" t="n"/>
      <c r="P41" s="2" t="inlineStr">
        <is>
          <t>회원 등록</t>
        </is>
      </c>
      <c r="Q41" s="2" t="inlineStr">
        <is>
          <t>회원 등록</t>
        </is>
      </c>
      <c r="R41" s="2" t="inlineStr">
        <is>
          <t>/api/v1/members</t>
        </is>
      </c>
      <c r="S41" s="2" t="n"/>
    </row>
    <row r="42" outlineLevel="1">
      <c r="A42" s="2" t="inlineStr">
        <is>
          <t>UI-036</t>
        </is>
      </c>
      <c r="B42" s="2" t="inlineStr">
        <is>
          <t>SCR-012</t>
        </is>
      </c>
      <c r="C42" s="2" t="inlineStr">
        <is>
          <t>저장 버튼</t>
        </is>
      </c>
      <c r="D42" s="2" t="inlineStr">
        <is>
          <t>Button</t>
        </is>
      </c>
      <c r="E42" s="2" t="inlineStr">
        <is>
          <t>회원 등록 저장</t>
        </is>
      </c>
      <c r="F42" s="2" t="inlineStr">
        <is>
          <t>모든 필수 항목 입력 시 활성화, 클릭 시 API 호출</t>
        </is>
      </c>
      <c r="G42" s="2" t="inlineStr">
        <is>
          <t>FN-004</t>
        </is>
      </c>
      <c r="H42" s="2" t="inlineStr">
        <is>
          <t>API-009</t>
        </is>
      </c>
      <c r="I42" s="2" t="inlineStr">
        <is>
          <t>Primary Button + loading</t>
        </is>
      </c>
      <c r="J42" s="2" t="n"/>
      <c r="K42" s="2" t="inlineStr">
        <is>
          <t>필수 항목 검증</t>
        </is>
      </c>
      <c r="L42" s="2" t="inlineStr">
        <is>
          <t>등록에 실패했습니다</t>
        </is>
      </c>
      <c r="M42" s="2" t="inlineStr">
        <is>
          <t>aria-label='저장'</t>
        </is>
      </c>
      <c r="N42" s="2" t="inlineStr">
        <is>
          <t>설계중</t>
        </is>
      </c>
      <c r="O42" s="2" t="n"/>
      <c r="P42" s="2" t="inlineStr">
        <is>
          <t>회원 등록</t>
        </is>
      </c>
      <c r="Q42" s="2" t="inlineStr">
        <is>
          <t>회원 등록</t>
        </is>
      </c>
      <c r="R42" s="2" t="inlineStr">
        <is>
          <t>/api/v1/members</t>
        </is>
      </c>
      <c r="S42" s="2" t="n"/>
    </row>
    <row r="43" outlineLevel="1">
      <c r="A43" s="2" t="inlineStr">
        <is>
          <t>UI-037</t>
        </is>
      </c>
      <c r="B43" s="2" t="inlineStr">
        <is>
          <t>SCR-012</t>
        </is>
      </c>
      <c r="C43" s="2" t="inlineStr">
        <is>
          <t>취소 버튼</t>
        </is>
      </c>
      <c r="D43" s="2" t="inlineStr">
        <is>
          <t>Button</t>
        </is>
      </c>
      <c r="E43" s="2" t="inlineStr">
        <is>
          <t>등록 취소, 목록으로 이동</t>
        </is>
      </c>
      <c r="F43" s="2" t="inlineStr">
        <is>
          <t>변경사항 있을 시 확인 모달</t>
        </is>
      </c>
      <c r="G43" s="2" t="n"/>
      <c r="H43" s="2" t="n"/>
      <c r="I43" s="2" t="inlineStr">
        <is>
          <t>Secondary Button</t>
        </is>
      </c>
      <c r="J43" s="2" t="n"/>
      <c r="K43" s="2" t="n"/>
      <c r="L43" s="2" t="n"/>
      <c r="M43" s="2" t="inlineStr">
        <is>
          <t>aria-label='취소'</t>
        </is>
      </c>
      <c r="N43" s="2" t="inlineStr">
        <is>
          <t>설계중</t>
        </is>
      </c>
      <c r="O43" s="2" t="n"/>
      <c r="P43" s="2" t="inlineStr">
        <is>
          <t>회원 등록</t>
        </is>
      </c>
      <c r="Q43" s="2">
        <f>IFERROR(VLOOKUP(G43,기능명세서!A:B,2,FALSE()),"")</f>
        <v/>
      </c>
      <c r="R43" s="2">
        <f>IFERROR(VLOOKUP(H43,API명세서!A:D,4,FALSE()),"")</f>
        <v/>
      </c>
      <c r="S43" s="2" t="n"/>
    </row>
    <row r="44">
      <c r="A44" s="3" t="inlineStr">
        <is>
          <t>▼ SCR-030</t>
        </is>
      </c>
      <c r="B44" s="3" t="inlineStr">
        <is>
          <t>매출 조회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outlineLevel="1">
      <c r="A45" s="2" t="inlineStr">
        <is>
          <t>UI-038</t>
        </is>
      </c>
      <c r="B45" s="2" t="inlineStr">
        <is>
          <t>SCR-030</t>
        </is>
      </c>
      <c r="C45" s="2" t="inlineStr">
        <is>
          <t>날짜 범위 선택</t>
        </is>
      </c>
      <c r="D45" s="2" t="inlineStr">
        <is>
          <t>Input</t>
        </is>
      </c>
      <c r="E45" s="2" t="inlineStr">
        <is>
          <t>시작일~종료일 범위 선택</t>
        </is>
      </c>
      <c r="F45" s="2" t="inlineStr">
        <is>
          <t>DateRangePicker, 프리셋(오늘/이번주/이번달)</t>
        </is>
      </c>
      <c r="G45" s="2" t="inlineStr">
        <is>
          <t>FN-010</t>
        </is>
      </c>
      <c r="H45" s="2" t="inlineStr">
        <is>
          <t>API-015</t>
        </is>
      </c>
      <c r="I45" s="2" t="inlineStr">
        <is>
          <t>DateRangePicker 컴포넌트</t>
        </is>
      </c>
      <c r="J45" s="2" t="n"/>
      <c r="K45" s="2" t="inlineStr">
        <is>
          <t>시작일 ≤ 종료일</t>
        </is>
      </c>
      <c r="L45" s="2" t="inlineStr">
        <is>
          <t>올바른 기간을 선택하세요</t>
        </is>
      </c>
      <c r="M45" s="2" t="inlineStr">
        <is>
          <t>aria-label='조회 기간'</t>
        </is>
      </c>
      <c r="N45" s="2" t="inlineStr">
        <is>
          <t>설계중</t>
        </is>
      </c>
      <c r="O45" s="2" t="n"/>
      <c r="P45" s="2" t="inlineStr">
        <is>
          <t>매출 조회</t>
        </is>
      </c>
      <c r="Q45" s="2" t="inlineStr">
        <is>
          <t>매출 조회/통계</t>
        </is>
      </c>
      <c r="R45" s="2" t="inlineStr">
        <is>
          <t>/api/v1/sales</t>
        </is>
      </c>
      <c r="S45" s="2" t="n"/>
    </row>
    <row r="46" outlineLevel="1">
      <c r="A46" s="2" t="inlineStr">
        <is>
          <t>UI-039</t>
        </is>
      </c>
      <c r="B46" s="2" t="inlineStr">
        <is>
          <t>SCR-030</t>
        </is>
      </c>
      <c r="C46" s="2" t="inlineStr">
        <is>
          <t>유형 필터</t>
        </is>
      </c>
      <c r="D46" s="2" t="inlineStr">
        <is>
          <t>Select</t>
        </is>
      </c>
      <c r="E46" s="2" t="inlineStr">
        <is>
          <t>매출 유형(이용권/PT/상품/기타) 필터</t>
        </is>
      </c>
      <c r="F46" s="2" t="inlineStr">
        <is>
          <t>멀티 선택, 즉시 적용</t>
        </is>
      </c>
      <c r="G46" s="2" t="inlineStr">
        <is>
          <t>FN-010</t>
        </is>
      </c>
      <c r="H46" s="2" t="inlineStr">
        <is>
          <t>API-015</t>
        </is>
      </c>
      <c r="I46" s="2" t="inlineStr">
        <is>
          <t>MultiSelect 컴포넌트</t>
        </is>
      </c>
      <c r="J46" s="2" t="n"/>
      <c r="K46" s="2" t="inlineStr">
        <is>
          <t>1개 이상 선택 필수</t>
        </is>
      </c>
      <c r="L46" s="2" t="inlineStr">
        <is>
          <t>유형 필터을(를) 선택하세요</t>
        </is>
      </c>
      <c r="M46" s="2" t="inlineStr">
        <is>
          <t>aria-label='매출 유형'</t>
        </is>
      </c>
      <c r="N46" s="2" t="inlineStr">
        <is>
          <t>설계중</t>
        </is>
      </c>
      <c r="O46" s="2" t="n"/>
      <c r="P46" s="2" t="inlineStr">
        <is>
          <t>매출 조회</t>
        </is>
      </c>
      <c r="Q46" s="2" t="inlineStr">
        <is>
          <t>매출 조회/통계</t>
        </is>
      </c>
      <c r="R46" s="2" t="inlineStr">
        <is>
          <t>/api/v1/sales</t>
        </is>
      </c>
      <c r="S46" s="2" t="n"/>
    </row>
    <row r="47" outlineLevel="1">
      <c r="A47" s="2" t="inlineStr">
        <is>
          <t>UI-040</t>
        </is>
      </c>
      <c r="B47" s="2" t="inlineStr">
        <is>
          <t>SCR-030</t>
        </is>
      </c>
      <c r="C47" s="2" t="inlineStr">
        <is>
          <t>상태 필터</t>
        </is>
      </c>
      <c r="D47" s="2" t="inlineStr">
        <is>
          <t>Select</t>
        </is>
      </c>
      <c r="E47" s="2" t="inlineStr">
        <is>
          <t>결제 상태(완료/환불/미납) 필터</t>
        </is>
      </c>
      <c r="F47" s="2" t="inlineStr">
        <is>
          <t>멀티 선택, 즉시 적용</t>
        </is>
      </c>
      <c r="G47" s="2" t="inlineStr">
        <is>
          <t>FN-010</t>
        </is>
      </c>
      <c r="H47" s="2" t="inlineStr">
        <is>
          <t>API-015</t>
        </is>
      </c>
      <c r="I47" s="2" t="inlineStr">
        <is>
          <t>MultiSelect 컴포넌트</t>
        </is>
      </c>
      <c r="J47" s="2" t="n"/>
      <c r="K47" s="2" t="inlineStr">
        <is>
          <t>1개 이상 선택 필수</t>
        </is>
      </c>
      <c r="L47" s="2" t="inlineStr">
        <is>
          <t>상태 필터을(를) 선택하세요</t>
        </is>
      </c>
      <c r="M47" s="2" t="inlineStr">
        <is>
          <t>aria-label='결제 상태'</t>
        </is>
      </c>
      <c r="N47" s="2" t="inlineStr">
        <is>
          <t>설계중</t>
        </is>
      </c>
      <c r="O47" s="2" t="n"/>
      <c r="P47" s="2" t="inlineStr">
        <is>
          <t>매출 조회</t>
        </is>
      </c>
      <c r="Q47" s="2" t="inlineStr">
        <is>
          <t>매출 조회/통계</t>
        </is>
      </c>
      <c r="R47" s="2" t="inlineStr">
        <is>
          <t>/api/v1/sales</t>
        </is>
      </c>
      <c r="S47" s="2" t="n"/>
    </row>
    <row r="48" outlineLevel="1">
      <c r="A48" s="2" t="inlineStr">
        <is>
          <t>UI-041</t>
        </is>
      </c>
      <c r="B48" s="2" t="inlineStr">
        <is>
          <t>SCR-030</t>
        </is>
      </c>
      <c r="C48" s="2" t="inlineStr">
        <is>
          <t>검색바</t>
        </is>
      </c>
      <c r="D48" s="2" t="inlineStr">
        <is>
          <t>Input</t>
        </is>
      </c>
      <c r="E48" s="2" t="inlineStr">
        <is>
          <t>구매자/상품명 검색</t>
        </is>
      </c>
      <c r="F48" s="2" t="inlineStr">
        <is>
          <t>실시간 검색 (debounce)</t>
        </is>
      </c>
      <c r="G48" s="2" t="inlineStr">
        <is>
          <t>FN-010</t>
        </is>
      </c>
      <c r="H48" s="2" t="inlineStr">
        <is>
          <t>API-015</t>
        </is>
      </c>
      <c r="I48" s="2" t="inlineStr">
        <is>
          <t>SearchInput</t>
        </is>
      </c>
      <c r="J48" s="2" t="n"/>
      <c r="K48" s="2" t="inlineStr">
        <is>
          <t>최소 1자 이상</t>
        </is>
      </c>
      <c r="L48" s="2" t="inlineStr">
        <is>
          <t>검색어를 입력하세요</t>
        </is>
      </c>
      <c r="M48" s="2" t="inlineStr">
        <is>
          <t>aria-label='매출 검색'</t>
        </is>
      </c>
      <c r="N48" s="2" t="inlineStr">
        <is>
          <t>설계중</t>
        </is>
      </c>
      <c r="O48" s="2" t="n"/>
      <c r="P48" s="2" t="inlineStr">
        <is>
          <t>매출 조회</t>
        </is>
      </c>
      <c r="Q48" s="2" t="inlineStr">
        <is>
          <t>매출 조회/통계</t>
        </is>
      </c>
      <c r="R48" s="2" t="inlineStr">
        <is>
          <t>/api/v1/sales</t>
        </is>
      </c>
      <c r="S48" s="2" t="n"/>
    </row>
    <row r="49" outlineLevel="1">
      <c r="A49" s="2" t="inlineStr">
        <is>
          <t>UI-042</t>
        </is>
      </c>
      <c r="B49" s="2" t="inlineStr">
        <is>
          <t>SCR-030</t>
        </is>
      </c>
      <c r="C49" s="2" t="inlineStr">
        <is>
          <t>매출 테이블</t>
        </is>
      </c>
      <c r="D49" s="2" t="inlineStr">
        <is>
          <t>List</t>
        </is>
      </c>
      <c r="E49" s="2" t="inlineStr">
        <is>
          <t>매출 내역 데이터 테이블</t>
        </is>
      </c>
      <c r="F49" s="2" t="inlineStr">
        <is>
          <t>행 클릭 시 상세 모달, 정렬, 페이지네이션</t>
        </is>
      </c>
      <c r="G49" s="2" t="inlineStr">
        <is>
          <t>FN-010</t>
        </is>
      </c>
      <c r="H49" s="2" t="inlineStr">
        <is>
          <t>API-015</t>
        </is>
      </c>
      <c r="I49" s="2" t="inlineStr">
        <is>
          <t>DataTable 컴포넌트</t>
        </is>
      </c>
      <c r="J49" s="2" t="n"/>
      <c r="K49" s="2" t="n"/>
      <c r="L49" s="2" t="n"/>
      <c r="M49" s="2" t="inlineStr">
        <is>
          <t>aria-label='매출 목록'</t>
        </is>
      </c>
      <c r="N49" s="2" t="inlineStr">
        <is>
          <t>설계중</t>
        </is>
      </c>
      <c r="O49" s="2" t="n"/>
      <c r="P49" s="2" t="inlineStr">
        <is>
          <t>매출 조회</t>
        </is>
      </c>
      <c r="Q49" s="2" t="inlineStr">
        <is>
          <t>매출 조회/통계</t>
        </is>
      </c>
      <c r="R49" s="2" t="inlineStr">
        <is>
          <t>/api/v1/sales</t>
        </is>
      </c>
      <c r="S49" s="2" t="n"/>
    </row>
    <row r="50" outlineLevel="1">
      <c r="A50" s="2" t="inlineStr">
        <is>
          <t>UI-043</t>
        </is>
      </c>
      <c r="B50" s="2" t="inlineStr">
        <is>
          <t>SCR-030</t>
        </is>
      </c>
      <c r="C50" s="2" t="inlineStr">
        <is>
          <t>총매출 요약</t>
        </is>
      </c>
      <c r="D50" s="2" t="inlineStr">
        <is>
          <t>Card</t>
        </is>
      </c>
      <c r="E50" s="2" t="inlineStr">
        <is>
          <t>총매출/현금/카드/마일리지 요약 카드</t>
        </is>
      </c>
      <c r="F50" s="2" t="inlineStr">
        <is>
          <t>필터 변경 시 자동 갱신</t>
        </is>
      </c>
      <c r="G50" s="2" t="inlineStr">
        <is>
          <t>FN-010</t>
        </is>
      </c>
      <c r="H50" s="2" t="inlineStr">
        <is>
          <t>API-017</t>
        </is>
      </c>
      <c r="I50" s="2" t="inlineStr">
        <is>
          <t>요약 Card 4개</t>
        </is>
      </c>
      <c r="J50" s="2" t="n"/>
      <c r="K50" s="2" t="n"/>
      <c r="L50" s="2" t="n"/>
      <c r="M50" s="2" t="inlineStr">
        <is>
          <t>aria-label='매출 요약'</t>
        </is>
      </c>
      <c r="N50" s="2" t="inlineStr">
        <is>
          <t>설계중</t>
        </is>
      </c>
      <c r="O50" s="2" t="n"/>
      <c r="P50" s="2" t="inlineStr">
        <is>
          <t>매출 조회</t>
        </is>
      </c>
      <c r="Q50" s="2" t="inlineStr">
        <is>
          <t>매출 조회/통계</t>
        </is>
      </c>
      <c r="R50" s="2" t="inlineStr">
        <is>
          <t>/api/v1/sales/stats/summary</t>
        </is>
      </c>
      <c r="S50" s="2" t="n"/>
    </row>
    <row r="51" outlineLevel="1">
      <c r="A51" s="2" t="inlineStr">
        <is>
          <t>UI-044</t>
        </is>
      </c>
      <c r="B51" s="2" t="inlineStr">
        <is>
          <t>SCR-030</t>
        </is>
      </c>
      <c r="C51" s="2" t="inlineStr">
        <is>
          <t>엑셀 다운로드</t>
        </is>
      </c>
      <c r="D51" s="2" t="inlineStr">
        <is>
          <t>Button</t>
        </is>
      </c>
      <c r="E51" s="2" t="inlineStr">
        <is>
          <t>매출 데이터 엑셀 다운로드</t>
        </is>
      </c>
      <c r="F51" s="2" t="inlineStr">
        <is>
          <t>클릭 시 xlsx 다운로드</t>
        </is>
      </c>
      <c r="G51" s="2" t="inlineStr">
        <is>
          <t>FN-010</t>
        </is>
      </c>
      <c r="H51" s="2" t="inlineStr">
        <is>
          <t>API-015</t>
        </is>
      </c>
      <c r="I51" s="2" t="inlineStr">
        <is>
          <t>다운로드 버튼</t>
        </is>
      </c>
      <c r="J51" s="2" t="n"/>
      <c r="K51" s="2" t="n"/>
      <c r="L51" s="2" t="n"/>
      <c r="M51" s="2" t="inlineStr">
        <is>
          <t>aria-label='엑셀 다운로드'</t>
        </is>
      </c>
      <c r="N51" s="2" t="inlineStr">
        <is>
          <t>설계중</t>
        </is>
      </c>
      <c r="O51" s="2" t="n"/>
      <c r="P51" s="2" t="inlineStr">
        <is>
          <t>매출 조회</t>
        </is>
      </c>
      <c r="Q51" s="2" t="inlineStr">
        <is>
          <t>매출 조회/통계</t>
        </is>
      </c>
      <c r="R51" s="2" t="inlineStr">
        <is>
          <t>/api/v1/sales</t>
        </is>
      </c>
      <c r="S51" s="2" t="n"/>
    </row>
    <row r="52">
      <c r="A52" s="3" t="inlineStr">
        <is>
          <t>▼ SCR-031</t>
        </is>
      </c>
      <c r="B52" s="3" t="inlineStr">
        <is>
          <t>POS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outlineLevel="1">
      <c r="A53" s="2" t="inlineStr">
        <is>
          <t>UI-045</t>
        </is>
      </c>
      <c r="B53" s="2" t="inlineStr">
        <is>
          <t>SCR-031</t>
        </is>
      </c>
      <c r="C53" s="2" t="inlineStr">
        <is>
          <t>카테고리 탭</t>
        </is>
      </c>
      <c r="D53" s="2" t="inlineStr">
        <is>
          <t>Tab</t>
        </is>
      </c>
      <c r="E53" s="2" t="inlineStr">
        <is>
          <t>상품 카테고리 탭 (이용권/PT/GX/기타)</t>
        </is>
      </c>
      <c r="F53" s="2" t="inlineStr">
        <is>
          <t>탭 전환 시 상품 그리드 갱신</t>
        </is>
      </c>
      <c r="G53" s="2" t="inlineStr">
        <is>
          <t>FN-011</t>
        </is>
      </c>
      <c r="H53" s="2" t="inlineStr">
        <is>
          <t>API-018</t>
        </is>
      </c>
      <c r="I53" s="2" t="inlineStr">
        <is>
          <t>Tab 컴포넌트</t>
        </is>
      </c>
      <c r="J53" s="2" t="n"/>
      <c r="K53" s="2" t="n"/>
      <c r="L53" s="2" t="n"/>
      <c r="M53" s="2" t="inlineStr">
        <is>
          <t>aria-label='상품 카테고리'</t>
        </is>
      </c>
      <c r="N53" s="2" t="inlineStr">
        <is>
          <t>설계중</t>
        </is>
      </c>
      <c r="O53" s="2" t="n"/>
      <c r="P53" s="2" t="inlineStr">
        <is>
          <t>POS</t>
        </is>
      </c>
      <c r="Q53" s="2" t="inlineStr">
        <is>
          <t>POS 상품 선택/결제</t>
        </is>
      </c>
      <c r="R53" s="2" t="inlineStr">
        <is>
          <t>/api/v1/products</t>
        </is>
      </c>
      <c r="S53" s="2" t="n"/>
    </row>
    <row r="54" outlineLevel="1">
      <c r="A54" s="2" t="inlineStr">
        <is>
          <t>UI-046</t>
        </is>
      </c>
      <c r="B54" s="2" t="inlineStr">
        <is>
          <t>SCR-031</t>
        </is>
      </c>
      <c r="C54" s="2" t="inlineStr">
        <is>
          <t>상품 그리드</t>
        </is>
      </c>
      <c r="D54" s="2" t="inlineStr">
        <is>
          <t>List</t>
        </is>
      </c>
      <c r="E54" s="2" t="inlineStr">
        <is>
          <t>카테고리별 상품 카드 그리드</t>
        </is>
      </c>
      <c r="F54" s="2" t="inlineStr">
        <is>
          <t>카드 클릭 시 장바구니 추가</t>
        </is>
      </c>
      <c r="G54" s="2" t="inlineStr">
        <is>
          <t>FN-011</t>
        </is>
      </c>
      <c r="H54" s="2" t="inlineStr">
        <is>
          <t>API-018</t>
        </is>
      </c>
      <c r="I54" s="2" t="inlineStr">
        <is>
          <t>CSS Grid + Card</t>
        </is>
      </c>
      <c r="J54" s="2" t="n"/>
      <c r="K54" s="2" t="n"/>
      <c r="L54" s="2" t="n"/>
      <c r="M54" s="2" t="inlineStr">
        <is>
          <t>aria-label='상품 목록'</t>
        </is>
      </c>
      <c r="N54" s="2" t="inlineStr">
        <is>
          <t>설계중</t>
        </is>
      </c>
      <c r="O54" s="2" t="n"/>
      <c r="P54" s="2" t="inlineStr">
        <is>
          <t>POS</t>
        </is>
      </c>
      <c r="Q54" s="2" t="inlineStr">
        <is>
          <t>POS 상품 선택/결제</t>
        </is>
      </c>
      <c r="R54" s="2" t="inlineStr">
        <is>
          <t>/api/v1/products</t>
        </is>
      </c>
      <c r="S54" s="2" t="n"/>
    </row>
    <row r="55" outlineLevel="1">
      <c r="A55" s="2" t="inlineStr">
        <is>
          <t>UI-047</t>
        </is>
      </c>
      <c r="B55" s="2" t="inlineStr">
        <is>
          <t>SCR-031</t>
        </is>
      </c>
      <c r="C55" s="2" t="inlineStr">
        <is>
          <t>장바구니</t>
        </is>
      </c>
      <c r="D55" s="2" t="inlineStr">
        <is>
          <t>List</t>
        </is>
      </c>
      <c r="E55" s="2" t="inlineStr">
        <is>
          <t>선택한 상품 목록 + 합계</t>
        </is>
      </c>
      <c r="F55" s="2" t="inlineStr">
        <is>
          <t>수량 조절, 삭제, 합계 자동 계산</t>
        </is>
      </c>
      <c r="G55" s="2" t="inlineStr">
        <is>
          <t>FN-011</t>
        </is>
      </c>
      <c r="H55" s="2" t="n"/>
      <c r="I55" s="2" t="inlineStr">
        <is>
          <t>장바구니 컴포넌트</t>
        </is>
      </c>
      <c r="J55" s="2" t="n"/>
      <c r="K55" s="2" t="n"/>
      <c r="L55" s="2" t="n"/>
      <c r="M55" s="2" t="inlineStr">
        <is>
          <t>aria-label='장바구니'</t>
        </is>
      </c>
      <c r="N55" s="2" t="inlineStr">
        <is>
          <t>설계중</t>
        </is>
      </c>
      <c r="O55" s="2" t="n"/>
      <c r="P55" s="2" t="inlineStr">
        <is>
          <t>POS</t>
        </is>
      </c>
      <c r="Q55" s="2" t="inlineStr">
        <is>
          <t>POS 상품 선택/결제</t>
        </is>
      </c>
      <c r="R55" s="2">
        <f>IFERROR(VLOOKUP(H55,API명세서!A:D,4,FALSE()),"")</f>
        <v/>
      </c>
      <c r="S55" s="2" t="n"/>
    </row>
    <row r="56" outlineLevel="1">
      <c r="A56" s="2" t="inlineStr">
        <is>
          <t>UI-048</t>
        </is>
      </c>
      <c r="B56" s="2" t="inlineStr">
        <is>
          <t>SCR-031</t>
        </is>
      </c>
      <c r="C56" s="2" t="inlineStr">
        <is>
          <t>결제 버튼</t>
        </is>
      </c>
      <c r="D56" s="2" t="inlineStr">
        <is>
          <t>Button</t>
        </is>
      </c>
      <c r="E56" s="2" t="inlineStr">
        <is>
          <t>결제 화면(SCR-032) 이동</t>
        </is>
      </c>
      <c r="F56" s="2" t="inlineStr">
        <is>
          <t>장바구니 1개 이상 시 활성화</t>
        </is>
      </c>
      <c r="G56" s="2" t="inlineStr">
        <is>
          <t>FN-011</t>
        </is>
      </c>
      <c r="H56" s="2" t="n"/>
      <c r="I56" s="2" t="inlineStr">
        <is>
          <t>Primary Button</t>
        </is>
      </c>
      <c r="J56" s="2" t="n"/>
      <c r="K56" s="2" t="inlineStr">
        <is>
          <t>장바구니 비어있으면 비활성</t>
        </is>
      </c>
      <c r="L56" s="2" t="inlineStr">
        <is>
          <t>상품을 선택해주세요</t>
        </is>
      </c>
      <c r="M56" s="2" t="inlineStr">
        <is>
          <t>aria-label='결제하기'</t>
        </is>
      </c>
      <c r="N56" s="2" t="inlineStr">
        <is>
          <t>설계중</t>
        </is>
      </c>
      <c r="O56" s="2" t="n"/>
      <c r="P56" s="2" t="inlineStr">
        <is>
          <t>POS</t>
        </is>
      </c>
      <c r="Q56" s="2" t="inlineStr">
        <is>
          <t>POS 상품 선택/결제</t>
        </is>
      </c>
      <c r="R56" s="2">
        <f>IFERROR(VLOOKUP(H56,API명세서!A:D,4,FALSE()),"")</f>
        <v/>
      </c>
      <c r="S56" s="2" t="n"/>
    </row>
    <row r="57">
      <c r="A57" s="3" t="inlineStr">
        <is>
          <t>▼ SCR-032</t>
        </is>
      </c>
      <c r="B57" s="3" t="inlineStr">
        <is>
          <t>POS 결제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outlineLevel="1">
      <c r="A58" s="2" t="inlineStr">
        <is>
          <t>UI-049</t>
        </is>
      </c>
      <c r="B58" s="2" t="inlineStr">
        <is>
          <t>SCR-032</t>
        </is>
      </c>
      <c r="C58" s="2" t="inlineStr">
        <is>
          <t>결제 요약</t>
        </is>
      </c>
      <c r="D58" s="2" t="inlineStr">
        <is>
          <t>Card</t>
        </is>
      </c>
      <c r="E58" s="2" t="inlineStr">
        <is>
          <t>결제 대상 상품 요약 및 총액</t>
        </is>
      </c>
      <c r="F58" s="2" t="inlineStr">
        <is>
          <t>상품명, 수량, 금액 표시</t>
        </is>
      </c>
      <c r="G58" s="2" t="inlineStr">
        <is>
          <t>FN-012</t>
        </is>
      </c>
      <c r="H58" s="2" t="inlineStr">
        <is>
          <t>API-016</t>
        </is>
      </c>
      <c r="I58" s="2" t="inlineStr">
        <is>
          <t>요약 Card</t>
        </is>
      </c>
      <c r="J58" s="2" t="n"/>
      <c r="K58" s="2" t="n"/>
      <c r="L58" s="2" t="n"/>
      <c r="M58" s="2" t="inlineStr">
        <is>
          <t>aria-label='결제 요약'</t>
        </is>
      </c>
      <c r="N58" s="2" t="inlineStr">
        <is>
          <t>설계중</t>
        </is>
      </c>
      <c r="O58" s="2" t="n"/>
      <c r="P58" s="2" t="inlineStr">
        <is>
          <t>POS 결제</t>
        </is>
      </c>
      <c r="Q58" s="2" t="inlineStr">
        <is>
          <t>POS 결제 처리</t>
        </is>
      </c>
      <c r="R58" s="2" t="inlineStr">
        <is>
          <t>/api/v1/sales</t>
        </is>
      </c>
      <c r="S58" s="2" t="n"/>
    </row>
    <row r="59" outlineLevel="1">
      <c r="A59" s="2" t="inlineStr">
        <is>
          <t>UI-050</t>
        </is>
      </c>
      <c r="B59" s="2" t="inlineStr">
        <is>
          <t>SCR-032</t>
        </is>
      </c>
      <c r="C59" s="2" t="inlineStr">
        <is>
          <t>결제수단 선택</t>
        </is>
      </c>
      <c r="D59" s="2" t="inlineStr">
        <is>
          <t>Radio</t>
        </is>
      </c>
      <c r="E59" s="2" t="inlineStr">
        <is>
          <t>현금/카드/마일리지/복합 선택</t>
        </is>
      </c>
      <c r="F59" s="2" t="inlineStr">
        <is>
          <t>복합 선택 시 금액 분배 입력 필드 표시</t>
        </is>
      </c>
      <c r="G59" s="2" t="inlineStr">
        <is>
          <t>FN-012</t>
        </is>
      </c>
      <c r="H59" s="2" t="inlineStr">
        <is>
          <t>API-016</t>
        </is>
      </c>
      <c r="I59" s="2" t="inlineStr">
        <is>
          <t>RadioGroup + 조건부 입력</t>
        </is>
      </c>
      <c r="J59" s="2" t="n"/>
      <c r="K59" s="2" t="inlineStr">
        <is>
          <t>필수 선택</t>
        </is>
      </c>
      <c r="L59" s="2" t="inlineStr">
        <is>
          <t>결제수단 선택을(를) 선택하세요</t>
        </is>
      </c>
      <c r="M59" s="2" t="inlineStr">
        <is>
          <t>role='radiogroup'</t>
        </is>
      </c>
      <c r="N59" s="2" t="inlineStr">
        <is>
          <t>설계중</t>
        </is>
      </c>
      <c r="O59" s="2" t="n"/>
      <c r="P59" s="2" t="inlineStr">
        <is>
          <t>POS 결제</t>
        </is>
      </c>
      <c r="Q59" s="2" t="inlineStr">
        <is>
          <t>POS 결제 처리</t>
        </is>
      </c>
      <c r="R59" s="2" t="inlineStr">
        <is>
          <t>/api/v1/sales</t>
        </is>
      </c>
      <c r="S59" s="2" t="n"/>
    </row>
    <row r="60" outlineLevel="1">
      <c r="A60" s="2" t="inlineStr">
        <is>
          <t>UI-051</t>
        </is>
      </c>
      <c r="B60" s="2" t="inlineStr">
        <is>
          <t>SCR-032</t>
        </is>
      </c>
      <c r="C60" s="2" t="inlineStr">
        <is>
          <t>회원 검색</t>
        </is>
      </c>
      <c r="D60" s="2" t="inlineStr">
        <is>
          <t>Input</t>
        </is>
      </c>
      <c r="E60" s="2" t="inlineStr">
        <is>
          <t>결제 대상 회원 검색</t>
        </is>
      </c>
      <c r="F60" s="2" t="inlineStr">
        <is>
          <t>회원 선택 시 마일리지 잔액 표시</t>
        </is>
      </c>
      <c r="G60" s="2" t="inlineStr">
        <is>
          <t>FN-012</t>
        </is>
      </c>
      <c r="H60" s="2" t="inlineStr">
        <is>
          <t>API-007</t>
        </is>
      </c>
      <c r="I60" s="2" t="inlineStr">
        <is>
          <t>AutoComplete 컴포넌트</t>
        </is>
      </c>
      <c r="J60" s="2" t="n"/>
      <c r="K60" s="2" t="inlineStr">
        <is>
          <t>최소 1자 이상</t>
        </is>
      </c>
      <c r="L60" s="2" t="inlineStr">
        <is>
          <t>검색어를 입력하세요</t>
        </is>
      </c>
      <c r="M60" s="2" t="inlineStr">
        <is>
          <t>aria-label='회원 검색'</t>
        </is>
      </c>
      <c r="N60" s="2" t="inlineStr">
        <is>
          <t>설계중</t>
        </is>
      </c>
      <c r="O60" s="2" t="n"/>
      <c r="P60" s="2" t="inlineStr">
        <is>
          <t>POS 결제</t>
        </is>
      </c>
      <c r="Q60" s="2" t="inlineStr">
        <is>
          <t>POS 결제 처리</t>
        </is>
      </c>
      <c r="R60" s="2" t="inlineStr">
        <is>
          <t>/api/v1/members</t>
        </is>
      </c>
      <c r="S60" s="2" t="n"/>
    </row>
    <row r="61" outlineLevel="1">
      <c r="A61" s="2" t="inlineStr">
        <is>
          <t>UI-052</t>
        </is>
      </c>
      <c r="B61" s="2" t="inlineStr">
        <is>
          <t>SCR-032</t>
        </is>
      </c>
      <c r="C61" s="2" t="inlineStr">
        <is>
          <t>결제 확인 버튼</t>
        </is>
      </c>
      <c r="D61" s="2" t="inlineStr">
        <is>
          <t>Button</t>
        </is>
      </c>
      <c r="E61" s="2" t="inlineStr">
        <is>
          <t>결제 실행</t>
        </is>
      </c>
      <c r="F61" s="2" t="inlineStr">
        <is>
          <t>결제 확인 모달 → API 호출 → 영수증</t>
        </is>
      </c>
      <c r="G61" s="2" t="inlineStr">
        <is>
          <t>FN-012</t>
        </is>
      </c>
      <c r="H61" s="2" t="inlineStr">
        <is>
          <t>API-016</t>
        </is>
      </c>
      <c r="I61" s="2" t="inlineStr">
        <is>
          <t>Primary Button + 확인 모달</t>
        </is>
      </c>
      <c r="J61" s="2" t="n"/>
      <c r="K61" s="2" t="inlineStr">
        <is>
          <t>결제수단/금액 검증</t>
        </is>
      </c>
      <c r="L61" s="2" t="inlineStr">
        <is>
          <t>결제에 실패했습니다</t>
        </is>
      </c>
      <c r="M61" s="2" t="inlineStr">
        <is>
          <t>aria-label='결제 확인'</t>
        </is>
      </c>
      <c r="N61" s="2" t="inlineStr">
        <is>
          <t>설계중</t>
        </is>
      </c>
      <c r="O61" s="2" t="n"/>
      <c r="P61" s="2" t="inlineStr">
        <is>
          <t>POS 결제</t>
        </is>
      </c>
      <c r="Q61" s="2" t="inlineStr">
        <is>
          <t>POS 결제 처리</t>
        </is>
      </c>
      <c r="R61" s="2" t="inlineStr">
        <is>
          <t>/api/v1/sales</t>
        </is>
      </c>
      <c r="S61" s="2" t="n"/>
    </row>
    <row r="62">
      <c r="A62" s="3" t="inlineStr">
        <is>
          <t>▼ SCR-050</t>
        </is>
      </c>
      <c r="B62" s="3" t="inlineStr">
        <is>
          <t>락커 현황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 outlineLevel="1">
      <c r="A63" s="2" t="inlineStr">
        <is>
          <t>UI-053</t>
        </is>
      </c>
      <c r="B63" s="2" t="inlineStr">
        <is>
          <t>SCR-050</t>
        </is>
      </c>
      <c r="C63" s="2" t="inlineStr">
        <is>
          <t>구역 탭</t>
        </is>
      </c>
      <c r="D63" s="2" t="inlineStr">
        <is>
          <t>Tab</t>
        </is>
      </c>
      <c r="E63" s="2" t="inlineStr">
        <is>
          <t>락커 구역(A/B/C...) 탭</t>
        </is>
      </c>
      <c r="F63" s="2" t="inlineStr">
        <is>
          <t>탭 전환 시 해당 구역 그리드 표시</t>
        </is>
      </c>
      <c r="G63" s="2" t="inlineStr">
        <is>
          <t>FN-015</t>
        </is>
      </c>
      <c r="H63" s="2" t="inlineStr">
        <is>
          <t>API-020</t>
        </is>
      </c>
      <c r="I63" s="2" t="inlineStr">
        <is>
          <t>Tab 컴포넌트</t>
        </is>
      </c>
      <c r="J63" s="2" t="n"/>
      <c r="K63" s="2" t="n"/>
      <c r="L63" s="2" t="n"/>
      <c r="M63" s="2" t="inlineStr">
        <is>
          <t>aria-label='락커 구역'</t>
        </is>
      </c>
      <c r="N63" s="2" t="inlineStr">
        <is>
          <t>설계중</t>
        </is>
      </c>
      <c r="O63" s="2" t="n"/>
      <c r="P63" s="2" t="inlineStr">
        <is>
          <t>락커 현황</t>
        </is>
      </c>
      <c r="Q63" s="2" t="inlineStr">
        <is>
          <t>락커 현황 조회</t>
        </is>
      </c>
      <c r="R63" s="2" t="inlineStr">
        <is>
          <t>/api/v1/lockers</t>
        </is>
      </c>
      <c r="S63" s="2" t="n"/>
    </row>
    <row r="64" outlineLevel="1">
      <c r="A64" s="2" t="inlineStr">
        <is>
          <t>UI-054</t>
        </is>
      </c>
      <c r="B64" s="2" t="inlineStr">
        <is>
          <t>SCR-050</t>
        </is>
      </c>
      <c r="C64" s="2" t="inlineStr">
        <is>
          <t>락커 그리드</t>
        </is>
      </c>
      <c r="D64" s="2" t="inlineStr">
        <is>
          <t>List</t>
        </is>
      </c>
      <c r="E64" s="2" t="inlineStr">
        <is>
          <t>락커 번호별 색상 그리드</t>
        </is>
      </c>
      <c r="F64" s="2" t="inlineStr">
        <is>
          <t>사용중(파랑)/빈(회색)/만료임박(주황)/고장(빨강)</t>
        </is>
      </c>
      <c r="G64" s="2" t="inlineStr">
        <is>
          <t>FN-015</t>
        </is>
      </c>
      <c r="H64" s="2" t="inlineStr">
        <is>
          <t>API-020</t>
        </is>
      </c>
      <c r="I64" s="2" t="inlineStr">
        <is>
          <t>CSS Grid + 색상 매핑</t>
        </is>
      </c>
      <c r="J64" s="2" t="n"/>
      <c r="K64" s="2" t="n"/>
      <c r="L64" s="2" t="n"/>
      <c r="M64" s="2" t="inlineStr">
        <is>
          <t>색상+패턴으로 상태 구분</t>
        </is>
      </c>
      <c r="N64" s="2" t="inlineStr">
        <is>
          <t>설계중</t>
        </is>
      </c>
      <c r="O64" s="2" t="n"/>
      <c r="P64" s="2" t="inlineStr">
        <is>
          <t>락커 현황</t>
        </is>
      </c>
      <c r="Q64" s="2" t="inlineStr">
        <is>
          <t>락커 현황 조회</t>
        </is>
      </c>
      <c r="R64" s="2" t="inlineStr">
        <is>
          <t>/api/v1/lockers</t>
        </is>
      </c>
      <c r="S64" s="2" t="n"/>
    </row>
    <row r="65" outlineLevel="1">
      <c r="A65" s="2" t="inlineStr">
        <is>
          <t>UI-055</t>
        </is>
      </c>
      <c r="B65" s="2" t="inlineStr">
        <is>
          <t>SCR-050</t>
        </is>
      </c>
      <c r="C65" s="2" t="inlineStr">
        <is>
          <t>범례</t>
        </is>
      </c>
      <c r="D65" s="2" t="inlineStr">
        <is>
          <t>Label</t>
        </is>
      </c>
      <c r="E65" s="2" t="inlineStr">
        <is>
          <t>락커 상태별 색상 범례</t>
        </is>
      </c>
      <c r="F65" s="2" t="inlineStr">
        <is>
          <t>4가지 상태 색상 설명</t>
        </is>
      </c>
      <c r="G65" s="2" t="n"/>
      <c r="H65" s="2" t="n"/>
      <c r="I65" s="2" t="inlineStr">
        <is>
          <t>범례 컴포넌트</t>
        </is>
      </c>
      <c r="J65" s="2" t="n"/>
      <c r="K65" s="2" t="n"/>
      <c r="L65" s="2" t="n"/>
      <c r="M65" s="2" t="inlineStr">
        <is>
          <t>aria-label='범례'</t>
        </is>
      </c>
      <c r="N65" s="2" t="inlineStr">
        <is>
          <t>설계중</t>
        </is>
      </c>
      <c r="O65" s="2" t="n"/>
      <c r="P65" s="2" t="inlineStr">
        <is>
          <t>락커 현황</t>
        </is>
      </c>
      <c r="Q65" s="2">
        <f>IFERROR(VLOOKUP(G65,기능명세서!A:B,2,FALSE()),"")</f>
        <v/>
      </c>
      <c r="R65" s="2">
        <f>IFERROR(VLOOKUP(H65,API명세서!A:D,4,FALSE()),"")</f>
        <v/>
      </c>
      <c r="S65" s="2" t="n"/>
    </row>
    <row r="66" outlineLevel="1">
      <c r="A66" s="2" t="inlineStr">
        <is>
          <t>UI-056</t>
        </is>
      </c>
      <c r="B66" s="2" t="inlineStr">
        <is>
          <t>SCR-050</t>
        </is>
      </c>
      <c r="C66" s="2" t="inlineStr">
        <is>
          <t>락커 상세 모달</t>
        </is>
      </c>
      <c r="D66" s="2" t="inlineStr">
        <is>
          <t>Modal</t>
        </is>
      </c>
      <c r="E66" s="2" t="inlineStr">
        <is>
          <t>락커 클릭 시 상세 정보 모달</t>
        </is>
      </c>
      <c r="F66" s="2" t="inlineStr">
        <is>
          <t>배정 회원, 만료일, 이력 표시</t>
        </is>
      </c>
      <c r="G66" s="2" t="inlineStr">
        <is>
          <t>FN-015</t>
        </is>
      </c>
      <c r="H66" s="2" t="inlineStr">
        <is>
          <t>API-020</t>
        </is>
      </c>
      <c r="I66" s="2" t="inlineStr">
        <is>
          <t>Modal 컴포넌트</t>
        </is>
      </c>
      <c r="J66" s="2" t="n"/>
      <c r="K66" s="2" t="n"/>
      <c r="L66" s="2" t="n"/>
      <c r="M66" s="2" t="inlineStr">
        <is>
          <t>aria-modal='true'</t>
        </is>
      </c>
      <c r="N66" s="2" t="inlineStr">
        <is>
          <t>설계중</t>
        </is>
      </c>
      <c r="O66" s="2" t="n"/>
      <c r="P66" s="2" t="inlineStr">
        <is>
          <t>락커 현황</t>
        </is>
      </c>
      <c r="Q66" s="2" t="inlineStr">
        <is>
          <t>락커 현황 조회</t>
        </is>
      </c>
      <c r="R66" s="2" t="inlineStr">
        <is>
          <t>/api/v1/lockers</t>
        </is>
      </c>
      <c r="S66" s="2" t="n"/>
    </row>
    <row r="67">
      <c r="A67" s="3" t="inlineStr">
        <is>
          <t>▼ SCR-060</t>
        </is>
      </c>
      <c r="B67" s="3" t="inlineStr">
        <is>
          <t>직원 목록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 outlineLevel="1">
      <c r="A68" s="2" t="inlineStr">
        <is>
          <t>UI-057</t>
        </is>
      </c>
      <c r="B68" s="2" t="inlineStr">
        <is>
          <t>SCR-060</t>
        </is>
      </c>
      <c r="C68" s="2" t="inlineStr">
        <is>
          <t>검색바</t>
        </is>
      </c>
      <c r="D68" s="2" t="inlineStr">
        <is>
          <t>Input</t>
        </is>
      </c>
      <c r="E68" s="2" t="inlineStr">
        <is>
          <t>직원 이름/연락처 검색</t>
        </is>
      </c>
      <c r="F68" s="2" t="inlineStr">
        <is>
          <t>실시간 검색</t>
        </is>
      </c>
      <c r="G68" s="2" t="inlineStr">
        <is>
          <t>FN-019</t>
        </is>
      </c>
      <c r="H68" s="2" t="inlineStr">
        <is>
          <t>API-022</t>
        </is>
      </c>
      <c r="I68" s="2" t="inlineStr">
        <is>
          <t>SearchInput</t>
        </is>
      </c>
      <c r="J68" s="2" t="n"/>
      <c r="K68" s="2" t="inlineStr">
        <is>
          <t>최소 1자 이상</t>
        </is>
      </c>
      <c r="L68" s="2" t="inlineStr">
        <is>
          <t>검색어를 입력하세요</t>
        </is>
      </c>
      <c r="M68" s="2" t="inlineStr">
        <is>
          <t>aria-label='직원 검색'</t>
        </is>
      </c>
      <c r="N68" s="2" t="inlineStr">
        <is>
          <t>설계중</t>
        </is>
      </c>
      <c r="O68" s="2" t="n"/>
      <c r="P68" s="2" t="inlineStr">
        <is>
          <t>직원 목록</t>
        </is>
      </c>
      <c r="Q68" s="2" t="inlineStr">
        <is>
          <t>직원 목록 조회</t>
        </is>
      </c>
      <c r="R68" s="2" t="inlineStr">
        <is>
          <t>/api/v1/staff</t>
        </is>
      </c>
      <c r="S68" s="2" t="n"/>
    </row>
    <row r="69" outlineLevel="1">
      <c r="A69" s="2" t="inlineStr">
        <is>
          <t>UI-058</t>
        </is>
      </c>
      <c r="B69" s="2" t="inlineStr">
        <is>
          <t>SCR-060</t>
        </is>
      </c>
      <c r="C69" s="2" t="inlineStr">
        <is>
          <t>역할 필터</t>
        </is>
      </c>
      <c r="D69" s="2" t="inlineStr">
        <is>
          <t>Select</t>
        </is>
      </c>
      <c r="E69" s="2" t="inlineStr">
        <is>
          <t>역할(센터장/매니저/FC/스태프) 필터</t>
        </is>
      </c>
      <c r="F69" s="2" t="inlineStr">
        <is>
          <t>단일 선택</t>
        </is>
      </c>
      <c r="G69" s="2" t="inlineStr">
        <is>
          <t>FN-019</t>
        </is>
      </c>
      <c r="H69" s="2" t="inlineStr">
        <is>
          <t>API-022</t>
        </is>
      </c>
      <c r="I69" s="2" t="inlineStr">
        <is>
          <t>Select</t>
        </is>
      </c>
      <c r="J69" s="2" t="n"/>
      <c r="K69" s="2" t="inlineStr">
        <is>
          <t>1개 이상 선택 필수</t>
        </is>
      </c>
      <c r="L69" s="2" t="inlineStr">
        <is>
          <t>역할 필터을(를) 선택하세요</t>
        </is>
      </c>
      <c r="M69" s="2" t="inlineStr">
        <is>
          <t>aria-label='역할 필터'</t>
        </is>
      </c>
      <c r="N69" s="2" t="inlineStr">
        <is>
          <t>설계중</t>
        </is>
      </c>
      <c r="O69" s="2" t="n"/>
      <c r="P69" s="2" t="inlineStr">
        <is>
          <t>직원 목록</t>
        </is>
      </c>
      <c r="Q69" s="2" t="inlineStr">
        <is>
          <t>직원 목록 조회</t>
        </is>
      </c>
      <c r="R69" s="2" t="inlineStr">
        <is>
          <t>/api/v1/staff</t>
        </is>
      </c>
      <c r="S69" s="2" t="n"/>
    </row>
    <row r="70" outlineLevel="1">
      <c r="A70" s="2" t="inlineStr">
        <is>
          <t>UI-059</t>
        </is>
      </c>
      <c r="B70" s="2" t="inlineStr">
        <is>
          <t>SCR-060</t>
        </is>
      </c>
      <c r="C70" s="2" t="inlineStr">
        <is>
          <t>상태 필터</t>
        </is>
      </c>
      <c r="D70" s="2" t="inlineStr">
        <is>
          <t>Select</t>
        </is>
      </c>
      <c r="E70" s="2" t="inlineStr">
        <is>
          <t>재직 상태(재직/휴직/퇴사) 필터</t>
        </is>
      </c>
      <c r="F70" s="2" t="inlineStr">
        <is>
          <t>단일 선택</t>
        </is>
      </c>
      <c r="G70" s="2" t="inlineStr">
        <is>
          <t>FN-019</t>
        </is>
      </c>
      <c r="H70" s="2" t="inlineStr">
        <is>
          <t>API-022</t>
        </is>
      </c>
      <c r="I70" s="2" t="inlineStr">
        <is>
          <t>Select</t>
        </is>
      </c>
      <c r="J70" s="2" t="n"/>
      <c r="K70" s="2" t="inlineStr">
        <is>
          <t>1개 이상 선택 필수</t>
        </is>
      </c>
      <c r="L70" s="2" t="inlineStr">
        <is>
          <t>상태 필터을(를) 선택하세요</t>
        </is>
      </c>
      <c r="M70" s="2" t="inlineStr">
        <is>
          <t>aria-label='상태 필터'</t>
        </is>
      </c>
      <c r="N70" s="2" t="inlineStr">
        <is>
          <t>설계중</t>
        </is>
      </c>
      <c r="O70" s="2" t="n"/>
      <c r="P70" s="2" t="inlineStr">
        <is>
          <t>직원 목록</t>
        </is>
      </c>
      <c r="Q70" s="2" t="inlineStr">
        <is>
          <t>직원 목록 조회</t>
        </is>
      </c>
      <c r="R70" s="2" t="inlineStr">
        <is>
          <t>/api/v1/staff</t>
        </is>
      </c>
      <c r="S70" s="2" t="n"/>
    </row>
    <row r="71" outlineLevel="1">
      <c r="A71" s="2" t="inlineStr">
        <is>
          <t>UI-060</t>
        </is>
      </c>
      <c r="B71" s="2" t="inlineStr">
        <is>
          <t>SCR-060</t>
        </is>
      </c>
      <c r="C71" s="2" t="inlineStr">
        <is>
          <t>직원 테이블</t>
        </is>
      </c>
      <c r="D71" s="2" t="inlineStr">
        <is>
          <t>List</t>
        </is>
      </c>
      <c r="E71" s="2" t="inlineStr">
        <is>
          <t>직원 목록 데이터 테이블</t>
        </is>
      </c>
      <c r="F71" s="2" t="inlineStr">
        <is>
          <t>행 클릭 시 상세 모달</t>
        </is>
      </c>
      <c r="G71" s="2" t="inlineStr">
        <is>
          <t>FN-019</t>
        </is>
      </c>
      <c r="H71" s="2" t="inlineStr">
        <is>
          <t>API-022</t>
        </is>
      </c>
      <c r="I71" s="2" t="inlineStr">
        <is>
          <t>DataTable</t>
        </is>
      </c>
      <c r="J71" s="2" t="n"/>
      <c r="K71" s="2" t="n"/>
      <c r="L71" s="2" t="n"/>
      <c r="M71" s="2" t="inlineStr">
        <is>
          <t>aria-label='직원 목록'</t>
        </is>
      </c>
      <c r="N71" s="2" t="inlineStr">
        <is>
          <t>설계중</t>
        </is>
      </c>
      <c r="O71" s="2" t="n"/>
      <c r="P71" s="2" t="inlineStr">
        <is>
          <t>직원 목록</t>
        </is>
      </c>
      <c r="Q71" s="2" t="inlineStr">
        <is>
          <t>직원 목록 조회</t>
        </is>
      </c>
      <c r="R71" s="2" t="inlineStr">
        <is>
          <t>/api/v1/staff</t>
        </is>
      </c>
      <c r="S71" s="2" t="n"/>
    </row>
    <row r="72" outlineLevel="1">
      <c r="A72" s="2" t="inlineStr">
        <is>
          <t>UI-061</t>
        </is>
      </c>
      <c r="B72" s="2" t="inlineStr">
        <is>
          <t>SCR-060</t>
        </is>
      </c>
      <c r="C72" s="2" t="inlineStr">
        <is>
          <t>직원등록 버튼</t>
        </is>
      </c>
      <c r="D72" s="2" t="inlineStr">
        <is>
          <t>Button</t>
        </is>
      </c>
      <c r="E72" s="2" t="inlineStr">
        <is>
          <t>SCR-061 이동</t>
        </is>
      </c>
      <c r="F72" s="2" t="inlineStr">
        <is>
          <t>클릭 시 등록 페이지 이동</t>
        </is>
      </c>
      <c r="G72" s="2" t="inlineStr">
        <is>
          <t>FN-020</t>
        </is>
      </c>
      <c r="H72" s="2" t="n"/>
      <c r="I72" s="2" t="inlineStr">
        <is>
          <t>Primary Button</t>
        </is>
      </c>
      <c r="J72" s="2" t="n"/>
      <c r="K72" s="2" t="n"/>
      <c r="L72" s="2" t="n"/>
      <c r="M72" s="2" t="inlineStr">
        <is>
          <t>aria-label='직원 등록'</t>
        </is>
      </c>
      <c r="N72" s="2" t="inlineStr">
        <is>
          <t>설계중</t>
        </is>
      </c>
      <c r="O72" s="2" t="n"/>
      <c r="P72" s="2" t="inlineStr">
        <is>
          <t>직원 목록</t>
        </is>
      </c>
      <c r="Q72" s="2" t="inlineStr">
        <is>
          <t>직원 등록/수정</t>
        </is>
      </c>
      <c r="R72" s="2">
        <f>IFERROR(VLOOKUP(H72,API명세서!A:D,4,FALSE()),"")</f>
        <v/>
      </c>
      <c r="S72" s="2" t="n"/>
    </row>
    <row r="73">
      <c r="A73" s="3" t="inlineStr">
        <is>
          <t>▼ SCR-070</t>
        </is>
      </c>
      <c r="B73" s="3" t="inlineStr">
        <is>
          <t>메시지 발송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 outlineLevel="1">
      <c r="A74" s="2" t="inlineStr">
        <is>
          <t>UI-062</t>
        </is>
      </c>
      <c r="B74" s="2" t="inlineStr">
        <is>
          <t>SCR-070</t>
        </is>
      </c>
      <c r="C74" s="2" t="inlineStr">
        <is>
          <t>수신자 선택</t>
        </is>
      </c>
      <c r="D74" s="2" t="inlineStr">
        <is>
          <t>Input</t>
        </is>
      </c>
      <c r="E74" s="2" t="inlineStr">
        <is>
          <t>회원 검색/그룹 선택으로 수신자 지정</t>
        </is>
      </c>
      <c r="F74" s="2" t="inlineStr">
        <is>
          <t>AutoComplete + 그룹 선택 토글</t>
        </is>
      </c>
      <c r="G74" s="2" t="inlineStr">
        <is>
          <t>FN-023</t>
        </is>
      </c>
      <c r="H74" s="2" t="n"/>
      <c r="I74" s="2" t="inlineStr">
        <is>
          <t>AutoComplete + ChipInput</t>
        </is>
      </c>
      <c r="J74" s="2" t="n"/>
      <c r="K74" s="2" t="inlineStr">
        <is>
          <t>필수 입력</t>
        </is>
      </c>
      <c r="L74" s="2" t="inlineStr">
        <is>
          <t>수신자 선택을(를) 입력하세요</t>
        </is>
      </c>
      <c r="M74" s="2" t="inlineStr">
        <is>
          <t>aria-label='수신자'</t>
        </is>
      </c>
      <c r="N74" s="2" t="inlineStr">
        <is>
          <t>설계중</t>
        </is>
      </c>
      <c r="O74" s="2" t="n"/>
      <c r="P74" s="2" t="inlineStr">
        <is>
          <t>메시지 발송</t>
        </is>
      </c>
      <c r="Q74" s="2" t="inlineStr">
        <is>
          <t>메시지 발송</t>
        </is>
      </c>
      <c r="R74" s="2">
        <f>IFERROR(VLOOKUP(H74,API명세서!A:D,4,FALSE()),"")</f>
        <v/>
      </c>
      <c r="S74" s="2" t="n"/>
    </row>
    <row r="75" outlineLevel="1">
      <c r="A75" s="2" t="inlineStr">
        <is>
          <t>UI-063</t>
        </is>
      </c>
      <c r="B75" s="2" t="inlineStr">
        <is>
          <t>SCR-070</t>
        </is>
      </c>
      <c r="C75" s="2" t="inlineStr">
        <is>
          <t>메시지 유형</t>
        </is>
      </c>
      <c r="D75" s="2" t="inlineStr">
        <is>
          <t>Tab</t>
        </is>
      </c>
      <c r="E75" s="2" t="inlineStr">
        <is>
          <t>SMS/카카오톡 탭</t>
        </is>
      </c>
      <c r="F75" s="2" t="inlineStr">
        <is>
          <t>탭에 따라 본문 제한 변경</t>
        </is>
      </c>
      <c r="G75" s="2" t="inlineStr">
        <is>
          <t>FN-023</t>
        </is>
      </c>
      <c r="H75" s="2" t="n"/>
      <c r="I75" s="2" t="inlineStr">
        <is>
          <t>Tab 컴포넌트</t>
        </is>
      </c>
      <c r="J75" s="2" t="n"/>
      <c r="K75" s="2" t="n"/>
      <c r="L75" s="2" t="n"/>
      <c r="M75" s="2" t="inlineStr">
        <is>
          <t>aria-label='메시지 유형'</t>
        </is>
      </c>
      <c r="N75" s="2" t="inlineStr">
        <is>
          <t>설계중</t>
        </is>
      </c>
      <c r="O75" s="2" t="n"/>
      <c r="P75" s="2" t="inlineStr">
        <is>
          <t>메시지 발송</t>
        </is>
      </c>
      <c r="Q75" s="2" t="inlineStr">
        <is>
          <t>메시지 발송</t>
        </is>
      </c>
      <c r="R75" s="2">
        <f>IFERROR(VLOOKUP(H75,API명세서!A:D,4,FALSE()),"")</f>
        <v/>
      </c>
      <c r="S75" s="2" t="n"/>
    </row>
    <row r="76" outlineLevel="1">
      <c r="A76" s="2" t="inlineStr">
        <is>
          <t>UI-064</t>
        </is>
      </c>
      <c r="B76" s="2" t="inlineStr">
        <is>
          <t>SCR-070</t>
        </is>
      </c>
      <c r="C76" s="2" t="inlineStr">
        <is>
          <t>본문 에디터</t>
        </is>
      </c>
      <c r="D76" s="2" t="inlineStr">
        <is>
          <t>Textarea</t>
        </is>
      </c>
      <c r="E76" s="2" t="inlineStr">
        <is>
          <t>메시지 본문 입력</t>
        </is>
      </c>
      <c r="F76" s="2" t="inlineStr">
        <is>
          <t>글자수 카운터, 변수 삽입 (#{이름} 등)</t>
        </is>
      </c>
      <c r="G76" s="2" t="inlineStr">
        <is>
          <t>FN-023</t>
        </is>
      </c>
      <c r="H76" s="2" t="n"/>
      <c r="I76" s="2" t="inlineStr">
        <is>
          <t>Textarea + 변수 버튼</t>
        </is>
      </c>
      <c r="J76" s="2" t="n"/>
      <c r="K76" s="2" t="inlineStr">
        <is>
          <t>SMS 90자/LMS 2000자</t>
        </is>
      </c>
      <c r="L76" s="2" t="inlineStr">
        <is>
          <t>본문 에디터을(를) 입력하세요</t>
        </is>
      </c>
      <c r="M76" s="2" t="inlineStr">
        <is>
          <t>aria-label='메시지 본문'</t>
        </is>
      </c>
      <c r="N76" s="2" t="inlineStr">
        <is>
          <t>설계중</t>
        </is>
      </c>
      <c r="O76" s="2" t="n"/>
      <c r="P76" s="2" t="inlineStr">
        <is>
          <t>메시지 발송</t>
        </is>
      </c>
      <c r="Q76" s="2" t="inlineStr">
        <is>
          <t>메시지 발송</t>
        </is>
      </c>
      <c r="R76" s="2">
        <f>IFERROR(VLOOKUP(H76,API명세서!A:D,4,FALSE()),"")</f>
        <v/>
      </c>
      <c r="S76" s="2" t="n"/>
    </row>
    <row r="77" outlineLevel="1">
      <c r="A77" s="2" t="inlineStr">
        <is>
          <t>UI-065</t>
        </is>
      </c>
      <c r="B77" s="2" t="inlineStr">
        <is>
          <t>SCR-070</t>
        </is>
      </c>
      <c r="C77" s="2" t="inlineStr">
        <is>
          <t>발송 버튼</t>
        </is>
      </c>
      <c r="D77" s="2" t="inlineStr">
        <is>
          <t>Button</t>
        </is>
      </c>
      <c r="E77" s="2" t="inlineStr">
        <is>
          <t>메시지 발송 실행</t>
        </is>
      </c>
      <c r="F77" s="2" t="inlineStr">
        <is>
          <t>발송 전 미리보기 확인 모달</t>
        </is>
      </c>
      <c r="G77" s="2" t="inlineStr">
        <is>
          <t>FN-023</t>
        </is>
      </c>
      <c r="H77" s="2" t="n"/>
      <c r="I77" s="2" t="inlineStr">
        <is>
          <t>Primary Button + 확인 모달</t>
        </is>
      </c>
      <c r="J77" s="2" t="n"/>
      <c r="K77" s="2" t="inlineStr">
        <is>
          <t>수신자/본문 필수</t>
        </is>
      </c>
      <c r="L77" s="2" t="inlineStr">
        <is>
          <t>수신자를 선택해주세요</t>
        </is>
      </c>
      <c r="M77" s="2" t="inlineStr">
        <is>
          <t>aria-label='발송'</t>
        </is>
      </c>
      <c r="N77" s="2" t="inlineStr">
        <is>
          <t>설계중</t>
        </is>
      </c>
      <c r="O77" s="2" t="n"/>
      <c r="P77" s="2" t="inlineStr">
        <is>
          <t>메시지 발송</t>
        </is>
      </c>
      <c r="Q77" s="2" t="inlineStr">
        <is>
          <t>메시지 발송</t>
        </is>
      </c>
      <c r="R77" s="2">
        <f>IFERROR(VLOOKUP(H77,API명세서!A:D,4,FALSE()),"")</f>
        <v/>
      </c>
      <c r="S77" s="2" t="n"/>
    </row>
    <row r="78" outlineLevel="1">
      <c r="A78" s="2" t="inlineStr">
        <is>
          <t>UI-066</t>
        </is>
      </c>
      <c r="B78" s="2" t="inlineStr">
        <is>
          <t>SCR-070</t>
        </is>
      </c>
      <c r="C78" s="2" t="inlineStr">
        <is>
          <t>발송 이력</t>
        </is>
      </c>
      <c r="D78" s="2" t="inlineStr">
        <is>
          <t>List</t>
        </is>
      </c>
      <c r="E78" s="2" t="inlineStr">
        <is>
          <t>발송 이력 테이블</t>
        </is>
      </c>
      <c r="F78" s="2" t="inlineStr">
        <is>
          <t>발송일시/유형/수신자수/성공률 표시</t>
        </is>
      </c>
      <c r="G78" s="2" t="inlineStr">
        <is>
          <t>FN-023</t>
        </is>
      </c>
      <c r="H78" s="2" t="n"/>
      <c r="I78" s="2" t="inlineStr">
        <is>
          <t>DataTable</t>
        </is>
      </c>
      <c r="J78" s="2" t="n"/>
      <c r="K78" s="2" t="n"/>
      <c r="L78" s="2" t="n"/>
      <c r="M78" s="2" t="inlineStr">
        <is>
          <t>aria-label='발송 이력'</t>
        </is>
      </c>
      <c r="N78" s="2" t="inlineStr">
        <is>
          <t>설계중</t>
        </is>
      </c>
      <c r="O78" s="2" t="n"/>
      <c r="P78" s="2" t="inlineStr">
        <is>
          <t>메시지 발송</t>
        </is>
      </c>
      <c r="Q78" s="2" t="inlineStr">
        <is>
          <t>메시지 발송</t>
        </is>
      </c>
      <c r="R78" s="2">
        <f>IFERROR(VLOOKUP(H78,API명세서!A:D,4,FALSE()),"")</f>
        <v/>
      </c>
      <c r="S78" s="2" t="n"/>
    </row>
    <row r="79">
      <c r="A79" s="3" t="inlineStr">
        <is>
          <t>▼ SCR-080</t>
        </is>
      </c>
      <c r="B79" s="3" t="inlineStr">
        <is>
          <t>계약 마법사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 outlineLevel="1">
      <c r="A80" s="2" t="inlineStr">
        <is>
          <t>UI-067</t>
        </is>
      </c>
      <c r="B80" s="2" t="inlineStr">
        <is>
          <t>SCR-080</t>
        </is>
      </c>
      <c r="C80" s="2" t="inlineStr">
        <is>
          <t>스텝 인디케이터</t>
        </is>
      </c>
      <c r="D80" s="2" t="inlineStr">
        <is>
          <t>Nav</t>
        </is>
      </c>
      <c r="E80" s="2" t="inlineStr">
        <is>
          <t>계약 단계 표시 (1.회원→2.상품→3.기간→4.결제→5.확인)</t>
        </is>
      </c>
      <c r="F80" s="2" t="inlineStr">
        <is>
          <t>현재 단계 강조, 완료 단계 체크마크</t>
        </is>
      </c>
      <c r="G80" s="2" t="inlineStr">
        <is>
          <t>FN-027</t>
        </is>
      </c>
      <c r="H80" s="2" t="n"/>
      <c r="I80" s="2" t="inlineStr">
        <is>
          <t>Stepper 컴포넌트</t>
        </is>
      </c>
      <c r="J80" s="2" t="n"/>
      <c r="K80" s="2" t="n"/>
      <c r="L80" s="2" t="n"/>
      <c r="M80" s="2" t="inlineStr">
        <is>
          <t>aria-label='계약 단계'</t>
        </is>
      </c>
      <c r="N80" s="2" t="inlineStr">
        <is>
          <t>설계중</t>
        </is>
      </c>
      <c r="O80" s="2" t="n"/>
      <c r="P80" s="2" t="inlineStr">
        <is>
          <t>계약 마법사</t>
        </is>
      </c>
      <c r="Q80" s="2" t="inlineStr">
        <is>
          <t>계약 등록</t>
        </is>
      </c>
      <c r="R80" s="2">
        <f>IFERROR(VLOOKUP(H80,API명세서!A:D,4,FALSE()),"")</f>
        <v/>
      </c>
      <c r="S80" s="2" t="n"/>
    </row>
    <row r="81" outlineLevel="1">
      <c r="A81" s="2" t="inlineStr">
        <is>
          <t>UI-068</t>
        </is>
      </c>
      <c r="B81" s="2" t="inlineStr">
        <is>
          <t>SCR-080</t>
        </is>
      </c>
      <c r="C81" s="2" t="inlineStr">
        <is>
          <t>회원 선택 스텝</t>
        </is>
      </c>
      <c r="D81" s="2" t="inlineStr">
        <is>
          <t>Card</t>
        </is>
      </c>
      <c r="E81" s="2" t="inlineStr">
        <is>
          <t>계약 대상 회원 검색/선택</t>
        </is>
      </c>
      <c r="F81" s="2" t="inlineStr">
        <is>
          <t>AutoComplete 검색, 선택 시 프로필 카드 표시</t>
        </is>
      </c>
      <c r="G81" s="2" t="inlineStr">
        <is>
          <t>FN-027</t>
        </is>
      </c>
      <c r="H81" s="2" t="inlineStr">
        <is>
          <t>API-007</t>
        </is>
      </c>
      <c r="I81" s="2" t="inlineStr">
        <is>
          <t>검색 + 프로필 Card</t>
        </is>
      </c>
      <c r="J81" s="2" t="n"/>
      <c r="K81" s="2" t="inlineStr">
        <is>
          <t>회원 필수 선택</t>
        </is>
      </c>
      <c r="L81" s="2" t="inlineStr">
        <is>
          <t>회원을 선택하세요</t>
        </is>
      </c>
      <c r="M81" s="2" t="inlineStr">
        <is>
          <t>aria-label='회원 선택'</t>
        </is>
      </c>
      <c r="N81" s="2" t="inlineStr">
        <is>
          <t>설계중</t>
        </is>
      </c>
      <c r="O81" s="2" t="n"/>
      <c r="P81" s="2" t="inlineStr">
        <is>
          <t>계약 마법사</t>
        </is>
      </c>
      <c r="Q81" s="2" t="inlineStr">
        <is>
          <t>계약 등록</t>
        </is>
      </c>
      <c r="R81" s="2" t="inlineStr">
        <is>
          <t>/api/v1/members</t>
        </is>
      </c>
      <c r="S81" s="2" t="n"/>
    </row>
    <row r="82" outlineLevel="1">
      <c r="A82" s="2" t="inlineStr">
        <is>
          <t>UI-069</t>
        </is>
      </c>
      <c r="B82" s="2" t="inlineStr">
        <is>
          <t>SCR-080</t>
        </is>
      </c>
      <c r="C82" s="2" t="inlineStr">
        <is>
          <t>상품 선택 스텝</t>
        </is>
      </c>
      <c r="D82" s="2" t="inlineStr">
        <is>
          <t>Card</t>
        </is>
      </c>
      <c r="E82" s="2" t="inlineStr">
        <is>
          <t>계약 상품 선택</t>
        </is>
      </c>
      <c r="F82" s="2" t="inlineStr">
        <is>
          <t>카테고리별 상품 목록, 복수 선택 가능</t>
        </is>
      </c>
      <c r="G82" s="2" t="inlineStr">
        <is>
          <t>FN-027</t>
        </is>
      </c>
      <c r="H82" s="2" t="inlineStr">
        <is>
          <t>API-018</t>
        </is>
      </c>
      <c r="I82" s="2" t="inlineStr">
        <is>
          <t>상품 Card Grid</t>
        </is>
      </c>
      <c r="J82" s="2" t="n"/>
      <c r="K82" s="2" t="inlineStr">
        <is>
          <t>상품 필수 선택</t>
        </is>
      </c>
      <c r="L82" s="2" t="inlineStr">
        <is>
          <t>상품을 선택하세요</t>
        </is>
      </c>
      <c r="M82" s="2" t="inlineStr">
        <is>
          <t>aria-label='상품 선택'</t>
        </is>
      </c>
      <c r="N82" s="2" t="inlineStr">
        <is>
          <t>설계중</t>
        </is>
      </c>
      <c r="O82" s="2" t="n"/>
      <c r="P82" s="2" t="inlineStr">
        <is>
          <t>계약 마법사</t>
        </is>
      </c>
      <c r="Q82" s="2" t="inlineStr">
        <is>
          <t>계약 등록</t>
        </is>
      </c>
      <c r="R82" s="2" t="inlineStr">
        <is>
          <t>/api/v1/products</t>
        </is>
      </c>
      <c r="S82" s="2" t="n"/>
    </row>
    <row r="83" outlineLevel="1">
      <c r="A83" s="2" t="inlineStr">
        <is>
          <t>UI-070</t>
        </is>
      </c>
      <c r="B83" s="2" t="inlineStr">
        <is>
          <t>SCR-080</t>
        </is>
      </c>
      <c r="C83" s="2" t="inlineStr">
        <is>
          <t>기간/금액 스텝</t>
        </is>
      </c>
      <c r="D83" s="2" t="inlineStr">
        <is>
          <t>Card</t>
        </is>
      </c>
      <c r="E83" s="2" t="inlineStr">
        <is>
          <t>계약 기간 및 결제 금액 설정</t>
        </is>
      </c>
      <c r="F83" s="2" t="inlineStr">
        <is>
          <t>시작일/종료일, 할인 적용, 총액 자동 계산</t>
        </is>
      </c>
      <c r="G83" s="2" t="inlineStr">
        <is>
          <t>FN-027</t>
        </is>
      </c>
      <c r="H83" s="2" t="n"/>
      <c r="I83" s="2" t="inlineStr">
        <is>
          <t>DatePicker + 금액 입력</t>
        </is>
      </c>
      <c r="J83" s="2" t="n"/>
      <c r="K83" s="2" t="inlineStr">
        <is>
          <t>시작일 필수</t>
        </is>
      </c>
      <c r="L83" s="2" t="inlineStr">
        <is>
          <t>기간을 설정하세요</t>
        </is>
      </c>
      <c r="M83" s="2" t="inlineStr">
        <is>
          <t>aria-label='기간 설정'</t>
        </is>
      </c>
      <c r="N83" s="2" t="inlineStr">
        <is>
          <t>설계중</t>
        </is>
      </c>
      <c r="O83" s="2" t="n"/>
      <c r="P83" s="2" t="inlineStr">
        <is>
          <t>계약 마법사</t>
        </is>
      </c>
      <c r="Q83" s="2" t="inlineStr">
        <is>
          <t>계약 등록</t>
        </is>
      </c>
      <c r="R83" s="2">
        <f>IFERROR(VLOOKUP(H83,API명세서!A:D,4,FALSE()),"")</f>
        <v/>
      </c>
      <c r="S83" s="2" t="n"/>
    </row>
    <row r="84" outlineLevel="1">
      <c r="A84" s="2" t="inlineStr">
        <is>
          <t>UI-071</t>
        </is>
      </c>
      <c r="B84" s="2" t="inlineStr">
        <is>
          <t>SCR-080</t>
        </is>
      </c>
      <c r="C84" s="2" t="inlineStr">
        <is>
          <t>결제 스텝</t>
        </is>
      </c>
      <c r="D84" s="2" t="inlineStr">
        <is>
          <t>Card</t>
        </is>
      </c>
      <c r="E84" s="2" t="inlineStr">
        <is>
          <t>결제 수단 선택 및 처리</t>
        </is>
      </c>
      <c r="F84" s="2" t="inlineStr">
        <is>
          <t>현금/카드/마일리지/복합결제</t>
        </is>
      </c>
      <c r="G84" s="2" t="inlineStr">
        <is>
          <t>FN-027</t>
        </is>
      </c>
      <c r="H84" s="2" t="inlineStr">
        <is>
          <t>API-016</t>
        </is>
      </c>
      <c r="I84" s="2" t="inlineStr">
        <is>
          <t>결제 컴포넌트</t>
        </is>
      </c>
      <c r="J84" s="2" t="n"/>
      <c r="K84" s="2" t="inlineStr">
        <is>
          <t>결제수단 필수</t>
        </is>
      </c>
      <c r="L84" s="2" t="inlineStr">
        <is>
          <t>결제에 실패했습니다</t>
        </is>
      </c>
      <c r="M84" s="2" t="inlineStr">
        <is>
          <t>aria-label='결제'</t>
        </is>
      </c>
      <c r="N84" s="2" t="inlineStr">
        <is>
          <t>설계중</t>
        </is>
      </c>
      <c r="O84" s="2" t="n"/>
      <c r="P84" s="2" t="inlineStr">
        <is>
          <t>계약 마법사</t>
        </is>
      </c>
      <c r="Q84" s="2" t="inlineStr">
        <is>
          <t>계약 등록</t>
        </is>
      </c>
      <c r="R84" s="2" t="inlineStr">
        <is>
          <t>/api/v1/sales</t>
        </is>
      </c>
      <c r="S84" s="2" t="n"/>
    </row>
    <row r="85" outlineLevel="1">
      <c r="A85" s="2" t="inlineStr">
        <is>
          <t>UI-072</t>
        </is>
      </c>
      <c r="B85" s="2" t="inlineStr">
        <is>
          <t>SCR-080</t>
        </is>
      </c>
      <c r="C85" s="2" t="inlineStr">
        <is>
          <t>확인 스텝</t>
        </is>
      </c>
      <c r="D85" s="2" t="inlineStr">
        <is>
          <t>Card</t>
        </is>
      </c>
      <c r="E85" s="2" t="inlineStr">
        <is>
          <t>계약 내용 최종 확인 및 완료</t>
        </is>
      </c>
      <c r="F85" s="2" t="inlineStr">
        <is>
          <t>계약 요약, 확인 버튼, 인쇄 옵션</t>
        </is>
      </c>
      <c r="G85" s="2" t="inlineStr">
        <is>
          <t>FN-027</t>
        </is>
      </c>
      <c r="H85" s="2" t="n"/>
      <c r="I85" s="2" t="inlineStr">
        <is>
          <t>요약 Card + 확인 버튼</t>
        </is>
      </c>
      <c r="J85" s="2" t="n"/>
      <c r="K85" s="2" t="n"/>
      <c r="L85" s="2" t="n"/>
      <c r="M85" s="2" t="inlineStr">
        <is>
          <t>aria-label='계약 확인'</t>
        </is>
      </c>
      <c r="N85" s="2" t="inlineStr">
        <is>
          <t>설계중</t>
        </is>
      </c>
      <c r="O85" s="2" t="n"/>
      <c r="P85" s="2" t="inlineStr">
        <is>
          <t>계약 마법사</t>
        </is>
      </c>
      <c r="Q85" s="2" t="inlineStr">
        <is>
          <t>계약 등록</t>
        </is>
      </c>
      <c r="R85" s="2">
        <f>IFERROR(VLOOKUP(H85,API명세서!A:D,4,FALSE()),"")</f>
        <v/>
      </c>
      <c r="S85" s="2" t="n"/>
    </row>
    <row r="86">
      <c r="A86" s="3" t="inlineStr">
        <is>
          <t>▼ SCR-090</t>
        </is>
      </c>
      <c r="B86" s="3" t="inlineStr">
        <is>
          <t>설정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 outlineLevel="1">
      <c r="A87" s="2" t="inlineStr">
        <is>
          <t>UI-073</t>
        </is>
      </c>
      <c r="B87" s="2" t="inlineStr">
        <is>
          <t>SCR-090</t>
        </is>
      </c>
      <c r="C87" s="2" t="inlineStr">
        <is>
          <t>기본 설정 탭</t>
        </is>
      </c>
      <c r="D87" s="2" t="inlineStr">
        <is>
          <t>Tab</t>
        </is>
      </c>
      <c r="E87" s="2" t="inlineStr">
        <is>
          <t>센터명/영업시간/연락처 등 기본 정보</t>
        </is>
      </c>
      <c r="F87" s="2" t="inlineStr">
        <is>
          <t>폼 입력, 저장 버튼</t>
        </is>
      </c>
      <c r="G87" s="2" t="inlineStr">
        <is>
          <t>FN-029</t>
        </is>
      </c>
      <c r="H87" s="2" t="n"/>
      <c r="I87" s="2" t="inlineStr">
        <is>
          <t>Tab + Form</t>
        </is>
      </c>
      <c r="J87" s="2" t="n"/>
      <c r="K87" s="2" t="n"/>
      <c r="L87" s="2" t="n"/>
      <c r="M87" s="2" t="inlineStr">
        <is>
          <t>aria-label='기본 설정'</t>
        </is>
      </c>
      <c r="N87" s="2" t="inlineStr">
        <is>
          <t>설계중</t>
        </is>
      </c>
      <c r="O87" s="2" t="n"/>
      <c r="P87" s="2" t="inlineStr">
        <is>
          <t>설정</t>
        </is>
      </c>
      <c r="Q87" s="2" t="inlineStr">
        <is>
          <t>시스템 설정</t>
        </is>
      </c>
      <c r="R87" s="2">
        <f>IFERROR(VLOOKUP(H87,API명세서!A:D,4,FALSE()),"")</f>
        <v/>
      </c>
      <c r="S87" s="2" t="n"/>
    </row>
    <row r="88" outlineLevel="1">
      <c r="A88" s="2" t="inlineStr">
        <is>
          <t>UI-074</t>
        </is>
      </c>
      <c r="B88" s="2" t="inlineStr">
        <is>
          <t>SCR-090</t>
        </is>
      </c>
      <c r="C88" s="2" t="inlineStr">
        <is>
          <t>알림 설정 탭</t>
        </is>
      </c>
      <c r="D88" s="2" t="inlineStr">
        <is>
          <t>Tab</t>
        </is>
      </c>
      <c r="E88" s="2" t="inlineStr">
        <is>
          <t>푸시/이메일/SMS 알림 ON/OFF</t>
        </is>
      </c>
      <c r="F88" s="2" t="inlineStr">
        <is>
          <t>토글 스위치</t>
        </is>
      </c>
      <c r="G88" s="2" t="inlineStr">
        <is>
          <t>FN-029</t>
        </is>
      </c>
      <c r="H88" s="2" t="n"/>
      <c r="I88" s="2" t="inlineStr">
        <is>
          <t>Tab + Toggle List</t>
        </is>
      </c>
      <c r="J88" s="2" t="n"/>
      <c r="K88" s="2" t="n"/>
      <c r="L88" s="2" t="n"/>
      <c r="M88" s="2" t="inlineStr">
        <is>
          <t>aria-label='알림 설정'</t>
        </is>
      </c>
      <c r="N88" s="2" t="inlineStr">
        <is>
          <t>설계중</t>
        </is>
      </c>
      <c r="O88" s="2" t="n"/>
      <c r="P88" s="2" t="inlineStr">
        <is>
          <t>설정</t>
        </is>
      </c>
      <c r="Q88" s="2" t="inlineStr">
        <is>
          <t>시스템 설정</t>
        </is>
      </c>
      <c r="R88" s="2">
        <f>IFERROR(VLOOKUP(H88,API명세서!A:D,4,FALSE()),"")</f>
        <v/>
      </c>
      <c r="S88" s="2" t="n"/>
    </row>
    <row r="89" outlineLevel="1">
      <c r="A89" s="2" t="inlineStr">
        <is>
          <t>UI-075</t>
        </is>
      </c>
      <c r="B89" s="2" t="inlineStr">
        <is>
          <t>SCR-090</t>
        </is>
      </c>
      <c r="C89" s="2" t="inlineStr">
        <is>
          <t>저장 버튼</t>
        </is>
      </c>
      <c r="D89" s="2" t="inlineStr">
        <is>
          <t>Button</t>
        </is>
      </c>
      <c r="E89" s="2" t="inlineStr">
        <is>
          <t>설정 저장</t>
        </is>
      </c>
      <c r="F89" s="2" t="inlineStr">
        <is>
          <t>변경사항 감지 시 활성화</t>
        </is>
      </c>
      <c r="G89" s="2" t="inlineStr">
        <is>
          <t>FN-029</t>
        </is>
      </c>
      <c r="H89" s="2" t="n"/>
      <c r="I89" s="2" t="inlineStr">
        <is>
          <t>Primary Button</t>
        </is>
      </c>
      <c r="J89" s="2" t="n"/>
      <c r="K89" s="2" t="n"/>
      <c r="L89" s="2" t="n"/>
      <c r="M89" s="2" t="inlineStr">
        <is>
          <t>aria-label='설정 저장'</t>
        </is>
      </c>
      <c r="N89" s="2" t="inlineStr">
        <is>
          <t>설계중</t>
        </is>
      </c>
      <c r="O89" s="2" t="n"/>
      <c r="P89" s="2" t="inlineStr">
        <is>
          <t>설정</t>
        </is>
      </c>
      <c r="Q89" s="2" t="inlineStr">
        <is>
          <t>시스템 설정</t>
        </is>
      </c>
      <c r="R89" s="2">
        <f>IFERROR(VLOOKUP(H89,API명세서!A:D,4,FALSE()),"")</f>
        <v/>
      </c>
      <c r="S89" s="2" t="n"/>
    </row>
    <row r="90">
      <c r="A90" s="3" t="inlineStr">
        <is>
          <t>▼ SCR-091</t>
        </is>
      </c>
      <c r="B90" s="3" t="inlineStr">
        <is>
          <t>권한 설정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 outlineLevel="1">
      <c r="A91" s="2" t="inlineStr">
        <is>
          <t>UI-076</t>
        </is>
      </c>
      <c r="B91" s="2" t="inlineStr">
        <is>
          <t>SCR-091</t>
        </is>
      </c>
      <c r="C91" s="2" t="inlineStr">
        <is>
          <t>역할 탭</t>
        </is>
      </c>
      <c r="D91" s="2" t="inlineStr">
        <is>
          <t>Tab</t>
        </is>
      </c>
      <c r="E91" s="2" t="inlineStr">
        <is>
          <t>6단계 역할별 탭</t>
        </is>
      </c>
      <c r="F91" s="2" t="inlineStr">
        <is>
          <t>탭 전환 시 해당 역할 권한 매트릭스</t>
        </is>
      </c>
      <c r="G91" s="2" t="inlineStr">
        <is>
          <t>FN-030</t>
        </is>
      </c>
      <c r="H91" s="2" t="n"/>
      <c r="I91" s="2" t="inlineStr">
        <is>
          <t>Tab 컴포넌트</t>
        </is>
      </c>
      <c r="J91" s="2" t="n"/>
      <c r="K91" s="2" t="n"/>
      <c r="L91" s="2" t="n"/>
      <c r="M91" s="2" t="inlineStr">
        <is>
          <t>aria-label='역할 선택'</t>
        </is>
      </c>
      <c r="N91" s="2" t="inlineStr">
        <is>
          <t>설계중</t>
        </is>
      </c>
      <c r="O91" s="2" t="n"/>
      <c r="P91" s="2" t="inlineStr">
        <is>
          <t>권한 설정</t>
        </is>
      </c>
      <c r="Q91" s="2" t="inlineStr">
        <is>
          <t>권한 관리</t>
        </is>
      </c>
      <c r="R91" s="2">
        <f>IFERROR(VLOOKUP(H91,API명세서!A:D,4,FALSE()),"")</f>
        <v/>
      </c>
      <c r="S91" s="2" t="n"/>
    </row>
    <row r="92" outlineLevel="1">
      <c r="A92" s="2" t="inlineStr">
        <is>
          <t>UI-077</t>
        </is>
      </c>
      <c r="B92" s="2" t="inlineStr">
        <is>
          <t>SCR-091</t>
        </is>
      </c>
      <c r="C92" s="2" t="inlineStr">
        <is>
          <t>권한 매트릭스</t>
        </is>
      </c>
      <c r="D92" s="2" t="inlineStr">
        <is>
          <t>List</t>
        </is>
      </c>
      <c r="E92" s="2" t="inlineStr">
        <is>
          <t>메뉴/기능별 읽기/쓰기/삭제 체크박스 테이블</t>
        </is>
      </c>
      <c r="F92" s="2" t="inlineStr">
        <is>
          <t>체크/해제 시 즉시 반영, 변경 이력 기록</t>
        </is>
      </c>
      <c r="G92" s="2" t="inlineStr">
        <is>
          <t>FN-030</t>
        </is>
      </c>
      <c r="H92" s="2" t="n"/>
      <c r="I92" s="2" t="inlineStr">
        <is>
          <t>체크박스 매트릭스 테이블</t>
        </is>
      </c>
      <c r="J92" s="2" t="n"/>
      <c r="K92" s="2" t="n"/>
      <c r="L92" s="2" t="n"/>
      <c r="M92" s="2" t="inlineStr">
        <is>
          <t>aria-label='권한 매트릭스'</t>
        </is>
      </c>
      <c r="N92" s="2" t="inlineStr">
        <is>
          <t>설계중</t>
        </is>
      </c>
      <c r="O92" s="2" t="n"/>
      <c r="P92" s="2" t="inlineStr">
        <is>
          <t>권한 설정</t>
        </is>
      </c>
      <c r="Q92" s="2" t="inlineStr">
        <is>
          <t>권한 관리</t>
        </is>
      </c>
      <c r="R92" s="2">
        <f>IFERROR(VLOOKUP(H92,API명세서!A:D,4,FALSE()),"")</f>
        <v/>
      </c>
      <c r="S92" s="2" t="n"/>
    </row>
    <row r="93" outlineLevel="1">
      <c r="A93" s="2" t="inlineStr">
        <is>
          <t>UI-078</t>
        </is>
      </c>
      <c r="B93" s="2" t="inlineStr">
        <is>
          <t>SCR-091</t>
        </is>
      </c>
      <c r="C93" s="2" t="inlineStr">
        <is>
          <t>일괄 설정 버튼</t>
        </is>
      </c>
      <c r="D93" s="2" t="inlineStr">
        <is>
          <t>Button</t>
        </is>
      </c>
      <c r="E93" s="2" t="inlineStr">
        <is>
          <t>전체 선택/해제</t>
        </is>
      </c>
      <c r="F93" s="2" t="inlineStr">
        <is>
          <t>메뉴 단위 일괄 설정</t>
        </is>
      </c>
      <c r="G93" s="2" t="inlineStr">
        <is>
          <t>FN-030</t>
        </is>
      </c>
      <c r="H93" s="2" t="n"/>
      <c r="I93" s="2" t="inlineStr">
        <is>
          <t>Toggle Button</t>
        </is>
      </c>
      <c r="J93" s="2" t="n"/>
      <c r="K93" s="2" t="n"/>
      <c r="L93" s="2" t="n"/>
      <c r="M93" s="2" t="inlineStr">
        <is>
          <t>aria-label='일괄 설정'</t>
        </is>
      </c>
      <c r="N93" s="2" t="inlineStr">
        <is>
          <t>설계중</t>
        </is>
      </c>
      <c r="O93" s="2" t="n"/>
      <c r="P93" s="2" t="inlineStr">
        <is>
          <t>권한 설정</t>
        </is>
      </c>
      <c r="Q93" s="2" t="inlineStr">
        <is>
          <t>권한 관리</t>
        </is>
      </c>
      <c r="R93" s="2">
        <f>IFERROR(VLOOKUP(H93,API명세서!A:D,4,FALSE()),"")</f>
        <v/>
      </c>
      <c r="S93" s="2" t="n"/>
    </row>
    <row r="94">
      <c r="A94" s="3" t="inlineStr">
        <is>
          <t>▼ SCR-094</t>
        </is>
      </c>
      <c r="B94" s="3" t="inlineStr">
        <is>
          <t>지점 관리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 outlineLevel="1">
      <c r="A95" s="2" t="inlineStr">
        <is>
          <t>UI-079</t>
        </is>
      </c>
      <c r="B95" s="2" t="inlineStr">
        <is>
          <t>SCR-094</t>
        </is>
      </c>
      <c r="C95" s="2" t="inlineStr">
        <is>
          <t>지점 카드 뷰</t>
        </is>
      </c>
      <c r="D95" s="2" t="inlineStr">
        <is>
          <t>Card</t>
        </is>
      </c>
      <c r="E95" s="2" t="inlineStr">
        <is>
          <t>지점별 카드 (이름/주소/회원수/상태)</t>
        </is>
      </c>
      <c r="F95" s="2" t="inlineStr">
        <is>
          <t>카드 클릭 시 상세 모달</t>
        </is>
      </c>
      <c r="G95" s="2" t="inlineStr">
        <is>
          <t>FN-033</t>
        </is>
      </c>
      <c r="H95" s="2" t="n"/>
      <c r="I95" s="2" t="inlineStr">
        <is>
          <t>Card Grid</t>
        </is>
      </c>
      <c r="J95" s="2" t="n"/>
      <c r="K95" s="2" t="n"/>
      <c r="L95" s="2" t="n"/>
      <c r="M95" s="2" t="inlineStr">
        <is>
          <t>aria-label='지점 목록'</t>
        </is>
      </c>
      <c r="N95" s="2" t="inlineStr">
        <is>
          <t>설계중</t>
        </is>
      </c>
      <c r="O95" s="2" t="n"/>
      <c r="P95" s="2" t="inlineStr">
        <is>
          <t>지점 관리</t>
        </is>
      </c>
      <c r="Q95" s="2" t="inlineStr">
        <is>
          <t>지점 관리</t>
        </is>
      </c>
      <c r="R95" s="2">
        <f>IFERROR(VLOOKUP(H95,API명세서!A:D,4,FALSE()),"")</f>
        <v/>
      </c>
      <c r="S95" s="2" t="n"/>
    </row>
    <row r="96" outlineLevel="1">
      <c r="A96" s="2" t="inlineStr">
        <is>
          <t>UI-080</t>
        </is>
      </c>
      <c r="B96" s="2" t="inlineStr">
        <is>
          <t>SCR-094</t>
        </is>
      </c>
      <c r="C96" s="2" t="inlineStr">
        <is>
          <t>지점 추가 버튼</t>
        </is>
      </c>
      <c r="D96" s="2" t="inlineStr">
        <is>
          <t>Button</t>
        </is>
      </c>
      <c r="E96" s="2" t="inlineStr">
        <is>
          <t>신규 지점 추가 모달 오픈</t>
        </is>
      </c>
      <c r="F96" s="2" t="inlineStr">
        <is>
          <t>모달 폼 (이름/코드/주소/연락처)</t>
        </is>
      </c>
      <c r="G96" s="2" t="inlineStr">
        <is>
          <t>FN-033</t>
        </is>
      </c>
      <c r="H96" s="2" t="n"/>
      <c r="I96" s="2" t="inlineStr">
        <is>
          <t>Primary Button + Modal</t>
        </is>
      </c>
      <c r="J96" s="2" t="n"/>
      <c r="K96" s="2" t="inlineStr">
        <is>
          <t>지점명/코드 필수</t>
        </is>
      </c>
      <c r="L96" s="2" t="inlineStr">
        <is>
          <t>지점명을 입력하세요</t>
        </is>
      </c>
      <c r="M96" s="2" t="inlineStr">
        <is>
          <t>aria-label='지점 추가'</t>
        </is>
      </c>
      <c r="N96" s="2" t="inlineStr">
        <is>
          <t>설계중</t>
        </is>
      </c>
      <c r="O96" s="2" t="n"/>
      <c r="P96" s="2" t="inlineStr">
        <is>
          <t>지점 관리</t>
        </is>
      </c>
      <c r="Q96" s="2" t="inlineStr">
        <is>
          <t>지점 관리</t>
        </is>
      </c>
      <c r="R96" s="2">
        <f>IFERROR(VLOOKUP(H96,API명세서!A:D,4,FALSE()),"")</f>
        <v/>
      </c>
      <c r="S96" s="2" t="n"/>
    </row>
    <row r="97" outlineLevel="1">
      <c r="A97" s="2" t="inlineStr">
        <is>
          <t>UI-081</t>
        </is>
      </c>
      <c r="B97" s="2" t="inlineStr">
        <is>
          <t>SCR-094</t>
        </is>
      </c>
      <c r="C97" s="2" t="inlineStr">
        <is>
          <t>데이터 초기화 버튼</t>
        </is>
      </c>
      <c r="D97" s="2" t="inlineStr">
        <is>
          <t>Button</t>
        </is>
      </c>
      <c r="E97" s="2" t="inlineStr">
        <is>
          <t>지점 데이터 초기화 (개발용)</t>
        </is>
      </c>
      <c r="F97" s="2" t="inlineStr">
        <is>
          <t>2중 확인 모달 (비밀번호 입력)</t>
        </is>
      </c>
      <c r="G97" s="2" t="inlineStr">
        <is>
          <t>FN-033</t>
        </is>
      </c>
      <c r="H97" s="2" t="inlineStr">
        <is>
          <t>API-027</t>
        </is>
      </c>
      <c r="I97" s="2" t="inlineStr">
        <is>
          <t>Danger Button + 확인 모달</t>
        </is>
      </c>
      <c r="J97" s="2" t="n"/>
      <c r="K97" s="2" t="inlineStr">
        <is>
          <t>관리자 비밀번호 필수</t>
        </is>
      </c>
      <c r="L97" s="2" t="inlineStr">
        <is>
          <t>비밀번호가 올바르지 않습니다</t>
        </is>
      </c>
      <c r="M97" s="2" t="inlineStr">
        <is>
          <t>aria-label='데이터 초기화'</t>
        </is>
      </c>
      <c r="N97" s="2" t="inlineStr">
        <is>
          <t>설계중</t>
        </is>
      </c>
      <c r="O97" s="2" t="n"/>
      <c r="P97" s="2" t="inlineStr">
        <is>
          <t>지점 관리</t>
        </is>
      </c>
      <c r="Q97" s="2" t="inlineStr">
        <is>
          <t>지점 관리</t>
        </is>
      </c>
      <c r="R97" s="2" t="inlineStr">
        <is>
          <t>/api/v1/system/reset</t>
        </is>
      </c>
      <c r="S97" s="2" t="n"/>
    </row>
    <row r="98">
      <c r="A98" s="3" t="inlineStr">
        <is>
          <t>▼ SCR-040</t>
        </is>
      </c>
      <c r="B98" s="3" t="inlineStr">
        <is>
          <t>상품 목록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 outlineLevel="1">
      <c r="A99" s="2" t="inlineStr">
        <is>
          <t>UI-082</t>
        </is>
      </c>
      <c r="B99" s="2" t="inlineStr">
        <is>
          <t>SCR-040</t>
        </is>
      </c>
      <c r="C99" s="2" t="inlineStr">
        <is>
          <t>카테고리 필터</t>
        </is>
      </c>
      <c r="D99" s="2" t="inlineStr">
        <is>
          <t>Select</t>
        </is>
      </c>
      <c r="E99" s="2" t="inlineStr">
        <is>
          <t>상품 카테고리 필터</t>
        </is>
      </c>
      <c r="F99" s="2" t="inlineStr">
        <is>
          <t>단일 선택, 즉시 적용</t>
        </is>
      </c>
      <c r="G99" s="2" t="inlineStr">
        <is>
          <t>FN-013</t>
        </is>
      </c>
      <c r="H99" s="2" t="inlineStr">
        <is>
          <t>API-018</t>
        </is>
      </c>
      <c r="I99" s="2" t="inlineStr">
        <is>
          <t>Select 컴포넌트</t>
        </is>
      </c>
      <c r="J99" s="2" t="n"/>
      <c r="K99" s="2" t="inlineStr">
        <is>
          <t>1개 이상 선택 필수</t>
        </is>
      </c>
      <c r="L99" s="2" t="inlineStr">
        <is>
          <t>카테고리 필터을(를) 선택하세요</t>
        </is>
      </c>
      <c r="M99" s="2" t="inlineStr">
        <is>
          <t>aria-label='카테고리'</t>
        </is>
      </c>
      <c r="N99" s="2" t="inlineStr">
        <is>
          <t>설계중</t>
        </is>
      </c>
      <c r="O99" s="2" t="n"/>
      <c r="P99" s="2" t="inlineStr">
        <is>
          <t>상품 목록</t>
        </is>
      </c>
      <c r="Q99" s="2" t="inlineStr">
        <is>
          <t>상품 목록 조회</t>
        </is>
      </c>
      <c r="R99" s="2" t="inlineStr">
        <is>
          <t>/api/v1/products</t>
        </is>
      </c>
      <c r="S99" s="2" t="n"/>
    </row>
    <row r="100" outlineLevel="1">
      <c r="A100" s="2" t="inlineStr">
        <is>
          <t>UI-083</t>
        </is>
      </c>
      <c r="B100" s="2" t="inlineStr">
        <is>
          <t>SCR-040</t>
        </is>
      </c>
      <c r="C100" s="2" t="inlineStr">
        <is>
          <t>상품 테이블</t>
        </is>
      </c>
      <c r="D100" s="2" t="inlineStr">
        <is>
          <t>List</t>
        </is>
      </c>
      <c r="E100" s="2" t="inlineStr">
        <is>
          <t>상품 목록 테이블</t>
        </is>
      </c>
      <c r="F100" s="2" t="inlineStr">
        <is>
          <t>정렬, 키오스크 노출 토글</t>
        </is>
      </c>
      <c r="G100" s="2" t="inlineStr">
        <is>
          <t>FN-013</t>
        </is>
      </c>
      <c r="H100" s="2" t="inlineStr">
        <is>
          <t>API-018</t>
        </is>
      </c>
      <c r="I100" s="2" t="inlineStr">
        <is>
          <t>DataTable + Toggle</t>
        </is>
      </c>
      <c r="J100" s="2" t="n"/>
      <c r="K100" s="2" t="n"/>
      <c r="L100" s="2" t="n"/>
      <c r="M100" s="2" t="inlineStr">
        <is>
          <t>aria-label='상품 목록'</t>
        </is>
      </c>
      <c r="N100" s="2" t="inlineStr">
        <is>
          <t>설계중</t>
        </is>
      </c>
      <c r="O100" s="2" t="n"/>
      <c r="P100" s="2" t="inlineStr">
        <is>
          <t>상품 목록</t>
        </is>
      </c>
      <c r="Q100" s="2" t="inlineStr">
        <is>
          <t>상품 목록 조회</t>
        </is>
      </c>
      <c r="R100" s="2" t="inlineStr">
        <is>
          <t>/api/v1/products</t>
        </is>
      </c>
      <c r="S100" s="2" t="n"/>
    </row>
    <row r="101" outlineLevel="1">
      <c r="A101" s="2" t="inlineStr">
        <is>
          <t>UI-084</t>
        </is>
      </c>
      <c r="B101" s="2" t="inlineStr">
        <is>
          <t>SCR-040</t>
        </is>
      </c>
      <c r="C101" s="2" t="inlineStr">
        <is>
          <t>상품등록 버튼</t>
        </is>
      </c>
      <c r="D101" s="2" t="inlineStr">
        <is>
          <t>Button</t>
        </is>
      </c>
      <c r="E101" s="2" t="inlineStr">
        <is>
          <t>SCR-041 이동</t>
        </is>
      </c>
      <c r="F101" s="2" t="inlineStr">
        <is>
          <t>클릭 시 등록 페이지</t>
        </is>
      </c>
      <c r="G101" s="2" t="inlineStr">
        <is>
          <t>FN-014</t>
        </is>
      </c>
      <c r="H101" s="2" t="n"/>
      <c r="I101" s="2" t="inlineStr">
        <is>
          <t>Primary Button</t>
        </is>
      </c>
      <c r="J101" s="2" t="n"/>
      <c r="K101" s="2" t="n"/>
      <c r="L101" s="2" t="n"/>
      <c r="M101" s="2" t="inlineStr">
        <is>
          <t>aria-label='상품 등록'</t>
        </is>
      </c>
      <c r="N101" s="2" t="inlineStr">
        <is>
          <t>설계중</t>
        </is>
      </c>
      <c r="O101" s="2" t="n"/>
      <c r="P101" s="2" t="inlineStr">
        <is>
          <t>상품 목록</t>
        </is>
      </c>
      <c r="Q101" s="2" t="inlineStr">
        <is>
          <t>상품 등록/수정</t>
        </is>
      </c>
      <c r="R101" s="2">
        <f>IFERROR(VLOOKUP(H101,API명세서!A:D,4,FALSE()),"")</f>
        <v/>
      </c>
      <c r="S101" s="2" t="n"/>
    </row>
    <row r="102">
      <c r="A102" s="3" t="inlineStr">
        <is>
          <t>▼ SCR-041</t>
        </is>
      </c>
      <c r="B102" s="3" t="inlineStr">
        <is>
          <t>상품 등록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 outlineLevel="1">
      <c r="A103" s="2" t="inlineStr">
        <is>
          <t>UI-085</t>
        </is>
      </c>
      <c r="B103" s="2" t="inlineStr">
        <is>
          <t>SCR-041</t>
        </is>
      </c>
      <c r="C103" s="2" t="inlineStr">
        <is>
          <t>카테고리 선택</t>
        </is>
      </c>
      <c r="D103" s="2" t="inlineStr">
        <is>
          <t>Select</t>
        </is>
      </c>
      <c r="E103" s="2" t="inlineStr">
        <is>
          <t>상품 카테고리 선택</t>
        </is>
      </c>
      <c r="F103" s="2" t="inlineStr">
        <is>
          <t>선택에 따라 하위 필드 동적 변경</t>
        </is>
      </c>
      <c r="G103" s="2" t="inlineStr">
        <is>
          <t>FN-014</t>
        </is>
      </c>
      <c r="H103" s="2" t="inlineStr">
        <is>
          <t>API-019</t>
        </is>
      </c>
      <c r="I103" s="2" t="inlineStr">
        <is>
          <t>Select + 조건부 필드</t>
        </is>
      </c>
      <c r="J103" s="2" t="n"/>
      <c r="K103" s="2" t="inlineStr">
        <is>
          <t>필수 선택</t>
        </is>
      </c>
      <c r="L103" s="2" t="inlineStr">
        <is>
          <t>카테고리를 선택하세요</t>
        </is>
      </c>
      <c r="M103" s="2" t="inlineStr">
        <is>
          <t>aria-required</t>
        </is>
      </c>
      <c r="N103" s="2" t="inlineStr">
        <is>
          <t>설계중</t>
        </is>
      </c>
      <c r="O103" s="2" t="n"/>
      <c r="P103" s="2" t="inlineStr">
        <is>
          <t>상품 등록</t>
        </is>
      </c>
      <c r="Q103" s="2" t="inlineStr">
        <is>
          <t>상품 등록/수정</t>
        </is>
      </c>
      <c r="R103" s="2" t="inlineStr">
        <is>
          <t>/api/v1/products</t>
        </is>
      </c>
      <c r="S103" s="2" t="n"/>
    </row>
    <row r="104" outlineLevel="1">
      <c r="A104" s="2" t="inlineStr">
        <is>
          <t>UI-086</t>
        </is>
      </c>
      <c r="B104" s="2" t="inlineStr">
        <is>
          <t>SCR-041</t>
        </is>
      </c>
      <c r="C104" s="2" t="inlineStr">
        <is>
          <t>상품명 입력</t>
        </is>
      </c>
      <c r="D104" s="2" t="inlineStr">
        <is>
          <t>Input</t>
        </is>
      </c>
      <c r="E104" s="2" t="inlineStr">
        <is>
          <t>상품명 입력</t>
        </is>
      </c>
      <c r="F104" s="2" t="inlineStr">
        <is>
          <t>중복 체크</t>
        </is>
      </c>
      <c r="G104" s="2" t="inlineStr">
        <is>
          <t>FN-014</t>
        </is>
      </c>
      <c r="H104" s="2" t="inlineStr">
        <is>
          <t>API-019</t>
        </is>
      </c>
      <c r="I104" s="2" t="inlineStr">
        <is>
          <t>&lt;input&gt; + 중복 체크</t>
        </is>
      </c>
      <c r="J104" s="2" t="n"/>
      <c r="K104" s="2" t="inlineStr">
        <is>
          <t>필수, 중복 불가</t>
        </is>
      </c>
      <c r="L104" s="2" t="inlineStr">
        <is>
          <t>상품명을 입력하세요</t>
        </is>
      </c>
      <c r="M104" s="2" t="inlineStr">
        <is>
          <t>aria-required</t>
        </is>
      </c>
      <c r="N104" s="2" t="inlineStr">
        <is>
          <t>설계중</t>
        </is>
      </c>
      <c r="O104" s="2" t="n"/>
      <c r="P104" s="2" t="inlineStr">
        <is>
          <t>상품 등록</t>
        </is>
      </c>
      <c r="Q104" s="2" t="inlineStr">
        <is>
          <t>상품 등록/수정</t>
        </is>
      </c>
      <c r="R104" s="2" t="inlineStr">
        <is>
          <t>/api/v1/products</t>
        </is>
      </c>
      <c r="S104" s="2" t="n"/>
    </row>
    <row r="105" outlineLevel="1">
      <c r="A105" s="2" t="inlineStr">
        <is>
          <t>UI-087</t>
        </is>
      </c>
      <c r="B105" s="2" t="inlineStr">
        <is>
          <t>SCR-041</t>
        </is>
      </c>
      <c r="C105" s="2" t="inlineStr">
        <is>
          <t>가격 입력</t>
        </is>
      </c>
      <c r="D105" s="2" t="inlineStr">
        <is>
          <t>Input</t>
        </is>
      </c>
      <c r="E105" s="2" t="inlineStr">
        <is>
          <t>현금가/카드가 입력</t>
        </is>
      </c>
      <c r="F105" s="2" t="inlineStr">
        <is>
          <t>숫자만 입력, 천단위 콤마 포맷</t>
        </is>
      </c>
      <c r="G105" s="2" t="inlineStr">
        <is>
          <t>FN-014</t>
        </is>
      </c>
      <c r="H105" s="2" t="inlineStr">
        <is>
          <t>API-019</t>
        </is>
      </c>
      <c r="I105" s="2" t="inlineStr">
        <is>
          <t>CurrencyInput</t>
        </is>
      </c>
      <c r="J105" s="2" t="n"/>
      <c r="K105" s="2" t="inlineStr">
        <is>
          <t>0 이상 숫자</t>
        </is>
      </c>
      <c r="L105" s="2" t="inlineStr">
        <is>
          <t>올바른 금액을 입력하세요</t>
        </is>
      </c>
      <c r="M105" s="2" t="inlineStr">
        <is>
          <t>aria-label='가격'</t>
        </is>
      </c>
      <c r="N105" s="2" t="inlineStr">
        <is>
          <t>설계중</t>
        </is>
      </c>
      <c r="O105" s="2" t="n"/>
      <c r="P105" s="2" t="inlineStr">
        <is>
          <t>상품 등록</t>
        </is>
      </c>
      <c r="Q105" s="2" t="inlineStr">
        <is>
          <t>상품 등록/수정</t>
        </is>
      </c>
      <c r="R105" s="2" t="inlineStr">
        <is>
          <t>/api/v1/products</t>
        </is>
      </c>
      <c r="S105" s="2" t="n"/>
    </row>
    <row r="106" outlineLevel="1">
      <c r="A106" s="2" t="inlineStr">
        <is>
          <t>UI-088</t>
        </is>
      </c>
      <c r="B106" s="2" t="inlineStr">
        <is>
          <t>SCR-041</t>
        </is>
      </c>
      <c r="C106" s="2" t="inlineStr">
        <is>
          <t>저장 버튼</t>
        </is>
      </c>
      <c r="D106" s="2" t="inlineStr">
        <is>
          <t>Button</t>
        </is>
      </c>
      <c r="E106" s="2" t="inlineStr">
        <is>
          <t>상품 등록 저장</t>
        </is>
      </c>
      <c r="F106" s="2" t="inlineStr">
        <is>
          <t>필수 항목 검증 후 API 호출</t>
        </is>
      </c>
      <c r="G106" s="2" t="inlineStr">
        <is>
          <t>FN-014</t>
        </is>
      </c>
      <c r="H106" s="2" t="inlineStr">
        <is>
          <t>API-019</t>
        </is>
      </c>
      <c r="I106" s="2" t="inlineStr">
        <is>
          <t>Primary Button</t>
        </is>
      </c>
      <c r="J106" s="2" t="n"/>
      <c r="K106" s="2" t="inlineStr">
        <is>
          <t>필수 항목 검증</t>
        </is>
      </c>
      <c r="L106" s="2" t="inlineStr">
        <is>
          <t>등록에 실패했습니다</t>
        </is>
      </c>
      <c r="M106" s="2" t="inlineStr">
        <is>
          <t>aria-label='저장'</t>
        </is>
      </c>
      <c r="N106" s="2" t="inlineStr">
        <is>
          <t>설계중</t>
        </is>
      </c>
      <c r="O106" s="2" t="n"/>
      <c r="P106" s="2" t="inlineStr">
        <is>
          <t>상품 등록</t>
        </is>
      </c>
      <c r="Q106" s="2" t="inlineStr">
        <is>
          <t>상품 등록/수정</t>
        </is>
      </c>
      <c r="R106" s="2" t="inlineStr">
        <is>
          <t>/api/v1/products</t>
        </is>
      </c>
      <c r="S106" s="2" t="n"/>
    </row>
    <row r="107">
      <c r="A107" s="3" t="inlineStr">
        <is>
          <t>▼ SCR-051</t>
        </is>
      </c>
      <c r="B107" s="3" t="inlineStr">
        <is>
          <t>락커 관리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 outlineLevel="1">
      <c r="A108" s="2" t="inlineStr">
        <is>
          <t>UI-089</t>
        </is>
      </c>
      <c r="B108" s="2" t="inlineStr">
        <is>
          <t>SCR-051</t>
        </is>
      </c>
      <c r="C108" s="2" t="inlineStr">
        <is>
          <t>회원 검색</t>
        </is>
      </c>
      <c r="D108" s="2" t="inlineStr">
        <is>
          <t>Input</t>
        </is>
      </c>
      <c r="E108" s="2" t="inlineStr">
        <is>
          <t>배정 대상 회원 검색</t>
        </is>
      </c>
      <c r="F108" s="2" t="inlineStr">
        <is>
          <t>AutoComplete</t>
        </is>
      </c>
      <c r="G108" s="2" t="inlineStr">
        <is>
          <t>FN-016</t>
        </is>
      </c>
      <c r="H108" s="2" t="inlineStr">
        <is>
          <t>API-007</t>
        </is>
      </c>
      <c r="I108" s="2" t="inlineStr">
        <is>
          <t>AutoComplete</t>
        </is>
      </c>
      <c r="J108" s="2" t="n"/>
      <c r="K108" s="2" t="inlineStr">
        <is>
          <t>최소 1자 이상</t>
        </is>
      </c>
      <c r="L108" s="2" t="inlineStr">
        <is>
          <t>검색어를 입력하세요</t>
        </is>
      </c>
      <c r="M108" s="2" t="inlineStr">
        <is>
          <t>aria-label='회원 검색'</t>
        </is>
      </c>
      <c r="N108" s="2" t="inlineStr">
        <is>
          <t>설계중</t>
        </is>
      </c>
      <c r="O108" s="2" t="n"/>
      <c r="P108" s="2" t="inlineStr">
        <is>
          <t>락커 관리</t>
        </is>
      </c>
      <c r="Q108" s="2" t="inlineStr">
        <is>
          <t>락커 배정/관리</t>
        </is>
      </c>
      <c r="R108" s="2" t="inlineStr">
        <is>
          <t>/api/v1/members</t>
        </is>
      </c>
      <c r="S108" s="2" t="n"/>
    </row>
    <row r="109" outlineLevel="1">
      <c r="A109" s="2" t="inlineStr">
        <is>
          <t>UI-090</t>
        </is>
      </c>
      <c r="B109" s="2" t="inlineStr">
        <is>
          <t>SCR-051</t>
        </is>
      </c>
      <c r="C109" s="2" t="inlineStr">
        <is>
          <t>빈 락커 선택</t>
        </is>
      </c>
      <c r="D109" s="2" t="inlineStr">
        <is>
          <t>List</t>
        </is>
      </c>
      <c r="E109" s="2" t="inlineStr">
        <is>
          <t>배정 가능한 빈 락커 그리드</t>
        </is>
      </c>
      <c r="F109" s="2" t="inlineStr">
        <is>
          <t>클릭 선택, 선택 시 강조</t>
        </is>
      </c>
      <c r="G109" s="2" t="inlineStr">
        <is>
          <t>FN-016</t>
        </is>
      </c>
      <c r="H109" s="2" t="inlineStr">
        <is>
          <t>API-020</t>
        </is>
      </c>
      <c r="I109" s="2" t="inlineStr">
        <is>
          <t>Grid + 선택 상태</t>
        </is>
      </c>
      <c r="J109" s="2" t="n"/>
      <c r="K109" s="2" t="n"/>
      <c r="L109" s="2" t="n"/>
      <c r="M109" s="2" t="inlineStr">
        <is>
          <t>aria-label='락커 선택'</t>
        </is>
      </c>
      <c r="N109" s="2" t="inlineStr">
        <is>
          <t>설계중</t>
        </is>
      </c>
      <c r="O109" s="2" t="n"/>
      <c r="P109" s="2" t="inlineStr">
        <is>
          <t>락커 관리</t>
        </is>
      </c>
      <c r="Q109" s="2" t="inlineStr">
        <is>
          <t>락커 배정/관리</t>
        </is>
      </c>
      <c r="R109" s="2" t="inlineStr">
        <is>
          <t>/api/v1/lockers</t>
        </is>
      </c>
      <c r="S109" s="2" t="n"/>
    </row>
    <row r="110" outlineLevel="1">
      <c r="A110" s="2" t="inlineStr">
        <is>
          <t>UI-091</t>
        </is>
      </c>
      <c r="B110" s="2" t="inlineStr">
        <is>
          <t>SCR-051</t>
        </is>
      </c>
      <c r="C110" s="2" t="inlineStr">
        <is>
          <t>배정 버튼</t>
        </is>
      </c>
      <c r="D110" s="2" t="inlineStr">
        <is>
          <t>Button</t>
        </is>
      </c>
      <c r="E110" s="2" t="inlineStr">
        <is>
          <t>락커 배정 실행</t>
        </is>
      </c>
      <c r="F110" s="2" t="inlineStr">
        <is>
          <t>회원+락커 선택 시 활성화</t>
        </is>
      </c>
      <c r="G110" s="2" t="inlineStr">
        <is>
          <t>FN-016</t>
        </is>
      </c>
      <c r="H110" s="2" t="inlineStr">
        <is>
          <t>API-021</t>
        </is>
      </c>
      <c r="I110" s="2" t="inlineStr">
        <is>
          <t>Primary Button</t>
        </is>
      </c>
      <c r="J110" s="2" t="n"/>
      <c r="K110" s="2" t="inlineStr">
        <is>
          <t>회원/락커 필수</t>
        </is>
      </c>
      <c r="L110" s="2" t="inlineStr">
        <is>
          <t>배정에 실패했습니다</t>
        </is>
      </c>
      <c r="M110" s="2" t="inlineStr">
        <is>
          <t>aria-label='배정'</t>
        </is>
      </c>
      <c r="N110" s="2" t="inlineStr">
        <is>
          <t>설계중</t>
        </is>
      </c>
      <c r="O110" s="2" t="n"/>
      <c r="P110" s="2" t="inlineStr">
        <is>
          <t>락커 관리</t>
        </is>
      </c>
      <c r="Q110" s="2" t="inlineStr">
        <is>
          <t>락커 배정/관리</t>
        </is>
      </c>
      <c r="R110" s="2" t="inlineStr">
        <is>
          <t>/api/v1/lockers/:id</t>
        </is>
      </c>
      <c r="S110" s="2" t="n"/>
    </row>
    <row r="111" outlineLevel="1">
      <c r="A111" s="2" t="inlineStr">
        <is>
          <t>UI-092</t>
        </is>
      </c>
      <c r="B111" s="2" t="inlineStr">
        <is>
          <t>SCR-051</t>
        </is>
      </c>
      <c r="C111" s="2" t="inlineStr">
        <is>
          <t>일괄 해제 버튼</t>
        </is>
      </c>
      <c r="D111" s="2" t="inlineStr">
        <is>
          <t>Button</t>
        </is>
      </c>
      <c r="E111" s="2" t="inlineStr">
        <is>
          <t>만료 락커 일괄 해제</t>
        </is>
      </c>
      <c r="F111" s="2" t="inlineStr">
        <is>
          <t>확인 모달 후 실행</t>
        </is>
      </c>
      <c r="G111" s="2" t="inlineStr">
        <is>
          <t>FN-016</t>
        </is>
      </c>
      <c r="H111" s="2" t="inlineStr">
        <is>
          <t>API-021</t>
        </is>
      </c>
      <c r="I111" s="2" t="inlineStr">
        <is>
          <t>Secondary Button</t>
        </is>
      </c>
      <c r="J111" s="2" t="n"/>
      <c r="K111" s="2" t="n"/>
      <c r="L111" s="2" t="n"/>
      <c r="M111" s="2" t="inlineStr">
        <is>
          <t>aria-label='일괄 해제'</t>
        </is>
      </c>
      <c r="N111" s="2" t="inlineStr">
        <is>
          <t>설계중</t>
        </is>
      </c>
      <c r="O111" s="2" t="n"/>
      <c r="P111" s="2" t="inlineStr">
        <is>
          <t>락커 관리</t>
        </is>
      </c>
      <c r="Q111" s="2" t="inlineStr">
        <is>
          <t>락커 배정/관리</t>
        </is>
      </c>
      <c r="R111" s="2" t="inlineStr">
        <is>
          <t>/api/v1/lockers/:id</t>
        </is>
      </c>
      <c r="S111" s="2" t="n"/>
    </row>
    <row r="112">
      <c r="A112" s="3" t="inlineStr">
        <is>
          <t>▼ SCR-061</t>
        </is>
      </c>
      <c r="B112" s="3" t="inlineStr">
        <is>
          <t>직원 등록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 outlineLevel="1">
      <c r="A113" s="2" t="inlineStr">
        <is>
          <t>UI-093</t>
        </is>
      </c>
      <c r="B113" s="2" t="inlineStr">
        <is>
          <t>SCR-061</t>
        </is>
      </c>
      <c r="C113" s="2" t="inlineStr">
        <is>
          <t>이름 입력</t>
        </is>
      </c>
      <c r="D113" s="2" t="inlineStr">
        <is>
          <t>Input</t>
        </is>
      </c>
      <c r="E113" s="2" t="inlineStr">
        <is>
          <t>직원 이름</t>
        </is>
      </c>
      <c r="F113" s="2" t="inlineStr">
        <is>
          <t>필수</t>
        </is>
      </c>
      <c r="G113" s="2" t="inlineStr">
        <is>
          <t>FN-020</t>
        </is>
      </c>
      <c r="H113" s="2" t="inlineStr">
        <is>
          <t>API-023</t>
        </is>
      </c>
      <c r="I113" s="2" t="inlineStr">
        <is>
          <t>&lt;input&gt;</t>
        </is>
      </c>
      <c r="J113" s="2" t="n"/>
      <c r="K113" s="2" t="inlineStr">
        <is>
          <t>필수</t>
        </is>
      </c>
      <c r="L113" s="2" t="inlineStr">
        <is>
          <t>이름을 입력하세요</t>
        </is>
      </c>
      <c r="M113" s="2" t="inlineStr">
        <is>
          <t>aria-required</t>
        </is>
      </c>
      <c r="N113" s="2" t="inlineStr">
        <is>
          <t>설계중</t>
        </is>
      </c>
      <c r="O113" s="2" t="n"/>
      <c r="P113" s="2" t="inlineStr">
        <is>
          <t>직원 등록</t>
        </is>
      </c>
      <c r="Q113" s="2" t="inlineStr">
        <is>
          <t>직원 등록/수정</t>
        </is>
      </c>
      <c r="R113" s="2" t="inlineStr">
        <is>
          <t>/api/v1/staff</t>
        </is>
      </c>
      <c r="S113" s="2" t="n"/>
    </row>
    <row r="114" outlineLevel="1">
      <c r="A114" s="2" t="inlineStr">
        <is>
          <t>UI-094</t>
        </is>
      </c>
      <c r="B114" s="2" t="inlineStr">
        <is>
          <t>SCR-061</t>
        </is>
      </c>
      <c r="C114" s="2" t="inlineStr">
        <is>
          <t>역할 선택</t>
        </is>
      </c>
      <c r="D114" s="2" t="inlineStr">
        <is>
          <t>Select</t>
        </is>
      </c>
      <c r="E114" s="2" t="inlineStr">
        <is>
          <t>직원 역할 선택</t>
        </is>
      </c>
      <c r="F114" s="2" t="inlineStr">
        <is>
          <t>선택 시 권한 미리보기 표시</t>
        </is>
      </c>
      <c r="G114" s="2" t="inlineStr">
        <is>
          <t>FN-020</t>
        </is>
      </c>
      <c r="H114" s="2" t="inlineStr">
        <is>
          <t>API-023</t>
        </is>
      </c>
      <c r="I114" s="2" t="inlineStr">
        <is>
          <t>Select + 권한 미리보기</t>
        </is>
      </c>
      <c r="J114" s="2" t="n"/>
      <c r="K114" s="2" t="inlineStr">
        <is>
          <t>필수</t>
        </is>
      </c>
      <c r="L114" s="2" t="inlineStr">
        <is>
          <t>역할을 선택하세요</t>
        </is>
      </c>
      <c r="M114" s="2" t="inlineStr">
        <is>
          <t>aria-required</t>
        </is>
      </c>
      <c r="N114" s="2" t="inlineStr">
        <is>
          <t>설계중</t>
        </is>
      </c>
      <c r="O114" s="2" t="n"/>
      <c r="P114" s="2" t="inlineStr">
        <is>
          <t>직원 등록</t>
        </is>
      </c>
      <c r="Q114" s="2" t="inlineStr">
        <is>
          <t>직원 등록/수정</t>
        </is>
      </c>
      <c r="R114" s="2" t="inlineStr">
        <is>
          <t>/api/v1/staff</t>
        </is>
      </c>
      <c r="S114" s="2" t="n"/>
    </row>
    <row r="115" outlineLevel="1">
      <c r="A115" s="2" t="inlineStr">
        <is>
          <t>UI-095</t>
        </is>
      </c>
      <c r="B115" s="2" t="inlineStr">
        <is>
          <t>SCR-061</t>
        </is>
      </c>
      <c r="C115" s="2" t="inlineStr">
        <is>
          <t>연락처 입력</t>
        </is>
      </c>
      <c r="D115" s="2" t="inlineStr">
        <is>
          <t>Input</t>
        </is>
      </c>
      <c r="E115" s="2" t="inlineStr">
        <is>
          <t>직원 연락처</t>
        </is>
      </c>
      <c r="F115" s="2" t="inlineStr">
        <is>
          <t>자동 포맷</t>
        </is>
      </c>
      <c r="G115" s="2" t="inlineStr">
        <is>
          <t>FN-020</t>
        </is>
      </c>
      <c r="H115" s="2" t="inlineStr">
        <is>
          <t>API-023</t>
        </is>
      </c>
      <c r="I115" s="2" t="inlineStr">
        <is>
          <t>PhoneInput</t>
        </is>
      </c>
      <c r="J115" s="2" t="n"/>
      <c r="K115" s="2" t="inlineStr">
        <is>
          <t>전화번호 형식</t>
        </is>
      </c>
      <c r="L115" s="2" t="inlineStr">
        <is>
          <t>올바른 연락처를 입력하세요</t>
        </is>
      </c>
      <c r="M115" s="2" t="inlineStr">
        <is>
          <t>aria-label='연락처'</t>
        </is>
      </c>
      <c r="N115" s="2" t="inlineStr">
        <is>
          <t>설계중</t>
        </is>
      </c>
      <c r="O115" s="2" t="n"/>
      <c r="P115" s="2" t="inlineStr">
        <is>
          <t>직원 등록</t>
        </is>
      </c>
      <c r="Q115" s="2" t="inlineStr">
        <is>
          <t>직원 등록/수정</t>
        </is>
      </c>
      <c r="R115" s="2" t="inlineStr">
        <is>
          <t>/api/v1/staff</t>
        </is>
      </c>
      <c r="S115" s="2" t="n"/>
    </row>
    <row r="116" outlineLevel="1">
      <c r="A116" s="2" t="inlineStr">
        <is>
          <t>UI-096</t>
        </is>
      </c>
      <c r="B116" s="2" t="inlineStr">
        <is>
          <t>SCR-061</t>
        </is>
      </c>
      <c r="C116" s="2" t="inlineStr">
        <is>
          <t>입사일 선택</t>
        </is>
      </c>
      <c r="D116" s="2" t="inlineStr">
        <is>
          <t>Input</t>
        </is>
      </c>
      <c r="E116" s="2" t="inlineStr">
        <is>
          <t>입사일 date picker</t>
        </is>
      </c>
      <c r="F116" s="2" t="inlineStr">
        <is>
          <t>달력 팝업</t>
        </is>
      </c>
      <c r="G116" s="2" t="inlineStr">
        <is>
          <t>FN-020</t>
        </is>
      </c>
      <c r="H116" s="2" t="inlineStr">
        <is>
          <t>API-023</t>
        </is>
      </c>
      <c r="I116" s="2" t="inlineStr">
        <is>
          <t>DatePicker</t>
        </is>
      </c>
      <c r="J116" s="2" t="n"/>
      <c r="K116" s="2" t="inlineStr">
        <is>
          <t>필수</t>
        </is>
      </c>
      <c r="L116" s="2" t="inlineStr">
        <is>
          <t>입사일을 선택하세요</t>
        </is>
      </c>
      <c r="M116" s="2" t="inlineStr">
        <is>
          <t>aria-label='입사일'</t>
        </is>
      </c>
      <c r="N116" s="2" t="inlineStr">
        <is>
          <t>설계중</t>
        </is>
      </c>
      <c r="O116" s="2" t="n"/>
      <c r="P116" s="2" t="inlineStr">
        <is>
          <t>직원 등록</t>
        </is>
      </c>
      <c r="Q116" s="2" t="inlineStr">
        <is>
          <t>직원 등록/수정</t>
        </is>
      </c>
      <c r="R116" s="2" t="inlineStr">
        <is>
          <t>/api/v1/staff</t>
        </is>
      </c>
      <c r="S116" s="2" t="n"/>
    </row>
    <row r="117" outlineLevel="1">
      <c r="A117" s="2" t="inlineStr">
        <is>
          <t>UI-097</t>
        </is>
      </c>
      <c r="B117" s="2" t="inlineStr">
        <is>
          <t>SCR-061</t>
        </is>
      </c>
      <c r="C117" s="2" t="inlineStr">
        <is>
          <t>저장 버튼</t>
        </is>
      </c>
      <c r="D117" s="2" t="inlineStr">
        <is>
          <t>Button</t>
        </is>
      </c>
      <c r="E117" s="2" t="inlineStr">
        <is>
          <t>직원 등록 저장</t>
        </is>
      </c>
      <c r="F117" s="2" t="inlineStr">
        <is>
          <t>필수 검증 후 저장</t>
        </is>
      </c>
      <c r="G117" s="2" t="inlineStr">
        <is>
          <t>FN-020</t>
        </is>
      </c>
      <c r="H117" s="2" t="inlineStr">
        <is>
          <t>API-023</t>
        </is>
      </c>
      <c r="I117" s="2" t="inlineStr">
        <is>
          <t>Primary Button</t>
        </is>
      </c>
      <c r="J117" s="2" t="n"/>
      <c r="K117" s="2" t="inlineStr">
        <is>
          <t>필수 항목</t>
        </is>
      </c>
      <c r="L117" s="2" t="inlineStr">
        <is>
          <t>등록에 실패했습니다</t>
        </is>
      </c>
      <c r="M117" s="2" t="inlineStr">
        <is>
          <t>aria-label='저장'</t>
        </is>
      </c>
      <c r="N117" s="2" t="inlineStr">
        <is>
          <t>설계중</t>
        </is>
      </c>
      <c r="O117" s="2" t="n"/>
      <c r="P117" s="2" t="inlineStr">
        <is>
          <t>직원 등록</t>
        </is>
      </c>
      <c r="Q117" s="2" t="inlineStr">
        <is>
          <t>직원 등록/수정</t>
        </is>
      </c>
      <c r="R117" s="2" t="inlineStr">
        <is>
          <t>/api/v1/staff</t>
        </is>
      </c>
      <c r="S117" s="2" t="n"/>
    </row>
    <row r="118">
      <c r="A118" s="3" t="inlineStr">
        <is>
          <t>▼ SCR-062</t>
        </is>
      </c>
      <c r="B118" s="3" t="inlineStr">
        <is>
          <t>급여 현황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 outlineLevel="1">
      <c r="A119" s="2" t="inlineStr">
        <is>
          <t>UI-098</t>
        </is>
      </c>
      <c r="B119" s="2" t="inlineStr">
        <is>
          <t>SCR-062</t>
        </is>
      </c>
      <c r="C119" s="2" t="inlineStr">
        <is>
          <t>월 선택</t>
        </is>
      </c>
      <c r="D119" s="2" t="inlineStr">
        <is>
          <t>Select</t>
        </is>
      </c>
      <c r="E119" s="2" t="inlineStr">
        <is>
          <t>급여 조회 월 선택</t>
        </is>
      </c>
      <c r="F119" s="2" t="inlineStr">
        <is>
          <t>월 변경 시 테이블 갱신</t>
        </is>
      </c>
      <c r="G119" s="2" t="inlineStr">
        <is>
          <t>FN-021</t>
        </is>
      </c>
      <c r="H119" s="2" t="n"/>
      <c r="I119" s="2" t="inlineStr">
        <is>
          <t>MonthPicker</t>
        </is>
      </c>
      <c r="J119" s="2" t="n"/>
      <c r="K119" s="2" t="inlineStr">
        <is>
          <t>1개 이상 선택 필수</t>
        </is>
      </c>
      <c r="L119" s="2" t="inlineStr">
        <is>
          <t>월 선택을(를) 선택하세요</t>
        </is>
      </c>
      <c r="M119" s="2" t="inlineStr">
        <is>
          <t>aria-label='조회 월'</t>
        </is>
      </c>
      <c r="N119" s="2" t="inlineStr">
        <is>
          <t>설계중</t>
        </is>
      </c>
      <c r="O119" s="2" t="n"/>
      <c r="P119" s="2" t="inlineStr">
        <is>
          <t>급여 현황</t>
        </is>
      </c>
      <c r="Q119" s="2" t="inlineStr">
        <is>
          <t>급여 관리</t>
        </is>
      </c>
      <c r="R119" s="2">
        <f>IFERROR(VLOOKUP(H119,API명세서!A:D,4,FALSE()),"")</f>
        <v/>
      </c>
      <c r="S119" s="2" t="n"/>
    </row>
    <row r="120" outlineLevel="1">
      <c r="A120" s="2" t="inlineStr">
        <is>
          <t>UI-099</t>
        </is>
      </c>
      <c r="B120" s="2" t="inlineStr">
        <is>
          <t>SCR-062</t>
        </is>
      </c>
      <c r="C120" s="2" t="inlineStr">
        <is>
          <t>급여 테이블</t>
        </is>
      </c>
      <c r="D120" s="2" t="inlineStr">
        <is>
          <t>List</t>
        </is>
      </c>
      <c r="E120" s="2" t="inlineStr">
        <is>
          <t>직원별 급여 테이블</t>
        </is>
      </c>
      <c r="F120" s="2" t="inlineStr">
        <is>
          <t>기본급/인센티브/공제/실지급액 컬럼</t>
        </is>
      </c>
      <c r="G120" s="2" t="inlineStr">
        <is>
          <t>FN-021</t>
        </is>
      </c>
      <c r="H120" s="2" t="n"/>
      <c r="I120" s="2" t="inlineStr">
        <is>
          <t>DataTable</t>
        </is>
      </c>
      <c r="J120" s="2" t="n"/>
      <c r="K120" s="2" t="n"/>
      <c r="L120" s="2" t="n"/>
      <c r="M120" s="2" t="inlineStr">
        <is>
          <t>aria-label='급여 현황'</t>
        </is>
      </c>
      <c r="N120" s="2" t="inlineStr">
        <is>
          <t>설계중</t>
        </is>
      </c>
      <c r="O120" s="2" t="n"/>
      <c r="P120" s="2" t="inlineStr">
        <is>
          <t>급여 현황</t>
        </is>
      </c>
      <c r="Q120" s="2" t="inlineStr">
        <is>
          <t>급여 관리</t>
        </is>
      </c>
      <c r="R120" s="2">
        <f>IFERROR(VLOOKUP(H120,API명세서!A:D,4,FALSE()),"")</f>
        <v/>
      </c>
      <c r="S120" s="2" t="n"/>
    </row>
    <row r="121" outlineLevel="1">
      <c r="A121" s="2" t="inlineStr">
        <is>
          <t>UI-100</t>
        </is>
      </c>
      <c r="B121" s="2" t="inlineStr">
        <is>
          <t>SCR-062</t>
        </is>
      </c>
      <c r="C121" s="2" t="inlineStr">
        <is>
          <t>합계 행</t>
        </is>
      </c>
      <c r="D121" s="2" t="inlineStr">
        <is>
          <t>Label</t>
        </is>
      </c>
      <c r="E121" s="2" t="inlineStr">
        <is>
          <t>전체 합계/평균 표시 행</t>
        </is>
      </c>
      <c r="F121" s="2" t="inlineStr">
        <is>
          <t>테이블 하단 고정</t>
        </is>
      </c>
      <c r="G121" s="2" t="inlineStr">
        <is>
          <t>FN-021</t>
        </is>
      </c>
      <c r="H121" s="2" t="n"/>
      <c r="I121" s="2" t="inlineStr">
        <is>
          <t>테이블 footer</t>
        </is>
      </c>
      <c r="J121" s="2" t="n"/>
      <c r="K121" s="2" t="n"/>
      <c r="L121" s="2" t="n"/>
      <c r="M121" s="2" t="inlineStr">
        <is>
          <t>aria-label='합계'</t>
        </is>
      </c>
      <c r="N121" s="2" t="inlineStr">
        <is>
          <t>설계중</t>
        </is>
      </c>
      <c r="O121" s="2" t="n"/>
      <c r="P121" s="2" t="inlineStr">
        <is>
          <t>급여 현황</t>
        </is>
      </c>
      <c r="Q121" s="2" t="inlineStr">
        <is>
          <t>급여 관리</t>
        </is>
      </c>
      <c r="R121" s="2">
        <f>IFERROR(VLOOKUP(H121,API명세서!A:D,4,FALSE()),"")</f>
        <v/>
      </c>
      <c r="S121" s="2" t="n"/>
    </row>
    <row r="122">
      <c r="A122" s="3" t="inlineStr">
        <is>
          <t>▼ SCR-071</t>
        </is>
      </c>
      <c r="B122" s="3" t="inlineStr">
        <is>
          <t>자동 알림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 outlineLevel="1">
      <c r="A123" s="2" t="inlineStr">
        <is>
          <t>UI-101</t>
        </is>
      </c>
      <c r="B123" s="2" t="inlineStr">
        <is>
          <t>SCR-071</t>
        </is>
      </c>
      <c r="C123" s="2" t="inlineStr">
        <is>
          <t>알림 규칙 리스트</t>
        </is>
      </c>
      <c r="D123" s="2" t="inlineStr">
        <is>
          <t>List</t>
        </is>
      </c>
      <c r="E123" s="2" t="inlineStr">
        <is>
          <t>자동 알림 규칙 목록</t>
        </is>
      </c>
      <c r="F123" s="2" t="inlineStr">
        <is>
          <t>각 규칙에 ON/OFF 토글</t>
        </is>
      </c>
      <c r="G123" s="2" t="inlineStr">
        <is>
          <t>FN-024</t>
        </is>
      </c>
      <c r="H123" s="2" t="n"/>
      <c r="I123" s="2" t="inlineStr">
        <is>
          <t>List + Toggle</t>
        </is>
      </c>
      <c r="J123" s="2" t="n"/>
      <c r="K123" s="2" t="n"/>
      <c r="L123" s="2" t="n"/>
      <c r="M123" s="2" t="inlineStr">
        <is>
          <t>aria-label='알림 규칙'</t>
        </is>
      </c>
      <c r="N123" s="2" t="inlineStr">
        <is>
          <t>설계중</t>
        </is>
      </c>
      <c r="O123" s="2" t="n"/>
      <c r="P123" s="2" t="inlineStr">
        <is>
          <t>자동 알림</t>
        </is>
      </c>
      <c r="Q123" s="2" t="inlineStr">
        <is>
          <t>자동 알림 설정</t>
        </is>
      </c>
      <c r="R123" s="2">
        <f>IFERROR(VLOOKUP(H123,API명세서!A:D,4,FALSE()),"")</f>
        <v/>
      </c>
      <c r="S123" s="2" t="n"/>
    </row>
    <row r="124" outlineLevel="1">
      <c r="A124" s="2" t="inlineStr">
        <is>
          <t>UI-102</t>
        </is>
      </c>
      <c r="B124" s="2" t="inlineStr">
        <is>
          <t>SCR-071</t>
        </is>
      </c>
      <c r="C124" s="2" t="inlineStr">
        <is>
          <t>규칙 설정 모달</t>
        </is>
      </c>
      <c r="D124" s="2" t="inlineStr">
        <is>
          <t>Modal</t>
        </is>
      </c>
      <c r="E124" s="2" t="inlineStr">
        <is>
          <t>알림 규칙 상세 설정</t>
        </is>
      </c>
      <c r="F124" s="2" t="inlineStr">
        <is>
          <t>발송 시점/대상/메시지 템플릿 설정</t>
        </is>
      </c>
      <c r="G124" s="2" t="inlineStr">
        <is>
          <t>FN-024</t>
        </is>
      </c>
      <c r="H124" s="2" t="n"/>
      <c r="I124" s="2" t="inlineStr">
        <is>
          <t>Modal + Form</t>
        </is>
      </c>
      <c r="J124" s="2" t="n"/>
      <c r="K124" s="2" t="n"/>
      <c r="L124" s="2" t="n"/>
      <c r="M124" s="2" t="inlineStr">
        <is>
          <t>aria-modal='true'</t>
        </is>
      </c>
      <c r="N124" s="2" t="inlineStr">
        <is>
          <t>설계중</t>
        </is>
      </c>
      <c r="O124" s="2" t="n"/>
      <c r="P124" s="2" t="inlineStr">
        <is>
          <t>자동 알림</t>
        </is>
      </c>
      <c r="Q124" s="2" t="inlineStr">
        <is>
          <t>자동 알림 설정</t>
        </is>
      </c>
      <c r="R124" s="2">
        <f>IFERROR(VLOOKUP(H124,API명세서!A:D,4,FALSE()),"")</f>
        <v/>
      </c>
      <c r="S124" s="2" t="n"/>
    </row>
    <row r="125">
      <c r="A125" s="3" t="inlineStr">
        <is>
          <t>▼ SCR-072</t>
        </is>
      </c>
      <c r="B125" s="3" t="inlineStr">
        <is>
          <t>쿠폰 관리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 outlineLevel="1">
      <c r="A126" s="2" t="inlineStr">
        <is>
          <t>UI-103</t>
        </is>
      </c>
      <c r="B126" s="2" t="inlineStr">
        <is>
          <t>SCR-072</t>
        </is>
      </c>
      <c r="C126" s="2" t="inlineStr">
        <is>
          <t>쿠폰 리스트</t>
        </is>
      </c>
      <c r="D126" s="2" t="inlineStr">
        <is>
          <t>List</t>
        </is>
      </c>
      <c r="E126" s="2" t="inlineStr">
        <is>
          <t>쿠폰 목록 테이블</t>
        </is>
      </c>
      <c r="F126" s="2" t="inlineStr">
        <is>
          <t>상태/유형별 필터</t>
        </is>
      </c>
      <c r="G126" s="2" t="inlineStr">
        <is>
          <t>FN-025</t>
        </is>
      </c>
      <c r="H126" s="2" t="n"/>
      <c r="I126" s="2" t="inlineStr">
        <is>
          <t>DataTable</t>
        </is>
      </c>
      <c r="J126" s="2" t="n"/>
      <c r="K126" s="2" t="n"/>
      <c r="L126" s="2" t="n"/>
      <c r="M126" s="2" t="inlineStr">
        <is>
          <t>aria-label='쿠폰 목록'</t>
        </is>
      </c>
      <c r="N126" s="2" t="inlineStr">
        <is>
          <t>설계중</t>
        </is>
      </c>
      <c r="O126" s="2" t="n"/>
      <c r="P126" s="2" t="inlineStr">
        <is>
          <t>쿠폰 관리</t>
        </is>
      </c>
      <c r="Q126" s="2" t="inlineStr">
        <is>
          <t>쿠폰 관리</t>
        </is>
      </c>
      <c r="R126" s="2">
        <f>IFERROR(VLOOKUP(H126,API명세서!A:D,4,FALSE()),"")</f>
        <v/>
      </c>
      <c r="S126" s="2" t="n"/>
    </row>
    <row r="127" outlineLevel="1">
      <c r="A127" s="2" t="inlineStr">
        <is>
          <t>UI-104</t>
        </is>
      </c>
      <c r="B127" s="2" t="inlineStr">
        <is>
          <t>SCR-072</t>
        </is>
      </c>
      <c r="C127" s="2" t="inlineStr">
        <is>
          <t>쿠폰 생성 버튼</t>
        </is>
      </c>
      <c r="D127" s="2" t="inlineStr">
        <is>
          <t>Button</t>
        </is>
      </c>
      <c r="E127" s="2" t="inlineStr">
        <is>
          <t>쿠폰 생성 모달 오픈</t>
        </is>
      </c>
      <c r="F127" s="2" t="inlineStr">
        <is>
          <t>모달 폼 (이름/유형/할인값/기간)</t>
        </is>
      </c>
      <c r="G127" s="2" t="inlineStr">
        <is>
          <t>FN-025</t>
        </is>
      </c>
      <c r="H127" s="2" t="n"/>
      <c r="I127" s="2" t="inlineStr">
        <is>
          <t>Primary Button + Modal</t>
        </is>
      </c>
      <c r="J127" s="2" t="n"/>
      <c r="K127" s="2" t="n"/>
      <c r="L127" s="2" t="n"/>
      <c r="M127" s="2" t="inlineStr">
        <is>
          <t>aria-label='쿠폰 생성'</t>
        </is>
      </c>
      <c r="N127" s="2" t="inlineStr">
        <is>
          <t>설계중</t>
        </is>
      </c>
      <c r="O127" s="2" t="n"/>
      <c r="P127" s="2" t="inlineStr">
        <is>
          <t>쿠폰 관리</t>
        </is>
      </c>
      <c r="Q127" s="2" t="inlineStr">
        <is>
          <t>쿠폰 관리</t>
        </is>
      </c>
      <c r="R127" s="2">
        <f>IFERROR(VLOOKUP(H127,API명세서!A:D,4,FALSE()),"")</f>
        <v/>
      </c>
      <c r="S127" s="2" t="n"/>
    </row>
    <row r="128">
      <c r="A128" s="3" t="inlineStr">
        <is>
          <t>▼ SCR-073</t>
        </is>
      </c>
      <c r="B128" s="3" t="inlineStr">
        <is>
          <t>마일리지 관리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 outlineLevel="1">
      <c r="A129" s="2" t="inlineStr">
        <is>
          <t>UI-105</t>
        </is>
      </c>
      <c r="B129" s="2" t="inlineStr">
        <is>
          <t>SCR-073</t>
        </is>
      </c>
      <c r="C129" s="2" t="inlineStr">
        <is>
          <t>회원 검색</t>
        </is>
      </c>
      <c r="D129" s="2" t="inlineStr">
        <is>
          <t>Input</t>
        </is>
      </c>
      <c r="E129" s="2" t="inlineStr">
        <is>
          <t>마일리지 조회 회원 검색</t>
        </is>
      </c>
      <c r="F129" s="2" t="inlineStr">
        <is>
          <t>AutoComplete</t>
        </is>
      </c>
      <c r="G129" s="2" t="inlineStr">
        <is>
          <t>FN-026</t>
        </is>
      </c>
      <c r="H129" s="2" t="n"/>
      <c r="I129" s="2" t="inlineStr">
        <is>
          <t>AutoComplete</t>
        </is>
      </c>
      <c r="J129" s="2" t="n"/>
      <c r="K129" s="2" t="inlineStr">
        <is>
          <t>최소 1자 이상</t>
        </is>
      </c>
      <c r="L129" s="2" t="inlineStr">
        <is>
          <t>검색어를 입력하세요</t>
        </is>
      </c>
      <c r="M129" s="2" t="inlineStr">
        <is>
          <t>aria-label='회원 검색'</t>
        </is>
      </c>
      <c r="N129" s="2" t="inlineStr">
        <is>
          <t>설계중</t>
        </is>
      </c>
      <c r="O129" s="2" t="n"/>
      <c r="P129" s="2" t="inlineStr">
        <is>
          <t>마일리지 관리</t>
        </is>
      </c>
      <c r="Q129" s="2" t="inlineStr">
        <is>
          <t>마일리지 관리</t>
        </is>
      </c>
      <c r="R129" s="2">
        <f>IFERROR(VLOOKUP(H129,API명세서!A:D,4,FALSE()),"")</f>
        <v/>
      </c>
      <c r="S129" s="2" t="n"/>
    </row>
    <row r="130" outlineLevel="1">
      <c r="A130" s="2" t="inlineStr">
        <is>
          <t>UI-106</t>
        </is>
      </c>
      <c r="B130" s="2" t="inlineStr">
        <is>
          <t>SCR-073</t>
        </is>
      </c>
      <c r="C130" s="2" t="inlineStr">
        <is>
          <t>마일리지 이력</t>
        </is>
      </c>
      <c r="D130" s="2" t="inlineStr">
        <is>
          <t>List</t>
        </is>
      </c>
      <c r="E130" s="2" t="inlineStr">
        <is>
          <t>적립/사용 이력 테이블</t>
        </is>
      </c>
      <c r="F130" s="2" t="inlineStr">
        <is>
          <t>유형/날짜/금액/잔액 표시</t>
        </is>
      </c>
      <c r="G130" s="2" t="inlineStr">
        <is>
          <t>FN-026</t>
        </is>
      </c>
      <c r="H130" s="2" t="n"/>
      <c r="I130" s="2" t="inlineStr">
        <is>
          <t>DataTable</t>
        </is>
      </c>
      <c r="J130" s="2" t="n"/>
      <c r="K130" s="2" t="n"/>
      <c r="L130" s="2" t="n"/>
      <c r="M130" s="2" t="inlineStr">
        <is>
          <t>aria-label='마일리지 이력'</t>
        </is>
      </c>
      <c r="N130" s="2" t="inlineStr">
        <is>
          <t>설계중</t>
        </is>
      </c>
      <c r="O130" s="2" t="n"/>
      <c r="P130" s="2" t="inlineStr">
        <is>
          <t>마일리지 관리</t>
        </is>
      </c>
      <c r="Q130" s="2" t="inlineStr">
        <is>
          <t>마일리지 관리</t>
        </is>
      </c>
      <c r="R130" s="2">
        <f>IFERROR(VLOOKUP(H130,API명세서!A:D,4,FALSE()),"")</f>
        <v/>
      </c>
      <c r="S130" s="2" t="n"/>
    </row>
    <row r="131" outlineLevel="1">
      <c r="A131" s="2" t="inlineStr">
        <is>
          <t>UI-107</t>
        </is>
      </c>
      <c r="B131" s="2" t="inlineStr">
        <is>
          <t>SCR-073</t>
        </is>
      </c>
      <c r="C131" s="2" t="inlineStr">
        <is>
          <t>적립/차감 버튼</t>
        </is>
      </c>
      <c r="D131" s="2" t="inlineStr">
        <is>
          <t>Button</t>
        </is>
      </c>
      <c r="E131" s="2" t="inlineStr">
        <is>
          <t>마일리지 적립/차감 모달</t>
        </is>
      </c>
      <c r="F131" s="2" t="inlineStr">
        <is>
          <t>금액 입력, 사유 선택</t>
        </is>
      </c>
      <c r="G131" s="2" t="inlineStr">
        <is>
          <t>FN-026</t>
        </is>
      </c>
      <c r="H131" s="2" t="n"/>
      <c r="I131" s="2" t="inlineStr">
        <is>
          <t>Button + Modal</t>
        </is>
      </c>
      <c r="J131" s="2" t="n"/>
      <c r="K131" s="2" t="inlineStr">
        <is>
          <t>금액 필수</t>
        </is>
      </c>
      <c r="L131" s="2" t="inlineStr">
        <is>
          <t>금액을 입력하세요</t>
        </is>
      </c>
      <c r="M131" s="2" t="inlineStr">
        <is>
          <t>aria-label='마일리지 변경'</t>
        </is>
      </c>
      <c r="N131" s="2" t="inlineStr">
        <is>
          <t>설계중</t>
        </is>
      </c>
      <c r="O131" s="2" t="n"/>
      <c r="P131" s="2" t="inlineStr">
        <is>
          <t>마일리지 관리</t>
        </is>
      </c>
      <c r="Q131" s="2" t="inlineStr">
        <is>
          <t>마일리지 관리</t>
        </is>
      </c>
      <c r="R131" s="2">
        <f>IFERROR(VLOOKUP(H131,API명세서!A:D,4,FALSE()),"")</f>
        <v/>
      </c>
      <c r="S131" s="2" t="n"/>
    </row>
    <row r="132">
      <c r="A132" s="3" t="inlineStr">
        <is>
          <t>▼ SCR-052</t>
        </is>
      </c>
      <c r="B132" s="3" t="inlineStr">
        <is>
          <t>RFID 관리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 outlineLevel="1">
      <c r="A133" s="2" t="inlineStr">
        <is>
          <t>UI-108</t>
        </is>
      </c>
      <c r="B133" s="2" t="inlineStr">
        <is>
          <t>SCR-052</t>
        </is>
      </c>
      <c r="C133" s="2" t="inlineStr">
        <is>
          <t>카드 번호 입력</t>
        </is>
      </c>
      <c r="D133" s="2" t="inlineStr">
        <is>
          <t>Input</t>
        </is>
      </c>
      <c r="E133" s="2" t="inlineStr">
        <is>
          <t>RFID 카드 번호 스캔/입력</t>
        </is>
      </c>
      <c r="F133" s="2" t="inlineStr">
        <is>
          <t>스캔 시 자동 입력, 직접 입력 가능</t>
        </is>
      </c>
      <c r="G133" s="2" t="inlineStr">
        <is>
          <t>FN-017</t>
        </is>
      </c>
      <c r="H133" s="2" t="n"/>
      <c r="I133" s="2" t="inlineStr">
        <is>
          <t>&lt;input&gt; + 스캔 연동</t>
        </is>
      </c>
      <c r="J133" s="2" t="n"/>
      <c r="K133" s="2" t="inlineStr">
        <is>
          <t>필수 입력</t>
        </is>
      </c>
      <c r="L133" s="2" t="inlineStr">
        <is>
          <t>카드 번호 입력을(를) 입력하세요</t>
        </is>
      </c>
      <c r="M133" s="2" t="inlineStr">
        <is>
          <t>aria-label='카드 번호'</t>
        </is>
      </c>
      <c r="N133" s="2" t="inlineStr">
        <is>
          <t>설계중</t>
        </is>
      </c>
      <c r="O133" s="2" t="n"/>
      <c r="P133" s="2" t="inlineStr">
        <is>
          <t>RFID 관리</t>
        </is>
      </c>
      <c r="Q133" s="2" t="inlineStr">
        <is>
          <t>RFID 관리</t>
        </is>
      </c>
      <c r="R133" s="2">
        <f>IFERROR(VLOOKUP(H133,API명세서!A:D,4,FALSE()),"")</f>
        <v/>
      </c>
      <c r="S133" s="2" t="n"/>
    </row>
    <row r="134" outlineLevel="1">
      <c r="A134" s="2" t="inlineStr">
        <is>
          <t>UI-109</t>
        </is>
      </c>
      <c r="B134" s="2" t="inlineStr">
        <is>
          <t>SCR-052</t>
        </is>
      </c>
      <c r="C134" s="2" t="inlineStr">
        <is>
          <t>회원 매핑</t>
        </is>
      </c>
      <c r="D134" s="2" t="inlineStr">
        <is>
          <t>Select</t>
        </is>
      </c>
      <c r="E134" s="2" t="inlineStr">
        <is>
          <t>카드-회원 매핑</t>
        </is>
      </c>
      <c r="F134" s="2" t="inlineStr">
        <is>
          <t>회원 검색 후 매핑</t>
        </is>
      </c>
      <c r="G134" s="2" t="inlineStr">
        <is>
          <t>FN-017</t>
        </is>
      </c>
      <c r="H134" s="2" t="n"/>
      <c r="I134" s="2" t="inlineStr">
        <is>
          <t>AutoComplete</t>
        </is>
      </c>
      <c r="J134" s="2" t="n"/>
      <c r="K134" s="2" t="inlineStr">
        <is>
          <t>1개 이상 선택 필수</t>
        </is>
      </c>
      <c r="L134" s="2" t="inlineStr">
        <is>
          <t>회원 매핑을(를) 선택하세요</t>
        </is>
      </c>
      <c r="M134" s="2" t="inlineStr">
        <is>
          <t>aria-label='회원 매핑'</t>
        </is>
      </c>
      <c r="N134" s="2" t="inlineStr">
        <is>
          <t>설계중</t>
        </is>
      </c>
      <c r="O134" s="2" t="n"/>
      <c r="P134" s="2" t="inlineStr">
        <is>
          <t>RFID 관리</t>
        </is>
      </c>
      <c r="Q134" s="2" t="inlineStr">
        <is>
          <t>RFID 관리</t>
        </is>
      </c>
      <c r="R134" s="2">
        <f>IFERROR(VLOOKUP(H134,API명세서!A:D,4,FALSE()),"")</f>
        <v/>
      </c>
      <c r="S134" s="2" t="n"/>
    </row>
    <row r="135" outlineLevel="1">
      <c r="A135" s="2" t="inlineStr">
        <is>
          <t>UI-110</t>
        </is>
      </c>
      <c r="B135" s="2" t="inlineStr">
        <is>
          <t>SCR-052</t>
        </is>
      </c>
      <c r="C135" s="2" t="inlineStr">
        <is>
          <t>카드 이력</t>
        </is>
      </c>
      <c r="D135" s="2" t="inlineStr">
        <is>
          <t>List</t>
        </is>
      </c>
      <c r="E135" s="2" t="inlineStr">
        <is>
          <t>카드 등록/해제 이력</t>
        </is>
      </c>
      <c r="F135" s="2" t="inlineStr">
        <is>
          <t>시간순 정렬</t>
        </is>
      </c>
      <c r="G135" s="2" t="inlineStr">
        <is>
          <t>FN-017</t>
        </is>
      </c>
      <c r="H135" s="2" t="n"/>
      <c r="I135" s="2" t="inlineStr">
        <is>
          <t>DataTable</t>
        </is>
      </c>
      <c r="J135" s="2" t="n"/>
      <c r="K135" s="2" t="n"/>
      <c r="L135" s="2" t="n"/>
      <c r="M135" s="2" t="inlineStr">
        <is>
          <t>aria-label='카드 이력'</t>
        </is>
      </c>
      <c r="N135" s="2" t="inlineStr">
        <is>
          <t>설계중</t>
        </is>
      </c>
      <c r="O135" s="2" t="n"/>
      <c r="P135" s="2" t="inlineStr">
        <is>
          <t>RFID 관리</t>
        </is>
      </c>
      <c r="Q135" s="2" t="inlineStr">
        <is>
          <t>RFID 관리</t>
        </is>
      </c>
      <c r="R135" s="2">
        <f>IFERROR(VLOOKUP(H135,API명세서!A:D,4,FALSE()),"")</f>
        <v/>
      </c>
      <c r="S135" s="2" t="n"/>
    </row>
    <row r="136">
      <c r="A136" s="3" t="inlineStr">
        <is>
          <t>▼ SCR-053</t>
        </is>
      </c>
      <c r="B136" s="3" t="inlineStr">
        <is>
          <t>룸 관리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 outlineLevel="1">
      <c r="A137" s="2" t="inlineStr">
        <is>
          <t>UI-111</t>
        </is>
      </c>
      <c r="B137" s="2" t="inlineStr">
        <is>
          <t>SCR-053</t>
        </is>
      </c>
      <c r="C137" s="2" t="inlineStr">
        <is>
          <t>룸 카드</t>
        </is>
      </c>
      <c r="D137" s="2" t="inlineStr">
        <is>
          <t>Card</t>
        </is>
      </c>
      <c r="E137" s="2" t="inlineStr">
        <is>
          <t>GX/PT 룸 카드 뷰</t>
        </is>
      </c>
      <c r="F137" s="2" t="inlineStr">
        <is>
          <t>룸명/수용인원/상태 표시</t>
        </is>
      </c>
      <c r="G137" s="2" t="inlineStr">
        <is>
          <t>FN-018</t>
        </is>
      </c>
      <c r="H137" s="2" t="n"/>
      <c r="I137" s="2" t="inlineStr">
        <is>
          <t>Card Grid</t>
        </is>
      </c>
      <c r="J137" s="2" t="n"/>
      <c r="K137" s="2" t="n"/>
      <c r="L137" s="2" t="n"/>
      <c r="M137" s="2" t="inlineStr">
        <is>
          <t>aria-label='룸 목록'</t>
        </is>
      </c>
      <c r="N137" s="2" t="inlineStr">
        <is>
          <t>설계중</t>
        </is>
      </c>
      <c r="O137" s="2" t="n"/>
      <c r="P137" s="2" t="inlineStr">
        <is>
          <t>룸 관리</t>
        </is>
      </c>
      <c r="Q137" s="2" t="inlineStr">
        <is>
          <t>룸 관리</t>
        </is>
      </c>
      <c r="R137" s="2">
        <f>IFERROR(VLOOKUP(H137,API명세서!A:D,4,FALSE()),"")</f>
        <v/>
      </c>
      <c r="S137" s="2" t="n"/>
    </row>
    <row r="138" outlineLevel="1">
      <c r="A138" s="2" t="inlineStr">
        <is>
          <t>UI-112</t>
        </is>
      </c>
      <c r="B138" s="2" t="inlineStr">
        <is>
          <t>SCR-053</t>
        </is>
      </c>
      <c r="C138" s="2" t="inlineStr">
        <is>
          <t>룸 등록 모달</t>
        </is>
      </c>
      <c r="D138" s="2" t="inlineStr">
        <is>
          <t>Modal</t>
        </is>
      </c>
      <c r="E138" s="2" t="inlineStr">
        <is>
          <t>신규 룸 등록</t>
        </is>
      </c>
      <c r="F138" s="2" t="inlineStr">
        <is>
          <t>룸명/유형/수용인원/시간대 설정</t>
        </is>
      </c>
      <c r="G138" s="2" t="inlineStr">
        <is>
          <t>FN-018</t>
        </is>
      </c>
      <c r="H138" s="2" t="n"/>
      <c r="I138" s="2" t="inlineStr">
        <is>
          <t>Modal + Form</t>
        </is>
      </c>
      <c r="J138" s="2" t="n"/>
      <c r="K138" s="2" t="inlineStr">
        <is>
          <t>룸명 필수</t>
        </is>
      </c>
      <c r="L138" s="2" t="inlineStr">
        <is>
          <t>룸명을 입력하세요</t>
        </is>
      </c>
      <c r="M138" s="2" t="inlineStr">
        <is>
          <t>aria-modal='true'</t>
        </is>
      </c>
      <c r="N138" s="2" t="inlineStr">
        <is>
          <t>설계중</t>
        </is>
      </c>
      <c r="O138" s="2" t="n"/>
      <c r="P138" s="2" t="inlineStr">
        <is>
          <t>룸 관리</t>
        </is>
      </c>
      <c r="Q138" s="2" t="inlineStr">
        <is>
          <t>룸 관리</t>
        </is>
      </c>
      <c r="R138" s="2">
        <f>IFERROR(VLOOKUP(H138,API명세서!A:D,4,FALSE()),"")</f>
        <v/>
      </c>
      <c r="S138" s="2" t="n"/>
    </row>
    <row r="139">
      <c r="A139" s="3" t="inlineStr">
        <is>
          <t>▼ SCR-081</t>
        </is>
      </c>
      <c r="B139" s="3" t="inlineStr">
        <is>
          <t>구독 관리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 outlineLevel="1">
      <c r="A140" s="2" t="inlineStr">
        <is>
          <t>UI-113</t>
        </is>
      </c>
      <c r="B140" s="2" t="inlineStr">
        <is>
          <t>SCR-081</t>
        </is>
      </c>
      <c r="C140" s="2" t="inlineStr">
        <is>
          <t>구독 목록</t>
        </is>
      </c>
      <c r="D140" s="2" t="inlineStr">
        <is>
          <t>List</t>
        </is>
      </c>
      <c r="E140" s="2" t="inlineStr">
        <is>
          <t>정기 구독 상품 목록</t>
        </is>
      </c>
      <c r="F140" s="2" t="inlineStr">
        <is>
          <t>상태/결제일/금액 표시</t>
        </is>
      </c>
      <c r="G140" s="2" t="inlineStr">
        <is>
          <t>FN-028</t>
        </is>
      </c>
      <c r="H140" s="2" t="n"/>
      <c r="I140" s="2" t="inlineStr">
        <is>
          <t>DataTable</t>
        </is>
      </c>
      <c r="J140" s="2" t="n"/>
      <c r="K140" s="2" t="n"/>
      <c r="L140" s="2" t="n"/>
      <c r="M140" s="2" t="inlineStr">
        <is>
          <t>aria-label='구독 목록'</t>
        </is>
      </c>
      <c r="N140" s="2" t="inlineStr">
        <is>
          <t>설계중</t>
        </is>
      </c>
      <c r="O140" s="2" t="n"/>
      <c r="P140" s="2" t="inlineStr">
        <is>
          <t>구독 관리</t>
        </is>
      </c>
      <c r="Q140" s="2" t="inlineStr">
        <is>
          <t>구독 관리</t>
        </is>
      </c>
      <c r="R140" s="2">
        <f>IFERROR(VLOOKUP(H140,API명세서!A:D,4,FALSE()),"")</f>
        <v/>
      </c>
      <c r="S140" s="2" t="n"/>
    </row>
    <row r="141" outlineLevel="1">
      <c r="A141" s="2" t="inlineStr">
        <is>
          <t>UI-114</t>
        </is>
      </c>
      <c r="B141" s="2" t="inlineStr">
        <is>
          <t>SCR-081</t>
        </is>
      </c>
      <c r="C141" s="2" t="inlineStr">
        <is>
          <t>구독 상세 모달</t>
        </is>
      </c>
      <c r="D141" s="2" t="inlineStr">
        <is>
          <t>Modal</t>
        </is>
      </c>
      <c r="E141" s="2" t="inlineStr">
        <is>
          <t>구독 상세 정보</t>
        </is>
      </c>
      <c r="F141" s="2" t="inlineStr">
        <is>
          <t>결제 이력, 해지 옵션</t>
        </is>
      </c>
      <c r="G141" s="2" t="inlineStr">
        <is>
          <t>FN-028</t>
        </is>
      </c>
      <c r="H141" s="2" t="n"/>
      <c r="I141" s="2" t="inlineStr">
        <is>
          <t>Modal</t>
        </is>
      </c>
      <c r="J141" s="2" t="n"/>
      <c r="K141" s="2" t="n"/>
      <c r="L141" s="2" t="n"/>
      <c r="M141" s="2" t="inlineStr">
        <is>
          <t>aria-modal='true'</t>
        </is>
      </c>
      <c r="N141" s="2" t="inlineStr">
        <is>
          <t>설계중</t>
        </is>
      </c>
      <c r="O141" s="2" t="n"/>
      <c r="P141" s="2" t="inlineStr">
        <is>
          <t>구독 관리</t>
        </is>
      </c>
      <c r="Q141" s="2" t="inlineStr">
        <is>
          <t>구독 관리</t>
        </is>
      </c>
      <c r="R141" s="2">
        <f>IFERROR(VLOOKUP(H141,API명세서!A:D,4,FALSE()),"")</f>
        <v/>
      </c>
      <c r="S141" s="2" t="n"/>
    </row>
    <row r="142">
      <c r="A142" s="3" t="inlineStr">
        <is>
          <t>▼ SCR-092</t>
        </is>
      </c>
      <c r="B142" s="3" t="inlineStr">
        <is>
          <t>키오스크 설정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 outlineLevel="1">
      <c r="A143" s="2" t="inlineStr">
        <is>
          <t>UI-115</t>
        </is>
      </c>
      <c r="B143" s="2" t="inlineStr">
        <is>
          <t>SCR-092</t>
        </is>
      </c>
      <c r="C143" s="2" t="inlineStr">
        <is>
          <t>미리보기</t>
        </is>
      </c>
      <c r="D143" s="2" t="inlineStr">
        <is>
          <t>Card</t>
        </is>
      </c>
      <c r="E143" s="2" t="inlineStr">
        <is>
          <t>키오스크 화면 미리보기</t>
        </is>
      </c>
      <c r="F143" s="2" t="inlineStr">
        <is>
          <t>실시간 설정 반영</t>
        </is>
      </c>
      <c r="G143" s="2" t="inlineStr">
        <is>
          <t>FN-031</t>
        </is>
      </c>
      <c r="H143" s="2" t="n"/>
      <c r="I143" s="2" t="inlineStr">
        <is>
          <t>Preview 컴포넌트</t>
        </is>
      </c>
      <c r="J143" s="2" t="n"/>
      <c r="K143" s="2" t="n"/>
      <c r="L143" s="2" t="n"/>
      <c r="M143" s="2" t="inlineStr">
        <is>
          <t>aria-label='미리보기'</t>
        </is>
      </c>
      <c r="N143" s="2" t="inlineStr">
        <is>
          <t>설계중</t>
        </is>
      </c>
      <c r="O143" s="2" t="n"/>
      <c r="P143" s="2" t="inlineStr">
        <is>
          <t>키오스크 설정</t>
        </is>
      </c>
      <c r="Q143" s="2" t="inlineStr">
        <is>
          <t>키오스크 설정</t>
        </is>
      </c>
      <c r="R143" s="2">
        <f>IFERROR(VLOOKUP(H143,API명세서!A:D,4,FALSE()),"")</f>
        <v/>
      </c>
      <c r="S143" s="2" t="n"/>
    </row>
    <row r="144" outlineLevel="1">
      <c r="A144" s="2" t="inlineStr">
        <is>
          <t>UI-116</t>
        </is>
      </c>
      <c r="B144" s="2" t="inlineStr">
        <is>
          <t>SCR-092</t>
        </is>
      </c>
      <c r="C144" s="2" t="inlineStr">
        <is>
          <t>로고 업로드</t>
        </is>
      </c>
      <c r="D144" s="2" t="inlineStr">
        <is>
          <t>Button</t>
        </is>
      </c>
      <c r="E144" s="2" t="inlineStr">
        <is>
          <t>센터 로고 업로드</t>
        </is>
      </c>
      <c r="F144" s="2" t="inlineStr">
        <is>
          <t>이미지 파일 선택, 5MB 제한</t>
        </is>
      </c>
      <c r="G144" s="2" t="inlineStr">
        <is>
          <t>FN-031</t>
        </is>
      </c>
      <c r="H144" s="2" t="n"/>
      <c r="I144" s="2" t="inlineStr">
        <is>
          <t>FileUpload</t>
        </is>
      </c>
      <c r="J144" s="2" t="n"/>
      <c r="K144" s="2" t="inlineStr">
        <is>
          <t>5MB 이하, JPG/PNG</t>
        </is>
      </c>
      <c r="L144" s="2" t="inlineStr">
        <is>
          <t>5MB 이하 파일만 가능</t>
        </is>
      </c>
      <c r="M144" s="2" t="inlineStr">
        <is>
          <t>aria-label='로고 업로드'</t>
        </is>
      </c>
      <c r="N144" s="2" t="inlineStr">
        <is>
          <t>설계중</t>
        </is>
      </c>
      <c r="O144" s="2" t="n"/>
      <c r="P144" s="2" t="inlineStr">
        <is>
          <t>키오스크 설정</t>
        </is>
      </c>
      <c r="Q144" s="2" t="inlineStr">
        <is>
          <t>키오스크 설정</t>
        </is>
      </c>
      <c r="R144" s="2">
        <f>IFERROR(VLOOKUP(H144,API명세서!A:D,4,FALSE()),"")</f>
        <v/>
      </c>
      <c r="S144" s="2" t="n"/>
    </row>
    <row r="145">
      <c r="A145" s="3" t="inlineStr">
        <is>
          <t>▼ SCR-093</t>
        </is>
      </c>
      <c r="B145" s="3" t="inlineStr">
        <is>
          <t>IoT 설정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 outlineLevel="1">
      <c r="A146" s="2" t="inlineStr">
        <is>
          <t>UI-117</t>
        </is>
      </c>
      <c r="B146" s="2" t="inlineStr">
        <is>
          <t>SCR-093</t>
        </is>
      </c>
      <c r="C146" s="2" t="inlineStr">
        <is>
          <t>기기 목록</t>
        </is>
      </c>
      <c r="D146" s="2" t="inlineStr">
        <is>
          <t>List</t>
        </is>
      </c>
      <c r="E146" s="2" t="inlineStr">
        <is>
          <t>연동 기기 목록</t>
        </is>
      </c>
      <c r="F146" s="2" t="inlineStr">
        <is>
          <t>연결상태 표시 (온라인/오프라인)</t>
        </is>
      </c>
      <c r="G146" s="2" t="inlineStr">
        <is>
          <t>FN-032</t>
        </is>
      </c>
      <c r="H146" s="2" t="n"/>
      <c r="I146" s="2" t="inlineStr">
        <is>
          <t>DataTable + 상태 아이콘</t>
        </is>
      </c>
      <c r="J146" s="2" t="n"/>
      <c r="K146" s="2" t="n"/>
      <c r="L146" s="2" t="n"/>
      <c r="M146" s="2" t="inlineStr">
        <is>
          <t>aria-label='기기 목록'</t>
        </is>
      </c>
      <c r="N146" s="2" t="inlineStr">
        <is>
          <t>설계중</t>
        </is>
      </c>
      <c r="O146" s="2" t="n"/>
      <c r="P146" s="2" t="inlineStr">
        <is>
          <t>IoT 설정</t>
        </is>
      </c>
      <c r="Q146" s="2" t="inlineStr">
        <is>
          <t>IoT 설정</t>
        </is>
      </c>
      <c r="R146" s="2">
        <f>IFERROR(VLOOKUP(H146,API명세서!A:D,4,FALSE()),"")</f>
        <v/>
      </c>
      <c r="S146" s="2" t="n"/>
    </row>
    <row r="147" outlineLevel="1">
      <c r="A147" s="2" t="inlineStr">
        <is>
          <t>UI-118</t>
        </is>
      </c>
      <c r="B147" s="2" t="inlineStr">
        <is>
          <t>SCR-093</t>
        </is>
      </c>
      <c r="C147" s="2" t="inlineStr">
        <is>
          <t>연결 테스트 버튼</t>
        </is>
      </c>
      <c r="D147" s="2" t="inlineStr">
        <is>
          <t>Button</t>
        </is>
      </c>
      <c r="E147" s="2" t="inlineStr">
        <is>
          <t>기기 연결 테스트</t>
        </is>
      </c>
      <c r="F147" s="2" t="inlineStr">
        <is>
          <t>클릭 시 ping 테스트, 결과 표시</t>
        </is>
      </c>
      <c r="G147" s="2" t="inlineStr">
        <is>
          <t>FN-032</t>
        </is>
      </c>
      <c r="H147" s="2" t="n"/>
      <c r="I147" s="2" t="inlineStr">
        <is>
          <t>Button + 결과 표시</t>
        </is>
      </c>
      <c r="J147" s="2" t="n"/>
      <c r="K147" s="2" t="n"/>
      <c r="L147" s="2" t="n"/>
      <c r="M147" s="2" t="inlineStr">
        <is>
          <t>aria-label='연결 테스트'</t>
        </is>
      </c>
      <c r="N147" s="2" t="inlineStr">
        <is>
          <t>설계중</t>
        </is>
      </c>
      <c r="O147" s="2" t="n"/>
      <c r="P147" s="2" t="inlineStr">
        <is>
          <t>IoT 설정</t>
        </is>
      </c>
      <c r="Q147" s="2" t="inlineStr">
        <is>
          <t>IoT 설정</t>
        </is>
      </c>
      <c r="R147" s="2">
        <f>IFERROR(VLOOKUP(H147,API명세서!A:D,4,FALSE()),"")</f>
        <v/>
      </c>
      <c r="S147" s="2" t="n"/>
    </row>
    <row r="148">
      <c r="A148" s="3" t="inlineStr">
        <is>
          <t>▼ SCR-013</t>
        </is>
      </c>
      <c r="B148" s="3" t="inlineStr">
        <is>
          <t>회원 수정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 outlineLevel="1">
      <c r="A149" s="2" t="inlineStr">
        <is>
          <t>UI-119</t>
        </is>
      </c>
      <c r="B149" s="2" t="inlineStr">
        <is>
          <t>SCR-013</t>
        </is>
      </c>
      <c r="C149" s="2" t="inlineStr">
        <is>
          <t>기존 정보 프리필 폼</t>
        </is>
      </c>
      <c r="D149" s="2" t="inlineStr">
        <is>
          <t>Card</t>
        </is>
      </c>
      <c r="E149" s="2" t="inlineStr">
        <is>
          <t>기존 회원 정보가 채워진 폼</t>
        </is>
      </c>
      <c r="F149" s="2" t="inlineStr">
        <is>
          <t>변경된 필드 강조 표시</t>
        </is>
      </c>
      <c r="G149" s="2" t="inlineStr">
        <is>
          <t>FN-005</t>
        </is>
      </c>
      <c r="H149" s="2" t="inlineStr">
        <is>
          <t>API-010</t>
        </is>
      </c>
      <c r="I149" s="2" t="inlineStr">
        <is>
          <t>폼 + diff 표시</t>
        </is>
      </c>
      <c r="J149" s="2" t="n"/>
      <c r="K149" s="2" t="n"/>
      <c r="L149" s="2" t="n"/>
      <c r="M149" s="2" t="inlineStr">
        <is>
          <t>aria-label='회원 정보 수정'</t>
        </is>
      </c>
      <c r="N149" s="2" t="inlineStr">
        <is>
          <t>설계중</t>
        </is>
      </c>
      <c r="O149" s="2" t="n"/>
      <c r="P149" s="2" t="inlineStr">
        <is>
          <t>회원 수정</t>
        </is>
      </c>
      <c r="Q149" s="2" t="inlineStr">
        <is>
          <t>회원 정보 수정</t>
        </is>
      </c>
      <c r="R149" s="2" t="inlineStr">
        <is>
          <t>/api/v1/members/:id</t>
        </is>
      </c>
      <c r="S149" s="2" t="n"/>
    </row>
    <row r="150" outlineLevel="1">
      <c r="A150" s="2" t="inlineStr">
        <is>
          <t>UI-120</t>
        </is>
      </c>
      <c r="B150" s="2" t="inlineStr">
        <is>
          <t>SCR-013</t>
        </is>
      </c>
      <c r="C150" s="2" t="inlineStr">
        <is>
          <t>저장 버튼</t>
        </is>
      </c>
      <c r="D150" s="2" t="inlineStr">
        <is>
          <t>Button</t>
        </is>
      </c>
      <c r="E150" s="2" t="inlineStr">
        <is>
          <t>수정 저장</t>
        </is>
      </c>
      <c r="F150" s="2" t="inlineStr">
        <is>
          <t>변경사항 확인 모달 후 저장</t>
        </is>
      </c>
      <c r="G150" s="2" t="inlineStr">
        <is>
          <t>FN-005</t>
        </is>
      </c>
      <c r="H150" s="2" t="inlineStr">
        <is>
          <t>API-010</t>
        </is>
      </c>
      <c r="I150" s="2" t="inlineStr">
        <is>
          <t>Primary Button + 확인 모달</t>
        </is>
      </c>
      <c r="J150" s="2" t="n"/>
      <c r="K150" s="2" t="inlineStr">
        <is>
          <t>변경사항 존재</t>
        </is>
      </c>
      <c r="L150" s="2" t="inlineStr">
        <is>
          <t>수정에 실패했습니다</t>
        </is>
      </c>
      <c r="M150" s="2" t="inlineStr">
        <is>
          <t>aria-label='저장'</t>
        </is>
      </c>
      <c r="N150" s="2" t="inlineStr">
        <is>
          <t>설계중</t>
        </is>
      </c>
      <c r="O150" s="2" t="n"/>
      <c r="P150" s="2" t="inlineStr">
        <is>
          <t>회원 수정</t>
        </is>
      </c>
      <c r="Q150" s="2" t="inlineStr">
        <is>
          <t>회원 정보 수정</t>
        </is>
      </c>
      <c r="R150" s="2" t="inlineStr">
        <is>
          <t>/api/v1/members/:id</t>
        </is>
      </c>
      <c r="S150" s="2" t="n"/>
    </row>
    <row r="151">
      <c r="A151" s="3" t="inlineStr">
        <is>
          <t>▼ SCR-014</t>
        </is>
      </c>
      <c r="B151" s="3" t="inlineStr">
        <is>
          <t>체성분 분석 추가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 outlineLevel="1">
      <c r="A152" s="2" t="inlineStr">
        <is>
          <t>UI-121</t>
        </is>
      </c>
      <c r="B152" s="2" t="inlineStr">
        <is>
          <t>SCR-014</t>
        </is>
      </c>
      <c r="C152" s="2" t="inlineStr">
        <is>
          <t>측정값 입력 폼</t>
        </is>
      </c>
      <c r="D152" s="2" t="inlineStr">
        <is>
          <t>Card</t>
        </is>
      </c>
      <c r="E152" s="2" t="inlineStr">
        <is>
          <t>체중/골격근/체지방률 등 입력</t>
        </is>
      </c>
      <c r="F152" s="2" t="inlineStr">
        <is>
          <t>숫자 입력, 단위 표시</t>
        </is>
      </c>
      <c r="G152" s="2" t="inlineStr">
        <is>
          <t>FN-007</t>
        </is>
      </c>
      <c r="H152" s="2" t="n"/>
      <c r="I152" s="2" t="inlineStr">
        <is>
          <t>입력 폼</t>
        </is>
      </c>
      <c r="J152" s="2" t="n"/>
      <c r="K152" s="2" t="n"/>
      <c r="L152" s="2" t="n"/>
      <c r="M152" s="2" t="inlineStr">
        <is>
          <t>aria-label='체성분 입력'</t>
        </is>
      </c>
      <c r="N152" s="2" t="inlineStr">
        <is>
          <t>설계중</t>
        </is>
      </c>
      <c r="O152" s="2" t="n"/>
      <c r="P152" s="2" t="inlineStr">
        <is>
          <t>체성분 분석</t>
        </is>
      </c>
      <c r="Q152" s="2" t="inlineStr">
        <is>
          <t>체성분 기록/분석</t>
        </is>
      </c>
      <c r="R152" s="2">
        <f>IFERROR(VLOOKUP(H152,API명세서!A:D,4,FALSE()),"")</f>
        <v/>
      </c>
      <c r="S152" s="2" t="n"/>
    </row>
    <row r="153" outlineLevel="1">
      <c r="A153" s="2" t="inlineStr">
        <is>
          <t>UI-122</t>
        </is>
      </c>
      <c r="B153" s="2" t="inlineStr">
        <is>
          <t>SCR-014</t>
        </is>
      </c>
      <c r="C153" s="2" t="inlineStr">
        <is>
          <t>변화 추이 차트</t>
        </is>
      </c>
      <c r="D153" s="2" t="inlineStr">
        <is>
          <t>Card</t>
        </is>
      </c>
      <c r="E153" s="2" t="inlineStr">
        <is>
          <t>측정일 기준 라인 차트</t>
        </is>
      </c>
      <c r="F153" s="2" t="inlineStr">
        <is>
          <t>항목별 토글, 호버 툴팁</t>
        </is>
      </c>
      <c r="G153" s="2" t="inlineStr">
        <is>
          <t>FN-007</t>
        </is>
      </c>
      <c r="H153" s="2" t="n"/>
      <c r="I153" s="2" t="inlineStr">
        <is>
          <t>Recharts LineChart</t>
        </is>
      </c>
      <c r="J153" s="2" t="n"/>
      <c r="K153" s="2" t="n"/>
      <c r="L153" s="2" t="n"/>
      <c r="M153" s="2" t="inlineStr">
        <is>
          <t>차트 데이터 테이블 대체</t>
        </is>
      </c>
      <c r="N153" s="2" t="inlineStr">
        <is>
          <t>설계중</t>
        </is>
      </c>
      <c r="O153" s="2" t="n"/>
      <c r="P153" s="2" t="inlineStr">
        <is>
          <t>체성분 분석</t>
        </is>
      </c>
      <c r="Q153" s="2" t="inlineStr">
        <is>
          <t>체성분 기록/분석</t>
        </is>
      </c>
      <c r="R153" s="2">
        <f>IFERROR(VLOOKUP(H153,API명세서!A:D,4,FALSE()),"")</f>
        <v/>
      </c>
      <c r="S153" s="2" t="n"/>
    </row>
    <row r="154">
      <c r="A154" s="3" t="inlineStr">
        <is>
          <t>▼ SCR-020</t>
        </is>
      </c>
      <c r="B154" s="3" t="inlineStr">
        <is>
          <t>출석 기록 추가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 outlineLevel="1">
      <c r="A155" s="2" t="inlineStr">
        <is>
          <t>UI-123</t>
        </is>
      </c>
      <c r="B155" s="2" t="inlineStr">
        <is>
          <t>SCR-020</t>
        </is>
      </c>
      <c r="C155" s="2" t="inlineStr">
        <is>
          <t>날짜 필터</t>
        </is>
      </c>
      <c r="D155" s="2" t="inlineStr">
        <is>
          <t>Input</t>
        </is>
      </c>
      <c r="E155" s="2" t="inlineStr">
        <is>
          <t>출석 조회 날짜 선택</t>
        </is>
      </c>
      <c r="F155" s="2" t="inlineStr">
        <is>
          <t>일별/주별/월별 토글</t>
        </is>
      </c>
      <c r="G155" s="2" t="inlineStr">
        <is>
          <t>FN-008</t>
        </is>
      </c>
      <c r="H155" s="2" t="inlineStr">
        <is>
          <t>API-013</t>
        </is>
      </c>
      <c r="I155" s="2" t="inlineStr">
        <is>
          <t>DatePicker + 뷰 토글</t>
        </is>
      </c>
      <c r="J155" s="2" t="n"/>
      <c r="K155" s="2" t="inlineStr">
        <is>
          <t>YYYY-MM-DD 형식, 유효한 날짜</t>
        </is>
      </c>
      <c r="L155" s="2" t="inlineStr">
        <is>
          <t>올바른 날짜를 입력하세요</t>
        </is>
      </c>
      <c r="M155" s="2" t="inlineStr">
        <is>
          <t>aria-label='날짜 필터'</t>
        </is>
      </c>
      <c r="N155" s="2" t="inlineStr">
        <is>
          <t>설계중</t>
        </is>
      </c>
      <c r="O155" s="2" t="n"/>
      <c r="P155" s="2" t="inlineStr">
        <is>
          <t>출석 기록</t>
        </is>
      </c>
      <c r="Q155" s="2" t="inlineStr">
        <is>
          <t>출석 기록 조회</t>
        </is>
      </c>
      <c r="R155" s="2" t="inlineStr">
        <is>
          <t>/api/v1/attendance</t>
        </is>
      </c>
      <c r="S155" s="2" t="n"/>
    </row>
    <row r="156" outlineLevel="1">
      <c r="A156" s="2" t="inlineStr">
        <is>
          <t>UI-124</t>
        </is>
      </c>
      <c r="B156" s="2" t="inlineStr">
        <is>
          <t>SCR-020</t>
        </is>
      </c>
      <c r="C156" s="2" t="inlineStr">
        <is>
          <t>출석 테이블</t>
        </is>
      </c>
      <c r="D156" s="2" t="inlineStr">
        <is>
          <t>List</t>
        </is>
      </c>
      <c r="E156" s="2" t="inlineStr">
        <is>
          <t>출석 이력 데이터 테이블</t>
        </is>
      </c>
      <c r="F156" s="2" t="inlineStr">
        <is>
          <t>유형/시간/타지점 여부 표시</t>
        </is>
      </c>
      <c r="G156" s="2" t="inlineStr">
        <is>
          <t>FN-008</t>
        </is>
      </c>
      <c r="H156" s="2" t="inlineStr">
        <is>
          <t>API-013</t>
        </is>
      </c>
      <c r="I156" s="2" t="inlineStr">
        <is>
          <t>DataTable</t>
        </is>
      </c>
      <c r="J156" s="2" t="n"/>
      <c r="K156" s="2" t="n"/>
      <c r="L156" s="2" t="n"/>
      <c r="M156" s="2" t="inlineStr">
        <is>
          <t>aria-label='출석 목록'</t>
        </is>
      </c>
      <c r="N156" s="2" t="inlineStr">
        <is>
          <t>설계중</t>
        </is>
      </c>
      <c r="O156" s="2" t="n"/>
      <c r="P156" s="2" t="inlineStr">
        <is>
          <t>출석 기록</t>
        </is>
      </c>
      <c r="Q156" s="2" t="inlineStr">
        <is>
          <t>출석 기록 조회</t>
        </is>
      </c>
      <c r="R156" s="2" t="inlineStr">
        <is>
          <t>/api/v1/attendance</t>
        </is>
      </c>
      <c r="S156" s="2" t="n"/>
    </row>
    <row r="157">
      <c r="A157" s="3" t="inlineStr">
        <is>
          <t>▼ SCR-021</t>
        </is>
      </c>
      <c r="B157" s="3" t="inlineStr">
        <is>
          <t>일정 관리 추가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 outlineLevel="1">
      <c r="A158" s="2" t="inlineStr">
        <is>
          <t>UI-125</t>
        </is>
      </c>
      <c r="B158" s="2" t="inlineStr">
        <is>
          <t>SCR-021</t>
        </is>
      </c>
      <c r="C158" s="2" t="inlineStr">
        <is>
          <t>캘린더 뷰</t>
        </is>
      </c>
      <c r="D158" s="2" t="inlineStr">
        <is>
          <t>Card</t>
        </is>
      </c>
      <c r="E158" s="2" t="inlineStr">
        <is>
          <t>월/주/일 캘린더</t>
        </is>
      </c>
      <c r="F158" s="2" t="inlineStr">
        <is>
          <t>드래그앤드롭 일정 이동</t>
        </is>
      </c>
      <c r="G158" s="2" t="inlineStr">
        <is>
          <t>FN-009</t>
        </is>
      </c>
      <c r="H158" s="2" t="n"/>
      <c r="I158" s="2" t="inlineStr">
        <is>
          <t>FullCalendar</t>
        </is>
      </c>
      <c r="J158" s="2" t="n"/>
      <c r="K158" s="2" t="n"/>
      <c r="L158" s="2" t="n"/>
      <c r="M158" s="2" t="inlineStr">
        <is>
          <t>키보드 네비게이션 지원</t>
        </is>
      </c>
      <c r="N158" s="2" t="inlineStr">
        <is>
          <t>설계중</t>
        </is>
      </c>
      <c r="O158" s="2" t="n"/>
      <c r="P158" s="2" t="inlineStr">
        <is>
          <t>일정 관리</t>
        </is>
      </c>
      <c r="Q158" s="2" t="inlineStr">
        <is>
          <t>일정 관리</t>
        </is>
      </c>
      <c r="R158" s="2">
        <f>IFERROR(VLOOKUP(H158,API명세서!A:D,4,FALSE()),"")</f>
        <v/>
      </c>
      <c r="S158" s="2" t="n"/>
    </row>
    <row r="159" outlineLevel="1">
      <c r="A159" s="2" t="inlineStr">
        <is>
          <t>UI-126</t>
        </is>
      </c>
      <c r="B159" s="2" t="inlineStr">
        <is>
          <t>SCR-021</t>
        </is>
      </c>
      <c r="C159" s="2" t="inlineStr">
        <is>
          <t>일정 상세 모달</t>
        </is>
      </c>
      <c r="D159" s="2" t="inlineStr">
        <is>
          <t>Modal</t>
        </is>
      </c>
      <c r="E159" s="2" t="inlineStr">
        <is>
          <t>일정 클릭 시 상세</t>
        </is>
      </c>
      <c r="F159" s="2" t="inlineStr">
        <is>
          <t>수정/삭제/회원 연결</t>
        </is>
      </c>
      <c r="G159" s="2" t="inlineStr">
        <is>
          <t>FN-009</t>
        </is>
      </c>
      <c r="H159" s="2" t="n"/>
      <c r="I159" s="2" t="inlineStr">
        <is>
          <t>Modal + Form</t>
        </is>
      </c>
      <c r="J159" s="2" t="n"/>
      <c r="K159" s="2" t="n"/>
      <c r="L159" s="2" t="n"/>
      <c r="M159" s="2" t="inlineStr">
        <is>
          <t>aria-modal='true'</t>
        </is>
      </c>
      <c r="N159" s="2" t="inlineStr">
        <is>
          <t>설계중</t>
        </is>
      </c>
      <c r="O159" s="2" t="n"/>
      <c r="P159" s="2" t="inlineStr">
        <is>
          <t>일정 관리</t>
        </is>
      </c>
      <c r="Q159" s="2" t="inlineStr">
        <is>
          <t>일정 관리</t>
        </is>
      </c>
      <c r="R159" s="2">
        <f>IFERROR(VLOOKUP(H159,API명세서!A:D,4,FALSE()),"")</f>
        <v/>
      </c>
      <c r="S159" s="2" t="n"/>
    </row>
    <row r="160">
      <c r="A160" s="3" t="inlineStr">
        <is>
          <t>▼ SCR-063</t>
        </is>
      </c>
      <c r="B160" s="3" t="inlineStr">
        <is>
          <t>급여명세서 추가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 outlineLevel="1">
      <c r="A161" s="2" t="inlineStr">
        <is>
          <t>UI-127</t>
        </is>
      </c>
      <c r="B161" s="2" t="inlineStr">
        <is>
          <t>SCR-063</t>
        </is>
      </c>
      <c r="C161" s="2" t="inlineStr">
        <is>
          <t>직원/월 선택</t>
        </is>
      </c>
      <c r="D161" s="2" t="inlineStr">
        <is>
          <t>Select</t>
        </is>
      </c>
      <c r="E161" s="2" t="inlineStr">
        <is>
          <t>급여명세서 조회 조건</t>
        </is>
      </c>
      <c r="F161" s="2" t="inlineStr">
        <is>
          <t>직원 + 월 선택</t>
        </is>
      </c>
      <c r="G161" s="2" t="inlineStr">
        <is>
          <t>FN-022</t>
        </is>
      </c>
      <c r="H161" s="2" t="n"/>
      <c r="I161" s="2" t="inlineStr">
        <is>
          <t>Select 2개</t>
        </is>
      </c>
      <c r="J161" s="2" t="n"/>
      <c r="K161" s="2" t="inlineStr">
        <is>
          <t>1개 이상 선택 필수</t>
        </is>
      </c>
      <c r="L161" s="2" t="inlineStr">
        <is>
          <t>직원/월 선택을(를) 선택하세요</t>
        </is>
      </c>
      <c r="M161" s="2" t="inlineStr">
        <is>
          <t>aria-label='조회 조건'</t>
        </is>
      </c>
      <c r="N161" s="2" t="inlineStr">
        <is>
          <t>설계중</t>
        </is>
      </c>
      <c r="O161" s="2" t="n"/>
      <c r="P161" s="2" t="inlineStr">
        <is>
          <t>급여명세서</t>
        </is>
      </c>
      <c r="Q161" s="2" t="inlineStr">
        <is>
          <t>급여명세서 조회</t>
        </is>
      </c>
      <c r="R161" s="2">
        <f>IFERROR(VLOOKUP(H161,API명세서!A:D,4,FALSE()),"")</f>
        <v/>
      </c>
      <c r="S161" s="2" t="n"/>
    </row>
    <row r="162" outlineLevel="1">
      <c r="A162" s="2" t="inlineStr">
        <is>
          <t>UI-128</t>
        </is>
      </c>
      <c r="B162" s="2" t="inlineStr">
        <is>
          <t>SCR-063</t>
        </is>
      </c>
      <c r="C162" s="2" t="inlineStr">
        <is>
          <t>명세서 상세</t>
        </is>
      </c>
      <c r="D162" s="2" t="inlineStr">
        <is>
          <t>Card</t>
        </is>
      </c>
      <c r="E162" s="2" t="inlineStr">
        <is>
          <t>급여명세서 상세 내역</t>
        </is>
      </c>
      <c r="F162" s="2" t="inlineStr">
        <is>
          <t>기본급/수당/공제/실지급 항목별 표시</t>
        </is>
      </c>
      <c r="G162" s="2" t="inlineStr">
        <is>
          <t>FN-022</t>
        </is>
      </c>
      <c r="H162" s="2" t="n"/>
      <c r="I162" s="2" t="inlineStr">
        <is>
          <t>명세서 Card</t>
        </is>
      </c>
      <c r="J162" s="2" t="n"/>
      <c r="K162" s="2" t="n"/>
      <c r="L162" s="2" t="n"/>
      <c r="M162" s="2" t="inlineStr">
        <is>
          <t>aria-label='급여명세서'</t>
        </is>
      </c>
      <c r="N162" s="2" t="inlineStr">
        <is>
          <t>설계중</t>
        </is>
      </c>
      <c r="O162" s="2" t="n"/>
      <c r="P162" s="2" t="inlineStr">
        <is>
          <t>급여명세서</t>
        </is>
      </c>
      <c r="Q162" s="2" t="inlineStr">
        <is>
          <t>급여명세서 조회</t>
        </is>
      </c>
      <c r="R162" s="2">
        <f>IFERROR(VLOOKUP(H162,API명세서!A:D,4,FALSE()),"")</f>
        <v/>
      </c>
      <c r="S162" s="2" t="n"/>
    </row>
    <row r="163" outlineLevel="1">
      <c r="A163" s="2" t="inlineStr">
        <is>
          <t>UI-129</t>
        </is>
      </c>
      <c r="B163" s="2" t="inlineStr">
        <is>
          <t>SCR-063</t>
        </is>
      </c>
      <c r="C163" s="2" t="inlineStr">
        <is>
          <t>PDF 다운로드</t>
        </is>
      </c>
      <c r="D163" s="2" t="inlineStr">
        <is>
          <t>Button</t>
        </is>
      </c>
      <c r="E163" s="2" t="inlineStr">
        <is>
          <t>명세서 PDF 다운로드</t>
        </is>
      </c>
      <c r="F163" s="2" t="inlineStr">
        <is>
          <t>클릭 시 PDF 생성/다운로드</t>
        </is>
      </c>
      <c r="G163" s="2" t="inlineStr">
        <is>
          <t>FN-022</t>
        </is>
      </c>
      <c r="H163" s="2" t="n"/>
      <c r="I163" s="2" t="inlineStr">
        <is>
          <t>Button + html2pdf</t>
        </is>
      </c>
      <c r="J163" s="2" t="n"/>
      <c r="K163" s="2" t="n"/>
      <c r="L163" s="2" t="n"/>
      <c r="M163" s="2" t="inlineStr">
        <is>
          <t>aria-label='PDF 다운로드'</t>
        </is>
      </c>
      <c r="N163" s="2" t="inlineStr">
        <is>
          <t>설계중</t>
        </is>
      </c>
      <c r="O163" s="2" t="n"/>
      <c r="P163" s="2" t="inlineStr">
        <is>
          <t>급여명세서</t>
        </is>
      </c>
      <c r="Q163" s="2" t="inlineStr">
        <is>
          <t>급여명세서 조회</t>
        </is>
      </c>
      <c r="R163" s="2">
        <f>IFERROR(VLOOKUP(H163,API명세서!A:D,4,FALSE()),"")</f>
        <v/>
      </c>
      <c r="S163" s="2" t="n"/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outlineLevel="1">
      <c r="A3" s="2" t="inlineStr">
        <is>
          <t>FN-001</t>
        </is>
      </c>
      <c r="B3" s="2" t="inlineStr">
        <is>
          <t>로그인</t>
        </is>
      </c>
      <c r="C3" s="2" t="inlineStr">
        <is>
          <t>인증</t>
        </is>
      </c>
      <c r="D3" s="2" t="inlineStr">
        <is>
          <t>Web</t>
        </is>
      </c>
      <c r="E3" s="2" t="inlineStr">
        <is>
          <t>Critical</t>
        </is>
      </c>
      <c r="F3" s="2" t="inlineStr">
        <is>
          <t>이메일/비밀번호 기반 로그인 + 지점 선택</t>
        </is>
      </c>
      <c r="G3" s="2" t="inlineStr">
        <is>
          <t>1) 이메일/비밀번호 입력
2) 지점 선택 필수
3) JWT 토큰 발급
4) 로그인 실패 횟수 추적</t>
        </is>
      </c>
      <c r="H3" s="2" t="inlineStr">
        <is>
          <t>SCR-001</t>
        </is>
      </c>
      <c r="I3" s="2" t="inlineStr">
        <is>
          <t>이메일, 비밀번호, 지점ID</t>
        </is>
      </c>
      <c r="J3" s="2" t="inlineStr">
        <is>
          <t>JWT 토큰, 사용자 정보, 권한 목록</t>
        </is>
      </c>
      <c r="K3" s="2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2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2" t="inlineStr">
        <is>
          <t>React Hook Form + Zod 스키마 검증
axios + JWT 인터셉터 (자동 토큰 첨부/갱신)
Zustand authStore (token, user, branchId)
비밀번호 마스킹 토글 (Eye 아이콘)
shake 애니메이션 – 에러 시 폼 흔들림 효과
sonner 토스트 알림
잠금 카운트다운 타이머 UI</t>
        </is>
      </c>
      <c r="N3" s="2" t="n"/>
      <c r="O3" s="2" t="inlineStr">
        <is>
          <t>API-001</t>
        </is>
      </c>
      <c r="P3" s="2" t="inlineStr">
        <is>
          <t>확정</t>
        </is>
      </c>
      <c r="Q3" s="2" t="n"/>
      <c r="R3" s="2" t="inlineStr">
        <is>
          <t>로그인</t>
        </is>
      </c>
      <c r="S3" s="2" t="inlineStr">
        <is>
          <t>/api/v1/auth/login</t>
        </is>
      </c>
      <c r="T3" s="2" t="n"/>
      <c r="U3" s="2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outlineLevel="1">
      <c r="A5" s="2" t="inlineStr">
        <is>
          <t>FN-002</t>
        </is>
      </c>
      <c r="B5" s="2" t="inlineStr">
        <is>
          <t>대시보드 통계 조회</t>
        </is>
      </c>
      <c r="C5" s="2" t="inlineStr">
        <is>
          <t>대시보드</t>
        </is>
      </c>
      <c r="D5" s="2" t="inlineStr">
        <is>
          <t>Web</t>
        </is>
      </c>
      <c r="E5" s="2" t="inlineStr">
        <is>
          <t>Critical</t>
        </is>
      </c>
      <c r="F5" s="2" t="inlineStr">
        <is>
          <t>지점별 핵심 KPI 대시보드 (회원/매출/출석 요약)</t>
        </is>
      </c>
      <c r="G5" s="2" t="inlineStr">
        <is>
          <t>1) 총회원/활성/만료임박/만료 카운트
2) 오늘 생일 회원 리스트
3) 미납 회원 리스트
4) 만료 예정 회원
5) 당월 매출 차트</t>
        </is>
      </c>
      <c r="H5" s="2" t="inlineStr">
        <is>
          <t>SCR-002</t>
        </is>
      </c>
      <c r="I5" s="2" t="inlineStr">
        <is>
          <t>지점ID (JWT에서 추출)</t>
        </is>
      </c>
      <c r="J5" s="2" t="inlineStr">
        <is>
          <t>통계 데이터, 리스트, 차트 데이터</t>
        </is>
      </c>
      <c r="K5" s="2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2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2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2" t="n"/>
      <c r="O5" s="2" t="inlineStr">
        <is>
          <t>API-003</t>
        </is>
      </c>
      <c r="P5" s="2" t="inlineStr">
        <is>
          <t>확정</t>
        </is>
      </c>
      <c r="Q5" s="2" t="n"/>
      <c r="R5" s="2" t="inlineStr">
        <is>
          <t>대시보드</t>
        </is>
      </c>
      <c r="S5" s="2" t="inlineStr">
        <is>
          <t>/api/v1/dashboard/stats</t>
        </is>
      </c>
      <c r="T5" s="2" t="n"/>
      <c r="U5" s="2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2" t="inlineStr">
        <is>
          <t>FN-003</t>
        </is>
      </c>
      <c r="B7" s="2" t="inlineStr">
        <is>
          <t>회원 목록 조회/검색/필터</t>
        </is>
      </c>
      <c r="C7" s="2" t="inlineStr">
        <is>
          <t>회원관리</t>
        </is>
      </c>
      <c r="D7" s="2" t="inlineStr">
        <is>
          <t>Web</t>
        </is>
      </c>
      <c r="E7" s="2" t="inlineStr">
        <is>
          <t>Critical</t>
        </is>
      </c>
      <c r="F7" s="2" t="inlineStr">
        <is>
          <t>회원 검색, 필터, 페이지네이션 목록 조회</t>
        </is>
      </c>
      <c r="G7" s="2" t="inlineStr">
        <is>
          <t>1) 이름/연락처/회원번호 검색 (300ms debounce)
2) 상태/성별/담당자 필터 조합
3) 컬럼 정렬
4) 페이지당 20/50/100건
5) 엑셀 다운로드</t>
        </is>
      </c>
      <c r="H7" s="2" t="inlineStr">
        <is>
          <t>SCR-010</t>
        </is>
      </c>
      <c r="I7" s="2" t="inlineStr">
        <is>
          <t>검색어, 필터 조건, 페이지 번호, 정렬 기준</t>
        </is>
      </c>
      <c r="J7" s="2" t="inlineStr">
        <is>
          <t>회원 목록 (이름/연락처/상태/이용권/담당자)</t>
        </is>
      </c>
      <c r="K7" s="2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2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2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2" t="n"/>
      <c r="O7" s="2" t="inlineStr">
        <is>
          <t>API-007</t>
        </is>
      </c>
      <c r="P7" s="2" t="inlineStr">
        <is>
          <t>확정</t>
        </is>
      </c>
      <c r="Q7" s="2" t="n"/>
      <c r="R7" s="2" t="inlineStr">
        <is>
          <t>회원 목록</t>
        </is>
      </c>
      <c r="S7" s="2" t="inlineStr">
        <is>
          <t>/api/v1/members</t>
        </is>
      </c>
      <c r="T7" s="2" t="n"/>
      <c r="U7" s="2" t="n">
        <v>8</v>
      </c>
    </row>
    <row r="8" outlineLevel="1">
      <c r="A8" s="2" t="inlineStr">
        <is>
          <t>FN-004</t>
        </is>
      </c>
      <c r="B8" s="2" t="inlineStr">
        <is>
          <t>회원 등록</t>
        </is>
      </c>
      <c r="C8" s="2" t="inlineStr">
        <is>
          <t>회원관리</t>
        </is>
      </c>
      <c r="D8" s="2" t="inlineStr">
        <is>
          <t>Web</t>
        </is>
      </c>
      <c r="E8" s="2" t="inlineStr">
        <is>
          <t>Critical</t>
        </is>
      </c>
      <c r="F8" s="2" t="inlineStr">
        <is>
          <t>신규 회원 등록</t>
        </is>
      </c>
      <c r="G8" s="2" t="inlineStr">
        <is>
          <t>1) 필수: 이름, 성별, 연락처
2) 선택: 이메일, 주소, 생년월일, 메모
3) 담당 FC 배정
4) 연락처 중복 체크</t>
        </is>
      </c>
      <c r="H8" s="2" t="inlineStr">
        <is>
          <t>SCR-010</t>
        </is>
      </c>
      <c r="I8" s="2" t="inlineStr">
        <is>
          <t>이름, 성별, 생년월일, 연락처, 이메일, 주소, 메모, 담당자ID</t>
        </is>
      </c>
      <c r="J8" s="2" t="inlineStr">
        <is>
          <t>등록된 회원 정보</t>
        </is>
      </c>
      <c r="K8" s="2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2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2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2" t="n"/>
      <c r="O8" s="2" t="inlineStr">
        <is>
          <t>API-009</t>
        </is>
      </c>
      <c r="P8" s="2" t="inlineStr">
        <is>
          <t>확정</t>
        </is>
      </c>
      <c r="Q8" s="2" t="n"/>
      <c r="R8" s="2" t="inlineStr">
        <is>
          <t>회원 목록</t>
        </is>
      </c>
      <c r="S8" s="2" t="inlineStr">
        <is>
          <t>/api/v1/members</t>
        </is>
      </c>
      <c r="T8" s="2" t="n"/>
      <c r="U8" s="2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2" t="inlineStr">
        <is>
          <t>FN-005</t>
        </is>
      </c>
      <c r="B10" s="2" t="inlineStr">
        <is>
          <t>회원 정보 수정</t>
        </is>
      </c>
      <c r="C10" s="2" t="inlineStr">
        <is>
          <t>회원관리</t>
        </is>
      </c>
      <c r="D10" s="2" t="inlineStr">
        <is>
          <t>Web</t>
        </is>
      </c>
      <c r="E10" s="2" t="inlineStr">
        <is>
          <t>High</t>
        </is>
      </c>
      <c r="F10" s="2" t="inlineStr">
        <is>
          <t>기존 회원 정보 수정</t>
        </is>
      </c>
      <c r="G10" s="2" t="inlineStr">
        <is>
          <t>1) 기존 데이터 프리필
2) 변경 필드 강조
3) 변경 이력 자동 기록
4) 담당자 변경 가능</t>
        </is>
      </c>
      <c r="H10" s="2" t="inlineStr">
        <is>
          <t>SCR-011</t>
        </is>
      </c>
      <c r="I10" s="2" t="inlineStr">
        <is>
          <t>수정할 회원 정보</t>
        </is>
      </c>
      <c r="J10" s="2" t="inlineStr">
        <is>
          <t>수정된 회원 정보</t>
        </is>
      </c>
      <c r="K10" s="2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2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2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2" t="n"/>
      <c r="O10" s="2" t="inlineStr">
        <is>
          <t>API-010</t>
        </is>
      </c>
      <c r="P10" s="2" t="inlineStr">
        <is>
          <t>확정</t>
        </is>
      </c>
      <c r="Q10" s="2" t="n"/>
      <c r="R10" s="2" t="inlineStr">
        <is>
          <t>회원 상세</t>
        </is>
      </c>
      <c r="S10" s="2" t="inlineStr">
        <is>
          <t>/api/v1/members/:id</t>
        </is>
      </c>
      <c r="T10" s="2" t="n"/>
      <c r="U10" s="2" t="n">
        <v>6</v>
      </c>
    </row>
    <row r="11" outlineLevel="1">
      <c r="A11" s="2" t="inlineStr">
        <is>
          <t>FN-006</t>
        </is>
      </c>
      <c r="B11" s="2" t="inlineStr">
        <is>
          <t>회원 상세 조회</t>
        </is>
      </c>
      <c r="C11" s="2" t="inlineStr">
        <is>
          <t>회원관리</t>
        </is>
      </c>
      <c r="D11" s="2" t="inlineStr">
        <is>
          <t>Web</t>
        </is>
      </c>
      <c r="E11" s="2" t="inlineStr">
        <is>
          <t>High</t>
        </is>
      </c>
      <c r="F11" s="2" t="inlineStr">
        <is>
          <t>회원 프로필 + 탭별 상세 정보 조회</t>
        </is>
      </c>
      <c r="G11" s="2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2" t="inlineStr">
        <is>
          <t>SCR-011</t>
        </is>
      </c>
      <c r="I11" s="2" t="inlineStr">
        <is>
          <t>회원ID</t>
        </is>
      </c>
      <c r="J11" s="2" t="inlineStr">
        <is>
          <t>회원 전체 정보 (프로필+이용권+출석+결제+체성분+메모)</t>
        </is>
      </c>
      <c r="K11" s="2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2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2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2" t="n"/>
      <c r="O11" s="2" t="inlineStr">
        <is>
          <t>API-008</t>
        </is>
      </c>
      <c r="P11" s="2" t="inlineStr">
        <is>
          <t>확정</t>
        </is>
      </c>
      <c r="Q11" s="2" t="n"/>
      <c r="R11" s="2" t="inlineStr">
        <is>
          <t>회원 상세</t>
        </is>
      </c>
      <c r="S11" s="2" t="inlineStr">
        <is>
          <t>/api/v1/members/:id</t>
        </is>
      </c>
      <c r="T11" s="2" t="n"/>
      <c r="U11" s="2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2" t="inlineStr">
        <is>
          <t>FN-007</t>
        </is>
      </c>
      <c r="B13" s="2" t="inlineStr">
        <is>
          <t>체성분 기록/분석</t>
        </is>
      </c>
      <c r="C13" s="2" t="inlineStr">
        <is>
          <t>회원관리</t>
        </is>
      </c>
      <c r="D13" s="2" t="inlineStr">
        <is>
          <t>Web</t>
        </is>
      </c>
      <c r="E13" s="2" t="inlineStr">
        <is>
          <t>High</t>
        </is>
      </c>
      <c r="F13" s="2" t="inlineStr">
        <is>
          <t>회원 체성분 측정 기록 입력 및 변화 추이 분석</t>
        </is>
      </c>
      <c r="G13" s="2" t="inlineStr">
        <is>
          <t>1) 체중/골격근/체지방률/BMI 등 입력
2) 측정일 기준 시계열 차트
3) 목표 대비 달성률 게이지</t>
        </is>
      </c>
      <c r="H13" s="2" t="inlineStr">
        <is>
          <t>SCR-014</t>
        </is>
      </c>
      <c r="I13" s="2" t="inlineStr">
        <is>
          <t>체중, 골격근, 체지방률, 측정일</t>
        </is>
      </c>
      <c r="J13" s="2" t="inlineStr">
        <is>
          <t>체성분 이력, 변화 차트</t>
        </is>
      </c>
      <c r="K13" s="2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2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2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2" t="n"/>
      <c r="O13" s="2" t="inlineStr">
        <is>
          <t>API-008</t>
        </is>
      </c>
      <c r="P13" s="2" t="inlineStr">
        <is>
          <t>확정</t>
        </is>
      </c>
      <c r="Q13" s="2" t="n"/>
      <c r="R13" s="2" t="inlineStr">
        <is>
          <t>체성분 분석</t>
        </is>
      </c>
      <c r="S13" s="2" t="inlineStr">
        <is>
          <t>/api/v1/members/:id</t>
        </is>
      </c>
      <c r="T13" s="2" t="n"/>
      <c r="U13" s="2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2" t="inlineStr">
        <is>
          <t>FN-008</t>
        </is>
      </c>
      <c r="B15" s="2" t="inlineStr">
        <is>
          <t>출석 기록 조회</t>
        </is>
      </c>
      <c r="C15" s="2" t="inlineStr">
        <is>
          <t>출석관리</t>
        </is>
      </c>
      <c r="D15" s="2" t="inlineStr">
        <is>
          <t>Web</t>
        </is>
      </c>
      <c r="E15" s="2" t="inlineStr">
        <is>
          <t>High</t>
        </is>
      </c>
      <c r="F15" s="2" t="inlineStr">
        <is>
          <t>회원 출석 현황 조회 (일별/주별/월별)</t>
        </is>
      </c>
      <c r="G15" s="2" t="inlineStr">
        <is>
          <t>1) 날짜 필터 (일/주/월 뷰)
2) 출석 유형(일반/PT/GX) 필터
3) 타지점 출석 표시
4) 키오스크/앱 체크인 구분</t>
        </is>
      </c>
      <c r="H15" s="2" t="inlineStr">
        <is>
          <t>SCR-020</t>
        </is>
      </c>
      <c r="I15" s="2" t="inlineStr">
        <is>
          <t>날짜 범위, 필터 조건</t>
        </is>
      </c>
      <c r="J15" s="2" t="inlineStr">
        <is>
          <t>출석 목록, 통계</t>
        </is>
      </c>
      <c r="K15" s="2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2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2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2" t="n"/>
      <c r="O15" s="2" t="inlineStr">
        <is>
          <t>API-013</t>
        </is>
      </c>
      <c r="P15" s="2" t="inlineStr">
        <is>
          <t>확정</t>
        </is>
      </c>
      <c r="Q15" s="2" t="n"/>
      <c r="R15" s="2" t="inlineStr">
        <is>
          <t>출석 기록</t>
        </is>
      </c>
      <c r="S15" s="2" t="inlineStr">
        <is>
          <t>/api/v1/attendance</t>
        </is>
      </c>
      <c r="T15" s="2" t="n"/>
      <c r="U15" s="2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2" t="inlineStr">
        <is>
          <t>FN-009</t>
        </is>
      </c>
      <c r="B17" s="2" t="inlineStr">
        <is>
          <t>일정 관리</t>
        </is>
      </c>
      <c r="C17" s="2" t="inlineStr">
        <is>
          <t>출석관리</t>
        </is>
      </c>
      <c r="D17" s="2" t="inlineStr">
        <is>
          <t>Web</t>
        </is>
      </c>
      <c r="E17" s="2" t="inlineStr">
        <is>
          <t>High</t>
        </is>
      </c>
      <c r="F17" s="2" t="inlineStr">
        <is>
          <t>PT/GX 일정 캘린더 관리</t>
        </is>
      </c>
      <c r="G17" s="2" t="inlineStr">
        <is>
          <t>1) 월/주/일 캘린더 뷰 전환
2) 드래그앤드롭 일정 이동
3) 트레이너별 색상 구분
4) 일정 충돌 감지</t>
        </is>
      </c>
      <c r="H17" s="2" t="inlineStr">
        <is>
          <t>SCR-021</t>
        </is>
      </c>
      <c r="I17" s="2" t="inlineStr">
        <is>
          <t>일정 제목, 시간, 트레이너, 회원, 룸</t>
        </is>
      </c>
      <c r="J17" s="2" t="inlineStr">
        <is>
          <t>캘린더 일정 목록</t>
        </is>
      </c>
      <c r="K17" s="2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2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2" t="inlineStr">
        <is>
          <t>FullCalendar React (주/월/일 뷰)
드래그앤드롭 – @fullcalendar/interaction
useMutation – POST/PATCH/DELETE /api/v1/schedules
충돌 감지 로직 (시간 겹침 계산)
반복 일정 처리 (rrule)
트레이너별 색상 구분 (CSS custom properties)</t>
        </is>
      </c>
      <c r="N17" s="2" t="n"/>
      <c r="O17" s="2" t="n"/>
      <c r="P17" s="2" t="inlineStr">
        <is>
          <t>확정</t>
        </is>
      </c>
      <c r="Q17" s="2" t="n"/>
      <c r="R17" s="2" t="inlineStr">
        <is>
          <t>일정 관리</t>
        </is>
      </c>
      <c r="S17" s="2">
        <f>IFERROR(VLOOKUP(O17,API명세서!A:D,4,FALSE()),"")</f>
        <v/>
      </c>
      <c r="T17" s="2" t="n"/>
      <c r="U17" s="2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2" t="inlineStr">
        <is>
          <t>FN-010</t>
        </is>
      </c>
      <c r="B19" s="2" t="inlineStr">
        <is>
          <t>매출 조회/통계</t>
        </is>
      </c>
      <c r="C19" s="2" t="inlineStr">
        <is>
          <t>매출관리</t>
        </is>
      </c>
      <c r="D19" s="2" t="inlineStr">
        <is>
          <t>Web</t>
        </is>
      </c>
      <c r="E19" s="2" t="inlineStr">
        <is>
          <t>Critical</t>
        </is>
      </c>
      <c r="F19" s="2" t="inlineStr">
        <is>
          <t>매출 현황 조회 및 통계 요약</t>
        </is>
      </c>
      <c r="G19" s="2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2" t="inlineStr">
        <is>
          <t>SCR-030</t>
        </is>
      </c>
      <c r="I19" s="2" t="inlineStr">
        <is>
          <t>기간, 유형, 상태, 페이지</t>
        </is>
      </c>
      <c r="J19" s="2" t="inlineStr">
        <is>
          <t>매출 목록, 통계 요약</t>
        </is>
      </c>
      <c r="K19" s="2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2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2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2" t="n"/>
      <c r="O19" s="2" t="inlineStr">
        <is>
          <t>API-015</t>
        </is>
      </c>
      <c r="P19" s="2" t="inlineStr">
        <is>
          <t>확정</t>
        </is>
      </c>
      <c r="Q19" s="2" t="n"/>
      <c r="R19" s="2" t="inlineStr">
        <is>
          <t>매출 조회</t>
        </is>
      </c>
      <c r="S19" s="2" t="inlineStr">
        <is>
          <t>/api/v1/sales</t>
        </is>
      </c>
      <c r="T19" s="2" t="n"/>
      <c r="U19" s="2" t="n">
        <v>7</v>
      </c>
    </row>
    <row r="20" outlineLevel="1">
      <c r="A20" s="2" t="inlineStr">
        <is>
          <t>FN-011</t>
        </is>
      </c>
      <c r="B20" s="2" t="inlineStr">
        <is>
          <t>POS 상품 선택/결제</t>
        </is>
      </c>
      <c r="C20" s="2" t="inlineStr">
        <is>
          <t>매출관리</t>
        </is>
      </c>
      <c r="D20" s="2" t="inlineStr">
        <is>
          <t>Web</t>
        </is>
      </c>
      <c r="E20" s="2" t="inlineStr">
        <is>
          <t>Critical</t>
        </is>
      </c>
      <c r="F20" s="2" t="inlineStr">
        <is>
          <t>POS 상품 선택 및 장바구니 관리</t>
        </is>
      </c>
      <c r="G20" s="2" t="inlineStr">
        <is>
          <t>1) 카테고리별 상품 그리드
2) 상품 클릭 → 장바구니 추가
3) 수량 조절/삭제
4) 합계 자동 계산</t>
        </is>
      </c>
      <c r="H20" s="2" t="inlineStr">
        <is>
          <t>SCR-030</t>
        </is>
      </c>
      <c r="I20" s="2" t="inlineStr">
        <is>
          <t>상품 선택, 수량</t>
        </is>
      </c>
      <c r="J20" s="2" t="inlineStr">
        <is>
          <t>장바구니 목록, 합계</t>
        </is>
      </c>
      <c r="K20" s="2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2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2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2" t="n"/>
      <c r="O20" s="2" t="inlineStr">
        <is>
          <t>API-018</t>
        </is>
      </c>
      <c r="P20" s="2" t="inlineStr">
        <is>
          <t>확정</t>
        </is>
      </c>
      <c r="Q20" s="2" t="n"/>
      <c r="R20" s="2" t="inlineStr">
        <is>
          <t>매출 조회</t>
        </is>
      </c>
      <c r="S20" s="2" t="inlineStr">
        <is>
          <t>/api/v1/products</t>
        </is>
      </c>
      <c r="T20" s="2" t="n"/>
      <c r="U20" s="2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2" t="inlineStr">
        <is>
          <t>FN-012</t>
        </is>
      </c>
      <c r="B22" s="2" t="inlineStr">
        <is>
          <t>POS 결제 처리</t>
        </is>
      </c>
      <c r="C22" s="2" t="inlineStr">
        <is>
          <t>매출관리</t>
        </is>
      </c>
      <c r="D22" s="2" t="inlineStr">
        <is>
          <t>Web</t>
        </is>
      </c>
      <c r="E22" s="2" t="inlineStr">
        <is>
          <t>Critical</t>
        </is>
      </c>
      <c r="F22" s="2" t="inlineStr">
        <is>
          <t>결제 수단 선택 및 결제 실행</t>
        </is>
      </c>
      <c r="G22" s="2" t="inlineStr">
        <is>
          <t>1) 현금/카드/마일리지/복합결제
2) 회원 검색 → 마일리지 잔액 표시
3) 결제 확인 모달
4) 영수증 출력 옵션</t>
        </is>
      </c>
      <c r="H22" s="2" t="inlineStr">
        <is>
          <t>SCR-032</t>
        </is>
      </c>
      <c r="I22" s="2" t="inlineStr">
        <is>
          <t>결제수단, 금액, 회원ID</t>
        </is>
      </c>
      <c r="J22" s="2" t="inlineStr">
        <is>
          <t>결제 결과, 영수증</t>
        </is>
      </c>
      <c r="K22" s="2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2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2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2" t="n"/>
      <c r="O22" s="2" t="inlineStr">
        <is>
          <t>API-016</t>
        </is>
      </c>
      <c r="P22" s="2" t="inlineStr">
        <is>
          <t>확정</t>
        </is>
      </c>
      <c r="Q22" s="2" t="n"/>
      <c r="R22" s="2" t="inlineStr">
        <is>
          <t>POS 결제</t>
        </is>
      </c>
      <c r="S22" s="2" t="inlineStr">
        <is>
          <t>/api/v1/sales</t>
        </is>
      </c>
      <c r="T22" s="2" t="n"/>
      <c r="U22" s="2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2" t="inlineStr">
        <is>
          <t>FN-013</t>
        </is>
      </c>
      <c r="B24" s="2" t="inlineStr">
        <is>
          <t>상품 목록 조회</t>
        </is>
      </c>
      <c r="C24" s="2" t="inlineStr">
        <is>
          <t>상품관리</t>
        </is>
      </c>
      <c r="D24" s="2" t="inlineStr">
        <is>
          <t>Web</t>
        </is>
      </c>
      <c r="E24" s="2" t="inlineStr">
        <is>
          <t>High</t>
        </is>
      </c>
      <c r="F24" s="2" t="inlineStr">
        <is>
          <t>이용권/PT/GX/기타 상품 목록 조회</t>
        </is>
      </c>
      <c r="G24" s="2" t="inlineStr">
        <is>
          <t>1) 카테고리 필터
2) 상태(판매중/중지) 필터
3) 키오스크 노출 토글</t>
        </is>
      </c>
      <c r="H24" s="2" t="inlineStr">
        <is>
          <t>SCR-040</t>
        </is>
      </c>
      <c r="I24" s="2" t="inlineStr">
        <is>
          <t>카테고리, 상태</t>
        </is>
      </c>
      <c r="J24" s="2" t="inlineStr">
        <is>
          <t>상품 목록</t>
        </is>
      </c>
      <c r="K24" s="2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2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2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2" t="n"/>
      <c r="O24" s="2" t="inlineStr">
        <is>
          <t>API-018</t>
        </is>
      </c>
      <c r="P24" s="2" t="inlineStr">
        <is>
          <t>확정</t>
        </is>
      </c>
      <c r="Q24" s="2" t="n"/>
      <c r="R24" s="2" t="inlineStr">
        <is>
          <t>상품 목록</t>
        </is>
      </c>
      <c r="S24" s="2" t="inlineStr">
        <is>
          <t>/api/v1/products</t>
        </is>
      </c>
      <c r="T24" s="2" t="n"/>
      <c r="U24" s="2" t="n">
        <v>3</v>
      </c>
    </row>
    <row r="25" outlineLevel="1">
      <c r="A25" s="2" t="inlineStr">
        <is>
          <t>FN-014</t>
        </is>
      </c>
      <c r="B25" s="2" t="inlineStr">
        <is>
          <t>상품 등록/수정</t>
        </is>
      </c>
      <c r="C25" s="2" t="inlineStr">
        <is>
          <t>상품관리</t>
        </is>
      </c>
      <c r="D25" s="2" t="inlineStr">
        <is>
          <t>Web</t>
        </is>
      </c>
      <c r="E25" s="2" t="inlineStr">
        <is>
          <t>High</t>
        </is>
      </c>
      <c r="F25" s="2" t="inlineStr">
        <is>
          <t>신규 상품 등록 및 기존 상품 수정</t>
        </is>
      </c>
      <c r="G25" s="2" t="inlineStr">
        <is>
          <t>1) 카테고리/이름/현금가/카드가/기간 입력
2) 키오스크 노출 설정
3) 상품명 중복 체크</t>
        </is>
      </c>
      <c r="H25" s="2" t="inlineStr">
        <is>
          <t>SCR-040</t>
        </is>
      </c>
      <c r="I25" s="2" t="inlineStr">
        <is>
          <t>카테고리, 이름, 가격, 기간</t>
        </is>
      </c>
      <c r="J25" s="2" t="inlineStr">
        <is>
          <t>등록/수정된 상품 정보</t>
        </is>
      </c>
      <c r="K25" s="2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2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2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2" t="n"/>
      <c r="O25" s="2" t="inlineStr">
        <is>
          <t>API-019</t>
        </is>
      </c>
      <c r="P25" s="2" t="inlineStr">
        <is>
          <t>확정</t>
        </is>
      </c>
      <c r="Q25" s="2" t="n"/>
      <c r="R25" s="2" t="inlineStr">
        <is>
          <t>상품 목록</t>
        </is>
      </c>
      <c r="S25" s="2" t="inlineStr">
        <is>
          <t>/api/v1/products</t>
        </is>
      </c>
      <c r="T25" s="2" t="n"/>
      <c r="U25" s="2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2" t="inlineStr">
        <is>
          <t>FN-015</t>
        </is>
      </c>
      <c r="B27" s="2" t="inlineStr">
        <is>
          <t>락커 현황 조회</t>
        </is>
      </c>
      <c r="C27" s="2" t="inlineStr">
        <is>
          <t>시설관리</t>
        </is>
      </c>
      <c r="D27" s="2" t="inlineStr">
        <is>
          <t>Web</t>
        </is>
      </c>
      <c r="E27" s="2" t="inlineStr">
        <is>
          <t>High</t>
        </is>
      </c>
      <c r="F27" s="2" t="inlineStr">
        <is>
          <t>구역별 락커 배정 현황 조회 (색상 그리드)</t>
        </is>
      </c>
      <c r="G27" s="2" t="inlineStr">
        <is>
          <t>1) 구역별 탭
2) 색상 상태 (사용중/빈/만료임박/고장)
3) 클릭 시 상세 모달</t>
        </is>
      </c>
      <c r="H27" s="2" t="inlineStr">
        <is>
          <t>SCR-050</t>
        </is>
      </c>
      <c r="I27" s="2" t="inlineStr">
        <is>
          <t>구역</t>
        </is>
      </c>
      <c r="J27" s="2" t="inlineStr">
        <is>
          <t>락커 그리드 데이터</t>
        </is>
      </c>
      <c r="K27" s="2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2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2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2" t="n"/>
      <c r="O27" s="2" t="inlineStr">
        <is>
          <t>API-020</t>
        </is>
      </c>
      <c r="P27" s="2" t="inlineStr">
        <is>
          <t>확정</t>
        </is>
      </c>
      <c r="Q27" s="2" t="n"/>
      <c r="R27" s="2" t="inlineStr">
        <is>
          <t>락커 현황</t>
        </is>
      </c>
      <c r="S27" s="2" t="inlineStr">
        <is>
          <t>/api/v1/lockers</t>
        </is>
      </c>
      <c r="T27" s="2" t="n"/>
      <c r="U27" s="2" t="n">
        <v>4</v>
      </c>
    </row>
    <row r="28" outlineLevel="1">
      <c r="A28" s="2" t="inlineStr">
        <is>
          <t>FN-016</t>
        </is>
      </c>
      <c r="B28" s="2" t="inlineStr">
        <is>
          <t>락커 배정/관리</t>
        </is>
      </c>
      <c r="C28" s="2" t="inlineStr">
        <is>
          <t>시설관리</t>
        </is>
      </c>
      <c r="D28" s="2" t="inlineStr">
        <is>
          <t>Web</t>
        </is>
      </c>
      <c r="E28" s="2" t="inlineStr">
        <is>
          <t>High</t>
        </is>
      </c>
      <c r="F28" s="2" t="inlineStr">
        <is>
          <t>락커 배정/해제/일괄 관리</t>
        </is>
      </c>
      <c r="G28" s="2" t="inlineStr">
        <is>
          <t>1) 회원 검색 → 빈 락커 선택 → 배정
2) 만료일 설정
3) 일괄 해제 (만료 락커)
4) 고장 등록</t>
        </is>
      </c>
      <c r="H28" s="2" t="inlineStr">
        <is>
          <t>SCR-050</t>
        </is>
      </c>
      <c r="I28" s="2" t="inlineStr">
        <is>
          <t>회원ID, 락커번호, 만료일</t>
        </is>
      </c>
      <c r="J28" s="2" t="inlineStr">
        <is>
          <t>배정 결과</t>
        </is>
      </c>
      <c r="K28" s="2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2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2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2" t="n"/>
      <c r="O28" s="2" t="inlineStr">
        <is>
          <t>API-021</t>
        </is>
      </c>
      <c r="P28" s="2" t="inlineStr">
        <is>
          <t>확정</t>
        </is>
      </c>
      <c r="Q28" s="2" t="n"/>
      <c r="R28" s="2" t="inlineStr">
        <is>
          <t>락커 현황</t>
        </is>
      </c>
      <c r="S28" s="2" t="inlineStr">
        <is>
          <t>/api/v1/lockers/:id</t>
        </is>
      </c>
      <c r="T28" s="2" t="n"/>
      <c r="U28" s="2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2" t="inlineStr">
        <is>
          <t>FN-017</t>
        </is>
      </c>
      <c r="B30" s="2" t="inlineStr">
        <is>
          <t>RFID 관리</t>
        </is>
      </c>
      <c r="C30" s="2" t="inlineStr">
        <is>
          <t>시설관리</t>
        </is>
      </c>
      <c r="D30" s="2" t="inlineStr">
        <is>
          <t>Web</t>
        </is>
      </c>
      <c r="E30" s="2" t="inlineStr">
        <is>
          <t>Medium</t>
        </is>
      </c>
      <c r="F30" s="2" t="inlineStr">
        <is>
          <t>RFID 카드 등록/해제/이력 조회</t>
        </is>
      </c>
      <c r="G30" s="2" t="inlineStr">
        <is>
          <t>1) 카드 번호 스캔/수동 입력
2) 회원-카드 매핑
3) 분실 처리
4) 이력 조회</t>
        </is>
      </c>
      <c r="H30" s="2" t="inlineStr">
        <is>
          <t>SCR-052</t>
        </is>
      </c>
      <c r="I30" s="2" t="inlineStr">
        <is>
          <t>카드 번호, 회원ID</t>
        </is>
      </c>
      <c r="J30" s="2" t="inlineStr">
        <is>
          <t>매핑 결과, 이력</t>
        </is>
      </c>
      <c r="K30" s="2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2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2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2" t="n"/>
      <c r="O30" s="2" t="n"/>
      <c r="P30" s="2" t="inlineStr">
        <is>
          <t>확정</t>
        </is>
      </c>
      <c r="Q30" s="2" t="n"/>
      <c r="R30" s="2" t="inlineStr">
        <is>
          <t>RFID 관리</t>
        </is>
      </c>
      <c r="S30" s="2">
        <f>IFERROR(VLOOKUP(O30,API명세서!A:D,4,FALSE()),"")</f>
        <v/>
      </c>
      <c r="T30" s="2" t="n"/>
      <c r="U30" s="2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2" t="inlineStr">
        <is>
          <t>FN-018</t>
        </is>
      </c>
      <c r="B32" s="2" t="inlineStr">
        <is>
          <t>룸 관리</t>
        </is>
      </c>
      <c r="C32" s="2" t="inlineStr">
        <is>
          <t>시설관리</t>
        </is>
      </c>
      <c r="D32" s="2" t="inlineStr">
        <is>
          <t>Web</t>
        </is>
      </c>
      <c r="E32" s="2" t="inlineStr">
        <is>
          <t>Medium</t>
        </is>
      </c>
      <c r="F32" s="2" t="inlineStr">
        <is>
          <t>GX룸/PT룸 등록/수정/삭제</t>
        </is>
      </c>
      <c r="G32" s="2" t="inlineStr">
        <is>
          <t>1) 룸 CRUD
2) 수용 인원 설정
3) 예약 가능 시간대 설정</t>
        </is>
      </c>
      <c r="H32" s="2" t="inlineStr">
        <is>
          <t>SCR-053</t>
        </is>
      </c>
      <c r="I32" s="2" t="inlineStr">
        <is>
          <t>룸명, 유형, 수용인원, 시간대</t>
        </is>
      </c>
      <c r="J32" s="2" t="inlineStr">
        <is>
          <t>룸 정보</t>
        </is>
      </c>
      <c r="K32" s="2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2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2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2" t="n"/>
      <c r="O32" s="2" t="n"/>
      <c r="P32" s="2" t="inlineStr">
        <is>
          <t>확정</t>
        </is>
      </c>
      <c r="Q32" s="2" t="n"/>
      <c r="R32" s="2" t="inlineStr">
        <is>
          <t>룸 관리</t>
        </is>
      </c>
      <c r="S32" s="2">
        <f>IFERROR(VLOOKUP(O32,API명세서!A:D,4,FALSE()),"")</f>
        <v/>
      </c>
      <c r="T32" s="2" t="n"/>
      <c r="U32" s="2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2" t="inlineStr">
        <is>
          <t>FN-019</t>
        </is>
      </c>
      <c r="B34" s="2" t="inlineStr">
        <is>
          <t>직원 목록 조회</t>
        </is>
      </c>
      <c r="C34" s="2" t="inlineStr">
        <is>
          <t>직원관리</t>
        </is>
      </c>
      <c r="D34" s="2" t="inlineStr">
        <is>
          <t>Web</t>
        </is>
      </c>
      <c r="E34" s="2" t="inlineStr">
        <is>
          <t>High</t>
        </is>
      </c>
      <c r="F34" s="2" t="inlineStr">
        <is>
          <t>직원 검색/필터/목록 조회</t>
        </is>
      </c>
      <c r="G34" s="2" t="inlineStr">
        <is>
          <t>1) 이름/연락처 검색
2) 역할/상태 필터
3) 테이블 정렬</t>
        </is>
      </c>
      <c r="H34" s="2" t="inlineStr">
        <is>
          <t>SCR-060</t>
        </is>
      </c>
      <c r="I34" s="2" t="inlineStr">
        <is>
          <t>검색어, 필터</t>
        </is>
      </c>
      <c r="J34" s="2" t="inlineStr">
        <is>
          <t>직원 목록</t>
        </is>
      </c>
      <c r="K34" s="2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2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2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2" t="n"/>
      <c r="O34" s="2" t="inlineStr">
        <is>
          <t>API-022</t>
        </is>
      </c>
      <c r="P34" s="2" t="inlineStr">
        <is>
          <t>확정</t>
        </is>
      </c>
      <c r="Q34" s="2" t="n"/>
      <c r="R34" s="2" t="inlineStr">
        <is>
          <t>직원 목록</t>
        </is>
      </c>
      <c r="S34" s="2" t="inlineStr">
        <is>
          <t>/api/v1/staff</t>
        </is>
      </c>
      <c r="T34" s="2" t="n"/>
      <c r="U34" s="2" t="n">
        <v>5</v>
      </c>
    </row>
    <row r="35" outlineLevel="1">
      <c r="A35" s="2" t="inlineStr">
        <is>
          <t>FN-020</t>
        </is>
      </c>
      <c r="B35" s="2" t="inlineStr">
        <is>
          <t>직원 등록/수정</t>
        </is>
      </c>
      <c r="C35" s="2" t="inlineStr">
        <is>
          <t>직원관리</t>
        </is>
      </c>
      <c r="D35" s="2" t="inlineStr">
        <is>
          <t>Web</t>
        </is>
      </c>
      <c r="E35" s="2" t="inlineStr">
        <is>
          <t>High</t>
        </is>
      </c>
      <c r="F35" s="2" t="inlineStr">
        <is>
          <t>신규 직원 등록 및 기존 직원 수정</t>
        </is>
      </c>
      <c r="G35" s="2" t="inlineStr">
        <is>
          <t>1) 이름/역할/연락처/입사일 입력
2) 관리자 계정 자동 생성
3) 근무 유형 설정</t>
        </is>
      </c>
      <c r="H35" s="2" t="inlineStr">
        <is>
          <t>SCR-060</t>
        </is>
      </c>
      <c r="I35" s="2" t="inlineStr">
        <is>
          <t>이름, 역할, 연락처, 입사일</t>
        </is>
      </c>
      <c r="J35" s="2" t="inlineStr">
        <is>
          <t>등록된 직원 정보</t>
        </is>
      </c>
      <c r="K35" s="2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2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2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2" t="n"/>
      <c r="O35" s="2" t="inlineStr">
        <is>
          <t>API-023</t>
        </is>
      </c>
      <c r="P35" s="2" t="inlineStr">
        <is>
          <t>확정</t>
        </is>
      </c>
      <c r="Q35" s="2" t="n"/>
      <c r="R35" s="2" t="inlineStr">
        <is>
          <t>직원 목록</t>
        </is>
      </c>
      <c r="S35" s="2" t="inlineStr">
        <is>
          <t>/api/v1/staff</t>
        </is>
      </c>
      <c r="T35" s="2" t="n"/>
      <c r="U35" s="2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2" t="inlineStr">
        <is>
          <t>FN-021</t>
        </is>
      </c>
      <c r="B37" s="2" t="inlineStr">
        <is>
          <t>급여 관리</t>
        </is>
      </c>
      <c r="C37" s="2" t="inlineStr">
        <is>
          <t>직원관리</t>
        </is>
      </c>
      <c r="D37" s="2" t="inlineStr">
        <is>
          <t>Web</t>
        </is>
      </c>
      <c r="E37" s="2" t="inlineStr">
        <is>
          <t>High</t>
        </is>
      </c>
      <c r="F37" s="2" t="inlineStr">
        <is>
          <t>월별 급여 현황 조회 및 관리</t>
        </is>
      </c>
      <c r="G37" s="2" t="inlineStr">
        <is>
          <t>1) 월별 급여 테이블
2) 기본급/인센티브/공제 내역
3) 지급 상태 관리
4) 합계/평균 요약</t>
        </is>
      </c>
      <c r="H37" s="2" t="inlineStr">
        <is>
          <t>SCR-062</t>
        </is>
      </c>
      <c r="I37" s="2" t="inlineStr">
        <is>
          <t>연월</t>
        </is>
      </c>
      <c r="J37" s="2" t="inlineStr">
        <is>
          <t>급여 목록, 합계</t>
        </is>
      </c>
      <c r="K37" s="2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2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2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2" t="n"/>
      <c r="O37" s="2" t="n"/>
      <c r="P37" s="2" t="inlineStr">
        <is>
          <t>확정</t>
        </is>
      </c>
      <c r="Q37" s="2" t="n"/>
      <c r="R37" s="2" t="inlineStr">
        <is>
          <t>급여 현황</t>
        </is>
      </c>
      <c r="S37" s="2">
        <f>IFERROR(VLOOKUP(O37,API명세서!A:D,4,FALSE()),"")</f>
        <v/>
      </c>
      <c r="T37" s="2" t="n"/>
      <c r="U37" s="2" t="n">
        <v>3</v>
      </c>
    </row>
    <row r="38" outlineLevel="1">
      <c r="A38" s="2" t="inlineStr">
        <is>
          <t>FN-022</t>
        </is>
      </c>
      <c r="B38" s="2" t="inlineStr">
        <is>
          <t>급여명세서 조회</t>
        </is>
      </c>
      <c r="C38" s="2" t="inlineStr">
        <is>
          <t>직원관리</t>
        </is>
      </c>
      <c r="D38" s="2" t="inlineStr">
        <is>
          <t>Web</t>
        </is>
      </c>
      <c r="E38" s="2" t="inlineStr">
        <is>
          <t>Medium</t>
        </is>
      </c>
      <c r="F38" s="2" t="inlineStr">
        <is>
          <t>직원별 급여명세서 상세 조회 및 PDF 다운로드</t>
        </is>
      </c>
      <c r="G38" s="2" t="inlineStr">
        <is>
          <t>1) 직원/월 선택
2) 상세 항목별 표시
3) PDF 다운로드</t>
        </is>
      </c>
      <c r="H38" s="2" t="inlineStr">
        <is>
          <t>SCR-062</t>
        </is>
      </c>
      <c r="I38" s="2" t="inlineStr">
        <is>
          <t>직원ID, 연월</t>
        </is>
      </c>
      <c r="J38" s="2" t="inlineStr">
        <is>
          <t>급여명세서 상세</t>
        </is>
      </c>
      <c r="K38" s="2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2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2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2" t="n"/>
      <c r="O38" s="2" t="n"/>
      <c r="P38" s="2" t="inlineStr">
        <is>
          <t>확정</t>
        </is>
      </c>
      <c r="Q38" s="2" t="n"/>
      <c r="R38" s="2" t="inlineStr">
        <is>
          <t>급여 현황</t>
        </is>
      </c>
      <c r="S38" s="2">
        <f>IFERROR(VLOOKUP(O38,API명세서!A:D,4,FALSE()),"")</f>
        <v/>
      </c>
      <c r="T38" s="2" t="n"/>
      <c r="U38" s="2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2" t="inlineStr">
        <is>
          <t>FN-023</t>
        </is>
      </c>
      <c r="B40" s="2" t="inlineStr">
        <is>
          <t>메시지 발송</t>
        </is>
      </c>
      <c r="C40" s="2" t="inlineStr">
        <is>
          <t>메시지/마케팅</t>
        </is>
      </c>
      <c r="D40" s="2" t="inlineStr">
        <is>
          <t>Web</t>
        </is>
      </c>
      <c r="E40" s="2" t="inlineStr">
        <is>
          <t>High</t>
        </is>
      </c>
      <c r="F40" s="2" t="inlineStr">
        <is>
          <t>SMS/카카오톡 메시지 발송</t>
        </is>
      </c>
      <c r="G40" s="2" t="inlineStr">
        <is>
          <t>1) 수신자 선택 (개별/그룹/전체)
2) 메시지 유형(SMS/LMS/카카오)
3) 변수 삽입 (#{이름})
4) 발송 이력 조회</t>
        </is>
      </c>
      <c r="H40" s="2" t="inlineStr">
        <is>
          <t>SCR-070</t>
        </is>
      </c>
      <c r="I40" s="2" t="inlineStr">
        <is>
          <t>수신자, 유형, 본문</t>
        </is>
      </c>
      <c r="J40" s="2" t="inlineStr">
        <is>
          <t>발송 결과</t>
        </is>
      </c>
      <c r="K40" s="2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2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2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2" t="n"/>
      <c r="O40" s="2" t="n"/>
      <c r="P40" s="2" t="inlineStr">
        <is>
          <t>확정</t>
        </is>
      </c>
      <c r="Q40" s="2" t="n"/>
      <c r="R40" s="2" t="inlineStr">
        <is>
          <t>메시지 발송</t>
        </is>
      </c>
      <c r="S40" s="2">
        <f>IFERROR(VLOOKUP(O40,API명세서!A:D,4,FALSE()),"")</f>
        <v/>
      </c>
      <c r="T40" s="2" t="n"/>
      <c r="U40" s="2" t="n">
        <v>5</v>
      </c>
    </row>
    <row r="41" outlineLevel="1">
      <c r="A41" s="2" t="inlineStr">
        <is>
          <t>FN-024</t>
        </is>
      </c>
      <c r="B41" s="2" t="inlineStr">
        <is>
          <t>자동 알림 설정</t>
        </is>
      </c>
      <c r="C41" s="2" t="inlineStr">
        <is>
          <t>메시지/마케팅</t>
        </is>
      </c>
      <c r="D41" s="2" t="inlineStr">
        <is>
          <t>Web</t>
        </is>
      </c>
      <c r="E41" s="2" t="inlineStr">
        <is>
          <t>Medium</t>
        </is>
      </c>
      <c r="F41" s="2" t="inlineStr">
        <is>
          <t>자동 알림 규칙 설정</t>
        </is>
      </c>
      <c r="G41" s="2" t="inlineStr">
        <is>
          <t>1) 만료 D-7/D-3/D-1 알림
2) 생일 축하 알림
3) 장기 미출석(30일) 알림
4) 규칙별 ON/OFF</t>
        </is>
      </c>
      <c r="H41" s="2" t="inlineStr">
        <is>
          <t>SCR-070</t>
        </is>
      </c>
      <c r="I41" s="2" t="inlineStr">
        <is>
          <t>규칙 설정</t>
        </is>
      </c>
      <c r="J41" s="2" t="inlineStr">
        <is>
          <t>알림 발송</t>
        </is>
      </c>
      <c r="K41" s="2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2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2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2" t="n"/>
      <c r="O41" s="2" t="n"/>
      <c r="P41" s="2" t="inlineStr">
        <is>
          <t>확정</t>
        </is>
      </c>
      <c r="Q41" s="2" t="n"/>
      <c r="R41" s="2" t="inlineStr">
        <is>
          <t>메시지 발송</t>
        </is>
      </c>
      <c r="S41" s="2">
        <f>IFERROR(VLOOKUP(O41,API명세서!A:D,4,FALSE()),"")</f>
        <v/>
      </c>
      <c r="T41" s="2" t="n"/>
      <c r="U41" s="2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2" t="inlineStr">
        <is>
          <t>FN-025</t>
        </is>
      </c>
      <c r="B43" s="2" t="inlineStr">
        <is>
          <t>쿠폰 관리</t>
        </is>
      </c>
      <c r="C43" s="2" t="inlineStr">
        <is>
          <t>메시지/마케팅</t>
        </is>
      </c>
      <c r="D43" s="2" t="inlineStr">
        <is>
          <t>Web</t>
        </is>
      </c>
      <c r="E43" s="2" t="inlineStr">
        <is>
          <t>Medium</t>
        </is>
      </c>
      <c r="F43" s="2" t="inlineStr">
        <is>
          <t>쿠폰 생성/발급/이력 관리</t>
        </is>
      </c>
      <c r="G43" s="2" t="inlineStr">
        <is>
          <t>1) 할인율/금액 쿠폰 생성
2) 유효기간 설정
3) 사용 한도 설정
4) 발급 대상 선택
5) 사용 이력 추적</t>
        </is>
      </c>
      <c r="H43" s="2" t="inlineStr">
        <is>
          <t>SCR-072</t>
        </is>
      </c>
      <c r="I43" s="2" t="inlineStr">
        <is>
          <t>쿠폰 정보</t>
        </is>
      </c>
      <c r="J43" s="2" t="inlineStr">
        <is>
          <t>쿠폰 목록, 이력</t>
        </is>
      </c>
      <c r="K43" s="2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2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2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2" t="n"/>
      <c r="O43" s="2" t="n"/>
      <c r="P43" s="2" t="inlineStr">
        <is>
          <t>확정</t>
        </is>
      </c>
      <c r="Q43" s="2" t="n"/>
      <c r="R43" s="2" t="inlineStr">
        <is>
          <t>쿠폰 관리</t>
        </is>
      </c>
      <c r="S43" s="2">
        <f>IFERROR(VLOOKUP(O43,API명세서!A:D,4,FALSE()),"")</f>
        <v/>
      </c>
      <c r="T43" s="2" t="n"/>
      <c r="U43" s="2" t="n">
        <v>2</v>
      </c>
    </row>
    <row r="44" outlineLevel="1">
      <c r="A44" s="2" t="inlineStr">
        <is>
          <t>FN-026</t>
        </is>
      </c>
      <c r="B44" s="2" t="inlineStr">
        <is>
          <t>마일리지 관리</t>
        </is>
      </c>
      <c r="C44" s="2" t="inlineStr">
        <is>
          <t>메시지/마케팅</t>
        </is>
      </c>
      <c r="D44" s="2" t="inlineStr">
        <is>
          <t>Web</t>
        </is>
      </c>
      <c r="E44" s="2" t="inlineStr">
        <is>
          <t>Medium</t>
        </is>
      </c>
      <c r="F44" s="2" t="inlineStr">
        <is>
          <t>회원 마일리지 적립/사용 관리</t>
        </is>
      </c>
      <c r="G44" s="2" t="inlineStr">
        <is>
          <t>1) 마일리지 적립 (결제 시 자동/수동)
2) 마일리지 차감
3) 잔액 조회
4) 이력 조회</t>
        </is>
      </c>
      <c r="H44" s="2" t="inlineStr">
        <is>
          <t>SCR-072</t>
        </is>
      </c>
      <c r="I44" s="2" t="inlineStr">
        <is>
          <t>회원ID, 금액, 유형</t>
        </is>
      </c>
      <c r="J44" s="2" t="inlineStr">
        <is>
          <t>마일리지 잔액, 이력</t>
        </is>
      </c>
      <c r="K44" s="2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2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2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2" t="n"/>
      <c r="O44" s="2" t="n"/>
      <c r="P44" s="2" t="inlineStr">
        <is>
          <t>확정</t>
        </is>
      </c>
      <c r="Q44" s="2" t="n"/>
      <c r="R44" s="2" t="inlineStr">
        <is>
          <t>쿠폰 관리</t>
        </is>
      </c>
      <c r="S44" s="2">
        <f>IFERROR(VLOOKUP(O44,API명세서!A:D,4,FALSE()),"")</f>
        <v/>
      </c>
      <c r="T44" s="2" t="n"/>
      <c r="U44" s="2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2" t="inlineStr">
        <is>
          <t>FN-027</t>
        </is>
      </c>
      <c r="B46" s="2" t="inlineStr">
        <is>
          <t>계약 등록</t>
        </is>
      </c>
      <c r="C46" s="2" t="inlineStr">
        <is>
          <t>계약/구독</t>
        </is>
      </c>
      <c r="D46" s="2" t="inlineStr">
        <is>
          <t>Web</t>
        </is>
      </c>
      <c r="E46" s="2" t="inlineStr">
        <is>
          <t>Critical</t>
        </is>
      </c>
      <c r="F46" s="2" t="inlineStr">
        <is>
          <t>단계별 계약 등록 위자드</t>
        </is>
      </c>
      <c r="G46" s="2" t="inlineStr">
        <is>
          <t>1) 회원 선택 → 상품 선택 → 기간/금액 설정 → 결제 → 확인
2) 할인 적용
3) 계약서 자동 생성
4) 결제 처리</t>
        </is>
      </c>
      <c r="H46" s="2" t="inlineStr">
        <is>
          <t>SCR-080</t>
        </is>
      </c>
      <c r="I46" s="2" t="inlineStr">
        <is>
          <t>회원ID, 상품ID, 기간, 금액, 결제수단</t>
        </is>
      </c>
      <c r="J46" s="2" t="inlineStr">
        <is>
          <t>계약 정보, 영수증</t>
        </is>
      </c>
      <c r="K46" s="2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2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2" t="inlineStr">
        <is>
          <t>5단계 Stepper 컴포넌트
useMutation – POST /api/v1/contracts
회원 검색 Combobox
서명 패드 – react-signature-canvas
계약서 PDF – html2pdf.js
Zustand contractStore (5단계 상태 유지)</t>
        </is>
      </c>
      <c r="N46" s="2" t="n"/>
      <c r="O46" s="2" t="inlineStr">
        <is>
          <t>API-016</t>
        </is>
      </c>
      <c r="P46" s="2" t="inlineStr">
        <is>
          <t>확정</t>
        </is>
      </c>
      <c r="Q46" s="2" t="n"/>
      <c r="R46" s="2" t="inlineStr">
        <is>
          <t>계약 마법사</t>
        </is>
      </c>
      <c r="S46" s="2" t="inlineStr">
        <is>
          <t>/api/v1/sales</t>
        </is>
      </c>
      <c r="T46" s="2" t="n"/>
      <c r="U46" s="2" t="n">
        <v>6</v>
      </c>
    </row>
    <row r="47" outlineLevel="1">
      <c r="A47" s="2" t="inlineStr">
        <is>
          <t>FN-028</t>
        </is>
      </c>
      <c r="B47" s="2" t="inlineStr">
        <is>
          <t>구독 관리</t>
        </is>
      </c>
      <c r="C47" s="2" t="inlineStr">
        <is>
          <t>계약/구독</t>
        </is>
      </c>
      <c r="D47" s="2" t="inlineStr">
        <is>
          <t>Web</t>
        </is>
      </c>
      <c r="E47" s="2" t="inlineStr">
        <is>
          <t>Medium</t>
        </is>
      </c>
      <c r="F47" s="2" t="inlineStr">
        <is>
          <t>정기 구독 상품 관리</t>
        </is>
      </c>
      <c r="G47" s="2" t="inlineStr">
        <is>
          <t>1) 구독 상품 CRUD
2) 자동 결제 설정
3) 구독 현황 대시보드
4) 해지 처리</t>
        </is>
      </c>
      <c r="H47" s="2" t="inlineStr">
        <is>
          <t>SCR-080</t>
        </is>
      </c>
      <c r="I47" s="2" t="inlineStr">
        <is>
          <t>구독 상품 정보</t>
        </is>
      </c>
      <c r="J47" s="2" t="inlineStr">
        <is>
          <t>구독 목록, 결제 이력</t>
        </is>
      </c>
      <c r="K47" s="2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2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2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2" t="n"/>
      <c r="O47" s="2" t="n"/>
      <c r="P47" s="2" t="inlineStr">
        <is>
          <t>확정</t>
        </is>
      </c>
      <c r="Q47" s="2" t="n"/>
      <c r="R47" s="2" t="inlineStr">
        <is>
          <t>계약 마법사</t>
        </is>
      </c>
      <c r="S47" s="2">
        <f>IFERROR(VLOOKUP(O47,API명세서!A:D,4,FALSE()),"")</f>
        <v/>
      </c>
      <c r="T47" s="2" t="n"/>
      <c r="U47" s="2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2" t="inlineStr">
        <is>
          <t>FN-029</t>
        </is>
      </c>
      <c r="B49" s="2" t="inlineStr">
        <is>
          <t>시스템 설정</t>
        </is>
      </c>
      <c r="C49" s="2" t="inlineStr">
        <is>
          <t>설정</t>
        </is>
      </c>
      <c r="D49" s="2" t="inlineStr">
        <is>
          <t>Web</t>
        </is>
      </c>
      <c r="E49" s="2" t="inlineStr">
        <is>
          <t>Medium</t>
        </is>
      </c>
      <c r="F49" s="2" t="inlineStr">
        <is>
          <t>시스템 기본 설정 관리</t>
        </is>
      </c>
      <c r="G49" s="2" t="inlineStr">
        <is>
          <t>1) 센터명/영업시간/연락처 설정
2) 알림 기본값 설정
3) 테마 설정</t>
        </is>
      </c>
      <c r="H49" s="2" t="inlineStr">
        <is>
          <t>SCR-090</t>
        </is>
      </c>
      <c r="I49" s="2" t="inlineStr">
        <is>
          <t>설정 값</t>
        </is>
      </c>
      <c r="J49" s="2" t="inlineStr">
        <is>
          <t>저장 결과</t>
        </is>
      </c>
      <c r="K49" s="2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2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2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2" t="n"/>
      <c r="O49" s="2" t="n"/>
      <c r="P49" s="2" t="inlineStr">
        <is>
          <t>확정</t>
        </is>
      </c>
      <c r="Q49" s="2" t="n"/>
      <c r="R49" s="2" t="inlineStr">
        <is>
          <t>설정</t>
        </is>
      </c>
      <c r="S49" s="2">
        <f>IFERROR(VLOOKUP(O49,API명세서!A:D,4,FALSE()),"")</f>
        <v/>
      </c>
      <c r="T49" s="2" t="n"/>
      <c r="U49" s="2" t="n">
        <v>3</v>
      </c>
    </row>
    <row r="50" outlineLevel="1">
      <c r="A50" s="2" t="inlineStr">
        <is>
          <t>FN-030</t>
        </is>
      </c>
      <c r="B50" s="2" t="inlineStr">
        <is>
          <t>권한 관리</t>
        </is>
      </c>
      <c r="C50" s="2" t="inlineStr">
        <is>
          <t>설정</t>
        </is>
      </c>
      <c r="D50" s="2" t="inlineStr">
        <is>
          <t>Web</t>
        </is>
      </c>
      <c r="E50" s="2" t="inlineStr">
        <is>
          <t>Critical</t>
        </is>
      </c>
      <c r="F50" s="2" t="inlineStr">
        <is>
          <t>역할별 메뉴/기능 권한 설정</t>
        </is>
      </c>
      <c r="G50" s="2" t="inlineStr">
        <is>
          <t>1) 6단계 역할 (최고관리자~조회전용)
2) 메뉴별 접근 권한
3) 기능별 읽기/쓰기/삭제
4) 변경 이력 로그</t>
        </is>
      </c>
      <c r="H50" s="2" t="inlineStr">
        <is>
          <t>SCR-090</t>
        </is>
      </c>
      <c r="I50" s="2" t="inlineStr">
        <is>
          <t>역할, 권한 매트릭스</t>
        </is>
      </c>
      <c r="J50" s="2" t="inlineStr">
        <is>
          <t>권한 설정 결과</t>
        </is>
      </c>
      <c r="K50" s="2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2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2" t="inlineStr">
        <is>
          <t>권한 매트릭스 테이블 (Checkbox 그리드)
useMutation – PATCH /api/v1/permissions
변경 감지 (dirtyFields)
전체 허용/차단 토글 버튼
커스텀 역할 추가 모달
역할 복사 기능</t>
        </is>
      </c>
      <c r="N50" s="2" t="n"/>
      <c r="O50" s="2" t="n"/>
      <c r="P50" s="2" t="inlineStr">
        <is>
          <t>확정</t>
        </is>
      </c>
      <c r="Q50" s="2" t="n"/>
      <c r="R50" s="2" t="inlineStr">
        <is>
          <t>설정</t>
        </is>
      </c>
      <c r="S50" s="2">
        <f>IFERROR(VLOOKUP(O50,API명세서!A:D,4,FALSE()),"")</f>
        <v/>
      </c>
      <c r="T50" s="2" t="n"/>
      <c r="U50" s="2" t="n">
        <v>3</v>
      </c>
    </row>
    <row r="51" outlineLevel="1">
      <c r="A51" s="2" t="inlineStr">
        <is>
          <t>FN-031</t>
        </is>
      </c>
      <c r="B51" s="2" t="inlineStr">
        <is>
          <t>키오스크 설정</t>
        </is>
      </c>
      <c r="C51" s="2" t="inlineStr">
        <is>
          <t>설정</t>
        </is>
      </c>
      <c r="D51" s="2" t="inlineStr">
        <is>
          <t>Web</t>
        </is>
      </c>
      <c r="E51" s="2" t="inlineStr">
        <is>
          <t>Medium</t>
        </is>
      </c>
      <c r="F51" s="2" t="inlineStr">
        <is>
          <t>키오스크 디스플레이/동작 설정</t>
        </is>
      </c>
      <c r="G51" s="2" t="inlineStr">
        <is>
          <t>1) 로고/배경 업로드
2) 동작 시나리오 설정
3) 미리보기</t>
        </is>
      </c>
      <c r="H51" s="2" t="inlineStr">
        <is>
          <t>SCR-090</t>
        </is>
      </c>
      <c r="I51" s="2" t="inlineStr">
        <is>
          <t>이미지 파일, 설정 값</t>
        </is>
      </c>
      <c r="J51" s="2" t="inlineStr">
        <is>
          <t>키오스크 설정</t>
        </is>
      </c>
      <c r="K51" s="2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2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2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2" t="n"/>
      <c r="O51" s="2" t="n"/>
      <c r="P51" s="2" t="inlineStr">
        <is>
          <t>확정</t>
        </is>
      </c>
      <c r="Q51" s="2" t="n"/>
      <c r="R51" s="2" t="inlineStr">
        <is>
          <t>설정</t>
        </is>
      </c>
      <c r="S51" s="2">
        <f>IFERROR(VLOOKUP(O51,API명세서!A:D,4,FALSE()),"")</f>
        <v/>
      </c>
      <c r="T51" s="2" t="n"/>
      <c r="U51" s="2" t="n">
        <v>3</v>
      </c>
    </row>
    <row r="52" outlineLevel="1">
      <c r="A52" s="2" t="inlineStr">
        <is>
          <t>FN-032</t>
        </is>
      </c>
      <c r="B52" s="2" t="inlineStr">
        <is>
          <t>IoT 설정</t>
        </is>
      </c>
      <c r="C52" s="2" t="inlineStr">
        <is>
          <t>설정</t>
        </is>
      </c>
      <c r="D52" s="2" t="inlineStr">
        <is>
          <t>Web</t>
        </is>
      </c>
      <c r="E52" s="2" t="inlineStr">
        <is>
          <t>Medium</t>
        </is>
      </c>
      <c r="F52" s="2" t="inlineStr">
        <is>
          <t>출입문/체성분 기기 연동 설정</t>
        </is>
      </c>
      <c r="G52" s="2" t="inlineStr">
        <is>
          <t>1) 기기 등록/해제
2) 연결 상태 모니터링
3) 연결 테스트</t>
        </is>
      </c>
      <c r="H52" s="2" t="inlineStr">
        <is>
          <t>SCR-090</t>
        </is>
      </c>
      <c r="I52" s="2" t="inlineStr">
        <is>
          <t>기기 정보</t>
        </is>
      </c>
      <c r="J52" s="2" t="inlineStr">
        <is>
          <t>기기 목록, 연결 상태</t>
        </is>
      </c>
      <c r="K52" s="2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2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2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2" t="n"/>
      <c r="O52" s="2" t="n"/>
      <c r="P52" s="2" t="inlineStr">
        <is>
          <t>확정</t>
        </is>
      </c>
      <c r="Q52" s="2" t="n"/>
      <c r="R52" s="2" t="inlineStr">
        <is>
          <t>설정</t>
        </is>
      </c>
      <c r="S52" s="2">
        <f>IFERROR(VLOOKUP(O52,API명세서!A:D,4,FALSE()),"")</f>
        <v/>
      </c>
      <c r="T52" s="2" t="n"/>
      <c r="U52" s="2" t="n">
        <v>3</v>
      </c>
    </row>
    <row r="53" outlineLevel="1">
      <c r="A53" s="2" t="inlineStr">
        <is>
          <t>FN-033</t>
        </is>
      </c>
      <c r="B53" s="2" t="inlineStr">
        <is>
          <t>지점 관리</t>
        </is>
      </c>
      <c r="C53" s="2" t="inlineStr">
        <is>
          <t>설정</t>
        </is>
      </c>
      <c r="D53" s="2" t="inlineStr">
        <is>
          <t>Web</t>
        </is>
      </c>
      <c r="E53" s="2" t="inlineStr">
        <is>
          <t>Critical</t>
        </is>
      </c>
      <c r="F53" s="2" t="inlineStr">
        <is>
          <t>지점 CRUD 및 멀티테넌트 관리</t>
        </is>
      </c>
      <c r="G53" s="2" t="inlineStr">
        <is>
          <t>1) 지점 추가 (이름/코드/주소/연락처)
2) 지점 수정
3) 지점 비활성화
4) 데이터 초기화 (개발용)</t>
        </is>
      </c>
      <c r="H53" s="2" t="inlineStr">
        <is>
          <t>SCR-090</t>
        </is>
      </c>
      <c r="I53" s="2" t="inlineStr">
        <is>
          <t>지점 정보</t>
        </is>
      </c>
      <c r="J53" s="2" t="inlineStr">
        <is>
          <t>지점 목록</t>
        </is>
      </c>
      <c r="K53" s="2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2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2" t="inlineStr">
        <is>
          <t>TanStack Query – GET/POST/PATCH/DELETE /api/v1/branches
지점 등록 모달 (React Hook Form + Zod)
지점 이동 신청 모달 (이용권 처리 선택)
데이터 초기화 – 텍스트 확인 입력 + 2중 AlertDialog
통합 통계 카드 (전체 지점 합산)
3탭 (목록/통합/이동) + 매출 비교 차트</t>
        </is>
      </c>
      <c r="N53" s="2" t="n"/>
      <c r="O53" s="2" t="inlineStr">
        <is>
          <t>API-027</t>
        </is>
      </c>
      <c r="P53" s="2" t="inlineStr">
        <is>
          <t>확정</t>
        </is>
      </c>
      <c r="Q53" s="2" t="n"/>
      <c r="R53" s="2" t="inlineStr">
        <is>
          <t>설정</t>
        </is>
      </c>
      <c r="S53" s="2" t="inlineStr">
        <is>
          <t>/api/v1/system/reset</t>
        </is>
      </c>
      <c r="T53" s="2" t="n"/>
      <c r="U53" s="2" t="n">
        <v>3</v>
      </c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2" t="inlineStr">
        <is>
          <t>API-001</t>
        </is>
      </c>
      <c r="B2" s="2" t="inlineStr">
        <is>
          <t>로그인</t>
        </is>
      </c>
      <c r="C2" s="2" t="inlineStr">
        <is>
          <t>POST</t>
        </is>
      </c>
      <c r="D2" s="2" t="inlineStr">
        <is>
          <t>/api/v1/auth/login</t>
        </is>
      </c>
      <c r="E2" s="2" t="inlineStr">
        <is>
          <t>이메일/비밀번호 로그인 인증</t>
        </is>
      </c>
      <c r="F2" s="2" t="inlineStr">
        <is>
          <t>Content-Type: application/json</t>
        </is>
      </c>
      <c r="G2" s="2" t="inlineStr">
        <is>
          <t>{
  "email": "string",
  "password": "string",
  "branch_id": "number"
}</t>
        </is>
      </c>
      <c r="H2" s="2" t="inlineStr">
        <is>
          <t>{
  "token": "jwt_string",
  "user": {
    "id": 1,
    "name": "홍길동",
    "role": "manager",
    "branch_id": 1
  }
}</t>
        </is>
      </c>
      <c r="I2" s="2" t="inlineStr">
        <is>
          <t>{
  "error": "INVALID_CREDENTIALS",
  "message": "이메일 또는 비밀번호가 올바르지 않습니다"
}</t>
        </is>
      </c>
      <c r="J2" s="2" t="inlineStr">
        <is>
          <t>N</t>
        </is>
      </c>
      <c r="K2" s="2" t="inlineStr">
        <is>
          <t>SCR-001</t>
        </is>
      </c>
      <c r="L2" s="2" t="inlineStr">
        <is>
          <t>FN-001</t>
        </is>
      </c>
      <c r="M2" s="2" t="inlineStr">
        <is>
          <t>개발완료</t>
        </is>
      </c>
      <c r="N2" s="2" t="n"/>
      <c r="O2" s="2" t="inlineStr">
        <is>
          <t>로그인</t>
        </is>
      </c>
      <c r="P2" s="2" t="inlineStr">
        <is>
          <t>로그인</t>
        </is>
      </c>
      <c r="Q2" s="2" t="n"/>
      <c r="R2" s="2" t="n">
        <v>5</v>
      </c>
    </row>
    <row r="3">
      <c r="A3" s="2" t="inlineStr">
        <is>
          <t>API-002</t>
        </is>
      </c>
      <c r="B3" s="2" t="inlineStr">
        <is>
          <t>로그아웃</t>
        </is>
      </c>
      <c r="C3" s="2" t="inlineStr">
        <is>
          <t>POST</t>
        </is>
      </c>
      <c r="D3" s="2" t="inlineStr">
        <is>
          <t>/api/v1/auth/logout</t>
        </is>
      </c>
      <c r="E3" s="2" t="inlineStr">
        <is>
          <t>세션 종료 및 토큰 무효화</t>
        </is>
      </c>
      <c r="F3" s="2" t="inlineStr">
        <is>
          <t>Authorization: Bearer {token}</t>
        </is>
      </c>
      <c r="G3" s="2" t="n"/>
      <c r="H3" s="2" t="inlineStr">
        <is>
          <t>{
  "message": "로그아웃 되었습니다"
}</t>
        </is>
      </c>
      <c r="I3" s="2" t="inlineStr">
        <is>
          <t>{
  "error": "UNAUTHORIZED",
  "message": "인증이 필요합니다"
}</t>
        </is>
      </c>
      <c r="J3" s="2" t="inlineStr">
        <is>
          <t>Y</t>
        </is>
      </c>
      <c r="K3" s="2" t="inlineStr">
        <is>
          <t>SCR-002</t>
        </is>
      </c>
      <c r="L3" s="2" t="inlineStr">
        <is>
          <t>FN-001</t>
        </is>
      </c>
      <c r="M3" s="2" t="inlineStr">
        <is>
          <t>개발완료</t>
        </is>
      </c>
      <c r="N3" s="2" t="n"/>
      <c r="O3" s="2" t="inlineStr">
        <is>
          <t>대시보드</t>
        </is>
      </c>
      <c r="P3" s="2" t="inlineStr">
        <is>
          <t>로그인</t>
        </is>
      </c>
      <c r="Q3" s="2" t="n"/>
      <c r="R3" s="2" t="n">
        <v>8</v>
      </c>
    </row>
    <row r="4">
      <c r="A4" s="2" t="inlineStr">
        <is>
          <t>API-003</t>
        </is>
      </c>
      <c r="B4" s="2" t="inlineStr">
        <is>
          <t>대시보드 통계</t>
        </is>
      </c>
      <c r="C4" s="2" t="inlineStr">
        <is>
          <t>GET</t>
        </is>
      </c>
      <c r="D4" s="2" t="inlineStr">
        <is>
          <t>/api/v1/dashboard/stats</t>
        </is>
      </c>
      <c r="E4" s="2" t="inlineStr">
        <is>
          <t>지점별 대시보드 핵심 KPI 조회</t>
        </is>
      </c>
      <c r="F4" s="2" t="inlineStr">
        <is>
          <t>Authorization: Bearer {token}</t>
        </is>
      </c>
      <c r="G4" s="2" t="n"/>
      <c r="H4" s="2" t="inlineStr">
        <is>
          <t>{
  "totalMembers": 450,
  "activeMembers": 320,
  "expiringMembers": 25,
  "expiredMembers": 105,
  "monthlySales": 15000000,
  "todayAttendance": 87
}</t>
        </is>
      </c>
      <c r="I4" s="2" t="inlineStr">
        <is>
          <t>{
  "error": "SERVER_ERROR",
  "message": "데이터를 불러올 수 없습니다"
}</t>
        </is>
      </c>
      <c r="J4" s="2" t="inlineStr">
        <is>
          <t>Y</t>
        </is>
      </c>
      <c r="K4" s="2" t="inlineStr">
        <is>
          <t>SCR-002</t>
        </is>
      </c>
      <c r="L4" s="2" t="inlineStr">
        <is>
          <t>FN-002</t>
        </is>
      </c>
      <c r="M4" s="2" t="inlineStr">
        <is>
          <t>개발완료</t>
        </is>
      </c>
      <c r="N4" s="2" t="n"/>
      <c r="O4" s="2" t="inlineStr">
        <is>
          <t>대시보드</t>
        </is>
      </c>
      <c r="P4" s="2" t="inlineStr">
        <is>
          <t>대시보드 통계 조회</t>
        </is>
      </c>
      <c r="Q4" s="2" t="n"/>
      <c r="R4" s="2" t="n">
        <v>8</v>
      </c>
    </row>
    <row r="5">
      <c r="A5" s="2" t="inlineStr">
        <is>
          <t>API-004</t>
        </is>
      </c>
      <c r="B5" s="2" t="inlineStr">
        <is>
          <t>생일 회원 조회</t>
        </is>
      </c>
      <c r="C5" s="2" t="inlineStr">
        <is>
          <t>GET</t>
        </is>
      </c>
      <c r="D5" s="2" t="inlineStr">
        <is>
          <t>/api/v1/dashboard/birthday-members</t>
        </is>
      </c>
      <c r="E5" s="2" t="inlineStr">
        <is>
          <t>오늘 생일인 회원 목록 조회</t>
        </is>
      </c>
      <c r="F5" s="2" t="inlineStr">
        <is>
          <t>Authorization: Bearer {token}</t>
        </is>
      </c>
      <c r="G5" s="2" t="n"/>
      <c r="H5" s="2" t="inlineStr">
        <is>
          <t>{
  "members": [
    {"id": 1, "name": "김회원", "phone": "010-1234-5678"}
  ]
}</t>
        </is>
      </c>
      <c r="I5" s="2" t="inlineStr">
        <is>
          <t>{
  "error": "SERVER_ERROR",
  "message": "데이터를 불러올 수 없습니다"
}</t>
        </is>
      </c>
      <c r="J5" s="2" t="inlineStr">
        <is>
          <t>Y</t>
        </is>
      </c>
      <c r="K5" s="2" t="inlineStr">
        <is>
          <t>SCR-002</t>
        </is>
      </c>
      <c r="L5" s="2" t="inlineStr">
        <is>
          <t>FN-002</t>
        </is>
      </c>
      <c r="M5" s="2" t="inlineStr">
        <is>
          <t>개발완료</t>
        </is>
      </c>
      <c r="N5" s="2" t="n"/>
      <c r="O5" s="2" t="inlineStr">
        <is>
          <t>대시보드</t>
        </is>
      </c>
      <c r="P5" s="2" t="inlineStr">
        <is>
          <t>대시보드 통계 조회</t>
        </is>
      </c>
      <c r="Q5" s="2" t="n"/>
      <c r="R5" s="2" t="n">
        <v>8</v>
      </c>
    </row>
    <row r="6">
      <c r="A6" s="2" t="inlineStr">
        <is>
          <t>API-005</t>
        </is>
      </c>
      <c r="B6" s="2" t="inlineStr">
        <is>
          <t>미납 회원 조회</t>
        </is>
      </c>
      <c r="C6" s="2" t="inlineStr">
        <is>
          <t>GET</t>
        </is>
      </c>
      <c r="D6" s="2" t="inlineStr">
        <is>
          <t>/api/v1/dashboard/unpaid-members</t>
        </is>
      </c>
      <c r="E6" s="2" t="inlineStr">
        <is>
          <t>미납 내역이 있는 회원 목록 조회</t>
        </is>
      </c>
      <c r="F6" s="2" t="inlineStr">
        <is>
          <t>Authorization: Bearer {token}</t>
        </is>
      </c>
      <c r="G6" s="2" t="n"/>
      <c r="H6" s="2" t="inlineStr">
        <is>
          <t>{
  "members": [
    {"id": 2, "name": "이회원", "unpaidAmount": 150000}
  ]
}</t>
        </is>
      </c>
      <c r="I6" s="2" t="inlineStr">
        <is>
          <t>{
  "error": "SERVER_ERROR",
  "message": "조회 실패"
}</t>
        </is>
      </c>
      <c r="J6" s="2" t="inlineStr">
        <is>
          <t>Y</t>
        </is>
      </c>
      <c r="K6" s="2" t="inlineStr">
        <is>
          <t>SCR-002</t>
        </is>
      </c>
      <c r="L6" s="2" t="inlineStr">
        <is>
          <t>FN-002</t>
        </is>
      </c>
      <c r="M6" s="2" t="inlineStr">
        <is>
          <t>개발완료</t>
        </is>
      </c>
      <c r="N6" s="2" t="n"/>
      <c r="O6" s="2" t="inlineStr">
        <is>
          <t>대시보드</t>
        </is>
      </c>
      <c r="P6" s="2" t="inlineStr">
        <is>
          <t>대시보드 통계 조회</t>
        </is>
      </c>
      <c r="Q6" s="2" t="n"/>
      <c r="R6" s="2" t="n">
        <v>8</v>
      </c>
    </row>
    <row r="7">
      <c r="A7" s="2" t="inlineStr">
        <is>
          <t>API-006</t>
        </is>
      </c>
      <c r="B7" s="2" t="inlineStr">
        <is>
          <t>만료예정 회원 조회</t>
        </is>
      </c>
      <c r="C7" s="2" t="inlineStr">
        <is>
          <t>GET</t>
        </is>
      </c>
      <c r="D7" s="2" t="inlineStr">
        <is>
          <t>/api/v1/dashboard/expiring-members</t>
        </is>
      </c>
      <c r="E7" s="2" t="inlineStr">
        <is>
          <t>7일 내 이용권 만료 예정 회원 조회</t>
        </is>
      </c>
      <c r="F7" s="2" t="inlineStr">
        <is>
          <t>Authorization: Bearer {token}</t>
        </is>
      </c>
      <c r="G7" s="2" t="n"/>
      <c r="H7" s="2" t="inlineStr">
        <is>
          <t>{
  "members": [
    {"id": 3, "name": "박회원", "expiryDate": "2026-03-18", "dDay": -7}
  ]
}</t>
        </is>
      </c>
      <c r="I7" s="2" t="inlineStr">
        <is>
          <t>{
  "error": "SERVER_ERROR",
  "message": "조회 실패"
}</t>
        </is>
      </c>
      <c r="J7" s="2" t="inlineStr">
        <is>
          <t>Y</t>
        </is>
      </c>
      <c r="K7" s="2" t="inlineStr">
        <is>
          <t>SCR-002</t>
        </is>
      </c>
      <c r="L7" s="2" t="inlineStr">
        <is>
          <t>FN-002</t>
        </is>
      </c>
      <c r="M7" s="2" t="inlineStr">
        <is>
          <t>개발완료</t>
        </is>
      </c>
      <c r="N7" s="2" t="n"/>
      <c r="O7" s="2" t="inlineStr">
        <is>
          <t>대시보드</t>
        </is>
      </c>
      <c r="P7" s="2" t="inlineStr">
        <is>
          <t>대시보드 통계 조회</t>
        </is>
      </c>
      <c r="Q7" s="2" t="n"/>
      <c r="R7" s="2" t="n">
        <v>8</v>
      </c>
    </row>
    <row r="8">
      <c r="A8" s="2" t="inlineStr">
        <is>
          <t>API-007</t>
        </is>
      </c>
      <c r="B8" s="2" t="inlineStr">
        <is>
          <t>회원 목록 조회</t>
        </is>
      </c>
      <c r="C8" s="2" t="inlineStr">
        <is>
          <t>GET</t>
        </is>
      </c>
      <c r="D8" s="2" t="inlineStr">
        <is>
          <t>/api/v1/members</t>
        </is>
      </c>
      <c r="E8" s="2" t="inlineStr">
        <is>
          <t>회원 목록 조회 (검색/필터/페이지네이션)</t>
        </is>
      </c>
      <c r="F8" s="2" t="inlineStr">
        <is>
          <t>Authorization: Bearer {token}</t>
        </is>
      </c>
      <c r="G8" s="2" t="inlineStr">
        <is>
          <t>Query: ?search=&amp;status=&amp;gender=&amp;manager_id=&amp;page=1&amp;size=20&amp;sort=name&amp;order=asc</t>
        </is>
      </c>
      <c r="H8" s="2" t="inlineStr">
        <is>
          <t>{
  "data": [
    {"id": 1, "name": "김회원", "phone": "010-1234-5678", "status": "active", "gender": "M"}
  ],
  "pagination": {"page": 1, "size": 20, "total": 450}
}</t>
        </is>
      </c>
      <c r="I8" s="2" t="inlineStr">
        <is>
          <t>{
  "error": "FORBIDDEN",
  "message": "접근 권한이 없습니다"
}</t>
        </is>
      </c>
      <c r="J8" s="2" t="inlineStr">
        <is>
          <t>Y</t>
        </is>
      </c>
      <c r="K8" s="2" t="inlineStr">
        <is>
          <t>SCR-010</t>
        </is>
      </c>
      <c r="L8" s="2" t="inlineStr">
        <is>
          <t>FN-003</t>
        </is>
      </c>
      <c r="M8" s="2" t="inlineStr">
        <is>
          <t>개발완료</t>
        </is>
      </c>
      <c r="N8" s="2" t="n"/>
      <c r="O8" s="2" t="inlineStr">
        <is>
          <t>회원 목록</t>
        </is>
      </c>
      <c r="P8" s="2" t="inlineStr">
        <is>
          <t>회원 목록 조회/검색/필터</t>
        </is>
      </c>
      <c r="Q8" s="2" t="n"/>
      <c r="R8" s="2" t="n">
        <v>8</v>
      </c>
    </row>
    <row r="9">
      <c r="A9" s="2" t="inlineStr">
        <is>
          <t>API-008</t>
        </is>
      </c>
      <c r="B9" s="2" t="inlineStr">
        <is>
          <t>회원 상세 조회</t>
        </is>
      </c>
      <c r="C9" s="2" t="inlineStr">
        <is>
          <t>GET</t>
        </is>
      </c>
      <c r="D9" s="2" t="inlineStr">
        <is>
          <t>/api/v1/members/:id</t>
        </is>
      </c>
      <c r="E9" s="2" t="inlineStr">
        <is>
          <t>회원 상세 정보 조회 (프로필+이용권+출석+결제+체성분+메모)</t>
        </is>
      </c>
      <c r="F9" s="2" t="inlineStr">
        <is>
          <t>Authorization: Bearer {token}</t>
        </is>
      </c>
      <c r="G9" s="2" t="n"/>
      <c r="H9" s="2" t="inlineStr">
        <is>
          <t>{
  "profile": {"id": 1, "name": "김회원", ...},
  "tickets": [...],
  "attendance": [...],
  "payments": [...],
  "bodyComposition": [...],
  "memos": [...]
}</t>
        </is>
      </c>
      <c r="I9" s="2" t="inlineStr">
        <is>
          <t>{
  "error": "NOT_FOUND",
  "message": "회원을 찾을 수 없습니다"
}</t>
        </is>
      </c>
      <c r="J9" s="2" t="inlineStr">
        <is>
          <t>Y</t>
        </is>
      </c>
      <c r="K9" s="2" t="inlineStr">
        <is>
          <t>SCR-011</t>
        </is>
      </c>
      <c r="L9" s="2" t="inlineStr">
        <is>
          <t>FN-006</t>
        </is>
      </c>
      <c r="M9" s="2" t="inlineStr">
        <is>
          <t>개발완료</t>
        </is>
      </c>
      <c r="N9" s="2" t="n"/>
      <c r="O9" s="2" t="inlineStr">
        <is>
          <t>회원 상세</t>
        </is>
      </c>
      <c r="P9" s="2" t="inlineStr">
        <is>
          <t>회원 상세 조회</t>
        </is>
      </c>
      <c r="Q9" s="2" t="n"/>
      <c r="R9" s="2" t="n">
        <v>6</v>
      </c>
    </row>
    <row r="10">
      <c r="A10" s="2" t="inlineStr">
        <is>
          <t>API-009</t>
        </is>
      </c>
      <c r="B10" s="2" t="inlineStr">
        <is>
          <t>회원 등록</t>
        </is>
      </c>
      <c r="C10" s="2" t="inlineStr">
        <is>
          <t>POST</t>
        </is>
      </c>
      <c r="D10" s="2" t="inlineStr">
        <is>
          <t>/api/v1/members</t>
        </is>
      </c>
      <c r="E10" s="2" t="inlineStr">
        <is>
          <t>신규 회원 등록</t>
        </is>
      </c>
      <c r="F10" s="2" t="inlineStr">
        <is>
          <t>Authorization: Bearer {token}
Content-Type: application/json</t>
        </is>
      </c>
      <c r="G10" s="2" t="inlineStr">
        <is>
          <t>{
  "name": "string",
  "gender": "M|F",
  "birthDate": "YYYY-MM-DD",
  "phone": "string",
  "email": "string",
  "address": "string",
  "memo": "string",
  "managerId": "number"
}</t>
        </is>
      </c>
      <c r="H10" s="2" t="inlineStr">
        <is>
          <t>{
  "id": 1,
  "name": "김회원",
  "status": "active",
  "createdAt": "2026-03-11T00:00:00Z"
}</t>
        </is>
      </c>
      <c r="I10" s="2" t="inlineStr">
        <is>
          <t>{
  "error": "DUPLICATE_PHONE",
  "message": "이미 등록된 연락처입니다"
}</t>
        </is>
      </c>
      <c r="J10" s="2" t="inlineStr">
        <is>
          <t>Y</t>
        </is>
      </c>
      <c r="K10" s="2" t="inlineStr">
        <is>
          <t>SCR-012</t>
        </is>
      </c>
      <c r="L10" s="2" t="inlineStr">
        <is>
          <t>FN-004</t>
        </is>
      </c>
      <c r="M10" s="2" t="inlineStr">
        <is>
          <t>개발완료</t>
        </is>
      </c>
      <c r="N10" s="2" t="n"/>
      <c r="O10" s="2" t="inlineStr">
        <is>
          <t>회원 등록</t>
        </is>
      </c>
      <c r="P10" s="2" t="inlineStr">
        <is>
          <t>회원 등록</t>
        </is>
      </c>
      <c r="Q10" s="2" t="n"/>
      <c r="R10" s="2" t="n">
        <v>10</v>
      </c>
    </row>
    <row r="11">
      <c r="A11" s="2" t="inlineStr">
        <is>
          <t>API-010</t>
        </is>
      </c>
      <c r="B11" s="2" t="inlineStr">
        <is>
          <t>회원 수정</t>
        </is>
      </c>
      <c r="C11" s="2" t="inlineStr">
        <is>
          <t>PUT</t>
        </is>
      </c>
      <c r="D11" s="2" t="inlineStr">
        <is>
          <t>/api/v1/members/:id</t>
        </is>
      </c>
      <c r="E11" s="2" t="inlineStr">
        <is>
          <t>기존 회원 정보 수정</t>
        </is>
      </c>
      <c r="F11" s="2" t="inlineStr">
        <is>
          <t>Authorization: Bearer {token}
Content-Type: application/json</t>
        </is>
      </c>
      <c r="G11" s="2" t="inlineStr">
        <is>
          <t>{
  "name": "string",
  "phone": "string",
  "email": "string",
  "address": "string",
  "memo": "string",
  "managerId": "number"
}</t>
        </is>
      </c>
      <c r="H11" s="2" t="inlineStr">
        <is>
          <t>{
  "id": 1,
  "name": "김회원(수정)",
  "updatedAt": "2026-03-11T00:00:00Z"
}</t>
        </is>
      </c>
      <c r="I11" s="2" t="inlineStr">
        <is>
          <t>{
  "error": "NOT_FOUND",
  "message": "회원을 찾을 수 없습니다"
}</t>
        </is>
      </c>
      <c r="J11" s="2" t="inlineStr">
        <is>
          <t>Y</t>
        </is>
      </c>
      <c r="K11" s="2" t="inlineStr">
        <is>
          <t>SCR-013</t>
        </is>
      </c>
      <c r="L11" s="2" t="inlineStr">
        <is>
          <t>FN-005</t>
        </is>
      </c>
      <c r="M11" s="2" t="inlineStr">
        <is>
          <t>개발완료</t>
        </is>
      </c>
      <c r="N11" s="2" t="n"/>
      <c r="O11" s="2" t="inlineStr">
        <is>
          <t>회원 수정</t>
        </is>
      </c>
      <c r="P11" s="2" t="inlineStr">
        <is>
          <t>회원 정보 수정</t>
        </is>
      </c>
      <c r="Q11" s="2" t="n"/>
      <c r="R11" s="2" t="n">
        <v>2</v>
      </c>
    </row>
    <row r="12">
      <c r="A12" s="2" t="inlineStr">
        <is>
          <t>API-011</t>
        </is>
      </c>
      <c r="B12" s="2" t="inlineStr">
        <is>
          <t>회원 삭제</t>
        </is>
      </c>
      <c r="C12" s="2" t="inlineStr">
        <is>
          <t>DELETE</t>
        </is>
      </c>
      <c r="D12" s="2" t="inlineStr">
        <is>
          <t>/api/v1/members/:id</t>
        </is>
      </c>
      <c r="E12" s="2" t="inlineStr">
        <is>
          <t>회원 삭제 (소프트 삭제)</t>
        </is>
      </c>
      <c r="F12" s="2" t="inlineStr">
        <is>
          <t>Authorization: Bearer {token}</t>
        </is>
      </c>
      <c r="G12" s="2" t="n"/>
      <c r="H12" s="2" t="inlineStr">
        <is>
          <t>{
  "message": "회원이 삭제되었습니다"
}</t>
        </is>
      </c>
      <c r="I12" s="2" t="inlineStr">
        <is>
          <t>{
  "error": "FORBIDDEN",
  "message": "삭제 권한이 없습니다"
}</t>
        </is>
      </c>
      <c r="J12" s="2" t="inlineStr">
        <is>
          <t>Y</t>
        </is>
      </c>
      <c r="K12" s="2" t="inlineStr">
        <is>
          <t>SCR-011</t>
        </is>
      </c>
      <c r="L12" s="2" t="inlineStr">
        <is>
          <t>FN-005</t>
        </is>
      </c>
      <c r="M12" s="2" t="inlineStr">
        <is>
          <t>개발완료</t>
        </is>
      </c>
      <c r="N12" s="2" t="n"/>
      <c r="O12" s="2" t="inlineStr">
        <is>
          <t>회원 상세</t>
        </is>
      </c>
      <c r="P12" s="2" t="inlineStr">
        <is>
          <t>회원 정보 수정</t>
        </is>
      </c>
      <c r="Q12" s="2" t="n"/>
      <c r="R12" s="2" t="n">
        <v>6</v>
      </c>
    </row>
    <row r="13">
      <c r="A13" s="2" t="inlineStr">
        <is>
          <t>API-012</t>
        </is>
      </c>
      <c r="B13" s="2" t="inlineStr">
        <is>
          <t>회원 통계 요약</t>
        </is>
      </c>
      <c r="C13" s="2" t="inlineStr">
        <is>
          <t>GET</t>
        </is>
      </c>
      <c r="D13" s="2" t="inlineStr">
        <is>
          <t>/api/v1/members/stats/summary</t>
        </is>
      </c>
      <c r="E13" s="2" t="inlineStr">
        <is>
          <t>회원 상태별 통계 요약</t>
        </is>
      </c>
      <c r="F13" s="2" t="inlineStr">
        <is>
          <t>Authorization: Bearer {token}</t>
        </is>
      </c>
      <c r="G13" s="2" t="n"/>
      <c r="H13" s="2" t="inlineStr">
        <is>
          <t>{
  "total": 450,
  "active": 320,
  "expired": 105,
  "suspended": 15,
  "withdrawn": 10
}</t>
        </is>
      </c>
      <c r="I13" s="2" t="inlineStr">
        <is>
          <t>{
  "error": "SERVER_ERROR",
  "message": "통계 조회 실패"
}</t>
        </is>
      </c>
      <c r="J13" s="2" t="inlineStr">
        <is>
          <t>Y</t>
        </is>
      </c>
      <c r="K13" s="2" t="inlineStr">
        <is>
          <t>SCR-010</t>
        </is>
      </c>
      <c r="L13" s="2" t="inlineStr">
        <is>
          <t>FN-003</t>
        </is>
      </c>
      <c r="M13" s="2" t="inlineStr">
        <is>
          <t>개발완료</t>
        </is>
      </c>
      <c r="N13" s="2" t="n"/>
      <c r="O13" s="2" t="inlineStr">
        <is>
          <t>회원 목록</t>
        </is>
      </c>
      <c r="P13" s="2" t="inlineStr">
        <is>
          <t>회원 목록 조회/검색/필터</t>
        </is>
      </c>
      <c r="Q13" s="2" t="n"/>
      <c r="R13" s="2" t="n">
        <v>8</v>
      </c>
    </row>
    <row r="14">
      <c r="A14" s="2" t="inlineStr">
        <is>
          <t>API-013</t>
        </is>
      </c>
      <c r="B14" s="2" t="inlineStr">
        <is>
          <t>출석 기록 조회</t>
        </is>
      </c>
      <c r="C14" s="2" t="inlineStr">
        <is>
          <t>GET</t>
        </is>
      </c>
      <c r="D14" s="2" t="inlineStr">
        <is>
          <t>/api/v1/attendance</t>
        </is>
      </c>
      <c r="E14" s="2" t="inlineStr">
        <is>
          <t>회원 출석 기록 조회</t>
        </is>
      </c>
      <c r="F14" s="2" t="inlineStr">
        <is>
          <t>Authorization: Bearer {token}</t>
        </is>
      </c>
      <c r="G14" s="2" t="inlineStr">
        <is>
          <t>Query: ?startDate=&amp;endDate=&amp;type=&amp;page=1&amp;size=50</t>
        </is>
      </c>
      <c r="H14" s="2" t="inlineStr">
        <is>
          <t>{
  "data": [
    {"id": 1, "memberId": 1, "memberName": "김회원", "type": "normal", "inTime": "2026-03-11T09:00:00"}
  ],
  "pagination": {...}
}</t>
        </is>
      </c>
      <c r="I14" s="2" t="inlineStr">
        <is>
          <t>{
  "error": "SERVER_ERROR",
  "message": "조회 실패"
}</t>
        </is>
      </c>
      <c r="J14" s="2" t="inlineStr">
        <is>
          <t>Y</t>
        </is>
      </c>
      <c r="K14" s="2" t="inlineStr">
        <is>
          <t>SCR-020</t>
        </is>
      </c>
      <c r="L14" s="2" t="inlineStr">
        <is>
          <t>FN-008</t>
        </is>
      </c>
      <c r="M14" s="2" t="inlineStr">
        <is>
          <t>개발완료</t>
        </is>
      </c>
      <c r="N14" s="2" t="n"/>
      <c r="O14" s="2" t="inlineStr">
        <is>
          <t>출석 기록</t>
        </is>
      </c>
      <c r="P14" s="2" t="inlineStr">
        <is>
          <t>출석 기록 조회</t>
        </is>
      </c>
      <c r="Q14" s="2" t="n"/>
      <c r="R14" s="2" t="n">
        <v>2</v>
      </c>
    </row>
    <row r="15">
      <c r="A15" s="2" t="inlineStr">
        <is>
          <t>API-014</t>
        </is>
      </c>
      <c r="B15" s="2" t="inlineStr">
        <is>
          <t>출석 등록</t>
        </is>
      </c>
      <c r="C15" s="2" t="inlineStr">
        <is>
          <t>POST</t>
        </is>
      </c>
      <c r="D15" s="2" t="inlineStr">
        <is>
          <t>/api/v1/attendance</t>
        </is>
      </c>
      <c r="E15" s="2" t="inlineStr">
        <is>
          <t>출석 체크인/체크아웃 등록</t>
        </is>
      </c>
      <c r="F15" s="2" t="inlineStr">
        <is>
          <t>Authorization: Bearer {token}
Content-Type: application/json</t>
        </is>
      </c>
      <c r="G15" s="2" t="inlineStr">
        <is>
          <t>{
  "memberId": "number",
  "type": "normal|pt|gx",
  "status": "checkIn|checkOut"
}</t>
        </is>
      </c>
      <c r="H15" s="2" t="inlineStr">
        <is>
          <t>{
  "id": 1,
  "memberId": 1,
  "inTime": "2026-03-11T09:00:00",
  "visitCount": 45
}</t>
        </is>
      </c>
      <c r="I15" s="2" t="inlineStr">
        <is>
          <t>{
  "error": "ALREADY_CHECKED_IN",
  "message": "이미 출석 처리되었습니다"
}</t>
        </is>
      </c>
      <c r="J15" s="2" t="inlineStr">
        <is>
          <t>Y</t>
        </is>
      </c>
      <c r="K15" s="2" t="inlineStr">
        <is>
          <t>SCR-020</t>
        </is>
      </c>
      <c r="L15" s="2" t="inlineStr">
        <is>
          <t>FN-008</t>
        </is>
      </c>
      <c r="M15" s="2" t="inlineStr">
        <is>
          <t>개발완료</t>
        </is>
      </c>
      <c r="N15" s="2" t="n"/>
      <c r="O15" s="2" t="inlineStr">
        <is>
          <t>출석 기록</t>
        </is>
      </c>
      <c r="P15" s="2" t="inlineStr">
        <is>
          <t>출석 기록 조회</t>
        </is>
      </c>
      <c r="Q15" s="2" t="n"/>
      <c r="R15" s="2" t="n">
        <v>2</v>
      </c>
    </row>
    <row r="16">
      <c r="A16" s="2" t="inlineStr">
        <is>
          <t>API-015</t>
        </is>
      </c>
      <c r="B16" s="2" t="inlineStr">
        <is>
          <t>매출 조회</t>
        </is>
      </c>
      <c r="C16" s="2" t="inlineStr">
        <is>
          <t>GET</t>
        </is>
      </c>
      <c r="D16" s="2" t="inlineStr">
        <is>
          <t>/api/v1/sales</t>
        </is>
      </c>
      <c r="E16" s="2" t="inlineStr">
        <is>
          <t>매출 내역 조회 (기간/유형/상태 필터)</t>
        </is>
      </c>
      <c r="F16" s="2" t="inlineStr">
        <is>
          <t>Authorization: Bearer {token}</t>
        </is>
      </c>
      <c r="G16" s="2" t="inlineStr">
        <is>
          <t>Query: ?startDate=&amp;endDate=&amp;type=&amp;status=&amp;page=1&amp;size=20</t>
        </is>
      </c>
      <c r="H16" s="2" t="inlineStr">
        <is>
          <t>{
  "data": [
    {"id": 1, "date": "2026-03-11", "productName": "3개월 이용권", "amount": 300000, "paymentMethod": "card"}
  ],
  "pagination": {...}
}</t>
        </is>
      </c>
      <c r="I16" s="2" t="inlineStr">
        <is>
          <t>{
  "error": "FORBIDDEN",
  "message": "매출 조회 권한이 없습니다"
}</t>
        </is>
      </c>
      <c r="J16" s="2" t="inlineStr">
        <is>
          <t>Y</t>
        </is>
      </c>
      <c r="K16" s="2" t="inlineStr">
        <is>
          <t>SCR-030</t>
        </is>
      </c>
      <c r="L16" s="2" t="inlineStr">
        <is>
          <t>FN-010</t>
        </is>
      </c>
      <c r="M16" s="2" t="inlineStr">
        <is>
          <t>개발완료</t>
        </is>
      </c>
      <c r="N16" s="2" t="n"/>
      <c r="O16" s="2" t="inlineStr">
        <is>
          <t>매출 조회</t>
        </is>
      </c>
      <c r="P16" s="2" t="inlineStr">
        <is>
          <t>매출 조회/통계</t>
        </is>
      </c>
      <c r="Q16" s="2" t="n"/>
      <c r="R16" s="2" t="n">
        <v>7</v>
      </c>
    </row>
    <row r="17">
      <c r="A17" s="2" t="inlineStr">
        <is>
          <t>API-016</t>
        </is>
      </c>
      <c r="B17" s="2" t="inlineStr">
        <is>
          <t>매출 등록 (결제)</t>
        </is>
      </c>
      <c r="C17" s="2" t="inlineStr">
        <is>
          <t>POST</t>
        </is>
      </c>
      <c r="D17" s="2" t="inlineStr">
        <is>
          <t>/api/v1/sales</t>
        </is>
      </c>
      <c r="E17" s="2" t="inlineStr">
        <is>
          <t>POS 결제 처리 및 매출 등록</t>
        </is>
      </c>
      <c r="F17" s="2" t="inlineStr">
        <is>
          <t>Authorization: Bearer {token}
Content-Type: application/json</t>
        </is>
      </c>
      <c r="G17" s="2" t="inlineStr">
        <is>
          <t>{
  "memberId": "number",
  "items": [{"productId": 1, "quantity": 1}],
  "paymentMethod": "cash|card|mileage|mixed",
  "cashAmount": 0,
  "cardAmount": 300000,
  "mileageAmount": 0
}</t>
        </is>
      </c>
      <c r="H17" s="2" t="inlineStr">
        <is>
          <t>{
  "saleId": 1,
  "totalAmount": 300000,
  "receiptNo": "R20260311001"
}</t>
        </is>
      </c>
      <c r="I17" s="2" t="inlineStr">
        <is>
          <t>{
  "error": "PAYMENT_FAILED",
  "message": "결제에 실패했습니다"
}</t>
        </is>
      </c>
      <c r="J17" s="2" t="inlineStr">
        <is>
          <t>Y</t>
        </is>
      </c>
      <c r="K17" s="2" t="inlineStr">
        <is>
          <t>SCR-032</t>
        </is>
      </c>
      <c r="L17" s="2" t="inlineStr">
        <is>
          <t>FN-012</t>
        </is>
      </c>
      <c r="M17" s="2" t="inlineStr">
        <is>
          <t>개발완료</t>
        </is>
      </c>
      <c r="N17" s="2" t="n"/>
      <c r="O17" s="2" t="inlineStr">
        <is>
          <t>POS 결제</t>
        </is>
      </c>
      <c r="P17" s="2" t="inlineStr">
        <is>
          <t>POS 결제 처리</t>
        </is>
      </c>
      <c r="Q17" s="2" t="n"/>
      <c r="R17" s="2" t="n">
        <v>4</v>
      </c>
    </row>
    <row r="18">
      <c r="A18" s="2" t="inlineStr">
        <is>
          <t>API-017</t>
        </is>
      </c>
      <c r="B18" s="2" t="inlineStr">
        <is>
          <t>매출 통계 요약</t>
        </is>
      </c>
      <c r="C18" s="2" t="inlineStr">
        <is>
          <t>GET</t>
        </is>
      </c>
      <c r="D18" s="2" t="inlineStr">
        <is>
          <t>/api/v1/sales/stats/summary</t>
        </is>
      </c>
      <c r="E18" s="2" t="inlineStr">
        <is>
          <t>매출 통계 요약 (총매출/현금/카드/마일리지)</t>
        </is>
      </c>
      <c r="F18" s="2" t="inlineStr">
        <is>
          <t>Authorization: Bearer {token}</t>
        </is>
      </c>
      <c r="G18" s="2" t="inlineStr">
        <is>
          <t>Query: ?startDate=&amp;endDate=</t>
        </is>
      </c>
      <c r="H18" s="2" t="inlineStr">
        <is>
          <t>{
  "totalSales": 15000000,
  "cashSales": 3000000,
  "cardSales": 11000000,
  "mileageSales": 1000000,
  "refundTotal": 500000
}</t>
        </is>
      </c>
      <c r="I18" s="2" t="inlineStr">
        <is>
          <t>{
  "error": "SERVER_ERROR",
  "message": "통계 조회 실패"
}</t>
        </is>
      </c>
      <c r="J18" s="2" t="inlineStr">
        <is>
          <t>Y</t>
        </is>
      </c>
      <c r="K18" s="2" t="inlineStr">
        <is>
          <t>SCR-030</t>
        </is>
      </c>
      <c r="L18" s="2" t="inlineStr">
        <is>
          <t>FN-010</t>
        </is>
      </c>
      <c r="M18" s="2" t="inlineStr">
        <is>
          <t>개발완료</t>
        </is>
      </c>
      <c r="N18" s="2" t="n"/>
      <c r="O18" s="2" t="inlineStr">
        <is>
          <t>매출 조회</t>
        </is>
      </c>
      <c r="P18" s="2" t="inlineStr">
        <is>
          <t>매출 조회/통계</t>
        </is>
      </c>
      <c r="Q18" s="2" t="n"/>
      <c r="R18" s="2" t="n">
        <v>7</v>
      </c>
    </row>
    <row r="19">
      <c r="A19" s="2" t="inlineStr">
        <is>
          <t>API-018</t>
        </is>
      </c>
      <c r="B19" s="2" t="inlineStr">
        <is>
          <t>상품 목록 조회</t>
        </is>
      </c>
      <c r="C19" s="2" t="inlineStr">
        <is>
          <t>GET</t>
        </is>
      </c>
      <c r="D19" s="2" t="inlineStr">
        <is>
          <t>/api/v1/products</t>
        </is>
      </c>
      <c r="E19" s="2" t="inlineStr">
        <is>
          <t>상품 목록 조회 (카테고리/상태 필터)</t>
        </is>
      </c>
      <c r="F19" s="2" t="inlineStr">
        <is>
          <t>Authorization: Bearer {token}</t>
        </is>
      </c>
      <c r="G19" s="2" t="inlineStr">
        <is>
          <t>Query: ?category=&amp;status=</t>
        </is>
      </c>
      <c r="H19" s="2" t="inlineStr">
        <is>
          <t>{
  "data": [
    {"id": 1, "name": "3개월 이용권", "category": "membership", "cashPrice": 280000, "cardPrice": 300000, "status": "active"}
  ]
}</t>
        </is>
      </c>
      <c r="I19" s="2" t="inlineStr">
        <is>
          <t>{
  "error": "SERVER_ERROR",
  "message": "조회 실패"
}</t>
        </is>
      </c>
      <c r="J19" s="2" t="inlineStr">
        <is>
          <t>Y</t>
        </is>
      </c>
      <c r="K19" s="2" t="inlineStr">
        <is>
          <t>SCR-040</t>
        </is>
      </c>
      <c r="L19" s="2" t="inlineStr">
        <is>
          <t>FN-013</t>
        </is>
      </c>
      <c r="M19" s="2" t="inlineStr">
        <is>
          <t>개발완료</t>
        </is>
      </c>
      <c r="N19" s="2" t="n"/>
      <c r="O19" s="2" t="inlineStr">
        <is>
          <t>상품 목록</t>
        </is>
      </c>
      <c r="P19" s="2" t="inlineStr">
        <is>
          <t>상품 목록 조회</t>
        </is>
      </c>
      <c r="Q19" s="2" t="n"/>
      <c r="R19" s="2" t="n">
        <v>3</v>
      </c>
    </row>
    <row r="20">
      <c r="A20" s="2" t="inlineStr">
        <is>
          <t>API-019</t>
        </is>
      </c>
      <c r="B20" s="2" t="inlineStr">
        <is>
          <t>상품 등록</t>
        </is>
      </c>
      <c r="C20" s="2" t="inlineStr">
        <is>
          <t>POST</t>
        </is>
      </c>
      <c r="D20" s="2" t="inlineStr">
        <is>
          <t>/api/v1/products</t>
        </is>
      </c>
      <c r="E20" s="2" t="inlineStr">
        <is>
          <t>신규 상품 등록</t>
        </is>
      </c>
      <c r="F20" s="2" t="inlineStr">
        <is>
          <t>Authorization: Bearer {token}
Content-Type: application/json</t>
        </is>
      </c>
      <c r="G20" s="2" t="inlineStr">
        <is>
          <t>{
  "category": "membership|pt|gx|etc",
  "name": "string",
  "cashPrice": "number",
  "cardPrice": "number",
  "period": "number (days)",
  "kioskExposure": "boolean"
}</t>
        </is>
      </c>
      <c r="H20" s="2" t="inlineStr">
        <is>
          <t>{
  "id": 1,
  "name": "3개월 이용권",
  "createdAt": "2026-03-11"
}</t>
        </is>
      </c>
      <c r="I20" s="2" t="inlineStr">
        <is>
          <t>{
  "error": "DUPLICATE_NAME",
  "message": "동일 카테고리에 같은 상품명이 있습니다"
}</t>
        </is>
      </c>
      <c r="J20" s="2" t="inlineStr">
        <is>
          <t>Y</t>
        </is>
      </c>
      <c r="K20" s="2" t="inlineStr">
        <is>
          <t>SCR-041</t>
        </is>
      </c>
      <c r="L20" s="2" t="inlineStr">
        <is>
          <t>FN-014</t>
        </is>
      </c>
      <c r="M20" s="2" t="inlineStr">
        <is>
          <t>개발완료</t>
        </is>
      </c>
      <c r="N20" s="2" t="n"/>
      <c r="O20" s="2" t="inlineStr">
        <is>
          <t>상품 등록</t>
        </is>
      </c>
      <c r="P20" s="2" t="inlineStr">
        <is>
          <t>상품 등록/수정</t>
        </is>
      </c>
      <c r="Q20" s="2" t="n"/>
      <c r="R20" s="2" t="n">
        <v>4</v>
      </c>
    </row>
    <row r="21">
      <c r="A21" s="2" t="inlineStr">
        <is>
          <t>API-020</t>
        </is>
      </c>
      <c r="B21" s="2" t="inlineStr">
        <is>
          <t>락커 목록 조회</t>
        </is>
      </c>
      <c r="C21" s="2" t="inlineStr">
        <is>
          <t>GET</t>
        </is>
      </c>
      <c r="D21" s="2" t="inlineStr">
        <is>
          <t>/api/v1/lockers</t>
        </is>
      </c>
      <c r="E21" s="2" t="inlineStr">
        <is>
          <t>구역별 락커 현황 조회</t>
        </is>
      </c>
      <c r="F21" s="2" t="inlineStr">
        <is>
          <t>Authorization: Bearer {token}</t>
        </is>
      </c>
      <c r="G21" s="2" t="inlineStr">
        <is>
          <t>Query: ?area=A</t>
        </is>
      </c>
      <c r="H21" s="2" t="inlineStr">
        <is>
          <t>{
  "data": [
    {"id": 1, "number": "A-001", "area": "A", "status": "available", "memberId": null}
  ]
}</t>
        </is>
      </c>
      <c r="I21" s="2" t="inlineStr">
        <is>
          <t>{
  "error": "SERVER_ERROR",
  "message": "조회 실패"
}</t>
        </is>
      </c>
      <c r="J21" s="2" t="inlineStr">
        <is>
          <t>Y</t>
        </is>
      </c>
      <c r="K21" s="2" t="inlineStr">
        <is>
          <t>SCR-050</t>
        </is>
      </c>
      <c r="L21" s="2" t="inlineStr">
        <is>
          <t>FN-015</t>
        </is>
      </c>
      <c r="M21" s="2" t="inlineStr">
        <is>
          <t>개발완료</t>
        </is>
      </c>
      <c r="N21" s="2" t="n"/>
      <c r="O21" s="2" t="inlineStr">
        <is>
          <t>락커 현황</t>
        </is>
      </c>
      <c r="P21" s="2" t="inlineStr">
        <is>
          <t>락커 현황 조회</t>
        </is>
      </c>
      <c r="Q21" s="2" t="n"/>
      <c r="R21" s="2" t="n">
        <v>4</v>
      </c>
    </row>
    <row r="22">
      <c r="A22" s="2" t="inlineStr">
        <is>
          <t>API-021</t>
        </is>
      </c>
      <c r="B22" s="2" t="inlineStr">
        <is>
          <t>락커 배정/해제</t>
        </is>
      </c>
      <c r="C22" s="2" t="inlineStr">
        <is>
          <t>PATCH</t>
        </is>
      </c>
      <c r="D22" s="2" t="inlineStr">
        <is>
          <t>/api/v1/lockers/:id</t>
        </is>
      </c>
      <c r="E22" s="2" t="inlineStr">
        <is>
          <t>락커 배정 또는 해제</t>
        </is>
      </c>
      <c r="F22" s="2" t="inlineStr">
        <is>
          <t>Authorization: Bearer {token}
Content-Type: application/json</t>
        </is>
      </c>
      <c r="G22" s="2" t="inlineStr">
        <is>
          <t>{
  "action": "assign|release",
  "memberId": "number",
  "expiryDate": "YYYY-MM-DD"
}</t>
        </is>
      </c>
      <c r="H22" s="2" t="inlineStr">
        <is>
          <t>{
  "id": 1,
  "number": "A-001",
  "status": "occupied",
  "memberId": 1
}</t>
        </is>
      </c>
      <c r="I22" s="2" t="inlineStr">
        <is>
          <t>{
  "error": "ALREADY_ASSIGNED",
  "message": "이미 사용중인 락커입니다"
}</t>
        </is>
      </c>
      <c r="J22" s="2" t="inlineStr">
        <is>
          <t>Y</t>
        </is>
      </c>
      <c r="K22" s="2" t="inlineStr">
        <is>
          <t>SCR-051</t>
        </is>
      </c>
      <c r="L22" s="2" t="inlineStr">
        <is>
          <t>FN-016</t>
        </is>
      </c>
      <c r="M22" s="2" t="inlineStr">
        <is>
          <t>개발완료</t>
        </is>
      </c>
      <c r="N22" s="2" t="n"/>
      <c r="O22" s="2" t="inlineStr">
        <is>
          <t>락커 관리</t>
        </is>
      </c>
      <c r="P22" s="2" t="inlineStr">
        <is>
          <t>락커 배정/관리</t>
        </is>
      </c>
      <c r="Q22" s="2" t="n"/>
      <c r="R22" s="2" t="n">
        <v>4</v>
      </c>
    </row>
    <row r="23">
      <c r="A23" s="2" t="inlineStr">
        <is>
          <t>API-022</t>
        </is>
      </c>
      <c r="B23" s="2" t="inlineStr">
        <is>
          <t>직원 목록 조회</t>
        </is>
      </c>
      <c r="C23" s="2" t="inlineStr">
        <is>
          <t>GET</t>
        </is>
      </c>
      <c r="D23" s="2" t="inlineStr">
        <is>
          <t>/api/v1/staff</t>
        </is>
      </c>
      <c r="E23" s="2" t="inlineStr">
        <is>
          <t>직원 목록 조회 (역할/상태 필터)</t>
        </is>
      </c>
      <c r="F23" s="2" t="inlineStr">
        <is>
          <t>Authorization: Bearer {token}</t>
        </is>
      </c>
      <c r="G23" s="2" t="inlineStr">
        <is>
          <t>Query: ?search=&amp;role=&amp;status=</t>
        </is>
      </c>
      <c r="H23" s="2" t="inlineStr">
        <is>
          <t>{
  "data": [
    {"id": 1, "name": "박트레이너", "role": "fc", "status": "active", "contact": "010-9999-8888"}
  ]
}</t>
        </is>
      </c>
      <c r="I23" s="2" t="inlineStr">
        <is>
          <t>{
  "error": "FORBIDDEN",
  "message": "직원 조회 권한이 없습니다"
}</t>
        </is>
      </c>
      <c r="J23" s="2" t="inlineStr">
        <is>
          <t>Y</t>
        </is>
      </c>
      <c r="K23" s="2" t="inlineStr">
        <is>
          <t>SCR-060</t>
        </is>
      </c>
      <c r="L23" s="2" t="inlineStr">
        <is>
          <t>FN-019</t>
        </is>
      </c>
      <c r="M23" s="2" t="inlineStr">
        <is>
          <t>개발완료</t>
        </is>
      </c>
      <c r="N23" s="2" t="n"/>
      <c r="O23" s="2" t="inlineStr">
        <is>
          <t>직원 목록</t>
        </is>
      </c>
      <c r="P23" s="2" t="inlineStr">
        <is>
          <t>직원 목록 조회</t>
        </is>
      </c>
      <c r="Q23" s="2" t="n"/>
      <c r="R23" s="2" t="n">
        <v>5</v>
      </c>
    </row>
    <row r="24">
      <c r="A24" s="2" t="inlineStr">
        <is>
          <t>API-023</t>
        </is>
      </c>
      <c r="B24" s="2" t="inlineStr">
        <is>
          <t>직원 등록</t>
        </is>
      </c>
      <c r="C24" s="2" t="inlineStr">
        <is>
          <t>POST</t>
        </is>
      </c>
      <c r="D24" s="2" t="inlineStr">
        <is>
          <t>/api/v1/staff</t>
        </is>
      </c>
      <c r="E24" s="2" t="inlineStr">
        <is>
          <t>신규 직원 등록</t>
        </is>
      </c>
      <c r="F24" s="2" t="inlineStr">
        <is>
          <t>Authorization: Bearer {token}
Content-Type: application/json</t>
        </is>
      </c>
      <c r="G24" s="2" t="inlineStr">
        <is>
          <t>{
  "name": "string",
  "gender": "M|F",
  "contact": "string",
  "role": "center_manager|manager|fc|staff",
  "joinDate": "YYYY-MM-DD",
  "workType": "full|part"
}</t>
        </is>
      </c>
      <c r="H24" s="2" t="inlineStr">
        <is>
          <t>{
  "id": 1,
  "name": "박트레이너",
  "adminId": "auto_generated_id"
}</t>
        </is>
      </c>
      <c r="I24" s="2" t="inlineStr">
        <is>
          <t>{
  "error": "DUPLICATE_EMAIL",
  "message": "이미 등록된 이메일입니다"
}</t>
        </is>
      </c>
      <c r="J24" s="2" t="inlineStr">
        <is>
          <t>Y</t>
        </is>
      </c>
      <c r="K24" s="2" t="inlineStr">
        <is>
          <t>SCR-061</t>
        </is>
      </c>
      <c r="L24" s="2" t="inlineStr">
        <is>
          <t>FN-020</t>
        </is>
      </c>
      <c r="M24" s="2" t="inlineStr">
        <is>
          <t>개발완료</t>
        </is>
      </c>
      <c r="N24" s="2" t="n"/>
      <c r="O24" s="2" t="inlineStr">
        <is>
          <t>직원 등록</t>
        </is>
      </c>
      <c r="P24" s="2" t="inlineStr">
        <is>
          <t>직원 등록/수정</t>
        </is>
      </c>
      <c r="Q24" s="2" t="n"/>
      <c r="R24" s="2" t="n">
        <v>5</v>
      </c>
    </row>
    <row r="25">
      <c r="A25" s="2" t="inlineStr">
        <is>
          <t>API-024</t>
        </is>
      </c>
      <c r="B25" s="2" t="inlineStr">
        <is>
          <t>직원 수정</t>
        </is>
      </c>
      <c r="C25" s="2" t="inlineStr">
        <is>
          <t>PUT</t>
        </is>
      </c>
      <c r="D25" s="2" t="inlineStr">
        <is>
          <t>/api/v1/staff/:id</t>
        </is>
      </c>
      <c r="E25" s="2" t="inlineStr">
        <is>
          <t>직원 정보 수정</t>
        </is>
      </c>
      <c r="F25" s="2" t="inlineStr">
        <is>
          <t>Authorization: Bearer {token}
Content-Type: application/json</t>
        </is>
      </c>
      <c r="G25" s="2" t="inlineStr">
        <is>
          <t>{
  "name": "string",
  "contact": "string",
  "role": "string",
  "status": "active|leave|resigned"
}</t>
        </is>
      </c>
      <c r="H25" s="2" t="inlineStr">
        <is>
          <t>{
  "id": 1,
  "name": "박트레이너(수정)",
  "updatedAt": "2026-03-11"
}</t>
        </is>
      </c>
      <c r="I25" s="2" t="inlineStr">
        <is>
          <t>{
  "error": "NOT_FOUND",
  "message": "직원을 찾을 수 없습니다"
}</t>
        </is>
      </c>
      <c r="J25" s="2" t="inlineStr">
        <is>
          <t>Y</t>
        </is>
      </c>
      <c r="K25" s="2" t="inlineStr">
        <is>
          <t>SCR-060</t>
        </is>
      </c>
      <c r="L25" s="2" t="inlineStr">
        <is>
          <t>FN-020</t>
        </is>
      </c>
      <c r="M25" s="2" t="inlineStr">
        <is>
          <t>개발완료</t>
        </is>
      </c>
      <c r="N25" s="2" t="n"/>
      <c r="O25" s="2" t="inlineStr">
        <is>
          <t>직원 목록</t>
        </is>
      </c>
      <c r="P25" s="2" t="inlineStr">
        <is>
          <t>직원 등록/수정</t>
        </is>
      </c>
      <c r="Q25" s="2" t="n"/>
      <c r="R25" s="2" t="n">
        <v>5</v>
      </c>
    </row>
    <row r="26">
      <c r="A26" s="2" t="inlineStr">
        <is>
          <t>API-025</t>
        </is>
      </c>
      <c r="B26" s="2" t="inlineStr">
        <is>
          <t>직원 삭제</t>
        </is>
      </c>
      <c r="C26" s="2" t="inlineStr">
        <is>
          <t>DELETE</t>
        </is>
      </c>
      <c r="D26" s="2" t="inlineStr">
        <is>
          <t>/api/v1/staff/:id</t>
        </is>
      </c>
      <c r="E26" s="2" t="inlineStr">
        <is>
          <t>직원 삭제 (소프트 삭제)</t>
        </is>
      </c>
      <c r="F26" s="2" t="inlineStr">
        <is>
          <t>Authorization: Bearer {token}</t>
        </is>
      </c>
      <c r="G26" s="2" t="n"/>
      <c r="H26" s="2" t="inlineStr">
        <is>
          <t>{
  "message": "직원이 삭제되었습니다"
}</t>
        </is>
      </c>
      <c r="I26" s="2" t="inlineStr">
        <is>
          <t>{
  "error": "FORBIDDEN",
  "message": "삭제 권한이 없습니다"
}</t>
        </is>
      </c>
      <c r="J26" s="2" t="inlineStr">
        <is>
          <t>Y</t>
        </is>
      </c>
      <c r="K26" s="2" t="inlineStr">
        <is>
          <t>SCR-060</t>
        </is>
      </c>
      <c r="L26" s="2" t="inlineStr">
        <is>
          <t>FN-020</t>
        </is>
      </c>
      <c r="M26" s="2" t="inlineStr">
        <is>
          <t>개발완료</t>
        </is>
      </c>
      <c r="N26" s="2" t="n"/>
      <c r="O26" s="2" t="inlineStr">
        <is>
          <t>직원 목록</t>
        </is>
      </c>
      <c r="P26" s="2" t="inlineStr">
        <is>
          <t>직원 등록/수정</t>
        </is>
      </c>
      <c r="Q26" s="2" t="n"/>
      <c r="R26" s="2" t="n">
        <v>5</v>
      </c>
    </row>
    <row r="27">
      <c r="A27" s="2" t="inlineStr">
        <is>
          <t>API-026</t>
        </is>
      </c>
      <c r="B27" s="2" t="inlineStr">
        <is>
          <t>직원 출근부 조회</t>
        </is>
      </c>
      <c r="C27" s="2" t="inlineStr">
        <is>
          <t>GET</t>
        </is>
      </c>
      <c r="D27" s="2" t="inlineStr">
        <is>
          <t>/api/v1/staff/attendance</t>
        </is>
      </c>
      <c r="E27" s="2" t="inlineStr">
        <is>
          <t>직원 출퇴근 기록 조회</t>
        </is>
      </c>
      <c r="F27" s="2" t="inlineStr">
        <is>
          <t>Authorization: Bearer {token}</t>
        </is>
      </c>
      <c r="G27" s="2" t="inlineStr">
        <is>
          <t>Query: ?staffId=&amp;yearMonth=2026-03</t>
        </is>
      </c>
      <c r="H27" s="2" t="inlineStr">
        <is>
          <t>{
  "data": [
    {"date": "2026-03-11", "staffId": 1, "checkIn": "09:00", "checkOut": "18:00", "status": "present"}
  ]
}</t>
        </is>
      </c>
      <c r="I27" s="2" t="inlineStr">
        <is>
          <t>{
  "error": "SERVER_ERROR",
  "message": "조회 실패"
}</t>
        </is>
      </c>
      <c r="J27" s="2" t="inlineStr">
        <is>
          <t>Y</t>
        </is>
      </c>
      <c r="K27" s="2" t="inlineStr">
        <is>
          <t>SCR-062</t>
        </is>
      </c>
      <c r="L27" s="2" t="inlineStr">
        <is>
          <t>FN-021</t>
        </is>
      </c>
      <c r="M27" s="2" t="inlineStr">
        <is>
          <t>개발완료</t>
        </is>
      </c>
      <c r="N27" s="2" t="n"/>
      <c r="O27" s="2" t="inlineStr">
        <is>
          <t>급여 현황</t>
        </is>
      </c>
      <c r="P27" s="2" t="inlineStr">
        <is>
          <t>급여 관리</t>
        </is>
      </c>
      <c r="Q27" s="2" t="n"/>
      <c r="R27" s="2" t="n">
        <v>3</v>
      </c>
    </row>
    <row r="28">
      <c r="A28" s="2" t="inlineStr">
        <is>
          <t>API-027</t>
        </is>
      </c>
      <c r="B28" s="2" t="inlineStr">
        <is>
          <t>시스템 초기화</t>
        </is>
      </c>
      <c r="C28" s="2" t="inlineStr">
        <is>
          <t>POST</t>
        </is>
      </c>
      <c r="D28" s="2" t="inlineStr">
        <is>
          <t>/api/v1/system/reset</t>
        </is>
      </c>
      <c r="E28" s="2" t="inlineStr">
        <is>
          <t>지점 데이터 초기화 (개발/테스트용)</t>
        </is>
      </c>
      <c r="F28" s="2" t="inlineStr">
        <is>
          <t>Authorization: Bearer {token}
Content-Type: application/json</t>
        </is>
      </c>
      <c r="G28" s="2" t="inlineStr">
        <is>
          <t>{
  "branchId": "number",
  "confirmPassword": "string",
  "targets": ["members","sales","attendance"]
}</t>
        </is>
      </c>
      <c r="H28" s="2" t="inlineStr">
        <is>
          <t>{
  "message": "데이터가 초기화되었습니다",
  "resetTargets": ["members","sales","attendance"]
}</t>
        </is>
      </c>
      <c r="I28" s="2" t="inlineStr">
        <is>
          <t>{
  "error": "INVALID_PASSWORD",
  "message": "비밀번호가 올바르지 않습니다"
}</t>
        </is>
      </c>
      <c r="J28" s="2" t="inlineStr">
        <is>
          <t>Y</t>
        </is>
      </c>
      <c r="K28" s="2" t="inlineStr">
        <is>
          <t>SCR-094</t>
        </is>
      </c>
      <c r="L28" s="2" t="inlineStr">
        <is>
          <t>FN-033</t>
        </is>
      </c>
      <c r="M28" s="2" t="inlineStr">
        <is>
          <t>개발완료</t>
        </is>
      </c>
      <c r="N28" s="2" t="n"/>
      <c r="O28" s="2" t="inlineStr">
        <is>
          <t>지점 관리</t>
        </is>
      </c>
      <c r="P28" s="2" t="inlineStr">
        <is>
          <t>지점 관리</t>
        </is>
      </c>
      <c r="Q28" s="2" t="n"/>
      <c r="R28" s="2" t="n">
        <v>3</v>
      </c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2" t="inlineStr">
        <is>
          <t>tenants</t>
        </is>
      </c>
      <c r="B2" s="2" t="inlineStr">
        <is>
          <t>id</t>
        </is>
      </c>
      <c r="C2" s="2" t="inlineStr">
        <is>
          <t>BIGINT</t>
        </is>
      </c>
      <c r="E2" s="2" t="inlineStr">
        <is>
          <t>N</t>
        </is>
      </c>
      <c r="G2" s="2" t="inlineStr">
        <is>
          <t>Y</t>
        </is>
      </c>
      <c r="I2" s="2" t="inlineStr">
        <is>
          <t>Y</t>
        </is>
      </c>
      <c r="J2" s="2" t="inlineStr">
        <is>
          <t>테넌트 고유 ID (auto increment)</t>
        </is>
      </c>
      <c r="K2" s="2" t="inlineStr">
        <is>
          <t>API-003</t>
        </is>
      </c>
      <c r="L2" s="2" t="inlineStr">
        <is>
          <t>확정</t>
        </is>
      </c>
    </row>
    <row r="3">
      <c r="A3" s="2" t="inlineStr">
        <is>
          <t>tenants</t>
        </is>
      </c>
      <c r="B3" s="2" t="inlineStr">
        <is>
          <t>name</t>
        </is>
      </c>
      <c r="C3" s="2" t="inlineStr">
        <is>
          <t>VARCHAR</t>
        </is>
      </c>
      <c r="D3" s="2" t="n">
        <v>100</v>
      </c>
      <c r="E3" s="2" t="inlineStr">
        <is>
          <t>N</t>
        </is>
      </c>
      <c r="G3" s="2" t="inlineStr">
        <is>
          <t>N</t>
        </is>
      </c>
      <c r="I3" s="2" t="inlineStr">
        <is>
          <t>N</t>
        </is>
      </c>
      <c r="J3" s="2" t="inlineStr">
        <is>
          <t>테넌트(본사) 이름</t>
        </is>
      </c>
      <c r="K3" t="inlineStr">
        <is>
          <t>API-001</t>
        </is>
      </c>
      <c r="L3" s="2" t="inlineStr">
        <is>
          <t>확정</t>
        </is>
      </c>
    </row>
    <row r="4">
      <c r="A4" s="2" t="inlineStr">
        <is>
          <t>tenants</t>
        </is>
      </c>
      <c r="B4" s="2" t="inlineStr">
        <is>
          <t>code</t>
        </is>
      </c>
      <c r="C4" s="2" t="inlineStr">
        <is>
          <t>VARCHAR</t>
        </is>
      </c>
      <c r="D4" s="2" t="n">
        <v>20</v>
      </c>
      <c r="E4" s="2" t="inlineStr">
        <is>
          <t>N</t>
        </is>
      </c>
      <c r="G4" s="2" t="inlineStr">
        <is>
          <t>N</t>
        </is>
      </c>
      <c r="I4" s="2" t="inlineStr">
        <is>
          <t>UNIQUE</t>
        </is>
      </c>
      <c r="J4" s="2" t="inlineStr">
        <is>
          <t>테넌트 코드 (고유)</t>
        </is>
      </c>
      <c r="K4" t="inlineStr">
        <is>
          <t>API-001</t>
        </is>
      </c>
      <c r="L4" s="2" t="inlineStr">
        <is>
          <t>확정</t>
        </is>
      </c>
    </row>
    <row r="5">
      <c r="A5" s="2" t="inlineStr">
        <is>
          <t>tenants</t>
        </is>
      </c>
      <c r="B5" s="2" t="inlineStr">
        <is>
          <t>plan</t>
        </is>
      </c>
      <c r="C5" s="2" t="inlineStr">
        <is>
          <t>ENUM</t>
        </is>
      </c>
      <c r="E5" s="2" t="inlineStr">
        <is>
          <t>N</t>
        </is>
      </c>
      <c r="F5" s="2" t="inlineStr">
        <is>
          <t>basic</t>
        </is>
      </c>
      <c r="G5" s="2" t="inlineStr">
        <is>
          <t>N</t>
        </is>
      </c>
      <c r="I5" s="2" t="inlineStr">
        <is>
          <t>N</t>
        </is>
      </c>
      <c r="J5" s="2" t="inlineStr">
        <is>
          <t>요금제 (basic/standard/premium)</t>
        </is>
      </c>
      <c r="K5" t="inlineStr">
        <is>
          <t>API-001</t>
        </is>
      </c>
      <c r="L5" s="2" t="inlineStr">
        <is>
          <t>확정</t>
        </is>
      </c>
    </row>
    <row r="6">
      <c r="A6" s="2" t="inlineStr">
        <is>
          <t>tenants</t>
        </is>
      </c>
      <c r="B6" s="2" t="inlineStr">
        <is>
          <t>status</t>
        </is>
      </c>
      <c r="C6" s="2" t="inlineStr">
        <is>
          <t>ENUM</t>
        </is>
      </c>
      <c r="E6" s="2" t="inlineStr">
        <is>
          <t>N</t>
        </is>
      </c>
      <c r="F6" s="2" t="inlineStr">
        <is>
          <t>active</t>
        </is>
      </c>
      <c r="G6" s="2" t="inlineStr">
        <is>
          <t>N</t>
        </is>
      </c>
      <c r="I6" s="2" t="inlineStr">
        <is>
          <t>Y</t>
        </is>
      </c>
      <c r="J6" s="2" t="inlineStr">
        <is>
          <t>상태 (active/inactive/suspended)</t>
        </is>
      </c>
      <c r="K6" t="inlineStr">
        <is>
          <t>API-001</t>
        </is>
      </c>
      <c r="L6" s="2" t="inlineStr">
        <is>
          <t>확정</t>
        </is>
      </c>
    </row>
    <row r="7">
      <c r="A7" s="2" t="inlineStr">
        <is>
          <t>tenants</t>
        </is>
      </c>
      <c r="B7" s="2" t="inlineStr">
        <is>
          <t>created_at</t>
        </is>
      </c>
      <c r="C7" s="2" t="inlineStr">
        <is>
          <t>DATETIME</t>
        </is>
      </c>
      <c r="E7" s="2" t="inlineStr">
        <is>
          <t>N</t>
        </is>
      </c>
      <c r="F7" s="2" t="inlineStr">
        <is>
          <t>NOW()</t>
        </is>
      </c>
      <c r="G7" s="2" t="inlineStr">
        <is>
          <t>N</t>
        </is>
      </c>
      <c r="I7" s="2" t="inlineStr">
        <is>
          <t>N</t>
        </is>
      </c>
      <c r="J7" s="2" t="inlineStr">
        <is>
          <t>생성일시</t>
        </is>
      </c>
      <c r="K7" t="inlineStr">
        <is>
          <t>API-001</t>
        </is>
      </c>
      <c r="L7" s="2" t="inlineStr">
        <is>
          <t>확정</t>
        </is>
      </c>
    </row>
    <row r="8">
      <c r="A8" s="2" t="inlineStr">
        <is>
          <t>tenants</t>
        </is>
      </c>
      <c r="B8" s="2" t="inlineStr">
        <is>
          <t>updated_at</t>
        </is>
      </c>
      <c r="C8" s="2" t="inlineStr">
        <is>
          <t>DATETIME</t>
        </is>
      </c>
      <c r="E8" s="2" t="inlineStr">
        <is>
          <t>Y</t>
        </is>
      </c>
      <c r="F8" t="inlineStr">
        <is>
          <t>CURRENT_TIMESTAMP</t>
        </is>
      </c>
      <c r="G8" s="2" t="inlineStr">
        <is>
          <t>N</t>
        </is>
      </c>
      <c r="I8" s="2" t="inlineStr">
        <is>
          <t>N</t>
        </is>
      </c>
      <c r="J8" s="2" t="inlineStr">
        <is>
          <t>수정일시</t>
        </is>
      </c>
      <c r="K8" t="inlineStr">
        <is>
          <t>API-001</t>
        </is>
      </c>
      <c r="L8" s="2" t="inlineStr">
        <is>
          <t>확정</t>
        </is>
      </c>
    </row>
    <row r="9">
      <c r="A9" s="2" t="inlineStr">
        <is>
          <t>branches</t>
        </is>
      </c>
      <c r="B9" s="2" t="inlineStr">
        <is>
          <t>id</t>
        </is>
      </c>
      <c r="C9" s="2" t="inlineStr">
        <is>
          <t>BIGINT</t>
        </is>
      </c>
      <c r="E9" s="2" t="inlineStr">
        <is>
          <t>N</t>
        </is>
      </c>
      <c r="G9" s="2" t="inlineStr">
        <is>
          <t>Y</t>
        </is>
      </c>
      <c r="I9" s="2" t="inlineStr">
        <is>
          <t>Y</t>
        </is>
      </c>
      <c r="J9" s="2" t="inlineStr">
        <is>
          <t>지점 고유 ID</t>
        </is>
      </c>
      <c r="K9" s="2" t="inlineStr">
        <is>
          <t>API-027</t>
        </is>
      </c>
      <c r="L9" s="2" t="inlineStr">
        <is>
          <t>확정</t>
        </is>
      </c>
    </row>
    <row r="10">
      <c r="A10" s="2" t="inlineStr">
        <is>
          <t>branches</t>
        </is>
      </c>
      <c r="B10" s="2" t="inlineStr">
        <is>
          <t>tenant_id</t>
        </is>
      </c>
      <c r="C10" s="2" t="inlineStr">
        <is>
          <t>BIGINT</t>
        </is>
      </c>
      <c r="E10" s="2" t="inlineStr">
        <is>
          <t>N</t>
        </is>
      </c>
      <c r="G10" s="2" t="inlineStr">
        <is>
          <t>N</t>
        </is>
      </c>
      <c r="H10" s="2" t="inlineStr">
        <is>
          <t>tenants.id</t>
        </is>
      </c>
      <c r="I10" s="2" t="inlineStr">
        <is>
          <t>Y</t>
        </is>
      </c>
      <c r="J10" s="2" t="inlineStr">
        <is>
          <t>소속 테넌트 FK</t>
        </is>
      </c>
      <c r="K10" t="inlineStr">
        <is>
          <t>API-027, API-028, API-029</t>
        </is>
      </c>
      <c r="L10" s="2" t="inlineStr">
        <is>
          <t>확정</t>
        </is>
      </c>
    </row>
    <row r="11">
      <c r="A11" s="2" t="inlineStr">
        <is>
          <t>branches</t>
        </is>
      </c>
      <c r="B11" s="2" t="inlineStr">
        <is>
          <t>name</t>
        </is>
      </c>
      <c r="C11" s="2" t="inlineStr">
        <is>
          <t>VARCHAR</t>
        </is>
      </c>
      <c r="D11" s="2" t="n">
        <v>100</v>
      </c>
      <c r="E11" s="2" t="inlineStr">
        <is>
          <t>N</t>
        </is>
      </c>
      <c r="G11" s="2" t="inlineStr">
        <is>
          <t>N</t>
        </is>
      </c>
      <c r="I11" s="2" t="inlineStr">
        <is>
          <t>N</t>
        </is>
      </c>
      <c r="J11" s="2" t="inlineStr">
        <is>
          <t>지점명</t>
        </is>
      </c>
      <c r="K11" t="inlineStr">
        <is>
          <t>API-027, API-028, API-029</t>
        </is>
      </c>
      <c r="L11" s="2" t="inlineStr">
        <is>
          <t>확정</t>
        </is>
      </c>
    </row>
    <row r="12">
      <c r="A12" s="2" t="inlineStr">
        <is>
          <t>branches</t>
        </is>
      </c>
      <c r="B12" s="2" t="inlineStr">
        <is>
          <t>code</t>
        </is>
      </c>
      <c r="C12" s="2" t="inlineStr">
        <is>
          <t>VARCHAR</t>
        </is>
      </c>
      <c r="D12" s="2" t="n">
        <v>20</v>
      </c>
      <c r="E12" s="2" t="inlineStr">
        <is>
          <t>N</t>
        </is>
      </c>
      <c r="G12" s="2" t="inlineStr">
        <is>
          <t>N</t>
        </is>
      </c>
      <c r="I12" s="2" t="inlineStr">
        <is>
          <t>UNIQUE</t>
        </is>
      </c>
      <c r="J12" s="2" t="inlineStr">
        <is>
          <t>지점 코드 (고유)</t>
        </is>
      </c>
      <c r="K12" t="inlineStr">
        <is>
          <t>API-027, API-028, API-029</t>
        </is>
      </c>
      <c r="L12" s="2" t="inlineStr">
        <is>
          <t>확정</t>
        </is>
      </c>
    </row>
    <row r="13">
      <c r="A13" s="2" t="inlineStr">
        <is>
          <t>branches</t>
        </is>
      </c>
      <c r="B13" s="2" t="inlineStr">
        <is>
          <t>address</t>
        </is>
      </c>
      <c r="C13" s="2" t="inlineStr">
        <is>
          <t>VARCHAR</t>
        </is>
      </c>
      <c r="D13" s="2" t="n">
        <v>255</v>
      </c>
      <c r="E13" s="2" t="inlineStr">
        <is>
          <t>Y</t>
        </is>
      </c>
      <c r="G13" s="2" t="inlineStr">
        <is>
          <t>N</t>
        </is>
      </c>
      <c r="I13" s="2" t="inlineStr">
        <is>
          <t>N</t>
        </is>
      </c>
      <c r="J13" s="2" t="inlineStr">
        <is>
          <t>지점 주소</t>
        </is>
      </c>
      <c r="K13" t="inlineStr">
        <is>
          <t>API-027, API-028, API-029</t>
        </is>
      </c>
      <c r="L13" s="2" t="inlineStr">
        <is>
          <t>확정</t>
        </is>
      </c>
    </row>
    <row r="14">
      <c r="A14" s="2" t="inlineStr">
        <is>
          <t>branches</t>
        </is>
      </c>
      <c r="B14" s="2" t="inlineStr">
        <is>
          <t>phone</t>
        </is>
      </c>
      <c r="C14" s="2" t="inlineStr">
        <is>
          <t>VARCHAR</t>
        </is>
      </c>
      <c r="D14" s="2" t="n">
        <v>20</v>
      </c>
      <c r="E14" s="2" t="inlineStr">
        <is>
          <t>Y</t>
        </is>
      </c>
      <c r="G14" s="2" t="inlineStr">
        <is>
          <t>N</t>
        </is>
      </c>
      <c r="I14" s="2" t="inlineStr">
        <is>
          <t>N</t>
        </is>
      </c>
      <c r="J14" s="2" t="inlineStr">
        <is>
          <t>지점 연락처</t>
        </is>
      </c>
      <c r="K14" t="inlineStr">
        <is>
          <t>API-027, API-028, API-029</t>
        </is>
      </c>
      <c r="L14" s="2" t="inlineStr">
        <is>
          <t>확정</t>
        </is>
      </c>
    </row>
    <row r="15">
      <c r="A15" s="2" t="inlineStr">
        <is>
          <t>branches</t>
        </is>
      </c>
      <c r="B15" s="2" t="inlineStr">
        <is>
          <t>status</t>
        </is>
      </c>
      <c r="C15" s="2" t="inlineStr">
        <is>
          <t>ENUM</t>
        </is>
      </c>
      <c r="E15" s="2" t="inlineStr">
        <is>
          <t>N</t>
        </is>
      </c>
      <c r="F15" s="2" t="inlineStr">
        <is>
          <t>active</t>
        </is>
      </c>
      <c r="G15" s="2" t="inlineStr">
        <is>
          <t>N</t>
        </is>
      </c>
      <c r="I15" s="2" t="inlineStr">
        <is>
          <t>Y</t>
        </is>
      </c>
      <c r="J15" s="2" t="inlineStr">
        <is>
          <t>상태 (active/inactive)</t>
        </is>
      </c>
      <c r="K15" t="inlineStr">
        <is>
          <t>API-027, API-028, API-029</t>
        </is>
      </c>
      <c r="L15" s="2" t="inlineStr">
        <is>
          <t>확정</t>
        </is>
      </c>
    </row>
    <row r="16">
      <c r="A16" s="2" t="inlineStr">
        <is>
          <t>branches</t>
        </is>
      </c>
      <c r="B16" s="2" t="inlineStr">
        <is>
          <t>created_at</t>
        </is>
      </c>
      <c r="C16" s="2" t="inlineStr">
        <is>
          <t>DATETIME</t>
        </is>
      </c>
      <c r="E16" s="2" t="inlineStr">
        <is>
          <t>N</t>
        </is>
      </c>
      <c r="F16" s="2" t="inlineStr">
        <is>
          <t>NOW()</t>
        </is>
      </c>
      <c r="G16" s="2" t="inlineStr">
        <is>
          <t>N</t>
        </is>
      </c>
      <c r="I16" s="2" t="inlineStr">
        <is>
          <t>N</t>
        </is>
      </c>
      <c r="J16" s="2" t="inlineStr">
        <is>
          <t>생성일시</t>
        </is>
      </c>
      <c r="K16" t="inlineStr">
        <is>
          <t>API-027, API-028, API-029</t>
        </is>
      </c>
      <c r="L16" s="2" t="inlineStr">
        <is>
          <t>확정</t>
        </is>
      </c>
    </row>
    <row r="17">
      <c r="A17" s="2" t="inlineStr">
        <is>
          <t>users</t>
        </is>
      </c>
      <c r="B17" s="2" t="inlineStr">
        <is>
          <t>id</t>
        </is>
      </c>
      <c r="C17" s="2" t="inlineStr">
        <is>
          <t>BIGINT</t>
        </is>
      </c>
      <c r="E17" s="2" t="inlineStr">
        <is>
          <t>N</t>
        </is>
      </c>
      <c r="G17" s="2" t="inlineStr">
        <is>
          <t>Y</t>
        </is>
      </c>
      <c r="I17" s="2" t="inlineStr">
        <is>
          <t>Y</t>
        </is>
      </c>
      <c r="J17" s="2" t="inlineStr">
        <is>
          <t>사용자 고유 ID</t>
        </is>
      </c>
      <c r="K17" s="2" t="inlineStr">
        <is>
          <t>API-001</t>
        </is>
      </c>
      <c r="L17" s="2" t="inlineStr">
        <is>
          <t>확정</t>
        </is>
      </c>
    </row>
    <row r="18">
      <c r="A18" s="2" t="inlineStr">
        <is>
          <t>users</t>
        </is>
      </c>
      <c r="B18" s="2" t="inlineStr">
        <is>
          <t>branch_id</t>
        </is>
      </c>
      <c r="C18" s="2" t="inlineStr">
        <is>
          <t>BIGINT</t>
        </is>
      </c>
      <c r="E18" s="2" t="inlineStr">
        <is>
          <t>N</t>
        </is>
      </c>
      <c r="G18" s="2" t="inlineStr">
        <is>
          <t>N</t>
        </is>
      </c>
      <c r="H18" s="2" t="inlineStr">
        <is>
          <t>branches.id</t>
        </is>
      </c>
      <c r="I18" s="2" t="inlineStr">
        <is>
          <t>Y</t>
        </is>
      </c>
      <c r="J18" s="2" t="inlineStr">
        <is>
          <t>소속 지점 FK</t>
        </is>
      </c>
      <c r="K18" t="inlineStr">
        <is>
          <t>API-002, API-003</t>
        </is>
      </c>
      <c r="L18" s="2" t="inlineStr">
        <is>
          <t>확정</t>
        </is>
      </c>
    </row>
    <row r="19">
      <c r="A19" s="2" t="inlineStr">
        <is>
          <t>users</t>
        </is>
      </c>
      <c r="B19" s="2" t="inlineStr">
        <is>
          <t>email</t>
        </is>
      </c>
      <c r="C19" s="2" t="inlineStr">
        <is>
          <t>VARCHAR</t>
        </is>
      </c>
      <c r="D19" s="2" t="n">
        <v>100</v>
      </c>
      <c r="E19" s="2" t="inlineStr">
        <is>
          <t>N</t>
        </is>
      </c>
      <c r="G19" s="2" t="inlineStr">
        <is>
          <t>N</t>
        </is>
      </c>
      <c r="I19" s="2" t="inlineStr">
        <is>
          <t>UNIQUE</t>
        </is>
      </c>
      <c r="J19" s="2" t="inlineStr">
        <is>
          <t>로그인 이메일</t>
        </is>
      </c>
      <c r="K19" t="inlineStr">
        <is>
          <t>API-002, API-003</t>
        </is>
      </c>
      <c r="L19" s="2" t="inlineStr">
        <is>
          <t>확정</t>
        </is>
      </c>
    </row>
    <row r="20">
      <c r="A20" s="2" t="inlineStr">
        <is>
          <t>users</t>
        </is>
      </c>
      <c r="B20" s="2" t="inlineStr">
        <is>
          <t>password_hash</t>
        </is>
      </c>
      <c r="C20" s="2" t="inlineStr">
        <is>
          <t>VARCHAR</t>
        </is>
      </c>
      <c r="D20" s="2" t="n">
        <v>255</v>
      </c>
      <c r="E20" s="2" t="inlineStr">
        <is>
          <t>N</t>
        </is>
      </c>
      <c r="G20" s="2" t="inlineStr">
        <is>
          <t>N</t>
        </is>
      </c>
      <c r="I20" s="2" t="inlineStr">
        <is>
          <t>N</t>
        </is>
      </c>
      <c r="J20" s="2" t="inlineStr">
        <is>
          <t>비밀번호 해시</t>
        </is>
      </c>
      <c r="K20" t="inlineStr">
        <is>
          <t>API-002, API-003</t>
        </is>
      </c>
      <c r="L20" s="2" t="inlineStr">
        <is>
          <t>확정</t>
        </is>
      </c>
    </row>
    <row r="21">
      <c r="A21" s="2" t="inlineStr">
        <is>
          <t>users</t>
        </is>
      </c>
      <c r="B21" s="2" t="inlineStr">
        <is>
          <t>name</t>
        </is>
      </c>
      <c r="C21" s="2" t="inlineStr">
        <is>
          <t>VARCHAR</t>
        </is>
      </c>
      <c r="D21" s="2" t="n">
        <v>50</v>
      </c>
      <c r="E21" s="2" t="inlineStr">
        <is>
          <t>N</t>
        </is>
      </c>
      <c r="G21" s="2" t="inlineStr">
        <is>
          <t>N</t>
        </is>
      </c>
      <c r="I21" s="2" t="inlineStr">
        <is>
          <t>Y</t>
        </is>
      </c>
      <c r="J21" s="2" t="inlineStr">
        <is>
          <t>사용자 이름</t>
        </is>
      </c>
      <c r="K21" t="inlineStr">
        <is>
          <t>API-002, API-003</t>
        </is>
      </c>
      <c r="L21" s="2" t="inlineStr">
        <is>
          <t>확정</t>
        </is>
      </c>
    </row>
    <row r="22">
      <c r="A22" s="2" t="inlineStr">
        <is>
          <t>users</t>
        </is>
      </c>
      <c r="B22" s="2" t="inlineStr">
        <is>
          <t>role</t>
        </is>
      </c>
      <c r="C22" s="2" t="inlineStr">
        <is>
          <t>ENUM</t>
        </is>
      </c>
      <c r="E22" s="2" t="inlineStr">
        <is>
          <t>N</t>
        </is>
      </c>
      <c r="G22" s="2" t="inlineStr">
        <is>
          <t>N</t>
        </is>
      </c>
      <c r="I22" s="2" t="inlineStr">
        <is>
          <t>Y</t>
        </is>
      </c>
      <c r="J22" s="2" t="inlineStr">
        <is>
          <t>역할 (super_admin/center_manager/manager/fc/staff/viewer)</t>
        </is>
      </c>
      <c r="K22" t="inlineStr">
        <is>
          <t>API-002, API-003</t>
        </is>
      </c>
      <c r="L22" s="2" t="inlineStr">
        <is>
          <t>확정</t>
        </is>
      </c>
    </row>
    <row r="23">
      <c r="A23" s="2" t="inlineStr">
        <is>
          <t>users</t>
        </is>
      </c>
      <c r="B23" s="2" t="inlineStr">
        <is>
          <t>status</t>
        </is>
      </c>
      <c r="C23" s="2" t="inlineStr">
        <is>
          <t>ENUM</t>
        </is>
      </c>
      <c r="E23" s="2" t="inlineStr">
        <is>
          <t>N</t>
        </is>
      </c>
      <c r="F23" s="2" t="inlineStr">
        <is>
          <t>active</t>
        </is>
      </c>
      <c r="G23" s="2" t="inlineStr">
        <is>
          <t>N</t>
        </is>
      </c>
      <c r="I23" s="2" t="inlineStr">
        <is>
          <t>Y</t>
        </is>
      </c>
      <c r="J23" s="2" t="inlineStr">
        <is>
          <t>상태 (active/inactive/locked)</t>
        </is>
      </c>
      <c r="K23" t="inlineStr">
        <is>
          <t>API-002, API-003</t>
        </is>
      </c>
      <c r="L23" s="2" t="inlineStr">
        <is>
          <t>확정</t>
        </is>
      </c>
    </row>
    <row r="24">
      <c r="A24" s="2" t="inlineStr">
        <is>
          <t>users</t>
        </is>
      </c>
      <c r="B24" s="2" t="inlineStr">
        <is>
          <t>last_login</t>
        </is>
      </c>
      <c r="C24" s="2" t="inlineStr">
        <is>
          <t>DATETIME</t>
        </is>
      </c>
      <c r="E24" s="2" t="inlineStr">
        <is>
          <t>Y</t>
        </is>
      </c>
      <c r="F24" t="inlineStr">
        <is>
          <t>NULL</t>
        </is>
      </c>
      <c r="G24" s="2" t="inlineStr">
        <is>
          <t>N</t>
        </is>
      </c>
      <c r="I24" s="2" t="inlineStr">
        <is>
          <t>N</t>
        </is>
      </c>
      <c r="J24" s="2" t="inlineStr">
        <is>
          <t>마지막 로그인 일시</t>
        </is>
      </c>
      <c r="K24" t="inlineStr">
        <is>
          <t>API-002, API-003</t>
        </is>
      </c>
      <c r="L24" s="2" t="inlineStr">
        <is>
          <t>확정</t>
        </is>
      </c>
    </row>
    <row r="25">
      <c r="A25" s="2" t="inlineStr">
        <is>
          <t>users</t>
        </is>
      </c>
      <c r="B25" s="2" t="inlineStr">
        <is>
          <t>login_fail_count</t>
        </is>
      </c>
      <c r="C25" s="2" t="inlineStr">
        <is>
          <t>INT</t>
        </is>
      </c>
      <c r="E25" s="2" t="inlineStr">
        <is>
          <t>N</t>
        </is>
      </c>
      <c r="F25" s="2" t="inlineStr">
        <is>
          <t>0</t>
        </is>
      </c>
      <c r="G25" s="2" t="inlineStr">
        <is>
          <t>N</t>
        </is>
      </c>
      <c r="I25" s="2" t="inlineStr">
        <is>
          <t>N</t>
        </is>
      </c>
      <c r="J25" s="2" t="inlineStr">
        <is>
          <t>연속 로그인 실패 횟수</t>
        </is>
      </c>
      <c r="K25" t="inlineStr">
        <is>
          <t>API-002, API-003</t>
        </is>
      </c>
      <c r="L25" s="2" t="inlineStr">
        <is>
          <t>확정</t>
        </is>
      </c>
    </row>
    <row r="26">
      <c r="A26" s="2" t="inlineStr">
        <is>
          <t>users</t>
        </is>
      </c>
      <c r="B26" s="2" t="inlineStr">
        <is>
          <t>created_at</t>
        </is>
      </c>
      <c r="C26" s="2" t="inlineStr">
        <is>
          <t>DATETIME</t>
        </is>
      </c>
      <c r="E26" s="2" t="inlineStr">
        <is>
          <t>N</t>
        </is>
      </c>
      <c r="F26" s="2" t="inlineStr">
        <is>
          <t>NOW()</t>
        </is>
      </c>
      <c r="G26" s="2" t="inlineStr">
        <is>
          <t>N</t>
        </is>
      </c>
      <c r="I26" s="2" t="inlineStr">
        <is>
          <t>N</t>
        </is>
      </c>
      <c r="J26" s="2" t="inlineStr">
        <is>
          <t>생성일시</t>
        </is>
      </c>
      <c r="K26" t="inlineStr">
        <is>
          <t>API-002, API-003</t>
        </is>
      </c>
      <c r="L26" s="2" t="inlineStr">
        <is>
          <t>확정</t>
        </is>
      </c>
    </row>
    <row r="27">
      <c r="A27" s="2" t="inlineStr">
        <is>
          <t>members</t>
        </is>
      </c>
      <c r="B27" s="2" t="inlineStr">
        <is>
          <t>id</t>
        </is>
      </c>
      <c r="C27" s="2" t="inlineStr">
        <is>
          <t>BIGINT</t>
        </is>
      </c>
      <c r="E27" s="2" t="inlineStr">
        <is>
          <t>N</t>
        </is>
      </c>
      <c r="G27" s="2" t="inlineStr">
        <is>
          <t>Y</t>
        </is>
      </c>
      <c r="I27" s="2" t="inlineStr">
        <is>
          <t>Y</t>
        </is>
      </c>
      <c r="J27" s="2" t="inlineStr">
        <is>
          <t>회원 고유 ID</t>
        </is>
      </c>
      <c r="K27" s="2" t="inlineStr">
        <is>
          <t>API-007</t>
        </is>
      </c>
      <c r="L27" s="2" t="inlineStr">
        <is>
          <t>확정</t>
        </is>
      </c>
    </row>
    <row r="28">
      <c r="A28" s="2" t="inlineStr">
        <is>
          <t>members</t>
        </is>
      </c>
      <c r="B28" s="2" t="inlineStr">
        <is>
          <t>branch_id</t>
        </is>
      </c>
      <c r="C28" s="2" t="inlineStr">
        <is>
          <t>BIGINT</t>
        </is>
      </c>
      <c r="E28" s="2" t="inlineStr">
        <is>
          <t>N</t>
        </is>
      </c>
      <c r="G28" s="2" t="inlineStr">
        <is>
          <t>N</t>
        </is>
      </c>
      <c r="H28" s="2" t="inlineStr">
        <is>
          <t>branches.id</t>
        </is>
      </c>
      <c r="I28" s="2" t="inlineStr">
        <is>
          <t>Y</t>
        </is>
      </c>
      <c r="J28" s="2" t="inlineStr">
        <is>
          <t>소속 지점 FK (데이터 격리)</t>
        </is>
      </c>
      <c r="K28" t="inlineStr">
        <is>
          <t>API-004, API-005, API-006, API-007</t>
        </is>
      </c>
      <c r="L28" s="2" t="inlineStr">
        <is>
          <t>확정</t>
        </is>
      </c>
    </row>
    <row r="29">
      <c r="A29" s="2" t="inlineStr">
        <is>
          <t>members</t>
        </is>
      </c>
      <c r="B29" s="2" t="inlineStr">
        <is>
          <t>name</t>
        </is>
      </c>
      <c r="C29" s="2" t="inlineStr">
        <is>
          <t>VARCHAR</t>
        </is>
      </c>
      <c r="D29" s="2" t="n">
        <v>50</v>
      </c>
      <c r="E29" s="2" t="inlineStr">
        <is>
          <t>N</t>
        </is>
      </c>
      <c r="G29" s="2" t="inlineStr">
        <is>
          <t>N</t>
        </is>
      </c>
      <c r="I29" s="2" t="inlineStr">
        <is>
          <t>Y</t>
        </is>
      </c>
      <c r="J29" s="2" t="inlineStr">
        <is>
          <t>회원 이름</t>
        </is>
      </c>
      <c r="K29" t="inlineStr">
        <is>
          <t>API-004, API-005, API-006, API-007</t>
        </is>
      </c>
      <c r="L29" s="2" t="inlineStr">
        <is>
          <t>확정</t>
        </is>
      </c>
    </row>
    <row r="30">
      <c r="A30" s="2" t="inlineStr">
        <is>
          <t>members</t>
        </is>
      </c>
      <c r="B30" s="2" t="inlineStr">
        <is>
          <t>gender</t>
        </is>
      </c>
      <c r="C30" s="2" t="inlineStr">
        <is>
          <t>ENUM</t>
        </is>
      </c>
      <c r="E30" s="2" t="inlineStr">
        <is>
          <t>N</t>
        </is>
      </c>
      <c r="G30" s="2" t="inlineStr">
        <is>
          <t>N</t>
        </is>
      </c>
      <c r="I30" s="2" t="inlineStr">
        <is>
          <t>Y</t>
        </is>
      </c>
      <c r="J30" s="2" t="inlineStr">
        <is>
          <t>성별 (M/F)</t>
        </is>
      </c>
      <c r="K30" t="inlineStr">
        <is>
          <t>API-004, API-005, API-006, API-007</t>
        </is>
      </c>
      <c r="L30" s="2" t="inlineStr">
        <is>
          <t>확정</t>
        </is>
      </c>
    </row>
    <row r="31">
      <c r="A31" s="2" t="inlineStr">
        <is>
          <t>members</t>
        </is>
      </c>
      <c r="B31" s="2" t="inlineStr">
        <is>
          <t>birth_date</t>
        </is>
      </c>
      <c r="C31" s="2" t="inlineStr">
        <is>
          <t>VARCHAR</t>
        </is>
      </c>
      <c r="D31" s="2" t="n">
        <v>10</v>
      </c>
      <c r="E31" s="2" t="inlineStr">
        <is>
          <t>Y</t>
        </is>
      </c>
      <c r="G31" s="2" t="inlineStr">
        <is>
          <t>N</t>
        </is>
      </c>
      <c r="I31" s="2" t="inlineStr">
        <is>
          <t>N</t>
        </is>
      </c>
      <c r="J31" s="2" t="inlineStr">
        <is>
          <t>생년월일 (YYYY-MM-DD)</t>
        </is>
      </c>
      <c r="K31" t="inlineStr">
        <is>
          <t>API-004, API-005, API-006, API-007</t>
        </is>
      </c>
      <c r="L31" s="2" t="inlineStr">
        <is>
          <t>확정</t>
        </is>
      </c>
    </row>
    <row r="32">
      <c r="A32" s="2" t="inlineStr">
        <is>
          <t>members</t>
        </is>
      </c>
      <c r="B32" s="2" t="inlineStr">
        <is>
          <t>phone</t>
        </is>
      </c>
      <c r="C32" s="2" t="inlineStr">
        <is>
          <t>VARCHAR</t>
        </is>
      </c>
      <c r="D32" s="2" t="n">
        <v>20</v>
      </c>
      <c r="E32" s="2" t="inlineStr">
        <is>
          <t>N</t>
        </is>
      </c>
      <c r="G32" s="2" t="inlineStr">
        <is>
          <t>N</t>
        </is>
      </c>
      <c r="I32" s="2" t="inlineStr">
        <is>
          <t>Y</t>
        </is>
      </c>
      <c r="J32" s="2" t="inlineStr">
        <is>
          <t>연락처</t>
        </is>
      </c>
      <c r="K32" t="inlineStr">
        <is>
          <t>API-004, API-005, API-006, API-007</t>
        </is>
      </c>
      <c r="L32" s="2" t="inlineStr">
        <is>
          <t>확정</t>
        </is>
      </c>
      <c r="M32" s="2" t="inlineStr">
        <is>
          <t>지점 내 중복 불가</t>
        </is>
      </c>
    </row>
    <row r="33">
      <c r="A33" s="2" t="inlineStr">
        <is>
          <t>members</t>
        </is>
      </c>
      <c r="B33" s="2" t="inlineStr">
        <is>
          <t>email</t>
        </is>
      </c>
      <c r="C33" s="2" t="inlineStr">
        <is>
          <t>VARCHAR</t>
        </is>
      </c>
      <c r="D33" s="2" t="n">
        <v>100</v>
      </c>
      <c r="E33" s="2" t="inlineStr">
        <is>
          <t>Y</t>
        </is>
      </c>
      <c r="G33" s="2" t="inlineStr">
        <is>
          <t>N</t>
        </is>
      </c>
      <c r="I33" s="2" t="inlineStr">
        <is>
          <t>N</t>
        </is>
      </c>
      <c r="J33" s="2" t="inlineStr">
        <is>
          <t>이메일</t>
        </is>
      </c>
      <c r="K33" t="inlineStr">
        <is>
          <t>API-004, API-005, API-006, API-007</t>
        </is>
      </c>
      <c r="L33" s="2" t="inlineStr">
        <is>
          <t>확정</t>
        </is>
      </c>
    </row>
    <row r="34">
      <c r="A34" s="2" t="inlineStr">
        <is>
          <t>members</t>
        </is>
      </c>
      <c r="B34" s="2" t="inlineStr">
        <is>
          <t>address</t>
        </is>
      </c>
      <c r="C34" s="2" t="inlineStr">
        <is>
          <t>VARCHAR</t>
        </is>
      </c>
      <c r="D34" s="2" t="n">
        <v>255</v>
      </c>
      <c r="E34" s="2" t="inlineStr">
        <is>
          <t>Y</t>
        </is>
      </c>
      <c r="G34" s="2" t="inlineStr">
        <is>
          <t>N</t>
        </is>
      </c>
      <c r="I34" s="2" t="inlineStr">
        <is>
          <t>N</t>
        </is>
      </c>
      <c r="J34" s="2" t="inlineStr">
        <is>
          <t>주소</t>
        </is>
      </c>
      <c r="K34" t="inlineStr">
        <is>
          <t>API-004, API-005, API-006, API-007</t>
        </is>
      </c>
      <c r="L34" s="2" t="inlineStr">
        <is>
          <t>확정</t>
        </is>
      </c>
    </row>
    <row r="35">
      <c r="A35" s="2" t="inlineStr">
        <is>
          <t>members</t>
        </is>
      </c>
      <c r="B35" s="2" t="inlineStr">
        <is>
          <t>status</t>
        </is>
      </c>
      <c r="C35" s="2" t="inlineStr">
        <is>
          <t>ENUM</t>
        </is>
      </c>
      <c r="E35" s="2" t="inlineStr">
        <is>
          <t>N</t>
        </is>
      </c>
      <c r="F35" s="2" t="inlineStr">
        <is>
          <t>active</t>
        </is>
      </c>
      <c r="G35" s="2" t="inlineStr">
        <is>
          <t>N</t>
        </is>
      </c>
      <c r="I35" s="2" t="inlineStr">
        <is>
          <t>Y</t>
        </is>
      </c>
      <c r="J35" s="2" t="inlineStr">
        <is>
          <t>상태 (active/expired/suspended/withdrawn)</t>
        </is>
      </c>
      <c r="K35" t="inlineStr">
        <is>
          <t>API-004, API-005, API-006, API-007</t>
        </is>
      </c>
      <c r="L35" s="2" t="inlineStr">
        <is>
          <t>확정</t>
        </is>
      </c>
    </row>
    <row r="36">
      <c r="A36" s="2" t="inlineStr">
        <is>
          <t>members</t>
        </is>
      </c>
      <c r="B36" s="2" t="inlineStr">
        <is>
          <t>manager_id</t>
        </is>
      </c>
      <c r="C36" s="2" t="inlineStr">
        <is>
          <t>BIGINT</t>
        </is>
      </c>
      <c r="E36" s="2" t="inlineStr">
        <is>
          <t>Y</t>
        </is>
      </c>
      <c r="F36" t="inlineStr">
        <is>
          <t>NULL</t>
        </is>
      </c>
      <c r="G36" s="2" t="inlineStr">
        <is>
          <t>N</t>
        </is>
      </c>
      <c r="H36" s="2" t="inlineStr">
        <is>
          <t>users.id</t>
        </is>
      </c>
      <c r="I36" s="2" t="inlineStr">
        <is>
          <t>Y</t>
        </is>
      </c>
      <c r="J36" s="2" t="inlineStr">
        <is>
          <t>담당 FC ID</t>
        </is>
      </c>
      <c r="K36" t="inlineStr">
        <is>
          <t>API-004, API-005, API-006, API-007</t>
        </is>
      </c>
      <c r="L36" s="2" t="inlineStr">
        <is>
          <t>확정</t>
        </is>
      </c>
    </row>
    <row r="37">
      <c r="A37" s="2" t="inlineStr">
        <is>
          <t>members</t>
        </is>
      </c>
      <c r="B37" s="2" t="inlineStr">
        <is>
          <t>attendance_no</t>
        </is>
      </c>
      <c r="C37" s="2" t="inlineStr">
        <is>
          <t>VARCHAR</t>
        </is>
      </c>
      <c r="D37" s="2" t="n">
        <v>20</v>
      </c>
      <c r="E37" s="2" t="inlineStr">
        <is>
          <t>Y</t>
        </is>
      </c>
      <c r="G37" s="2" t="inlineStr">
        <is>
          <t>N</t>
        </is>
      </c>
      <c r="I37" s="2" t="inlineStr">
        <is>
          <t>UNIQUE</t>
        </is>
      </c>
      <c r="J37" s="2" t="inlineStr">
        <is>
          <t>출석 번호</t>
        </is>
      </c>
      <c r="K37" t="inlineStr">
        <is>
          <t>API-004, API-005, API-006, API-007</t>
        </is>
      </c>
      <c r="L37" s="2" t="inlineStr">
        <is>
          <t>확정</t>
        </is>
      </c>
    </row>
    <row r="38">
      <c r="A38" s="2" t="inlineStr">
        <is>
          <t>members</t>
        </is>
      </c>
      <c r="B38" s="2" t="inlineStr">
        <is>
          <t>company</t>
        </is>
      </c>
      <c r="C38" s="2" t="inlineStr">
        <is>
          <t>VARCHAR</t>
        </is>
      </c>
      <c r="D38" s="2" t="n">
        <v>100</v>
      </c>
      <c r="E38" s="2" t="inlineStr">
        <is>
          <t>Y</t>
        </is>
      </c>
      <c r="G38" s="2" t="inlineStr">
        <is>
          <t>N</t>
        </is>
      </c>
      <c r="I38" s="2" t="inlineStr">
        <is>
          <t>N</t>
        </is>
      </c>
      <c r="J38" s="2" t="inlineStr">
        <is>
          <t>직장명</t>
        </is>
      </c>
      <c r="K38" t="inlineStr">
        <is>
          <t>API-004, API-005, API-006, API-007</t>
        </is>
      </c>
      <c r="L38" s="2" t="inlineStr">
        <is>
          <t>확정</t>
        </is>
      </c>
    </row>
    <row r="39">
      <c r="A39" s="2" t="inlineStr">
        <is>
          <t>members</t>
        </is>
      </c>
      <c r="B39" s="2" t="inlineStr">
        <is>
          <t>memo</t>
        </is>
      </c>
      <c r="C39" s="2" t="inlineStr">
        <is>
          <t>TEXT</t>
        </is>
      </c>
      <c r="E39" s="2" t="inlineStr">
        <is>
          <t>Y</t>
        </is>
      </c>
      <c r="G39" s="2" t="inlineStr">
        <is>
          <t>N</t>
        </is>
      </c>
      <c r="I39" s="2" t="inlineStr">
        <is>
          <t>N</t>
        </is>
      </c>
      <c r="J39" s="2" t="inlineStr">
        <is>
          <t>관리자 메모</t>
        </is>
      </c>
      <c r="K39" t="inlineStr">
        <is>
          <t>API-004, API-005, API-006, API-007</t>
        </is>
      </c>
      <c r="L39" s="2" t="inlineStr">
        <is>
          <t>확정</t>
        </is>
      </c>
    </row>
    <row r="40">
      <c r="A40" s="2" t="inlineStr">
        <is>
          <t>members</t>
        </is>
      </c>
      <c r="B40" s="2" t="inlineStr">
        <is>
          <t>first_reg_date</t>
        </is>
      </c>
      <c r="C40" s="2" t="inlineStr">
        <is>
          <t>DATETIME</t>
        </is>
      </c>
      <c r="E40" s="2" t="inlineStr">
        <is>
          <t>N</t>
        </is>
      </c>
      <c r="F40" s="2" t="inlineStr">
        <is>
          <t>NOW()</t>
        </is>
      </c>
      <c r="G40" s="2" t="inlineStr">
        <is>
          <t>N</t>
        </is>
      </c>
      <c r="I40" s="2" t="inlineStr">
        <is>
          <t>N</t>
        </is>
      </c>
      <c r="J40" s="2" t="inlineStr">
        <is>
          <t>최초 등록일</t>
        </is>
      </c>
      <c r="K40" t="inlineStr">
        <is>
          <t>API-004, API-005, API-006, API-007</t>
        </is>
      </c>
      <c r="L40" s="2" t="inlineStr">
        <is>
          <t>확정</t>
        </is>
      </c>
    </row>
    <row r="41">
      <c r="A41" s="2" t="inlineStr">
        <is>
          <t>members</t>
        </is>
      </c>
      <c r="B41" s="2" t="inlineStr">
        <is>
          <t>created_at</t>
        </is>
      </c>
      <c r="C41" s="2" t="inlineStr">
        <is>
          <t>DATETIME</t>
        </is>
      </c>
      <c r="E41" s="2" t="inlineStr">
        <is>
          <t>N</t>
        </is>
      </c>
      <c r="F41" s="2" t="inlineStr">
        <is>
          <t>NOW()</t>
        </is>
      </c>
      <c r="G41" s="2" t="inlineStr">
        <is>
          <t>N</t>
        </is>
      </c>
      <c r="I41" s="2" t="inlineStr">
        <is>
          <t>N</t>
        </is>
      </c>
      <c r="J41" s="2" t="inlineStr">
        <is>
          <t>생성일시</t>
        </is>
      </c>
      <c r="K41" t="inlineStr">
        <is>
          <t>API-004, API-005, API-006, API-007</t>
        </is>
      </c>
      <c r="L41" s="2" t="inlineStr">
        <is>
          <t>확정</t>
        </is>
      </c>
    </row>
    <row r="42">
      <c r="A42" s="2" t="inlineStr">
        <is>
          <t>members</t>
        </is>
      </c>
      <c r="B42" s="2" t="inlineStr">
        <is>
          <t>updated_at</t>
        </is>
      </c>
      <c r="C42" s="2" t="inlineStr">
        <is>
          <t>DATETIME</t>
        </is>
      </c>
      <c r="E42" s="2" t="inlineStr">
        <is>
          <t>Y</t>
        </is>
      </c>
      <c r="F42" t="inlineStr">
        <is>
          <t>CURRENT_TIMESTAMP</t>
        </is>
      </c>
      <c r="G42" s="2" t="inlineStr">
        <is>
          <t>N</t>
        </is>
      </c>
      <c r="I42" s="2" t="inlineStr">
        <is>
          <t>N</t>
        </is>
      </c>
      <c r="J42" s="2" t="inlineStr">
        <is>
          <t>수정일시</t>
        </is>
      </c>
      <c r="K42" t="inlineStr">
        <is>
          <t>API-004, API-005, API-006, API-007</t>
        </is>
      </c>
      <c r="L42" s="2" t="inlineStr">
        <is>
          <t>확정</t>
        </is>
      </c>
    </row>
    <row r="43">
      <c r="A43" s="2" t="inlineStr">
        <is>
          <t>member_tickets</t>
        </is>
      </c>
      <c r="B43" s="2" t="inlineStr">
        <is>
          <t>id</t>
        </is>
      </c>
      <c r="C43" s="2" t="inlineStr">
        <is>
          <t>BIGINT</t>
        </is>
      </c>
      <c r="E43" s="2" t="inlineStr">
        <is>
          <t>N</t>
        </is>
      </c>
      <c r="G43" s="2" t="inlineStr">
        <is>
          <t>Y</t>
        </is>
      </c>
      <c r="I43" s="2" t="inlineStr">
        <is>
          <t>Y</t>
        </is>
      </c>
      <c r="J43" s="2" t="inlineStr">
        <is>
          <t>이용권 고유 ID</t>
        </is>
      </c>
      <c r="K43" s="2" t="inlineStr">
        <is>
          <t>API-008</t>
        </is>
      </c>
      <c r="L43" s="2" t="inlineStr">
        <is>
          <t>확정</t>
        </is>
      </c>
    </row>
    <row r="44">
      <c r="A44" s="2" t="inlineStr">
        <is>
          <t>member_tickets</t>
        </is>
      </c>
      <c r="B44" s="2" t="inlineStr">
        <is>
          <t>member_id</t>
        </is>
      </c>
      <c r="C44" s="2" t="inlineStr">
        <is>
          <t>BIGINT</t>
        </is>
      </c>
      <c r="E44" s="2" t="inlineStr">
        <is>
          <t>N</t>
        </is>
      </c>
      <c r="G44" s="2" t="inlineStr">
        <is>
          <t>N</t>
        </is>
      </c>
      <c r="H44" s="2" t="inlineStr">
        <is>
          <t>members.id</t>
        </is>
      </c>
      <c r="I44" s="2" t="inlineStr">
        <is>
          <t>Y</t>
        </is>
      </c>
      <c r="J44" s="2" t="inlineStr">
        <is>
          <t>회원 FK</t>
        </is>
      </c>
      <c r="K44" t="inlineStr">
        <is>
          <t>API-008, API-009</t>
        </is>
      </c>
      <c r="L44" s="2" t="inlineStr">
        <is>
          <t>확정</t>
        </is>
      </c>
    </row>
    <row r="45">
      <c r="A45" s="2" t="inlineStr">
        <is>
          <t>member_tickets</t>
        </is>
      </c>
      <c r="B45" s="2" t="inlineStr">
        <is>
          <t>branch_id</t>
        </is>
      </c>
      <c r="C45" s="2" t="inlineStr">
        <is>
          <t>BIGINT</t>
        </is>
      </c>
      <c r="E45" s="2" t="inlineStr">
        <is>
          <t>N</t>
        </is>
      </c>
      <c r="G45" s="2" t="inlineStr">
        <is>
          <t>N</t>
        </is>
      </c>
      <c r="H45" s="2" t="inlineStr">
        <is>
          <t>branches.id</t>
        </is>
      </c>
      <c r="I45" s="2" t="inlineStr">
        <is>
          <t>Y</t>
        </is>
      </c>
      <c r="J45" s="2" t="inlineStr">
        <is>
          <t>지점 FK</t>
        </is>
      </c>
      <c r="K45" t="inlineStr">
        <is>
          <t>API-008, API-009</t>
        </is>
      </c>
      <c r="L45" s="2" t="inlineStr">
        <is>
          <t>확정</t>
        </is>
      </c>
    </row>
    <row r="46">
      <c r="A46" s="2" t="inlineStr">
        <is>
          <t>member_tickets</t>
        </is>
      </c>
      <c r="B46" s="2" t="inlineStr">
        <is>
          <t>product_id</t>
        </is>
      </c>
      <c r="C46" s="2" t="inlineStr">
        <is>
          <t>BIGINT</t>
        </is>
      </c>
      <c r="E46" s="2" t="inlineStr">
        <is>
          <t>N</t>
        </is>
      </c>
      <c r="G46" s="2" t="inlineStr">
        <is>
          <t>N</t>
        </is>
      </c>
      <c r="H46" s="2" t="inlineStr">
        <is>
          <t>products.id</t>
        </is>
      </c>
      <c r="I46" s="2" t="inlineStr">
        <is>
          <t>Y</t>
        </is>
      </c>
      <c r="J46" s="2" t="inlineStr">
        <is>
          <t>상품 FK</t>
        </is>
      </c>
      <c r="K46" t="inlineStr">
        <is>
          <t>API-008, API-009</t>
        </is>
      </c>
      <c r="L46" s="2" t="inlineStr">
        <is>
          <t>확정</t>
        </is>
      </c>
    </row>
    <row r="47">
      <c r="A47" s="2" t="inlineStr">
        <is>
          <t>member_tickets</t>
        </is>
      </c>
      <c r="B47" s="2" t="inlineStr">
        <is>
          <t>type</t>
        </is>
      </c>
      <c r="C47" s="2" t="inlineStr">
        <is>
          <t>ENUM</t>
        </is>
      </c>
      <c r="E47" s="2" t="inlineStr">
        <is>
          <t>N</t>
        </is>
      </c>
      <c r="G47" s="2" t="inlineStr">
        <is>
          <t>N</t>
        </is>
      </c>
      <c r="I47" s="2" t="inlineStr">
        <is>
          <t>Y</t>
        </is>
      </c>
      <c r="J47" s="2" t="inlineStr">
        <is>
          <t>유형 (period/count/unlimited)</t>
        </is>
      </c>
      <c r="K47" t="inlineStr">
        <is>
          <t>API-008, API-009</t>
        </is>
      </c>
      <c r="L47" s="2" t="inlineStr">
        <is>
          <t>확정</t>
        </is>
      </c>
    </row>
    <row r="48">
      <c r="A48" s="2" t="inlineStr">
        <is>
          <t>member_tickets</t>
        </is>
      </c>
      <c r="B48" s="2" t="inlineStr">
        <is>
          <t>start_date</t>
        </is>
      </c>
      <c r="C48" s="2" t="inlineStr">
        <is>
          <t>DATETIME</t>
        </is>
      </c>
      <c r="E48" s="2" t="inlineStr">
        <is>
          <t>N</t>
        </is>
      </c>
      <c r="G48" s="2" t="inlineStr">
        <is>
          <t>N</t>
        </is>
      </c>
      <c r="I48" s="2" t="inlineStr">
        <is>
          <t>Y</t>
        </is>
      </c>
      <c r="J48" s="2" t="inlineStr">
        <is>
          <t>시작일</t>
        </is>
      </c>
      <c r="K48" t="inlineStr">
        <is>
          <t>API-008, API-009</t>
        </is>
      </c>
      <c r="L48" s="2" t="inlineStr">
        <is>
          <t>확정</t>
        </is>
      </c>
    </row>
    <row r="49">
      <c r="A49" s="2" t="inlineStr">
        <is>
          <t>member_tickets</t>
        </is>
      </c>
      <c r="B49" s="2" t="inlineStr">
        <is>
          <t>end_date</t>
        </is>
      </c>
      <c r="C49" s="2" t="inlineStr">
        <is>
          <t>DATETIME</t>
        </is>
      </c>
      <c r="E49" s="2" t="inlineStr">
        <is>
          <t>Y</t>
        </is>
      </c>
      <c r="F49" t="inlineStr">
        <is>
          <t>NULL</t>
        </is>
      </c>
      <c r="G49" s="2" t="inlineStr">
        <is>
          <t>N</t>
        </is>
      </c>
      <c r="I49" s="2" t="inlineStr">
        <is>
          <t>Y</t>
        </is>
      </c>
      <c r="J49" s="2" t="inlineStr">
        <is>
          <t>종료일</t>
        </is>
      </c>
      <c r="K49" t="inlineStr">
        <is>
          <t>API-008, API-009</t>
        </is>
      </c>
      <c r="L49" s="2" t="inlineStr">
        <is>
          <t>확정</t>
        </is>
      </c>
    </row>
    <row r="50">
      <c r="A50" s="2" t="inlineStr">
        <is>
          <t>member_tickets</t>
        </is>
      </c>
      <c r="B50" s="2" t="inlineStr">
        <is>
          <t>remaining_count</t>
        </is>
      </c>
      <c r="C50" s="2" t="inlineStr">
        <is>
          <t>INT</t>
        </is>
      </c>
      <c r="E50" s="2" t="inlineStr">
        <is>
          <t>Y</t>
        </is>
      </c>
      <c r="F50" t="inlineStr">
        <is>
          <t>0</t>
        </is>
      </c>
      <c r="G50" s="2" t="inlineStr">
        <is>
          <t>N</t>
        </is>
      </c>
      <c r="I50" s="2" t="inlineStr">
        <is>
          <t>N</t>
        </is>
      </c>
      <c r="J50" s="2" t="inlineStr">
        <is>
          <t>잔여 횟수 (횟수제)</t>
        </is>
      </c>
      <c r="K50" t="inlineStr">
        <is>
          <t>API-008, API-009</t>
        </is>
      </c>
      <c r="L50" s="2" t="inlineStr">
        <is>
          <t>확정</t>
        </is>
      </c>
    </row>
    <row r="51">
      <c r="A51" s="2" t="inlineStr">
        <is>
          <t>member_tickets</t>
        </is>
      </c>
      <c r="B51" s="2" t="inlineStr">
        <is>
          <t>status</t>
        </is>
      </c>
      <c r="C51" s="2" t="inlineStr">
        <is>
          <t>ENUM</t>
        </is>
      </c>
      <c r="E51" s="2" t="inlineStr">
        <is>
          <t>N</t>
        </is>
      </c>
      <c r="F51" s="2" t="inlineStr">
        <is>
          <t>active</t>
        </is>
      </c>
      <c r="G51" s="2" t="inlineStr">
        <is>
          <t>N</t>
        </is>
      </c>
      <c r="I51" s="2" t="inlineStr">
        <is>
          <t>Y</t>
        </is>
      </c>
      <c r="J51" s="2" t="inlineStr">
        <is>
          <t>상태 (active/expired/suspended/cancelled)</t>
        </is>
      </c>
      <c r="K51" t="inlineStr">
        <is>
          <t>API-008, API-009</t>
        </is>
      </c>
      <c r="L51" s="2" t="inlineStr">
        <is>
          <t>확정</t>
        </is>
      </c>
    </row>
    <row r="52">
      <c r="A52" s="2" t="inlineStr">
        <is>
          <t>member_tickets</t>
        </is>
      </c>
      <c r="B52" s="2" t="inlineStr">
        <is>
          <t>created_at</t>
        </is>
      </c>
      <c r="C52" s="2" t="inlineStr">
        <is>
          <t>DATETIME</t>
        </is>
      </c>
      <c r="E52" s="2" t="inlineStr">
        <is>
          <t>N</t>
        </is>
      </c>
      <c r="F52" s="2" t="inlineStr">
        <is>
          <t>NOW()</t>
        </is>
      </c>
      <c r="G52" s="2" t="inlineStr">
        <is>
          <t>N</t>
        </is>
      </c>
      <c r="I52" s="2" t="inlineStr">
        <is>
          <t>N</t>
        </is>
      </c>
      <c r="J52" s="2" t="inlineStr">
        <is>
          <t>생성일시</t>
        </is>
      </c>
      <c r="K52" t="inlineStr">
        <is>
          <t>API-008, API-009</t>
        </is>
      </c>
      <c r="L52" s="2" t="inlineStr">
        <is>
          <t>확정</t>
        </is>
      </c>
    </row>
    <row r="53">
      <c r="A53" s="2" t="inlineStr">
        <is>
          <t>attendance</t>
        </is>
      </c>
      <c r="B53" s="2" t="inlineStr">
        <is>
          <t>id</t>
        </is>
      </c>
      <c r="C53" s="2" t="inlineStr">
        <is>
          <t>BIGINT</t>
        </is>
      </c>
      <c r="E53" s="2" t="inlineStr">
        <is>
          <t>N</t>
        </is>
      </c>
      <c r="G53" s="2" t="inlineStr">
        <is>
          <t>Y</t>
        </is>
      </c>
      <c r="I53" s="2" t="inlineStr">
        <is>
          <t>Y</t>
        </is>
      </c>
      <c r="J53" s="2" t="inlineStr">
        <is>
          <t>출석 고유 ID</t>
        </is>
      </c>
      <c r="K53" s="2" t="inlineStr">
        <is>
          <t>API-013</t>
        </is>
      </c>
      <c r="L53" s="2" t="inlineStr">
        <is>
          <t>확정</t>
        </is>
      </c>
    </row>
    <row r="54">
      <c r="A54" s="2" t="inlineStr">
        <is>
          <t>attendance</t>
        </is>
      </c>
      <c r="B54" s="2" t="inlineStr">
        <is>
          <t>branch_id</t>
        </is>
      </c>
      <c r="C54" s="2" t="inlineStr">
        <is>
          <t>BIGINT</t>
        </is>
      </c>
      <c r="E54" s="2" t="inlineStr">
        <is>
          <t>N</t>
        </is>
      </c>
      <c r="G54" s="2" t="inlineStr">
        <is>
          <t>N</t>
        </is>
      </c>
      <c r="H54" s="2" t="inlineStr">
        <is>
          <t>branches.id</t>
        </is>
      </c>
      <c r="I54" s="2" t="inlineStr">
        <is>
          <t>Y</t>
        </is>
      </c>
      <c r="J54" s="2" t="inlineStr">
        <is>
          <t>지점 FK</t>
        </is>
      </c>
      <c r="K54" t="inlineStr">
        <is>
          <t>API-012, API-013</t>
        </is>
      </c>
      <c r="L54" s="2" t="inlineStr">
        <is>
          <t>확정</t>
        </is>
      </c>
    </row>
    <row r="55">
      <c r="A55" s="2" t="inlineStr">
        <is>
          <t>attendance</t>
        </is>
      </c>
      <c r="B55" s="2" t="inlineStr">
        <is>
          <t>member_id</t>
        </is>
      </c>
      <c r="C55" s="2" t="inlineStr">
        <is>
          <t>BIGINT</t>
        </is>
      </c>
      <c r="E55" s="2" t="inlineStr">
        <is>
          <t>N</t>
        </is>
      </c>
      <c r="G55" s="2" t="inlineStr">
        <is>
          <t>N</t>
        </is>
      </c>
      <c r="H55" s="2" t="inlineStr">
        <is>
          <t>members.id</t>
        </is>
      </c>
      <c r="I55" s="2" t="inlineStr">
        <is>
          <t>Y</t>
        </is>
      </c>
      <c r="J55" s="2" t="inlineStr">
        <is>
          <t>회원 FK</t>
        </is>
      </c>
      <c r="K55" t="inlineStr">
        <is>
          <t>API-012, API-013</t>
        </is>
      </c>
      <c r="L55" s="2" t="inlineStr">
        <is>
          <t>확정</t>
        </is>
      </c>
    </row>
    <row r="56">
      <c r="A56" s="2" t="inlineStr">
        <is>
          <t>attendance</t>
        </is>
      </c>
      <c r="B56" s="2" t="inlineStr">
        <is>
          <t>type</t>
        </is>
      </c>
      <c r="C56" s="2" t="inlineStr">
        <is>
          <t>ENUM</t>
        </is>
      </c>
      <c r="E56" s="2" t="inlineStr">
        <is>
          <t>N</t>
        </is>
      </c>
      <c r="F56" s="2" t="inlineStr">
        <is>
          <t>normal</t>
        </is>
      </c>
      <c r="G56" s="2" t="inlineStr">
        <is>
          <t>N</t>
        </is>
      </c>
      <c r="I56" s="2" t="inlineStr">
        <is>
          <t>Y</t>
        </is>
      </c>
      <c r="J56" s="2" t="inlineStr">
        <is>
          <t>출석 유형 (normal/pt/gx)</t>
        </is>
      </c>
      <c r="K56" t="inlineStr">
        <is>
          <t>API-012, API-013</t>
        </is>
      </c>
      <c r="L56" s="2" t="inlineStr">
        <is>
          <t>확정</t>
        </is>
      </c>
    </row>
    <row r="57">
      <c r="A57" s="2" t="inlineStr">
        <is>
          <t>attendance</t>
        </is>
      </c>
      <c r="B57" s="2" t="inlineStr">
        <is>
          <t>status</t>
        </is>
      </c>
      <c r="C57" s="2" t="inlineStr">
        <is>
          <t>ENUM</t>
        </is>
      </c>
      <c r="E57" s="2" t="inlineStr">
        <is>
          <t>N</t>
        </is>
      </c>
      <c r="F57" s="2" t="inlineStr">
        <is>
          <t>checkIn</t>
        </is>
      </c>
      <c r="G57" s="2" t="inlineStr">
        <is>
          <t>N</t>
        </is>
      </c>
      <c r="I57" s="2" t="inlineStr">
        <is>
          <t>Y</t>
        </is>
      </c>
      <c r="J57" s="2" t="inlineStr">
        <is>
          <t>상태 (checkIn/checkOut)</t>
        </is>
      </c>
      <c r="K57" t="inlineStr">
        <is>
          <t>API-012, API-013</t>
        </is>
      </c>
      <c r="L57" s="2" t="inlineStr">
        <is>
          <t>확정</t>
        </is>
      </c>
    </row>
    <row r="58">
      <c r="A58" s="2" t="inlineStr">
        <is>
          <t>attendance</t>
        </is>
      </c>
      <c r="B58" s="2" t="inlineStr">
        <is>
          <t>category</t>
        </is>
      </c>
      <c r="C58" s="2" t="inlineStr">
        <is>
          <t>VARCHAR</t>
        </is>
      </c>
      <c r="D58" s="2" t="n">
        <v>50</v>
      </c>
      <c r="E58" s="2" t="inlineStr">
        <is>
          <t>Y</t>
        </is>
      </c>
      <c r="G58" s="2" t="inlineStr">
        <is>
          <t>N</t>
        </is>
      </c>
      <c r="I58" s="2" t="inlineStr">
        <is>
          <t>N</t>
        </is>
      </c>
      <c r="J58" s="2" t="inlineStr">
        <is>
          <t>카테고리</t>
        </is>
      </c>
      <c r="K58" t="inlineStr">
        <is>
          <t>API-012, API-013</t>
        </is>
      </c>
      <c r="L58" s="2" t="inlineStr">
        <is>
          <t>확정</t>
        </is>
      </c>
    </row>
    <row r="59">
      <c r="A59" s="2" t="inlineStr">
        <is>
          <t>attendance</t>
        </is>
      </c>
      <c r="B59" s="2" t="inlineStr">
        <is>
          <t>door</t>
        </is>
      </c>
      <c r="C59" s="2" t="inlineStr">
        <is>
          <t>VARCHAR</t>
        </is>
      </c>
      <c r="D59" s="2" t="n">
        <v>50</v>
      </c>
      <c r="E59" s="2" t="inlineStr">
        <is>
          <t>Y</t>
        </is>
      </c>
      <c r="G59" s="2" t="inlineStr">
        <is>
          <t>N</t>
        </is>
      </c>
      <c r="I59" s="2" t="inlineStr">
        <is>
          <t>N</t>
        </is>
      </c>
      <c r="J59" s="2" t="inlineStr">
        <is>
          <t>출입문 정보</t>
        </is>
      </c>
      <c r="K59" t="inlineStr">
        <is>
          <t>API-012, API-013</t>
        </is>
      </c>
      <c r="L59" s="2" t="inlineStr">
        <is>
          <t>확정</t>
        </is>
      </c>
    </row>
    <row r="60">
      <c r="A60" s="2" t="inlineStr">
        <is>
          <t>attendance</t>
        </is>
      </c>
      <c r="B60" s="2" t="inlineStr">
        <is>
          <t>in_time</t>
        </is>
      </c>
      <c r="C60" s="2" t="inlineStr">
        <is>
          <t>DATETIME</t>
        </is>
      </c>
      <c r="E60" s="2" t="inlineStr">
        <is>
          <t>N</t>
        </is>
      </c>
      <c r="G60" s="2" t="inlineStr">
        <is>
          <t>N</t>
        </is>
      </c>
      <c r="I60" s="2" t="inlineStr">
        <is>
          <t>Y</t>
        </is>
      </c>
      <c r="J60" s="2" t="inlineStr">
        <is>
          <t>입장 시간</t>
        </is>
      </c>
      <c r="K60" t="inlineStr">
        <is>
          <t>API-012, API-013</t>
        </is>
      </c>
      <c r="L60" s="2" t="inlineStr">
        <is>
          <t>확정</t>
        </is>
      </c>
    </row>
    <row r="61">
      <c r="A61" s="2" t="inlineStr">
        <is>
          <t>attendance</t>
        </is>
      </c>
      <c r="B61" s="2" t="inlineStr">
        <is>
          <t>out_time</t>
        </is>
      </c>
      <c r="C61" s="2" t="inlineStr">
        <is>
          <t>DATETIME</t>
        </is>
      </c>
      <c r="E61" s="2" t="inlineStr">
        <is>
          <t>Y</t>
        </is>
      </c>
      <c r="F61" t="inlineStr">
        <is>
          <t>NULL</t>
        </is>
      </c>
      <c r="G61" s="2" t="inlineStr">
        <is>
          <t>N</t>
        </is>
      </c>
      <c r="I61" s="2" t="inlineStr">
        <is>
          <t>N</t>
        </is>
      </c>
      <c r="J61" s="2" t="inlineStr">
        <is>
          <t>퇴장 시간</t>
        </is>
      </c>
      <c r="K61" t="inlineStr">
        <is>
          <t>API-012, API-013</t>
        </is>
      </c>
      <c r="L61" s="2" t="inlineStr">
        <is>
          <t>확정</t>
        </is>
      </c>
    </row>
    <row r="62">
      <c r="A62" s="2" t="inlineStr">
        <is>
          <t>attendance</t>
        </is>
      </c>
      <c r="B62" s="2" t="inlineStr">
        <is>
          <t>visit_count</t>
        </is>
      </c>
      <c r="C62" s="2" t="inlineStr">
        <is>
          <t>INT</t>
        </is>
      </c>
      <c r="E62" s="2" t="inlineStr">
        <is>
          <t>N</t>
        </is>
      </c>
      <c r="F62" s="2" t="inlineStr">
        <is>
          <t>1</t>
        </is>
      </c>
      <c r="G62" s="2" t="inlineStr">
        <is>
          <t>N</t>
        </is>
      </c>
      <c r="I62" s="2" t="inlineStr">
        <is>
          <t>N</t>
        </is>
      </c>
      <c r="J62" s="2" t="inlineStr">
        <is>
          <t>누적 방문 횟수</t>
        </is>
      </c>
      <c r="K62" t="inlineStr">
        <is>
          <t>API-012, API-013</t>
        </is>
      </c>
      <c r="L62" s="2" t="inlineStr">
        <is>
          <t>확정</t>
        </is>
      </c>
    </row>
    <row r="63">
      <c r="A63" s="2" t="inlineStr">
        <is>
          <t>attendance</t>
        </is>
      </c>
      <c r="B63" s="2" t="inlineStr">
        <is>
          <t>pass_info</t>
        </is>
      </c>
      <c r="C63" s="2" t="inlineStr">
        <is>
          <t>VARCHAR</t>
        </is>
      </c>
      <c r="D63" s="2" t="n">
        <v>50</v>
      </c>
      <c r="E63" s="2" t="inlineStr">
        <is>
          <t>Y</t>
        </is>
      </c>
      <c r="G63" s="2" t="inlineStr">
        <is>
          <t>N</t>
        </is>
      </c>
      <c r="I63" s="2" t="inlineStr">
        <is>
          <t>N</t>
        </is>
      </c>
      <c r="J63" s="2" t="inlineStr">
        <is>
          <t>출입 수단 정보 (RFID/앱 등)</t>
        </is>
      </c>
      <c r="K63" t="inlineStr">
        <is>
          <t>API-012, API-013</t>
        </is>
      </c>
      <c r="L63" s="2" t="inlineStr">
        <is>
          <t>확정</t>
        </is>
      </c>
    </row>
    <row r="64">
      <c r="A64" s="2" t="inlineStr">
        <is>
          <t>attendance</t>
        </is>
      </c>
      <c r="B64" s="2" t="inlineStr">
        <is>
          <t>is_other_branch</t>
        </is>
      </c>
      <c r="C64" s="2" t="inlineStr">
        <is>
          <t>BOOLEAN</t>
        </is>
      </c>
      <c r="E64" s="2" t="inlineStr">
        <is>
          <t>N</t>
        </is>
      </c>
      <c r="F64" s="2" t="inlineStr">
        <is>
          <t>false</t>
        </is>
      </c>
      <c r="G64" s="2" t="inlineStr">
        <is>
          <t>N</t>
        </is>
      </c>
      <c r="I64" s="2" t="inlineStr">
        <is>
          <t>Y</t>
        </is>
      </c>
      <c r="J64" s="2" t="inlineStr">
        <is>
          <t>타지점 출석 여부</t>
        </is>
      </c>
      <c r="K64" t="inlineStr">
        <is>
          <t>API-012, API-013</t>
        </is>
      </c>
      <c r="L64" s="2" t="inlineStr">
        <is>
          <t>확정</t>
        </is>
      </c>
    </row>
    <row r="65">
      <c r="A65" s="2" t="inlineStr">
        <is>
          <t>attendance</t>
        </is>
      </c>
      <c r="B65" s="2" t="inlineStr">
        <is>
          <t>created_at</t>
        </is>
      </c>
      <c r="C65" s="2" t="inlineStr">
        <is>
          <t>DATETIME</t>
        </is>
      </c>
      <c r="E65" s="2" t="inlineStr">
        <is>
          <t>N</t>
        </is>
      </c>
      <c r="F65" s="2" t="inlineStr">
        <is>
          <t>NOW()</t>
        </is>
      </c>
      <c r="G65" s="2" t="inlineStr">
        <is>
          <t>N</t>
        </is>
      </c>
      <c r="I65" s="2" t="inlineStr">
        <is>
          <t>N</t>
        </is>
      </c>
      <c r="J65" s="2" t="inlineStr">
        <is>
          <t>생성일시</t>
        </is>
      </c>
      <c r="K65" t="inlineStr">
        <is>
          <t>API-012, API-013</t>
        </is>
      </c>
      <c r="L65" s="2" t="inlineStr">
        <is>
          <t>확정</t>
        </is>
      </c>
    </row>
    <row r="66">
      <c r="A66" s="2" t="inlineStr">
        <is>
          <t>sales</t>
        </is>
      </c>
      <c r="B66" s="2" t="inlineStr">
        <is>
          <t>id</t>
        </is>
      </c>
      <c r="C66" s="2" t="inlineStr">
        <is>
          <t>BIGINT</t>
        </is>
      </c>
      <c r="E66" s="2" t="inlineStr">
        <is>
          <t>N</t>
        </is>
      </c>
      <c r="G66" s="2" t="inlineStr">
        <is>
          <t>Y</t>
        </is>
      </c>
      <c r="I66" s="2" t="inlineStr">
        <is>
          <t>Y</t>
        </is>
      </c>
      <c r="J66" s="2" t="inlineStr">
        <is>
          <t>매출 고유 ID</t>
        </is>
      </c>
      <c r="K66" s="2" t="inlineStr">
        <is>
          <t>API-015</t>
        </is>
      </c>
      <c r="L66" s="2" t="inlineStr">
        <is>
          <t>확정</t>
        </is>
      </c>
    </row>
    <row r="67">
      <c r="A67" s="2" t="inlineStr">
        <is>
          <t>sales</t>
        </is>
      </c>
      <c r="B67" s="2" t="inlineStr">
        <is>
          <t>branch_id</t>
        </is>
      </c>
      <c r="C67" s="2" t="inlineStr">
        <is>
          <t>BIGINT</t>
        </is>
      </c>
      <c r="E67" s="2" t="inlineStr">
        <is>
          <t>N</t>
        </is>
      </c>
      <c r="G67" s="2" t="inlineStr">
        <is>
          <t>N</t>
        </is>
      </c>
      <c r="H67" s="2" t="inlineStr">
        <is>
          <t>branches.id</t>
        </is>
      </c>
      <c r="I67" s="2" t="inlineStr">
        <is>
          <t>Y</t>
        </is>
      </c>
      <c r="J67" s="2" t="inlineStr">
        <is>
          <t>지점 FK</t>
        </is>
      </c>
      <c r="K67" t="inlineStr">
        <is>
          <t>API-036, API-037</t>
        </is>
      </c>
      <c r="L67" s="2" t="inlineStr">
        <is>
          <t>확정</t>
        </is>
      </c>
    </row>
    <row r="68">
      <c r="A68" s="2" t="inlineStr">
        <is>
          <t>sales</t>
        </is>
      </c>
      <c r="B68" s="2" t="inlineStr">
        <is>
          <t>no</t>
        </is>
      </c>
      <c r="C68" s="2" t="inlineStr">
        <is>
          <t>VARCHAR</t>
        </is>
      </c>
      <c r="D68" s="2" t="n">
        <v>30</v>
      </c>
      <c r="E68" s="2" t="inlineStr">
        <is>
          <t>N</t>
        </is>
      </c>
      <c r="G68" s="2" t="inlineStr">
        <is>
          <t>N</t>
        </is>
      </c>
      <c r="I68" s="2" t="inlineStr">
        <is>
          <t>UNIQUE</t>
        </is>
      </c>
      <c r="J68" s="2" t="inlineStr">
        <is>
          <t>매출 번호 (R + 날짜 + 순번)</t>
        </is>
      </c>
      <c r="K68" t="inlineStr">
        <is>
          <t>API-036, API-037</t>
        </is>
      </c>
      <c r="L68" s="2" t="inlineStr">
        <is>
          <t>확정</t>
        </is>
      </c>
    </row>
    <row r="69">
      <c r="A69" s="2" t="inlineStr">
        <is>
          <t>sales</t>
        </is>
      </c>
      <c r="B69" s="2" t="inlineStr">
        <is>
          <t>purchase_date</t>
        </is>
      </c>
      <c r="C69" s="2" t="inlineStr">
        <is>
          <t>DATETIME</t>
        </is>
      </c>
      <c r="E69" s="2" t="inlineStr">
        <is>
          <t>N</t>
        </is>
      </c>
      <c r="G69" s="2" t="inlineStr">
        <is>
          <t>N</t>
        </is>
      </c>
      <c r="I69" s="2" t="inlineStr">
        <is>
          <t>Y</t>
        </is>
      </c>
      <c r="J69" s="2" t="inlineStr">
        <is>
          <t>결제 일시</t>
        </is>
      </c>
      <c r="K69" t="inlineStr">
        <is>
          <t>API-036, API-037</t>
        </is>
      </c>
      <c r="L69" s="2" t="inlineStr">
        <is>
          <t>확정</t>
        </is>
      </c>
    </row>
    <row r="70">
      <c r="A70" s="2" t="inlineStr">
        <is>
          <t>sales</t>
        </is>
      </c>
      <c r="B70" s="2" t="inlineStr">
        <is>
          <t>type</t>
        </is>
      </c>
      <c r="C70" s="2" t="inlineStr">
        <is>
          <t>VARCHAR</t>
        </is>
      </c>
      <c r="D70" s="2" t="n">
        <v>50</v>
      </c>
      <c r="E70" s="2" t="inlineStr">
        <is>
          <t>N</t>
        </is>
      </c>
      <c r="G70" s="2" t="inlineStr">
        <is>
          <t>N</t>
        </is>
      </c>
      <c r="I70" s="2" t="inlineStr">
        <is>
          <t>Y</t>
        </is>
      </c>
      <c r="J70" s="2" t="inlineStr">
        <is>
          <t>매출 유형 (membership/pt/gx/product/etc)</t>
        </is>
      </c>
      <c r="K70" t="inlineStr">
        <is>
          <t>API-036, API-037</t>
        </is>
      </c>
      <c r="L70" s="2" t="inlineStr">
        <is>
          <t>확정</t>
        </is>
      </c>
    </row>
    <row r="71">
      <c r="A71" s="2" t="inlineStr">
        <is>
          <t>sales</t>
        </is>
      </c>
      <c r="B71" s="2" t="inlineStr">
        <is>
          <t>product_name</t>
        </is>
      </c>
      <c r="C71" s="2" t="inlineStr">
        <is>
          <t>VARCHAR</t>
        </is>
      </c>
      <c r="D71" s="2" t="n">
        <v>100</v>
      </c>
      <c r="E71" s="2" t="inlineStr">
        <is>
          <t>N</t>
        </is>
      </c>
      <c r="G71" s="2" t="inlineStr">
        <is>
          <t>N</t>
        </is>
      </c>
      <c r="I71" s="2" t="inlineStr">
        <is>
          <t>N</t>
        </is>
      </c>
      <c r="J71" s="2" t="inlineStr">
        <is>
          <t>상품명</t>
        </is>
      </c>
      <c r="K71" t="inlineStr">
        <is>
          <t>API-036, API-037</t>
        </is>
      </c>
      <c r="L71" s="2" t="inlineStr">
        <is>
          <t>확정</t>
        </is>
      </c>
    </row>
    <row r="72">
      <c r="A72" s="2" t="inlineStr">
        <is>
          <t>sales</t>
        </is>
      </c>
      <c r="B72" s="2" t="inlineStr">
        <is>
          <t>manager_id</t>
        </is>
      </c>
      <c r="C72" s="2" t="inlineStr">
        <is>
          <t>BIGINT</t>
        </is>
      </c>
      <c r="E72" s="2" t="inlineStr">
        <is>
          <t>Y</t>
        </is>
      </c>
      <c r="F72" t="inlineStr">
        <is>
          <t>NULL</t>
        </is>
      </c>
      <c r="G72" s="2" t="inlineStr">
        <is>
          <t>N</t>
        </is>
      </c>
      <c r="H72" s="2" t="inlineStr">
        <is>
          <t>users.id</t>
        </is>
      </c>
      <c r="I72" s="2" t="inlineStr">
        <is>
          <t>Y</t>
        </is>
      </c>
      <c r="J72" s="2" t="inlineStr">
        <is>
          <t>담당자 FK</t>
        </is>
      </c>
      <c r="K72" t="inlineStr">
        <is>
          <t>API-036, API-037</t>
        </is>
      </c>
      <c r="L72" s="2" t="inlineStr">
        <is>
          <t>확정</t>
        </is>
      </c>
    </row>
    <row r="73">
      <c r="A73" s="2" t="inlineStr">
        <is>
          <t>sales</t>
        </is>
      </c>
      <c r="B73" s="2" t="inlineStr">
        <is>
          <t>buyer_id</t>
        </is>
      </c>
      <c r="C73" s="2" t="inlineStr">
        <is>
          <t>BIGINT</t>
        </is>
      </c>
      <c r="E73" s="2" t="inlineStr">
        <is>
          <t>Y</t>
        </is>
      </c>
      <c r="F73" t="inlineStr">
        <is>
          <t>NULL</t>
        </is>
      </c>
      <c r="G73" s="2" t="inlineStr">
        <is>
          <t>N</t>
        </is>
      </c>
      <c r="H73" s="2" t="inlineStr">
        <is>
          <t>members.id</t>
        </is>
      </c>
      <c r="I73" s="2" t="inlineStr">
        <is>
          <t>Y</t>
        </is>
      </c>
      <c r="J73" s="2" t="inlineStr">
        <is>
          <t>구매 회원 FK</t>
        </is>
      </c>
      <c r="K73" t="inlineStr">
        <is>
          <t>API-036, API-037</t>
        </is>
      </c>
      <c r="L73" s="2" t="inlineStr">
        <is>
          <t>확정</t>
        </is>
      </c>
    </row>
    <row r="74">
      <c r="A74" s="2" t="inlineStr">
        <is>
          <t>sales</t>
        </is>
      </c>
      <c r="B74" s="2" t="inlineStr">
        <is>
          <t>quantity</t>
        </is>
      </c>
      <c r="C74" s="2" t="inlineStr">
        <is>
          <t>INT</t>
        </is>
      </c>
      <c r="E74" s="2" t="inlineStr">
        <is>
          <t>N</t>
        </is>
      </c>
      <c r="F74" s="2" t="inlineStr">
        <is>
          <t>1</t>
        </is>
      </c>
      <c r="G74" s="2" t="inlineStr">
        <is>
          <t>N</t>
        </is>
      </c>
      <c r="I74" s="2" t="inlineStr">
        <is>
          <t>N</t>
        </is>
      </c>
      <c r="J74" s="2" t="inlineStr">
        <is>
          <t>수량</t>
        </is>
      </c>
      <c r="K74" t="inlineStr">
        <is>
          <t>API-036, API-037</t>
        </is>
      </c>
      <c r="L74" s="2" t="inlineStr">
        <is>
          <t>확정</t>
        </is>
      </c>
    </row>
    <row r="75">
      <c r="A75" s="2" t="inlineStr">
        <is>
          <t>sales</t>
        </is>
      </c>
      <c r="B75" s="2" t="inlineStr">
        <is>
          <t>original_price</t>
        </is>
      </c>
      <c r="C75" s="2" t="inlineStr">
        <is>
          <t>INT</t>
        </is>
      </c>
      <c r="E75" s="2" t="inlineStr">
        <is>
          <t>N</t>
        </is>
      </c>
      <c r="F75" s="2" t="inlineStr">
        <is>
          <t>0</t>
        </is>
      </c>
      <c r="G75" s="2" t="inlineStr">
        <is>
          <t>N</t>
        </is>
      </c>
      <c r="I75" s="2" t="inlineStr">
        <is>
          <t>N</t>
        </is>
      </c>
      <c r="J75" s="2" t="inlineStr">
        <is>
          <t>원가</t>
        </is>
      </c>
      <c r="K75" t="inlineStr">
        <is>
          <t>API-036, API-037</t>
        </is>
      </c>
      <c r="L75" s="2" t="inlineStr">
        <is>
          <t>확정</t>
        </is>
      </c>
    </row>
    <row r="76">
      <c r="A76" s="2" t="inlineStr">
        <is>
          <t>sales</t>
        </is>
      </c>
      <c r="B76" s="2" t="inlineStr">
        <is>
          <t>sale_price</t>
        </is>
      </c>
      <c r="C76" s="2" t="inlineStr">
        <is>
          <t>INT</t>
        </is>
      </c>
      <c r="E76" s="2" t="inlineStr">
        <is>
          <t>N</t>
        </is>
      </c>
      <c r="F76" s="2" t="inlineStr">
        <is>
          <t>0</t>
        </is>
      </c>
      <c r="G76" s="2" t="inlineStr">
        <is>
          <t>N</t>
        </is>
      </c>
      <c r="I76" s="2" t="inlineStr">
        <is>
          <t>N</t>
        </is>
      </c>
      <c r="J76" s="2" t="inlineStr">
        <is>
          <t>판매가</t>
        </is>
      </c>
      <c r="K76" t="inlineStr">
        <is>
          <t>API-036, API-037</t>
        </is>
      </c>
      <c r="L76" s="2" t="inlineStr">
        <is>
          <t>확정</t>
        </is>
      </c>
    </row>
    <row r="77">
      <c r="A77" s="2" t="inlineStr">
        <is>
          <t>sales</t>
        </is>
      </c>
      <c r="B77" s="2" t="inlineStr">
        <is>
          <t>discount_price</t>
        </is>
      </c>
      <c r="C77" s="2" t="inlineStr">
        <is>
          <t>INT</t>
        </is>
      </c>
      <c r="E77" s="2" t="inlineStr">
        <is>
          <t>N</t>
        </is>
      </c>
      <c r="F77" s="2" t="inlineStr">
        <is>
          <t>0</t>
        </is>
      </c>
      <c r="G77" s="2" t="inlineStr">
        <is>
          <t>N</t>
        </is>
      </c>
      <c r="I77" s="2" t="inlineStr">
        <is>
          <t>N</t>
        </is>
      </c>
      <c r="J77" s="2" t="inlineStr">
        <is>
          <t>할인 금액</t>
        </is>
      </c>
      <c r="K77" t="inlineStr">
        <is>
          <t>API-036, API-037</t>
        </is>
      </c>
      <c r="L77" s="2" t="inlineStr">
        <is>
          <t>확정</t>
        </is>
      </c>
    </row>
    <row r="78">
      <c r="A78" s="2" t="inlineStr">
        <is>
          <t>sales</t>
        </is>
      </c>
      <c r="B78" s="2" t="inlineStr">
        <is>
          <t>payment_method</t>
        </is>
      </c>
      <c r="C78" s="2" t="inlineStr">
        <is>
          <t>VARCHAR</t>
        </is>
      </c>
      <c r="D78" s="2" t="n">
        <v>20</v>
      </c>
      <c r="E78" s="2" t="inlineStr">
        <is>
          <t>N</t>
        </is>
      </c>
      <c r="G78" s="2" t="inlineStr">
        <is>
          <t>N</t>
        </is>
      </c>
      <c r="I78" s="2" t="inlineStr">
        <is>
          <t>Y</t>
        </is>
      </c>
      <c r="J78" s="2" t="inlineStr">
        <is>
          <t>결제수단 (cash/card/mileage/mixed)</t>
        </is>
      </c>
      <c r="K78" t="inlineStr">
        <is>
          <t>API-036, API-037</t>
        </is>
      </c>
      <c r="L78" s="2" t="inlineStr">
        <is>
          <t>확정</t>
        </is>
      </c>
    </row>
    <row r="79">
      <c r="A79" s="2" t="inlineStr">
        <is>
          <t>sales</t>
        </is>
      </c>
      <c r="B79" s="2" t="inlineStr">
        <is>
          <t>cash</t>
        </is>
      </c>
      <c r="C79" s="2" t="inlineStr">
        <is>
          <t>INT</t>
        </is>
      </c>
      <c r="E79" s="2" t="inlineStr">
        <is>
          <t>N</t>
        </is>
      </c>
      <c r="F79" s="2" t="inlineStr">
        <is>
          <t>0</t>
        </is>
      </c>
      <c r="G79" s="2" t="inlineStr">
        <is>
          <t>N</t>
        </is>
      </c>
      <c r="I79" s="2" t="inlineStr">
        <is>
          <t>N</t>
        </is>
      </c>
      <c r="J79" s="2" t="inlineStr">
        <is>
          <t>현금 결제액</t>
        </is>
      </c>
      <c r="K79" t="inlineStr">
        <is>
          <t>API-036, API-037</t>
        </is>
      </c>
      <c r="L79" s="2" t="inlineStr">
        <is>
          <t>확정</t>
        </is>
      </c>
    </row>
    <row r="80">
      <c r="A80" s="2" t="inlineStr">
        <is>
          <t>sales</t>
        </is>
      </c>
      <c r="B80" s="2" t="inlineStr">
        <is>
          <t>card</t>
        </is>
      </c>
      <c r="C80" s="2" t="inlineStr">
        <is>
          <t>INT</t>
        </is>
      </c>
      <c r="E80" s="2" t="inlineStr">
        <is>
          <t>N</t>
        </is>
      </c>
      <c r="F80" s="2" t="inlineStr">
        <is>
          <t>0</t>
        </is>
      </c>
      <c r="G80" s="2" t="inlineStr">
        <is>
          <t>N</t>
        </is>
      </c>
      <c r="I80" s="2" t="inlineStr">
        <is>
          <t>N</t>
        </is>
      </c>
      <c r="J80" s="2" t="inlineStr">
        <is>
          <t>카드 결제액</t>
        </is>
      </c>
      <c r="K80" t="inlineStr">
        <is>
          <t>API-036, API-037</t>
        </is>
      </c>
      <c r="L80" s="2" t="inlineStr">
        <is>
          <t>확정</t>
        </is>
      </c>
    </row>
    <row r="81">
      <c r="A81" s="2" t="inlineStr">
        <is>
          <t>sales</t>
        </is>
      </c>
      <c r="B81" s="2" t="inlineStr">
        <is>
          <t>mileage</t>
        </is>
      </c>
      <c r="C81" s="2" t="inlineStr">
        <is>
          <t>INT</t>
        </is>
      </c>
      <c r="E81" s="2" t="inlineStr">
        <is>
          <t>N</t>
        </is>
      </c>
      <c r="F81" s="2" t="inlineStr">
        <is>
          <t>0</t>
        </is>
      </c>
      <c r="G81" s="2" t="inlineStr">
        <is>
          <t>N</t>
        </is>
      </c>
      <c r="I81" s="2" t="inlineStr">
        <is>
          <t>N</t>
        </is>
      </c>
      <c r="J81" s="2" t="inlineStr">
        <is>
          <t>마일리지 결제액</t>
        </is>
      </c>
      <c r="K81" t="inlineStr">
        <is>
          <t>API-036, API-037</t>
        </is>
      </c>
      <c r="L81" s="2" t="inlineStr">
        <is>
          <t>확정</t>
        </is>
      </c>
    </row>
    <row r="82">
      <c r="A82" s="2" t="inlineStr">
        <is>
          <t>sales</t>
        </is>
      </c>
      <c r="B82" s="2" t="inlineStr">
        <is>
          <t>card_company</t>
        </is>
      </c>
      <c r="C82" s="2" t="inlineStr">
        <is>
          <t>VARCHAR</t>
        </is>
      </c>
      <c r="D82" s="2" t="n">
        <v>50</v>
      </c>
      <c r="E82" s="2" t="inlineStr">
        <is>
          <t>Y</t>
        </is>
      </c>
      <c r="G82" s="2" t="inlineStr">
        <is>
          <t>N</t>
        </is>
      </c>
      <c r="I82" s="2" t="inlineStr">
        <is>
          <t>N</t>
        </is>
      </c>
      <c r="J82" s="2" t="inlineStr">
        <is>
          <t>카드사</t>
        </is>
      </c>
      <c r="K82" t="inlineStr">
        <is>
          <t>API-036, API-037</t>
        </is>
      </c>
      <c r="L82" s="2" t="inlineStr">
        <is>
          <t>확정</t>
        </is>
      </c>
    </row>
    <row r="83">
      <c r="A83" s="2" t="inlineStr">
        <is>
          <t>sales</t>
        </is>
      </c>
      <c r="B83" s="2" t="inlineStr">
        <is>
          <t>card_number</t>
        </is>
      </c>
      <c r="C83" s="2" t="inlineStr">
        <is>
          <t>VARCHAR</t>
        </is>
      </c>
      <c r="D83" s="2" t="n">
        <v>20</v>
      </c>
      <c r="E83" s="2" t="inlineStr">
        <is>
          <t>Y</t>
        </is>
      </c>
      <c r="G83" s="2" t="inlineStr">
        <is>
          <t>N</t>
        </is>
      </c>
      <c r="I83" s="2" t="inlineStr">
        <is>
          <t>N</t>
        </is>
      </c>
      <c r="J83" s="2" t="inlineStr">
        <is>
          <t>카드번호 (마스킹)</t>
        </is>
      </c>
      <c r="K83" t="inlineStr">
        <is>
          <t>API-036, API-037</t>
        </is>
      </c>
      <c r="L83" s="2" t="inlineStr">
        <is>
          <t>확정</t>
        </is>
      </c>
    </row>
    <row r="84">
      <c r="A84" s="2" t="inlineStr">
        <is>
          <t>sales</t>
        </is>
      </c>
      <c r="B84" s="2" t="inlineStr">
        <is>
          <t>approval_no</t>
        </is>
      </c>
      <c r="C84" s="2" t="inlineStr">
        <is>
          <t>VARCHAR</t>
        </is>
      </c>
      <c r="D84" s="2" t="n">
        <v>30</v>
      </c>
      <c r="E84" s="2" t="inlineStr">
        <is>
          <t>Y</t>
        </is>
      </c>
      <c r="G84" s="2" t="inlineStr">
        <is>
          <t>N</t>
        </is>
      </c>
      <c r="I84" s="2" t="inlineStr">
        <is>
          <t>N</t>
        </is>
      </c>
      <c r="J84" s="2" t="inlineStr">
        <is>
          <t>승인번호</t>
        </is>
      </c>
      <c r="K84" t="inlineStr">
        <is>
          <t>API-036, API-037</t>
        </is>
      </c>
      <c r="L84" s="2" t="inlineStr">
        <is>
          <t>확정</t>
        </is>
      </c>
    </row>
    <row r="85">
      <c r="A85" s="2" t="inlineStr">
        <is>
          <t>sales</t>
        </is>
      </c>
      <c r="B85" s="2" t="inlineStr">
        <is>
          <t>unpaid</t>
        </is>
      </c>
      <c r="C85" s="2" t="inlineStr">
        <is>
          <t>INT</t>
        </is>
      </c>
      <c r="E85" s="2" t="inlineStr">
        <is>
          <t>N</t>
        </is>
      </c>
      <c r="F85" s="2" t="inlineStr">
        <is>
          <t>0</t>
        </is>
      </c>
      <c r="G85" s="2" t="inlineStr">
        <is>
          <t>N</t>
        </is>
      </c>
      <c r="I85" s="2" t="inlineStr">
        <is>
          <t>N</t>
        </is>
      </c>
      <c r="J85" s="2" t="inlineStr">
        <is>
          <t>미납 금액</t>
        </is>
      </c>
      <c r="K85" t="inlineStr">
        <is>
          <t>API-036, API-037</t>
        </is>
      </c>
      <c r="L85" s="2" t="inlineStr">
        <is>
          <t>확정</t>
        </is>
      </c>
    </row>
    <row r="86">
      <c r="A86" s="2" t="inlineStr">
        <is>
          <t>sales</t>
        </is>
      </c>
      <c r="B86" s="2" t="inlineStr">
        <is>
          <t>status</t>
        </is>
      </c>
      <c r="C86" s="2" t="inlineStr">
        <is>
          <t>ENUM</t>
        </is>
      </c>
      <c r="E86" s="2" t="inlineStr">
        <is>
          <t>N</t>
        </is>
      </c>
      <c r="F86" s="2" t="inlineStr">
        <is>
          <t>completed</t>
        </is>
      </c>
      <c r="G86" s="2" t="inlineStr">
        <is>
          <t>N</t>
        </is>
      </c>
      <c r="I86" s="2" t="inlineStr">
        <is>
          <t>Y</t>
        </is>
      </c>
      <c r="J86" s="2" t="inlineStr">
        <is>
          <t>상태 (completed/refunded/partial_refund/unpaid)</t>
        </is>
      </c>
      <c r="K86" t="inlineStr">
        <is>
          <t>API-036, API-037</t>
        </is>
      </c>
      <c r="L86" s="2" t="inlineStr">
        <is>
          <t>확정</t>
        </is>
      </c>
    </row>
    <row r="87">
      <c r="A87" s="2" t="inlineStr">
        <is>
          <t>sales</t>
        </is>
      </c>
      <c r="B87" s="2" t="inlineStr">
        <is>
          <t>category</t>
        </is>
      </c>
      <c r="C87" s="2" t="inlineStr">
        <is>
          <t>VARCHAR</t>
        </is>
      </c>
      <c r="D87" s="2" t="n">
        <v>50</v>
      </c>
      <c r="E87" s="2" t="inlineStr">
        <is>
          <t>Y</t>
        </is>
      </c>
      <c r="G87" s="2" t="inlineStr">
        <is>
          <t>N</t>
        </is>
      </c>
      <c r="I87" s="2" t="inlineStr">
        <is>
          <t>N</t>
        </is>
      </c>
      <c r="J87" s="2" t="inlineStr">
        <is>
          <t>매출 카테고리</t>
        </is>
      </c>
      <c r="K87" t="inlineStr">
        <is>
          <t>API-036, API-037</t>
        </is>
      </c>
      <c r="L87" s="2" t="inlineStr">
        <is>
          <t>확정</t>
        </is>
      </c>
    </row>
    <row r="88">
      <c r="A88" s="2" t="inlineStr">
        <is>
          <t>sales</t>
        </is>
      </c>
      <c r="B88" s="2" t="inlineStr">
        <is>
          <t>memo</t>
        </is>
      </c>
      <c r="C88" s="2" t="inlineStr">
        <is>
          <t>TEXT</t>
        </is>
      </c>
      <c r="E88" s="2" t="inlineStr">
        <is>
          <t>Y</t>
        </is>
      </c>
      <c r="G88" s="2" t="inlineStr">
        <is>
          <t>N</t>
        </is>
      </c>
      <c r="I88" s="2" t="inlineStr">
        <is>
          <t>N</t>
        </is>
      </c>
      <c r="J88" s="2" t="inlineStr">
        <is>
          <t>메모</t>
        </is>
      </c>
      <c r="K88" t="inlineStr">
        <is>
          <t>API-036, API-037</t>
        </is>
      </c>
      <c r="L88" s="2" t="inlineStr">
        <is>
          <t>확정</t>
        </is>
      </c>
    </row>
    <row r="89">
      <c r="A89" s="2" t="inlineStr">
        <is>
          <t>sales</t>
        </is>
      </c>
      <c r="B89" s="2" t="inlineStr">
        <is>
          <t>created_at</t>
        </is>
      </c>
      <c r="C89" s="2" t="inlineStr">
        <is>
          <t>DATETIME</t>
        </is>
      </c>
      <c r="E89" s="2" t="inlineStr">
        <is>
          <t>N</t>
        </is>
      </c>
      <c r="F89" s="2" t="inlineStr">
        <is>
          <t>NOW()</t>
        </is>
      </c>
      <c r="G89" s="2" t="inlineStr">
        <is>
          <t>N</t>
        </is>
      </c>
      <c r="I89" s="2" t="inlineStr">
        <is>
          <t>N</t>
        </is>
      </c>
      <c r="J89" s="2" t="inlineStr">
        <is>
          <t>생성일시</t>
        </is>
      </c>
      <c r="K89" t="inlineStr">
        <is>
          <t>API-036, API-037</t>
        </is>
      </c>
      <c r="L89" s="2" t="inlineStr">
        <is>
          <t>확정</t>
        </is>
      </c>
    </row>
    <row r="90">
      <c r="A90" s="2" t="inlineStr">
        <is>
          <t>products</t>
        </is>
      </c>
      <c r="B90" s="2" t="inlineStr">
        <is>
          <t>id</t>
        </is>
      </c>
      <c r="C90" s="2" t="inlineStr">
        <is>
          <t>BIGINT</t>
        </is>
      </c>
      <c r="E90" s="2" t="inlineStr">
        <is>
          <t>N</t>
        </is>
      </c>
      <c r="G90" s="2" t="inlineStr">
        <is>
          <t>Y</t>
        </is>
      </c>
      <c r="I90" s="2" t="inlineStr">
        <is>
          <t>Y</t>
        </is>
      </c>
      <c r="J90" s="2" t="inlineStr">
        <is>
          <t>상품 고유 ID</t>
        </is>
      </c>
      <c r="K90" s="2" t="inlineStr">
        <is>
          <t>API-018</t>
        </is>
      </c>
      <c r="L90" s="2" t="inlineStr">
        <is>
          <t>확정</t>
        </is>
      </c>
    </row>
    <row r="91">
      <c r="A91" s="2" t="inlineStr">
        <is>
          <t>products</t>
        </is>
      </c>
      <c r="B91" s="2" t="inlineStr">
        <is>
          <t>branch_id</t>
        </is>
      </c>
      <c r="C91" s="2" t="inlineStr">
        <is>
          <t>BIGINT</t>
        </is>
      </c>
      <c r="E91" s="2" t="inlineStr">
        <is>
          <t>N</t>
        </is>
      </c>
      <c r="G91" s="2" t="inlineStr">
        <is>
          <t>N</t>
        </is>
      </c>
      <c r="H91" s="2" t="inlineStr">
        <is>
          <t>branches.id</t>
        </is>
      </c>
      <c r="I91" s="2" t="inlineStr">
        <is>
          <t>Y</t>
        </is>
      </c>
      <c r="J91" s="2" t="inlineStr">
        <is>
          <t>지점 FK</t>
        </is>
      </c>
      <c r="K91" t="inlineStr">
        <is>
          <t>API-016, API-017, API-018</t>
        </is>
      </c>
      <c r="L91" s="2" t="inlineStr">
        <is>
          <t>확정</t>
        </is>
      </c>
    </row>
    <row r="92">
      <c r="A92" s="2" t="inlineStr">
        <is>
          <t>products</t>
        </is>
      </c>
      <c r="B92" s="2" t="inlineStr">
        <is>
          <t>category</t>
        </is>
      </c>
      <c r="C92" s="2" t="inlineStr">
        <is>
          <t>VARCHAR</t>
        </is>
      </c>
      <c r="D92" s="2" t="n">
        <v>50</v>
      </c>
      <c r="E92" s="2" t="inlineStr">
        <is>
          <t>N</t>
        </is>
      </c>
      <c r="G92" s="2" t="inlineStr">
        <is>
          <t>N</t>
        </is>
      </c>
      <c r="I92" s="2" t="inlineStr">
        <is>
          <t>Y</t>
        </is>
      </c>
      <c r="J92" s="2" t="inlineStr">
        <is>
          <t>대분류 카테고리</t>
        </is>
      </c>
      <c r="K92" t="inlineStr">
        <is>
          <t>API-016, API-017, API-018</t>
        </is>
      </c>
      <c r="L92" s="2" t="inlineStr">
        <is>
          <t>확정</t>
        </is>
      </c>
    </row>
    <row r="93">
      <c r="A93" s="2" t="inlineStr">
        <is>
          <t>products</t>
        </is>
      </c>
      <c r="B93" s="2" t="inlineStr">
        <is>
          <t>category_key</t>
        </is>
      </c>
      <c r="C93" s="2" t="inlineStr">
        <is>
          <t>ENUM</t>
        </is>
      </c>
      <c r="E93" s="2" t="inlineStr">
        <is>
          <t>N</t>
        </is>
      </c>
      <c r="G93" s="2" t="inlineStr">
        <is>
          <t>N</t>
        </is>
      </c>
      <c r="I93" s="2" t="inlineStr">
        <is>
          <t>Y</t>
        </is>
      </c>
      <c r="J93" s="2" t="inlineStr">
        <is>
          <t>카테고리 키 (membership/pt/gx/etc)</t>
        </is>
      </c>
      <c r="K93" t="inlineStr">
        <is>
          <t>API-016, API-017, API-018</t>
        </is>
      </c>
      <c r="L93" s="2" t="inlineStr">
        <is>
          <t>확정</t>
        </is>
      </c>
    </row>
    <row r="94">
      <c r="A94" s="2" t="inlineStr">
        <is>
          <t>products</t>
        </is>
      </c>
      <c r="B94" s="2" t="inlineStr">
        <is>
          <t>sub_category</t>
        </is>
      </c>
      <c r="C94" s="2" t="inlineStr">
        <is>
          <t>VARCHAR</t>
        </is>
      </c>
      <c r="D94" s="2" t="n">
        <v>50</v>
      </c>
      <c r="E94" s="2" t="inlineStr">
        <is>
          <t>Y</t>
        </is>
      </c>
      <c r="G94" s="2" t="inlineStr">
        <is>
          <t>N</t>
        </is>
      </c>
      <c r="I94" s="2" t="inlineStr">
        <is>
          <t>N</t>
        </is>
      </c>
      <c r="J94" s="2" t="inlineStr">
        <is>
          <t>소분류</t>
        </is>
      </c>
      <c r="K94" t="inlineStr">
        <is>
          <t>API-016, API-017, API-018</t>
        </is>
      </c>
      <c r="L94" s="2" t="inlineStr">
        <is>
          <t>확정</t>
        </is>
      </c>
    </row>
    <row r="95">
      <c r="A95" s="2" t="inlineStr">
        <is>
          <t>products</t>
        </is>
      </c>
      <c r="B95" s="2" t="inlineStr">
        <is>
          <t>name</t>
        </is>
      </c>
      <c r="C95" s="2" t="inlineStr">
        <is>
          <t>VARCHAR</t>
        </is>
      </c>
      <c r="D95" s="2" t="n">
        <v>100</v>
      </c>
      <c r="E95" s="2" t="inlineStr">
        <is>
          <t>N</t>
        </is>
      </c>
      <c r="G95" s="2" t="inlineStr">
        <is>
          <t>N</t>
        </is>
      </c>
      <c r="I95" s="2" t="inlineStr">
        <is>
          <t>Y</t>
        </is>
      </c>
      <c r="J95" s="2" t="inlineStr">
        <is>
          <t>상품명</t>
        </is>
      </c>
      <c r="K95" t="inlineStr">
        <is>
          <t>API-016, API-017, API-018</t>
        </is>
      </c>
      <c r="L95" s="2" t="inlineStr">
        <is>
          <t>확정</t>
        </is>
      </c>
    </row>
    <row r="96">
      <c r="A96" s="2" t="inlineStr">
        <is>
          <t>products</t>
        </is>
      </c>
      <c r="B96" s="2" t="inlineStr">
        <is>
          <t>cash_price</t>
        </is>
      </c>
      <c r="C96" s="2" t="inlineStr">
        <is>
          <t>INT</t>
        </is>
      </c>
      <c r="E96" s="2" t="inlineStr">
        <is>
          <t>N</t>
        </is>
      </c>
      <c r="F96" s="2" t="inlineStr">
        <is>
          <t>0</t>
        </is>
      </c>
      <c r="G96" s="2" t="inlineStr">
        <is>
          <t>N</t>
        </is>
      </c>
      <c r="I96" s="2" t="inlineStr">
        <is>
          <t>N</t>
        </is>
      </c>
      <c r="J96" s="2" t="inlineStr">
        <is>
          <t>현금가</t>
        </is>
      </c>
      <c r="K96" t="inlineStr">
        <is>
          <t>API-016, API-017, API-018</t>
        </is>
      </c>
      <c r="L96" s="2" t="inlineStr">
        <is>
          <t>확정</t>
        </is>
      </c>
    </row>
    <row r="97">
      <c r="A97" s="2" t="inlineStr">
        <is>
          <t>products</t>
        </is>
      </c>
      <c r="B97" s="2" t="inlineStr">
        <is>
          <t>card_price</t>
        </is>
      </c>
      <c r="C97" s="2" t="inlineStr">
        <is>
          <t>INT</t>
        </is>
      </c>
      <c r="E97" s="2" t="inlineStr">
        <is>
          <t>N</t>
        </is>
      </c>
      <c r="F97" s="2" t="inlineStr">
        <is>
          <t>0</t>
        </is>
      </c>
      <c r="G97" s="2" t="inlineStr">
        <is>
          <t>N</t>
        </is>
      </c>
      <c r="I97" s="2" t="inlineStr">
        <is>
          <t>N</t>
        </is>
      </c>
      <c r="J97" s="2" t="inlineStr">
        <is>
          <t>카드가</t>
        </is>
      </c>
      <c r="K97" t="inlineStr">
        <is>
          <t>API-016, API-017, API-018</t>
        </is>
      </c>
      <c r="L97" s="2" t="inlineStr">
        <is>
          <t>확정</t>
        </is>
      </c>
    </row>
    <row r="98">
      <c r="A98" s="2" t="inlineStr">
        <is>
          <t>products</t>
        </is>
      </c>
      <c r="B98" s="2" t="inlineStr">
        <is>
          <t>period</t>
        </is>
      </c>
      <c r="C98" s="2" t="inlineStr">
        <is>
          <t>INT</t>
        </is>
      </c>
      <c r="E98" s="2" t="inlineStr">
        <is>
          <t>Y</t>
        </is>
      </c>
      <c r="F98" t="inlineStr">
        <is>
          <t>NULL</t>
        </is>
      </c>
      <c r="G98" s="2" t="inlineStr">
        <is>
          <t>N</t>
        </is>
      </c>
      <c r="I98" s="2" t="inlineStr">
        <is>
          <t>N</t>
        </is>
      </c>
      <c r="J98" s="2" t="inlineStr">
        <is>
          <t>이용 기간 (일수)</t>
        </is>
      </c>
      <c r="K98" t="inlineStr">
        <is>
          <t>API-016, API-017, API-018</t>
        </is>
      </c>
      <c r="L98" s="2" t="inlineStr">
        <is>
          <t>확정</t>
        </is>
      </c>
    </row>
    <row r="99">
      <c r="A99" s="2" t="inlineStr">
        <is>
          <t>products</t>
        </is>
      </c>
      <c r="B99" s="2" t="inlineStr">
        <is>
          <t>kiosk_exposure</t>
        </is>
      </c>
      <c r="C99" s="2" t="inlineStr">
        <is>
          <t>BOOLEAN</t>
        </is>
      </c>
      <c r="E99" s="2" t="inlineStr">
        <is>
          <t>N</t>
        </is>
      </c>
      <c r="F99" s="2" t="inlineStr">
        <is>
          <t>true</t>
        </is>
      </c>
      <c r="G99" s="2" t="inlineStr">
        <is>
          <t>N</t>
        </is>
      </c>
      <c r="I99" s="2" t="inlineStr">
        <is>
          <t>N</t>
        </is>
      </c>
      <c r="J99" s="2" t="inlineStr">
        <is>
          <t>키오스크 노출 여부</t>
        </is>
      </c>
      <c r="K99" t="inlineStr">
        <is>
          <t>API-016, API-017, API-018</t>
        </is>
      </c>
      <c r="L99" s="2" t="inlineStr">
        <is>
          <t>확정</t>
        </is>
      </c>
    </row>
    <row r="100">
      <c r="A100" s="2" t="inlineStr">
        <is>
          <t>products</t>
        </is>
      </c>
      <c r="B100" s="2" t="inlineStr">
        <is>
          <t>status</t>
        </is>
      </c>
      <c r="C100" s="2" t="inlineStr">
        <is>
          <t>ENUM</t>
        </is>
      </c>
      <c r="E100" s="2" t="inlineStr">
        <is>
          <t>N</t>
        </is>
      </c>
      <c r="F100" s="2" t="inlineStr">
        <is>
          <t>active</t>
        </is>
      </c>
      <c r="G100" s="2" t="inlineStr">
        <is>
          <t>N</t>
        </is>
      </c>
      <c r="I100" s="2" t="inlineStr">
        <is>
          <t>Y</t>
        </is>
      </c>
      <c r="J100" s="2" t="inlineStr">
        <is>
          <t>상태 (active/inactive)</t>
        </is>
      </c>
      <c r="K100" t="inlineStr">
        <is>
          <t>API-016, API-017, API-018</t>
        </is>
      </c>
      <c r="L100" s="2" t="inlineStr">
        <is>
          <t>확정</t>
        </is>
      </c>
    </row>
    <row r="101">
      <c r="A101" s="2" t="inlineStr">
        <is>
          <t>products</t>
        </is>
      </c>
      <c r="B101" s="2" t="inlineStr">
        <is>
          <t>created_at</t>
        </is>
      </c>
      <c r="C101" s="2" t="inlineStr">
        <is>
          <t>DATETIME</t>
        </is>
      </c>
      <c r="E101" s="2" t="inlineStr">
        <is>
          <t>N</t>
        </is>
      </c>
      <c r="F101" s="2" t="inlineStr">
        <is>
          <t>NOW()</t>
        </is>
      </c>
      <c r="G101" s="2" t="inlineStr">
        <is>
          <t>N</t>
        </is>
      </c>
      <c r="I101" s="2" t="inlineStr">
        <is>
          <t>N</t>
        </is>
      </c>
      <c r="J101" s="2" t="inlineStr">
        <is>
          <t>생성일시</t>
        </is>
      </c>
      <c r="K101" t="inlineStr">
        <is>
          <t>API-016, API-017, API-018</t>
        </is>
      </c>
      <c r="L101" s="2" t="inlineStr">
        <is>
          <t>확정</t>
        </is>
      </c>
    </row>
    <row r="102">
      <c r="A102" s="2" t="inlineStr">
        <is>
          <t>products</t>
        </is>
      </c>
      <c r="B102" s="2" t="inlineStr">
        <is>
          <t>updated_at</t>
        </is>
      </c>
      <c r="C102" s="2" t="inlineStr">
        <is>
          <t>DATETIME</t>
        </is>
      </c>
      <c r="E102" s="2" t="inlineStr">
        <is>
          <t>Y</t>
        </is>
      </c>
      <c r="F102" t="inlineStr">
        <is>
          <t>CURRENT_TIMESTAMP</t>
        </is>
      </c>
      <c r="G102" s="2" t="inlineStr">
        <is>
          <t>N</t>
        </is>
      </c>
      <c r="I102" s="2" t="inlineStr">
        <is>
          <t>N</t>
        </is>
      </c>
      <c r="J102" s="2" t="inlineStr">
        <is>
          <t>수정일시</t>
        </is>
      </c>
      <c r="K102" t="inlineStr">
        <is>
          <t>API-016, API-017, API-018</t>
        </is>
      </c>
      <c r="L102" s="2" t="inlineStr">
        <is>
          <t>확정</t>
        </is>
      </c>
    </row>
    <row r="103">
      <c r="A103" s="2" t="inlineStr">
        <is>
          <t>staff</t>
        </is>
      </c>
      <c r="B103" s="2" t="inlineStr">
        <is>
          <t>id</t>
        </is>
      </c>
      <c r="C103" s="2" t="inlineStr">
        <is>
          <t>BIGINT</t>
        </is>
      </c>
      <c r="E103" s="2" t="inlineStr">
        <is>
          <t>N</t>
        </is>
      </c>
      <c r="G103" s="2" t="inlineStr">
        <is>
          <t>Y</t>
        </is>
      </c>
      <c r="I103" s="2" t="inlineStr">
        <is>
          <t>Y</t>
        </is>
      </c>
      <c r="J103" s="2" t="inlineStr">
        <is>
          <t>직원 고유 ID</t>
        </is>
      </c>
      <c r="K103" s="2" t="inlineStr">
        <is>
          <t>API-022</t>
        </is>
      </c>
      <c r="L103" s="2" t="inlineStr">
        <is>
          <t>확정</t>
        </is>
      </c>
    </row>
    <row r="104">
      <c r="A104" s="2" t="inlineStr">
        <is>
          <t>staff</t>
        </is>
      </c>
      <c r="B104" s="2" t="inlineStr">
        <is>
          <t>branch_id</t>
        </is>
      </c>
      <c r="C104" s="2" t="inlineStr">
        <is>
          <t>BIGINT</t>
        </is>
      </c>
      <c r="E104" s="2" t="inlineStr">
        <is>
          <t>N</t>
        </is>
      </c>
      <c r="G104" s="2" t="inlineStr">
        <is>
          <t>N</t>
        </is>
      </c>
      <c r="H104" s="2" t="inlineStr">
        <is>
          <t>branches.id</t>
        </is>
      </c>
      <c r="I104" s="2" t="inlineStr">
        <is>
          <t>Y</t>
        </is>
      </c>
      <c r="J104" s="2" t="inlineStr">
        <is>
          <t>지점 FK</t>
        </is>
      </c>
      <c r="K104" t="inlineStr">
        <is>
          <t>API-030, API-031, API-032</t>
        </is>
      </c>
      <c r="L104" s="2" t="inlineStr">
        <is>
          <t>확정</t>
        </is>
      </c>
    </row>
    <row r="105">
      <c r="A105" s="2" t="inlineStr">
        <is>
          <t>staff</t>
        </is>
      </c>
      <c r="B105" s="2" t="inlineStr">
        <is>
          <t>name</t>
        </is>
      </c>
      <c r="C105" s="2" t="inlineStr">
        <is>
          <t>VARCHAR</t>
        </is>
      </c>
      <c r="D105" s="2" t="n">
        <v>50</v>
      </c>
      <c r="E105" s="2" t="inlineStr">
        <is>
          <t>N</t>
        </is>
      </c>
      <c r="G105" s="2" t="inlineStr">
        <is>
          <t>N</t>
        </is>
      </c>
      <c r="I105" s="2" t="inlineStr">
        <is>
          <t>Y</t>
        </is>
      </c>
      <c r="J105" s="2" t="inlineStr">
        <is>
          <t>직원 이름</t>
        </is>
      </c>
      <c r="K105" t="inlineStr">
        <is>
          <t>API-030, API-031, API-032</t>
        </is>
      </c>
      <c r="L105" s="2" t="inlineStr">
        <is>
          <t>확정</t>
        </is>
      </c>
    </row>
    <row r="106">
      <c r="A106" s="2" t="inlineStr">
        <is>
          <t>staff</t>
        </is>
      </c>
      <c r="B106" s="2" t="inlineStr">
        <is>
          <t>gender</t>
        </is>
      </c>
      <c r="C106" s="2" t="inlineStr">
        <is>
          <t>ENUM</t>
        </is>
      </c>
      <c r="E106" s="2" t="inlineStr">
        <is>
          <t>Y</t>
        </is>
      </c>
      <c r="G106" s="2" t="inlineStr">
        <is>
          <t>N</t>
        </is>
      </c>
      <c r="I106" s="2" t="inlineStr">
        <is>
          <t>N</t>
        </is>
      </c>
      <c r="J106" s="2" t="inlineStr">
        <is>
          <t>성별 (M/F)</t>
        </is>
      </c>
      <c r="K106" t="inlineStr">
        <is>
          <t>API-030, API-031, API-032</t>
        </is>
      </c>
      <c r="L106" s="2" t="inlineStr">
        <is>
          <t>확정</t>
        </is>
      </c>
    </row>
    <row r="107">
      <c r="A107" s="2" t="inlineStr">
        <is>
          <t>staff</t>
        </is>
      </c>
      <c r="B107" s="2" t="inlineStr">
        <is>
          <t>contact</t>
        </is>
      </c>
      <c r="C107" s="2" t="inlineStr">
        <is>
          <t>VARCHAR</t>
        </is>
      </c>
      <c r="D107" s="2" t="n">
        <v>20</v>
      </c>
      <c r="E107" s="2" t="inlineStr">
        <is>
          <t>Y</t>
        </is>
      </c>
      <c r="G107" s="2" t="inlineStr">
        <is>
          <t>N</t>
        </is>
      </c>
      <c r="I107" s="2" t="inlineStr">
        <is>
          <t>N</t>
        </is>
      </c>
      <c r="J107" s="2" t="inlineStr">
        <is>
          <t>연락처</t>
        </is>
      </c>
      <c r="K107" t="inlineStr">
        <is>
          <t>API-030, API-031, API-032</t>
        </is>
      </c>
      <c r="L107" s="2" t="inlineStr">
        <is>
          <t>확정</t>
        </is>
      </c>
    </row>
    <row r="108">
      <c r="A108" s="2" t="inlineStr">
        <is>
          <t>staff</t>
        </is>
      </c>
      <c r="B108" s="2" t="inlineStr">
        <is>
          <t>role</t>
        </is>
      </c>
      <c r="C108" s="2" t="inlineStr">
        <is>
          <t>ENUM</t>
        </is>
      </c>
      <c r="E108" s="2" t="inlineStr">
        <is>
          <t>N</t>
        </is>
      </c>
      <c r="G108" s="2" t="inlineStr">
        <is>
          <t>N</t>
        </is>
      </c>
      <c r="I108" s="2" t="inlineStr">
        <is>
          <t>Y</t>
        </is>
      </c>
      <c r="J108" s="2" t="inlineStr">
        <is>
          <t>역할 (center_manager/manager/fc/staff)</t>
        </is>
      </c>
      <c r="K108" t="inlineStr">
        <is>
          <t>API-030, API-031, API-032</t>
        </is>
      </c>
      <c r="L108" s="2" t="inlineStr">
        <is>
          <t>확정</t>
        </is>
      </c>
    </row>
    <row r="109">
      <c r="A109" s="2" t="inlineStr">
        <is>
          <t>staff</t>
        </is>
      </c>
      <c r="B109" s="2" t="inlineStr">
        <is>
          <t>job_group</t>
        </is>
      </c>
      <c r="C109" s="2" t="inlineStr">
        <is>
          <t>VARCHAR</t>
        </is>
      </c>
      <c r="D109" s="2" t="n">
        <v>50</v>
      </c>
      <c r="E109" s="2" t="inlineStr">
        <is>
          <t>Y</t>
        </is>
      </c>
      <c r="G109" s="2" t="inlineStr">
        <is>
          <t>N</t>
        </is>
      </c>
      <c r="I109" s="2" t="inlineStr">
        <is>
          <t>N</t>
        </is>
      </c>
      <c r="J109" s="2" t="inlineStr">
        <is>
          <t>직무 그룹</t>
        </is>
      </c>
      <c r="K109" t="inlineStr">
        <is>
          <t>API-030, API-031, API-032</t>
        </is>
      </c>
      <c r="L109" s="2" t="inlineStr">
        <is>
          <t>확정</t>
        </is>
      </c>
    </row>
    <row r="110">
      <c r="A110" s="2" t="inlineStr">
        <is>
          <t>staff</t>
        </is>
      </c>
      <c r="B110" s="2" t="inlineStr">
        <is>
          <t>position</t>
        </is>
      </c>
      <c r="C110" s="2" t="inlineStr">
        <is>
          <t>VARCHAR</t>
        </is>
      </c>
      <c r="D110" s="2" t="n">
        <v>50</v>
      </c>
      <c r="E110" s="2" t="inlineStr">
        <is>
          <t>Y</t>
        </is>
      </c>
      <c r="G110" s="2" t="inlineStr">
        <is>
          <t>N</t>
        </is>
      </c>
      <c r="I110" s="2" t="inlineStr">
        <is>
          <t>N</t>
        </is>
      </c>
      <c r="J110" s="2" t="inlineStr">
        <is>
          <t>직위</t>
        </is>
      </c>
      <c r="K110" t="inlineStr">
        <is>
          <t>API-030, API-031, API-032</t>
        </is>
      </c>
      <c r="L110" s="2" t="inlineStr">
        <is>
          <t>확정</t>
        </is>
      </c>
    </row>
    <row r="111">
      <c r="A111" s="2" t="inlineStr">
        <is>
          <t>staff</t>
        </is>
      </c>
      <c r="B111" s="2" t="inlineStr">
        <is>
          <t>team</t>
        </is>
      </c>
      <c r="C111" s="2" t="inlineStr">
        <is>
          <t>VARCHAR</t>
        </is>
      </c>
      <c r="D111" s="2" t="n">
        <v>50</v>
      </c>
      <c r="E111" s="2" t="inlineStr">
        <is>
          <t>Y</t>
        </is>
      </c>
      <c r="G111" s="2" t="inlineStr">
        <is>
          <t>N</t>
        </is>
      </c>
      <c r="I111" s="2" t="inlineStr">
        <is>
          <t>N</t>
        </is>
      </c>
      <c r="J111" s="2" t="inlineStr">
        <is>
          <t>소속 팀</t>
        </is>
      </c>
      <c r="K111" t="inlineStr">
        <is>
          <t>API-030, API-031, API-032</t>
        </is>
      </c>
      <c r="L111" s="2" t="inlineStr">
        <is>
          <t>확정</t>
        </is>
      </c>
    </row>
    <row r="112">
      <c r="A112" s="2" t="inlineStr">
        <is>
          <t>staff</t>
        </is>
      </c>
      <c r="B112" s="2" t="inlineStr">
        <is>
          <t>join_date</t>
        </is>
      </c>
      <c r="C112" s="2" t="inlineStr">
        <is>
          <t>DATETIME</t>
        </is>
      </c>
      <c r="E112" s="2" t="inlineStr">
        <is>
          <t>N</t>
        </is>
      </c>
      <c r="G112" s="2" t="inlineStr">
        <is>
          <t>N</t>
        </is>
      </c>
      <c r="I112" s="2" t="inlineStr">
        <is>
          <t>Y</t>
        </is>
      </c>
      <c r="J112" s="2" t="inlineStr">
        <is>
          <t>입사일</t>
        </is>
      </c>
      <c r="K112" t="inlineStr">
        <is>
          <t>API-030, API-031, API-032</t>
        </is>
      </c>
      <c r="L112" s="2" t="inlineStr">
        <is>
          <t>확정</t>
        </is>
      </c>
    </row>
    <row r="113">
      <c r="A113" s="2" t="inlineStr">
        <is>
          <t>staff</t>
        </is>
      </c>
      <c r="B113" s="2" t="inlineStr">
        <is>
          <t>admin_id</t>
        </is>
      </c>
      <c r="C113" s="2" t="inlineStr">
        <is>
          <t>VARCHAR</t>
        </is>
      </c>
      <c r="D113" s="2" t="n">
        <v>50</v>
      </c>
      <c r="E113" s="2" t="inlineStr">
        <is>
          <t>Y</t>
        </is>
      </c>
      <c r="G113" s="2" t="inlineStr">
        <is>
          <t>N</t>
        </is>
      </c>
      <c r="I113" s="2" t="inlineStr">
        <is>
          <t>UNIQUE</t>
        </is>
      </c>
      <c r="J113" s="2" t="inlineStr">
        <is>
          <t>관리자 계정 ID</t>
        </is>
      </c>
      <c r="K113" t="inlineStr">
        <is>
          <t>API-030, API-031, API-032</t>
        </is>
      </c>
      <c r="L113" s="2" t="inlineStr">
        <is>
          <t>확정</t>
        </is>
      </c>
    </row>
    <row r="114">
      <c r="A114" s="2" t="inlineStr">
        <is>
          <t>staff</t>
        </is>
      </c>
      <c r="B114" s="2" t="inlineStr">
        <is>
          <t>memo</t>
        </is>
      </c>
      <c r="C114" s="2" t="inlineStr">
        <is>
          <t>TEXT</t>
        </is>
      </c>
      <c r="E114" s="2" t="inlineStr">
        <is>
          <t>Y</t>
        </is>
      </c>
      <c r="G114" s="2" t="inlineStr">
        <is>
          <t>N</t>
        </is>
      </c>
      <c r="I114" s="2" t="inlineStr">
        <is>
          <t>N</t>
        </is>
      </c>
      <c r="J114" s="2" t="inlineStr">
        <is>
          <t>메모</t>
        </is>
      </c>
      <c r="K114" t="inlineStr">
        <is>
          <t>API-030, API-031, API-032</t>
        </is>
      </c>
      <c r="L114" s="2" t="inlineStr">
        <is>
          <t>확정</t>
        </is>
      </c>
    </row>
    <row r="115">
      <c r="A115" s="2" t="inlineStr">
        <is>
          <t>staff</t>
        </is>
      </c>
      <c r="B115" s="2" t="inlineStr">
        <is>
          <t>work_type</t>
        </is>
      </c>
      <c r="C115" s="2" t="inlineStr">
        <is>
          <t>ENUM</t>
        </is>
      </c>
      <c r="E115" s="2" t="inlineStr">
        <is>
          <t>N</t>
        </is>
      </c>
      <c r="F115" s="2" t="inlineStr">
        <is>
          <t>full</t>
        </is>
      </c>
      <c r="G115" s="2" t="inlineStr">
        <is>
          <t>N</t>
        </is>
      </c>
      <c r="I115" s="2" t="inlineStr">
        <is>
          <t>N</t>
        </is>
      </c>
      <c r="J115" s="2" t="inlineStr">
        <is>
          <t>근무 유형 (full/part)</t>
        </is>
      </c>
      <c r="K115" t="inlineStr">
        <is>
          <t>API-030, API-031, API-032</t>
        </is>
      </c>
      <c r="L115" s="2" t="inlineStr">
        <is>
          <t>확정</t>
        </is>
      </c>
    </row>
    <row r="116">
      <c r="A116" s="2" t="inlineStr">
        <is>
          <t>staff</t>
        </is>
      </c>
      <c r="B116" s="2" t="inlineStr">
        <is>
          <t>status</t>
        </is>
      </c>
      <c r="C116" s="2" t="inlineStr">
        <is>
          <t>ENUM</t>
        </is>
      </c>
      <c r="E116" s="2" t="inlineStr">
        <is>
          <t>N</t>
        </is>
      </c>
      <c r="F116" s="2" t="inlineStr">
        <is>
          <t>active</t>
        </is>
      </c>
      <c r="G116" s="2" t="inlineStr">
        <is>
          <t>N</t>
        </is>
      </c>
      <c r="I116" s="2" t="inlineStr">
        <is>
          <t>Y</t>
        </is>
      </c>
      <c r="J116" s="2" t="inlineStr">
        <is>
          <t>상태 (active/leave/resigned)</t>
        </is>
      </c>
      <c r="K116" t="inlineStr">
        <is>
          <t>API-030, API-031, API-032</t>
        </is>
      </c>
      <c r="L116" s="2" t="inlineStr">
        <is>
          <t>확정</t>
        </is>
      </c>
    </row>
    <row r="117">
      <c r="A117" s="2" t="inlineStr">
        <is>
          <t>staff</t>
        </is>
      </c>
      <c r="B117" s="2" t="inlineStr">
        <is>
          <t>created_at</t>
        </is>
      </c>
      <c r="C117" s="2" t="inlineStr">
        <is>
          <t>DATETIME</t>
        </is>
      </c>
      <c r="E117" s="2" t="inlineStr">
        <is>
          <t>N</t>
        </is>
      </c>
      <c r="F117" s="2" t="inlineStr">
        <is>
          <t>NOW()</t>
        </is>
      </c>
      <c r="G117" s="2" t="inlineStr">
        <is>
          <t>N</t>
        </is>
      </c>
      <c r="I117" s="2" t="inlineStr">
        <is>
          <t>N</t>
        </is>
      </c>
      <c r="J117" s="2" t="inlineStr">
        <is>
          <t>생성일시</t>
        </is>
      </c>
      <c r="K117" t="inlineStr">
        <is>
          <t>API-030, API-031, API-032</t>
        </is>
      </c>
      <c r="L117" s="2" t="inlineStr">
        <is>
          <t>확정</t>
        </is>
      </c>
    </row>
    <row r="118">
      <c r="A118" s="2" t="inlineStr">
        <is>
          <t>staff_attendance</t>
        </is>
      </c>
      <c r="B118" s="2" t="inlineStr">
        <is>
          <t>id</t>
        </is>
      </c>
      <c r="C118" s="2" t="inlineStr">
        <is>
          <t>BIGINT</t>
        </is>
      </c>
      <c r="E118" s="2" t="inlineStr">
        <is>
          <t>N</t>
        </is>
      </c>
      <c r="G118" s="2" t="inlineStr">
        <is>
          <t>Y</t>
        </is>
      </c>
      <c r="I118" s="2" t="inlineStr">
        <is>
          <t>Y</t>
        </is>
      </c>
      <c r="J118" s="2" t="inlineStr">
        <is>
          <t>직원 출근 고유 ID</t>
        </is>
      </c>
      <c r="K118" s="2" t="inlineStr">
        <is>
          <t>API-026</t>
        </is>
      </c>
      <c r="L118" s="2" t="inlineStr">
        <is>
          <t>확정</t>
        </is>
      </c>
    </row>
    <row r="119">
      <c r="A119" s="2" t="inlineStr">
        <is>
          <t>staff_attendance</t>
        </is>
      </c>
      <c r="B119" s="2" t="inlineStr">
        <is>
          <t>staff_id</t>
        </is>
      </c>
      <c r="C119" s="2" t="inlineStr">
        <is>
          <t>BIGINT</t>
        </is>
      </c>
      <c r="E119" s="2" t="inlineStr">
        <is>
          <t>N</t>
        </is>
      </c>
      <c r="G119" s="2" t="inlineStr">
        <is>
          <t>N</t>
        </is>
      </c>
      <c r="H119" s="2" t="inlineStr">
        <is>
          <t>staff.id</t>
        </is>
      </c>
      <c r="I119" s="2" t="inlineStr">
        <is>
          <t>Y</t>
        </is>
      </c>
      <c r="J119" s="2" t="inlineStr">
        <is>
          <t>직원 FK</t>
        </is>
      </c>
      <c r="K119" t="inlineStr">
        <is>
          <t>API-033</t>
        </is>
      </c>
      <c r="L119" s="2" t="inlineStr">
        <is>
          <t>확정</t>
        </is>
      </c>
    </row>
    <row r="120">
      <c r="A120" s="2" t="inlineStr">
        <is>
          <t>staff_attendance</t>
        </is>
      </c>
      <c r="B120" s="2" t="inlineStr">
        <is>
          <t>branch_id</t>
        </is>
      </c>
      <c r="C120" s="2" t="inlineStr">
        <is>
          <t>BIGINT</t>
        </is>
      </c>
      <c r="E120" s="2" t="inlineStr">
        <is>
          <t>N</t>
        </is>
      </c>
      <c r="G120" s="2" t="inlineStr">
        <is>
          <t>N</t>
        </is>
      </c>
      <c r="H120" s="2" t="inlineStr">
        <is>
          <t>branches.id</t>
        </is>
      </c>
      <c r="I120" s="2" t="inlineStr">
        <is>
          <t>Y</t>
        </is>
      </c>
      <c r="J120" s="2" t="inlineStr">
        <is>
          <t>지점 FK</t>
        </is>
      </c>
      <c r="K120" t="inlineStr">
        <is>
          <t>API-033</t>
        </is>
      </c>
      <c r="L120" s="2" t="inlineStr">
        <is>
          <t>확정</t>
        </is>
      </c>
    </row>
    <row r="121">
      <c r="A121" s="2" t="inlineStr">
        <is>
          <t>staff_attendance</t>
        </is>
      </c>
      <c r="B121" s="2" t="inlineStr">
        <is>
          <t>date</t>
        </is>
      </c>
      <c r="C121" s="2" t="inlineStr">
        <is>
          <t>VARCHAR</t>
        </is>
      </c>
      <c r="D121" s="2" t="n">
        <v>10</v>
      </c>
      <c r="E121" s="2" t="inlineStr">
        <is>
          <t>N</t>
        </is>
      </c>
      <c r="G121" s="2" t="inlineStr">
        <is>
          <t>N</t>
        </is>
      </c>
      <c r="I121" s="2" t="inlineStr">
        <is>
          <t>Y</t>
        </is>
      </c>
      <c r="J121" s="2" t="inlineStr">
        <is>
          <t>날짜 (YYYY-MM-DD)</t>
        </is>
      </c>
      <c r="K121" t="inlineStr">
        <is>
          <t>API-033</t>
        </is>
      </c>
      <c r="L121" s="2" t="inlineStr">
        <is>
          <t>확정</t>
        </is>
      </c>
    </row>
    <row r="122">
      <c r="A122" s="2" t="inlineStr">
        <is>
          <t>staff_attendance</t>
        </is>
      </c>
      <c r="B122" s="2" t="inlineStr">
        <is>
          <t>status</t>
        </is>
      </c>
      <c r="C122" s="2" t="inlineStr">
        <is>
          <t>ENUM</t>
        </is>
      </c>
      <c r="E122" s="2" t="inlineStr">
        <is>
          <t>N</t>
        </is>
      </c>
      <c r="F122" s="2" t="inlineStr">
        <is>
          <t>present</t>
        </is>
      </c>
      <c r="G122" s="2" t="inlineStr">
        <is>
          <t>N</t>
        </is>
      </c>
      <c r="I122" s="2" t="inlineStr">
        <is>
          <t>Y</t>
        </is>
      </c>
      <c r="J122" s="2" t="inlineStr">
        <is>
          <t>상태 (present/absent/late/half_day/vacation)</t>
        </is>
      </c>
      <c r="K122" t="inlineStr">
        <is>
          <t>API-033</t>
        </is>
      </c>
      <c r="L122" s="2" t="inlineStr">
        <is>
          <t>확정</t>
        </is>
      </c>
    </row>
    <row r="123">
      <c r="A123" s="2" t="inlineStr">
        <is>
          <t>staff_attendance</t>
        </is>
      </c>
      <c r="B123" s="2" t="inlineStr">
        <is>
          <t>check_in</t>
        </is>
      </c>
      <c r="C123" s="2" t="inlineStr">
        <is>
          <t>VARCHAR</t>
        </is>
      </c>
      <c r="D123" s="2" t="n">
        <v>5</v>
      </c>
      <c r="E123" s="2" t="inlineStr">
        <is>
          <t>Y</t>
        </is>
      </c>
      <c r="G123" s="2" t="inlineStr">
        <is>
          <t>N</t>
        </is>
      </c>
      <c r="I123" s="2" t="inlineStr">
        <is>
          <t>N</t>
        </is>
      </c>
      <c r="J123" s="2" t="inlineStr">
        <is>
          <t>출근 시간 (HH:MM)</t>
        </is>
      </c>
      <c r="K123" t="inlineStr">
        <is>
          <t>API-033</t>
        </is>
      </c>
      <c r="L123" s="2" t="inlineStr">
        <is>
          <t>확정</t>
        </is>
      </c>
    </row>
    <row r="124">
      <c r="A124" s="2" t="inlineStr">
        <is>
          <t>staff_attendance</t>
        </is>
      </c>
      <c r="B124" s="2" t="inlineStr">
        <is>
          <t>check_out</t>
        </is>
      </c>
      <c r="C124" s="2" t="inlineStr">
        <is>
          <t>VARCHAR</t>
        </is>
      </c>
      <c r="D124" s="2" t="n">
        <v>5</v>
      </c>
      <c r="E124" s="2" t="inlineStr">
        <is>
          <t>Y</t>
        </is>
      </c>
      <c r="G124" s="2" t="inlineStr">
        <is>
          <t>N</t>
        </is>
      </c>
      <c r="I124" s="2" t="inlineStr">
        <is>
          <t>N</t>
        </is>
      </c>
      <c r="J124" s="2" t="inlineStr">
        <is>
          <t>퇴근 시간 (HH:MM)</t>
        </is>
      </c>
      <c r="K124" t="inlineStr">
        <is>
          <t>API-033</t>
        </is>
      </c>
      <c r="L124" s="2" t="inlineStr">
        <is>
          <t>확정</t>
        </is>
      </c>
    </row>
    <row r="125">
      <c r="A125" s="2" t="inlineStr">
        <is>
          <t>staff_attendance</t>
        </is>
      </c>
      <c r="B125" s="2" t="inlineStr">
        <is>
          <t>created_at</t>
        </is>
      </c>
      <c r="C125" s="2" t="inlineStr">
        <is>
          <t>DATETIME</t>
        </is>
      </c>
      <c r="E125" s="2" t="inlineStr">
        <is>
          <t>N</t>
        </is>
      </c>
      <c r="F125" s="2" t="inlineStr">
        <is>
          <t>NOW()</t>
        </is>
      </c>
      <c r="G125" s="2" t="inlineStr">
        <is>
          <t>N</t>
        </is>
      </c>
      <c r="I125" s="2" t="inlineStr">
        <is>
          <t>N</t>
        </is>
      </c>
      <c r="J125" s="2" t="inlineStr">
        <is>
          <t>생성일시</t>
        </is>
      </c>
      <c r="K125" t="inlineStr">
        <is>
          <t>API-033</t>
        </is>
      </c>
      <c r="L125" s="2" t="inlineStr">
        <is>
          <t>확정</t>
        </is>
      </c>
    </row>
    <row r="126">
      <c r="A126" s="2" t="inlineStr">
        <is>
          <t>lockers</t>
        </is>
      </c>
      <c r="B126" s="2" t="inlineStr">
        <is>
          <t>id</t>
        </is>
      </c>
      <c r="C126" s="2" t="inlineStr">
        <is>
          <t>BIGINT</t>
        </is>
      </c>
      <c r="E126" s="2" t="inlineStr">
        <is>
          <t>N</t>
        </is>
      </c>
      <c r="G126" s="2" t="inlineStr">
        <is>
          <t>Y</t>
        </is>
      </c>
      <c r="I126" s="2" t="inlineStr">
        <is>
          <t>Y</t>
        </is>
      </c>
      <c r="J126" s="2" t="inlineStr">
        <is>
          <t>락커 고유 ID</t>
        </is>
      </c>
      <c r="K126" s="2" t="inlineStr">
        <is>
          <t>API-020</t>
        </is>
      </c>
      <c r="L126" s="2" t="inlineStr">
        <is>
          <t>확정</t>
        </is>
      </c>
    </row>
    <row r="127">
      <c r="A127" s="2" t="inlineStr">
        <is>
          <t>lockers</t>
        </is>
      </c>
      <c r="B127" s="2" t="inlineStr">
        <is>
          <t>branch_id</t>
        </is>
      </c>
      <c r="C127" s="2" t="inlineStr">
        <is>
          <t>BIGINT</t>
        </is>
      </c>
      <c r="E127" s="2" t="inlineStr">
        <is>
          <t>N</t>
        </is>
      </c>
      <c r="G127" s="2" t="inlineStr">
        <is>
          <t>N</t>
        </is>
      </c>
      <c r="H127" s="2" t="inlineStr">
        <is>
          <t>branches.id</t>
        </is>
      </c>
      <c r="I127" s="2" t="inlineStr">
        <is>
          <t>Y</t>
        </is>
      </c>
      <c r="J127" s="2" t="inlineStr">
        <is>
          <t>지점 FK</t>
        </is>
      </c>
      <c r="K127" t="inlineStr">
        <is>
          <t>API-019, API-020</t>
        </is>
      </c>
      <c r="L127" s="2" t="inlineStr">
        <is>
          <t>확정</t>
        </is>
      </c>
    </row>
    <row r="128">
      <c r="A128" s="2" t="inlineStr">
        <is>
          <t>lockers</t>
        </is>
      </c>
      <c r="B128" s="2" t="inlineStr">
        <is>
          <t>number</t>
        </is>
      </c>
      <c r="C128" s="2" t="inlineStr">
        <is>
          <t>VARCHAR</t>
        </is>
      </c>
      <c r="D128" s="2" t="n">
        <v>10</v>
      </c>
      <c r="E128" s="2" t="inlineStr">
        <is>
          <t>N</t>
        </is>
      </c>
      <c r="G128" s="2" t="inlineStr">
        <is>
          <t>N</t>
        </is>
      </c>
      <c r="I128" s="2" t="inlineStr">
        <is>
          <t>Y</t>
        </is>
      </c>
      <c r="J128" s="2" t="inlineStr">
        <is>
          <t>락커 번호 (A-001 등)</t>
        </is>
      </c>
      <c r="K128" t="inlineStr">
        <is>
          <t>API-019, API-020</t>
        </is>
      </c>
      <c r="L128" s="2" t="inlineStr">
        <is>
          <t>확정</t>
        </is>
      </c>
    </row>
    <row r="129">
      <c r="A129" s="2" t="inlineStr">
        <is>
          <t>lockers</t>
        </is>
      </c>
      <c r="B129" s="2" t="inlineStr">
        <is>
          <t>type</t>
        </is>
      </c>
      <c r="C129" s="2" t="inlineStr">
        <is>
          <t>ENUM</t>
        </is>
      </c>
      <c r="E129" s="2" t="inlineStr">
        <is>
          <t>N</t>
        </is>
      </c>
      <c r="F129" s="2" t="inlineStr">
        <is>
          <t>standard</t>
        </is>
      </c>
      <c r="G129" s="2" t="inlineStr">
        <is>
          <t>N</t>
        </is>
      </c>
      <c r="I129" s="2" t="inlineStr">
        <is>
          <t>N</t>
        </is>
      </c>
      <c r="J129" s="2" t="inlineStr">
        <is>
          <t>유형 (standard/large/premium)</t>
        </is>
      </c>
      <c r="K129" t="inlineStr">
        <is>
          <t>API-019, API-020</t>
        </is>
      </c>
      <c r="L129" s="2" t="inlineStr">
        <is>
          <t>확정</t>
        </is>
      </c>
    </row>
    <row r="130">
      <c r="A130" s="2" t="inlineStr">
        <is>
          <t>lockers</t>
        </is>
      </c>
      <c r="B130" s="2" t="inlineStr">
        <is>
          <t>area</t>
        </is>
      </c>
      <c r="C130" s="2" t="inlineStr">
        <is>
          <t>VARCHAR</t>
        </is>
      </c>
      <c r="D130" s="2" t="n">
        <v>10</v>
      </c>
      <c r="E130" s="2" t="inlineStr">
        <is>
          <t>N</t>
        </is>
      </c>
      <c r="G130" s="2" t="inlineStr">
        <is>
          <t>N</t>
        </is>
      </c>
      <c r="I130" s="2" t="inlineStr">
        <is>
          <t>Y</t>
        </is>
      </c>
      <c r="J130" s="2" t="inlineStr">
        <is>
          <t>구역 (A/B/C...)</t>
        </is>
      </c>
      <c r="K130" t="inlineStr">
        <is>
          <t>API-019, API-020</t>
        </is>
      </c>
      <c r="L130" s="2" t="inlineStr">
        <is>
          <t>확정</t>
        </is>
      </c>
    </row>
    <row r="131">
      <c r="A131" s="2" t="inlineStr">
        <is>
          <t>lockers</t>
        </is>
      </c>
      <c r="B131" s="2" t="inlineStr">
        <is>
          <t>status</t>
        </is>
      </c>
      <c r="C131" s="2" t="inlineStr">
        <is>
          <t>ENUM</t>
        </is>
      </c>
      <c r="E131" s="2" t="inlineStr">
        <is>
          <t>N</t>
        </is>
      </c>
      <c r="F131" s="2" t="inlineStr">
        <is>
          <t>available</t>
        </is>
      </c>
      <c r="G131" s="2" t="inlineStr">
        <is>
          <t>N</t>
        </is>
      </c>
      <c r="I131" s="2" t="inlineStr">
        <is>
          <t>Y</t>
        </is>
      </c>
      <c r="J131" s="2" t="inlineStr">
        <is>
          <t>상태 (available/occupied/expiring/broken)</t>
        </is>
      </c>
      <c r="K131" t="inlineStr">
        <is>
          <t>API-019, API-020</t>
        </is>
      </c>
      <c r="L131" s="2" t="inlineStr">
        <is>
          <t>확정</t>
        </is>
      </c>
    </row>
    <row r="132">
      <c r="A132" s="2" t="inlineStr">
        <is>
          <t>lockers</t>
        </is>
      </c>
      <c r="B132" s="2" t="inlineStr">
        <is>
          <t>member_id</t>
        </is>
      </c>
      <c r="C132" s="2" t="inlineStr">
        <is>
          <t>BIGINT</t>
        </is>
      </c>
      <c r="E132" s="2" t="inlineStr">
        <is>
          <t>Y</t>
        </is>
      </c>
      <c r="F132" t="inlineStr">
        <is>
          <t>NULL</t>
        </is>
      </c>
      <c r="G132" s="2" t="inlineStr">
        <is>
          <t>N</t>
        </is>
      </c>
      <c r="H132" s="2" t="inlineStr">
        <is>
          <t>members.id</t>
        </is>
      </c>
      <c r="I132" s="2" t="inlineStr">
        <is>
          <t>Y</t>
        </is>
      </c>
      <c r="J132" s="2" t="inlineStr">
        <is>
          <t>배정 회원 FK</t>
        </is>
      </c>
      <c r="K132" t="inlineStr">
        <is>
          <t>API-019, API-020</t>
        </is>
      </c>
      <c r="L132" s="2" t="inlineStr">
        <is>
          <t>확정</t>
        </is>
      </c>
    </row>
    <row r="133">
      <c r="A133" s="2" t="inlineStr">
        <is>
          <t>lockers</t>
        </is>
      </c>
      <c r="B133" s="2" t="inlineStr">
        <is>
          <t>expiry_date</t>
        </is>
      </c>
      <c r="C133" s="2" t="inlineStr">
        <is>
          <t>DATETIME</t>
        </is>
      </c>
      <c r="E133" s="2" t="inlineStr">
        <is>
          <t>Y</t>
        </is>
      </c>
      <c r="F133" t="inlineStr">
        <is>
          <t>NULL</t>
        </is>
      </c>
      <c r="G133" s="2" t="inlineStr">
        <is>
          <t>N</t>
        </is>
      </c>
      <c r="I133" s="2" t="inlineStr">
        <is>
          <t>Y</t>
        </is>
      </c>
      <c r="J133" s="2" t="inlineStr">
        <is>
          <t>만료일</t>
        </is>
      </c>
      <c r="K133" t="inlineStr">
        <is>
          <t>API-019, API-020</t>
        </is>
      </c>
      <c r="L133" s="2" t="inlineStr">
        <is>
          <t>확정</t>
        </is>
      </c>
    </row>
    <row r="134">
      <c r="A134" s="2" t="inlineStr">
        <is>
          <t>lockers</t>
        </is>
      </c>
      <c r="B134" s="2" t="inlineStr">
        <is>
          <t>gender</t>
        </is>
      </c>
      <c r="C134" s="2" t="inlineStr">
        <is>
          <t>ENUM</t>
        </is>
      </c>
      <c r="E134" s="2" t="inlineStr">
        <is>
          <t>Y</t>
        </is>
      </c>
      <c r="G134" s="2" t="inlineStr">
        <is>
          <t>N</t>
        </is>
      </c>
      <c r="I134" s="2" t="inlineStr">
        <is>
          <t>N</t>
        </is>
      </c>
      <c r="J134" s="2" t="inlineStr">
        <is>
          <t>성별 구분 (M/F/공용)</t>
        </is>
      </c>
      <c r="K134" t="inlineStr">
        <is>
          <t>API-019, API-020</t>
        </is>
      </c>
      <c r="L134" s="2" t="inlineStr">
        <is>
          <t>확정</t>
        </is>
      </c>
    </row>
    <row r="135">
      <c r="A135" s="2" t="inlineStr">
        <is>
          <t>lockers</t>
        </is>
      </c>
      <c r="B135" s="2" t="inlineStr">
        <is>
          <t>last_updated</t>
        </is>
      </c>
      <c r="C135" s="2" t="inlineStr">
        <is>
          <t>DATETIME</t>
        </is>
      </c>
      <c r="E135" s="2" t="inlineStr">
        <is>
          <t>Y</t>
        </is>
      </c>
      <c r="F135" t="inlineStr">
        <is>
          <t>NULL</t>
        </is>
      </c>
      <c r="G135" s="2" t="inlineStr">
        <is>
          <t>N</t>
        </is>
      </c>
      <c r="I135" s="2" t="inlineStr">
        <is>
          <t>N</t>
        </is>
      </c>
      <c r="J135" s="2" t="inlineStr">
        <is>
          <t>최근 변경일시</t>
        </is>
      </c>
      <c r="K135" t="inlineStr">
        <is>
          <t>API-019, API-020</t>
        </is>
      </c>
      <c r="L135" s="2" t="inlineStr">
        <is>
          <t>확정</t>
        </is>
      </c>
    </row>
    <row r="136">
      <c r="A136" s="2" t="inlineStr">
        <is>
          <t>lockers</t>
        </is>
      </c>
      <c r="B136" s="2" t="inlineStr">
        <is>
          <t>created_at</t>
        </is>
      </c>
      <c r="C136" s="2" t="inlineStr">
        <is>
          <t>DATETIME</t>
        </is>
      </c>
      <c r="E136" s="2" t="inlineStr">
        <is>
          <t>N</t>
        </is>
      </c>
      <c r="F136" s="2" t="inlineStr">
        <is>
          <t>NOW()</t>
        </is>
      </c>
      <c r="G136" s="2" t="inlineStr">
        <is>
          <t>N</t>
        </is>
      </c>
      <c r="I136" s="2" t="inlineStr">
        <is>
          <t>N</t>
        </is>
      </c>
      <c r="J136" s="2" t="inlineStr">
        <is>
          <t>생성일시</t>
        </is>
      </c>
      <c r="K136" t="inlineStr">
        <is>
          <t>API-019, API-020</t>
        </is>
      </c>
      <c r="L136" s="2" t="inlineStr">
        <is>
          <t>확정</t>
        </is>
      </c>
    </row>
    <row r="137">
      <c r="A137" s="2" t="inlineStr">
        <is>
          <t>payroll</t>
        </is>
      </c>
      <c r="B137" s="2" t="inlineStr">
        <is>
          <t>id</t>
        </is>
      </c>
      <c r="C137" s="2" t="inlineStr">
        <is>
          <t>BIGINT</t>
        </is>
      </c>
      <c r="E137" s="2" t="inlineStr">
        <is>
          <t>N</t>
        </is>
      </c>
      <c r="G137" s="2" t="inlineStr">
        <is>
          <t>Y</t>
        </is>
      </c>
      <c r="I137" s="2" t="inlineStr">
        <is>
          <t>Y</t>
        </is>
      </c>
      <c r="J137" s="2" t="inlineStr">
        <is>
          <t>급여 고유 ID</t>
        </is>
      </c>
      <c r="K137" t="inlineStr">
        <is>
          <t>API-034, API-035</t>
        </is>
      </c>
      <c r="L137" s="2" t="inlineStr">
        <is>
          <t>확정</t>
        </is>
      </c>
    </row>
    <row r="138">
      <c r="A138" s="2" t="inlineStr">
        <is>
          <t>payroll</t>
        </is>
      </c>
      <c r="B138" s="2" t="inlineStr">
        <is>
          <t>staff_id</t>
        </is>
      </c>
      <c r="C138" s="2" t="inlineStr">
        <is>
          <t>BIGINT</t>
        </is>
      </c>
      <c r="E138" s="2" t="inlineStr">
        <is>
          <t>N</t>
        </is>
      </c>
      <c r="G138" s="2" t="inlineStr">
        <is>
          <t>N</t>
        </is>
      </c>
      <c r="H138" s="2" t="inlineStr">
        <is>
          <t>staff.id</t>
        </is>
      </c>
      <c r="I138" s="2" t="inlineStr">
        <is>
          <t>Y</t>
        </is>
      </c>
      <c r="J138" s="2" t="inlineStr">
        <is>
          <t>직원 FK</t>
        </is>
      </c>
      <c r="K138" t="inlineStr">
        <is>
          <t>API-034, API-035</t>
        </is>
      </c>
      <c r="L138" s="2" t="inlineStr">
        <is>
          <t>확정</t>
        </is>
      </c>
    </row>
    <row r="139">
      <c r="A139" s="2" t="inlineStr">
        <is>
          <t>payroll</t>
        </is>
      </c>
      <c r="B139" s="2" t="inlineStr">
        <is>
          <t>branch_id</t>
        </is>
      </c>
      <c r="C139" s="2" t="inlineStr">
        <is>
          <t>BIGINT</t>
        </is>
      </c>
      <c r="E139" s="2" t="inlineStr">
        <is>
          <t>N</t>
        </is>
      </c>
      <c r="G139" s="2" t="inlineStr">
        <is>
          <t>N</t>
        </is>
      </c>
      <c r="H139" s="2" t="inlineStr">
        <is>
          <t>branches.id</t>
        </is>
      </c>
      <c r="I139" s="2" t="inlineStr">
        <is>
          <t>Y</t>
        </is>
      </c>
      <c r="J139" s="2" t="inlineStr">
        <is>
          <t>지점 FK</t>
        </is>
      </c>
      <c r="K139" t="inlineStr">
        <is>
          <t>API-034, API-035</t>
        </is>
      </c>
      <c r="L139" s="2" t="inlineStr">
        <is>
          <t>확정</t>
        </is>
      </c>
    </row>
    <row r="140">
      <c r="A140" s="2" t="inlineStr">
        <is>
          <t>payroll</t>
        </is>
      </c>
      <c r="B140" s="2" t="inlineStr">
        <is>
          <t>year_month</t>
        </is>
      </c>
      <c r="C140" s="2" t="inlineStr">
        <is>
          <t>VARCHAR</t>
        </is>
      </c>
      <c r="D140" s="2" t="n">
        <v>7</v>
      </c>
      <c r="E140" s="2" t="inlineStr">
        <is>
          <t>N</t>
        </is>
      </c>
      <c r="G140" s="2" t="inlineStr">
        <is>
          <t>N</t>
        </is>
      </c>
      <c r="I140" s="2" t="inlineStr">
        <is>
          <t>Y</t>
        </is>
      </c>
      <c r="J140" s="2" t="inlineStr">
        <is>
          <t>급여 연월 (YYYY-MM)</t>
        </is>
      </c>
      <c r="K140" t="inlineStr">
        <is>
          <t>API-034, API-035</t>
        </is>
      </c>
      <c r="L140" s="2" t="inlineStr">
        <is>
          <t>확정</t>
        </is>
      </c>
    </row>
    <row r="141">
      <c r="A141" s="2" t="inlineStr">
        <is>
          <t>payroll</t>
        </is>
      </c>
      <c r="B141" s="2" t="inlineStr">
        <is>
          <t>base_salary</t>
        </is>
      </c>
      <c r="C141" s="2" t="inlineStr">
        <is>
          <t>INT</t>
        </is>
      </c>
      <c r="E141" s="2" t="inlineStr">
        <is>
          <t>N</t>
        </is>
      </c>
      <c r="F141" s="2" t="inlineStr">
        <is>
          <t>0</t>
        </is>
      </c>
      <c r="G141" s="2" t="inlineStr">
        <is>
          <t>N</t>
        </is>
      </c>
      <c r="I141" s="2" t="inlineStr">
        <is>
          <t>N</t>
        </is>
      </c>
      <c r="J141" s="2" t="inlineStr">
        <is>
          <t>기본급</t>
        </is>
      </c>
      <c r="K141" t="inlineStr">
        <is>
          <t>API-034, API-035</t>
        </is>
      </c>
      <c r="L141" s="2" t="inlineStr">
        <is>
          <t>확정</t>
        </is>
      </c>
    </row>
    <row r="142">
      <c r="A142" s="2" t="inlineStr">
        <is>
          <t>payroll</t>
        </is>
      </c>
      <c r="B142" s="2" t="inlineStr">
        <is>
          <t>incentive</t>
        </is>
      </c>
      <c r="C142" s="2" t="inlineStr">
        <is>
          <t>INT</t>
        </is>
      </c>
      <c r="E142" s="2" t="inlineStr">
        <is>
          <t>N</t>
        </is>
      </c>
      <c r="F142" s="2" t="inlineStr">
        <is>
          <t>0</t>
        </is>
      </c>
      <c r="G142" s="2" t="inlineStr">
        <is>
          <t>N</t>
        </is>
      </c>
      <c r="I142" s="2" t="inlineStr">
        <is>
          <t>N</t>
        </is>
      </c>
      <c r="J142" s="2" t="inlineStr">
        <is>
          <t>인센티브</t>
        </is>
      </c>
      <c r="K142" t="inlineStr">
        <is>
          <t>API-034, API-035</t>
        </is>
      </c>
      <c r="L142" s="2" t="inlineStr">
        <is>
          <t>확정</t>
        </is>
      </c>
    </row>
    <row r="143">
      <c r="A143" s="2" t="inlineStr">
        <is>
          <t>payroll</t>
        </is>
      </c>
      <c r="B143" s="2" t="inlineStr">
        <is>
          <t>deduction</t>
        </is>
      </c>
      <c r="C143" s="2" t="inlineStr">
        <is>
          <t>INT</t>
        </is>
      </c>
      <c r="E143" s="2" t="inlineStr">
        <is>
          <t>N</t>
        </is>
      </c>
      <c r="F143" s="2" t="inlineStr">
        <is>
          <t>0</t>
        </is>
      </c>
      <c r="G143" s="2" t="inlineStr">
        <is>
          <t>N</t>
        </is>
      </c>
      <c r="I143" s="2" t="inlineStr">
        <is>
          <t>N</t>
        </is>
      </c>
      <c r="J143" s="2" t="inlineStr">
        <is>
          <t>공제액</t>
        </is>
      </c>
      <c r="K143" t="inlineStr">
        <is>
          <t>API-034, API-035</t>
        </is>
      </c>
      <c r="L143" s="2" t="inlineStr">
        <is>
          <t>확정</t>
        </is>
      </c>
    </row>
    <row r="144">
      <c r="A144" s="2" t="inlineStr">
        <is>
          <t>payroll</t>
        </is>
      </c>
      <c r="B144" s="2" t="inlineStr">
        <is>
          <t>net_salary</t>
        </is>
      </c>
      <c r="C144" s="2" t="inlineStr">
        <is>
          <t>INT</t>
        </is>
      </c>
      <c r="E144" s="2" t="inlineStr">
        <is>
          <t>N</t>
        </is>
      </c>
      <c r="F144" s="2" t="inlineStr">
        <is>
          <t>0</t>
        </is>
      </c>
      <c r="G144" s="2" t="inlineStr">
        <is>
          <t>N</t>
        </is>
      </c>
      <c r="I144" s="2" t="inlineStr">
        <is>
          <t>N</t>
        </is>
      </c>
      <c r="J144" s="2" t="inlineStr">
        <is>
          <t>실지급액</t>
        </is>
      </c>
      <c r="K144" t="inlineStr">
        <is>
          <t>API-034, API-035</t>
        </is>
      </c>
      <c r="L144" s="2" t="inlineStr">
        <is>
          <t>확정</t>
        </is>
      </c>
    </row>
    <row r="145">
      <c r="A145" s="2" t="inlineStr">
        <is>
          <t>payroll</t>
        </is>
      </c>
      <c r="B145" s="2" t="inlineStr">
        <is>
          <t>status</t>
        </is>
      </c>
      <c r="C145" s="2" t="inlineStr">
        <is>
          <t>ENUM</t>
        </is>
      </c>
      <c r="E145" s="2" t="inlineStr">
        <is>
          <t>N</t>
        </is>
      </c>
      <c r="F145" s="2" t="inlineStr">
        <is>
          <t>pending</t>
        </is>
      </c>
      <c r="G145" s="2" t="inlineStr">
        <is>
          <t>N</t>
        </is>
      </c>
      <c r="I145" s="2" t="inlineStr">
        <is>
          <t>Y</t>
        </is>
      </c>
      <c r="J145" s="2" t="inlineStr">
        <is>
          <t>상태 (pending/paid/cancelled)</t>
        </is>
      </c>
      <c r="K145" t="inlineStr">
        <is>
          <t>API-034, API-035</t>
        </is>
      </c>
      <c r="L145" s="2" t="inlineStr">
        <is>
          <t>확정</t>
        </is>
      </c>
    </row>
    <row r="146">
      <c r="A146" s="2" t="inlineStr">
        <is>
          <t>payroll</t>
        </is>
      </c>
      <c r="B146" s="2" t="inlineStr">
        <is>
          <t>created_at</t>
        </is>
      </c>
      <c r="C146" s="2" t="inlineStr">
        <is>
          <t>DATETIME</t>
        </is>
      </c>
      <c r="E146" s="2" t="inlineStr">
        <is>
          <t>N</t>
        </is>
      </c>
      <c r="F146" s="2" t="inlineStr">
        <is>
          <t>NOW()</t>
        </is>
      </c>
      <c r="G146" s="2" t="inlineStr">
        <is>
          <t>N</t>
        </is>
      </c>
      <c r="I146" s="2" t="inlineStr">
        <is>
          <t>N</t>
        </is>
      </c>
      <c r="J146" s="2" t="inlineStr">
        <is>
          <t>생성일시</t>
        </is>
      </c>
      <c r="K146" t="inlineStr">
        <is>
          <t>API-034, API-035</t>
        </is>
      </c>
      <c r="L146" s="2" t="inlineStr">
        <is>
          <t>확정</t>
        </is>
      </c>
    </row>
    <row r="147">
      <c r="A147" s="2" t="inlineStr">
        <is>
          <t>messages</t>
        </is>
      </c>
      <c r="B147" s="2" t="inlineStr">
        <is>
          <t>id</t>
        </is>
      </c>
      <c r="C147" s="2" t="inlineStr">
        <is>
          <t>BIGINT</t>
        </is>
      </c>
      <c r="E147" s="2" t="inlineStr">
        <is>
          <t>N</t>
        </is>
      </c>
      <c r="G147" s="2" t="inlineStr">
        <is>
          <t>Y</t>
        </is>
      </c>
      <c r="I147" s="2" t="inlineStr">
        <is>
          <t>Y</t>
        </is>
      </c>
      <c r="J147" s="2" t="inlineStr">
        <is>
          <t>메시지 고유 ID</t>
        </is>
      </c>
      <c r="K147" t="inlineStr">
        <is>
          <t>API-042, API-043</t>
        </is>
      </c>
      <c r="L147" s="2" t="inlineStr">
        <is>
          <t>확정</t>
        </is>
      </c>
    </row>
    <row r="148">
      <c r="A148" s="2" t="inlineStr">
        <is>
          <t>messages</t>
        </is>
      </c>
      <c r="B148" s="2" t="inlineStr">
        <is>
          <t>branch_id</t>
        </is>
      </c>
      <c r="C148" s="2" t="inlineStr">
        <is>
          <t>BIGINT</t>
        </is>
      </c>
      <c r="E148" s="2" t="inlineStr">
        <is>
          <t>N</t>
        </is>
      </c>
      <c r="G148" s="2" t="inlineStr">
        <is>
          <t>N</t>
        </is>
      </c>
      <c r="H148" s="2" t="inlineStr">
        <is>
          <t>branches.id</t>
        </is>
      </c>
      <c r="I148" s="2" t="inlineStr">
        <is>
          <t>Y</t>
        </is>
      </c>
      <c r="J148" s="2" t="inlineStr">
        <is>
          <t>지점 FK</t>
        </is>
      </c>
      <c r="K148" t="inlineStr">
        <is>
          <t>API-042, API-043</t>
        </is>
      </c>
      <c r="L148" s="2" t="inlineStr">
        <is>
          <t>확정</t>
        </is>
      </c>
    </row>
    <row r="149">
      <c r="A149" s="2" t="inlineStr">
        <is>
          <t>messages</t>
        </is>
      </c>
      <c r="B149" s="2" t="inlineStr">
        <is>
          <t>sender_id</t>
        </is>
      </c>
      <c r="C149" s="2" t="inlineStr">
        <is>
          <t>BIGINT</t>
        </is>
      </c>
      <c r="E149" s="2" t="inlineStr">
        <is>
          <t>N</t>
        </is>
      </c>
      <c r="G149" s="2" t="inlineStr">
        <is>
          <t>N</t>
        </is>
      </c>
      <c r="H149" s="2" t="inlineStr">
        <is>
          <t>users.id</t>
        </is>
      </c>
      <c r="I149" s="2" t="inlineStr">
        <is>
          <t>Y</t>
        </is>
      </c>
      <c r="J149" s="2" t="inlineStr">
        <is>
          <t>발송자 FK</t>
        </is>
      </c>
      <c r="K149" t="inlineStr">
        <is>
          <t>API-042, API-043</t>
        </is>
      </c>
      <c r="L149" s="2" t="inlineStr">
        <is>
          <t>확정</t>
        </is>
      </c>
    </row>
    <row r="150">
      <c r="A150" s="2" t="inlineStr">
        <is>
          <t>messages</t>
        </is>
      </c>
      <c r="B150" s="2" t="inlineStr">
        <is>
          <t>type</t>
        </is>
      </c>
      <c r="C150" s="2" t="inlineStr">
        <is>
          <t>ENUM</t>
        </is>
      </c>
      <c r="E150" s="2" t="inlineStr">
        <is>
          <t>N</t>
        </is>
      </c>
      <c r="G150" s="2" t="inlineStr">
        <is>
          <t>N</t>
        </is>
      </c>
      <c r="I150" s="2" t="inlineStr">
        <is>
          <t>Y</t>
        </is>
      </c>
      <c r="J150" s="2" t="inlineStr">
        <is>
          <t>유형 (sms/lms/kakao)</t>
        </is>
      </c>
      <c r="K150" t="inlineStr">
        <is>
          <t>API-042, API-043</t>
        </is>
      </c>
      <c r="L150" s="2" t="inlineStr">
        <is>
          <t>확정</t>
        </is>
      </c>
    </row>
    <row r="151">
      <c r="A151" s="2" t="inlineStr">
        <is>
          <t>messages</t>
        </is>
      </c>
      <c r="B151" s="2" t="inlineStr">
        <is>
          <t>title</t>
        </is>
      </c>
      <c r="C151" s="2" t="inlineStr">
        <is>
          <t>VARCHAR</t>
        </is>
      </c>
      <c r="D151" s="2" t="n">
        <v>100</v>
      </c>
      <c r="E151" s="2" t="inlineStr">
        <is>
          <t>Y</t>
        </is>
      </c>
      <c r="G151" s="2" t="inlineStr">
        <is>
          <t>N</t>
        </is>
      </c>
      <c r="I151" s="2" t="inlineStr">
        <is>
          <t>N</t>
        </is>
      </c>
      <c r="J151" s="2" t="inlineStr">
        <is>
          <t>메시지 제목</t>
        </is>
      </c>
      <c r="K151" t="inlineStr">
        <is>
          <t>API-042, API-043</t>
        </is>
      </c>
      <c r="L151" s="2" t="inlineStr">
        <is>
          <t>확정</t>
        </is>
      </c>
    </row>
    <row r="152">
      <c r="A152" s="2" t="inlineStr">
        <is>
          <t>messages</t>
        </is>
      </c>
      <c r="B152" s="2" t="inlineStr">
        <is>
          <t>content</t>
        </is>
      </c>
      <c r="C152" s="2" t="inlineStr">
        <is>
          <t>TEXT</t>
        </is>
      </c>
      <c r="E152" s="2" t="inlineStr">
        <is>
          <t>N</t>
        </is>
      </c>
      <c r="G152" s="2" t="inlineStr">
        <is>
          <t>N</t>
        </is>
      </c>
      <c r="I152" s="2" t="inlineStr">
        <is>
          <t>N</t>
        </is>
      </c>
      <c r="J152" s="2" t="inlineStr">
        <is>
          <t>메시지 본문</t>
        </is>
      </c>
      <c r="K152" t="inlineStr">
        <is>
          <t>API-042, API-043</t>
        </is>
      </c>
      <c r="L152" s="2" t="inlineStr">
        <is>
          <t>확정</t>
        </is>
      </c>
    </row>
    <row r="153">
      <c r="A153" s="2" t="inlineStr">
        <is>
          <t>messages</t>
        </is>
      </c>
      <c r="B153" s="2" t="inlineStr">
        <is>
          <t>recipients</t>
        </is>
      </c>
      <c r="C153" s="2" t="inlineStr">
        <is>
          <t>JSON</t>
        </is>
      </c>
      <c r="E153" s="2" t="inlineStr">
        <is>
          <t>N</t>
        </is>
      </c>
      <c r="G153" s="2" t="inlineStr">
        <is>
          <t>N</t>
        </is>
      </c>
      <c r="I153" s="2" t="inlineStr">
        <is>
          <t>N</t>
        </is>
      </c>
      <c r="J153" s="2" t="inlineStr">
        <is>
          <t>수신자 목록 (JSON)</t>
        </is>
      </c>
      <c r="K153" t="inlineStr">
        <is>
          <t>API-042, API-043</t>
        </is>
      </c>
      <c r="L153" s="2" t="inlineStr">
        <is>
          <t>확정</t>
        </is>
      </c>
    </row>
    <row r="154">
      <c r="A154" s="2" t="inlineStr">
        <is>
          <t>messages</t>
        </is>
      </c>
      <c r="B154" s="2" t="inlineStr">
        <is>
          <t>sent_at</t>
        </is>
      </c>
      <c r="C154" s="2" t="inlineStr">
        <is>
          <t>DATETIME</t>
        </is>
      </c>
      <c r="E154" s="2" t="inlineStr">
        <is>
          <t>Y</t>
        </is>
      </c>
      <c r="F154" t="inlineStr">
        <is>
          <t>NULL</t>
        </is>
      </c>
      <c r="G154" s="2" t="inlineStr">
        <is>
          <t>N</t>
        </is>
      </c>
      <c r="I154" s="2" t="inlineStr">
        <is>
          <t>Y</t>
        </is>
      </c>
      <c r="J154" s="2" t="inlineStr">
        <is>
          <t>발송 일시</t>
        </is>
      </c>
      <c r="K154" t="inlineStr">
        <is>
          <t>API-042, API-043</t>
        </is>
      </c>
      <c r="L154" s="2" t="inlineStr">
        <is>
          <t>확정</t>
        </is>
      </c>
    </row>
    <row r="155">
      <c r="A155" s="2" t="inlineStr">
        <is>
          <t>messages</t>
        </is>
      </c>
      <c r="B155" s="2" t="inlineStr">
        <is>
          <t>status</t>
        </is>
      </c>
      <c r="C155" s="2" t="inlineStr">
        <is>
          <t>ENUM</t>
        </is>
      </c>
      <c r="E155" s="2" t="inlineStr">
        <is>
          <t>N</t>
        </is>
      </c>
      <c r="F155" s="2" t="inlineStr">
        <is>
          <t>pending</t>
        </is>
      </c>
      <c r="G155" s="2" t="inlineStr">
        <is>
          <t>N</t>
        </is>
      </c>
      <c r="I155" s="2" t="inlineStr">
        <is>
          <t>Y</t>
        </is>
      </c>
      <c r="J155" s="2" t="inlineStr">
        <is>
          <t>상태 (pending/sent/failed/cancelled)</t>
        </is>
      </c>
      <c r="K155" t="inlineStr">
        <is>
          <t>API-042, API-043</t>
        </is>
      </c>
      <c r="L155" s="2" t="inlineStr">
        <is>
          <t>확정</t>
        </is>
      </c>
    </row>
    <row r="156">
      <c r="A156" s="2" t="inlineStr">
        <is>
          <t>messages</t>
        </is>
      </c>
      <c r="B156" s="2" t="inlineStr">
        <is>
          <t>created_at</t>
        </is>
      </c>
      <c r="C156" s="2" t="inlineStr">
        <is>
          <t>DATETIME</t>
        </is>
      </c>
      <c r="E156" s="2" t="inlineStr">
        <is>
          <t>N</t>
        </is>
      </c>
      <c r="F156" s="2" t="inlineStr">
        <is>
          <t>NOW()</t>
        </is>
      </c>
      <c r="G156" s="2" t="inlineStr">
        <is>
          <t>N</t>
        </is>
      </c>
      <c r="I156" s="2" t="inlineStr">
        <is>
          <t>N</t>
        </is>
      </c>
      <c r="J156" s="2" t="inlineStr">
        <is>
          <t>생성일시</t>
        </is>
      </c>
      <c r="K156" t="inlineStr">
        <is>
          <t>API-042, API-043</t>
        </is>
      </c>
      <c r="L156" s="2" t="inlineStr">
        <is>
          <t>확정</t>
        </is>
      </c>
    </row>
    <row r="157">
      <c r="A157" s="2" t="inlineStr">
        <is>
          <t>coupons</t>
        </is>
      </c>
      <c r="B157" s="2" t="inlineStr">
        <is>
          <t>id</t>
        </is>
      </c>
      <c r="C157" s="2" t="inlineStr">
        <is>
          <t>BIGINT</t>
        </is>
      </c>
      <c r="E157" s="2" t="inlineStr">
        <is>
          <t>N</t>
        </is>
      </c>
      <c r="G157" s="2" t="inlineStr">
        <is>
          <t>Y</t>
        </is>
      </c>
      <c r="I157" s="2" t="inlineStr">
        <is>
          <t>Y</t>
        </is>
      </c>
      <c r="J157" s="2" t="inlineStr">
        <is>
          <t>쿠폰 고유 ID</t>
        </is>
      </c>
      <c r="K157" t="inlineStr">
        <is>
          <t>API-044</t>
        </is>
      </c>
      <c r="L157" s="2" t="inlineStr">
        <is>
          <t>확정</t>
        </is>
      </c>
    </row>
    <row r="158">
      <c r="A158" s="2" t="inlineStr">
        <is>
          <t>coupons</t>
        </is>
      </c>
      <c r="B158" s="2" t="inlineStr">
        <is>
          <t>branch_id</t>
        </is>
      </c>
      <c r="C158" s="2" t="inlineStr">
        <is>
          <t>BIGINT</t>
        </is>
      </c>
      <c r="E158" s="2" t="inlineStr">
        <is>
          <t>N</t>
        </is>
      </c>
      <c r="G158" s="2" t="inlineStr">
        <is>
          <t>N</t>
        </is>
      </c>
      <c r="H158" s="2" t="inlineStr">
        <is>
          <t>branches.id</t>
        </is>
      </c>
      <c r="I158" s="2" t="inlineStr">
        <is>
          <t>Y</t>
        </is>
      </c>
      <c r="J158" s="2" t="inlineStr">
        <is>
          <t>지점 FK</t>
        </is>
      </c>
      <c r="K158" t="inlineStr">
        <is>
          <t>API-044</t>
        </is>
      </c>
      <c r="L158" s="2" t="inlineStr">
        <is>
          <t>확정</t>
        </is>
      </c>
    </row>
    <row r="159">
      <c r="A159" s="2" t="inlineStr">
        <is>
          <t>coupons</t>
        </is>
      </c>
      <c r="B159" s="2" t="inlineStr">
        <is>
          <t>name</t>
        </is>
      </c>
      <c r="C159" s="2" t="inlineStr">
        <is>
          <t>VARCHAR</t>
        </is>
      </c>
      <c r="D159" s="2" t="n">
        <v>100</v>
      </c>
      <c r="E159" s="2" t="inlineStr">
        <is>
          <t>N</t>
        </is>
      </c>
      <c r="G159" s="2" t="inlineStr">
        <is>
          <t>N</t>
        </is>
      </c>
      <c r="I159" s="2" t="inlineStr">
        <is>
          <t>N</t>
        </is>
      </c>
      <c r="J159" s="2" t="inlineStr">
        <is>
          <t>쿠폰명</t>
        </is>
      </c>
      <c r="K159" t="inlineStr">
        <is>
          <t>API-044</t>
        </is>
      </c>
      <c r="L159" s="2" t="inlineStr">
        <is>
          <t>확정</t>
        </is>
      </c>
    </row>
    <row r="160">
      <c r="A160" s="2" t="inlineStr">
        <is>
          <t>coupons</t>
        </is>
      </c>
      <c r="B160" s="2" t="inlineStr">
        <is>
          <t>type</t>
        </is>
      </c>
      <c r="C160" s="2" t="inlineStr">
        <is>
          <t>ENUM</t>
        </is>
      </c>
      <c r="E160" s="2" t="inlineStr">
        <is>
          <t>N</t>
        </is>
      </c>
      <c r="G160" s="2" t="inlineStr">
        <is>
          <t>N</t>
        </is>
      </c>
      <c r="I160" s="2" t="inlineStr">
        <is>
          <t>Y</t>
        </is>
      </c>
      <c r="J160" s="2" t="inlineStr">
        <is>
          <t>유형 (rate/amount)</t>
        </is>
      </c>
      <c r="K160" t="inlineStr">
        <is>
          <t>API-044</t>
        </is>
      </c>
      <c r="L160" s="2" t="inlineStr">
        <is>
          <t>확정</t>
        </is>
      </c>
    </row>
    <row r="161">
      <c r="A161" s="2" t="inlineStr">
        <is>
          <t>coupons</t>
        </is>
      </c>
      <c r="B161" s="2" t="inlineStr">
        <is>
          <t>discount_value</t>
        </is>
      </c>
      <c r="C161" s="2" t="inlineStr">
        <is>
          <t>INT</t>
        </is>
      </c>
      <c r="E161" s="2" t="inlineStr">
        <is>
          <t>N</t>
        </is>
      </c>
      <c r="G161" s="2" t="inlineStr">
        <is>
          <t>N</t>
        </is>
      </c>
      <c r="I161" s="2" t="inlineStr">
        <is>
          <t>N</t>
        </is>
      </c>
      <c r="J161" s="2" t="inlineStr">
        <is>
          <t>할인값 (% 또는 원)</t>
        </is>
      </c>
      <c r="K161" t="inlineStr">
        <is>
          <t>API-044</t>
        </is>
      </c>
      <c r="L161" s="2" t="inlineStr">
        <is>
          <t>확정</t>
        </is>
      </c>
    </row>
    <row r="162">
      <c r="A162" s="2" t="inlineStr">
        <is>
          <t>coupons</t>
        </is>
      </c>
      <c r="B162" s="2" t="inlineStr">
        <is>
          <t>start_date</t>
        </is>
      </c>
      <c r="C162" s="2" t="inlineStr">
        <is>
          <t>DATETIME</t>
        </is>
      </c>
      <c r="E162" s="2" t="inlineStr">
        <is>
          <t>N</t>
        </is>
      </c>
      <c r="G162" s="2" t="inlineStr">
        <is>
          <t>N</t>
        </is>
      </c>
      <c r="I162" s="2" t="inlineStr">
        <is>
          <t>Y</t>
        </is>
      </c>
      <c r="J162" s="2" t="inlineStr">
        <is>
          <t>시작일</t>
        </is>
      </c>
      <c r="K162" t="inlineStr">
        <is>
          <t>API-044</t>
        </is>
      </c>
      <c r="L162" s="2" t="inlineStr">
        <is>
          <t>확정</t>
        </is>
      </c>
    </row>
    <row r="163">
      <c r="A163" s="2" t="inlineStr">
        <is>
          <t>coupons</t>
        </is>
      </c>
      <c r="B163" s="2" t="inlineStr">
        <is>
          <t>end_date</t>
        </is>
      </c>
      <c r="C163" s="2" t="inlineStr">
        <is>
          <t>DATETIME</t>
        </is>
      </c>
      <c r="E163" s="2" t="inlineStr">
        <is>
          <t>N</t>
        </is>
      </c>
      <c r="G163" s="2" t="inlineStr">
        <is>
          <t>N</t>
        </is>
      </c>
      <c r="I163" s="2" t="inlineStr">
        <is>
          <t>Y</t>
        </is>
      </c>
      <c r="J163" s="2" t="inlineStr">
        <is>
          <t>종료일</t>
        </is>
      </c>
      <c r="K163" t="inlineStr">
        <is>
          <t>API-044</t>
        </is>
      </c>
      <c r="L163" s="2" t="inlineStr">
        <is>
          <t>확정</t>
        </is>
      </c>
    </row>
    <row r="164">
      <c r="A164" s="2" t="inlineStr">
        <is>
          <t>coupons</t>
        </is>
      </c>
      <c r="B164" s="2" t="inlineStr">
        <is>
          <t>usage_limit</t>
        </is>
      </c>
      <c r="C164" s="2" t="inlineStr">
        <is>
          <t>INT</t>
        </is>
      </c>
      <c r="E164" s="2" t="inlineStr">
        <is>
          <t>Y</t>
        </is>
      </c>
      <c r="G164" s="2" t="inlineStr">
        <is>
          <t>N</t>
        </is>
      </c>
      <c r="I164" s="2" t="inlineStr">
        <is>
          <t>N</t>
        </is>
      </c>
      <c r="J164" s="2" t="inlineStr">
        <is>
          <t>사용 한도</t>
        </is>
      </c>
      <c r="K164" t="inlineStr">
        <is>
          <t>API-044</t>
        </is>
      </c>
      <c r="L164" s="2" t="inlineStr">
        <is>
          <t>확정</t>
        </is>
      </c>
    </row>
    <row r="165">
      <c r="A165" s="2" t="inlineStr">
        <is>
          <t>coupons</t>
        </is>
      </c>
      <c r="B165" s="2" t="inlineStr">
        <is>
          <t>used_count</t>
        </is>
      </c>
      <c r="C165" s="2" t="inlineStr">
        <is>
          <t>INT</t>
        </is>
      </c>
      <c r="E165" s="2" t="inlineStr">
        <is>
          <t>N</t>
        </is>
      </c>
      <c r="F165" s="2" t="inlineStr">
        <is>
          <t>0</t>
        </is>
      </c>
      <c r="G165" s="2" t="inlineStr">
        <is>
          <t>N</t>
        </is>
      </c>
      <c r="I165" s="2" t="inlineStr">
        <is>
          <t>N</t>
        </is>
      </c>
      <c r="J165" s="2" t="inlineStr">
        <is>
          <t>사용 횟수</t>
        </is>
      </c>
      <c r="K165" t="inlineStr">
        <is>
          <t>API-044</t>
        </is>
      </c>
      <c r="L165" s="2" t="inlineStr">
        <is>
          <t>확정</t>
        </is>
      </c>
    </row>
    <row r="166">
      <c r="A166" s="2" t="inlineStr">
        <is>
          <t>coupons</t>
        </is>
      </c>
      <c r="B166" s="2" t="inlineStr">
        <is>
          <t>status</t>
        </is>
      </c>
      <c r="C166" s="2" t="inlineStr">
        <is>
          <t>ENUM</t>
        </is>
      </c>
      <c r="E166" s="2" t="inlineStr">
        <is>
          <t>N</t>
        </is>
      </c>
      <c r="F166" s="2" t="inlineStr">
        <is>
          <t>active</t>
        </is>
      </c>
      <c r="G166" s="2" t="inlineStr">
        <is>
          <t>N</t>
        </is>
      </c>
      <c r="I166" s="2" t="inlineStr">
        <is>
          <t>Y</t>
        </is>
      </c>
      <c r="J166" s="2" t="inlineStr">
        <is>
          <t>상태 (active/expired/depleted)</t>
        </is>
      </c>
      <c r="K166" t="inlineStr">
        <is>
          <t>API-044</t>
        </is>
      </c>
      <c r="L166" s="2" t="inlineStr">
        <is>
          <t>확정</t>
        </is>
      </c>
    </row>
    <row r="167">
      <c r="A167" s="2" t="inlineStr">
        <is>
          <t>coupons</t>
        </is>
      </c>
      <c r="B167" s="2" t="inlineStr">
        <is>
          <t>created_at</t>
        </is>
      </c>
      <c r="C167" s="2" t="inlineStr">
        <is>
          <t>DATETIME</t>
        </is>
      </c>
      <c r="E167" s="2" t="inlineStr">
        <is>
          <t>N</t>
        </is>
      </c>
      <c r="F167" s="2" t="inlineStr">
        <is>
          <t>NOW()</t>
        </is>
      </c>
      <c r="G167" s="2" t="inlineStr">
        <is>
          <t>N</t>
        </is>
      </c>
      <c r="I167" s="2" t="inlineStr">
        <is>
          <t>N</t>
        </is>
      </c>
      <c r="J167" s="2" t="inlineStr">
        <is>
          <t>생성일시</t>
        </is>
      </c>
      <c r="K167" t="inlineStr">
        <is>
          <t>API-044</t>
        </is>
      </c>
      <c r="L167" s="2" t="inlineStr">
        <is>
          <t>확정</t>
        </is>
      </c>
    </row>
    <row r="168">
      <c r="A168" s="2" t="inlineStr">
        <is>
          <t>contracts</t>
        </is>
      </c>
      <c r="B168" s="2" t="inlineStr">
        <is>
          <t>id</t>
        </is>
      </c>
      <c r="C168" s="2" t="inlineStr">
        <is>
          <t>BIGINT</t>
        </is>
      </c>
      <c r="E168" s="2" t="inlineStr">
        <is>
          <t>N</t>
        </is>
      </c>
      <c r="G168" s="2" t="inlineStr">
        <is>
          <t>Y</t>
        </is>
      </c>
      <c r="I168" s="2" t="inlineStr">
        <is>
          <t>Y</t>
        </is>
      </c>
      <c r="J168" s="2" t="inlineStr">
        <is>
          <t>계약 고유 ID</t>
        </is>
      </c>
      <c r="K168" t="inlineStr">
        <is>
          <t>API-040, API-041</t>
        </is>
      </c>
      <c r="L168" s="2" t="inlineStr">
        <is>
          <t>확정</t>
        </is>
      </c>
    </row>
    <row r="169">
      <c r="A169" s="2" t="inlineStr">
        <is>
          <t>contracts</t>
        </is>
      </c>
      <c r="B169" s="2" t="inlineStr">
        <is>
          <t>branch_id</t>
        </is>
      </c>
      <c r="C169" s="2" t="inlineStr">
        <is>
          <t>BIGINT</t>
        </is>
      </c>
      <c r="E169" s="2" t="inlineStr">
        <is>
          <t>N</t>
        </is>
      </c>
      <c r="G169" s="2" t="inlineStr">
        <is>
          <t>N</t>
        </is>
      </c>
      <c r="H169" s="2" t="inlineStr">
        <is>
          <t>branches.id</t>
        </is>
      </c>
      <c r="I169" s="2" t="inlineStr">
        <is>
          <t>Y</t>
        </is>
      </c>
      <c r="J169" s="2" t="inlineStr">
        <is>
          <t>지점 FK</t>
        </is>
      </c>
      <c r="K169" t="inlineStr">
        <is>
          <t>API-040, API-041</t>
        </is>
      </c>
      <c r="L169" s="2" t="inlineStr">
        <is>
          <t>확정</t>
        </is>
      </c>
    </row>
    <row r="170">
      <c r="A170" s="2" t="inlineStr">
        <is>
          <t>contracts</t>
        </is>
      </c>
      <c r="B170" s="2" t="inlineStr">
        <is>
          <t>member_id</t>
        </is>
      </c>
      <c r="C170" s="2" t="inlineStr">
        <is>
          <t>BIGINT</t>
        </is>
      </c>
      <c r="E170" s="2" t="inlineStr">
        <is>
          <t>N</t>
        </is>
      </c>
      <c r="G170" s="2" t="inlineStr">
        <is>
          <t>N</t>
        </is>
      </c>
      <c r="H170" s="2" t="inlineStr">
        <is>
          <t>members.id</t>
        </is>
      </c>
      <c r="I170" s="2" t="inlineStr">
        <is>
          <t>Y</t>
        </is>
      </c>
      <c r="J170" s="2" t="inlineStr">
        <is>
          <t>회원 FK</t>
        </is>
      </c>
      <c r="K170" t="inlineStr">
        <is>
          <t>API-040, API-041</t>
        </is>
      </c>
      <c r="L170" s="2" t="inlineStr">
        <is>
          <t>확정</t>
        </is>
      </c>
    </row>
    <row r="171">
      <c r="A171" s="2" t="inlineStr">
        <is>
          <t>contracts</t>
        </is>
      </c>
      <c r="B171" s="2" t="inlineStr">
        <is>
          <t>product_id</t>
        </is>
      </c>
      <c r="C171" s="2" t="inlineStr">
        <is>
          <t>BIGINT</t>
        </is>
      </c>
      <c r="E171" s="2" t="inlineStr">
        <is>
          <t>N</t>
        </is>
      </c>
      <c r="G171" s="2" t="inlineStr">
        <is>
          <t>N</t>
        </is>
      </c>
      <c r="H171" s="2" t="inlineStr">
        <is>
          <t>products.id</t>
        </is>
      </c>
      <c r="I171" s="2" t="inlineStr">
        <is>
          <t>Y</t>
        </is>
      </c>
      <c r="J171" s="2" t="inlineStr">
        <is>
          <t>상품 FK</t>
        </is>
      </c>
      <c r="K171" t="inlineStr">
        <is>
          <t>API-040, API-041</t>
        </is>
      </c>
      <c r="L171" s="2" t="inlineStr">
        <is>
          <t>확정</t>
        </is>
      </c>
    </row>
    <row r="172">
      <c r="A172" s="2" t="inlineStr">
        <is>
          <t>contracts</t>
        </is>
      </c>
      <c r="B172" s="2" t="inlineStr">
        <is>
          <t>start_date</t>
        </is>
      </c>
      <c r="C172" s="2" t="inlineStr">
        <is>
          <t>DATETIME</t>
        </is>
      </c>
      <c r="E172" s="2" t="inlineStr">
        <is>
          <t>N</t>
        </is>
      </c>
      <c r="G172" s="2" t="inlineStr">
        <is>
          <t>N</t>
        </is>
      </c>
      <c r="I172" s="2" t="inlineStr">
        <is>
          <t>Y</t>
        </is>
      </c>
      <c r="J172" s="2" t="inlineStr">
        <is>
          <t>계약 시작일</t>
        </is>
      </c>
      <c r="K172" t="inlineStr">
        <is>
          <t>API-040, API-041</t>
        </is>
      </c>
      <c r="L172" s="2" t="inlineStr">
        <is>
          <t>확정</t>
        </is>
      </c>
    </row>
    <row r="173">
      <c r="A173" s="2" t="inlineStr">
        <is>
          <t>contracts</t>
        </is>
      </c>
      <c r="B173" s="2" t="inlineStr">
        <is>
          <t>end_date</t>
        </is>
      </c>
      <c r="C173" s="2" t="inlineStr">
        <is>
          <t>DATETIME</t>
        </is>
      </c>
      <c r="E173" s="2" t="inlineStr">
        <is>
          <t>N</t>
        </is>
      </c>
      <c r="G173" s="2" t="inlineStr">
        <is>
          <t>N</t>
        </is>
      </c>
      <c r="I173" s="2" t="inlineStr">
        <is>
          <t>Y</t>
        </is>
      </c>
      <c r="J173" s="2" t="inlineStr">
        <is>
          <t>계약 종료일</t>
        </is>
      </c>
      <c r="K173" t="inlineStr">
        <is>
          <t>API-040, API-041</t>
        </is>
      </c>
      <c r="L173" s="2" t="inlineStr">
        <is>
          <t>확정</t>
        </is>
      </c>
    </row>
    <row r="174">
      <c r="A174" s="2" t="inlineStr">
        <is>
          <t>contracts</t>
        </is>
      </c>
      <c r="B174" s="2" t="inlineStr">
        <is>
          <t>total_amount</t>
        </is>
      </c>
      <c r="C174" s="2" t="inlineStr">
        <is>
          <t>INT</t>
        </is>
      </c>
      <c r="E174" s="2" t="inlineStr">
        <is>
          <t>N</t>
        </is>
      </c>
      <c r="F174" s="2" t="inlineStr">
        <is>
          <t>0</t>
        </is>
      </c>
      <c r="G174" s="2" t="inlineStr">
        <is>
          <t>N</t>
        </is>
      </c>
      <c r="I174" s="2" t="inlineStr">
        <is>
          <t>N</t>
        </is>
      </c>
      <c r="J174" s="2" t="inlineStr">
        <is>
          <t>총 계약 금액</t>
        </is>
      </c>
      <c r="K174" t="inlineStr">
        <is>
          <t>API-040, API-041</t>
        </is>
      </c>
      <c r="L174" s="2" t="inlineStr">
        <is>
          <t>확정</t>
        </is>
      </c>
    </row>
    <row r="175">
      <c r="A175" s="2" t="inlineStr">
        <is>
          <t>contracts</t>
        </is>
      </c>
      <c r="B175" s="2" t="inlineStr">
        <is>
          <t>paid_amount</t>
        </is>
      </c>
      <c r="C175" s="2" t="inlineStr">
        <is>
          <t>INT</t>
        </is>
      </c>
      <c r="E175" s="2" t="inlineStr">
        <is>
          <t>N</t>
        </is>
      </c>
      <c r="F175" s="2" t="inlineStr">
        <is>
          <t>0</t>
        </is>
      </c>
      <c r="G175" s="2" t="inlineStr">
        <is>
          <t>N</t>
        </is>
      </c>
      <c r="I175" s="2" t="inlineStr">
        <is>
          <t>N</t>
        </is>
      </c>
      <c r="J175" s="2" t="inlineStr">
        <is>
          <t>납부 금액</t>
        </is>
      </c>
      <c r="K175" t="inlineStr">
        <is>
          <t>API-040, API-041</t>
        </is>
      </c>
      <c r="L175" s="2" t="inlineStr">
        <is>
          <t>확정</t>
        </is>
      </c>
    </row>
    <row r="176">
      <c r="A176" s="2" t="inlineStr">
        <is>
          <t>contracts</t>
        </is>
      </c>
      <c r="B176" s="2" t="inlineStr">
        <is>
          <t>status</t>
        </is>
      </c>
      <c r="C176" s="2" t="inlineStr">
        <is>
          <t>ENUM</t>
        </is>
      </c>
      <c r="E176" s="2" t="inlineStr">
        <is>
          <t>N</t>
        </is>
      </c>
      <c r="F176" s="2" t="inlineStr">
        <is>
          <t>active</t>
        </is>
      </c>
      <c r="G176" s="2" t="inlineStr">
        <is>
          <t>N</t>
        </is>
      </c>
      <c r="I176" s="2" t="inlineStr">
        <is>
          <t>Y</t>
        </is>
      </c>
      <c r="J176" s="2" t="inlineStr">
        <is>
          <t>상태 (active/completed/cancelled)</t>
        </is>
      </c>
      <c r="K176" t="inlineStr">
        <is>
          <t>API-040, API-041</t>
        </is>
      </c>
      <c r="L176" s="2" t="inlineStr">
        <is>
          <t>확정</t>
        </is>
      </c>
    </row>
    <row r="177">
      <c r="A177" s="2" t="inlineStr">
        <is>
          <t>contracts</t>
        </is>
      </c>
      <c r="B177" s="2" t="inlineStr">
        <is>
          <t>created_at</t>
        </is>
      </c>
      <c r="C177" s="2" t="inlineStr">
        <is>
          <t>DATETIME</t>
        </is>
      </c>
      <c r="E177" s="2" t="inlineStr">
        <is>
          <t>N</t>
        </is>
      </c>
      <c r="F177" s="2" t="inlineStr">
        <is>
          <t>NOW()</t>
        </is>
      </c>
      <c r="G177" s="2" t="inlineStr">
        <is>
          <t>N</t>
        </is>
      </c>
      <c r="I177" s="2" t="inlineStr">
        <is>
          <t>N</t>
        </is>
      </c>
      <c r="J177" s="2" t="inlineStr">
        <is>
          <t>생성일시</t>
        </is>
      </c>
      <c r="K177" t="inlineStr">
        <is>
          <t>API-040, API-041</t>
        </is>
      </c>
      <c r="L177" s="2" t="inlineStr">
        <is>
          <t>확정</t>
        </is>
      </c>
    </row>
    <row r="178">
      <c r="A178" s="2" t="inlineStr">
        <is>
          <t>mileage</t>
        </is>
      </c>
      <c r="B178" s="2" t="inlineStr">
        <is>
          <t>id</t>
        </is>
      </c>
      <c r="C178" s="2" t="inlineStr">
        <is>
          <t>BIGINT</t>
        </is>
      </c>
      <c r="E178" s="2" t="inlineStr">
        <is>
          <t>N</t>
        </is>
      </c>
      <c r="G178" s="2" t="inlineStr">
        <is>
          <t>Y</t>
        </is>
      </c>
      <c r="I178" s="2" t="inlineStr">
        <is>
          <t>Y</t>
        </is>
      </c>
      <c r="J178" s="2" t="inlineStr">
        <is>
          <t>마일리지 고유 ID</t>
        </is>
      </c>
      <c r="K178" t="inlineStr">
        <is>
          <t>API-045</t>
        </is>
      </c>
      <c r="L178" s="2" t="inlineStr">
        <is>
          <t>확정</t>
        </is>
      </c>
    </row>
    <row r="179">
      <c r="A179" s="2" t="inlineStr">
        <is>
          <t>mileage</t>
        </is>
      </c>
      <c r="B179" s="2" t="inlineStr">
        <is>
          <t>branch_id</t>
        </is>
      </c>
      <c r="C179" s="2" t="inlineStr">
        <is>
          <t>BIGINT</t>
        </is>
      </c>
      <c r="E179" s="2" t="inlineStr">
        <is>
          <t>N</t>
        </is>
      </c>
      <c r="G179" s="2" t="inlineStr">
        <is>
          <t>N</t>
        </is>
      </c>
      <c r="H179" s="2" t="inlineStr">
        <is>
          <t>branches.id</t>
        </is>
      </c>
      <c r="I179" s="2" t="inlineStr">
        <is>
          <t>Y</t>
        </is>
      </c>
      <c r="J179" s="2" t="inlineStr">
        <is>
          <t>지점 FK</t>
        </is>
      </c>
      <c r="K179" t="inlineStr">
        <is>
          <t>API-045</t>
        </is>
      </c>
      <c r="L179" s="2" t="inlineStr">
        <is>
          <t>확정</t>
        </is>
      </c>
    </row>
    <row r="180">
      <c r="A180" s="2" t="inlineStr">
        <is>
          <t>mileage</t>
        </is>
      </c>
      <c r="B180" s="2" t="inlineStr">
        <is>
          <t>member_id</t>
        </is>
      </c>
      <c r="C180" s="2" t="inlineStr">
        <is>
          <t>BIGINT</t>
        </is>
      </c>
      <c r="E180" s="2" t="inlineStr">
        <is>
          <t>N</t>
        </is>
      </c>
      <c r="G180" s="2" t="inlineStr">
        <is>
          <t>N</t>
        </is>
      </c>
      <c r="H180" s="2" t="inlineStr">
        <is>
          <t>members.id</t>
        </is>
      </c>
      <c r="I180" s="2" t="inlineStr">
        <is>
          <t>Y</t>
        </is>
      </c>
      <c r="J180" s="2" t="inlineStr">
        <is>
          <t>회원 FK</t>
        </is>
      </c>
      <c r="K180" t="inlineStr">
        <is>
          <t>API-045</t>
        </is>
      </c>
      <c r="L180" s="2" t="inlineStr">
        <is>
          <t>확정</t>
        </is>
      </c>
    </row>
    <row r="181">
      <c r="A181" s="2" t="inlineStr">
        <is>
          <t>mileage</t>
        </is>
      </c>
      <c r="B181" s="2" t="inlineStr">
        <is>
          <t>type</t>
        </is>
      </c>
      <c r="C181" s="2" t="inlineStr">
        <is>
          <t>ENUM</t>
        </is>
      </c>
      <c r="E181" s="2" t="inlineStr">
        <is>
          <t>N</t>
        </is>
      </c>
      <c r="G181" s="2" t="inlineStr">
        <is>
          <t>N</t>
        </is>
      </c>
      <c r="I181" s="2" t="inlineStr">
        <is>
          <t>Y</t>
        </is>
      </c>
      <c r="J181" s="2" t="inlineStr">
        <is>
          <t>유형 (earn/use/cancel)</t>
        </is>
      </c>
      <c r="K181" t="inlineStr">
        <is>
          <t>API-045</t>
        </is>
      </c>
      <c r="L181" s="2" t="inlineStr">
        <is>
          <t>확정</t>
        </is>
      </c>
    </row>
    <row r="182">
      <c r="A182" s="2" t="inlineStr">
        <is>
          <t>mileage</t>
        </is>
      </c>
      <c r="B182" s="2" t="inlineStr">
        <is>
          <t>amount</t>
        </is>
      </c>
      <c r="C182" s="2" t="inlineStr">
        <is>
          <t>INT</t>
        </is>
      </c>
      <c r="E182" s="2" t="inlineStr">
        <is>
          <t>N</t>
        </is>
      </c>
      <c r="F182" s="2" t="inlineStr">
        <is>
          <t>0</t>
        </is>
      </c>
      <c r="G182" s="2" t="inlineStr">
        <is>
          <t>N</t>
        </is>
      </c>
      <c r="I182" s="2" t="inlineStr">
        <is>
          <t>N</t>
        </is>
      </c>
      <c r="J182" s="2" t="inlineStr">
        <is>
          <t>변동 금액</t>
        </is>
      </c>
      <c r="K182" t="inlineStr">
        <is>
          <t>API-045</t>
        </is>
      </c>
      <c r="L182" s="2" t="inlineStr">
        <is>
          <t>확정</t>
        </is>
      </c>
    </row>
    <row r="183">
      <c r="A183" s="2" t="inlineStr">
        <is>
          <t>mileage</t>
        </is>
      </c>
      <c r="B183" s="2" t="inlineStr">
        <is>
          <t>balance</t>
        </is>
      </c>
      <c r="C183" s="2" t="inlineStr">
        <is>
          <t>INT</t>
        </is>
      </c>
      <c r="E183" s="2" t="inlineStr">
        <is>
          <t>N</t>
        </is>
      </c>
      <c r="F183" s="2" t="inlineStr">
        <is>
          <t>0</t>
        </is>
      </c>
      <c r="G183" s="2" t="inlineStr">
        <is>
          <t>N</t>
        </is>
      </c>
      <c r="I183" s="2" t="inlineStr">
        <is>
          <t>N</t>
        </is>
      </c>
      <c r="J183" s="2" t="inlineStr">
        <is>
          <t>변동 후 잔액</t>
        </is>
      </c>
      <c r="K183" t="inlineStr">
        <is>
          <t>API-045</t>
        </is>
      </c>
      <c r="L183" s="2" t="inlineStr">
        <is>
          <t>확정</t>
        </is>
      </c>
    </row>
    <row r="184">
      <c r="A184" s="2" t="inlineStr">
        <is>
          <t>mileage</t>
        </is>
      </c>
      <c r="B184" s="2" t="inlineStr">
        <is>
          <t>description</t>
        </is>
      </c>
      <c r="C184" s="2" t="inlineStr">
        <is>
          <t>VARCHAR</t>
        </is>
      </c>
      <c r="D184" s="2" t="n">
        <v>200</v>
      </c>
      <c r="E184" s="2" t="inlineStr">
        <is>
          <t>Y</t>
        </is>
      </c>
      <c r="G184" s="2" t="inlineStr">
        <is>
          <t>N</t>
        </is>
      </c>
      <c r="I184" s="2" t="inlineStr">
        <is>
          <t>N</t>
        </is>
      </c>
      <c r="J184" s="2" t="inlineStr">
        <is>
          <t>변동 사유</t>
        </is>
      </c>
      <c r="K184" t="inlineStr">
        <is>
          <t>API-045</t>
        </is>
      </c>
      <c r="L184" s="2" t="inlineStr">
        <is>
          <t>확정</t>
        </is>
      </c>
    </row>
    <row r="185">
      <c r="A185" s="2" t="inlineStr">
        <is>
          <t>mileage</t>
        </is>
      </c>
      <c r="B185" s="2" t="inlineStr">
        <is>
          <t>created_at</t>
        </is>
      </c>
      <c r="C185" s="2" t="inlineStr">
        <is>
          <t>DATETIME</t>
        </is>
      </c>
      <c r="E185" s="2" t="inlineStr">
        <is>
          <t>N</t>
        </is>
      </c>
      <c r="F185" s="2" t="inlineStr">
        <is>
          <t>NOW()</t>
        </is>
      </c>
      <c r="G185" s="2" t="inlineStr">
        <is>
          <t>N</t>
        </is>
      </c>
      <c r="I185" s="2" t="inlineStr">
        <is>
          <t>N</t>
        </is>
      </c>
      <c r="J185" s="2" t="inlineStr">
        <is>
          <t>생성일시</t>
        </is>
      </c>
      <c r="K185" t="inlineStr">
        <is>
          <t>API-045</t>
        </is>
      </c>
      <c r="L185" s="2" t="inlineStr">
        <is>
          <t>확정</t>
        </is>
      </c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2" t="inlineStr">
        <is>
          <t>TC-001</t>
        </is>
      </c>
      <c r="B2" s="2" t="inlineStr">
        <is>
          <t>Web</t>
        </is>
      </c>
      <c r="C2" s="2" t="inlineStr">
        <is>
          <t>인증</t>
        </is>
      </c>
      <c r="D2" s="2" t="inlineStr">
        <is>
          <t>로그인</t>
        </is>
      </c>
      <c r="E2" s="2" t="inlineStr">
        <is>
          <t>기능 테스트</t>
        </is>
      </c>
      <c r="F2" s="2" t="inlineStr">
        <is>
          <t>정상 로그인 - 올바른 이메일/비밀번호로 로그인</t>
        </is>
      </c>
      <c r="G2" s="2" t="inlineStr">
        <is>
          <t>등록된 계정 존재, 활성 상태</t>
        </is>
      </c>
      <c r="H2" s="2" t="inlineStr">
        <is>
          <t>1) 로그인 페이지 접속
2) 이메일 입력
3) 비밀번호 입력
4) 지점 선택
5) 로그인 버튼 클릭</t>
        </is>
      </c>
      <c r="I2" s="2" t="inlineStr">
        <is>
          <t>대시보드(SCR-002)로 이동, JWT 토큰 저장, 사용자 정보 표시</t>
        </is>
      </c>
      <c r="J2" s="2" t="n"/>
      <c r="K2" s="2" t="inlineStr">
        <is>
          <t>미실행</t>
        </is>
      </c>
      <c r="L2" s="2" t="inlineStr">
        <is>
          <t>Critical</t>
        </is>
      </c>
      <c r="M2" s="2" t="inlineStr">
        <is>
          <t>Critical</t>
        </is>
      </c>
      <c r="N2" s="2" t="inlineStr">
        <is>
          <t>QA담당자1</t>
        </is>
      </c>
      <c r="O2" s="2" t="inlineStr">
        <is>
          <t>Staging</t>
        </is>
      </c>
      <c r="P2" s="2" t="inlineStr">
        <is>
          <t>Chrome</t>
        </is>
      </c>
      <c r="Q2" s="2" t="inlineStr">
        <is>
          <t>Desktop</t>
        </is>
      </c>
      <c r="R2" s="2" t="inlineStr">
        <is>
          <t>Windows 11</t>
        </is>
      </c>
      <c r="S2" s="2" t="inlineStr">
        <is>
          <t>1차</t>
        </is>
      </c>
      <c r="T2" s="2" t="inlineStr">
        <is>
          <t>수동</t>
        </is>
      </c>
      <c r="U2" s="2" t="inlineStr">
        <is>
          <t>SCR-001</t>
        </is>
      </c>
      <c r="V2" s="2" t="inlineStr">
        <is>
          <t>FN-001</t>
        </is>
      </c>
      <c r="W2" s="2" t="inlineStr">
        <is>
          <t>API-001</t>
        </is>
      </c>
      <c r="X2" s="2" t="n"/>
      <c r="Y2" s="2" t="n"/>
      <c r="Z2" s="2" t="inlineStr">
        <is>
          <t>로그인</t>
        </is>
      </c>
      <c r="AA2" s="2" t="inlineStr">
        <is>
          <t>로그인</t>
        </is>
      </c>
      <c r="AB2" s="2" t="inlineStr">
        <is>
          <t>/api/v1/auth/login</t>
        </is>
      </c>
      <c r="AC2" s="2" t="n"/>
    </row>
    <row r="3">
      <c r="A3" s="2" t="inlineStr">
        <is>
          <t>TC-002</t>
        </is>
      </c>
      <c r="B3" s="2" t="inlineStr">
        <is>
          <t>Web</t>
        </is>
      </c>
      <c r="C3" s="2" t="inlineStr">
        <is>
          <t>인증</t>
        </is>
      </c>
      <c r="D3" s="2" t="inlineStr">
        <is>
          <t>로그인</t>
        </is>
      </c>
      <c r="E3" s="2" t="inlineStr">
        <is>
          <t>기능 테스트</t>
        </is>
      </c>
      <c r="F3" s="2" t="inlineStr">
        <is>
          <t>로그인 실패 - 잘못된 비밀번호</t>
        </is>
      </c>
      <c r="G3" s="2" t="inlineStr">
        <is>
          <t>등록된 계정 존재</t>
        </is>
      </c>
      <c r="H3" s="2" t="inlineStr">
        <is>
          <t>1) 로그인 페이지 접속
2) 올바른 이메일 입력
3) 잘못된 비밀번호 입력
4) 로그인 버튼 클릭</t>
        </is>
      </c>
      <c r="I3" s="2" t="inlineStr">
        <is>
          <t>'비밀번호가 올바르지 않습니다' 에러 메시지 표시, 로그인 실패 횟수 +1</t>
        </is>
      </c>
      <c r="J3" s="2" t="n"/>
      <c r="K3" s="2" t="inlineStr">
        <is>
          <t>미실행</t>
        </is>
      </c>
      <c r="L3" s="2" t="inlineStr">
        <is>
          <t>Critical</t>
        </is>
      </c>
      <c r="M3" s="2" t="inlineStr">
        <is>
          <t>Critical</t>
        </is>
      </c>
      <c r="N3" s="2" t="inlineStr">
        <is>
          <t>QA담당자1</t>
        </is>
      </c>
      <c r="O3" s="2" t="inlineStr">
        <is>
          <t>Staging</t>
        </is>
      </c>
      <c r="P3" s="2" t="inlineStr">
        <is>
          <t>Chrome</t>
        </is>
      </c>
      <c r="Q3" s="2" t="inlineStr">
        <is>
          <t>Desktop</t>
        </is>
      </c>
      <c r="R3" s="2" t="inlineStr">
        <is>
          <t>Windows 11</t>
        </is>
      </c>
      <c r="S3" s="2" t="inlineStr">
        <is>
          <t>1차</t>
        </is>
      </c>
      <c r="T3" s="2" t="inlineStr">
        <is>
          <t>수동</t>
        </is>
      </c>
      <c r="U3" s="2" t="inlineStr">
        <is>
          <t>SCR-001</t>
        </is>
      </c>
      <c r="V3" s="2" t="inlineStr">
        <is>
          <t>FN-001</t>
        </is>
      </c>
      <c r="W3" s="2" t="inlineStr">
        <is>
          <t>API-001</t>
        </is>
      </c>
      <c r="X3" s="2" t="n"/>
      <c r="Y3" s="2" t="n"/>
      <c r="Z3" s="2" t="inlineStr">
        <is>
          <t>로그인</t>
        </is>
      </c>
      <c r="AA3" s="2" t="inlineStr">
        <is>
          <t>로그인</t>
        </is>
      </c>
      <c r="AB3" s="2" t="inlineStr">
        <is>
          <t>/api/v1/auth/login</t>
        </is>
      </c>
      <c r="AC3" s="2" t="n"/>
    </row>
    <row r="4">
      <c r="A4" s="2" t="inlineStr">
        <is>
          <t>TC-003</t>
        </is>
      </c>
      <c r="B4" s="2" t="inlineStr">
        <is>
          <t>Web</t>
        </is>
      </c>
      <c r="C4" s="2" t="inlineStr">
        <is>
          <t>인증</t>
        </is>
      </c>
      <c r="D4" s="2" t="inlineStr">
        <is>
          <t>로그인</t>
        </is>
      </c>
      <c r="E4" s="2" t="inlineStr">
        <is>
          <t>기능 테스트</t>
        </is>
      </c>
      <c r="F4" s="2" t="inlineStr">
        <is>
          <t>계정 잠금 - 5회 연속 실패</t>
        </is>
      </c>
      <c r="G4" s="2" t="inlineStr">
        <is>
          <t>등록된 계정 존재, 실패 횟수 4회</t>
        </is>
      </c>
      <c r="H4" s="2" t="inlineStr">
        <is>
          <t>1) 잘못된 비밀번호로 5번째 로그인 시도</t>
        </is>
      </c>
      <c r="I4" s="2" t="inlineStr">
        <is>
          <t>'5회 실패로 계정이 잠겼습니다. 30분 후 다시 시도하세요' 메시지 표시</t>
        </is>
      </c>
      <c r="J4" s="2" t="n"/>
      <c r="K4" s="2" t="inlineStr">
        <is>
          <t>미실행</t>
        </is>
      </c>
      <c r="L4" s="2" t="inlineStr">
        <is>
          <t>Critical</t>
        </is>
      </c>
      <c r="M4" s="2" t="inlineStr">
        <is>
          <t>Blocker</t>
        </is>
      </c>
      <c r="N4" s="2" t="inlineStr">
        <is>
          <t>QA담당자1</t>
        </is>
      </c>
      <c r="O4" s="2" t="inlineStr">
        <is>
          <t>Staging</t>
        </is>
      </c>
      <c r="P4" s="2" t="inlineStr">
        <is>
          <t>Chrome</t>
        </is>
      </c>
      <c r="Q4" s="2" t="inlineStr">
        <is>
          <t>Desktop</t>
        </is>
      </c>
      <c r="R4" s="2" t="inlineStr">
        <is>
          <t>Windows 11</t>
        </is>
      </c>
      <c r="S4" s="2" t="inlineStr">
        <is>
          <t>1차</t>
        </is>
      </c>
      <c r="T4" s="2" t="inlineStr">
        <is>
          <t>수동</t>
        </is>
      </c>
      <c r="U4" s="2" t="inlineStr">
        <is>
          <t>SCR-001</t>
        </is>
      </c>
      <c r="V4" s="2" t="inlineStr">
        <is>
          <t>FN-001</t>
        </is>
      </c>
      <c r="W4" s="2" t="inlineStr">
        <is>
          <t>API-001</t>
        </is>
      </c>
      <c r="X4" s="2" t="n"/>
      <c r="Y4" s="2" t="n"/>
      <c r="Z4" s="2" t="inlineStr">
        <is>
          <t>로그인</t>
        </is>
      </c>
      <c r="AA4" s="2" t="inlineStr">
        <is>
          <t>로그인</t>
        </is>
      </c>
      <c r="AB4" s="2" t="inlineStr">
        <is>
          <t>/api/v1/auth/login</t>
        </is>
      </c>
      <c r="AC4" s="2" t="n"/>
    </row>
    <row r="5">
      <c r="A5" s="2" t="inlineStr">
        <is>
          <t>TC-004</t>
        </is>
      </c>
      <c r="B5" s="2" t="inlineStr">
        <is>
          <t>Web</t>
        </is>
      </c>
      <c r="C5" s="2" t="inlineStr">
        <is>
          <t>인증</t>
        </is>
      </c>
      <c r="D5" s="2" t="inlineStr">
        <is>
          <t>로그인</t>
        </is>
      </c>
      <c r="E5" s="2" t="inlineStr">
        <is>
          <t>UI/UX 테스트</t>
        </is>
      </c>
      <c r="F5" s="2" t="inlineStr">
        <is>
          <t>비밀번호 마스킹 토글</t>
        </is>
      </c>
      <c r="G5" s="2" t="inlineStr">
        <is>
          <t>로그인 페이지 접속</t>
        </is>
      </c>
      <c r="H5" s="2" t="inlineStr">
        <is>
          <t>1) 비밀번호 입력
2) 눈 아이콘 클릭
3) 비밀번호 표시 확인
4) 다시 클릭하여 마스킹</t>
        </is>
      </c>
      <c r="I5" s="2" t="inlineStr">
        <is>
          <t>토글에 따라 비밀번호 표시/마스킹 전환</t>
        </is>
      </c>
      <c r="J5" s="2" t="n"/>
      <c r="K5" s="2" t="inlineStr">
        <is>
          <t>미실행</t>
        </is>
      </c>
      <c r="L5" s="2" t="inlineStr">
        <is>
          <t>Medium</t>
        </is>
      </c>
      <c r="M5" s="2" t="inlineStr">
        <is>
          <t>Minor</t>
        </is>
      </c>
      <c r="N5" s="2" t="inlineStr">
        <is>
          <t>QA담당자1</t>
        </is>
      </c>
      <c r="O5" s="2" t="inlineStr">
        <is>
          <t>Staging</t>
        </is>
      </c>
      <c r="P5" s="2" t="inlineStr">
        <is>
          <t>Chrome</t>
        </is>
      </c>
      <c r="Q5" s="2" t="inlineStr">
        <is>
          <t>Desktop</t>
        </is>
      </c>
      <c r="R5" s="2" t="inlineStr">
        <is>
          <t>Windows 11</t>
        </is>
      </c>
      <c r="S5" s="2" t="inlineStr">
        <is>
          <t>1차</t>
        </is>
      </c>
      <c r="T5" s="2" t="inlineStr">
        <is>
          <t>수동</t>
        </is>
      </c>
      <c r="U5" s="2" t="inlineStr">
        <is>
          <t>SCR-001</t>
        </is>
      </c>
      <c r="V5" s="2" t="inlineStr">
        <is>
          <t>FN-001</t>
        </is>
      </c>
      <c r="W5" s="2" t="n"/>
      <c r="X5" s="2" t="n"/>
      <c r="Y5" s="2" t="n"/>
      <c r="Z5" s="2" t="inlineStr">
        <is>
          <t>로그인</t>
        </is>
      </c>
      <c r="AA5" s="2" t="inlineStr">
        <is>
          <t>로그인</t>
        </is>
      </c>
      <c r="AB5" s="2" t="inlineStr"/>
      <c r="AC5" s="2" t="n"/>
    </row>
    <row r="6">
      <c r="A6" s="2" t="inlineStr">
        <is>
          <t>TC-005</t>
        </is>
      </c>
      <c r="B6" s="2" t="inlineStr">
        <is>
          <t>Web</t>
        </is>
      </c>
      <c r="C6" s="2" t="inlineStr">
        <is>
          <t>대시보드</t>
        </is>
      </c>
      <c r="D6" s="2" t="inlineStr">
        <is>
          <t>통계</t>
        </is>
      </c>
      <c r="E6" s="2" t="inlineStr">
        <is>
          <t>기능 테스트</t>
        </is>
      </c>
      <c r="F6" s="2" t="inlineStr">
        <is>
          <t>대시보드 KPI 카드 정확성</t>
        </is>
      </c>
      <c r="G6" s="2" t="inlineStr">
        <is>
          <t>로그인 완료, 테스트 데이터 존재</t>
        </is>
      </c>
      <c r="H6" s="2" t="inlineStr">
        <is>
          <t>1) 대시보드 접속
2) 총회원/활성/만료임박/만료 카드 수치 확인
3) DB 데이터와 대조</t>
        </is>
      </c>
      <c r="I6" s="2" t="inlineStr">
        <is>
          <t>카드 수치가 DB 실제 데이터와 일치</t>
        </is>
      </c>
      <c r="J6" s="2" t="n"/>
      <c r="K6" s="2" t="inlineStr">
        <is>
          <t>미실행</t>
        </is>
      </c>
      <c r="L6" s="2" t="inlineStr">
        <is>
          <t>Critical</t>
        </is>
      </c>
      <c r="M6" s="2" t="inlineStr">
        <is>
          <t>Critical</t>
        </is>
      </c>
      <c r="N6" s="2" t="inlineStr">
        <is>
          <t>QA담당자1</t>
        </is>
      </c>
      <c r="O6" s="2" t="inlineStr">
        <is>
          <t>Staging</t>
        </is>
      </c>
      <c r="P6" s="2" t="inlineStr">
        <is>
          <t>Chrome</t>
        </is>
      </c>
      <c r="Q6" s="2" t="inlineStr">
        <is>
          <t>Desktop</t>
        </is>
      </c>
      <c r="R6" s="2" t="inlineStr">
        <is>
          <t>Windows 11</t>
        </is>
      </c>
      <c r="S6" s="2" t="inlineStr">
        <is>
          <t>1차</t>
        </is>
      </c>
      <c r="T6" s="2" t="inlineStr">
        <is>
          <t>자동화 예정</t>
        </is>
      </c>
      <c r="U6" s="2" t="inlineStr">
        <is>
          <t>SCR-002</t>
        </is>
      </c>
      <c r="V6" s="2" t="inlineStr">
        <is>
          <t>FN-002</t>
        </is>
      </c>
      <c r="W6" s="2" t="inlineStr">
        <is>
          <t>API-003</t>
        </is>
      </c>
      <c r="X6" s="2" t="n"/>
      <c r="Y6" s="2" t="n"/>
      <c r="Z6" s="2" t="inlineStr">
        <is>
          <t>대시보드</t>
        </is>
      </c>
      <c r="AA6" s="2" t="inlineStr">
        <is>
          <t>대시보드 통계 조회</t>
        </is>
      </c>
      <c r="AB6" s="2" t="inlineStr">
        <is>
          <t>/api/v1/dashboard/stats</t>
        </is>
      </c>
      <c r="AC6" s="2" t="n"/>
    </row>
    <row r="7">
      <c r="A7" s="2" t="inlineStr">
        <is>
          <t>TC-006</t>
        </is>
      </c>
      <c r="B7" s="2" t="inlineStr">
        <is>
          <t>Web</t>
        </is>
      </c>
      <c r="C7" s="2" t="inlineStr">
        <is>
          <t>대시보드</t>
        </is>
      </c>
      <c r="D7" s="2" t="inlineStr">
        <is>
          <t>통계</t>
        </is>
      </c>
      <c r="E7" s="2" t="inlineStr">
        <is>
          <t>기능 테스트</t>
        </is>
      </c>
      <c r="F7" s="2" t="inlineStr">
        <is>
          <t>생일 회원 리스트 표시</t>
        </is>
      </c>
      <c r="G7" s="2" t="inlineStr">
        <is>
          <t>오늘 생일인 회원 데이터 존재</t>
        </is>
      </c>
      <c r="H7" s="2" t="inlineStr">
        <is>
          <t>1) 대시보드 접속
2) 생일 회원 섹션 확인</t>
        </is>
      </c>
      <c r="I7" s="2" t="inlineStr">
        <is>
          <t>오늘 생일인 회원 목록 표시, 이름/연락처 표시</t>
        </is>
      </c>
      <c r="J7" s="2" t="n"/>
      <c r="K7" s="2" t="inlineStr">
        <is>
          <t>미실행</t>
        </is>
      </c>
      <c r="L7" s="2" t="inlineStr">
        <is>
          <t>High</t>
        </is>
      </c>
      <c r="M7" s="2" t="inlineStr">
        <is>
          <t>Major</t>
        </is>
      </c>
      <c r="N7" s="2" t="inlineStr">
        <is>
          <t>QA담당자1</t>
        </is>
      </c>
      <c r="O7" s="2" t="inlineStr">
        <is>
          <t>Staging</t>
        </is>
      </c>
      <c r="P7" s="2" t="inlineStr">
        <is>
          <t>Chrome</t>
        </is>
      </c>
      <c r="Q7" s="2" t="inlineStr">
        <is>
          <t>Desktop</t>
        </is>
      </c>
      <c r="R7" s="2" t="inlineStr">
        <is>
          <t>Windows 11</t>
        </is>
      </c>
      <c r="S7" s="2" t="inlineStr">
        <is>
          <t>1차</t>
        </is>
      </c>
      <c r="T7" s="2" t="inlineStr">
        <is>
          <t>수동</t>
        </is>
      </c>
      <c r="U7" s="2" t="inlineStr">
        <is>
          <t>SCR-002</t>
        </is>
      </c>
      <c r="V7" s="2" t="inlineStr">
        <is>
          <t>FN-002</t>
        </is>
      </c>
      <c r="W7" s="2" t="inlineStr">
        <is>
          <t>API-004</t>
        </is>
      </c>
      <c r="X7" s="2" t="n"/>
      <c r="Y7" s="2" t="n"/>
      <c r="Z7" s="2" t="inlineStr">
        <is>
          <t>대시보드</t>
        </is>
      </c>
      <c r="AA7" s="2" t="inlineStr">
        <is>
          <t>대시보드 통계 조회</t>
        </is>
      </c>
      <c r="AB7" s="2" t="inlineStr">
        <is>
          <t>/api/v1/dashboard/birthday-members</t>
        </is>
      </c>
      <c r="AC7" s="2" t="n"/>
    </row>
    <row r="8">
      <c r="A8" s="2" t="inlineStr">
        <is>
          <t>TC-007</t>
        </is>
      </c>
      <c r="B8" s="2" t="inlineStr">
        <is>
          <t>Web</t>
        </is>
      </c>
      <c r="C8" s="2" t="inlineStr">
        <is>
          <t>회원관리</t>
        </is>
      </c>
      <c r="D8" s="2" t="inlineStr">
        <is>
          <t>목록</t>
        </is>
      </c>
      <c r="E8" s="2" t="inlineStr">
        <is>
          <t>기능 테스트</t>
        </is>
      </c>
      <c r="F8" s="2" t="inlineStr">
        <is>
          <t>회원 검색 - 이름으로 검색</t>
        </is>
      </c>
      <c r="G8" s="2" t="inlineStr">
        <is>
          <t>회원 데이터 존재</t>
        </is>
      </c>
      <c r="H8" s="2" t="inlineStr">
        <is>
          <t>1) 회원 목록 페이지 접속
2) 검색바에 '김' 입력
3) 300ms 대기</t>
        </is>
      </c>
      <c r="I8" s="2" t="inlineStr">
        <is>
          <t>'김'이 포함된 회원만 필터링되어 표시</t>
        </is>
      </c>
      <c r="J8" s="2" t="n"/>
      <c r="K8" s="2" t="inlineStr">
        <is>
          <t>미실행</t>
        </is>
      </c>
      <c r="L8" s="2" t="inlineStr">
        <is>
          <t>Critical</t>
        </is>
      </c>
      <c r="M8" s="2" t="inlineStr">
        <is>
          <t>Critical</t>
        </is>
      </c>
      <c r="N8" s="2" t="inlineStr">
        <is>
          <t>QA담당자1</t>
        </is>
      </c>
      <c r="O8" s="2" t="inlineStr">
        <is>
          <t>Staging</t>
        </is>
      </c>
      <c r="P8" s="2" t="inlineStr">
        <is>
          <t>Chrome</t>
        </is>
      </c>
      <c r="Q8" s="2" t="inlineStr">
        <is>
          <t>Desktop</t>
        </is>
      </c>
      <c r="R8" s="2" t="inlineStr">
        <is>
          <t>Windows 11</t>
        </is>
      </c>
      <c r="S8" s="2" t="inlineStr">
        <is>
          <t>1차</t>
        </is>
      </c>
      <c r="T8" s="2" t="inlineStr">
        <is>
          <t>자동화 예정</t>
        </is>
      </c>
      <c r="U8" s="2" t="inlineStr">
        <is>
          <t>SCR-010</t>
        </is>
      </c>
      <c r="V8" s="2" t="inlineStr">
        <is>
          <t>FN-003</t>
        </is>
      </c>
      <c r="W8" s="2" t="inlineStr">
        <is>
          <t>API-007</t>
        </is>
      </c>
      <c r="X8" s="2" t="n"/>
      <c r="Y8" s="2" t="n"/>
      <c r="Z8" s="2" t="inlineStr">
        <is>
          <t>회원 목록</t>
        </is>
      </c>
      <c r="AA8" s="2" t="inlineStr">
        <is>
          <t>회원 목록 조회/검색/필터</t>
        </is>
      </c>
      <c r="AB8" s="2" t="inlineStr">
        <is>
          <t>/api/v1/members</t>
        </is>
      </c>
      <c r="AC8" s="2" t="n"/>
    </row>
    <row r="9">
      <c r="A9" s="2" t="inlineStr">
        <is>
          <t>TC-008</t>
        </is>
      </c>
      <c r="B9" s="2" t="inlineStr">
        <is>
          <t>Web</t>
        </is>
      </c>
      <c r="C9" s="2" t="inlineStr">
        <is>
          <t>회원관리</t>
        </is>
      </c>
      <c r="D9" s="2" t="inlineStr">
        <is>
          <t>목록</t>
        </is>
      </c>
      <c r="E9" s="2" t="inlineStr">
        <is>
          <t>기능 테스트</t>
        </is>
      </c>
      <c r="F9" s="2" t="inlineStr">
        <is>
          <t>회원 필터 - 상태 필터 적용</t>
        </is>
      </c>
      <c r="G9" s="2" t="inlineStr">
        <is>
          <t>다양한 상태의 회원 데이터 존재</t>
        </is>
      </c>
      <c r="H9" s="2" t="inlineStr">
        <is>
          <t>1) 상태 필터에서 '만료' 선택
2) 목록 갱신 확인</t>
        </is>
      </c>
      <c r="I9" s="2" t="inlineStr">
        <is>
          <t>만료 상태 회원만 표시, 건수 일치</t>
        </is>
      </c>
      <c r="J9" s="2" t="n"/>
      <c r="K9" s="2" t="inlineStr">
        <is>
          <t>미실행</t>
        </is>
      </c>
      <c r="L9" s="2" t="inlineStr">
        <is>
          <t>High</t>
        </is>
      </c>
      <c r="M9" s="2" t="inlineStr">
        <is>
          <t>Major</t>
        </is>
      </c>
      <c r="N9" s="2" t="inlineStr">
        <is>
          <t>QA담당자1</t>
        </is>
      </c>
      <c r="O9" s="2" t="inlineStr">
        <is>
          <t>Staging</t>
        </is>
      </c>
      <c r="P9" s="2" t="inlineStr">
        <is>
          <t>Chrome</t>
        </is>
      </c>
      <c r="Q9" s="2" t="inlineStr">
        <is>
          <t>Desktop</t>
        </is>
      </c>
      <c r="R9" s="2" t="inlineStr">
        <is>
          <t>Windows 11</t>
        </is>
      </c>
      <c r="S9" s="2" t="inlineStr">
        <is>
          <t>1차</t>
        </is>
      </c>
      <c r="T9" s="2" t="inlineStr">
        <is>
          <t>수동</t>
        </is>
      </c>
      <c r="U9" s="2" t="inlineStr">
        <is>
          <t>SCR-010</t>
        </is>
      </c>
      <c r="V9" s="2" t="inlineStr">
        <is>
          <t>FN-003</t>
        </is>
      </c>
      <c r="W9" s="2" t="inlineStr">
        <is>
          <t>API-007</t>
        </is>
      </c>
      <c r="X9" s="2" t="n"/>
      <c r="Y9" s="2" t="n"/>
      <c r="Z9" s="2" t="inlineStr">
        <is>
          <t>회원 목록</t>
        </is>
      </c>
      <c r="AA9" s="2" t="inlineStr">
        <is>
          <t>회원 목록 조회/검색/필터</t>
        </is>
      </c>
      <c r="AB9" s="2" t="inlineStr">
        <is>
          <t>/api/v1/members</t>
        </is>
      </c>
      <c r="AC9" s="2" t="n"/>
    </row>
    <row r="10">
      <c r="A10" s="2" t="inlineStr">
        <is>
          <t>TC-009</t>
        </is>
      </c>
      <c r="B10" s="2" t="inlineStr">
        <is>
          <t>Web</t>
        </is>
      </c>
      <c r="C10" s="2" t="inlineStr">
        <is>
          <t>회원관리</t>
        </is>
      </c>
      <c r="D10" s="2" t="inlineStr">
        <is>
          <t>등록</t>
        </is>
      </c>
      <c r="E10" s="2" t="inlineStr">
        <is>
          <t>기능 테스트</t>
        </is>
      </c>
      <c r="F10" s="2" t="inlineStr">
        <is>
          <t>신규 회원 정상 등록</t>
        </is>
      </c>
      <c r="G10" s="2" t="inlineStr">
        <is>
          <t>로그인 완료, 매니저 이상 권한</t>
        </is>
      </c>
      <c r="H10" s="2" t="inlineStr">
        <is>
          <t>1) '회원등록' 버튼 클릭
2) 이름 입력: 테스트회원
3) 성별: 남 선택
4) 연락처: 010-1111-2222
5) '저장' 클릭</t>
        </is>
      </c>
      <c r="I10" s="2" t="inlineStr">
        <is>
          <t>회원 등록 성공 메시지, 회원 상세 페이지로 이동</t>
        </is>
      </c>
      <c r="J10" s="2" t="n"/>
      <c r="K10" s="2" t="inlineStr">
        <is>
          <t>미실행</t>
        </is>
      </c>
      <c r="L10" s="2" t="inlineStr">
        <is>
          <t>Critical</t>
        </is>
      </c>
      <c r="M10" s="2" t="inlineStr">
        <is>
          <t>Critical</t>
        </is>
      </c>
      <c r="N10" s="2" t="inlineStr">
        <is>
          <t>QA담당자1</t>
        </is>
      </c>
      <c r="O10" s="2" t="inlineStr">
        <is>
          <t>Staging</t>
        </is>
      </c>
      <c r="P10" s="2" t="inlineStr">
        <is>
          <t>Chrome</t>
        </is>
      </c>
      <c r="Q10" s="2" t="inlineStr">
        <is>
          <t>Desktop</t>
        </is>
      </c>
      <c r="R10" s="2" t="inlineStr">
        <is>
          <t>Windows 11</t>
        </is>
      </c>
      <c r="S10" s="2" t="inlineStr">
        <is>
          <t>1차</t>
        </is>
      </c>
      <c r="T10" s="2" t="inlineStr">
        <is>
          <t>자동화 예정</t>
        </is>
      </c>
      <c r="U10" s="2" t="inlineStr">
        <is>
          <t>SCR-012</t>
        </is>
      </c>
      <c r="V10" s="2" t="inlineStr">
        <is>
          <t>FN-004</t>
        </is>
      </c>
      <c r="W10" s="2" t="inlineStr">
        <is>
          <t>API-009</t>
        </is>
      </c>
      <c r="X10" s="2" t="n"/>
      <c r="Y10" s="2" t="n"/>
      <c r="Z10" s="2" t="inlineStr">
        <is>
          <t>회원 등록</t>
        </is>
      </c>
      <c r="AA10" s="2" t="inlineStr">
        <is>
          <t>회원 등록</t>
        </is>
      </c>
      <c r="AB10" s="2" t="inlineStr">
        <is>
          <t>/api/v1/members</t>
        </is>
      </c>
      <c r="AC10" s="2" t="n"/>
    </row>
    <row r="11">
      <c r="A11" s="2" t="inlineStr">
        <is>
          <t>TC-010</t>
        </is>
      </c>
      <c r="B11" s="2" t="inlineStr">
        <is>
          <t>Web</t>
        </is>
      </c>
      <c r="C11" s="2" t="inlineStr">
        <is>
          <t>회원관리</t>
        </is>
      </c>
      <c r="D11" s="2" t="inlineStr">
        <is>
          <t>등록</t>
        </is>
      </c>
      <c r="E11" s="2" t="inlineStr">
        <is>
          <t>기능 테스트</t>
        </is>
      </c>
      <c r="F11" s="2" t="inlineStr">
        <is>
          <t>회원 등록 실패 - 연락처 중복</t>
        </is>
      </c>
      <c r="G11" s="2" t="inlineStr">
        <is>
          <t>동일 연락처 회원 이미 존재</t>
        </is>
      </c>
      <c r="H11" s="2" t="inlineStr">
        <is>
          <t>1) 회원 등록 폼에 중복 연락처 입력
2) '저장' 클릭</t>
        </is>
      </c>
      <c r="I11" s="2" t="inlineStr">
        <is>
          <t>'이미 등록된 연락처입니다' 에러 메시지 표시</t>
        </is>
      </c>
      <c r="J11" s="2" t="n"/>
      <c r="K11" s="2" t="inlineStr">
        <is>
          <t>미실행</t>
        </is>
      </c>
      <c r="L11" s="2" t="inlineStr">
        <is>
          <t>High</t>
        </is>
      </c>
      <c r="M11" s="2" t="inlineStr">
        <is>
          <t>Major</t>
        </is>
      </c>
      <c r="N11" s="2" t="inlineStr">
        <is>
          <t>QA담당자1</t>
        </is>
      </c>
      <c r="O11" s="2" t="inlineStr">
        <is>
          <t>Staging</t>
        </is>
      </c>
      <c r="P11" s="2" t="inlineStr">
        <is>
          <t>Chrome</t>
        </is>
      </c>
      <c r="Q11" s="2" t="inlineStr">
        <is>
          <t>Desktop</t>
        </is>
      </c>
      <c r="R11" s="2" t="inlineStr">
        <is>
          <t>Windows 11</t>
        </is>
      </c>
      <c r="S11" s="2" t="inlineStr">
        <is>
          <t>1차</t>
        </is>
      </c>
      <c r="T11" s="2" t="inlineStr">
        <is>
          <t>수동</t>
        </is>
      </c>
      <c r="U11" s="2" t="inlineStr">
        <is>
          <t>SCR-012</t>
        </is>
      </c>
      <c r="V11" s="2" t="inlineStr">
        <is>
          <t>FN-004</t>
        </is>
      </c>
      <c r="W11" s="2" t="inlineStr">
        <is>
          <t>API-009</t>
        </is>
      </c>
      <c r="X11" s="2" t="n"/>
      <c r="Y11" s="2" t="n"/>
      <c r="Z11" s="2" t="inlineStr">
        <is>
          <t>회원 등록</t>
        </is>
      </c>
      <c r="AA11" s="2" t="inlineStr">
        <is>
          <t>회원 등록</t>
        </is>
      </c>
      <c r="AB11" s="2" t="inlineStr">
        <is>
          <t>/api/v1/members</t>
        </is>
      </c>
      <c r="AC11" s="2" t="n"/>
    </row>
    <row r="12">
      <c r="A12" s="2" t="inlineStr">
        <is>
          <t>TC-011</t>
        </is>
      </c>
      <c r="B12" s="2" t="inlineStr">
        <is>
          <t>Web</t>
        </is>
      </c>
      <c r="C12" s="2" t="inlineStr">
        <is>
          <t>회원관리</t>
        </is>
      </c>
      <c r="D12" s="2" t="inlineStr">
        <is>
          <t>등록</t>
        </is>
      </c>
      <c r="E12" s="2" t="inlineStr">
        <is>
          <t>UI/UX 테스트</t>
        </is>
      </c>
      <c r="F12" s="2" t="inlineStr">
        <is>
          <t>필수 항목 유효성 검사</t>
        </is>
      </c>
      <c r="G12" s="2" t="inlineStr">
        <is>
          <t>회원 등록 폼 접속</t>
        </is>
      </c>
      <c r="H12" s="2" t="inlineStr">
        <is>
          <t>1) 아무것도 입력하지 않고 '저장' 클릭</t>
        </is>
      </c>
      <c r="I12" s="2" t="inlineStr">
        <is>
          <t>필수 항목(이름/성별/연락처)에 에러 메시지 표시, 저장 불가</t>
        </is>
      </c>
      <c r="J12" s="2" t="n"/>
      <c r="K12" s="2" t="inlineStr">
        <is>
          <t>미실행</t>
        </is>
      </c>
      <c r="L12" s="2" t="inlineStr">
        <is>
          <t>High</t>
        </is>
      </c>
      <c r="M12" s="2" t="inlineStr">
        <is>
          <t>Major</t>
        </is>
      </c>
      <c r="N12" s="2" t="inlineStr">
        <is>
          <t>QA담당자1</t>
        </is>
      </c>
      <c r="O12" s="2" t="inlineStr">
        <is>
          <t>Staging</t>
        </is>
      </c>
      <c r="P12" s="2" t="inlineStr">
        <is>
          <t>Chrome</t>
        </is>
      </c>
      <c r="Q12" s="2" t="inlineStr">
        <is>
          <t>Desktop</t>
        </is>
      </c>
      <c r="R12" s="2" t="inlineStr">
        <is>
          <t>Windows 11</t>
        </is>
      </c>
      <c r="S12" s="2" t="inlineStr">
        <is>
          <t>1차</t>
        </is>
      </c>
      <c r="T12" s="2" t="inlineStr">
        <is>
          <t>수동</t>
        </is>
      </c>
      <c r="U12" s="2" t="inlineStr">
        <is>
          <t>SCR-012</t>
        </is>
      </c>
      <c r="V12" s="2" t="inlineStr">
        <is>
          <t>FN-004</t>
        </is>
      </c>
      <c r="W12" s="2" t="n"/>
      <c r="X12" s="2" t="n"/>
      <c r="Y12" s="2" t="n"/>
      <c r="Z12" s="2" t="inlineStr">
        <is>
          <t>회원 등록</t>
        </is>
      </c>
      <c r="AA12" s="2" t="inlineStr">
        <is>
          <t>회원 등록</t>
        </is>
      </c>
      <c r="AB12" s="2" t="inlineStr"/>
      <c r="AC12" s="2" t="n"/>
    </row>
    <row r="13">
      <c r="A13" s="2" t="inlineStr">
        <is>
          <t>TC-012</t>
        </is>
      </c>
      <c r="B13" s="2" t="inlineStr">
        <is>
          <t>Web</t>
        </is>
      </c>
      <c r="C13" s="2" t="inlineStr">
        <is>
          <t>회원관리</t>
        </is>
      </c>
      <c r="D13" s="2" t="inlineStr">
        <is>
          <t>상세</t>
        </is>
      </c>
      <c r="E13" s="2" t="inlineStr">
        <is>
          <t>기능 테스트</t>
        </is>
      </c>
      <c r="F13" s="2" t="inlineStr">
        <is>
          <t>회원 상세 탭 전환</t>
        </is>
      </c>
      <c r="G13" s="2" t="inlineStr">
        <is>
          <t>회원 데이터 존재</t>
        </is>
      </c>
      <c r="H13" s="2" t="inlineStr">
        <is>
          <t>1) 회원 상세 페이지 접속
2) 이용권 탭 클릭
3) 출석 탭 클릭
4) 결제 탭 클릭
5) 체성분 탭 클릭
6) 메모 탭 클릭</t>
        </is>
      </c>
      <c r="I13" s="2" t="inlineStr">
        <is>
          <t>각 탭별 데이터 정상 로드, URL 파라미터 유지</t>
        </is>
      </c>
      <c r="J13" s="2" t="n"/>
      <c r="K13" s="2" t="inlineStr">
        <is>
          <t>미실행</t>
        </is>
      </c>
      <c r="L13" s="2" t="inlineStr">
        <is>
          <t>High</t>
        </is>
      </c>
      <c r="M13" s="2" t="inlineStr">
        <is>
          <t>Major</t>
        </is>
      </c>
      <c r="N13" s="2" t="inlineStr">
        <is>
          <t>QA담당자1</t>
        </is>
      </c>
      <c r="O13" s="2" t="inlineStr">
        <is>
          <t>Staging</t>
        </is>
      </c>
      <c r="P13" s="2" t="inlineStr">
        <is>
          <t>Chrome</t>
        </is>
      </c>
      <c r="Q13" s="2" t="inlineStr">
        <is>
          <t>Desktop</t>
        </is>
      </c>
      <c r="R13" s="2" t="inlineStr">
        <is>
          <t>Windows 11</t>
        </is>
      </c>
      <c r="S13" s="2" t="inlineStr">
        <is>
          <t>1차</t>
        </is>
      </c>
      <c r="T13" s="2" t="inlineStr">
        <is>
          <t>수동</t>
        </is>
      </c>
      <c r="U13" s="2" t="inlineStr">
        <is>
          <t>SCR-011</t>
        </is>
      </c>
      <c r="V13" s="2" t="inlineStr">
        <is>
          <t>FN-006</t>
        </is>
      </c>
      <c r="W13" s="2" t="inlineStr">
        <is>
          <t>API-008</t>
        </is>
      </c>
      <c r="X13" s="2" t="n"/>
      <c r="Y13" s="2" t="n"/>
      <c r="Z13" s="2" t="inlineStr">
        <is>
          <t>회원 상세</t>
        </is>
      </c>
      <c r="AA13" s="2" t="inlineStr">
        <is>
          <t>회원 상세 조회</t>
        </is>
      </c>
      <c r="AB13" s="2" t="inlineStr">
        <is>
          <t>/api/v1/members/:id</t>
        </is>
      </c>
      <c r="AC13" s="2" t="n"/>
    </row>
    <row r="14">
      <c r="A14" s="2" t="inlineStr">
        <is>
          <t>TC-013</t>
        </is>
      </c>
      <c r="B14" s="2" t="inlineStr">
        <is>
          <t>Web</t>
        </is>
      </c>
      <c r="C14" s="2" t="inlineStr">
        <is>
          <t>회원관리</t>
        </is>
      </c>
      <c r="D14" s="2" t="inlineStr">
        <is>
          <t>수정</t>
        </is>
      </c>
      <c r="E14" s="2" t="inlineStr">
        <is>
          <t>기능 테스트</t>
        </is>
      </c>
      <c r="F14" s="2" t="inlineStr">
        <is>
          <t>회원 정보 수정</t>
        </is>
      </c>
      <c r="G14" s="2" t="inlineStr">
        <is>
          <t>회원 데이터 존재</t>
        </is>
      </c>
      <c r="H14" s="2" t="inlineStr">
        <is>
          <t>1) 회원 상세 → '수정' 클릭
2) 이름 변경
3) '저장' 클릭</t>
        </is>
      </c>
      <c r="I14" s="2" t="inlineStr">
        <is>
          <t>수정 성공, 변경 이력 기록, 상세 페이지로 이동</t>
        </is>
      </c>
      <c r="J14" s="2" t="n"/>
      <c r="K14" s="2" t="inlineStr">
        <is>
          <t>미실행</t>
        </is>
      </c>
      <c r="L14" s="2" t="inlineStr">
        <is>
          <t>High</t>
        </is>
      </c>
      <c r="M14" s="2" t="inlineStr">
        <is>
          <t>Major</t>
        </is>
      </c>
      <c r="N14" s="2" t="inlineStr">
        <is>
          <t>QA담당자1</t>
        </is>
      </c>
      <c r="O14" s="2" t="inlineStr">
        <is>
          <t>Staging</t>
        </is>
      </c>
      <c r="P14" s="2" t="inlineStr">
        <is>
          <t>Chrome</t>
        </is>
      </c>
      <c r="Q14" s="2" t="inlineStr">
        <is>
          <t>Desktop</t>
        </is>
      </c>
      <c r="R14" s="2" t="inlineStr">
        <is>
          <t>Windows 11</t>
        </is>
      </c>
      <c r="S14" s="2" t="inlineStr">
        <is>
          <t>1차</t>
        </is>
      </c>
      <c r="T14" s="2" t="inlineStr">
        <is>
          <t>수동</t>
        </is>
      </c>
      <c r="U14" s="2" t="inlineStr">
        <is>
          <t>SCR-013</t>
        </is>
      </c>
      <c r="V14" s="2" t="inlineStr">
        <is>
          <t>FN-005</t>
        </is>
      </c>
      <c r="W14" s="2" t="inlineStr">
        <is>
          <t>API-010</t>
        </is>
      </c>
      <c r="X14" s="2" t="n"/>
      <c r="Y14" s="2" t="n"/>
      <c r="Z14" s="2" t="inlineStr">
        <is>
          <t>회원 수정</t>
        </is>
      </c>
      <c r="AA14" s="2" t="inlineStr">
        <is>
          <t>회원 정보 수정</t>
        </is>
      </c>
      <c r="AB14" s="2" t="inlineStr">
        <is>
          <t>/api/v1/members/:id</t>
        </is>
      </c>
      <c r="AC14" s="2" t="n"/>
    </row>
    <row r="15">
      <c r="A15" s="2" t="inlineStr">
        <is>
          <t>TC-014</t>
        </is>
      </c>
      <c r="B15" s="2" t="inlineStr">
        <is>
          <t>Web</t>
        </is>
      </c>
      <c r="C15" s="2" t="inlineStr">
        <is>
          <t>매출관리</t>
        </is>
      </c>
      <c r="D15" s="2" t="inlineStr">
        <is>
          <t>조회</t>
        </is>
      </c>
      <c r="E15" s="2" t="inlineStr">
        <is>
          <t>기능 테스트</t>
        </is>
      </c>
      <c r="F15" s="2" t="inlineStr">
        <is>
          <t>매출 기간 필터 조회</t>
        </is>
      </c>
      <c r="G15" s="2" t="inlineStr">
        <is>
          <t>매출 데이터 존재</t>
        </is>
      </c>
      <c r="H15" s="2" t="inlineStr">
        <is>
          <t>1) 매출 조회 페이지 접속
2) 시작일/종료일 선택
3) 결과 확인</t>
        </is>
      </c>
      <c r="I15" s="2" t="inlineStr">
        <is>
          <t>선택 기간의 매출만 표시, 통계 카드 갱신</t>
        </is>
      </c>
      <c r="J15" s="2" t="n"/>
      <c r="K15" s="2" t="inlineStr">
        <is>
          <t>미실행</t>
        </is>
      </c>
      <c r="L15" s="2" t="inlineStr">
        <is>
          <t>Critical</t>
        </is>
      </c>
      <c r="M15" s="2" t="inlineStr">
        <is>
          <t>Critical</t>
        </is>
      </c>
      <c r="N15" s="2" t="inlineStr">
        <is>
          <t>QA담당자1</t>
        </is>
      </c>
      <c r="O15" s="2" t="inlineStr">
        <is>
          <t>Staging</t>
        </is>
      </c>
      <c r="P15" s="2" t="inlineStr">
        <is>
          <t>Chrome</t>
        </is>
      </c>
      <c r="Q15" s="2" t="inlineStr">
        <is>
          <t>Desktop</t>
        </is>
      </c>
      <c r="R15" s="2" t="inlineStr">
        <is>
          <t>Windows 11</t>
        </is>
      </c>
      <c r="S15" s="2" t="inlineStr">
        <is>
          <t>1차</t>
        </is>
      </c>
      <c r="T15" s="2" t="inlineStr">
        <is>
          <t>자동화 예정</t>
        </is>
      </c>
      <c r="U15" s="2" t="inlineStr">
        <is>
          <t>SCR-030</t>
        </is>
      </c>
      <c r="V15" s="2" t="inlineStr">
        <is>
          <t>FN-010</t>
        </is>
      </c>
      <c r="W15" s="2" t="inlineStr">
        <is>
          <t>API-015</t>
        </is>
      </c>
      <c r="X15" s="2" t="n"/>
      <c r="Y15" s="2" t="n"/>
      <c r="Z15" s="2" t="inlineStr">
        <is>
          <t>매출 조회</t>
        </is>
      </c>
      <c r="AA15" s="2" t="inlineStr">
        <is>
          <t>매출 조회/통계</t>
        </is>
      </c>
      <c r="AB15" s="2" t="inlineStr">
        <is>
          <t>/api/v1/sales</t>
        </is>
      </c>
      <c r="AC15" s="2" t="n"/>
    </row>
    <row r="16">
      <c r="A16" s="2" t="inlineStr">
        <is>
          <t>TC-015</t>
        </is>
      </c>
      <c r="B16" s="2" t="inlineStr">
        <is>
          <t>Web</t>
        </is>
      </c>
      <c r="C16" s="2" t="inlineStr">
        <is>
          <t>매출관리</t>
        </is>
      </c>
      <c r="D16" s="2" t="inlineStr">
        <is>
          <t>조회</t>
        </is>
      </c>
      <c r="E16" s="2" t="inlineStr">
        <is>
          <t>기능 테스트</t>
        </is>
      </c>
      <c r="F16" s="2" t="inlineStr">
        <is>
          <t>매출 엑셀 다운로드</t>
        </is>
      </c>
      <c r="G16" s="2" t="inlineStr">
        <is>
          <t>매출 데이터 존재</t>
        </is>
      </c>
      <c r="H16" s="2" t="inlineStr">
        <is>
          <t>1) 매출 조회
2) '엑셀 다운로드' 클릭</t>
        </is>
      </c>
      <c r="I16" s="2" t="inlineStr">
        <is>
          <t>xlsx 파일 다운로드, 현재 필터 결과와 동일한 데이터</t>
        </is>
      </c>
      <c r="J16" s="2" t="n"/>
      <c r="K16" s="2" t="inlineStr">
        <is>
          <t>미실행</t>
        </is>
      </c>
      <c r="L16" s="2" t="inlineStr">
        <is>
          <t>High</t>
        </is>
      </c>
      <c r="M16" s="2" t="inlineStr">
        <is>
          <t>Major</t>
        </is>
      </c>
      <c r="N16" s="2" t="inlineStr">
        <is>
          <t>QA담당자1</t>
        </is>
      </c>
      <c r="O16" s="2" t="inlineStr">
        <is>
          <t>Staging</t>
        </is>
      </c>
      <c r="P16" s="2" t="inlineStr">
        <is>
          <t>Chrome</t>
        </is>
      </c>
      <c r="Q16" s="2" t="inlineStr">
        <is>
          <t>Desktop</t>
        </is>
      </c>
      <c r="R16" s="2" t="inlineStr">
        <is>
          <t>Windows 11</t>
        </is>
      </c>
      <c r="S16" s="2" t="inlineStr">
        <is>
          <t>1차</t>
        </is>
      </c>
      <c r="T16" s="2" t="inlineStr">
        <is>
          <t>수동</t>
        </is>
      </c>
      <c r="U16" s="2" t="inlineStr">
        <is>
          <t>SCR-030</t>
        </is>
      </c>
      <c r="V16" s="2" t="inlineStr">
        <is>
          <t>FN-010</t>
        </is>
      </c>
      <c r="W16" s="2" t="inlineStr">
        <is>
          <t>API-015</t>
        </is>
      </c>
      <c r="X16" s="2" t="n"/>
      <c r="Y16" s="2" t="n"/>
      <c r="Z16" s="2" t="inlineStr">
        <is>
          <t>매출 조회</t>
        </is>
      </c>
      <c r="AA16" s="2" t="inlineStr">
        <is>
          <t>매출 조회/통계</t>
        </is>
      </c>
      <c r="AB16" s="2" t="inlineStr">
        <is>
          <t>/api/v1/sales</t>
        </is>
      </c>
      <c r="AC16" s="2" t="n"/>
    </row>
    <row r="17">
      <c r="A17" s="2" t="inlineStr">
        <is>
          <t>TC-016</t>
        </is>
      </c>
      <c r="B17" s="2" t="inlineStr">
        <is>
          <t>Web</t>
        </is>
      </c>
      <c r="C17" s="2" t="inlineStr">
        <is>
          <t>매출관리</t>
        </is>
      </c>
      <c r="D17" s="2" t="inlineStr">
        <is>
          <t>POS</t>
        </is>
      </c>
      <c r="E17" s="2" t="inlineStr">
        <is>
          <t>기능 테스트</t>
        </is>
      </c>
      <c r="F17" s="2" t="inlineStr">
        <is>
          <t>POS 상품 선택 및 장바구니</t>
        </is>
      </c>
      <c r="G17" s="2" t="inlineStr">
        <is>
          <t>상품 데이터 존재</t>
        </is>
      </c>
      <c r="H17" s="2" t="inlineStr">
        <is>
          <t>1) POS 페이지 접속
2) 카테고리 선택
3) 상품 클릭 (장바구니 추가)
4) 수량 변경
5) 합계 확인</t>
        </is>
      </c>
      <c r="I17" s="2" t="inlineStr">
        <is>
          <t>장바구니에 상품 추가, 수량 반영, 합계 자동 계산</t>
        </is>
      </c>
      <c r="J17" s="2" t="n"/>
      <c r="K17" s="2" t="inlineStr">
        <is>
          <t>미실행</t>
        </is>
      </c>
      <c r="L17" s="2" t="inlineStr">
        <is>
          <t>Critical</t>
        </is>
      </c>
      <c r="M17" s="2" t="inlineStr">
        <is>
          <t>Critical</t>
        </is>
      </c>
      <c r="N17" s="2" t="inlineStr">
        <is>
          <t>QA담당자1</t>
        </is>
      </c>
      <c r="O17" s="2" t="inlineStr">
        <is>
          <t>Staging</t>
        </is>
      </c>
      <c r="P17" s="2" t="inlineStr">
        <is>
          <t>Chrome</t>
        </is>
      </c>
      <c r="Q17" s="2" t="inlineStr">
        <is>
          <t>Desktop</t>
        </is>
      </c>
      <c r="R17" s="2" t="inlineStr">
        <is>
          <t>Windows 11</t>
        </is>
      </c>
      <c r="S17" s="2" t="inlineStr">
        <is>
          <t>1차</t>
        </is>
      </c>
      <c r="T17" s="2" t="inlineStr">
        <is>
          <t>수동</t>
        </is>
      </c>
      <c r="U17" s="2" t="inlineStr">
        <is>
          <t>SCR-031</t>
        </is>
      </c>
      <c r="V17" s="2" t="inlineStr">
        <is>
          <t>FN-011</t>
        </is>
      </c>
      <c r="W17" s="2" t="inlineStr">
        <is>
          <t>API-018</t>
        </is>
      </c>
      <c r="X17" s="2" t="n"/>
      <c r="Y17" s="2" t="n"/>
      <c r="Z17" s="2" t="inlineStr">
        <is>
          <t>POS</t>
        </is>
      </c>
      <c r="AA17" s="2" t="inlineStr">
        <is>
          <t>POS 상품 선택/결제</t>
        </is>
      </c>
      <c r="AB17" s="2" t="inlineStr">
        <is>
          <t>/api/v1/products</t>
        </is>
      </c>
      <c r="AC17" s="2" t="n"/>
    </row>
    <row r="18">
      <c r="A18" s="2" t="inlineStr">
        <is>
          <t>TC-017</t>
        </is>
      </c>
      <c r="B18" s="2" t="inlineStr">
        <is>
          <t>Web</t>
        </is>
      </c>
      <c r="C18" s="2" t="inlineStr">
        <is>
          <t>매출관리</t>
        </is>
      </c>
      <c r="D18" s="2" t="inlineStr">
        <is>
          <t>POS</t>
        </is>
      </c>
      <c r="E18" s="2" t="inlineStr">
        <is>
          <t>기능 테스트</t>
        </is>
      </c>
      <c r="F18" s="2" t="inlineStr">
        <is>
          <t>POS 카드 결제 처리</t>
        </is>
      </c>
      <c r="G18" s="2" t="inlineStr">
        <is>
          <t>장바구니에 상품 존재</t>
        </is>
      </c>
      <c r="H18" s="2" t="inlineStr">
        <is>
          <t>1) '결제' 버튼 클릭
2) 회원 검색/선택
3) 결제수단: 카드 선택
4) '결제 확인' 클릭</t>
        </is>
      </c>
      <c r="I18" s="2" t="inlineStr">
        <is>
          <t>결제 성공, 매출 등록, 영수증 표시</t>
        </is>
      </c>
      <c r="J18" s="2" t="n"/>
      <c r="K18" s="2" t="inlineStr">
        <is>
          <t>미실행</t>
        </is>
      </c>
      <c r="L18" s="2" t="inlineStr">
        <is>
          <t>Critical</t>
        </is>
      </c>
      <c r="M18" s="2" t="inlineStr">
        <is>
          <t>Blocker</t>
        </is>
      </c>
      <c r="N18" s="2" t="inlineStr">
        <is>
          <t>QA담당자1</t>
        </is>
      </c>
      <c r="O18" s="2" t="inlineStr">
        <is>
          <t>Staging</t>
        </is>
      </c>
      <c r="P18" s="2" t="inlineStr">
        <is>
          <t>Chrome</t>
        </is>
      </c>
      <c r="Q18" s="2" t="inlineStr">
        <is>
          <t>Desktop</t>
        </is>
      </c>
      <c r="R18" s="2" t="inlineStr">
        <is>
          <t>Windows 11</t>
        </is>
      </c>
      <c r="S18" s="2" t="inlineStr">
        <is>
          <t>1차</t>
        </is>
      </c>
      <c r="T18" s="2" t="inlineStr">
        <is>
          <t>수동</t>
        </is>
      </c>
      <c r="U18" s="2" t="inlineStr">
        <is>
          <t>SCR-032</t>
        </is>
      </c>
      <c r="V18" s="2" t="inlineStr">
        <is>
          <t>FN-012</t>
        </is>
      </c>
      <c r="W18" s="2" t="inlineStr">
        <is>
          <t>API-016</t>
        </is>
      </c>
      <c r="X18" s="2" t="n"/>
      <c r="Y18" s="2" t="n"/>
      <c r="Z18" s="2" t="inlineStr">
        <is>
          <t>POS 결제</t>
        </is>
      </c>
      <c r="AA18" s="2" t="inlineStr">
        <is>
          <t>POS 결제 처리</t>
        </is>
      </c>
      <c r="AB18" s="2" t="inlineStr">
        <is>
          <t>/api/v1/sales</t>
        </is>
      </c>
      <c r="AC18" s="2" t="n"/>
    </row>
    <row r="19">
      <c r="A19" s="2" t="inlineStr">
        <is>
          <t>TC-018</t>
        </is>
      </c>
      <c r="B19" s="2" t="inlineStr">
        <is>
          <t>Web</t>
        </is>
      </c>
      <c r="C19" s="2" t="inlineStr">
        <is>
          <t>매출관리</t>
        </is>
      </c>
      <c r="D19" s="2" t="inlineStr">
        <is>
          <t>POS</t>
        </is>
      </c>
      <c r="E19" s="2" t="inlineStr">
        <is>
          <t>기능 테스트</t>
        </is>
      </c>
      <c r="F19" s="2" t="inlineStr">
        <is>
          <t>POS 복합결제 (현금+카드)</t>
        </is>
      </c>
      <c r="G19" s="2" t="inlineStr">
        <is>
          <t>장바구니에 상품 존재</t>
        </is>
      </c>
      <c r="H19" s="2" t="inlineStr">
        <is>
          <t>1) 결제수단: 복합 선택
2) 현금 금액 입력
3) 나머지 카드 자동 계산
4) '결제 확인'</t>
        </is>
      </c>
      <c r="I19" s="2" t="inlineStr">
        <is>
          <t>복합결제 성공, 현금/카드 금액 정확히 분리 기록</t>
        </is>
      </c>
      <c r="J19" s="2" t="n"/>
      <c r="K19" s="2" t="inlineStr">
        <is>
          <t>미실행</t>
        </is>
      </c>
      <c r="L19" s="2" t="inlineStr">
        <is>
          <t>High</t>
        </is>
      </c>
      <c r="M19" s="2" t="inlineStr">
        <is>
          <t>Critical</t>
        </is>
      </c>
      <c r="N19" s="2" t="inlineStr">
        <is>
          <t>QA담당자1</t>
        </is>
      </c>
      <c r="O19" s="2" t="inlineStr">
        <is>
          <t>Staging</t>
        </is>
      </c>
      <c r="P19" s="2" t="inlineStr">
        <is>
          <t>Chrome</t>
        </is>
      </c>
      <c r="Q19" s="2" t="inlineStr">
        <is>
          <t>Desktop</t>
        </is>
      </c>
      <c r="R19" s="2" t="inlineStr">
        <is>
          <t>Windows 11</t>
        </is>
      </c>
      <c r="S19" s="2" t="inlineStr">
        <is>
          <t>1차</t>
        </is>
      </c>
      <c r="T19" s="2" t="inlineStr">
        <is>
          <t>수동</t>
        </is>
      </c>
      <c r="U19" s="2" t="inlineStr">
        <is>
          <t>SCR-032</t>
        </is>
      </c>
      <c r="V19" s="2" t="inlineStr">
        <is>
          <t>FN-012</t>
        </is>
      </c>
      <c r="W19" s="2" t="inlineStr">
        <is>
          <t>API-016</t>
        </is>
      </c>
      <c r="X19" s="2" t="n"/>
      <c r="Y19" s="2" t="n"/>
      <c r="Z19" s="2" t="inlineStr">
        <is>
          <t>POS 결제</t>
        </is>
      </c>
      <c r="AA19" s="2" t="inlineStr">
        <is>
          <t>POS 결제 처리</t>
        </is>
      </c>
      <c r="AB19" s="2" t="inlineStr">
        <is>
          <t>/api/v1/sales</t>
        </is>
      </c>
      <c r="AC19" s="2" t="n"/>
    </row>
    <row r="20">
      <c r="A20" s="2" t="inlineStr">
        <is>
          <t>TC-019</t>
        </is>
      </c>
      <c r="B20" s="2" t="inlineStr">
        <is>
          <t>Web</t>
        </is>
      </c>
      <c r="C20" s="2" t="inlineStr">
        <is>
          <t>상품관리</t>
        </is>
      </c>
      <c r="D20" s="2" t="inlineStr">
        <is>
          <t>등록</t>
        </is>
      </c>
      <c r="E20" s="2" t="inlineStr">
        <is>
          <t>기능 테스트</t>
        </is>
      </c>
      <c r="F20" s="2" t="inlineStr">
        <is>
          <t>신규 상품 등록</t>
        </is>
      </c>
      <c r="G20" s="2" t="inlineStr">
        <is>
          <t>센터장 이상 권한</t>
        </is>
      </c>
      <c r="H20" s="2" t="inlineStr">
        <is>
          <t>1) 상품등록 페이지 접속
2) 카테고리: 이용권
3) 이름: 3개월 이용권
4) 현금가: 280000
5) 카드가: 300000
6) '저장'</t>
        </is>
      </c>
      <c r="I20" s="2" t="inlineStr">
        <is>
          <t>상품 등록 성공, 목록에 표시</t>
        </is>
      </c>
      <c r="J20" s="2" t="n"/>
      <c r="K20" s="2" t="inlineStr">
        <is>
          <t>미실행</t>
        </is>
      </c>
      <c r="L20" s="2" t="inlineStr">
        <is>
          <t>High</t>
        </is>
      </c>
      <c r="M20" s="2" t="inlineStr">
        <is>
          <t>Major</t>
        </is>
      </c>
      <c r="N20" s="2" t="inlineStr">
        <is>
          <t>QA담당자1</t>
        </is>
      </c>
      <c r="O20" s="2" t="inlineStr">
        <is>
          <t>Staging</t>
        </is>
      </c>
      <c r="P20" s="2" t="inlineStr">
        <is>
          <t>Chrome</t>
        </is>
      </c>
      <c r="Q20" s="2" t="inlineStr">
        <is>
          <t>Desktop</t>
        </is>
      </c>
      <c r="R20" s="2" t="inlineStr">
        <is>
          <t>Windows 11</t>
        </is>
      </c>
      <c r="S20" s="2" t="inlineStr">
        <is>
          <t>1차</t>
        </is>
      </c>
      <c r="T20" s="2" t="inlineStr">
        <is>
          <t>수동</t>
        </is>
      </c>
      <c r="U20" s="2" t="inlineStr">
        <is>
          <t>SCR-041</t>
        </is>
      </c>
      <c r="V20" s="2" t="inlineStr">
        <is>
          <t>FN-014</t>
        </is>
      </c>
      <c r="W20" s="2" t="inlineStr">
        <is>
          <t>API-019</t>
        </is>
      </c>
      <c r="X20" s="2" t="n"/>
      <c r="Y20" s="2" t="n"/>
      <c r="Z20" s="2" t="inlineStr">
        <is>
          <t>상품 등록</t>
        </is>
      </c>
      <c r="AA20" s="2" t="inlineStr">
        <is>
          <t>상품 등록/수정</t>
        </is>
      </c>
      <c r="AB20" s="2" t="inlineStr">
        <is>
          <t>/api/v1/products</t>
        </is>
      </c>
      <c r="AC20" s="2" t="n"/>
    </row>
    <row r="21">
      <c r="A21" s="2" t="inlineStr">
        <is>
          <t>TC-020</t>
        </is>
      </c>
      <c r="B21" s="2" t="inlineStr">
        <is>
          <t>Web</t>
        </is>
      </c>
      <c r="C21" s="2" t="inlineStr">
        <is>
          <t>시설관리</t>
        </is>
      </c>
      <c r="D21" s="2" t="inlineStr">
        <is>
          <t>락커</t>
        </is>
      </c>
      <c r="E21" s="2" t="inlineStr">
        <is>
          <t>기능 테스트</t>
        </is>
      </c>
      <c r="F21" s="2" t="inlineStr">
        <is>
          <t>락커 현황 그리드 표시</t>
        </is>
      </c>
      <c r="G21" s="2" t="inlineStr">
        <is>
          <t>락커 데이터 존재</t>
        </is>
      </c>
      <c r="H21" s="2" t="inlineStr">
        <is>
          <t>1) 락커 현황 페이지 접속
2) 구역 탭 선택
3) 그리드 색상 확인</t>
        </is>
      </c>
      <c r="I21" s="2" t="inlineStr">
        <is>
          <t>구역별 락커 그리드 표시, 상태별 색상 구분 정확</t>
        </is>
      </c>
      <c r="J21" s="2" t="n"/>
      <c r="K21" s="2" t="inlineStr">
        <is>
          <t>미실행</t>
        </is>
      </c>
      <c r="L21" s="2" t="inlineStr">
        <is>
          <t>High</t>
        </is>
      </c>
      <c r="M21" s="2" t="inlineStr">
        <is>
          <t>Major</t>
        </is>
      </c>
      <c r="N21" s="2" t="inlineStr">
        <is>
          <t>QA담당자2</t>
        </is>
      </c>
      <c r="O21" s="2" t="inlineStr">
        <is>
          <t>Staging</t>
        </is>
      </c>
      <c r="P21" s="2" t="inlineStr">
        <is>
          <t>Chrome</t>
        </is>
      </c>
      <c r="Q21" s="2" t="inlineStr">
        <is>
          <t>Desktop</t>
        </is>
      </c>
      <c r="R21" s="2" t="inlineStr">
        <is>
          <t>Windows 11</t>
        </is>
      </c>
      <c r="S21" s="2" t="inlineStr">
        <is>
          <t>1차</t>
        </is>
      </c>
      <c r="T21" s="2" t="inlineStr">
        <is>
          <t>수동</t>
        </is>
      </c>
      <c r="U21" s="2" t="inlineStr">
        <is>
          <t>SCR-050</t>
        </is>
      </c>
      <c r="V21" s="2" t="inlineStr">
        <is>
          <t>FN-015</t>
        </is>
      </c>
      <c r="W21" s="2" t="inlineStr">
        <is>
          <t>API-020</t>
        </is>
      </c>
      <c r="X21" s="2" t="n"/>
      <c r="Y21" s="2" t="n"/>
      <c r="Z21" s="2" t="inlineStr">
        <is>
          <t>락커 현황</t>
        </is>
      </c>
      <c r="AA21" s="2" t="inlineStr">
        <is>
          <t>락커 현황 조회</t>
        </is>
      </c>
      <c r="AB21" s="2" t="inlineStr">
        <is>
          <t>/api/v1/lockers</t>
        </is>
      </c>
      <c r="AC21" s="2" t="n"/>
    </row>
    <row r="22">
      <c r="A22" s="2" t="inlineStr">
        <is>
          <t>TC-021</t>
        </is>
      </c>
      <c r="B22" s="2" t="inlineStr">
        <is>
          <t>Web</t>
        </is>
      </c>
      <c r="C22" s="2" t="inlineStr">
        <is>
          <t>시설관리</t>
        </is>
      </c>
      <c r="D22" s="2" t="inlineStr">
        <is>
          <t>락커</t>
        </is>
      </c>
      <c r="E22" s="2" t="inlineStr">
        <is>
          <t>기능 테스트</t>
        </is>
      </c>
      <c r="F22" s="2" t="inlineStr">
        <is>
          <t>락커 배정</t>
        </is>
      </c>
      <c r="G22" s="2" t="inlineStr">
        <is>
          <t>빈 락커 존재, 회원 존재</t>
        </is>
      </c>
      <c r="H22" s="2" t="inlineStr">
        <is>
          <t>1) 락커 관리 접속
2) 회원 검색/선택
3) 빈 락커 클릭
4) 만료일 설정
5) '배정' 클릭</t>
        </is>
      </c>
      <c r="I22" s="2" t="inlineStr">
        <is>
          <t>락커 배정 성공, 상태 '사용중'으로 변경</t>
        </is>
      </c>
      <c r="J22" s="2" t="n"/>
      <c r="K22" s="2" t="inlineStr">
        <is>
          <t>미실행</t>
        </is>
      </c>
      <c r="L22" s="2" t="inlineStr">
        <is>
          <t>High</t>
        </is>
      </c>
      <c r="M22" s="2" t="inlineStr">
        <is>
          <t>Major</t>
        </is>
      </c>
      <c r="N22" s="2" t="inlineStr">
        <is>
          <t>QA담당자2</t>
        </is>
      </c>
      <c r="O22" s="2" t="inlineStr">
        <is>
          <t>Staging</t>
        </is>
      </c>
      <c r="P22" s="2" t="inlineStr">
        <is>
          <t>Chrome</t>
        </is>
      </c>
      <c r="Q22" s="2" t="inlineStr">
        <is>
          <t>Desktop</t>
        </is>
      </c>
      <c r="R22" s="2" t="inlineStr">
        <is>
          <t>Windows 11</t>
        </is>
      </c>
      <c r="S22" s="2" t="inlineStr">
        <is>
          <t>1차</t>
        </is>
      </c>
      <c r="T22" s="2" t="inlineStr">
        <is>
          <t>수동</t>
        </is>
      </c>
      <c r="U22" s="2" t="inlineStr">
        <is>
          <t>SCR-051</t>
        </is>
      </c>
      <c r="V22" s="2" t="inlineStr">
        <is>
          <t>FN-016</t>
        </is>
      </c>
      <c r="W22" s="2" t="inlineStr">
        <is>
          <t>API-021</t>
        </is>
      </c>
      <c r="X22" s="2" t="n"/>
      <c r="Y22" s="2" t="n"/>
      <c r="Z22" s="2" t="inlineStr">
        <is>
          <t>락커 관리</t>
        </is>
      </c>
      <c r="AA22" s="2" t="inlineStr">
        <is>
          <t>락커 배정/관리</t>
        </is>
      </c>
      <c r="AB22" s="2" t="inlineStr">
        <is>
          <t>/api/v1/lockers/:id</t>
        </is>
      </c>
      <c r="AC22" s="2" t="n"/>
    </row>
    <row r="23">
      <c r="A23" s="2" t="inlineStr">
        <is>
          <t>TC-022</t>
        </is>
      </c>
      <c r="B23" s="2" t="inlineStr">
        <is>
          <t>Web</t>
        </is>
      </c>
      <c r="C23" s="2" t="inlineStr">
        <is>
          <t>직원관리</t>
        </is>
      </c>
      <c r="D23" s="2" t="inlineStr">
        <is>
          <t>목록</t>
        </is>
      </c>
      <c r="E23" s="2" t="inlineStr">
        <is>
          <t>기능 테스트</t>
        </is>
      </c>
      <c r="F23" s="2" t="inlineStr">
        <is>
          <t>직원 목록 조회</t>
        </is>
      </c>
      <c r="G23" s="2" t="inlineStr">
        <is>
          <t>직원 데이터 존재, 센터장 권한</t>
        </is>
      </c>
      <c r="H23" s="2" t="inlineStr">
        <is>
          <t>1) 직원 목록 접속
2) 역할 필터 선택
3) 결과 확인</t>
        </is>
      </c>
      <c r="I23" s="2" t="inlineStr">
        <is>
          <t>필터에 맞는 직원만 표시</t>
        </is>
      </c>
      <c r="J23" s="2" t="n"/>
      <c r="K23" s="2" t="inlineStr">
        <is>
          <t>미실행</t>
        </is>
      </c>
      <c r="L23" s="2" t="inlineStr">
        <is>
          <t>High</t>
        </is>
      </c>
      <c r="M23" s="2" t="inlineStr">
        <is>
          <t>Major</t>
        </is>
      </c>
      <c r="N23" s="2" t="inlineStr">
        <is>
          <t>QA담당자2</t>
        </is>
      </c>
      <c r="O23" s="2" t="inlineStr">
        <is>
          <t>Staging</t>
        </is>
      </c>
      <c r="P23" s="2" t="inlineStr">
        <is>
          <t>Chrome</t>
        </is>
      </c>
      <c r="Q23" s="2" t="inlineStr">
        <is>
          <t>Desktop</t>
        </is>
      </c>
      <c r="R23" s="2" t="inlineStr">
        <is>
          <t>Windows 11</t>
        </is>
      </c>
      <c r="S23" s="2" t="inlineStr">
        <is>
          <t>1차</t>
        </is>
      </c>
      <c r="T23" s="2" t="inlineStr">
        <is>
          <t>수동</t>
        </is>
      </c>
      <c r="U23" s="2" t="inlineStr">
        <is>
          <t>SCR-060</t>
        </is>
      </c>
      <c r="V23" s="2" t="inlineStr">
        <is>
          <t>FN-019</t>
        </is>
      </c>
      <c r="W23" s="2" t="inlineStr">
        <is>
          <t>API-022</t>
        </is>
      </c>
      <c r="X23" s="2" t="n"/>
      <c r="Y23" s="2" t="n"/>
      <c r="Z23" s="2" t="inlineStr">
        <is>
          <t>직원 목록</t>
        </is>
      </c>
      <c r="AA23" s="2" t="inlineStr">
        <is>
          <t>직원 목록 조회</t>
        </is>
      </c>
      <c r="AB23" s="2" t="inlineStr">
        <is>
          <t>/api/v1/staff</t>
        </is>
      </c>
      <c r="AC23" s="2" t="n"/>
    </row>
    <row r="24">
      <c r="A24" s="2" t="inlineStr">
        <is>
          <t>TC-023</t>
        </is>
      </c>
      <c r="B24" s="2" t="inlineStr">
        <is>
          <t>Web</t>
        </is>
      </c>
      <c r="C24" s="2" t="inlineStr">
        <is>
          <t>직원관리</t>
        </is>
      </c>
      <c r="D24" s="2" t="inlineStr">
        <is>
          <t>등록</t>
        </is>
      </c>
      <c r="E24" s="2" t="inlineStr">
        <is>
          <t>기능 테스트</t>
        </is>
      </c>
      <c r="F24" s="2" t="inlineStr">
        <is>
          <t>신규 직원 등록</t>
        </is>
      </c>
      <c r="G24" s="2" t="inlineStr">
        <is>
          <t>센터장 권한</t>
        </is>
      </c>
      <c r="H24" s="2" t="inlineStr">
        <is>
          <t>1) 직원등록 접속
2) 이름/역할/연락처/입사일 입력
3) '저장'</t>
        </is>
      </c>
      <c r="I24" s="2" t="inlineStr">
        <is>
          <t>직원 등록 성공, 관리자 계정 자동 생성</t>
        </is>
      </c>
      <c r="J24" s="2" t="n"/>
      <c r="K24" s="2" t="inlineStr">
        <is>
          <t>미실행</t>
        </is>
      </c>
      <c r="L24" s="2" t="inlineStr">
        <is>
          <t>High</t>
        </is>
      </c>
      <c r="M24" s="2" t="inlineStr">
        <is>
          <t>Major</t>
        </is>
      </c>
      <c r="N24" s="2" t="inlineStr">
        <is>
          <t>QA담당자2</t>
        </is>
      </c>
      <c r="O24" s="2" t="inlineStr">
        <is>
          <t>Staging</t>
        </is>
      </c>
      <c r="P24" s="2" t="inlineStr">
        <is>
          <t>Chrome</t>
        </is>
      </c>
      <c r="Q24" s="2" t="inlineStr">
        <is>
          <t>Desktop</t>
        </is>
      </c>
      <c r="R24" s="2" t="inlineStr">
        <is>
          <t>Windows 11</t>
        </is>
      </c>
      <c r="S24" s="2" t="inlineStr">
        <is>
          <t>1차</t>
        </is>
      </c>
      <c r="T24" s="2" t="inlineStr">
        <is>
          <t>수동</t>
        </is>
      </c>
      <c r="U24" s="2" t="inlineStr">
        <is>
          <t>SCR-061</t>
        </is>
      </c>
      <c r="V24" s="2" t="inlineStr">
        <is>
          <t>FN-020</t>
        </is>
      </c>
      <c r="W24" s="2" t="inlineStr">
        <is>
          <t>API-023</t>
        </is>
      </c>
      <c r="X24" s="2" t="n"/>
      <c r="Y24" s="2" t="n"/>
      <c r="Z24" s="2" t="inlineStr">
        <is>
          <t>직원 등록</t>
        </is>
      </c>
      <c r="AA24" s="2" t="inlineStr">
        <is>
          <t>직원 등록/수정</t>
        </is>
      </c>
      <c r="AB24" s="2" t="inlineStr">
        <is>
          <t>/api/v1/staff</t>
        </is>
      </c>
      <c r="AC24" s="2" t="n"/>
    </row>
    <row r="25">
      <c r="A25" s="2" t="inlineStr">
        <is>
          <t>TC-024</t>
        </is>
      </c>
      <c r="B25" s="2" t="inlineStr">
        <is>
          <t>Web</t>
        </is>
      </c>
      <c r="C25" s="2" t="inlineStr">
        <is>
          <t>메시지/마케팅</t>
        </is>
      </c>
      <c r="D25" s="2" t="inlineStr">
        <is>
          <t>발송</t>
        </is>
      </c>
      <c r="E25" s="2" t="inlineStr">
        <is>
          <t>기능 테스트</t>
        </is>
      </c>
      <c r="F25" s="2" t="inlineStr">
        <is>
          <t>SMS 메시지 발송</t>
        </is>
      </c>
      <c r="G25" s="2" t="inlineStr">
        <is>
          <t>회원 데이터 존재</t>
        </is>
      </c>
      <c r="H25" s="2" t="inlineStr">
        <is>
          <t>1) 메시지 발송 접속
2) 수신자 선택
3) SMS 선택
4) 본문 입력 (90자 이내)
5) '발송'</t>
        </is>
      </c>
      <c r="I25" s="2" t="inlineStr">
        <is>
          <t>발송 성공, 발송 이력에 기록</t>
        </is>
      </c>
      <c r="J25" s="2" t="n"/>
      <c r="K25" s="2" t="inlineStr">
        <is>
          <t>미실행</t>
        </is>
      </c>
      <c r="L25" s="2" t="inlineStr">
        <is>
          <t>High</t>
        </is>
      </c>
      <c r="M25" s="2" t="inlineStr">
        <is>
          <t>Major</t>
        </is>
      </c>
      <c r="N25" s="2" t="inlineStr">
        <is>
          <t>QA담당자2</t>
        </is>
      </c>
      <c r="O25" s="2" t="inlineStr">
        <is>
          <t>Staging</t>
        </is>
      </c>
      <c r="P25" s="2" t="inlineStr">
        <is>
          <t>Chrome</t>
        </is>
      </c>
      <c r="Q25" s="2" t="inlineStr">
        <is>
          <t>Desktop</t>
        </is>
      </c>
      <c r="R25" s="2" t="inlineStr">
        <is>
          <t>Windows 11</t>
        </is>
      </c>
      <c r="S25" s="2" t="inlineStr">
        <is>
          <t>1차</t>
        </is>
      </c>
      <c r="T25" s="2" t="inlineStr">
        <is>
          <t>수동</t>
        </is>
      </c>
      <c r="U25" s="2" t="inlineStr">
        <is>
          <t>SCR-070</t>
        </is>
      </c>
      <c r="V25" s="2" t="inlineStr">
        <is>
          <t>FN-023</t>
        </is>
      </c>
      <c r="W25" s="2" t="n"/>
      <c r="X25" s="2" t="n"/>
      <c r="Y25" s="2" t="n"/>
      <c r="Z25" s="2" t="inlineStr">
        <is>
          <t>메시지 발송</t>
        </is>
      </c>
      <c r="AA25" s="2" t="inlineStr">
        <is>
          <t>메시지 발송</t>
        </is>
      </c>
      <c r="AB25" s="2" t="inlineStr"/>
      <c r="AC25" s="2" t="n"/>
    </row>
    <row r="26">
      <c r="A26" s="2" t="inlineStr">
        <is>
          <t>TC-025</t>
        </is>
      </c>
      <c r="B26" s="2" t="inlineStr">
        <is>
          <t>Web</t>
        </is>
      </c>
      <c r="C26" s="2" t="inlineStr">
        <is>
          <t>메시지/마케팅</t>
        </is>
      </c>
      <c r="D26" s="2" t="inlineStr">
        <is>
          <t>발송</t>
        </is>
      </c>
      <c r="E26" s="2" t="inlineStr">
        <is>
          <t>기능 테스트</t>
        </is>
      </c>
      <c r="F26" s="2" t="inlineStr">
        <is>
          <t>메시지 발송 - 수신자 미선택</t>
        </is>
      </c>
      <c r="G26" s="2" t="inlineStr">
        <is>
          <t>메시지 발송 페이지 접속</t>
        </is>
      </c>
      <c r="H26" s="2" t="inlineStr">
        <is>
          <t>1) 수신자 없이 본문 입력
2) '발송' 클릭</t>
        </is>
      </c>
      <c r="I26" s="2" t="inlineStr">
        <is>
          <t>'수신자를 선택해주세요' 에러, 발송 불가</t>
        </is>
      </c>
      <c r="J26" s="2" t="n"/>
      <c r="K26" s="2" t="inlineStr">
        <is>
          <t>미실행</t>
        </is>
      </c>
      <c r="L26" s="2" t="inlineStr">
        <is>
          <t>Medium</t>
        </is>
      </c>
      <c r="M26" s="2" t="inlineStr">
        <is>
          <t>Major</t>
        </is>
      </c>
      <c r="N26" s="2" t="inlineStr">
        <is>
          <t>QA담당자2</t>
        </is>
      </c>
      <c r="O26" s="2" t="inlineStr">
        <is>
          <t>Staging</t>
        </is>
      </c>
      <c r="P26" s="2" t="inlineStr">
        <is>
          <t>Chrome</t>
        </is>
      </c>
      <c r="Q26" s="2" t="inlineStr">
        <is>
          <t>Desktop</t>
        </is>
      </c>
      <c r="R26" s="2" t="inlineStr">
        <is>
          <t>Windows 11</t>
        </is>
      </c>
      <c r="S26" s="2" t="inlineStr">
        <is>
          <t>1차</t>
        </is>
      </c>
      <c r="T26" s="2" t="inlineStr">
        <is>
          <t>수동</t>
        </is>
      </c>
      <c r="U26" s="2" t="inlineStr">
        <is>
          <t>SCR-070</t>
        </is>
      </c>
      <c r="V26" s="2" t="inlineStr">
        <is>
          <t>FN-023</t>
        </is>
      </c>
      <c r="W26" s="2" t="n"/>
      <c r="X26" s="2" t="n"/>
      <c r="Y26" s="2" t="n"/>
      <c r="Z26" s="2" t="inlineStr">
        <is>
          <t>메시지 발송</t>
        </is>
      </c>
      <c r="AA26" s="2" t="inlineStr">
        <is>
          <t>메시지 발송</t>
        </is>
      </c>
      <c r="AB26" s="2" t="inlineStr"/>
      <c r="AC26" s="2" t="n"/>
    </row>
    <row r="27">
      <c r="A27" s="2" t="inlineStr">
        <is>
          <t>TC-026</t>
        </is>
      </c>
      <c r="B27" s="2" t="inlineStr">
        <is>
          <t>Web</t>
        </is>
      </c>
      <c r="C27" s="2" t="inlineStr">
        <is>
          <t>계약/구독</t>
        </is>
      </c>
      <c r="D27" s="2" t="inlineStr">
        <is>
          <t>계약</t>
        </is>
      </c>
      <c r="E27" s="2" t="inlineStr">
        <is>
          <t>기능 테스트</t>
        </is>
      </c>
      <c r="F27" s="2" t="inlineStr">
        <is>
          <t>계약 마법사 전체 플로우</t>
        </is>
      </c>
      <c r="G27" s="2" t="inlineStr">
        <is>
          <t>회원/상품 데이터 존재</t>
        </is>
      </c>
      <c r="H27" s="2" t="inlineStr">
        <is>
          <t>1) 계약 마법사 접속
2) 회원 선택
3) 상품 선택
4) 기간/금액 설정
5) 결제 처리
6) 확인</t>
        </is>
      </c>
      <c r="I27" s="2" t="inlineStr">
        <is>
          <t>계약 등록 성공, 이용권 자동 생성, 매출 자동 등록</t>
        </is>
      </c>
      <c r="J27" s="2" t="n"/>
      <c r="K27" s="2" t="inlineStr">
        <is>
          <t>미실행</t>
        </is>
      </c>
      <c r="L27" s="2" t="inlineStr">
        <is>
          <t>Critical</t>
        </is>
      </c>
      <c r="M27" s="2" t="inlineStr">
        <is>
          <t>Blocker</t>
        </is>
      </c>
      <c r="N27" s="2" t="inlineStr">
        <is>
          <t>QA담당자1</t>
        </is>
      </c>
      <c r="O27" s="2" t="inlineStr">
        <is>
          <t>Staging</t>
        </is>
      </c>
      <c r="P27" s="2" t="inlineStr">
        <is>
          <t>Chrome</t>
        </is>
      </c>
      <c r="Q27" s="2" t="inlineStr">
        <is>
          <t>Desktop</t>
        </is>
      </c>
      <c r="R27" s="2" t="inlineStr">
        <is>
          <t>Windows 11</t>
        </is>
      </c>
      <c r="S27" s="2" t="inlineStr">
        <is>
          <t>1차</t>
        </is>
      </c>
      <c r="T27" s="2" t="inlineStr">
        <is>
          <t>수동</t>
        </is>
      </c>
      <c r="U27" s="2" t="inlineStr">
        <is>
          <t>SCR-080</t>
        </is>
      </c>
      <c r="V27" s="2" t="inlineStr">
        <is>
          <t>FN-027</t>
        </is>
      </c>
      <c r="W27" s="2" t="inlineStr">
        <is>
          <t>API-016</t>
        </is>
      </c>
      <c r="X27" s="2" t="n"/>
      <c r="Y27" s="2" t="n"/>
      <c r="Z27" s="2" t="inlineStr">
        <is>
          <t>계약 마법사</t>
        </is>
      </c>
      <c r="AA27" s="2" t="inlineStr">
        <is>
          <t>계약 등록</t>
        </is>
      </c>
      <c r="AB27" s="2" t="inlineStr">
        <is>
          <t>/api/v1/sales</t>
        </is>
      </c>
      <c r="AC27" s="2" t="n"/>
    </row>
    <row r="28">
      <c r="A28" s="2" t="inlineStr">
        <is>
          <t>TC-027</t>
        </is>
      </c>
      <c r="B28" s="2" t="inlineStr">
        <is>
          <t>Web</t>
        </is>
      </c>
      <c r="C28" s="2" t="inlineStr">
        <is>
          <t>계약/구독</t>
        </is>
      </c>
      <c r="D28" s="2" t="inlineStr">
        <is>
          <t>계약</t>
        </is>
      </c>
      <c r="E28" s="2" t="inlineStr">
        <is>
          <t>기능 테스트</t>
        </is>
      </c>
      <c r="F28" s="2" t="inlineStr">
        <is>
          <t>계약 마법사 - 이전 단계 미완료</t>
        </is>
      </c>
      <c r="G28" s="2" t="inlineStr">
        <is>
          <t>계약 마법사 접속</t>
        </is>
      </c>
      <c r="H28" s="2" t="inlineStr">
        <is>
          <t>1) 회원 미선택 상태에서 '다음' 클릭</t>
        </is>
      </c>
      <c r="I28" s="2" t="inlineStr">
        <is>
          <t>'회원을 선택하세요' 에러, 다음 단계 진행 불가</t>
        </is>
      </c>
      <c r="J28" s="2" t="n"/>
      <c r="K28" s="2" t="inlineStr">
        <is>
          <t>미실행</t>
        </is>
      </c>
      <c r="L28" s="2" t="inlineStr">
        <is>
          <t>High</t>
        </is>
      </c>
      <c r="M28" s="2" t="inlineStr">
        <is>
          <t>Major</t>
        </is>
      </c>
      <c r="N28" s="2" t="inlineStr">
        <is>
          <t>QA담당자1</t>
        </is>
      </c>
      <c r="O28" s="2" t="inlineStr">
        <is>
          <t>Staging</t>
        </is>
      </c>
      <c r="P28" s="2" t="inlineStr">
        <is>
          <t>Chrome</t>
        </is>
      </c>
      <c r="Q28" s="2" t="inlineStr">
        <is>
          <t>Desktop</t>
        </is>
      </c>
      <c r="R28" s="2" t="inlineStr">
        <is>
          <t>Windows 11</t>
        </is>
      </c>
      <c r="S28" s="2" t="inlineStr">
        <is>
          <t>1차</t>
        </is>
      </c>
      <c r="T28" s="2" t="inlineStr">
        <is>
          <t>수동</t>
        </is>
      </c>
      <c r="U28" s="2" t="inlineStr">
        <is>
          <t>SCR-080</t>
        </is>
      </c>
      <c r="V28" s="2" t="inlineStr">
        <is>
          <t>FN-027</t>
        </is>
      </c>
      <c r="W28" s="2" t="n"/>
      <c r="X28" s="2" t="n"/>
      <c r="Y28" s="2" t="n"/>
      <c r="Z28" s="2" t="inlineStr">
        <is>
          <t>계약 마법사</t>
        </is>
      </c>
      <c r="AA28" s="2" t="inlineStr">
        <is>
          <t>계약 등록</t>
        </is>
      </c>
      <c r="AB28" s="2" t="inlineStr"/>
      <c r="AC28" s="2" t="n"/>
    </row>
    <row r="29">
      <c r="A29" s="2" t="inlineStr">
        <is>
          <t>TC-028</t>
        </is>
      </c>
      <c r="B29" s="2" t="inlineStr">
        <is>
          <t>Web</t>
        </is>
      </c>
      <c r="C29" s="2" t="inlineStr">
        <is>
          <t>설정/권한</t>
        </is>
      </c>
      <c r="D29" s="2" t="inlineStr">
        <is>
          <t>권한</t>
        </is>
      </c>
      <c r="E29" s="2" t="inlineStr">
        <is>
          <t>기능 테스트</t>
        </is>
      </c>
      <c r="F29" s="2" t="inlineStr">
        <is>
          <t>권한 매트릭스 설정</t>
        </is>
      </c>
      <c r="G29" s="2" t="inlineStr">
        <is>
          <t>최고관리자 권한</t>
        </is>
      </c>
      <c r="H29" s="2" t="inlineStr">
        <is>
          <t>1) 권한 설정 접속
2) '매니저' 탭 선택
3) '회원 삭제' 권한 체크 해제
4) 저장</t>
        </is>
      </c>
      <c r="I29" s="2" t="inlineStr">
        <is>
          <t>매니저 역할에서 회원 삭제 권한 제거, 즉시 반영</t>
        </is>
      </c>
      <c r="J29" s="2" t="n"/>
      <c r="K29" s="2" t="inlineStr">
        <is>
          <t>미실행</t>
        </is>
      </c>
      <c r="L29" s="2" t="inlineStr">
        <is>
          <t>Critical</t>
        </is>
      </c>
      <c r="M29" s="2" t="inlineStr">
        <is>
          <t>Blocker</t>
        </is>
      </c>
      <c r="N29" s="2" t="inlineStr">
        <is>
          <t>QA담당자1</t>
        </is>
      </c>
      <c r="O29" s="2" t="inlineStr">
        <is>
          <t>Staging</t>
        </is>
      </c>
      <c r="P29" s="2" t="inlineStr">
        <is>
          <t>Chrome</t>
        </is>
      </c>
      <c r="Q29" s="2" t="inlineStr">
        <is>
          <t>Desktop</t>
        </is>
      </c>
      <c r="R29" s="2" t="inlineStr">
        <is>
          <t>Windows 11</t>
        </is>
      </c>
      <c r="S29" s="2" t="inlineStr">
        <is>
          <t>1차</t>
        </is>
      </c>
      <c r="T29" s="2" t="inlineStr">
        <is>
          <t>수동</t>
        </is>
      </c>
      <c r="U29" s="2" t="inlineStr">
        <is>
          <t>SCR-091</t>
        </is>
      </c>
      <c r="V29" s="2" t="inlineStr">
        <is>
          <t>FN-030</t>
        </is>
      </c>
      <c r="W29" s="2" t="n"/>
      <c r="X29" s="2" t="n"/>
      <c r="Y29" s="2" t="n"/>
      <c r="Z29" s="2" t="inlineStr">
        <is>
          <t>권한 설정</t>
        </is>
      </c>
      <c r="AA29" s="2" t="inlineStr">
        <is>
          <t>권한 관리</t>
        </is>
      </c>
      <c r="AB29" s="2" t="inlineStr"/>
      <c r="AC29" s="2" t="n"/>
    </row>
    <row r="30">
      <c r="A30" s="2" t="inlineStr">
        <is>
          <t>TC-029</t>
        </is>
      </c>
      <c r="B30" s="2" t="inlineStr">
        <is>
          <t>Web</t>
        </is>
      </c>
      <c r="C30" s="2" t="inlineStr">
        <is>
          <t>설정/권한</t>
        </is>
      </c>
      <c r="D30" s="2" t="inlineStr">
        <is>
          <t>권한</t>
        </is>
      </c>
      <c r="E30" s="2" t="inlineStr">
        <is>
          <t>기능 테스트</t>
        </is>
      </c>
      <c r="F30" s="2" t="inlineStr">
        <is>
          <t>권한 부족 접근 차단</t>
        </is>
      </c>
      <c r="G30" s="2" t="inlineStr">
        <is>
          <t>스태프 역할로 로그인</t>
        </is>
      </c>
      <c r="H30" s="2" t="inlineStr">
        <is>
          <t>1) URL 직접 입력으로 /settings/permissions 접근</t>
        </is>
      </c>
      <c r="I30" s="2" t="inlineStr">
        <is>
          <t>접근 거부 메시지 또는 메뉴 미표시</t>
        </is>
      </c>
      <c r="J30" s="2" t="n"/>
      <c r="K30" s="2" t="inlineStr">
        <is>
          <t>미실행</t>
        </is>
      </c>
      <c r="L30" s="2" t="inlineStr">
        <is>
          <t>Critical</t>
        </is>
      </c>
      <c r="M30" s="2" t="inlineStr">
        <is>
          <t>Blocker</t>
        </is>
      </c>
      <c r="N30" s="2" t="inlineStr">
        <is>
          <t>QA담당자1</t>
        </is>
      </c>
      <c r="O30" s="2" t="inlineStr">
        <is>
          <t>Staging</t>
        </is>
      </c>
      <c r="P30" s="2" t="inlineStr">
        <is>
          <t>Chrome</t>
        </is>
      </c>
      <c r="Q30" s="2" t="inlineStr">
        <is>
          <t>Desktop</t>
        </is>
      </c>
      <c r="R30" s="2" t="inlineStr">
        <is>
          <t>Windows 11</t>
        </is>
      </c>
      <c r="S30" s="2" t="inlineStr">
        <is>
          <t>1차</t>
        </is>
      </c>
      <c r="T30" s="2" t="inlineStr">
        <is>
          <t>자동화 예정</t>
        </is>
      </c>
      <c r="U30" s="2" t="inlineStr">
        <is>
          <t>SCR-091</t>
        </is>
      </c>
      <c r="V30" s="2" t="inlineStr">
        <is>
          <t>FN-030</t>
        </is>
      </c>
      <c r="W30" s="2" t="n"/>
      <c r="X30" s="2" t="n"/>
      <c r="Y30" s="2" t="n"/>
      <c r="Z30" s="2" t="inlineStr">
        <is>
          <t>권한 설정</t>
        </is>
      </c>
      <c r="AA30" s="2" t="inlineStr">
        <is>
          <t>권한 관리</t>
        </is>
      </c>
      <c r="AB30" s="2" t="inlineStr"/>
      <c r="AC30" s="2" t="n"/>
    </row>
    <row r="31">
      <c r="A31" s="2" t="inlineStr">
        <is>
          <t>TC-030</t>
        </is>
      </c>
      <c r="B31" s="2" t="inlineStr">
        <is>
          <t>Web</t>
        </is>
      </c>
      <c r="C31" s="2" t="inlineStr">
        <is>
          <t>설정/권한</t>
        </is>
      </c>
      <c r="D31" s="2" t="inlineStr">
        <is>
          <t>지점</t>
        </is>
      </c>
      <c r="E31" s="2" t="inlineStr">
        <is>
          <t>기능 테스트</t>
        </is>
      </c>
      <c r="F31" s="2" t="inlineStr">
        <is>
          <t>지점 추가</t>
        </is>
      </c>
      <c r="G31" s="2" t="inlineStr">
        <is>
          <t>최고관리자 권한</t>
        </is>
      </c>
      <c r="H31" s="2" t="inlineStr">
        <is>
          <t>1) 지점 관리 접속
2) '지점 추가' 클릭
3) 이름/코드/주소 입력
4) 저장</t>
        </is>
      </c>
      <c r="I31" s="2" t="inlineStr">
        <is>
          <t>지점 추가 성공, 목록에 표시</t>
        </is>
      </c>
      <c r="J31" s="2" t="n"/>
      <c r="K31" s="2" t="inlineStr">
        <is>
          <t>미실행</t>
        </is>
      </c>
      <c r="L31" s="2" t="inlineStr">
        <is>
          <t>Critical</t>
        </is>
      </c>
      <c r="M31" s="2" t="inlineStr">
        <is>
          <t>Blocker</t>
        </is>
      </c>
      <c r="N31" s="2" t="inlineStr">
        <is>
          <t>QA담당자1</t>
        </is>
      </c>
      <c r="O31" s="2" t="inlineStr">
        <is>
          <t>Staging</t>
        </is>
      </c>
      <c r="P31" s="2" t="inlineStr">
        <is>
          <t>Chrome</t>
        </is>
      </c>
      <c r="Q31" s="2" t="inlineStr">
        <is>
          <t>Desktop</t>
        </is>
      </c>
      <c r="R31" s="2" t="inlineStr">
        <is>
          <t>Windows 11</t>
        </is>
      </c>
      <c r="S31" s="2" t="inlineStr">
        <is>
          <t>1차</t>
        </is>
      </c>
      <c r="T31" s="2" t="inlineStr">
        <is>
          <t>수동</t>
        </is>
      </c>
      <c r="U31" s="2" t="inlineStr">
        <is>
          <t>SCR-094</t>
        </is>
      </c>
      <c r="V31" s="2" t="inlineStr">
        <is>
          <t>FN-033</t>
        </is>
      </c>
      <c r="W31" s="2" t="inlineStr">
        <is>
          <t>API-027</t>
        </is>
      </c>
      <c r="X31" s="2" t="n"/>
      <c r="Y31" s="2" t="n"/>
      <c r="Z31" s="2" t="inlineStr">
        <is>
          <t>지점 관리</t>
        </is>
      </c>
      <c r="AA31" s="2" t="inlineStr">
        <is>
          <t>지점 관리</t>
        </is>
      </c>
      <c r="AB31" s="2" t="inlineStr">
        <is>
          <t>/api/v1/system/reset</t>
        </is>
      </c>
      <c r="AC31" s="2" t="n"/>
    </row>
    <row r="32">
      <c r="A32" s="2" t="inlineStr">
        <is>
          <t>TC-031</t>
        </is>
      </c>
      <c r="B32" s="2" t="inlineStr">
        <is>
          <t>Web</t>
        </is>
      </c>
      <c r="C32" s="2" t="inlineStr">
        <is>
          <t>보안</t>
        </is>
      </c>
      <c r="D32" s="2" t="inlineStr">
        <is>
          <t>데이터 격리</t>
        </is>
      </c>
      <c r="E32" s="2" t="inlineStr">
        <is>
          <t>보안 테스트</t>
        </is>
      </c>
      <c r="F32" s="2" t="inlineStr">
        <is>
          <t>지점 간 데이터 격리 확인</t>
        </is>
      </c>
      <c r="G32" s="2" t="inlineStr">
        <is>
          <t>2개 이상 지점 데이터 존재</t>
        </is>
      </c>
      <c r="H32" s="2" t="inlineStr">
        <is>
          <t>1) A지점으로 로그인
2) 회원 목록 확인
3) B지점으로 전환
4) 회원 목록 확인</t>
        </is>
      </c>
      <c r="I32" s="2" t="inlineStr">
        <is>
          <t>각 지점에 소속된 회원만 표시, 타지점 데이터 미노출</t>
        </is>
      </c>
      <c r="J32" s="2" t="n"/>
      <c r="K32" s="2" t="inlineStr">
        <is>
          <t>미실행</t>
        </is>
      </c>
      <c r="L32" s="2" t="inlineStr">
        <is>
          <t>Critical</t>
        </is>
      </c>
      <c r="M32" s="2" t="inlineStr">
        <is>
          <t>Blocker</t>
        </is>
      </c>
      <c r="N32" s="2" t="inlineStr">
        <is>
          <t>QA담당자1</t>
        </is>
      </c>
      <c r="O32" s="2" t="inlineStr">
        <is>
          <t>Staging</t>
        </is>
      </c>
      <c r="P32" s="2" t="inlineStr">
        <is>
          <t>Chrome</t>
        </is>
      </c>
      <c r="Q32" s="2" t="inlineStr">
        <is>
          <t>Desktop</t>
        </is>
      </c>
      <c r="R32" s="2" t="inlineStr">
        <is>
          <t>Windows 11</t>
        </is>
      </c>
      <c r="S32" s="2" t="inlineStr">
        <is>
          <t>1차</t>
        </is>
      </c>
      <c r="T32" s="2" t="inlineStr">
        <is>
          <t>자동화 예정</t>
        </is>
      </c>
      <c r="U32" s="2" t="inlineStr">
        <is>
          <t>SCR-010</t>
        </is>
      </c>
      <c r="V32" s="2" t="inlineStr">
        <is>
          <t>FN-003</t>
        </is>
      </c>
      <c r="W32" s="2" t="inlineStr">
        <is>
          <t>API-007</t>
        </is>
      </c>
      <c r="X32" s="2" t="n"/>
      <c r="Y32" s="2" t="n"/>
      <c r="Z32" s="2" t="inlineStr">
        <is>
          <t>회원 목록</t>
        </is>
      </c>
      <c r="AA32" s="2" t="inlineStr">
        <is>
          <t>회원 목록 조회/검색/필터</t>
        </is>
      </c>
      <c r="AB32" s="2" t="inlineStr">
        <is>
          <t>/api/v1/members</t>
        </is>
      </c>
      <c r="AC32" s="2" t="n"/>
    </row>
    <row r="33">
      <c r="A33" s="2" t="inlineStr">
        <is>
          <t>TC-032</t>
        </is>
      </c>
      <c r="B33" s="2" t="inlineStr">
        <is>
          <t>Web</t>
        </is>
      </c>
      <c r="C33" s="2" t="inlineStr">
        <is>
          <t>보안</t>
        </is>
      </c>
      <c r="D33" s="2" t="inlineStr">
        <is>
          <t>인증</t>
        </is>
      </c>
      <c r="E33" s="2" t="inlineStr">
        <is>
          <t>보안 테스트</t>
        </is>
      </c>
      <c r="F33" s="2" t="inlineStr">
        <is>
          <t>JWT 토큰 만료 처리</t>
        </is>
      </c>
      <c r="G33" s="2" t="inlineStr">
        <is>
          <t>로그인 완료</t>
        </is>
      </c>
      <c r="H33" s="2" t="inlineStr">
        <is>
          <t>1) JWT 토큰 만료 대기 (또는 수동 만료)
2) API 호출 시도</t>
        </is>
      </c>
      <c r="I33" s="2" t="inlineStr">
        <is>
          <t>401 Unauthorized, 로그인 페이지로 리다이렉트</t>
        </is>
      </c>
      <c r="J33" s="2" t="n"/>
      <c r="K33" s="2" t="inlineStr">
        <is>
          <t>미실행</t>
        </is>
      </c>
      <c r="L33" s="2" t="inlineStr">
        <is>
          <t>Critical</t>
        </is>
      </c>
      <c r="M33" s="2" t="inlineStr">
        <is>
          <t>Blocker</t>
        </is>
      </c>
      <c r="N33" s="2" t="inlineStr">
        <is>
          <t>QA담당자1</t>
        </is>
      </c>
      <c r="O33" s="2" t="inlineStr">
        <is>
          <t>Staging</t>
        </is>
      </c>
      <c r="P33" s="2" t="inlineStr">
        <is>
          <t>Chrome</t>
        </is>
      </c>
      <c r="Q33" s="2" t="inlineStr">
        <is>
          <t>Desktop</t>
        </is>
      </c>
      <c r="R33" s="2" t="inlineStr">
        <is>
          <t>Windows 11</t>
        </is>
      </c>
      <c r="S33" s="2" t="inlineStr">
        <is>
          <t>1차</t>
        </is>
      </c>
      <c r="T33" s="2" t="inlineStr">
        <is>
          <t>자동화 예정</t>
        </is>
      </c>
      <c r="U33" s="2" t="inlineStr">
        <is>
          <t>SCR-001</t>
        </is>
      </c>
      <c r="V33" s="2" t="inlineStr">
        <is>
          <t>FN-001</t>
        </is>
      </c>
      <c r="W33" s="2" t="inlineStr">
        <is>
          <t>API-001</t>
        </is>
      </c>
      <c r="X33" s="2" t="n"/>
      <c r="Y33" s="2" t="n"/>
      <c r="Z33" s="2" t="inlineStr">
        <is>
          <t>로그인</t>
        </is>
      </c>
      <c r="AA33" s="2" t="inlineStr">
        <is>
          <t>로그인</t>
        </is>
      </c>
      <c r="AB33" s="2" t="inlineStr">
        <is>
          <t>/api/v1/auth/login</t>
        </is>
      </c>
      <c r="AC33" s="2" t="n"/>
    </row>
    <row r="34">
      <c r="A34" s="2" t="inlineStr">
        <is>
          <t>TC-033</t>
        </is>
      </c>
      <c r="B34" s="2" t="inlineStr">
        <is>
          <t>Web</t>
        </is>
      </c>
      <c r="C34" s="2" t="inlineStr">
        <is>
          <t>성능</t>
        </is>
      </c>
      <c r="D34" s="2" t="inlineStr">
        <is>
          <t>목록</t>
        </is>
      </c>
      <c r="E34" s="2" t="inlineStr">
        <is>
          <t>성능 테스트</t>
        </is>
      </c>
      <c r="F34" s="2" t="inlineStr">
        <is>
          <t>회원 목록 1000건 로딩 성능</t>
        </is>
      </c>
      <c r="G34" s="2" t="inlineStr">
        <is>
          <t>회원 1000건 데이터 존재</t>
        </is>
      </c>
      <c r="H34" s="2" t="inlineStr">
        <is>
          <t>1) 회원 목록 접속
2) 로딩 시간 측정</t>
        </is>
      </c>
      <c r="I34" s="2" t="inlineStr">
        <is>
          <t>3초 이내 첫 페이지 로딩 완료</t>
        </is>
      </c>
      <c r="J34" s="2" t="n"/>
      <c r="K34" s="2" t="inlineStr">
        <is>
          <t>미실행</t>
        </is>
      </c>
      <c r="L34" s="2" t="inlineStr">
        <is>
          <t>High</t>
        </is>
      </c>
      <c r="M34" s="2" t="inlineStr">
        <is>
          <t>Major</t>
        </is>
      </c>
      <c r="N34" s="2" t="inlineStr">
        <is>
          <t>QA담당자2</t>
        </is>
      </c>
      <c r="O34" s="2" t="inlineStr">
        <is>
          <t>Staging</t>
        </is>
      </c>
      <c r="P34" s="2" t="inlineStr">
        <is>
          <t>Chrome</t>
        </is>
      </c>
      <c r="Q34" s="2" t="inlineStr">
        <is>
          <t>Desktop</t>
        </is>
      </c>
      <c r="R34" s="2" t="inlineStr">
        <is>
          <t>Windows 11</t>
        </is>
      </c>
      <c r="S34" s="2" t="inlineStr">
        <is>
          <t>1차</t>
        </is>
      </c>
      <c r="T34" s="2" t="inlineStr">
        <is>
          <t>자동화 예정</t>
        </is>
      </c>
      <c r="U34" s="2" t="inlineStr">
        <is>
          <t>SCR-010</t>
        </is>
      </c>
      <c r="V34" s="2" t="inlineStr">
        <is>
          <t>FN-003</t>
        </is>
      </c>
      <c r="W34" s="2" t="inlineStr">
        <is>
          <t>API-007</t>
        </is>
      </c>
      <c r="X34" s="2" t="n"/>
      <c r="Y34" s="2" t="n"/>
      <c r="Z34" s="2" t="inlineStr">
        <is>
          <t>회원 목록</t>
        </is>
      </c>
      <c r="AA34" s="2" t="inlineStr">
        <is>
          <t>회원 목록 조회/검색/필터</t>
        </is>
      </c>
      <c r="AB34" s="2" t="inlineStr">
        <is>
          <t>/api/v1/members</t>
        </is>
      </c>
      <c r="AC34" s="2" t="n"/>
    </row>
    <row r="35">
      <c r="A35" s="2" t="inlineStr">
        <is>
          <t>TC-034</t>
        </is>
      </c>
      <c r="B35" s="2" t="inlineStr">
        <is>
          <t>Web</t>
        </is>
      </c>
      <c r="C35" s="2" t="inlineStr">
        <is>
          <t>성능</t>
        </is>
      </c>
      <c r="D35" s="2" t="inlineStr">
        <is>
          <t>대시보드</t>
        </is>
      </c>
      <c r="E35" s="2" t="inlineStr">
        <is>
          <t>성능 테스트</t>
        </is>
      </c>
      <c r="F35" s="2" t="inlineStr">
        <is>
          <t>대시보드 초기 로딩 성능</t>
        </is>
      </c>
      <c r="G35" s="2" t="inlineStr">
        <is>
          <t>실 데이터 환경</t>
        </is>
      </c>
      <c r="H35" s="2" t="inlineStr">
        <is>
          <t>1) 대시보드 접속
2) 모든 위젯 로딩 시간 측정</t>
        </is>
      </c>
      <c r="I35" s="2" t="inlineStr">
        <is>
          <t>2초 이내 대시보드 완전 렌더링</t>
        </is>
      </c>
      <c r="J35" s="2" t="n"/>
      <c r="K35" s="2" t="inlineStr">
        <is>
          <t>미실행</t>
        </is>
      </c>
      <c r="L35" s="2" t="inlineStr">
        <is>
          <t>High</t>
        </is>
      </c>
      <c r="M35" s="2" t="inlineStr">
        <is>
          <t>Major</t>
        </is>
      </c>
      <c r="N35" s="2" t="inlineStr">
        <is>
          <t>QA담당자2</t>
        </is>
      </c>
      <c r="O35" s="2" t="inlineStr">
        <is>
          <t>Staging</t>
        </is>
      </c>
      <c r="P35" s="2" t="inlineStr">
        <is>
          <t>Chrome</t>
        </is>
      </c>
      <c r="Q35" s="2" t="inlineStr">
        <is>
          <t>Desktop</t>
        </is>
      </c>
      <c r="R35" s="2" t="inlineStr">
        <is>
          <t>Windows 11</t>
        </is>
      </c>
      <c r="S35" s="2" t="inlineStr">
        <is>
          <t>1차</t>
        </is>
      </c>
      <c r="T35" s="2" t="inlineStr">
        <is>
          <t>자동화 예정</t>
        </is>
      </c>
      <c r="U35" s="2" t="inlineStr">
        <is>
          <t>SCR-002</t>
        </is>
      </c>
      <c r="V35" s="2" t="inlineStr">
        <is>
          <t>FN-002</t>
        </is>
      </c>
      <c r="W35" s="2" t="inlineStr">
        <is>
          <t>API-003</t>
        </is>
      </c>
      <c r="X35" s="2" t="n"/>
      <c r="Y35" s="2" t="n"/>
      <c r="Z35" s="2" t="inlineStr">
        <is>
          <t>대시보드</t>
        </is>
      </c>
      <c r="AA35" s="2" t="inlineStr">
        <is>
          <t>대시보드 통계 조회</t>
        </is>
      </c>
      <c r="AB35" s="2" t="inlineStr">
        <is>
          <t>/api/v1/dashboard/stats</t>
        </is>
      </c>
      <c r="AC35" s="2" t="n"/>
    </row>
    <row r="36">
      <c r="A36" s="2" t="inlineStr">
        <is>
          <t>TC-035</t>
        </is>
      </c>
      <c r="B36" s="2" t="inlineStr">
        <is>
          <t>Web</t>
        </is>
      </c>
      <c r="C36" s="2" t="inlineStr">
        <is>
          <t>호환성</t>
        </is>
      </c>
      <c r="D36" s="2" t="inlineStr">
        <is>
          <t>브라우저</t>
        </is>
      </c>
      <c r="E36" s="2" t="inlineStr">
        <is>
          <t>호환성 테스트</t>
        </is>
      </c>
      <c r="F36" s="2" t="inlineStr">
        <is>
          <t>Safari 브라우저 호환성</t>
        </is>
      </c>
      <c r="G36" s="2" t="inlineStr">
        <is>
          <t>macOS Safari 최신</t>
        </is>
      </c>
      <c r="H36" s="2" t="inlineStr">
        <is>
          <t>1) Safari로 전체 기능 테스트
2) 레이아웃/기능 확인</t>
        </is>
      </c>
      <c r="I36" s="2" t="inlineStr">
        <is>
          <t>Chrome과 동일한 동작, 레이아웃 깨짐 없음</t>
        </is>
      </c>
      <c r="J36" s="2" t="n"/>
      <c r="K36" s="2" t="inlineStr">
        <is>
          <t>미실행</t>
        </is>
      </c>
      <c r="L36" s="2" t="inlineStr">
        <is>
          <t>Medium</t>
        </is>
      </c>
      <c r="M36" s="2" t="inlineStr">
        <is>
          <t>Major</t>
        </is>
      </c>
      <c r="N36" s="2" t="inlineStr">
        <is>
          <t>QA담당자2</t>
        </is>
      </c>
      <c r="O36" s="2" t="inlineStr">
        <is>
          <t>Staging</t>
        </is>
      </c>
      <c r="P36" s="2" t="inlineStr">
        <is>
          <t>Safari</t>
        </is>
      </c>
      <c r="Q36" s="2" t="inlineStr">
        <is>
          <t>Desktop</t>
        </is>
      </c>
      <c r="R36" s="2" t="inlineStr">
        <is>
          <t>macOS</t>
        </is>
      </c>
      <c r="S36" s="2" t="inlineStr">
        <is>
          <t>1차</t>
        </is>
      </c>
      <c r="T36" s="2" t="inlineStr">
        <is>
          <t>수동</t>
        </is>
      </c>
      <c r="U36" s="2" t="n"/>
      <c r="V36" s="2" t="n"/>
      <c r="W36" s="2" t="n"/>
      <c r="X36" s="2" t="n"/>
      <c r="Y36" s="2" t="n"/>
      <c r="Z36" s="2" t="inlineStr"/>
      <c r="AA36" s="2" t="inlineStr"/>
      <c r="AB36" s="2" t="inlineStr"/>
      <c r="AC36" s="2" t="n"/>
    </row>
    <row r="37">
      <c r="A37" s="2" t="inlineStr">
        <is>
          <t>TC-036</t>
        </is>
      </c>
      <c r="B37" s="2" t="inlineStr">
        <is>
          <t>Web</t>
        </is>
      </c>
      <c r="C37" s="2" t="inlineStr">
        <is>
          <t>호환성</t>
        </is>
      </c>
      <c r="D37" s="2" t="inlineStr">
        <is>
          <t>브라우저</t>
        </is>
      </c>
      <c r="E37" s="2" t="inlineStr">
        <is>
          <t>호환성 테스트</t>
        </is>
      </c>
      <c r="F37" s="2" t="inlineStr">
        <is>
          <t>Firefox 브라우저 호환성</t>
        </is>
      </c>
      <c r="G37" s="2" t="inlineStr">
        <is>
          <t>Firefox 최신</t>
        </is>
      </c>
      <c r="H37" s="2" t="inlineStr">
        <is>
          <t>1) Firefox로 전체 기능 테스트
2) 레이아웃/기능 확인</t>
        </is>
      </c>
      <c r="I37" s="2" t="inlineStr">
        <is>
          <t>Chrome과 동일한 동작</t>
        </is>
      </c>
      <c r="J37" s="2" t="n"/>
      <c r="K37" s="2" t="inlineStr">
        <is>
          <t>미실행</t>
        </is>
      </c>
      <c r="L37" s="2" t="inlineStr">
        <is>
          <t>Medium</t>
        </is>
      </c>
      <c r="M37" s="2" t="inlineStr">
        <is>
          <t>Major</t>
        </is>
      </c>
      <c r="N37" s="2" t="inlineStr">
        <is>
          <t>QA담당자2</t>
        </is>
      </c>
      <c r="O37" s="2" t="inlineStr">
        <is>
          <t>Staging</t>
        </is>
      </c>
      <c r="P37" s="2" t="inlineStr">
        <is>
          <t>Firefox</t>
        </is>
      </c>
      <c r="Q37" s="2" t="inlineStr">
        <is>
          <t>Desktop</t>
        </is>
      </c>
      <c r="R37" s="2" t="inlineStr">
        <is>
          <t>Windows 11</t>
        </is>
      </c>
      <c r="S37" s="2" t="inlineStr">
        <is>
          <t>1차</t>
        </is>
      </c>
      <c r="T37" s="2" t="inlineStr">
        <is>
          <t>수동</t>
        </is>
      </c>
      <c r="U37" s="2" t="n"/>
      <c r="V37" s="2" t="n"/>
      <c r="W37" s="2" t="n"/>
      <c r="X37" s="2" t="n"/>
      <c r="Y37" s="2" t="n"/>
      <c r="Z37" s="2" t="inlineStr"/>
      <c r="AA37" s="2" t="inlineStr"/>
      <c r="AB37" s="2" t="inlineStr"/>
      <c r="AC37" s="2" t="n"/>
    </row>
    <row r="38">
      <c r="A38" s="2" t="inlineStr">
        <is>
          <t>TC-037</t>
        </is>
      </c>
      <c r="B38" s="2" t="inlineStr">
        <is>
          <t>Web</t>
        </is>
      </c>
      <c r="C38" s="2" t="inlineStr">
        <is>
          <t>출석관리</t>
        </is>
      </c>
      <c r="D38" s="2" t="inlineStr">
        <is>
          <t>조회</t>
        </is>
      </c>
      <c r="E38" s="2" t="inlineStr">
        <is>
          <t>기능 테스트</t>
        </is>
      </c>
      <c r="F38" s="2" t="inlineStr">
        <is>
          <t>출석 기록 일별 조회</t>
        </is>
      </c>
      <c r="G38" s="2" t="inlineStr">
        <is>
          <t>출석 데이터 존재</t>
        </is>
      </c>
      <c r="H38" s="2" t="inlineStr">
        <is>
          <t>1) 출석 기록 접속
2) 날짜 선택
3) 결과 확인</t>
        </is>
      </c>
      <c r="I38" s="2" t="inlineStr">
        <is>
          <t>선택 날짜의 출석 기록만 표시</t>
        </is>
      </c>
      <c r="J38" s="2" t="n"/>
      <c r="K38" s="2" t="inlineStr">
        <is>
          <t>미실행</t>
        </is>
      </c>
      <c r="L38" s="2" t="inlineStr">
        <is>
          <t>High</t>
        </is>
      </c>
      <c r="M38" s="2" t="inlineStr">
        <is>
          <t>Major</t>
        </is>
      </c>
      <c r="N38" s="2" t="inlineStr">
        <is>
          <t>QA담당자2</t>
        </is>
      </c>
      <c r="O38" s="2" t="inlineStr">
        <is>
          <t>Staging</t>
        </is>
      </c>
      <c r="P38" s="2" t="inlineStr">
        <is>
          <t>Chrome</t>
        </is>
      </c>
      <c r="Q38" s="2" t="inlineStr">
        <is>
          <t>Desktop</t>
        </is>
      </c>
      <c r="R38" s="2" t="inlineStr">
        <is>
          <t>Windows 11</t>
        </is>
      </c>
      <c r="S38" s="2" t="inlineStr">
        <is>
          <t>1차</t>
        </is>
      </c>
      <c r="T38" s="2" t="inlineStr">
        <is>
          <t>수동</t>
        </is>
      </c>
      <c r="U38" s="2" t="inlineStr">
        <is>
          <t>SCR-020</t>
        </is>
      </c>
      <c r="V38" s="2" t="inlineStr">
        <is>
          <t>FN-008</t>
        </is>
      </c>
      <c r="W38" s="2" t="inlineStr">
        <is>
          <t>API-013</t>
        </is>
      </c>
      <c r="X38" s="2" t="n"/>
      <c r="Y38" s="2" t="n"/>
      <c r="Z38" s="2" t="inlineStr">
        <is>
          <t>출석 기록</t>
        </is>
      </c>
      <c r="AA38" s="2" t="inlineStr">
        <is>
          <t>출석 기록 조회</t>
        </is>
      </c>
      <c r="AB38" s="2" t="inlineStr">
        <is>
          <t>/api/v1/attendance</t>
        </is>
      </c>
      <c r="AC38" s="2" t="n"/>
    </row>
    <row r="39">
      <c r="A39" s="2" t="inlineStr">
        <is>
          <t>TC-038</t>
        </is>
      </c>
      <c r="B39" s="2" t="inlineStr">
        <is>
          <t>Web</t>
        </is>
      </c>
      <c r="C39" s="2" t="inlineStr">
        <is>
          <t>접근성</t>
        </is>
      </c>
      <c r="D39" s="2" t="inlineStr">
        <is>
          <t>키보드</t>
        </is>
      </c>
      <c r="E39" s="2" t="inlineStr">
        <is>
          <t>UI/UX 테스트</t>
        </is>
      </c>
      <c r="F39" s="2" t="inlineStr">
        <is>
          <t>키보드 네비게이션 - 로그인</t>
        </is>
      </c>
      <c r="G39" s="2" t="inlineStr">
        <is>
          <t>로그인 페이지 접속</t>
        </is>
      </c>
      <c r="H39" s="2" t="inlineStr">
        <is>
          <t>1) Tab키로 이메일→비밀번호→지점→버튼 이동
2) Enter키로 로그인</t>
        </is>
      </c>
      <c r="I39" s="2" t="inlineStr">
        <is>
          <t>Tab 순서 정확, Enter로 로그인 실행</t>
        </is>
      </c>
      <c r="J39" s="2" t="n"/>
      <c r="K39" s="2" t="inlineStr">
        <is>
          <t>미실행</t>
        </is>
      </c>
      <c r="L39" s="2" t="inlineStr">
        <is>
          <t>Medium</t>
        </is>
      </c>
      <c r="M39" s="2" t="inlineStr">
        <is>
          <t>Major</t>
        </is>
      </c>
      <c r="N39" s="2" t="inlineStr">
        <is>
          <t>QA담당자2</t>
        </is>
      </c>
      <c r="O39" s="2" t="inlineStr">
        <is>
          <t>Staging</t>
        </is>
      </c>
      <c r="P39" s="2" t="inlineStr">
        <is>
          <t>Chrome</t>
        </is>
      </c>
      <c r="Q39" s="2" t="inlineStr">
        <is>
          <t>Desktop</t>
        </is>
      </c>
      <c r="R39" s="2" t="inlineStr">
        <is>
          <t>Windows 11</t>
        </is>
      </c>
      <c r="S39" s="2" t="inlineStr">
        <is>
          <t>1차</t>
        </is>
      </c>
      <c r="T39" s="2" t="inlineStr">
        <is>
          <t>수동</t>
        </is>
      </c>
      <c r="U39" s="2" t="inlineStr">
        <is>
          <t>SCR-001</t>
        </is>
      </c>
      <c r="V39" s="2" t="inlineStr">
        <is>
          <t>FN-001</t>
        </is>
      </c>
      <c r="W39" s="2" t="n"/>
      <c r="X39" s="2" t="n"/>
      <c r="Y39" s="2" t="n"/>
      <c r="Z39" s="2" t="inlineStr">
        <is>
          <t>로그인</t>
        </is>
      </c>
      <c r="AA39" s="2" t="inlineStr">
        <is>
          <t>로그인</t>
        </is>
      </c>
      <c r="AB39" s="2" t="inlineStr"/>
      <c r="AC39" s="2" t="n"/>
    </row>
    <row r="40">
      <c r="A40" s="2" t="inlineStr">
        <is>
          <t>TC-039</t>
        </is>
      </c>
      <c r="B40" s="2" t="inlineStr">
        <is>
          <t>Web</t>
        </is>
      </c>
      <c r="C40" s="2" t="inlineStr">
        <is>
          <t>회원관리</t>
        </is>
      </c>
      <c r="D40" s="2" t="inlineStr">
        <is>
          <t>등록</t>
        </is>
      </c>
      <c r="E40" s="2" t="inlineStr">
        <is>
          <t>기능 테스트</t>
        </is>
      </c>
      <c r="F40" s="2" t="inlineStr">
        <is>
          <t>회원 등록 - 특수문자 이름</t>
        </is>
      </c>
      <c r="G40" s="2" t="inlineStr">
        <is>
          <t>회원 등록 폼 접속</t>
        </is>
      </c>
      <c r="H40" s="2" t="inlineStr">
        <is>
          <t>1) 이름에 특수문자 입력 (!@#$)
2) '저장' 시도</t>
        </is>
      </c>
      <c r="I40" s="2" t="inlineStr">
        <is>
          <t>유효성 검사: '이름은 한글/영문만 입력 가능합니다' 또는 저장 차단</t>
        </is>
      </c>
      <c r="J40" s="2" t="n"/>
      <c r="K40" s="2" t="inlineStr">
        <is>
          <t>미실행</t>
        </is>
      </c>
      <c r="L40" s="2" t="inlineStr">
        <is>
          <t>Medium</t>
        </is>
      </c>
      <c r="M40" s="2" t="inlineStr">
        <is>
          <t>Minor</t>
        </is>
      </c>
      <c r="N40" s="2" t="inlineStr">
        <is>
          <t>QA담당자2</t>
        </is>
      </c>
      <c r="O40" s="2" t="inlineStr">
        <is>
          <t>Staging</t>
        </is>
      </c>
      <c r="P40" s="2" t="inlineStr">
        <is>
          <t>Chrome</t>
        </is>
      </c>
      <c r="Q40" s="2" t="inlineStr">
        <is>
          <t>Desktop</t>
        </is>
      </c>
      <c r="R40" s="2" t="inlineStr">
        <is>
          <t>Windows 11</t>
        </is>
      </c>
      <c r="S40" s="2" t="inlineStr">
        <is>
          <t>1차</t>
        </is>
      </c>
      <c r="T40" s="2" t="inlineStr">
        <is>
          <t>수동</t>
        </is>
      </c>
      <c r="U40" s="2" t="inlineStr">
        <is>
          <t>SCR-012</t>
        </is>
      </c>
      <c r="V40" s="2" t="inlineStr">
        <is>
          <t>FN-004</t>
        </is>
      </c>
      <c r="W40" s="2" t="inlineStr">
        <is>
          <t>API-009</t>
        </is>
      </c>
      <c r="X40" s="2" t="n"/>
      <c r="Y40" s="2" t="n"/>
      <c r="Z40" s="2" t="inlineStr">
        <is>
          <t>회원 등록</t>
        </is>
      </c>
      <c r="AA40" s="2" t="inlineStr">
        <is>
          <t>회원 등록</t>
        </is>
      </c>
      <c r="AB40" s="2" t="inlineStr">
        <is>
          <t>/api/v1/members</t>
        </is>
      </c>
      <c r="AC40" s="2" t="n"/>
    </row>
    <row r="41">
      <c r="A41" s="2" t="inlineStr">
        <is>
          <t>TC-040</t>
        </is>
      </c>
      <c r="B41" s="2" t="inlineStr">
        <is>
          <t>Web</t>
        </is>
      </c>
      <c r="C41" s="2" t="inlineStr">
        <is>
          <t>매출관리</t>
        </is>
      </c>
      <c r="D41" s="2" t="inlineStr">
        <is>
          <t>POS</t>
        </is>
      </c>
      <c r="E41" s="2" t="inlineStr">
        <is>
          <t>기능 테스트</t>
        </is>
      </c>
      <c r="F41" s="2" t="inlineStr">
        <is>
          <t>POS 결제 - 마일리지 잔액 초과</t>
        </is>
      </c>
      <c r="G41" s="2" t="inlineStr">
        <is>
          <t>회원 마일리지 1000원, 상품 10000원</t>
        </is>
      </c>
      <c r="H41" s="2" t="inlineStr">
        <is>
          <t>1) 마일리지 결제 선택
2) 10000원 마일리지 사용 시도</t>
        </is>
      </c>
      <c r="I41" s="2" t="inlineStr">
        <is>
          <t>'마일리지 잔액이 부족합니다' 에러, 결제 불가</t>
        </is>
      </c>
      <c r="J41" s="2" t="n"/>
      <c r="K41" s="2" t="inlineStr">
        <is>
          <t>미실행</t>
        </is>
      </c>
      <c r="L41" s="2" t="inlineStr">
        <is>
          <t>High</t>
        </is>
      </c>
      <c r="M41" s="2" t="inlineStr">
        <is>
          <t>Major</t>
        </is>
      </c>
      <c r="N41" s="2" t="inlineStr">
        <is>
          <t>QA담당자1</t>
        </is>
      </c>
      <c r="O41" s="2" t="inlineStr">
        <is>
          <t>Staging</t>
        </is>
      </c>
      <c r="P41" s="2" t="inlineStr">
        <is>
          <t>Chrome</t>
        </is>
      </c>
      <c r="Q41" s="2" t="inlineStr">
        <is>
          <t>Desktop</t>
        </is>
      </c>
      <c r="R41" s="2" t="inlineStr">
        <is>
          <t>Windows 11</t>
        </is>
      </c>
      <c r="S41" s="2" t="inlineStr">
        <is>
          <t>1차</t>
        </is>
      </c>
      <c r="T41" s="2" t="inlineStr">
        <is>
          <t>수동</t>
        </is>
      </c>
      <c r="U41" s="2" t="inlineStr">
        <is>
          <t>SCR-032</t>
        </is>
      </c>
      <c r="V41" s="2" t="inlineStr">
        <is>
          <t>FN-012</t>
        </is>
      </c>
      <c r="W41" s="2" t="inlineStr">
        <is>
          <t>API-016</t>
        </is>
      </c>
      <c r="X41" s="2" t="n"/>
      <c r="Y41" s="2" t="n"/>
      <c r="Z41" s="2" t="inlineStr">
        <is>
          <t>POS 결제</t>
        </is>
      </c>
      <c r="AA41" s="2" t="inlineStr">
        <is>
          <t>POS 결제 처리</t>
        </is>
      </c>
      <c r="AB41" s="2" t="inlineStr">
        <is>
          <t>/api/v1/sales</t>
        </is>
      </c>
      <c r="AC41" s="2" t="n"/>
    </row>
    <row r="42">
      <c r="A42" s="2" t="inlineStr">
        <is>
          <t>TC-041</t>
        </is>
      </c>
      <c r="B42" s="2" t="inlineStr">
        <is>
          <t>Web</t>
        </is>
      </c>
      <c r="C42" s="2" t="inlineStr">
        <is>
          <t>직원관리</t>
        </is>
      </c>
      <c r="D42" s="2" t="inlineStr">
        <is>
          <t>급여</t>
        </is>
      </c>
      <c r="E42" s="2" t="inlineStr">
        <is>
          <t>기능 테스트</t>
        </is>
      </c>
      <c r="F42" s="2" t="inlineStr">
        <is>
          <t>급여 현황 조회</t>
        </is>
      </c>
      <c r="G42" s="2" t="inlineStr">
        <is>
          <t>급여 데이터 존재, 센터장 권한</t>
        </is>
      </c>
      <c r="H42" s="2" t="inlineStr">
        <is>
          <t>1) 급여 현황 접속
2) 월 선택
3) 테이블 확인</t>
        </is>
      </c>
      <c r="I42" s="2" t="inlineStr">
        <is>
          <t>해당 월 급여 테이블 표시, 합계 정확</t>
        </is>
      </c>
      <c r="J42" s="2" t="n"/>
      <c r="K42" s="2" t="inlineStr">
        <is>
          <t>미실행</t>
        </is>
      </c>
      <c r="L42" s="2" t="inlineStr">
        <is>
          <t>High</t>
        </is>
      </c>
      <c r="M42" s="2" t="inlineStr">
        <is>
          <t>Major</t>
        </is>
      </c>
      <c r="N42" s="2" t="inlineStr">
        <is>
          <t>QA담당자2</t>
        </is>
      </c>
      <c r="O42" s="2" t="inlineStr">
        <is>
          <t>Staging</t>
        </is>
      </c>
      <c r="P42" s="2" t="inlineStr">
        <is>
          <t>Chrome</t>
        </is>
      </c>
      <c r="Q42" s="2" t="inlineStr">
        <is>
          <t>Desktop</t>
        </is>
      </c>
      <c r="R42" s="2" t="inlineStr">
        <is>
          <t>Windows 11</t>
        </is>
      </c>
      <c r="S42" s="2" t="inlineStr">
        <is>
          <t>1차</t>
        </is>
      </c>
      <c r="T42" s="2" t="inlineStr">
        <is>
          <t>수동</t>
        </is>
      </c>
      <c r="U42" s="2" t="inlineStr">
        <is>
          <t>SCR-062</t>
        </is>
      </c>
      <c r="V42" s="2" t="inlineStr">
        <is>
          <t>FN-021</t>
        </is>
      </c>
      <c r="W42" s="2" t="n"/>
      <c r="X42" s="2" t="n"/>
      <c r="Y42" s="2" t="n"/>
      <c r="Z42" s="2" t="inlineStr">
        <is>
          <t>급여 현황</t>
        </is>
      </c>
      <c r="AA42" s="2" t="inlineStr">
        <is>
          <t>급여 관리</t>
        </is>
      </c>
      <c r="AB42" s="2" t="inlineStr"/>
      <c r="AC42" s="2" t="n"/>
    </row>
    <row r="43">
      <c r="A43" s="2" t="inlineStr">
        <is>
          <t>TC-042</t>
        </is>
      </c>
      <c r="B43" s="2" t="inlineStr">
        <is>
          <t>Web</t>
        </is>
      </c>
      <c r="C43" s="2" t="inlineStr">
        <is>
          <t>직원관리</t>
        </is>
      </c>
      <c r="D43" s="2" t="inlineStr">
        <is>
          <t>급여</t>
        </is>
      </c>
      <c r="E43" s="2" t="inlineStr">
        <is>
          <t>기능 테스트</t>
        </is>
      </c>
      <c r="F43" s="2" t="inlineStr">
        <is>
          <t>급여명세서 PDF 다운로드</t>
        </is>
      </c>
      <c r="G43" s="2" t="inlineStr">
        <is>
          <t>급여 데이터 존재</t>
        </is>
      </c>
      <c r="H43" s="2" t="inlineStr">
        <is>
          <t>1) 급여명세서 접속
2) 직원/월 선택
3) 'PDF 다운로드' 클릭</t>
        </is>
      </c>
      <c r="I43" s="2" t="inlineStr">
        <is>
          <t>PDF 파일 다운로드, 내용 정확</t>
        </is>
      </c>
      <c r="J43" s="2" t="n"/>
      <c r="K43" s="2" t="inlineStr">
        <is>
          <t>미실행</t>
        </is>
      </c>
      <c r="L43" s="2" t="inlineStr">
        <is>
          <t>Medium</t>
        </is>
      </c>
      <c r="M43" s="2" t="inlineStr">
        <is>
          <t>Major</t>
        </is>
      </c>
      <c r="N43" s="2" t="inlineStr">
        <is>
          <t>QA담당자2</t>
        </is>
      </c>
      <c r="O43" s="2" t="inlineStr">
        <is>
          <t>Staging</t>
        </is>
      </c>
      <c r="P43" s="2" t="inlineStr">
        <is>
          <t>Chrome</t>
        </is>
      </c>
      <c r="Q43" s="2" t="inlineStr">
        <is>
          <t>Desktop</t>
        </is>
      </c>
      <c r="R43" s="2" t="inlineStr">
        <is>
          <t>Windows 11</t>
        </is>
      </c>
      <c r="S43" s="2" t="inlineStr">
        <is>
          <t>1차</t>
        </is>
      </c>
      <c r="T43" s="2" t="inlineStr">
        <is>
          <t>수동</t>
        </is>
      </c>
      <c r="U43" s="2" t="inlineStr">
        <is>
          <t>SCR-063</t>
        </is>
      </c>
      <c r="V43" s="2" t="inlineStr">
        <is>
          <t>FN-022</t>
        </is>
      </c>
      <c r="W43" s="2" t="n"/>
      <c r="X43" s="2" t="n"/>
      <c r="Y43" s="2" t="n"/>
      <c r="Z43" s="2" t="inlineStr">
        <is>
          <t>급여명세서</t>
        </is>
      </c>
      <c r="AA43" s="2" t="inlineStr">
        <is>
          <t>급여명세서 조회</t>
        </is>
      </c>
      <c r="AB43" s="2" t="inlineStr"/>
      <c r="AC43" s="2" t="n"/>
    </row>
    <row r="44">
      <c r="A44" s="2" t="inlineStr">
        <is>
          <t>TC-043</t>
        </is>
      </c>
      <c r="B44" s="2" t="inlineStr">
        <is>
          <t>Web</t>
        </is>
      </c>
      <c r="C44" s="2" t="inlineStr">
        <is>
          <t>메시지/마케팅</t>
        </is>
      </c>
      <c r="D44" s="2" t="inlineStr">
        <is>
          <t>쿠폰</t>
        </is>
      </c>
      <c r="E44" s="2" t="inlineStr">
        <is>
          <t>기능 테스트</t>
        </is>
      </c>
      <c r="F44" s="2" t="inlineStr">
        <is>
          <t>쿠폰 생성</t>
        </is>
      </c>
      <c r="G44" s="2" t="inlineStr">
        <is>
          <t>매니저 이상 권한</t>
        </is>
      </c>
      <c r="H44" s="2" t="inlineStr">
        <is>
          <t>1) 쿠폰 관리 접속
2) '쿠폰 생성' 클릭
3) 이름/유형/할인값/기간 입력
4) 저장</t>
        </is>
      </c>
      <c r="I44" s="2" t="inlineStr">
        <is>
          <t>쿠폰 생성 성공, 목록에 표시</t>
        </is>
      </c>
      <c r="J44" s="2" t="n"/>
      <c r="K44" s="2" t="inlineStr">
        <is>
          <t>미실행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QA담당자2</t>
        </is>
      </c>
      <c r="O44" s="2" t="inlineStr">
        <is>
          <t>Staging</t>
        </is>
      </c>
      <c r="P44" s="2" t="inlineStr">
        <is>
          <t>Chrome</t>
        </is>
      </c>
      <c r="Q44" s="2" t="inlineStr">
        <is>
          <t>Desktop</t>
        </is>
      </c>
      <c r="R44" s="2" t="inlineStr">
        <is>
          <t>Windows 11</t>
        </is>
      </c>
      <c r="S44" s="2" t="inlineStr">
        <is>
          <t>1차</t>
        </is>
      </c>
      <c r="T44" s="2" t="inlineStr">
        <is>
          <t>수동</t>
        </is>
      </c>
      <c r="U44" s="2" t="inlineStr">
        <is>
          <t>SCR-072</t>
        </is>
      </c>
      <c r="V44" s="2" t="inlineStr">
        <is>
          <t>FN-025</t>
        </is>
      </c>
      <c r="W44" s="2" t="n"/>
      <c r="X44" s="2" t="n"/>
      <c r="Y44" s="2" t="n"/>
      <c r="Z44" s="2" t="inlineStr">
        <is>
          <t>쿠폰 관리</t>
        </is>
      </c>
      <c r="AA44" s="2" t="inlineStr">
        <is>
          <t>쿠폰 관리</t>
        </is>
      </c>
      <c r="AB44" s="2" t="inlineStr"/>
      <c r="AC44" s="2" t="n"/>
    </row>
    <row r="45">
      <c r="A45" s="2" t="inlineStr">
        <is>
          <t>TC-044</t>
        </is>
      </c>
      <c r="B45" s="2" t="inlineStr">
        <is>
          <t>Web</t>
        </is>
      </c>
      <c r="C45" s="2" t="inlineStr">
        <is>
          <t>메시지/마케팅</t>
        </is>
      </c>
      <c r="D45" s="2" t="inlineStr">
        <is>
          <t>마일리지</t>
        </is>
      </c>
      <c r="E45" s="2" t="inlineStr">
        <is>
          <t>기능 테스트</t>
        </is>
      </c>
      <c r="F45" s="2" t="inlineStr">
        <is>
          <t>마일리지 적립</t>
        </is>
      </c>
      <c r="G45" s="2" t="inlineStr">
        <is>
          <t>회원 데이터 존재</t>
        </is>
      </c>
      <c r="H45" s="2" t="inlineStr">
        <is>
          <t>1) 마일리지 관리 접속
2) 회원 검색
3) '적립' 클릭
4) 금액 입력
5) 확인</t>
        </is>
      </c>
      <c r="I45" s="2" t="inlineStr">
        <is>
          <t>마일리지 적립 성공, 잔액 갱신, 이력 기록</t>
        </is>
      </c>
      <c r="J45" s="2" t="n"/>
      <c r="K45" s="2" t="inlineStr">
        <is>
          <t>미실행</t>
        </is>
      </c>
      <c r="L45" s="2" t="inlineStr">
        <is>
          <t>Medium</t>
        </is>
      </c>
      <c r="M45" s="2" t="inlineStr">
        <is>
          <t>Major</t>
        </is>
      </c>
      <c r="N45" s="2" t="inlineStr">
        <is>
          <t>QA담당자2</t>
        </is>
      </c>
      <c r="O45" s="2" t="inlineStr">
        <is>
          <t>Staging</t>
        </is>
      </c>
      <c r="P45" s="2" t="inlineStr">
        <is>
          <t>Chrome</t>
        </is>
      </c>
      <c r="Q45" s="2" t="inlineStr">
        <is>
          <t>Desktop</t>
        </is>
      </c>
      <c r="R45" s="2" t="inlineStr">
        <is>
          <t>Windows 11</t>
        </is>
      </c>
      <c r="S45" s="2" t="inlineStr">
        <is>
          <t>1차</t>
        </is>
      </c>
      <c r="T45" s="2" t="inlineStr">
        <is>
          <t>수동</t>
        </is>
      </c>
      <c r="U45" s="2" t="inlineStr">
        <is>
          <t>SCR-073</t>
        </is>
      </c>
      <c r="V45" s="2" t="inlineStr">
        <is>
          <t>FN-026</t>
        </is>
      </c>
      <c r="W45" s="2" t="n"/>
      <c r="X45" s="2" t="n"/>
      <c r="Y45" s="2" t="n"/>
      <c r="Z45" s="2" t="inlineStr">
        <is>
          <t>마일리지 관리</t>
        </is>
      </c>
      <c r="AA45" s="2" t="inlineStr">
        <is>
          <t>마일리지 관리</t>
        </is>
      </c>
      <c r="AB45" s="2" t="inlineStr"/>
      <c r="AC45" s="2" t="n"/>
    </row>
    <row r="46">
      <c r="A46" s="2" t="inlineStr">
        <is>
          <t>TC-045</t>
        </is>
      </c>
      <c r="B46" s="2" t="inlineStr">
        <is>
          <t>Web</t>
        </is>
      </c>
      <c r="C46" s="2" t="inlineStr">
        <is>
          <t>API</t>
        </is>
      </c>
      <c r="D46" s="2" t="inlineStr">
        <is>
          <t>인증</t>
        </is>
      </c>
      <c r="E46" s="2" t="inlineStr">
        <is>
          <t>API 테스트</t>
        </is>
      </c>
      <c r="F46" s="2" t="inlineStr">
        <is>
          <t>로그인 API - 정상 응답 구조</t>
        </is>
      </c>
      <c r="G46" s="2" t="inlineStr">
        <is>
          <t>테스트 계정 존재</t>
        </is>
      </c>
      <c r="H46" s="2" t="inlineStr">
        <is>
          <t>1) POST /api/v1/auth/login 호출
2) 응답 구조 확인</t>
        </is>
      </c>
      <c r="I46" s="2" t="inlineStr">
        <is>
          <t>200 OK, token/user 필드 존재, user에 role/branch_id 포함</t>
        </is>
      </c>
      <c r="J46" s="2" t="n"/>
      <c r="K46" s="2" t="inlineStr">
        <is>
          <t>미실행</t>
        </is>
      </c>
      <c r="L46" s="2" t="inlineStr">
        <is>
          <t>Critical</t>
        </is>
      </c>
      <c r="M46" s="2" t="inlineStr">
        <is>
          <t>Critical</t>
        </is>
      </c>
      <c r="N46" s="2" t="inlineStr">
        <is>
          <t>QA담당자1</t>
        </is>
      </c>
      <c r="O46" s="2" t="inlineStr">
        <is>
          <t>Staging</t>
        </is>
      </c>
      <c r="P46" s="2" t="n"/>
      <c r="Q46" s="2" t="n"/>
      <c r="R46" s="2" t="n"/>
      <c r="S46" s="2" t="inlineStr">
        <is>
          <t>1차</t>
        </is>
      </c>
      <c r="T46" s="2" t="inlineStr">
        <is>
          <t>자동화 예정</t>
        </is>
      </c>
      <c r="U46" s="2" t="n"/>
      <c r="V46" s="2" t="inlineStr">
        <is>
          <t>FN-001</t>
        </is>
      </c>
      <c r="W46" s="2" t="inlineStr">
        <is>
          <t>API-001</t>
        </is>
      </c>
      <c r="X46" s="2" t="n"/>
      <c r="Y46" s="2" t="n"/>
      <c r="Z46" s="2" t="inlineStr"/>
      <c r="AA46" s="2" t="inlineStr">
        <is>
          <t>로그인</t>
        </is>
      </c>
      <c r="AB46" s="2" t="inlineStr">
        <is>
          <t>/api/v1/auth/login</t>
        </is>
      </c>
      <c r="AC46" s="2" t="n"/>
    </row>
    <row r="47">
      <c r="A47" s="2" t="inlineStr">
        <is>
          <t>TC-046</t>
        </is>
      </c>
      <c r="B47" s="2" t="inlineStr">
        <is>
          <t>Web</t>
        </is>
      </c>
      <c r="C47" s="2" t="inlineStr">
        <is>
          <t>API</t>
        </is>
      </c>
      <c r="D47" s="2" t="inlineStr">
        <is>
          <t>회원</t>
        </is>
      </c>
      <c r="E47" s="2" t="inlineStr">
        <is>
          <t>API 테스트</t>
        </is>
      </c>
      <c r="F47" s="2" t="inlineStr">
        <is>
          <t>회원 목록 API - 페이지네이션</t>
        </is>
      </c>
      <c r="G47" s="2" t="inlineStr">
        <is>
          <t>회원 50건 이상</t>
        </is>
      </c>
      <c r="H47" s="2" t="inlineStr">
        <is>
          <t>1) GET /api/v1/members?page=1&amp;size=20
2) pagination 필드 확인
3) page=2 호출
4) 중복 데이터 없음 확인</t>
        </is>
      </c>
      <c r="I47" s="2" t="inlineStr">
        <is>
          <t>pagination 정확, 페이지 간 중복 없음</t>
        </is>
      </c>
      <c r="J47" s="2" t="n"/>
      <c r="K47" s="2" t="inlineStr">
        <is>
          <t>미실행</t>
        </is>
      </c>
      <c r="L47" s="2" t="inlineStr">
        <is>
          <t>High</t>
        </is>
      </c>
      <c r="M47" s="2" t="inlineStr">
        <is>
          <t>Major</t>
        </is>
      </c>
      <c r="N47" s="2" t="inlineStr">
        <is>
          <t>QA담당자1</t>
        </is>
      </c>
      <c r="O47" s="2" t="inlineStr">
        <is>
          <t>Staging</t>
        </is>
      </c>
      <c r="P47" s="2" t="n"/>
      <c r="Q47" s="2" t="n"/>
      <c r="R47" s="2" t="n"/>
      <c r="S47" s="2" t="inlineStr">
        <is>
          <t>1차</t>
        </is>
      </c>
      <c r="T47" s="2" t="inlineStr">
        <is>
          <t>자동화 예정</t>
        </is>
      </c>
      <c r="U47" s="2" t="n"/>
      <c r="V47" s="2" t="inlineStr">
        <is>
          <t>FN-003</t>
        </is>
      </c>
      <c r="W47" s="2" t="inlineStr">
        <is>
          <t>API-007</t>
        </is>
      </c>
      <c r="X47" s="2" t="n"/>
      <c r="Y47" s="2" t="n"/>
      <c r="Z47" s="2" t="inlineStr"/>
      <c r="AA47" s="2" t="inlineStr">
        <is>
          <t>회원 목록 조회/검색/필터</t>
        </is>
      </c>
      <c r="AB47" s="2" t="inlineStr">
        <is>
          <t>/api/v1/members</t>
        </is>
      </c>
      <c r="AC47" s="2" t="n"/>
    </row>
    <row r="48">
      <c r="A48" s="2" t="inlineStr">
        <is>
          <t>TC-047</t>
        </is>
      </c>
      <c r="B48" s="2" t="inlineStr">
        <is>
          <t>Web</t>
        </is>
      </c>
      <c r="C48" s="2" t="inlineStr">
        <is>
          <t>시설관리</t>
        </is>
      </c>
      <c r="D48" s="2" t="inlineStr">
        <is>
          <t>RFID</t>
        </is>
      </c>
      <c r="E48" s="2" t="inlineStr">
        <is>
          <t>기능 테스트</t>
        </is>
      </c>
      <c r="F48" s="2" t="inlineStr">
        <is>
          <t>RFID 카드 등록</t>
        </is>
      </c>
      <c r="G48" s="2" t="inlineStr">
        <is>
          <t>RFID 리더 연동 환경</t>
        </is>
      </c>
      <c r="H48" s="2" t="inlineStr">
        <is>
          <t>1) RFID 관리 접속
2) 카드 스캔
3) 회원 매핑
4) 저장</t>
        </is>
      </c>
      <c r="I48" s="2" t="inlineStr">
        <is>
          <t>카드-회원 매핑 성공, 이력 기록</t>
        </is>
      </c>
      <c r="J48" s="2" t="n"/>
      <c r="K48" s="2" t="inlineStr">
        <is>
          <t>미실행</t>
        </is>
      </c>
      <c r="L48" s="2" t="inlineStr">
        <is>
          <t>Medium</t>
        </is>
      </c>
      <c r="M48" s="2" t="inlineStr">
        <is>
          <t>Major</t>
        </is>
      </c>
      <c r="N48" s="2" t="inlineStr">
        <is>
          <t>QA담당자2</t>
        </is>
      </c>
      <c r="O48" s="2" t="inlineStr">
        <is>
          <t>Staging</t>
        </is>
      </c>
      <c r="P48" s="2" t="inlineStr">
        <is>
          <t>Chrome</t>
        </is>
      </c>
      <c r="Q48" s="2" t="inlineStr">
        <is>
          <t>Desktop</t>
        </is>
      </c>
      <c r="R48" s="2" t="inlineStr">
        <is>
          <t>Windows 11</t>
        </is>
      </c>
      <c r="S48" s="2" t="inlineStr">
        <is>
          <t>1차</t>
        </is>
      </c>
      <c r="T48" s="2" t="inlineStr">
        <is>
          <t>수동</t>
        </is>
      </c>
      <c r="U48" s="2" t="inlineStr">
        <is>
          <t>SCR-052</t>
        </is>
      </c>
      <c r="V48" s="2" t="inlineStr">
        <is>
          <t>FN-017</t>
        </is>
      </c>
      <c r="W48" s="2" t="n"/>
      <c r="X48" s="2" t="n"/>
      <c r="Y48" s="2" t="n"/>
      <c r="Z48" s="2" t="inlineStr">
        <is>
          <t>RFID 관리</t>
        </is>
      </c>
      <c r="AA48" s="2" t="inlineStr">
        <is>
          <t>RFID 관리</t>
        </is>
      </c>
      <c r="AB48" s="2" t="inlineStr"/>
      <c r="AC48" s="2" t="n"/>
    </row>
    <row r="49">
      <c r="A49" s="2" t="inlineStr">
        <is>
          <t>TC-048</t>
        </is>
      </c>
      <c r="B49" s="2" t="inlineStr">
        <is>
          <t>Web</t>
        </is>
      </c>
      <c r="C49" s="2" t="inlineStr">
        <is>
          <t>시설관리</t>
        </is>
      </c>
      <c r="D49" s="2" t="inlineStr">
        <is>
          <t>룸</t>
        </is>
      </c>
      <c r="E49" s="2" t="inlineStr">
        <is>
          <t>기능 테스트</t>
        </is>
      </c>
      <c r="F49" s="2" t="inlineStr">
        <is>
          <t>GX룸 등록</t>
        </is>
      </c>
      <c r="G49" s="2" t="inlineStr">
        <is>
          <t>매니저 이상 권한</t>
        </is>
      </c>
      <c r="H49" s="2" t="inlineStr">
        <is>
          <t>1) 룸 관리 접속
2) '룸 등록' 클릭
3) 룸명/유형/수용인원 입력
4) 저장</t>
        </is>
      </c>
      <c r="I49" s="2" t="inlineStr">
        <is>
          <t>룸 등록 성공, 카드 뷰에 표시</t>
        </is>
      </c>
      <c r="J49" s="2" t="n"/>
      <c r="K49" s="2" t="inlineStr">
        <is>
          <t>미실행</t>
        </is>
      </c>
      <c r="L49" s="2" t="inlineStr">
        <is>
          <t>Medium</t>
        </is>
      </c>
      <c r="M49" s="2" t="inlineStr">
        <is>
          <t>Major</t>
        </is>
      </c>
      <c r="N49" s="2" t="inlineStr">
        <is>
          <t>QA담당자2</t>
        </is>
      </c>
      <c r="O49" s="2" t="inlineStr">
        <is>
          <t>Staging</t>
        </is>
      </c>
      <c r="P49" s="2" t="inlineStr">
        <is>
          <t>Chrome</t>
        </is>
      </c>
      <c r="Q49" s="2" t="inlineStr">
        <is>
          <t>Desktop</t>
        </is>
      </c>
      <c r="R49" s="2" t="inlineStr">
        <is>
          <t>Windows 11</t>
        </is>
      </c>
      <c r="S49" s="2" t="inlineStr">
        <is>
          <t>1차</t>
        </is>
      </c>
      <c r="T49" s="2" t="inlineStr">
        <is>
          <t>수동</t>
        </is>
      </c>
      <c r="U49" s="2" t="inlineStr">
        <is>
          <t>SCR-053</t>
        </is>
      </c>
      <c r="V49" s="2" t="inlineStr">
        <is>
          <t>FN-018</t>
        </is>
      </c>
      <c r="W49" s="2" t="n"/>
      <c r="X49" s="2" t="n"/>
      <c r="Y49" s="2" t="n"/>
      <c r="Z49" s="2" t="inlineStr">
        <is>
          <t>룸 관리</t>
        </is>
      </c>
      <c r="AA49" s="2" t="inlineStr">
        <is>
          <t>룸 관리</t>
        </is>
      </c>
      <c r="AB49" s="2" t="inlineStr"/>
      <c r="AC49" s="2" t="n"/>
    </row>
    <row r="50">
      <c r="A50" s="2" t="inlineStr">
        <is>
          <t>TC-049</t>
        </is>
      </c>
      <c r="B50" s="2" t="inlineStr">
        <is>
          <t>Web</t>
        </is>
      </c>
      <c r="C50" s="2" t="inlineStr">
        <is>
          <t>설정/권한</t>
        </is>
      </c>
      <c r="D50" s="2" t="inlineStr">
        <is>
          <t>IoT</t>
        </is>
      </c>
      <c r="E50" s="2" t="inlineStr">
        <is>
          <t>기능 테스트</t>
        </is>
      </c>
      <c r="F50" s="2" t="inlineStr">
        <is>
          <t>IoT 기기 연결 테스트</t>
        </is>
      </c>
      <c r="G50" s="2" t="inlineStr">
        <is>
          <t>IoT 기기 설정 존재</t>
        </is>
      </c>
      <c r="H50" s="2" t="inlineStr">
        <is>
          <t>1) IoT 설정 접속
2) '연결 테스트' 클릭</t>
        </is>
      </c>
      <c r="I50" s="2" t="inlineStr">
        <is>
          <t>연결 성공/실패 결과 표시</t>
        </is>
      </c>
      <c r="J50" s="2" t="n"/>
      <c r="K50" s="2" t="inlineStr">
        <is>
          <t>미실행</t>
        </is>
      </c>
      <c r="L50" s="2" t="inlineStr">
        <is>
          <t>Medium</t>
        </is>
      </c>
      <c r="M50" s="2" t="inlineStr">
        <is>
          <t>Major</t>
        </is>
      </c>
      <c r="N50" s="2" t="inlineStr">
        <is>
          <t>QA담당자2</t>
        </is>
      </c>
      <c r="O50" s="2" t="inlineStr">
        <is>
          <t>Staging</t>
        </is>
      </c>
      <c r="P50" s="2" t="inlineStr">
        <is>
          <t>Chrome</t>
        </is>
      </c>
      <c r="Q50" s="2" t="inlineStr">
        <is>
          <t>Desktop</t>
        </is>
      </c>
      <c r="R50" s="2" t="inlineStr">
        <is>
          <t>Windows 11</t>
        </is>
      </c>
      <c r="S50" s="2" t="inlineStr">
        <is>
          <t>1차</t>
        </is>
      </c>
      <c r="T50" s="2" t="inlineStr">
        <is>
          <t>수동</t>
        </is>
      </c>
      <c r="U50" s="2" t="inlineStr">
        <is>
          <t>SCR-093</t>
        </is>
      </c>
      <c r="V50" s="2" t="inlineStr">
        <is>
          <t>FN-032</t>
        </is>
      </c>
      <c r="W50" s="2" t="n"/>
      <c r="X50" s="2" t="n"/>
      <c r="Y50" s="2" t="n"/>
      <c r="Z50" s="2" t="inlineStr">
        <is>
          <t>IoT 설정</t>
        </is>
      </c>
      <c r="AA50" s="2" t="inlineStr">
        <is>
          <t>IoT 설정</t>
        </is>
      </c>
      <c r="AB50" s="2" t="inlineStr"/>
      <c r="AC50" s="2" t="n"/>
    </row>
    <row r="51">
      <c r="A51" s="2" t="inlineStr">
        <is>
          <t>TC-050</t>
        </is>
      </c>
      <c r="B51" s="2" t="inlineStr">
        <is>
          <t>Web</t>
        </is>
      </c>
      <c r="C51" s="2" t="inlineStr">
        <is>
          <t>설정/권한</t>
        </is>
      </c>
      <c r="D51" s="2" t="inlineStr">
        <is>
          <t>지점</t>
        </is>
      </c>
      <c r="E51" s="2" t="inlineStr">
        <is>
          <t>기능 테스트</t>
        </is>
      </c>
      <c r="F51" s="2" t="inlineStr">
        <is>
          <t>데이터 초기화 - 2중 확인</t>
        </is>
      </c>
      <c r="G51" s="2" t="inlineStr">
        <is>
          <t>최고관리자 권한</t>
        </is>
      </c>
      <c r="H51" s="2" t="inlineStr">
        <is>
          <t>1) 지점 관리 → '데이터 초기화'
2) 첫 번째 확인 모달
3) 비밀번호 입력
4) 초기화 실행</t>
        </is>
      </c>
      <c r="I51" s="2" t="inlineStr">
        <is>
          <t>선택한 데이터 초기화 완료, 2중 확인 없이 초기화 불가</t>
        </is>
      </c>
      <c r="J51" s="2" t="n"/>
      <c r="K51" s="2" t="inlineStr">
        <is>
          <t>미실행</t>
        </is>
      </c>
      <c r="L51" s="2" t="inlineStr">
        <is>
          <t>Critical</t>
        </is>
      </c>
      <c r="M51" s="2" t="inlineStr">
        <is>
          <t>Blocker</t>
        </is>
      </c>
      <c r="N51" s="2" t="inlineStr">
        <is>
          <t>QA담당자1</t>
        </is>
      </c>
      <c r="O51" s="2" t="inlineStr">
        <is>
          <t>Staging</t>
        </is>
      </c>
      <c r="P51" s="2" t="inlineStr">
        <is>
          <t>Chrome</t>
        </is>
      </c>
      <c r="Q51" s="2" t="inlineStr">
        <is>
          <t>Desktop</t>
        </is>
      </c>
      <c r="R51" s="2" t="inlineStr">
        <is>
          <t>Windows 11</t>
        </is>
      </c>
      <c r="S51" s="2" t="inlineStr">
        <is>
          <t>1차</t>
        </is>
      </c>
      <c r="T51" s="2" t="inlineStr">
        <is>
          <t>수동</t>
        </is>
      </c>
      <c r="U51" s="2" t="inlineStr">
        <is>
          <t>SCR-094</t>
        </is>
      </c>
      <c r="V51" s="2" t="inlineStr">
        <is>
          <t>FN-033</t>
        </is>
      </c>
      <c r="W51" s="2" t="inlineStr">
        <is>
          <t>API-027</t>
        </is>
      </c>
      <c r="X51" s="2" t="n"/>
      <c r="Y51" s="2" t="n"/>
      <c r="Z51" s="2" t="inlineStr">
        <is>
          <t>지점 관리</t>
        </is>
      </c>
      <c r="AA51" s="2" t="inlineStr">
        <is>
          <t>지점 관리</t>
        </is>
      </c>
      <c r="AB51" s="2" t="inlineStr">
        <is>
          <t>/api/v1/system/reset</t>
        </is>
      </c>
      <c r="AC51" s="2" t="n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COUNTA('IA(정보구조)'!A2:A200)</f>
        <v/>
      </c>
      <c r="C5" s="8">
        <f>COUNTIF('IA(정보구조)'!K2:K200,"확정")</f>
        <v/>
      </c>
      <c r="D5" s="8">
        <f>COUNTIF('IA(정보구조)'!K2:K200,"작성중")</f>
        <v/>
      </c>
    </row>
    <row r="6">
      <c r="A6" s="8" t="inlineStr">
        <is>
          <t>화면설계서</t>
        </is>
      </c>
      <c r="B6" s="8">
        <f>COUNTA(화면설계서!A2:A200)</f>
        <v/>
      </c>
      <c r="C6" s="8">
        <f>COUNTIF(화면설계서!Q2:Q200,"확정")</f>
        <v/>
      </c>
      <c r="D6" s="8">
        <f>COUNTIF(화면설계서!Q2:Q200,"작성중")</f>
        <v/>
      </c>
    </row>
    <row r="7">
      <c r="A7" s="8" t="inlineStr">
        <is>
          <t>기능명세서</t>
        </is>
      </c>
      <c r="B7" s="8">
        <f>COUNTA(기능명세서!A2:A200)</f>
        <v/>
      </c>
      <c r="C7" s="8">
        <f>COUNTIF(기능명세서!P2:P200,"확정")</f>
        <v/>
      </c>
      <c r="D7" s="8">
        <f>COUNTIF(기능명세서!P2:P200,"작성중")</f>
        <v/>
      </c>
    </row>
    <row r="8">
      <c r="A8" s="8" t="inlineStr">
        <is>
          <t>API명세서</t>
        </is>
      </c>
      <c r="B8" s="8">
        <f>COUNTA(API명세서!A2:A200)</f>
        <v/>
      </c>
      <c r="C8" s="8">
        <f>COUNTIF(API명세서!M2:M200,"개발완료")</f>
        <v/>
      </c>
      <c r="D8" s="8">
        <f>COUNTIF(API명세서!M2:M200,"설계중")</f>
        <v/>
      </c>
    </row>
    <row r="9">
      <c r="A9" s="8" t="inlineStr">
        <is>
          <t>데이터 정의서</t>
        </is>
      </c>
      <c r="B9" s="8">
        <f>COUNTA('데이터 정의서'!A2:A200)</f>
        <v/>
      </c>
      <c r="C9" s="8">
        <f>COUNTIF('데이터 정의서'!L2:L200,"확정")</f>
        <v/>
      </c>
      <c r="D9" s="8">
        <f>COUNTIF('데이터 정의서'!L2:L200,"작성중")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COUNTA(QA테스트케이스!A2:A200)</f>
        <v/>
      </c>
    </row>
    <row r="14">
      <c r="A14" s="8" t="inlineStr">
        <is>
          <t>Pass</t>
        </is>
      </c>
      <c r="B14" s="8">
        <f>COUNTIF(QA테스트케이스!K2:K200,"Pass")</f>
        <v/>
      </c>
    </row>
    <row r="15">
      <c r="A15" s="8" t="inlineStr">
        <is>
          <t>Fail</t>
        </is>
      </c>
      <c r="B15" s="8">
        <f>COUNTIF(QA테스트케이스!K2:K200,"Fail")</f>
        <v/>
      </c>
    </row>
    <row r="16">
      <c r="A16" s="8" t="inlineStr">
        <is>
          <t>Block</t>
        </is>
      </c>
      <c r="B16" s="8">
        <f>COUNTIF(QA테스트케이스!K2:K200,"Block")</f>
        <v/>
      </c>
    </row>
    <row r="17">
      <c r="A17" s="8" t="inlineStr">
        <is>
          <t>미실행</t>
        </is>
      </c>
      <c r="B17" s="8">
        <f>COUNTIF(QA테스트케이스!K2:K200,"미실행")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COUNTIF(QA테스트케이스!B2:B200,"Web")</f>
        <v/>
      </c>
      <c r="C23" s="8">
        <f>COUNTIFS(QA테스트케이스!B2:B200,"Web",QA테스트케이스!K2:K200,"Pass")</f>
        <v/>
      </c>
      <c r="D23" s="8">
        <f>COUNTIFS(QA테스트케이스!B2:B200,"Web",QA테스트케이스!K2:K200,"Fail")</f>
        <v/>
      </c>
    </row>
    <row r="24">
      <c r="A24" s="8" t="inlineStr">
        <is>
          <t>App (iOS)</t>
        </is>
      </c>
      <c r="B24" s="8">
        <f>COUNTIF(QA테스트케이스!B2:B200,"App (iOS)")</f>
        <v/>
      </c>
      <c r="C24" s="8">
        <f>COUNTIFS(QA테스트케이스!B2:B200,"App (iOS)",QA테스트케이스!K2:K200,"Pass")</f>
        <v/>
      </c>
      <c r="D24" s="8">
        <f>COUNTIFS(QA테스트케이스!B2:B200,"App (iOS)",QA테스트케이스!K2:K200,"Fail")</f>
        <v/>
      </c>
    </row>
    <row r="25">
      <c r="A25" s="8" t="inlineStr">
        <is>
          <t>App (Android)</t>
        </is>
      </c>
      <c r="B25" s="8">
        <f>COUNTIF(QA테스트케이스!B2:B200,"App (Android)")</f>
        <v/>
      </c>
      <c r="C25" s="8">
        <f>COUNTIFS(QA테스트케이스!B2:B200,"App (Android)",QA테스트케이스!K2:K200,"Pass")</f>
        <v/>
      </c>
      <c r="D25" s="8">
        <f>COUNTIFS(QA테스트케이스!B2:B200,"App (Android)",QA테스트케이스!K2:K200,"Fail")</f>
        <v/>
      </c>
    </row>
    <row r="26">
      <c r="A26" s="8" t="inlineStr">
        <is>
          <t>공통</t>
        </is>
      </c>
      <c r="B26" s="8">
        <f>COUNTIF(QA테스트케이스!B2:B200,"공통")</f>
        <v/>
      </c>
      <c r="C26" s="8">
        <f>COUNTIFS(QA테스트케이스!B2:B200,"공통",QA테스트케이스!K2:K200,"Pass")</f>
        <v/>
      </c>
      <c r="D26" s="8">
        <f>COUNTIFS(QA테스트케이스!B2:B200,"공통",QA테스트케이스!K2:K200,"Fail")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스토리'!J2:J200,"Backlog")</f>
        <v/>
      </c>
    </row>
    <row r="31">
      <c r="A31" s="8" t="inlineStr">
        <is>
          <t>To Do</t>
        </is>
      </c>
      <c r="B31" s="8">
        <f>COUNTIF('사용자 스토리'!J2:J200,"To Do")</f>
        <v/>
      </c>
    </row>
    <row r="32">
      <c r="A32" s="8" t="inlineStr">
        <is>
          <t>In Progress</t>
        </is>
      </c>
      <c r="B32" s="8">
        <f>COUNTIF('사용자 스토리'!J2:J200,"In Progress")</f>
        <v/>
      </c>
    </row>
    <row r="33">
      <c r="A33" s="8" t="inlineStr">
        <is>
          <t>In Review</t>
        </is>
      </c>
      <c r="B33" s="8">
        <f>COUNTIF('사용자 스토리'!J2:J200,"In Review")</f>
        <v/>
      </c>
    </row>
    <row r="34">
      <c r="A34" s="8" t="inlineStr">
        <is>
          <t>Done</t>
        </is>
      </c>
      <c r="B34" s="8">
        <f>COUNTIF('사용자 스토리'!J2:J200,"Done")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GAP 분석 기반 실제 현황 (2026-03-11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n">
        <v>34</v>
      </c>
      <c r="C44" t="n">
        <v>33</v>
      </c>
      <c r="D44" t="inlineStr">
        <is>
          <t>97%</t>
        </is>
      </c>
    </row>
    <row r="45">
      <c r="A45" t="inlineStr">
        <is>
          <t>전체 기능 수</t>
        </is>
      </c>
      <c r="B45" t="n">
        <v>33</v>
      </c>
      <c r="C45" t="n">
        <v>33</v>
      </c>
      <c r="D45" t="inlineStr">
        <is>
          <t>100%</t>
        </is>
      </c>
    </row>
    <row r="46">
      <c r="A46" t="inlineStr">
        <is>
          <t>전체 API 수</t>
        </is>
      </c>
      <c r="B46" t="n">
        <v>27</v>
      </c>
      <c r="C46" t="n">
        <v>0</v>
      </c>
      <c r="D46" t="inlineStr">
        <is>
          <t>0% (전체 Mock)</t>
        </is>
      </c>
    </row>
    <row r="47">
      <c r="A47" t="inlineStr">
        <is>
          <t>전체 UI 요소 수</t>
        </is>
      </c>
      <c r="B47" t="n">
        <v>129</v>
      </c>
      <c r="C47" t="n">
        <v>129</v>
      </c>
      <c r="D47" t="inlineStr">
        <is>
          <t>100%</t>
        </is>
      </c>
    </row>
    <row r="48">
      <c r="A48" t="inlineStr">
        <is>
          <t>전체 TC 수</t>
        </is>
      </c>
      <c r="B48" t="n">
        <v>50</v>
      </c>
      <c r="C48" t="n">
        <v>0</v>
      </c>
      <c r="D48" t="inlineStr">
        <is>
          <t>0% (미실행)</t>
        </is>
      </c>
    </row>
    <row r="49">
      <c r="A49" t="inlineStr">
        <is>
          <t>전체 DB 테이블 수</t>
        </is>
      </c>
      <c r="B49" t="n">
        <v>16</v>
      </c>
      <c r="C49" t="n">
        <v>0</v>
      </c>
      <c r="D49" t="inlineStr">
        <is>
          <t>0% (설계 완료)</t>
        </is>
      </c>
    </row>
    <row r="50">
      <c r="A50" t="inlineStr">
        <is>
          <t>전체 DB 컬럼 수</t>
        </is>
      </c>
      <c r="B50" t="n">
        <v>184</v>
      </c>
      <c r="C50" t="n">
        <v>0</v>
      </c>
      <c r="D50" t="inlineStr">
        <is>
          <t>0% (설계 완료)</t>
        </is>
      </c>
    </row>
    <row r="51">
      <c r="A51" t="inlineStr">
        <is>
          <t>비즈니스 정책 수</t>
        </is>
      </c>
      <c r="B51" t="n">
        <v>41</v>
      </c>
      <c r="C51" t="n">
        <v>4</v>
      </c>
      <c r="D51" t="inlineStr">
        <is>
          <t>~10%</t>
        </is>
      </c>
    </row>
    <row r="53">
      <c r="A53" t="inlineStr">
        <is>
          <t>주요 미구현 항목</t>
        </is>
      </c>
    </row>
    <row r="54">
      <c r="A54" t="inlineStr">
        <is>
          <t>API 연동</t>
        </is>
      </c>
      <c r="B54" t="inlineStr">
        <is>
          <t>전체 Mock 데이터</t>
        </is>
      </c>
      <c r="C54" t="inlineStr">
        <is>
          <t>실 API 미연동</t>
        </is>
      </c>
      <c r="D54" t="inlineStr">
        <is>
          <t>0%</t>
        </is>
      </c>
    </row>
    <row r="55">
      <c r="A55" t="inlineStr">
        <is>
          <t>유효성 검사</t>
        </is>
      </c>
      <c r="B55" t="inlineStr">
        <is>
          <t>전체 화면</t>
        </is>
      </c>
      <c r="C55" t="inlineStr">
        <is>
          <t>Login/Form 일부</t>
        </is>
      </c>
      <c r="D55" t="inlineStr">
        <is>
          <t>15%</t>
        </is>
      </c>
    </row>
    <row r="56">
      <c r="A56" t="inlineStr">
        <is>
          <t>에러 처리</t>
        </is>
      </c>
      <c r="B56" t="inlineStr">
        <is>
          <t>전체 화면</t>
        </is>
      </c>
      <c r="C56" t="inlineStr">
        <is>
          <t>Login만 기본</t>
        </is>
      </c>
      <c r="D56" t="inlineStr">
        <is>
          <t>5%</t>
        </is>
      </c>
    </row>
    <row r="57">
      <c r="A57" t="inlineStr">
        <is>
          <t>비즈니스 규칙</t>
        </is>
      </c>
      <c r="B57" t="inlineStr">
        <is>
          <t>41개 정책</t>
        </is>
      </c>
      <c r="C57" t="inlineStr">
        <is>
          <t>POS 혼합결제 등 극소수</t>
        </is>
      </c>
      <c r="D57" t="inlineStr">
        <is>
          <t>10%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>
        <is>
          <t>FN-053</t>
        </is>
      </c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FN-060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>
        <is>
          <t>FN-061</t>
        </is>
      </c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FN-062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FN-063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FN-070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FN-071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FN-072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FN-073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FN-080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FN-081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FN-082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>
        <is>
          <t>FN-090</t>
        </is>
      </c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>
        <is>
          <t>FN-091</t>
        </is>
      </c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FN-092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2026-03-11T08:15:52Z</dcterms:modified>
</cp:coreProperties>
</file>