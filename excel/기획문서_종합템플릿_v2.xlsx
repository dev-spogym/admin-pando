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A(정보구조)" sheetId="1" state="visible" r:id="rId3"/>
    <sheet name="사용자 스토리" sheetId="2" state="visible" r:id="rId4"/>
    <sheet name="화면설계서" sheetId="3" state="visible" r:id="rId5"/>
    <sheet name="UI 요소 상세" sheetId="4" state="visible" r:id="rId6"/>
    <sheet name="기능명세서" sheetId="5" state="visible" r:id="rId7"/>
    <sheet name="API명세서" sheetId="6" state="visible" r:id="rId8"/>
    <sheet name="데이터 정의서" sheetId="7" state="visible" r:id="rId9"/>
    <sheet name="QA테스트케이스" sheetId="8" state="visible" r:id="rId10"/>
    <sheet name="대시보드" sheetId="9" state="visible" r:id="rId11"/>
  </sheets>
  <definedNames>
    <definedName function="false" hidden="true" localSheetId="5" name="_xlnm._FilterDatabase" vbProcedure="false">API명세서!$A$1:$Q$1</definedName>
    <definedName function="false" hidden="true" localSheetId="0" name="_xlnm._FilterDatabase" vbProcedure="false">'IA(정보구조)'!$A$1:$L$1</definedName>
    <definedName function="false" hidden="true" localSheetId="7" name="_xlnm._FilterDatabase" vbProcedure="false">QA테스트케이스!$A$1:$AC$1</definedName>
    <definedName function="false" hidden="true" localSheetId="3" name="_xlnm._FilterDatabase" vbProcedure="false">'UI 요소 상세'!$A$1:$S$1</definedName>
    <definedName function="false" hidden="true" localSheetId="4" name="_xlnm._FilterDatabase" vbProcedure="false">기능명세서!$A$1:$T$1</definedName>
    <definedName function="false" hidden="true" localSheetId="6" name="_xlnm._FilterDatabase" vbProcedure="false">'데이터 정의서'!$A$1:$M$1</definedName>
    <definedName function="false" hidden="true" localSheetId="1" name="_xlnm._FilterDatabase" vbProcedure="false">'사용자 스토리'!$A$1:$M$1</definedName>
    <definedName function="false" hidden="true" localSheetId="2" name="_xlnm._FilterDatabase" vbProcedure="false">화면설계서!$A$1:$V$1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<sst xmlns="http://schemas.openxmlformats.org/spreadsheetml/2006/main" count="1337" uniqueCount="683">
  <si>
    <t xml:space="preserve">Depth 1</t>
  </si>
  <si>
    <t xml:space="preserve">Depth 2</t>
  </si>
  <si>
    <t xml:space="preserve">Depth 3</t>
  </si>
  <si>
    <r>
      <rPr>
        <b val="true"/>
        <sz val="11"/>
        <color rgb="FFFFFFFF"/>
        <rFont val="DejaVu Sans"/>
        <family val="2"/>
      </rPr>
      <t xml:space="preserve">화면 </t>
    </r>
    <r>
      <rPr>
        <b val="true"/>
        <sz val="11"/>
        <color rgb="FFFFFFFF"/>
        <rFont val="DejaVu Sans"/>
        <family val="2"/>
        <charset val="1"/>
      </rPr>
      <t xml:space="preserve">ID</t>
    </r>
  </si>
  <si>
    <t xml:space="preserve">화면명</t>
  </si>
  <si>
    <t xml:space="preserve">플랫폼</t>
  </si>
  <si>
    <r>
      <rPr>
        <b val="true"/>
        <sz val="11"/>
        <color rgb="FFFFFFFF"/>
        <rFont val="DejaVu Sans"/>
        <family val="2"/>
      </rPr>
      <t xml:space="preserve">화면 </t>
    </r>
    <r>
      <rPr>
        <b val="true"/>
        <sz val="11"/>
        <color rgb="FFFFFFFF"/>
        <rFont val="DejaVu Sans"/>
        <family val="2"/>
        <charset val="1"/>
      </rPr>
      <t xml:space="preserve">URL/</t>
    </r>
    <r>
      <rPr>
        <b val="true"/>
        <sz val="11"/>
        <color rgb="FFFFFFFF"/>
        <rFont val="DejaVu Sans"/>
        <family val="2"/>
      </rPr>
      <t xml:space="preserve">경로</t>
    </r>
  </si>
  <si>
    <t xml:space="preserve">로그인 필요</t>
  </si>
  <si>
    <t xml:space="preserve">권한</t>
  </si>
  <si>
    <t xml:space="preserve">설명</t>
  </si>
  <si>
    <t xml:space="preserve">상태</t>
  </si>
  <si>
    <t xml:space="preserve">비고</t>
  </si>
  <si>
    <t xml:space="preserve">홈</t>
  </si>
  <si>
    <t xml:space="preserve">SCR-001</t>
  </si>
  <si>
    <t xml:space="preserve">메인 화면</t>
  </si>
  <si>
    <t xml:space="preserve">Web + App</t>
  </si>
  <si>
    <t xml:space="preserve">/home</t>
  </si>
  <si>
    <t xml:space="preserve">N</t>
  </si>
  <si>
    <t xml:space="preserve">전체</t>
  </si>
  <si>
    <r>
      <rPr>
        <sz val="10"/>
        <color rgb="FF333333"/>
        <rFont val="DejaVu Sans"/>
        <family val="2"/>
      </rPr>
      <t xml:space="preserve">로그인 전</t>
    </r>
    <r>
      <rPr>
        <sz val="10"/>
        <color rgb="FF333333"/>
        <rFont val="DejaVu Sans"/>
        <family val="2"/>
        <charset val="1"/>
      </rPr>
      <t xml:space="preserve">/</t>
    </r>
    <r>
      <rPr>
        <sz val="10"/>
        <color rgb="FF333333"/>
        <rFont val="DejaVu Sans"/>
        <family val="2"/>
      </rPr>
      <t xml:space="preserve">후 메인 화면</t>
    </r>
  </si>
  <si>
    <t xml:space="preserve">확정</t>
  </si>
  <si>
    <t xml:space="preserve">회원</t>
  </si>
  <si>
    <t xml:space="preserve">회원가입</t>
  </si>
  <si>
    <t xml:space="preserve">SCR-010</t>
  </si>
  <si>
    <t xml:space="preserve">/signup</t>
  </si>
  <si>
    <t xml:space="preserve">비회원</t>
  </si>
  <si>
    <r>
      <rPr>
        <sz val="10"/>
        <color rgb="FF333333"/>
        <rFont val="DejaVu Sans"/>
        <family val="2"/>
      </rPr>
      <t xml:space="preserve">이메일</t>
    </r>
    <r>
      <rPr>
        <sz val="10"/>
        <color rgb="FF333333"/>
        <rFont val="DejaVu Sans"/>
        <family val="2"/>
        <charset val="1"/>
      </rPr>
      <t xml:space="preserve">/</t>
    </r>
    <r>
      <rPr>
        <sz val="10"/>
        <color rgb="FF333333"/>
        <rFont val="DejaVu Sans"/>
        <family val="2"/>
      </rPr>
      <t xml:space="preserve">소셜 회원가입</t>
    </r>
  </si>
  <si>
    <t xml:space="preserve">로그인</t>
  </si>
  <si>
    <t xml:space="preserve">SCR-011</t>
  </si>
  <si>
    <t xml:space="preserve">/login</t>
  </si>
  <si>
    <r>
      <rPr>
        <sz val="10"/>
        <color rgb="FF333333"/>
        <rFont val="DejaVu Sans"/>
        <family val="2"/>
      </rPr>
      <t xml:space="preserve">이메일</t>
    </r>
    <r>
      <rPr>
        <sz val="10"/>
        <color rgb="FF333333"/>
        <rFont val="DejaVu Sans"/>
        <family val="2"/>
        <charset val="1"/>
      </rPr>
      <t xml:space="preserve">/</t>
    </r>
    <r>
      <rPr>
        <sz val="10"/>
        <color rgb="FF333333"/>
        <rFont val="DejaVu Sans"/>
        <family val="2"/>
      </rPr>
      <t xml:space="preserve">소셜 로그인</t>
    </r>
  </si>
  <si>
    <t xml:space="preserve">비밀번호 찾기</t>
  </si>
  <si>
    <t xml:space="preserve">SCR-012</t>
  </si>
  <si>
    <t xml:space="preserve">/forgot-password</t>
  </si>
  <si>
    <t xml:space="preserve">이메일로 비밀번호 재설정</t>
  </si>
  <si>
    <t xml:space="preserve">콘텐츠</t>
  </si>
  <si>
    <t xml:space="preserve">목록</t>
  </si>
  <si>
    <t xml:space="preserve">SCR-020</t>
  </si>
  <si>
    <t xml:space="preserve">콘텐츠 목록</t>
  </si>
  <si>
    <t xml:space="preserve">/contents</t>
  </si>
  <si>
    <t xml:space="preserve">카테고리별 콘텐츠 목록</t>
  </si>
  <si>
    <t xml:space="preserve">작성중</t>
  </si>
  <si>
    <t xml:space="preserve">상세</t>
  </si>
  <si>
    <t xml:space="preserve">SCR-021</t>
  </si>
  <si>
    <t xml:space="preserve">콘텐츠 상세</t>
  </si>
  <si>
    <t xml:space="preserve">/contents/:id</t>
  </si>
  <si>
    <t xml:space="preserve">콘텐츠 상세 보기</t>
  </si>
  <si>
    <t xml:space="preserve">검색</t>
  </si>
  <si>
    <t xml:space="preserve">SCR-022</t>
  </si>
  <si>
    <t xml:space="preserve">/search</t>
  </si>
  <si>
    <t xml:space="preserve">통합 검색</t>
  </si>
  <si>
    <t xml:space="preserve">마이페이지</t>
  </si>
  <si>
    <t xml:space="preserve">프로필</t>
  </si>
  <si>
    <t xml:space="preserve">SCR-030</t>
  </si>
  <si>
    <t xml:space="preserve">/mypage</t>
  </si>
  <si>
    <t xml:space="preserve">Y</t>
  </si>
  <si>
    <r>
      <rPr>
        <sz val="10"/>
        <color rgb="FF333333"/>
        <rFont val="DejaVu Sans"/>
        <family val="2"/>
      </rPr>
      <t xml:space="preserve">프로필</t>
    </r>
    <r>
      <rPr>
        <sz val="10"/>
        <color rgb="FF333333"/>
        <rFont val="DejaVu Sans"/>
        <family val="2"/>
        <charset val="1"/>
      </rPr>
      <t xml:space="preserve">/</t>
    </r>
    <r>
      <rPr>
        <sz val="10"/>
        <color rgb="FF333333"/>
        <rFont val="DejaVu Sans"/>
        <family val="2"/>
      </rPr>
      <t xml:space="preserve">설정 관리</t>
    </r>
  </si>
  <si>
    <t xml:space="preserve">설정</t>
  </si>
  <si>
    <t xml:space="preserve">SCR-031</t>
  </si>
  <si>
    <t xml:space="preserve">/settings</t>
  </si>
  <si>
    <r>
      <rPr>
        <sz val="10"/>
        <color rgb="FF333333"/>
        <rFont val="DejaVu Sans"/>
        <family val="2"/>
      </rPr>
      <t xml:space="preserve">알림</t>
    </r>
    <r>
      <rPr>
        <sz val="10"/>
        <color rgb="FF333333"/>
        <rFont val="DejaVu Sans"/>
        <family val="2"/>
        <charset val="1"/>
      </rPr>
      <t xml:space="preserve">/</t>
    </r>
    <r>
      <rPr>
        <sz val="10"/>
        <color rgb="FF333333"/>
        <rFont val="DejaVu Sans"/>
        <family val="2"/>
      </rPr>
      <t xml:space="preserve">다크모드 등 앱 설정</t>
    </r>
  </si>
  <si>
    <t xml:space="preserve">알림</t>
  </si>
  <si>
    <t xml:space="preserve">SCR-032</t>
  </si>
  <si>
    <t xml:space="preserve">알림 목록</t>
  </si>
  <si>
    <t xml:space="preserve">/notifications</t>
  </si>
  <si>
    <t xml:space="preserve">알림 히스토리</t>
  </si>
  <si>
    <t xml:space="preserve">관리자</t>
  </si>
  <si>
    <t xml:space="preserve">대시보드</t>
  </si>
  <si>
    <t xml:space="preserve">SCR-100</t>
  </si>
  <si>
    <t xml:space="preserve">관리자 대시보드</t>
  </si>
  <si>
    <t xml:space="preserve">Web</t>
  </si>
  <si>
    <t xml:space="preserve">/admin</t>
  </si>
  <si>
    <t xml:space="preserve">관리자 메인 화면</t>
  </si>
  <si>
    <t xml:space="preserve">사용자 관리</t>
  </si>
  <si>
    <t xml:space="preserve">SCR-101</t>
  </si>
  <si>
    <t xml:space="preserve">/admin/users</t>
  </si>
  <si>
    <r>
      <rPr>
        <sz val="10"/>
        <color rgb="FF333333"/>
        <rFont val="DejaVu Sans"/>
        <family val="2"/>
      </rPr>
      <t xml:space="preserve">사용자 목록</t>
    </r>
    <r>
      <rPr>
        <sz val="10"/>
        <color rgb="FF333333"/>
        <rFont val="DejaVu Sans"/>
        <family val="2"/>
        <charset val="1"/>
      </rPr>
      <t xml:space="preserve">/</t>
    </r>
    <r>
      <rPr>
        <sz val="10"/>
        <color rgb="FF333333"/>
        <rFont val="DejaVu Sans"/>
        <family val="2"/>
      </rPr>
      <t xml:space="preserve">관리</t>
    </r>
  </si>
  <si>
    <r>
      <rPr>
        <b val="true"/>
        <sz val="11"/>
        <color rgb="FFFFFFFF"/>
        <rFont val="DejaVu Sans"/>
        <family val="2"/>
      </rPr>
      <t xml:space="preserve">스토리 </t>
    </r>
    <r>
      <rPr>
        <b val="true"/>
        <sz val="11"/>
        <color rgb="FFFFFFFF"/>
        <rFont val="DejaVu Sans"/>
        <family val="2"/>
        <charset val="1"/>
      </rPr>
      <t xml:space="preserve">ID</t>
    </r>
  </si>
  <si>
    <t xml:space="preserve">에픽</t>
  </si>
  <si>
    <t xml:space="preserve">사용자 유형</t>
  </si>
  <si>
    <t xml:space="preserve">사용자 스토리</t>
  </si>
  <si>
    <t xml:space="preserve">인수 조건</t>
  </si>
  <si>
    <t xml:space="preserve">우선순위</t>
  </si>
  <si>
    <t xml:space="preserve">사이즈</t>
  </si>
  <si>
    <t xml:space="preserve">담당자</t>
  </si>
  <si>
    <r>
      <rPr>
        <b val="true"/>
        <sz val="11"/>
        <color rgb="FFFFFFFF"/>
        <rFont val="Arial"/>
        <family val="0"/>
        <charset val="1"/>
      </rPr>
      <t xml:space="preserve">[</t>
    </r>
    <r>
      <rPr>
        <b val="true"/>
        <sz val="11"/>
        <color rgb="FFFFFFFF"/>
        <rFont val="DejaVu Sans"/>
        <family val="2"/>
      </rPr>
      <t xml:space="preserve">자동</t>
    </r>
    <r>
      <rPr>
        <b val="true"/>
        <sz val="11"/>
        <color rgb="FFFFFFFF"/>
        <rFont val="Arial"/>
        <family val="0"/>
        <charset val="1"/>
      </rPr>
      <t xml:space="preserve">] </t>
    </r>
    <r>
      <rPr>
        <b val="true"/>
        <sz val="11"/>
        <color rgb="FFFFFFFF"/>
        <rFont val="DejaVu Sans"/>
        <family val="2"/>
      </rPr>
      <t xml:space="preserve">화면명</t>
    </r>
  </si>
  <si>
    <r>
      <rPr>
        <b val="true"/>
        <sz val="11"/>
        <color rgb="FFFFFFFF"/>
        <rFont val="Arial"/>
        <family val="0"/>
        <charset val="1"/>
      </rPr>
      <t xml:space="preserve">[</t>
    </r>
    <r>
      <rPr>
        <b val="true"/>
        <sz val="11"/>
        <color rgb="FFFFFFFF"/>
        <rFont val="DejaVu Sans"/>
        <family val="2"/>
      </rPr>
      <t xml:space="preserve">자동</t>
    </r>
    <r>
      <rPr>
        <b val="true"/>
        <sz val="11"/>
        <color rgb="FFFFFFFF"/>
        <rFont val="Arial"/>
        <family val="0"/>
        <charset val="1"/>
      </rPr>
      <t xml:space="preserve">] </t>
    </r>
    <r>
      <rPr>
        <b val="true"/>
        <sz val="11"/>
        <color rgb="FFFFFFFF"/>
        <rFont val="DejaVu Sans"/>
        <family val="2"/>
      </rPr>
      <t xml:space="preserve">기능 수</t>
    </r>
  </si>
  <si>
    <t xml:space="preserve">US-001</t>
  </si>
  <si>
    <r>
      <rPr>
        <sz val="10"/>
        <color rgb="FF333333"/>
        <rFont val="DejaVu Sans"/>
        <family val="2"/>
      </rPr>
      <t xml:space="preserve">비회원으로서 이메일로 회원가입하고 싶다</t>
    </r>
    <r>
      <rPr>
        <sz val="10"/>
        <color rgb="FF333333"/>
        <rFont val="DejaVu Sans"/>
        <family val="2"/>
        <charset val="1"/>
      </rPr>
      <t xml:space="preserve">. </t>
    </r>
    <r>
      <rPr>
        <sz val="10"/>
        <color rgb="FF333333"/>
        <rFont val="DejaVu Sans"/>
        <family val="2"/>
      </rPr>
      <t xml:space="preserve">서비스를 이용하기 위해</t>
    </r>
    <r>
      <rPr>
        <sz val="10"/>
        <color rgb="FF333333"/>
        <rFont val="DejaVu Sans"/>
        <family val="2"/>
        <charset val="1"/>
      </rPr>
      <t xml:space="preserve">.</t>
    </r>
  </si>
  <si>
    <r>
      <rPr>
        <sz val="10"/>
        <color rgb="FF333333"/>
        <rFont val="Arial"/>
        <family val="2"/>
        <charset val="1"/>
      </rPr>
      <t xml:space="preserve">1. </t>
    </r>
    <r>
      <rPr>
        <sz val="10"/>
        <color rgb="FF333333"/>
        <rFont val="DejaVu Sans"/>
        <family val="2"/>
      </rPr>
      <t xml:space="preserve">유효한 이메일</t>
    </r>
    <r>
      <rPr>
        <sz val="10"/>
        <color rgb="FF333333"/>
        <rFont val="Arial"/>
        <family val="2"/>
        <charset val="1"/>
      </rPr>
      <t xml:space="preserve">/</t>
    </r>
    <r>
      <rPr>
        <sz val="10"/>
        <color rgb="FF333333"/>
        <rFont val="DejaVu Sans"/>
        <family val="2"/>
      </rPr>
      <t xml:space="preserve">비밀번호로 가입 완료
</t>
    </r>
    <r>
      <rPr>
        <sz val="10"/>
        <color rgb="FF333333"/>
        <rFont val="Arial"/>
        <family val="2"/>
        <charset val="1"/>
      </rPr>
      <t xml:space="preserve">2. </t>
    </r>
    <r>
      <rPr>
        <sz val="10"/>
        <color rgb="FF333333"/>
        <rFont val="DejaVu Sans"/>
        <family val="2"/>
      </rPr>
      <t xml:space="preserve">인증 이메일 수신
</t>
    </r>
    <r>
      <rPr>
        <sz val="10"/>
        <color rgb="FF333333"/>
        <rFont val="Arial"/>
        <family val="2"/>
        <charset val="1"/>
      </rPr>
      <t xml:space="preserve">3. </t>
    </r>
    <r>
      <rPr>
        <sz val="10"/>
        <color rgb="FF333333"/>
        <rFont val="DejaVu Sans"/>
        <family val="2"/>
      </rPr>
      <t xml:space="preserve">인증 후 로그인 가능</t>
    </r>
  </si>
  <si>
    <t xml:space="preserve">Critical</t>
  </si>
  <si>
    <t xml:space="preserve">L</t>
  </si>
  <si>
    <r>
      <rPr>
        <sz val="10"/>
        <color rgb="FF333333"/>
        <rFont val="DejaVu Sans"/>
        <family val="2"/>
      </rPr>
      <t xml:space="preserve">기획자</t>
    </r>
    <r>
      <rPr>
        <sz val="10"/>
        <color rgb="FF333333"/>
        <rFont val="DejaVu Sans"/>
        <family val="2"/>
        <charset val="1"/>
      </rPr>
      <t xml:space="preserve">1</t>
    </r>
  </si>
  <si>
    <t xml:space="preserve">Done</t>
  </si>
  <si>
    <t xml:space="preserve">US-002</t>
  </si>
  <si>
    <r>
      <rPr>
        <sz val="10"/>
        <color rgb="FF333333"/>
        <rFont val="DejaVu Sans"/>
        <family val="2"/>
      </rPr>
      <t xml:space="preserve">비회원으로서 소셜 계정</t>
    </r>
    <r>
      <rPr>
        <sz val="10"/>
        <color rgb="FF333333"/>
        <rFont val="DejaVu Sans"/>
        <family val="2"/>
        <charset val="1"/>
      </rPr>
      <t xml:space="preserve">(Google/Apple/Kakao)</t>
    </r>
    <r>
      <rPr>
        <sz val="10"/>
        <color rgb="FF333333"/>
        <rFont val="DejaVu Sans"/>
        <family val="2"/>
      </rPr>
      <t xml:space="preserve">으로 간편 가입하고 싶다</t>
    </r>
    <r>
      <rPr>
        <sz val="10"/>
        <color rgb="FF333333"/>
        <rFont val="DejaVu Sans"/>
        <family val="2"/>
        <charset val="1"/>
      </rPr>
      <t xml:space="preserve">.</t>
    </r>
  </si>
  <si>
    <r>
      <rPr>
        <sz val="10"/>
        <color rgb="FF333333"/>
        <rFont val="Arial"/>
        <family val="2"/>
        <charset val="1"/>
      </rPr>
      <t xml:space="preserve">1. </t>
    </r>
    <r>
      <rPr>
        <sz val="10"/>
        <color rgb="FF333333"/>
        <rFont val="DejaVu Sans"/>
        <family val="2"/>
      </rPr>
      <t xml:space="preserve">소셜 버튼 탭으로 가입 완료
</t>
    </r>
    <r>
      <rPr>
        <sz val="10"/>
        <color rgb="FF333333"/>
        <rFont val="Arial"/>
        <family val="2"/>
        <charset val="1"/>
      </rPr>
      <t xml:space="preserve">2. </t>
    </r>
    <r>
      <rPr>
        <sz val="10"/>
        <color rgb="FF333333"/>
        <rFont val="DejaVu Sans"/>
        <family val="2"/>
      </rPr>
      <t xml:space="preserve">프로필 정보 자동 연동
</t>
    </r>
    <r>
      <rPr>
        <sz val="10"/>
        <color rgb="FF333333"/>
        <rFont val="Arial"/>
        <family val="2"/>
        <charset val="1"/>
      </rPr>
      <t xml:space="preserve">3. </t>
    </r>
    <r>
      <rPr>
        <sz val="10"/>
        <color rgb="FF333333"/>
        <rFont val="DejaVu Sans"/>
        <family val="2"/>
      </rPr>
      <t xml:space="preserve">즉시 로그인 상태</t>
    </r>
  </si>
  <si>
    <t xml:space="preserve">M</t>
  </si>
  <si>
    <t xml:space="preserve">US-003</t>
  </si>
  <si>
    <r>
      <rPr>
        <sz val="10"/>
        <color rgb="FF333333"/>
        <rFont val="DejaVu Sans"/>
        <family val="2"/>
      </rPr>
      <t xml:space="preserve">회원으로서 이메일</t>
    </r>
    <r>
      <rPr>
        <sz val="10"/>
        <color rgb="FF333333"/>
        <rFont val="DejaVu Sans"/>
        <family val="2"/>
        <charset val="1"/>
      </rPr>
      <t xml:space="preserve">/</t>
    </r>
    <r>
      <rPr>
        <sz val="10"/>
        <color rgb="FF333333"/>
        <rFont val="DejaVu Sans"/>
        <family val="2"/>
      </rPr>
      <t xml:space="preserve">비밀번호로 로그인하고 싶다</t>
    </r>
    <r>
      <rPr>
        <sz val="10"/>
        <color rgb="FF333333"/>
        <rFont val="DejaVu Sans"/>
        <family val="2"/>
        <charset val="1"/>
      </rPr>
      <t xml:space="preserve">.</t>
    </r>
  </si>
  <si>
    <r>
      <rPr>
        <sz val="10"/>
        <color rgb="FF333333"/>
        <rFont val="Arial"/>
        <family val="2"/>
        <charset val="1"/>
      </rPr>
      <t xml:space="preserve">1. </t>
    </r>
    <r>
      <rPr>
        <sz val="10"/>
        <color rgb="FF333333"/>
        <rFont val="DejaVu Sans"/>
        <family val="2"/>
      </rPr>
      <t xml:space="preserve">올바른 정보 입력 시 로그인 성공
</t>
    </r>
    <r>
      <rPr>
        <sz val="10"/>
        <color rgb="FF333333"/>
        <rFont val="Arial"/>
        <family val="2"/>
        <charset val="1"/>
      </rPr>
      <t xml:space="preserve">2. </t>
    </r>
    <r>
      <rPr>
        <sz val="10"/>
        <color rgb="FF333333"/>
        <rFont val="DejaVu Sans"/>
        <family val="2"/>
      </rPr>
      <t xml:space="preserve">자동 로그인 옵션 동작
</t>
    </r>
    <r>
      <rPr>
        <sz val="10"/>
        <color rgb="FF333333"/>
        <rFont val="Arial"/>
        <family val="2"/>
        <charset val="1"/>
      </rPr>
      <t xml:space="preserve">3. 5</t>
    </r>
    <r>
      <rPr>
        <sz val="10"/>
        <color rgb="FF333333"/>
        <rFont val="DejaVu Sans"/>
        <family val="2"/>
      </rPr>
      <t xml:space="preserve">회 실패 시 계정 잠금</t>
    </r>
  </si>
  <si>
    <t xml:space="preserve">In Progress</t>
  </si>
  <si>
    <t xml:space="preserve">US-004</t>
  </si>
  <si>
    <r>
      <rPr>
        <sz val="10"/>
        <color rgb="FF333333"/>
        <rFont val="DejaVu Sans"/>
        <family val="2"/>
      </rPr>
      <t xml:space="preserve">회원으로서 콘텐츠를 검색하고 필터링하고 싶다</t>
    </r>
    <r>
      <rPr>
        <sz val="10"/>
        <color rgb="FF333333"/>
        <rFont val="DejaVu Sans"/>
        <family val="2"/>
        <charset val="1"/>
      </rPr>
      <t xml:space="preserve">.</t>
    </r>
  </si>
  <si>
    <r>
      <rPr>
        <sz val="10"/>
        <color rgb="FF333333"/>
        <rFont val="Arial"/>
        <family val="2"/>
        <charset val="1"/>
      </rPr>
      <t xml:space="preserve">1. </t>
    </r>
    <r>
      <rPr>
        <sz val="10"/>
        <color rgb="FF333333"/>
        <rFont val="DejaVu Sans"/>
        <family val="2"/>
      </rPr>
      <t xml:space="preserve">키워드 검색 결과 정확
</t>
    </r>
    <r>
      <rPr>
        <sz val="10"/>
        <color rgb="FF333333"/>
        <rFont val="Arial"/>
        <family val="2"/>
        <charset val="1"/>
      </rPr>
      <t xml:space="preserve">2. </t>
    </r>
    <r>
      <rPr>
        <sz val="10"/>
        <color rgb="FF333333"/>
        <rFont val="DejaVu Sans"/>
        <family val="2"/>
      </rPr>
      <t xml:space="preserve">카테고리</t>
    </r>
    <r>
      <rPr>
        <sz val="10"/>
        <color rgb="FF333333"/>
        <rFont val="Arial"/>
        <family val="2"/>
        <charset val="1"/>
      </rPr>
      <t xml:space="preserve">/</t>
    </r>
    <r>
      <rPr>
        <sz val="10"/>
        <color rgb="FF333333"/>
        <rFont val="DejaVu Sans"/>
        <family val="2"/>
      </rPr>
      <t xml:space="preserve">날짜 필터 동작
</t>
    </r>
    <r>
      <rPr>
        <sz val="10"/>
        <color rgb="FF333333"/>
        <rFont val="Arial"/>
        <family val="2"/>
        <charset val="1"/>
      </rPr>
      <t xml:space="preserve">3. </t>
    </r>
    <r>
      <rPr>
        <sz val="10"/>
        <color rgb="FF333333"/>
        <rFont val="DejaVu Sans"/>
        <family val="2"/>
      </rPr>
      <t xml:space="preserve">정렬 옵션 적용</t>
    </r>
  </si>
  <si>
    <t xml:space="preserve">High</t>
  </si>
  <si>
    <r>
      <rPr>
        <sz val="10"/>
        <color rgb="FF333333"/>
        <rFont val="DejaVu Sans"/>
        <family val="2"/>
      </rPr>
      <t xml:space="preserve">기획자</t>
    </r>
    <r>
      <rPr>
        <sz val="10"/>
        <color rgb="FF333333"/>
        <rFont val="DejaVu Sans"/>
        <family val="2"/>
        <charset val="1"/>
      </rPr>
      <t xml:space="preserve">2</t>
    </r>
  </si>
  <si>
    <t xml:space="preserve">To Do</t>
  </si>
  <si>
    <t xml:space="preserve">US-005</t>
  </si>
  <si>
    <r>
      <rPr>
        <sz val="10"/>
        <color rgb="FF333333"/>
        <rFont val="DejaVu Sans"/>
        <family val="2"/>
      </rPr>
      <t xml:space="preserve">회원으로서 내 프로필을 수정하고 싶다</t>
    </r>
    <r>
      <rPr>
        <sz val="10"/>
        <color rgb="FF333333"/>
        <rFont val="DejaVu Sans"/>
        <family val="2"/>
        <charset val="1"/>
      </rPr>
      <t xml:space="preserve">.</t>
    </r>
  </si>
  <si>
    <r>
      <rPr>
        <sz val="10"/>
        <color rgb="FF333333"/>
        <rFont val="Arial"/>
        <family val="2"/>
        <charset val="1"/>
      </rPr>
      <t xml:space="preserve">1. </t>
    </r>
    <r>
      <rPr>
        <sz val="10"/>
        <color rgb="FF333333"/>
        <rFont val="DejaVu Sans"/>
        <family val="2"/>
      </rPr>
      <t xml:space="preserve">닉네임</t>
    </r>
    <r>
      <rPr>
        <sz val="10"/>
        <color rgb="FF333333"/>
        <rFont val="Arial"/>
        <family val="2"/>
        <charset val="1"/>
      </rPr>
      <t xml:space="preserve">/</t>
    </r>
    <r>
      <rPr>
        <sz val="10"/>
        <color rgb="FF333333"/>
        <rFont val="DejaVu Sans"/>
        <family val="2"/>
      </rPr>
      <t xml:space="preserve">프로필 이미지 변경 가능
</t>
    </r>
    <r>
      <rPr>
        <sz val="10"/>
        <color rgb="FF333333"/>
        <rFont val="Arial"/>
        <family val="2"/>
        <charset val="1"/>
      </rPr>
      <t xml:space="preserve">2. </t>
    </r>
    <r>
      <rPr>
        <sz val="10"/>
        <color rgb="FF333333"/>
        <rFont val="DejaVu Sans"/>
        <family val="2"/>
      </rPr>
      <t xml:space="preserve">변경 즉시 반영
</t>
    </r>
    <r>
      <rPr>
        <sz val="10"/>
        <color rgb="FF333333"/>
        <rFont val="Arial"/>
        <family val="2"/>
        <charset val="1"/>
      </rPr>
      <t xml:space="preserve">3. </t>
    </r>
    <r>
      <rPr>
        <sz val="10"/>
        <color rgb="FF333333"/>
        <rFont val="DejaVu Sans"/>
        <family val="2"/>
      </rPr>
      <t xml:space="preserve">이미지 </t>
    </r>
    <r>
      <rPr>
        <sz val="10"/>
        <color rgb="FF333333"/>
        <rFont val="Arial"/>
        <family val="2"/>
        <charset val="1"/>
      </rPr>
      <t xml:space="preserve">5MB </t>
    </r>
    <r>
      <rPr>
        <sz val="10"/>
        <color rgb="FF333333"/>
        <rFont val="DejaVu Sans"/>
        <family val="2"/>
      </rPr>
      <t xml:space="preserve">제한 안내</t>
    </r>
  </si>
  <si>
    <t xml:space="preserve">Medium</t>
  </si>
  <si>
    <t xml:space="preserve">S</t>
  </si>
  <si>
    <t xml:space="preserve">Backlog</t>
  </si>
  <si>
    <t xml:space="preserve">US-006</t>
  </si>
  <si>
    <r>
      <rPr>
        <sz val="10"/>
        <color rgb="FF333333"/>
        <rFont val="DejaVu Sans"/>
        <family val="2"/>
      </rPr>
      <t xml:space="preserve">회원으로서 중요 알림을 푸시로 받고 싶다</t>
    </r>
    <r>
      <rPr>
        <sz val="10"/>
        <color rgb="FF333333"/>
        <rFont val="DejaVu Sans"/>
        <family val="2"/>
        <charset val="1"/>
      </rPr>
      <t xml:space="preserve">.</t>
    </r>
  </si>
  <si>
    <r>
      <rPr>
        <sz val="10"/>
        <color rgb="FF333333"/>
        <rFont val="Arial"/>
        <family val="2"/>
        <charset val="1"/>
      </rPr>
      <t xml:space="preserve">1. </t>
    </r>
    <r>
      <rPr>
        <sz val="10"/>
        <color rgb="FF333333"/>
        <rFont val="DejaVu Sans"/>
        <family val="2"/>
      </rPr>
      <t xml:space="preserve">푸시 알림 정상 수신
</t>
    </r>
    <r>
      <rPr>
        <sz val="10"/>
        <color rgb="FF333333"/>
        <rFont val="Arial"/>
        <family val="2"/>
        <charset val="1"/>
      </rPr>
      <t xml:space="preserve">2. </t>
    </r>
    <r>
      <rPr>
        <sz val="10"/>
        <color rgb="FF333333"/>
        <rFont val="DejaVu Sans"/>
        <family val="2"/>
      </rPr>
      <t xml:space="preserve">탭 시 해당 페이지 이동
</t>
    </r>
    <r>
      <rPr>
        <sz val="10"/>
        <color rgb="FF333333"/>
        <rFont val="Arial"/>
        <family val="2"/>
        <charset val="1"/>
      </rPr>
      <t xml:space="preserve">3. </t>
    </r>
    <r>
      <rPr>
        <sz val="10"/>
        <color rgb="FF333333"/>
        <rFont val="DejaVu Sans"/>
        <family val="2"/>
      </rPr>
      <t xml:space="preserve">알림 설정에서 </t>
    </r>
    <r>
      <rPr>
        <sz val="10"/>
        <color rgb="FF333333"/>
        <rFont val="Arial"/>
        <family val="2"/>
        <charset val="1"/>
      </rPr>
      <t xml:space="preserve">ON/OFF </t>
    </r>
    <r>
      <rPr>
        <sz val="10"/>
        <color rgb="FF333333"/>
        <rFont val="DejaVu Sans"/>
        <family val="2"/>
      </rPr>
      <t xml:space="preserve">가능</t>
    </r>
  </si>
  <si>
    <t xml:space="preserve">화면 경로</t>
  </si>
  <si>
    <t xml:space="preserve">화면 설명</t>
  </si>
  <si>
    <r>
      <rPr>
        <b val="true"/>
        <sz val="11"/>
        <color rgb="FFFFFFFF"/>
        <rFont val="Arial"/>
        <family val="0"/>
        <charset val="1"/>
      </rPr>
      <t xml:space="preserve">[</t>
    </r>
    <r>
      <rPr>
        <b val="true"/>
        <sz val="11"/>
        <color rgb="FFFFFFFF"/>
        <rFont val="DejaVu Sans"/>
        <family val="2"/>
      </rPr>
      <t xml:space="preserve">자동</t>
    </r>
    <r>
      <rPr>
        <b val="true"/>
        <sz val="11"/>
        <color rgb="FFFFFFFF"/>
        <rFont val="Arial"/>
        <family val="0"/>
        <charset val="1"/>
      </rPr>
      <t xml:space="preserve">] UI </t>
    </r>
    <r>
      <rPr>
        <b val="true"/>
        <sz val="11"/>
        <color rgb="FFFFFFFF"/>
        <rFont val="DejaVu Sans"/>
        <family val="2"/>
      </rPr>
      <t xml:space="preserve">요소 목록</t>
    </r>
  </si>
  <si>
    <t xml:space="preserve">인터랙션 정의</t>
  </si>
  <si>
    <r>
      <rPr>
        <b val="true"/>
        <sz val="11"/>
        <color rgb="FFFFFFFF"/>
        <rFont val="Arial"/>
        <family val="0"/>
        <charset val="1"/>
      </rPr>
      <t xml:space="preserve">Web </t>
    </r>
    <r>
      <rPr>
        <b val="true"/>
        <sz val="11"/>
        <color rgb="FFFFFFFF"/>
        <rFont val="DejaVu Sans"/>
        <family val="2"/>
      </rPr>
      <t xml:space="preserve">특이사항</t>
    </r>
  </si>
  <si>
    <r>
      <rPr>
        <b val="true"/>
        <sz val="11"/>
        <color rgb="FFFFFFFF"/>
        <rFont val="Arial"/>
        <family val="0"/>
        <charset val="1"/>
      </rPr>
      <t xml:space="preserve">App </t>
    </r>
    <r>
      <rPr>
        <b val="true"/>
        <sz val="11"/>
        <color rgb="FFFFFFFF"/>
        <rFont val="DejaVu Sans"/>
        <family val="2"/>
      </rPr>
      <t xml:space="preserve">특이사항</t>
    </r>
  </si>
  <si>
    <t xml:space="preserve">진입 경로</t>
  </si>
  <si>
    <t xml:space="preserve">이동 가능 화면</t>
  </si>
  <si>
    <t xml:space="preserve">에러 화면 정의</t>
  </si>
  <si>
    <t xml:space="preserve">접근성 체크</t>
  </si>
  <si>
    <r>
      <rPr>
        <b val="true"/>
        <sz val="11"/>
        <color rgb="FFFFFFFF"/>
        <rFont val="DejaVu Sans"/>
        <family val="2"/>
      </rPr>
      <t xml:space="preserve">반응형 체크 </t>
    </r>
    <r>
      <rPr>
        <b val="true"/>
        <sz val="11"/>
        <color rgb="FFFFFFFF"/>
        <rFont val="DejaVu Sans"/>
        <family val="2"/>
        <charset val="1"/>
      </rPr>
      <t xml:space="preserve">(Web)</t>
    </r>
  </si>
  <si>
    <r>
      <rPr>
        <b val="true"/>
        <sz val="11"/>
        <color rgb="FFFFFFFF"/>
        <rFont val="DejaVu Sans"/>
        <family val="2"/>
      </rPr>
      <t xml:space="preserve">가로</t>
    </r>
    <r>
      <rPr>
        <b val="true"/>
        <sz val="11"/>
        <color rgb="FFFFFFFF"/>
        <rFont val="DejaVu Sans"/>
        <family val="2"/>
        <charset val="1"/>
      </rPr>
      <t xml:space="preserve">/</t>
    </r>
    <r>
      <rPr>
        <b val="true"/>
        <sz val="11"/>
        <color rgb="FFFFFFFF"/>
        <rFont val="DejaVu Sans"/>
        <family val="2"/>
      </rPr>
      <t xml:space="preserve">세로 모드 </t>
    </r>
    <r>
      <rPr>
        <b val="true"/>
        <sz val="11"/>
        <color rgb="FFFFFFFF"/>
        <rFont val="DejaVu Sans"/>
        <family val="2"/>
        <charset val="1"/>
      </rPr>
      <t xml:space="preserve">(App)</t>
    </r>
  </si>
  <si>
    <t xml:space="preserve">디자인 시안 링크</t>
  </si>
  <si>
    <r>
      <rPr>
        <b val="true"/>
        <sz val="11"/>
        <color rgb="FFFFFFFF"/>
        <rFont val="Arial"/>
        <family val="0"/>
        <charset val="1"/>
      </rPr>
      <t xml:space="preserve">[</t>
    </r>
    <r>
      <rPr>
        <b val="true"/>
        <sz val="11"/>
        <color rgb="FFFFFFFF"/>
        <rFont val="DejaVu Sans"/>
        <family val="2"/>
      </rPr>
      <t xml:space="preserve">자동</t>
    </r>
    <r>
      <rPr>
        <b val="true"/>
        <sz val="11"/>
        <color rgb="FFFFFFFF"/>
        <rFont val="Arial"/>
        <family val="0"/>
        <charset val="1"/>
      </rPr>
      <t xml:space="preserve">] </t>
    </r>
    <r>
      <rPr>
        <b val="true"/>
        <sz val="11"/>
        <color rgb="FFFFFFFF"/>
        <rFont val="DejaVu Sans"/>
        <family val="2"/>
      </rPr>
      <t xml:space="preserve">관련 기능 수</t>
    </r>
  </si>
  <si>
    <r>
      <rPr>
        <b val="true"/>
        <sz val="11"/>
        <color rgb="FFFFFFFF"/>
        <rFont val="Arial"/>
        <family val="0"/>
        <charset val="1"/>
      </rPr>
      <t xml:space="preserve">[</t>
    </r>
    <r>
      <rPr>
        <b val="true"/>
        <sz val="11"/>
        <color rgb="FFFFFFFF"/>
        <rFont val="DejaVu Sans"/>
        <family val="2"/>
      </rPr>
      <t xml:space="preserve">자동</t>
    </r>
    <r>
      <rPr>
        <b val="true"/>
        <sz val="11"/>
        <color rgb="FFFFFFFF"/>
        <rFont val="Arial"/>
        <family val="0"/>
        <charset val="1"/>
      </rPr>
      <t xml:space="preserve">] </t>
    </r>
    <r>
      <rPr>
        <b val="true"/>
        <sz val="11"/>
        <color rgb="FFFFFFFF"/>
        <rFont val="DejaVu Sans"/>
        <family val="2"/>
      </rPr>
      <t xml:space="preserve">관련 </t>
    </r>
    <r>
      <rPr>
        <b val="true"/>
        <sz val="11"/>
        <color rgb="FFFFFFFF"/>
        <rFont val="Arial"/>
        <family val="0"/>
        <charset val="1"/>
      </rPr>
      <t xml:space="preserve">TC </t>
    </r>
    <r>
      <rPr>
        <b val="true"/>
        <sz val="11"/>
        <color rgb="FFFFFFFF"/>
        <rFont val="DejaVu Sans"/>
        <family val="2"/>
      </rPr>
      <t xml:space="preserve">수</t>
    </r>
  </si>
  <si>
    <r>
      <rPr>
        <b val="true"/>
        <sz val="11"/>
        <color rgb="FFFFFFFF"/>
        <rFont val="Arial"/>
        <family val="0"/>
        <charset val="1"/>
      </rPr>
      <t xml:space="preserve">[</t>
    </r>
    <r>
      <rPr>
        <b val="true"/>
        <sz val="11"/>
        <color rgb="FFFFFFFF"/>
        <rFont val="DejaVu Sans"/>
        <family val="2"/>
      </rPr>
      <t xml:space="preserve">자동</t>
    </r>
    <r>
      <rPr>
        <b val="true"/>
        <sz val="11"/>
        <color rgb="FFFFFFFF"/>
        <rFont val="Arial"/>
        <family val="0"/>
        <charset val="1"/>
      </rPr>
      <t xml:space="preserve">] </t>
    </r>
    <r>
      <rPr>
        <b val="true"/>
        <sz val="11"/>
        <color rgb="FFFFFFFF"/>
        <rFont val="DejaVu Sans"/>
        <family val="2"/>
      </rPr>
      <t xml:space="preserve">관련 </t>
    </r>
    <r>
      <rPr>
        <b val="true"/>
        <sz val="11"/>
        <color rgb="FFFFFFFF"/>
        <rFont val="Arial"/>
        <family val="0"/>
        <charset val="1"/>
      </rPr>
      <t xml:space="preserve">API </t>
    </r>
    <r>
      <rPr>
        <b val="true"/>
        <sz val="11"/>
        <color rgb="FFFFFFFF"/>
        <rFont val="DejaVu Sans"/>
        <family val="2"/>
      </rPr>
      <t xml:space="preserve">수</t>
    </r>
  </si>
  <si>
    <r>
      <rPr>
        <b val="true"/>
        <sz val="11"/>
        <color rgb="FFFFFFFF"/>
        <rFont val="Arial"/>
        <family val="0"/>
        <charset val="1"/>
      </rPr>
      <t xml:space="preserve">[</t>
    </r>
    <r>
      <rPr>
        <b val="true"/>
        <sz val="11"/>
        <color rgb="FFFFFFFF"/>
        <rFont val="DejaVu Sans"/>
        <family val="2"/>
      </rPr>
      <t xml:space="preserve">자동</t>
    </r>
    <r>
      <rPr>
        <b val="true"/>
        <sz val="11"/>
        <color rgb="FFFFFFFF"/>
        <rFont val="Arial"/>
        <family val="0"/>
        <charset val="1"/>
      </rPr>
      <t xml:space="preserve">] UI </t>
    </r>
    <r>
      <rPr>
        <b val="true"/>
        <sz val="11"/>
        <color rgb="FFFFFFFF"/>
        <rFont val="DejaVu Sans"/>
        <family val="2"/>
      </rPr>
      <t xml:space="preserve">요소 수</t>
    </r>
  </si>
  <si>
    <r>
      <rPr>
        <sz val="10"/>
        <color rgb="FF333333"/>
        <rFont val="DejaVu Sans"/>
        <family val="2"/>
      </rPr>
      <t xml:space="preserve">로그인 전</t>
    </r>
    <r>
      <rPr>
        <sz val="10"/>
        <color rgb="FF333333"/>
        <rFont val="DejaVu Sans"/>
        <family val="2"/>
        <charset val="1"/>
      </rPr>
      <t xml:space="preserve">/</t>
    </r>
    <r>
      <rPr>
        <sz val="10"/>
        <color rgb="FF333333"/>
        <rFont val="DejaVu Sans"/>
        <family val="2"/>
      </rPr>
      <t xml:space="preserve">후 공통 메인 화면</t>
    </r>
  </si>
  <si>
    <r>
      <rPr>
        <sz val="10"/>
        <color rgb="FF333333"/>
        <rFont val="Arial"/>
        <family val="2"/>
        <charset val="1"/>
      </rPr>
      <t xml:space="preserve">- </t>
    </r>
    <r>
      <rPr>
        <sz val="10"/>
        <color rgb="FF333333"/>
        <rFont val="DejaVu Sans"/>
        <family val="2"/>
      </rPr>
      <t xml:space="preserve">배너</t>
    </r>
    <r>
      <rPr>
        <sz val="10"/>
        <color rgb="FF333333"/>
        <rFont val="Arial"/>
        <family val="2"/>
        <charset val="1"/>
      </rPr>
      <t xml:space="preserve">: </t>
    </r>
    <r>
      <rPr>
        <sz val="10"/>
        <color rgb="FF333333"/>
        <rFont val="DejaVu Sans"/>
        <family val="2"/>
      </rPr>
      <t xml:space="preserve">자동 </t>
    </r>
    <r>
      <rPr>
        <sz val="10"/>
        <color rgb="FF333333"/>
        <rFont val="Arial"/>
        <family val="2"/>
        <charset val="1"/>
      </rPr>
      <t xml:space="preserve">3</t>
    </r>
    <r>
      <rPr>
        <sz val="10"/>
        <color rgb="FF333333"/>
        <rFont val="DejaVu Sans"/>
        <family val="2"/>
      </rPr>
      <t xml:space="preserve">초</t>
    </r>
    <r>
      <rPr>
        <sz val="10"/>
        <color rgb="FF333333"/>
        <rFont val="Arial"/>
        <family val="2"/>
        <charset val="1"/>
      </rPr>
      <t xml:space="preserve">, </t>
    </r>
    <r>
      <rPr>
        <sz val="10"/>
        <color rgb="FF333333"/>
        <rFont val="DejaVu Sans"/>
        <family val="2"/>
      </rPr>
      <t xml:space="preserve">스와이프</t>
    </r>
    <r>
      <rPr>
        <sz val="10"/>
        <color rgb="FF333333"/>
        <rFont val="Arial"/>
        <family val="2"/>
        <charset val="1"/>
      </rPr>
      <t xml:space="preserve">(App)/</t>
    </r>
    <r>
      <rPr>
        <sz val="10"/>
        <color rgb="FF333333"/>
        <rFont val="DejaVu Sans"/>
        <family val="2"/>
      </rPr>
      <t xml:space="preserve">화살표</t>
    </r>
    <r>
      <rPr>
        <sz val="10"/>
        <color rgb="FF333333"/>
        <rFont val="Arial"/>
        <family val="2"/>
        <charset val="1"/>
      </rPr>
      <t xml:space="preserve">(Web)
- </t>
    </r>
    <r>
      <rPr>
        <sz val="10"/>
        <color rgb="FF333333"/>
        <rFont val="DejaVu Sans"/>
        <family val="2"/>
      </rPr>
      <t xml:space="preserve">카테고리</t>
    </r>
    <r>
      <rPr>
        <sz val="10"/>
        <color rgb="FF333333"/>
        <rFont val="Arial"/>
        <family val="2"/>
        <charset val="1"/>
      </rPr>
      <t xml:space="preserve">: </t>
    </r>
    <r>
      <rPr>
        <sz val="10"/>
        <color rgb="FF333333"/>
        <rFont val="DejaVu Sans"/>
        <family val="2"/>
      </rPr>
      <t xml:space="preserve">탭 시 해당 목록으로 이동
</t>
    </r>
    <r>
      <rPr>
        <sz val="10"/>
        <color rgb="FF333333"/>
        <rFont val="Arial"/>
        <family val="2"/>
        <charset val="1"/>
      </rPr>
      <t xml:space="preserve">- </t>
    </r>
    <r>
      <rPr>
        <sz val="10"/>
        <color rgb="FF333333"/>
        <rFont val="DejaVu Sans"/>
        <family val="2"/>
      </rPr>
      <t xml:space="preserve">추천</t>
    </r>
    <r>
      <rPr>
        <sz val="10"/>
        <color rgb="FF333333"/>
        <rFont val="Arial"/>
        <family val="2"/>
        <charset val="1"/>
      </rPr>
      <t xml:space="preserve">: </t>
    </r>
    <r>
      <rPr>
        <sz val="10"/>
        <color rgb="FF333333"/>
        <rFont val="DejaVu Sans"/>
        <family val="2"/>
      </rPr>
      <t xml:space="preserve">무한스크롤</t>
    </r>
    <r>
      <rPr>
        <sz val="10"/>
        <color rgb="FF333333"/>
        <rFont val="Arial"/>
        <family val="2"/>
        <charset val="1"/>
      </rPr>
      <t xml:space="preserve">(App), </t>
    </r>
    <r>
      <rPr>
        <sz val="10"/>
        <color rgb="FF333333"/>
        <rFont val="DejaVu Sans"/>
        <family val="2"/>
      </rPr>
      <t xml:space="preserve">더보기</t>
    </r>
    <r>
      <rPr>
        <sz val="10"/>
        <color rgb="FF333333"/>
        <rFont val="Arial"/>
        <family val="2"/>
        <charset val="1"/>
      </rPr>
      <t xml:space="preserve">(Web)</t>
    </r>
  </si>
  <si>
    <r>
      <rPr>
        <sz val="10"/>
        <color rgb="FF333333"/>
        <rFont val="Arial"/>
        <family val="2"/>
        <charset val="1"/>
      </rPr>
      <t xml:space="preserve">- SEO </t>
    </r>
    <r>
      <rPr>
        <sz val="10"/>
        <color rgb="FF333333"/>
        <rFont val="DejaVu Sans"/>
        <family val="2"/>
      </rPr>
      <t xml:space="preserve">메타 태그 필수
</t>
    </r>
    <r>
      <rPr>
        <sz val="10"/>
        <color rgb="FF333333"/>
        <rFont val="Arial"/>
        <family val="2"/>
        <charset val="1"/>
      </rPr>
      <t xml:space="preserve">- GNB </t>
    </r>
    <r>
      <rPr>
        <sz val="10"/>
        <color rgb="FF333333"/>
        <rFont val="DejaVu Sans"/>
        <family val="2"/>
      </rPr>
      <t xml:space="preserve">고정
</t>
    </r>
    <r>
      <rPr>
        <sz val="10"/>
        <color rgb="FF333333"/>
        <rFont val="Arial"/>
        <family val="2"/>
        <charset val="1"/>
      </rPr>
      <t xml:space="preserve">- </t>
    </r>
    <r>
      <rPr>
        <sz val="10"/>
        <color rgb="FF333333"/>
        <rFont val="DejaVu Sans"/>
        <family val="2"/>
      </rPr>
      <t xml:space="preserve">페이지네이션 </t>
    </r>
    <r>
      <rPr>
        <sz val="10"/>
        <color rgb="FF333333"/>
        <rFont val="Arial"/>
        <family val="2"/>
        <charset val="1"/>
      </rPr>
      <t xml:space="preserve">or </t>
    </r>
    <r>
      <rPr>
        <sz val="10"/>
        <color rgb="FF333333"/>
        <rFont val="DejaVu Sans"/>
        <family val="2"/>
      </rPr>
      <t xml:space="preserve">더보기</t>
    </r>
  </si>
  <si>
    <r>
      <rPr>
        <sz val="10"/>
        <color rgb="FF333333"/>
        <rFont val="Arial"/>
        <family val="2"/>
        <charset val="1"/>
      </rPr>
      <t xml:space="preserve">- Pull-to-refresh
- </t>
    </r>
    <r>
      <rPr>
        <sz val="10"/>
        <color rgb="FF333333"/>
        <rFont val="DejaVu Sans"/>
        <family val="2"/>
      </rPr>
      <t xml:space="preserve">스켈레톤 로딩
</t>
    </r>
    <r>
      <rPr>
        <sz val="10"/>
        <color rgb="FF333333"/>
        <rFont val="Arial"/>
        <family val="2"/>
        <charset val="1"/>
      </rPr>
      <t xml:space="preserve">- </t>
    </r>
    <r>
      <rPr>
        <sz val="10"/>
        <color rgb="FF333333"/>
        <rFont val="DejaVu Sans"/>
        <family val="2"/>
      </rPr>
      <t xml:space="preserve">딥링크 진입
</t>
    </r>
    <r>
      <rPr>
        <sz val="10"/>
        <color rgb="FF333333"/>
        <rFont val="Arial"/>
        <family val="2"/>
        <charset val="1"/>
      </rPr>
      <t xml:space="preserve">- </t>
    </r>
    <r>
      <rPr>
        <sz val="10"/>
        <color rgb="FF333333"/>
        <rFont val="DejaVu Sans"/>
        <family val="2"/>
      </rPr>
      <t xml:space="preserve">플로팅 버튼</t>
    </r>
  </si>
  <si>
    <r>
      <rPr>
        <sz val="10"/>
        <color rgb="FF333333"/>
        <rFont val="DejaVu Sans"/>
        <family val="2"/>
      </rPr>
      <t xml:space="preserve">앱 실행 </t>
    </r>
    <r>
      <rPr>
        <sz val="10"/>
        <color rgb="FF333333"/>
        <rFont val="DejaVu Sans"/>
        <family val="2"/>
        <charset val="1"/>
      </rPr>
      <t xml:space="preserve">/ </t>
    </r>
    <r>
      <rPr>
        <sz val="10"/>
        <color rgb="FF333333"/>
        <rFont val="DejaVu Sans"/>
        <family val="2"/>
      </rPr>
      <t xml:space="preserve">웹 접속 시</t>
    </r>
  </si>
  <si>
    <t xml:space="preserve">SCR-020, SCR-022, SCR-030</t>
  </si>
  <si>
    <r>
      <rPr>
        <sz val="10"/>
        <color rgb="FF333333"/>
        <rFont val="Arial"/>
        <family val="2"/>
        <charset val="1"/>
      </rPr>
      <t xml:space="preserve">- </t>
    </r>
    <r>
      <rPr>
        <sz val="10"/>
        <color rgb="FF333333"/>
        <rFont val="DejaVu Sans"/>
        <family val="2"/>
      </rPr>
      <t xml:space="preserve">데이터 없음</t>
    </r>
    <r>
      <rPr>
        <sz val="10"/>
        <color rgb="FF333333"/>
        <rFont val="Arial"/>
        <family val="2"/>
        <charset val="1"/>
      </rPr>
      <t xml:space="preserve">: </t>
    </r>
    <r>
      <rPr>
        <sz val="10"/>
        <color rgb="FF333333"/>
        <rFont val="DejaVu Sans"/>
        <family val="2"/>
      </rPr>
      <t xml:space="preserve">빈 상태 화면
</t>
    </r>
    <r>
      <rPr>
        <sz val="10"/>
        <color rgb="FF333333"/>
        <rFont val="Arial"/>
        <family val="2"/>
        <charset val="1"/>
      </rPr>
      <t xml:space="preserve">- </t>
    </r>
    <r>
      <rPr>
        <sz val="10"/>
        <color rgb="FF333333"/>
        <rFont val="DejaVu Sans"/>
        <family val="2"/>
      </rPr>
      <t xml:space="preserve">네트워크 오류</t>
    </r>
    <r>
      <rPr>
        <sz val="10"/>
        <color rgb="FF333333"/>
        <rFont val="Arial"/>
        <family val="2"/>
        <charset val="1"/>
      </rPr>
      <t xml:space="preserve">: </t>
    </r>
    <r>
      <rPr>
        <sz val="10"/>
        <color rgb="FF333333"/>
        <rFont val="DejaVu Sans"/>
        <family val="2"/>
      </rPr>
      <t xml:space="preserve">재시도 안내
</t>
    </r>
    <r>
      <rPr>
        <sz val="10"/>
        <color rgb="FF333333"/>
        <rFont val="Arial"/>
        <family val="2"/>
        <charset val="1"/>
      </rPr>
      <t xml:space="preserve">- </t>
    </r>
    <r>
      <rPr>
        <sz val="10"/>
        <color rgb="FF333333"/>
        <rFont val="DejaVu Sans"/>
        <family val="2"/>
      </rPr>
      <t xml:space="preserve">서버 오류</t>
    </r>
    <r>
      <rPr>
        <sz val="10"/>
        <color rgb="FF333333"/>
        <rFont val="Arial"/>
        <family val="2"/>
        <charset val="1"/>
      </rPr>
      <t xml:space="preserve">: </t>
    </r>
    <r>
      <rPr>
        <sz val="10"/>
        <color rgb="FF333333"/>
        <rFont val="DejaVu Sans"/>
        <family val="2"/>
      </rPr>
      <t xml:space="preserve">점검 안내</t>
    </r>
  </si>
  <si>
    <r>
      <rPr>
        <sz val="10"/>
        <color rgb="FF333333"/>
        <rFont val="DejaVu Sans"/>
        <family val="2"/>
      </rPr>
      <t xml:space="preserve">□ 이미지 </t>
    </r>
    <r>
      <rPr>
        <sz val="10"/>
        <color rgb="FF333333"/>
        <rFont val="DejaVu Sans"/>
        <family val="2"/>
        <charset val="1"/>
      </rPr>
      <t xml:space="preserve">alt
□ 키보드 네비게이션
□ 스크린리더</t>
    </r>
  </si>
  <si>
    <t xml:space="preserve">□ 360px
□ 768px
□ 1280px
□ 1920px</t>
  </si>
  <si>
    <t xml:space="preserve">□ 세로
□ 가로</t>
  </si>
  <si>
    <r>
      <rPr>
        <sz val="10"/>
        <color rgb="FF333333"/>
        <rFont val="DejaVu Sans"/>
        <family val="2"/>
      </rPr>
      <t xml:space="preserve">디자이너</t>
    </r>
    <r>
      <rPr>
        <sz val="10"/>
        <color rgb="FF333333"/>
        <rFont val="DejaVu Sans"/>
        <family val="2"/>
        <charset val="1"/>
      </rPr>
      <t xml:space="preserve">1</t>
    </r>
  </si>
  <si>
    <t xml:space="preserve">신규 사용자 회원가입</t>
  </si>
  <si>
    <r>
      <rPr>
        <sz val="10"/>
        <color rgb="FF333333"/>
        <rFont val="Arial"/>
        <family val="2"/>
        <charset val="1"/>
      </rPr>
      <t xml:space="preserve">- </t>
    </r>
    <r>
      <rPr>
        <sz val="10"/>
        <color rgb="FF333333"/>
        <rFont val="DejaVu Sans"/>
        <family val="2"/>
      </rPr>
      <t xml:space="preserve">이메일</t>
    </r>
    <r>
      <rPr>
        <sz val="10"/>
        <color rgb="FF333333"/>
        <rFont val="Arial"/>
        <family val="2"/>
        <charset val="1"/>
      </rPr>
      <t xml:space="preserve">: </t>
    </r>
    <r>
      <rPr>
        <sz val="10"/>
        <color rgb="FF333333"/>
        <rFont val="DejaVu Sans"/>
        <family val="2"/>
      </rPr>
      <t xml:space="preserve">실시간 형식 검증
</t>
    </r>
    <r>
      <rPr>
        <sz val="10"/>
        <color rgb="FF333333"/>
        <rFont val="Arial"/>
        <family val="2"/>
        <charset val="1"/>
      </rPr>
      <t xml:space="preserve">- </t>
    </r>
    <r>
      <rPr>
        <sz val="10"/>
        <color rgb="FF333333"/>
        <rFont val="DejaVu Sans"/>
        <family val="2"/>
      </rPr>
      <t xml:space="preserve">비밀번호</t>
    </r>
    <r>
      <rPr>
        <sz val="10"/>
        <color rgb="FF333333"/>
        <rFont val="Arial"/>
        <family val="2"/>
        <charset val="1"/>
      </rPr>
      <t xml:space="preserve">: </t>
    </r>
    <r>
      <rPr>
        <sz val="10"/>
        <color rgb="FF333333"/>
        <rFont val="DejaVu Sans"/>
        <family val="2"/>
      </rPr>
      <t xml:space="preserve">강도 표시 바
</t>
    </r>
    <r>
      <rPr>
        <sz val="10"/>
        <color rgb="FF333333"/>
        <rFont val="Arial"/>
        <family val="2"/>
        <charset val="1"/>
      </rPr>
      <t xml:space="preserve">- </t>
    </r>
    <r>
      <rPr>
        <sz val="10"/>
        <color rgb="FF333333"/>
        <rFont val="DejaVu Sans"/>
        <family val="2"/>
      </rPr>
      <t xml:space="preserve">약관</t>
    </r>
    <r>
      <rPr>
        <sz val="10"/>
        <color rgb="FF333333"/>
        <rFont val="Arial"/>
        <family val="2"/>
        <charset val="1"/>
      </rPr>
      <t xml:space="preserve">: </t>
    </r>
    <r>
      <rPr>
        <sz val="10"/>
        <color rgb="FF333333"/>
        <rFont val="DejaVu Sans"/>
        <family val="2"/>
      </rPr>
      <t xml:space="preserve">전체 동의</t>
    </r>
    <r>
      <rPr>
        <sz val="10"/>
        <color rgb="FF333333"/>
        <rFont val="Arial"/>
        <family val="2"/>
        <charset val="1"/>
      </rPr>
      <t xml:space="preserve">/</t>
    </r>
    <r>
      <rPr>
        <sz val="10"/>
        <color rgb="FF333333"/>
        <rFont val="DejaVu Sans"/>
        <family val="2"/>
      </rPr>
      <t xml:space="preserve">개별 동의 토글
</t>
    </r>
    <r>
      <rPr>
        <sz val="10"/>
        <color rgb="FF333333"/>
        <rFont val="Arial"/>
        <family val="2"/>
        <charset val="1"/>
      </rPr>
      <t xml:space="preserve">- </t>
    </r>
    <r>
      <rPr>
        <sz val="10"/>
        <color rgb="FF333333"/>
        <rFont val="DejaVu Sans"/>
        <family val="2"/>
      </rPr>
      <t xml:space="preserve">가입 완료</t>
    </r>
    <r>
      <rPr>
        <sz val="10"/>
        <color rgb="FF333333"/>
        <rFont val="Arial"/>
        <family val="2"/>
        <charset val="1"/>
      </rPr>
      <t xml:space="preserve">: </t>
    </r>
    <r>
      <rPr>
        <sz val="10"/>
        <color rgb="FF333333"/>
        <rFont val="DejaVu Sans"/>
        <family val="2"/>
      </rPr>
      <t xml:space="preserve">인증 이메일 안내</t>
    </r>
  </si>
  <si>
    <r>
      <rPr>
        <sz val="10"/>
        <color rgb="FF333333"/>
        <rFont val="Arial"/>
        <family val="2"/>
        <charset val="1"/>
      </rPr>
      <t xml:space="preserve">- </t>
    </r>
    <r>
      <rPr>
        <sz val="10"/>
        <color rgb="FF333333"/>
        <rFont val="DejaVu Sans"/>
        <family val="2"/>
      </rPr>
      <t xml:space="preserve">탭 키 순서
</t>
    </r>
    <r>
      <rPr>
        <sz val="10"/>
        <color rgb="FF333333"/>
        <rFont val="Arial"/>
        <family val="2"/>
        <charset val="1"/>
      </rPr>
      <t xml:space="preserve">- </t>
    </r>
    <r>
      <rPr>
        <sz val="10"/>
        <color rgb="FF333333"/>
        <rFont val="DejaVu Sans"/>
        <family val="2"/>
      </rPr>
      <t xml:space="preserve">엔터키로 폼 제출</t>
    </r>
  </si>
  <si>
    <r>
      <rPr>
        <sz val="10"/>
        <color rgb="FF333333"/>
        <rFont val="Arial"/>
        <family val="2"/>
        <charset val="1"/>
      </rPr>
      <t xml:space="preserve">- </t>
    </r>
    <r>
      <rPr>
        <sz val="10"/>
        <color rgb="FF333333"/>
        <rFont val="DejaVu Sans"/>
        <family val="2"/>
      </rPr>
      <t xml:space="preserve">키보드 올라올 때 레이아웃
</t>
    </r>
    <r>
      <rPr>
        <sz val="10"/>
        <color rgb="FF333333"/>
        <rFont val="Arial"/>
        <family val="2"/>
        <charset val="1"/>
      </rPr>
      <t xml:space="preserve">- </t>
    </r>
    <r>
      <rPr>
        <sz val="10"/>
        <color rgb="FF333333"/>
        <rFont val="DejaVu Sans"/>
        <family val="2"/>
      </rPr>
      <t xml:space="preserve">생체 인증 연동</t>
    </r>
  </si>
  <si>
    <r>
      <rPr>
        <sz val="10"/>
        <color rgb="FF333333"/>
        <rFont val="Arial"/>
        <family val="2"/>
        <charset val="1"/>
      </rPr>
      <t xml:space="preserve">SCR-011(</t>
    </r>
    <r>
      <rPr>
        <sz val="10"/>
        <color rgb="FF333333"/>
        <rFont val="DejaVu Sans"/>
        <family val="2"/>
      </rPr>
      <t xml:space="preserve">로그인</t>
    </r>
    <r>
      <rPr>
        <sz val="10"/>
        <color rgb="FF333333"/>
        <rFont val="Arial"/>
        <family val="2"/>
        <charset val="1"/>
      </rPr>
      <t xml:space="preserve">) &gt; </t>
    </r>
    <r>
      <rPr>
        <sz val="10"/>
        <color rgb="FF333333"/>
        <rFont val="DejaVu Sans"/>
        <family val="2"/>
      </rPr>
      <t xml:space="preserve">회원가입 링크</t>
    </r>
  </si>
  <si>
    <r>
      <rPr>
        <sz val="10"/>
        <color rgb="FF333333"/>
        <rFont val="Arial"/>
        <family val="2"/>
        <charset val="1"/>
      </rPr>
      <t xml:space="preserve">- </t>
    </r>
    <r>
      <rPr>
        <sz val="10"/>
        <color rgb="FF333333"/>
        <rFont val="DejaVu Sans"/>
        <family val="2"/>
      </rPr>
      <t xml:space="preserve">중복 이메일</t>
    </r>
    <r>
      <rPr>
        <sz val="10"/>
        <color rgb="FF333333"/>
        <rFont val="Arial"/>
        <family val="2"/>
        <charset val="1"/>
      </rPr>
      <t xml:space="preserve">: </t>
    </r>
    <r>
      <rPr>
        <sz val="10"/>
        <color rgb="FF333333"/>
        <rFont val="DejaVu Sans"/>
        <family val="2"/>
      </rPr>
      <t xml:space="preserve">인라인 에러
</t>
    </r>
    <r>
      <rPr>
        <sz val="10"/>
        <color rgb="FF333333"/>
        <rFont val="Arial"/>
        <family val="2"/>
        <charset val="1"/>
      </rPr>
      <t xml:space="preserve">- </t>
    </r>
    <r>
      <rPr>
        <sz val="10"/>
        <color rgb="FF333333"/>
        <rFont val="DejaVu Sans"/>
        <family val="2"/>
      </rPr>
      <t xml:space="preserve">비밀번호 불일치</t>
    </r>
    <r>
      <rPr>
        <sz val="10"/>
        <color rgb="FF333333"/>
        <rFont val="Arial"/>
        <family val="2"/>
        <charset val="1"/>
      </rPr>
      <t xml:space="preserve">: </t>
    </r>
    <r>
      <rPr>
        <sz val="10"/>
        <color rgb="FF333333"/>
        <rFont val="DejaVu Sans"/>
        <family val="2"/>
      </rPr>
      <t xml:space="preserve">인라인 에러
</t>
    </r>
    <r>
      <rPr>
        <sz val="10"/>
        <color rgb="FF333333"/>
        <rFont val="Arial"/>
        <family val="2"/>
        <charset val="1"/>
      </rPr>
      <t xml:space="preserve">- </t>
    </r>
    <r>
      <rPr>
        <sz val="10"/>
        <color rgb="FF333333"/>
        <rFont val="DejaVu Sans"/>
        <family val="2"/>
      </rPr>
      <t xml:space="preserve">서버 에러</t>
    </r>
    <r>
      <rPr>
        <sz val="10"/>
        <color rgb="FF333333"/>
        <rFont val="Arial"/>
        <family val="2"/>
        <charset val="1"/>
      </rPr>
      <t xml:space="preserve">: </t>
    </r>
    <r>
      <rPr>
        <sz val="10"/>
        <color rgb="FF333333"/>
        <rFont val="DejaVu Sans"/>
        <family val="2"/>
      </rPr>
      <t xml:space="preserve">토스트</t>
    </r>
  </si>
  <si>
    <r>
      <rPr>
        <sz val="10"/>
        <color rgb="FF333333"/>
        <rFont val="DejaVu Sans"/>
        <family val="2"/>
      </rPr>
      <t xml:space="preserve">□ 폼 레이블
□ 에러 메시지
□ 색 대비 </t>
    </r>
    <r>
      <rPr>
        <sz val="10"/>
        <color rgb="FF333333"/>
        <rFont val="DejaVu Sans"/>
        <family val="2"/>
        <charset val="1"/>
      </rPr>
      <t xml:space="preserve">4.5:1</t>
    </r>
  </si>
  <si>
    <t xml:space="preserve">□ 360px
□ 768px
□ 1280px</t>
  </si>
  <si>
    <t xml:space="preserve">기존 회원 로그인</t>
  </si>
  <si>
    <r>
      <rPr>
        <sz val="10"/>
        <color rgb="FF333333"/>
        <rFont val="Arial"/>
        <family val="2"/>
        <charset val="1"/>
      </rPr>
      <t xml:space="preserve">- </t>
    </r>
    <r>
      <rPr>
        <sz val="10"/>
        <color rgb="FF333333"/>
        <rFont val="DejaVu Sans"/>
        <family val="2"/>
      </rPr>
      <t xml:space="preserve">자동 로그인</t>
    </r>
    <r>
      <rPr>
        <sz val="10"/>
        <color rgb="FF333333"/>
        <rFont val="Arial"/>
        <family val="2"/>
        <charset val="1"/>
      </rPr>
      <t xml:space="preserve">: </t>
    </r>
    <r>
      <rPr>
        <sz val="10"/>
        <color rgb="FF333333"/>
        <rFont val="DejaVu Sans"/>
        <family val="2"/>
      </rPr>
      <t xml:space="preserve">체크 시 토큰 유지
</t>
    </r>
    <r>
      <rPr>
        <sz val="10"/>
        <color rgb="FF333333"/>
        <rFont val="Arial"/>
        <family val="2"/>
        <charset val="1"/>
      </rPr>
      <t xml:space="preserve">- 5</t>
    </r>
    <r>
      <rPr>
        <sz val="10"/>
        <color rgb="FF333333"/>
        <rFont val="DejaVu Sans"/>
        <family val="2"/>
      </rPr>
      <t xml:space="preserve">회 실패</t>
    </r>
    <r>
      <rPr>
        <sz val="10"/>
        <color rgb="FF333333"/>
        <rFont val="Arial"/>
        <family val="2"/>
        <charset val="1"/>
      </rPr>
      <t xml:space="preserve">: </t>
    </r>
    <r>
      <rPr>
        <sz val="10"/>
        <color rgb="FF333333"/>
        <rFont val="DejaVu Sans"/>
        <family val="2"/>
      </rPr>
      <t xml:space="preserve">계정 잠금 안내
</t>
    </r>
    <r>
      <rPr>
        <sz val="10"/>
        <color rgb="FF333333"/>
        <rFont val="Arial"/>
        <family val="2"/>
        <charset val="1"/>
      </rPr>
      <t xml:space="preserve">- </t>
    </r>
    <r>
      <rPr>
        <sz val="10"/>
        <color rgb="FF333333"/>
        <rFont val="DejaVu Sans"/>
        <family val="2"/>
      </rPr>
      <t xml:space="preserve">소셜</t>
    </r>
    <r>
      <rPr>
        <sz val="10"/>
        <color rgb="FF333333"/>
        <rFont val="Arial"/>
        <family val="2"/>
        <charset val="1"/>
      </rPr>
      <t xml:space="preserve">: </t>
    </r>
    <r>
      <rPr>
        <sz val="10"/>
        <color rgb="FF333333"/>
        <rFont val="DejaVu Sans"/>
        <family val="2"/>
      </rPr>
      <t xml:space="preserve">팝업</t>
    </r>
    <r>
      <rPr>
        <sz val="10"/>
        <color rgb="FF333333"/>
        <rFont val="Arial"/>
        <family val="2"/>
        <charset val="1"/>
      </rPr>
      <t xml:space="preserve">(Web)/</t>
    </r>
    <r>
      <rPr>
        <sz val="10"/>
        <color rgb="FF333333"/>
        <rFont val="DejaVu Sans"/>
        <family val="2"/>
      </rPr>
      <t xml:space="preserve">앱전환</t>
    </r>
    <r>
      <rPr>
        <sz val="10"/>
        <color rgb="FF333333"/>
        <rFont val="Arial"/>
        <family val="2"/>
        <charset val="1"/>
      </rPr>
      <t xml:space="preserve">(App)</t>
    </r>
  </si>
  <si>
    <r>
      <rPr>
        <sz val="10"/>
        <color rgb="FF333333"/>
        <rFont val="Arial"/>
        <family val="2"/>
        <charset val="1"/>
      </rPr>
      <t xml:space="preserve">- Remember me </t>
    </r>
    <r>
      <rPr>
        <sz val="10"/>
        <color rgb="FF333333"/>
        <rFont val="DejaVu Sans"/>
        <family val="2"/>
      </rPr>
      <t xml:space="preserve">쿠키
</t>
    </r>
    <r>
      <rPr>
        <sz val="10"/>
        <color rgb="FF333333"/>
        <rFont val="Arial"/>
        <family val="2"/>
        <charset val="1"/>
      </rPr>
      <t xml:space="preserve">- SSO </t>
    </r>
    <r>
      <rPr>
        <sz val="10"/>
        <color rgb="FF333333"/>
        <rFont val="DejaVu Sans"/>
        <family val="2"/>
      </rPr>
      <t xml:space="preserve">연동</t>
    </r>
  </si>
  <si>
    <r>
      <rPr>
        <sz val="10"/>
        <color rgb="FF333333"/>
        <rFont val="Arial"/>
        <family val="2"/>
        <charset val="1"/>
      </rPr>
      <t xml:space="preserve">- Face ID/Touch ID
- </t>
    </r>
    <r>
      <rPr>
        <sz val="10"/>
        <color rgb="FF333333"/>
        <rFont val="DejaVu Sans"/>
        <family val="2"/>
      </rPr>
      <t xml:space="preserve">자동 로그인 토큰</t>
    </r>
  </si>
  <si>
    <r>
      <rPr>
        <sz val="10"/>
        <color rgb="FF333333"/>
        <rFont val="DejaVu Sans"/>
        <family val="2"/>
      </rPr>
      <t xml:space="preserve">앱 실행</t>
    </r>
    <r>
      <rPr>
        <sz val="10"/>
        <color rgb="FF333333"/>
        <rFont val="DejaVu Sans"/>
        <family val="2"/>
        <charset val="1"/>
      </rPr>
      <t xml:space="preserve">, GNB </t>
    </r>
    <r>
      <rPr>
        <sz val="10"/>
        <color rgb="FF333333"/>
        <rFont val="DejaVu Sans"/>
        <family val="2"/>
      </rPr>
      <t xml:space="preserve">로그인 버튼</t>
    </r>
  </si>
  <si>
    <t xml:space="preserve">SCR-001, SCR-010, SCR-012</t>
  </si>
  <si>
    <r>
      <rPr>
        <sz val="10"/>
        <color rgb="FF333333"/>
        <rFont val="Arial"/>
        <family val="2"/>
        <charset val="1"/>
      </rPr>
      <t xml:space="preserve">- </t>
    </r>
    <r>
      <rPr>
        <sz val="10"/>
        <color rgb="FF333333"/>
        <rFont val="DejaVu Sans"/>
        <family val="2"/>
      </rPr>
      <t xml:space="preserve">잘못된 비밀번호</t>
    </r>
    <r>
      <rPr>
        <sz val="10"/>
        <color rgb="FF333333"/>
        <rFont val="Arial"/>
        <family val="2"/>
        <charset val="1"/>
      </rPr>
      <t xml:space="preserve">: </t>
    </r>
    <r>
      <rPr>
        <sz val="10"/>
        <color rgb="FF333333"/>
        <rFont val="DejaVu Sans"/>
        <family val="2"/>
      </rPr>
      <t xml:space="preserve">인라인 에러
</t>
    </r>
    <r>
      <rPr>
        <sz val="10"/>
        <color rgb="FF333333"/>
        <rFont val="Arial"/>
        <family val="2"/>
        <charset val="1"/>
      </rPr>
      <t xml:space="preserve">- </t>
    </r>
    <r>
      <rPr>
        <sz val="10"/>
        <color rgb="FF333333"/>
        <rFont val="DejaVu Sans"/>
        <family val="2"/>
      </rPr>
      <t xml:space="preserve">잠긴 계정</t>
    </r>
    <r>
      <rPr>
        <sz val="10"/>
        <color rgb="FF333333"/>
        <rFont val="Arial"/>
        <family val="2"/>
        <charset val="1"/>
      </rPr>
      <t xml:space="preserve">: </t>
    </r>
    <r>
      <rPr>
        <sz val="10"/>
        <color rgb="FF333333"/>
        <rFont val="DejaVu Sans"/>
        <family val="2"/>
      </rPr>
      <t xml:space="preserve">안내 모달
</t>
    </r>
    <r>
      <rPr>
        <sz val="10"/>
        <color rgb="FF333333"/>
        <rFont val="Arial"/>
        <family val="2"/>
        <charset val="1"/>
      </rPr>
      <t xml:space="preserve">- </t>
    </r>
    <r>
      <rPr>
        <sz val="10"/>
        <color rgb="FF333333"/>
        <rFont val="DejaVu Sans"/>
        <family val="2"/>
      </rPr>
      <t xml:space="preserve">탈퇴 계정</t>
    </r>
    <r>
      <rPr>
        <sz val="10"/>
        <color rgb="FF333333"/>
        <rFont val="Arial"/>
        <family val="2"/>
        <charset val="1"/>
      </rPr>
      <t xml:space="preserve">: </t>
    </r>
    <r>
      <rPr>
        <sz val="10"/>
        <color rgb="FF333333"/>
        <rFont val="DejaVu Sans"/>
        <family val="2"/>
      </rPr>
      <t xml:space="preserve">복구 안내</t>
    </r>
  </si>
  <si>
    <t xml:space="preserve">□ 폼 접근성
□ 에러 메시지</t>
  </si>
  <si>
    <r>
      <rPr>
        <sz val="10"/>
        <color rgb="FF333333"/>
        <rFont val="Arial"/>
        <family val="2"/>
        <charset val="1"/>
      </rPr>
      <t xml:space="preserve">- </t>
    </r>
    <r>
      <rPr>
        <sz val="10"/>
        <color rgb="FF333333"/>
        <rFont val="DejaVu Sans"/>
        <family val="2"/>
      </rPr>
      <t xml:space="preserve">입력 시 자동완성 </t>
    </r>
    <r>
      <rPr>
        <sz val="10"/>
        <color rgb="FF333333"/>
        <rFont val="Arial"/>
        <family val="2"/>
        <charset val="1"/>
      </rPr>
      <t xml:space="preserve">(300ms </t>
    </r>
    <r>
      <rPr>
        <sz val="10"/>
        <color rgb="FF333333"/>
        <rFont val="DejaVu Sans"/>
        <family val="2"/>
      </rPr>
      <t xml:space="preserve">디바운스</t>
    </r>
    <r>
      <rPr>
        <sz val="10"/>
        <color rgb="FF333333"/>
        <rFont val="Arial"/>
        <family val="2"/>
        <charset val="1"/>
      </rPr>
      <t xml:space="preserve">)
- </t>
    </r>
    <r>
      <rPr>
        <sz val="10"/>
        <color rgb="FF333333"/>
        <rFont val="DejaVu Sans"/>
        <family val="2"/>
      </rPr>
      <t xml:space="preserve">최근 검색어</t>
    </r>
    <r>
      <rPr>
        <sz val="10"/>
        <color rgb="FF333333"/>
        <rFont val="Arial"/>
        <family val="2"/>
        <charset val="1"/>
      </rPr>
      <t xml:space="preserve">: </t>
    </r>
    <r>
      <rPr>
        <sz val="10"/>
        <color rgb="FF333333"/>
        <rFont val="DejaVu Sans"/>
        <family val="2"/>
      </rPr>
      <t xml:space="preserve">개별</t>
    </r>
    <r>
      <rPr>
        <sz val="10"/>
        <color rgb="FF333333"/>
        <rFont val="Arial"/>
        <family val="2"/>
        <charset val="1"/>
      </rPr>
      <t xml:space="preserve">/</t>
    </r>
    <r>
      <rPr>
        <sz val="10"/>
        <color rgb="FF333333"/>
        <rFont val="DejaVu Sans"/>
        <family val="2"/>
      </rPr>
      <t xml:space="preserve">전체 삭제
</t>
    </r>
    <r>
      <rPr>
        <sz val="10"/>
        <color rgb="FF333333"/>
        <rFont val="Arial"/>
        <family val="2"/>
        <charset val="1"/>
      </rPr>
      <t xml:space="preserve">- </t>
    </r>
    <r>
      <rPr>
        <sz val="10"/>
        <color rgb="FF333333"/>
        <rFont val="DejaVu Sans"/>
        <family val="2"/>
      </rPr>
      <t xml:space="preserve">필터</t>
    </r>
    <r>
      <rPr>
        <sz val="10"/>
        <color rgb="FF333333"/>
        <rFont val="Arial"/>
        <family val="2"/>
        <charset val="1"/>
      </rPr>
      <t xml:space="preserve">: </t>
    </r>
    <r>
      <rPr>
        <sz val="10"/>
        <color rgb="FF333333"/>
        <rFont val="DejaVu Sans"/>
        <family val="2"/>
      </rPr>
      <t xml:space="preserve">바텀시트</t>
    </r>
    <r>
      <rPr>
        <sz val="10"/>
        <color rgb="FF333333"/>
        <rFont val="Arial"/>
        <family val="2"/>
        <charset val="1"/>
      </rPr>
      <t xml:space="preserve">(App)/</t>
    </r>
    <r>
      <rPr>
        <sz val="10"/>
        <color rgb="FF333333"/>
        <rFont val="DejaVu Sans"/>
        <family val="2"/>
      </rPr>
      <t xml:space="preserve">사이드패널</t>
    </r>
    <r>
      <rPr>
        <sz val="10"/>
        <color rgb="FF333333"/>
        <rFont val="Arial"/>
        <family val="2"/>
        <charset val="1"/>
      </rPr>
      <t xml:space="preserve">(Web)</t>
    </r>
  </si>
  <si>
    <r>
      <rPr>
        <sz val="10"/>
        <color rgb="FF333333"/>
        <rFont val="Arial"/>
        <family val="2"/>
        <charset val="1"/>
      </rPr>
      <t xml:space="preserve">- URL </t>
    </r>
    <r>
      <rPr>
        <sz val="10"/>
        <color rgb="FF333333"/>
        <rFont val="DejaVu Sans"/>
        <family val="2"/>
      </rPr>
      <t xml:space="preserve">파라미터 반영
</t>
    </r>
    <r>
      <rPr>
        <sz val="10"/>
        <color rgb="FF333333"/>
        <rFont val="Arial"/>
        <family val="2"/>
        <charset val="1"/>
      </rPr>
      <t xml:space="preserve">- SEO</t>
    </r>
  </si>
  <si>
    <r>
      <rPr>
        <sz val="10"/>
        <color rgb="FF333333"/>
        <rFont val="Arial"/>
        <family val="2"/>
        <charset val="1"/>
      </rPr>
      <t xml:space="preserve">- </t>
    </r>
    <r>
      <rPr>
        <sz val="10"/>
        <color rgb="FF333333"/>
        <rFont val="DejaVu Sans"/>
        <family val="2"/>
      </rPr>
      <t xml:space="preserve">음성 검색
</t>
    </r>
    <r>
      <rPr>
        <sz val="10"/>
        <color rgb="FF333333"/>
        <rFont val="Arial"/>
        <family val="2"/>
        <charset val="1"/>
      </rPr>
      <t xml:space="preserve">- </t>
    </r>
    <r>
      <rPr>
        <sz val="10"/>
        <color rgb="FF333333"/>
        <rFont val="DejaVu Sans"/>
        <family val="2"/>
      </rPr>
      <t xml:space="preserve">키보드 자동 포커스</t>
    </r>
  </si>
  <si>
    <r>
      <rPr>
        <sz val="10"/>
        <color rgb="FF333333"/>
        <rFont val="Arial"/>
        <family val="2"/>
        <charset val="1"/>
      </rPr>
      <t xml:space="preserve">GNB </t>
    </r>
    <r>
      <rPr>
        <sz val="10"/>
        <color rgb="FF333333"/>
        <rFont val="DejaVu Sans"/>
        <family val="2"/>
      </rPr>
      <t xml:space="preserve">검색 아이콘</t>
    </r>
    <r>
      <rPr>
        <sz val="10"/>
        <color rgb="FF333333"/>
        <rFont val="Arial"/>
        <family val="2"/>
        <charset val="1"/>
      </rPr>
      <t xml:space="preserve">, </t>
    </r>
    <r>
      <rPr>
        <sz val="10"/>
        <color rgb="FF333333"/>
        <rFont val="DejaVu Sans"/>
        <family val="2"/>
      </rPr>
      <t xml:space="preserve">메인 검색바</t>
    </r>
  </si>
  <si>
    <r>
      <rPr>
        <sz val="10"/>
        <color rgb="FF333333"/>
        <rFont val="Arial"/>
        <family val="2"/>
        <charset val="1"/>
      </rPr>
      <t xml:space="preserve">- </t>
    </r>
    <r>
      <rPr>
        <sz val="10"/>
        <color rgb="FF333333"/>
        <rFont val="DejaVu Sans"/>
        <family val="2"/>
      </rPr>
      <t xml:space="preserve">결과 없음</t>
    </r>
    <r>
      <rPr>
        <sz val="10"/>
        <color rgb="FF333333"/>
        <rFont val="Arial"/>
        <family val="2"/>
        <charset val="1"/>
      </rPr>
      <t xml:space="preserve">: </t>
    </r>
    <r>
      <rPr>
        <sz val="10"/>
        <color rgb="FF333333"/>
        <rFont val="DejaVu Sans"/>
        <family val="2"/>
      </rPr>
      <t xml:space="preserve">추천 검색어
</t>
    </r>
    <r>
      <rPr>
        <sz val="10"/>
        <color rgb="FF333333"/>
        <rFont val="Arial"/>
        <family val="2"/>
        <charset val="1"/>
      </rPr>
      <t xml:space="preserve">- </t>
    </r>
    <r>
      <rPr>
        <sz val="10"/>
        <color rgb="FF333333"/>
        <rFont val="DejaVu Sans"/>
        <family val="2"/>
      </rPr>
      <t xml:space="preserve">특수문자</t>
    </r>
    <r>
      <rPr>
        <sz val="10"/>
        <color rgb="FF333333"/>
        <rFont val="Arial"/>
        <family val="2"/>
        <charset val="1"/>
      </rPr>
      <t xml:space="preserve">: </t>
    </r>
    <r>
      <rPr>
        <sz val="10"/>
        <color rgb="FF333333"/>
        <rFont val="DejaVu Sans"/>
        <family val="2"/>
      </rPr>
      <t xml:space="preserve">이스케이프 처리</t>
    </r>
  </si>
  <si>
    <t xml:space="preserve">□ 검색창 레이블
□ 결과 알림</t>
  </si>
  <si>
    <r>
      <rPr>
        <sz val="10"/>
        <color rgb="FF333333"/>
        <rFont val="DejaVu Sans"/>
        <family val="2"/>
      </rPr>
      <t xml:space="preserve">사용자 프로필</t>
    </r>
    <r>
      <rPr>
        <sz val="10"/>
        <color rgb="FF333333"/>
        <rFont val="DejaVu Sans"/>
        <family val="2"/>
        <charset val="1"/>
      </rPr>
      <t xml:space="preserve">/</t>
    </r>
    <r>
      <rPr>
        <sz val="10"/>
        <color rgb="FF333333"/>
        <rFont val="DejaVu Sans"/>
        <family val="2"/>
      </rPr>
      <t xml:space="preserve">설정</t>
    </r>
  </si>
  <si>
    <r>
      <rPr>
        <sz val="10"/>
        <color rgb="FF333333"/>
        <rFont val="Arial"/>
        <family val="2"/>
        <charset val="1"/>
      </rPr>
      <t xml:space="preserve">- </t>
    </r>
    <r>
      <rPr>
        <sz val="10"/>
        <color rgb="FF333333"/>
        <rFont val="DejaVu Sans"/>
        <family val="2"/>
      </rPr>
      <t xml:space="preserve">프로필 이미지</t>
    </r>
    <r>
      <rPr>
        <sz val="10"/>
        <color rgb="FF333333"/>
        <rFont val="Arial"/>
        <family val="2"/>
        <charset val="1"/>
      </rPr>
      <t xml:space="preserve">: </t>
    </r>
    <r>
      <rPr>
        <sz val="10"/>
        <color rgb="FF333333"/>
        <rFont val="DejaVu Sans"/>
        <family val="2"/>
      </rPr>
      <t xml:space="preserve">탭 시 갤러리</t>
    </r>
    <r>
      <rPr>
        <sz val="10"/>
        <color rgb="FF333333"/>
        <rFont val="Arial"/>
        <family val="2"/>
        <charset val="1"/>
      </rPr>
      <t xml:space="preserve">/</t>
    </r>
    <r>
      <rPr>
        <sz val="10"/>
        <color rgb="FF333333"/>
        <rFont val="DejaVu Sans"/>
        <family val="2"/>
      </rPr>
      <t xml:space="preserve">카메라 선택
</t>
    </r>
    <r>
      <rPr>
        <sz val="10"/>
        <color rgb="FF333333"/>
        <rFont val="Arial"/>
        <family val="2"/>
        <charset val="1"/>
      </rPr>
      <t xml:space="preserve">- </t>
    </r>
    <r>
      <rPr>
        <sz val="10"/>
        <color rgb="FF333333"/>
        <rFont val="DejaVu Sans"/>
        <family val="2"/>
      </rPr>
      <t xml:space="preserve">닉네임</t>
    </r>
    <r>
      <rPr>
        <sz val="10"/>
        <color rgb="FF333333"/>
        <rFont val="Arial"/>
        <family val="2"/>
        <charset val="1"/>
      </rPr>
      <t xml:space="preserve">: </t>
    </r>
    <r>
      <rPr>
        <sz val="10"/>
        <color rgb="FF333333"/>
        <rFont val="DejaVu Sans"/>
        <family val="2"/>
      </rPr>
      <t xml:space="preserve">인라인 편집
</t>
    </r>
    <r>
      <rPr>
        <sz val="10"/>
        <color rgb="FF333333"/>
        <rFont val="Arial"/>
        <family val="2"/>
        <charset val="1"/>
      </rPr>
      <t xml:space="preserve">- </t>
    </r>
    <r>
      <rPr>
        <sz val="10"/>
        <color rgb="FF333333"/>
        <rFont val="DejaVu Sans"/>
        <family val="2"/>
      </rPr>
      <t xml:space="preserve">로그아웃</t>
    </r>
    <r>
      <rPr>
        <sz val="10"/>
        <color rgb="FF333333"/>
        <rFont val="Arial"/>
        <family val="2"/>
        <charset val="1"/>
      </rPr>
      <t xml:space="preserve">: </t>
    </r>
    <r>
      <rPr>
        <sz val="10"/>
        <color rgb="FF333333"/>
        <rFont val="DejaVu Sans"/>
        <family val="2"/>
      </rPr>
      <t xml:space="preserve">확인 모달</t>
    </r>
  </si>
  <si>
    <r>
      <rPr>
        <sz val="10"/>
        <color rgb="FF333333"/>
        <rFont val="Arial"/>
        <family val="2"/>
        <charset val="1"/>
      </rPr>
      <t xml:space="preserve">- </t>
    </r>
    <r>
      <rPr>
        <sz val="10"/>
        <color rgb="FF333333"/>
        <rFont val="DejaVu Sans"/>
        <family val="2"/>
      </rPr>
      <t xml:space="preserve">비밀번호 변경 </t>
    </r>
    <r>
      <rPr>
        <sz val="10"/>
        <color rgb="FF333333"/>
        <rFont val="Arial"/>
        <family val="2"/>
        <charset val="1"/>
      </rPr>
      <t xml:space="preserve">(</t>
    </r>
    <r>
      <rPr>
        <sz val="10"/>
        <color rgb="FF333333"/>
        <rFont val="DejaVu Sans"/>
        <family val="2"/>
      </rPr>
      <t xml:space="preserve">소셜 제외</t>
    </r>
    <r>
      <rPr>
        <sz val="10"/>
        <color rgb="FF333333"/>
        <rFont val="Arial"/>
        <family val="2"/>
        <charset val="1"/>
      </rPr>
      <t xml:space="preserve">)</t>
    </r>
  </si>
  <si>
    <r>
      <rPr>
        <sz val="10"/>
        <color rgb="FF333333"/>
        <rFont val="Arial"/>
        <family val="2"/>
        <charset val="1"/>
      </rPr>
      <t xml:space="preserve">- </t>
    </r>
    <r>
      <rPr>
        <sz val="10"/>
        <color rgb="FF333333"/>
        <rFont val="DejaVu Sans"/>
        <family val="2"/>
      </rPr>
      <t xml:space="preserve">캐시 삭제
</t>
    </r>
    <r>
      <rPr>
        <sz val="10"/>
        <color rgb="FF333333"/>
        <rFont val="Arial"/>
        <family val="2"/>
        <charset val="1"/>
      </rPr>
      <t xml:space="preserve">- </t>
    </r>
    <r>
      <rPr>
        <sz val="10"/>
        <color rgb="FF333333"/>
        <rFont val="DejaVu Sans"/>
        <family val="2"/>
      </rPr>
      <t xml:space="preserve">앱 설정</t>
    </r>
  </si>
  <si>
    <r>
      <rPr>
        <sz val="10"/>
        <color rgb="FF333333"/>
        <rFont val="DejaVu Sans"/>
        <family val="2"/>
      </rPr>
      <t xml:space="preserve">하단 탭</t>
    </r>
    <r>
      <rPr>
        <sz val="10"/>
        <color rgb="FF333333"/>
        <rFont val="DejaVu Sans"/>
        <family val="2"/>
        <charset val="1"/>
      </rPr>
      <t xml:space="preserve">(App), GNB(Web)</t>
    </r>
  </si>
  <si>
    <t xml:space="preserve">SCR-031, SCR-032</t>
  </si>
  <si>
    <r>
      <rPr>
        <sz val="10"/>
        <color rgb="FF333333"/>
        <rFont val="Arial"/>
        <family val="2"/>
        <charset val="1"/>
      </rPr>
      <t xml:space="preserve">- </t>
    </r>
    <r>
      <rPr>
        <sz val="10"/>
        <color rgb="FF333333"/>
        <rFont val="DejaVu Sans"/>
        <family val="2"/>
      </rPr>
      <t xml:space="preserve">이미지 업로드 실패</t>
    </r>
    <r>
      <rPr>
        <sz val="10"/>
        <color rgb="FF333333"/>
        <rFont val="Arial"/>
        <family val="2"/>
        <charset val="1"/>
      </rPr>
      <t xml:space="preserve">: </t>
    </r>
    <r>
      <rPr>
        <sz val="10"/>
        <color rgb="FF333333"/>
        <rFont val="DejaVu Sans"/>
        <family val="2"/>
      </rPr>
      <t xml:space="preserve">재시도
</t>
    </r>
    <r>
      <rPr>
        <sz val="10"/>
        <color rgb="FF333333"/>
        <rFont val="Arial"/>
        <family val="2"/>
        <charset val="1"/>
      </rPr>
      <t xml:space="preserve">- </t>
    </r>
    <r>
      <rPr>
        <sz val="10"/>
        <color rgb="FF333333"/>
        <rFont val="DejaVu Sans"/>
        <family val="2"/>
      </rPr>
      <t xml:space="preserve">닉네임 중복</t>
    </r>
    <r>
      <rPr>
        <sz val="10"/>
        <color rgb="FF333333"/>
        <rFont val="Arial"/>
        <family val="2"/>
        <charset val="1"/>
      </rPr>
      <t xml:space="preserve">: </t>
    </r>
    <r>
      <rPr>
        <sz val="10"/>
        <color rgb="FF333333"/>
        <rFont val="DejaVu Sans"/>
        <family val="2"/>
      </rPr>
      <t xml:space="preserve">인라인 에러</t>
    </r>
  </si>
  <si>
    <r>
      <rPr>
        <sz val="10"/>
        <color rgb="FF333333"/>
        <rFont val="DejaVu Sans"/>
        <family val="2"/>
      </rPr>
      <t xml:space="preserve">□ 프로필 </t>
    </r>
    <r>
      <rPr>
        <sz val="10"/>
        <color rgb="FF333333"/>
        <rFont val="DejaVu Sans"/>
        <family val="2"/>
        <charset val="1"/>
      </rPr>
      <t xml:space="preserve">alt
□ 메뉴 접근성</t>
    </r>
  </si>
  <si>
    <r>
      <rPr>
        <b val="true"/>
        <sz val="11"/>
        <color rgb="FFFFFFFF"/>
        <rFont val="DejaVu Sans"/>
        <family val="2"/>
      </rPr>
      <t xml:space="preserve">요소 </t>
    </r>
    <r>
      <rPr>
        <b val="true"/>
        <sz val="11"/>
        <color rgb="FFFFFFFF"/>
        <rFont val="DejaVu Sans"/>
        <family val="2"/>
        <charset val="1"/>
      </rPr>
      <t xml:space="preserve">ID</t>
    </r>
  </si>
  <si>
    <t xml:space="preserve">요소명</t>
  </si>
  <si>
    <t xml:space="preserve">요소 유형</t>
  </si>
  <si>
    <t xml:space="preserve">요소 설명</t>
  </si>
  <si>
    <r>
      <rPr>
        <b val="true"/>
        <sz val="11"/>
        <color rgb="FFFFFFFF"/>
        <rFont val="DejaVu Sans"/>
        <family val="2"/>
      </rPr>
      <t xml:space="preserve">기능 </t>
    </r>
    <r>
      <rPr>
        <b val="true"/>
        <sz val="11"/>
        <color rgb="FFFFFFFF"/>
        <rFont val="DejaVu Sans"/>
        <family val="2"/>
        <charset val="1"/>
      </rPr>
      <t xml:space="preserve">ID</t>
    </r>
  </si>
  <si>
    <t xml:space="preserve">API ID</t>
  </si>
  <si>
    <r>
      <rPr>
        <b val="true"/>
        <sz val="11"/>
        <color rgb="FFFFFFFF"/>
        <rFont val="Arial"/>
        <family val="0"/>
        <charset val="1"/>
      </rPr>
      <t xml:space="preserve">Web </t>
    </r>
    <r>
      <rPr>
        <b val="true"/>
        <sz val="11"/>
        <color rgb="FFFFFFFF"/>
        <rFont val="DejaVu Sans"/>
        <family val="2"/>
      </rPr>
      <t xml:space="preserve">구현</t>
    </r>
  </si>
  <si>
    <r>
      <rPr>
        <b val="true"/>
        <sz val="11"/>
        <color rgb="FFFFFFFF"/>
        <rFont val="Arial"/>
        <family val="0"/>
        <charset val="1"/>
      </rPr>
      <t xml:space="preserve">App </t>
    </r>
    <r>
      <rPr>
        <b val="true"/>
        <sz val="11"/>
        <color rgb="FFFFFFFF"/>
        <rFont val="DejaVu Sans"/>
        <family val="2"/>
      </rPr>
      <t xml:space="preserve">구현</t>
    </r>
  </si>
  <si>
    <t xml:space="preserve">유효성 검사</t>
  </si>
  <si>
    <t xml:space="preserve">에러 메시지</t>
  </si>
  <si>
    <t xml:space="preserve">접근성</t>
  </si>
  <si>
    <r>
      <rPr>
        <b val="true"/>
        <sz val="11"/>
        <color rgb="FFFFFFFF"/>
        <rFont val="Arial"/>
        <family val="0"/>
        <charset val="1"/>
      </rPr>
      <t xml:space="preserve">[</t>
    </r>
    <r>
      <rPr>
        <b val="true"/>
        <sz val="11"/>
        <color rgb="FFFFFFFF"/>
        <rFont val="DejaVu Sans"/>
        <family val="2"/>
      </rPr>
      <t xml:space="preserve">자동</t>
    </r>
    <r>
      <rPr>
        <b val="true"/>
        <sz val="11"/>
        <color rgb="FFFFFFFF"/>
        <rFont val="Arial"/>
        <family val="0"/>
        <charset val="1"/>
      </rPr>
      <t xml:space="preserve">] </t>
    </r>
    <r>
      <rPr>
        <b val="true"/>
        <sz val="11"/>
        <color rgb="FFFFFFFF"/>
        <rFont val="DejaVu Sans"/>
        <family val="2"/>
      </rPr>
      <t xml:space="preserve">기능명</t>
    </r>
  </si>
  <si>
    <r>
      <rPr>
        <b val="true"/>
        <sz val="11"/>
        <color rgb="FFFFFFFF"/>
        <rFont val="Arial"/>
        <family val="0"/>
        <charset val="1"/>
      </rPr>
      <t xml:space="preserve">[</t>
    </r>
    <r>
      <rPr>
        <b val="true"/>
        <sz val="11"/>
        <color rgb="FFFFFFFF"/>
        <rFont val="DejaVu Sans"/>
        <family val="2"/>
      </rPr>
      <t xml:space="preserve">자동</t>
    </r>
    <r>
      <rPr>
        <b val="true"/>
        <sz val="11"/>
        <color rgb="FFFFFFFF"/>
        <rFont val="Arial"/>
        <family val="0"/>
        <charset val="1"/>
      </rPr>
      <t xml:space="preserve">] API </t>
    </r>
    <r>
      <rPr>
        <b val="true"/>
        <sz val="11"/>
        <color rgb="FFFFFFFF"/>
        <rFont val="DejaVu Sans"/>
        <family val="2"/>
      </rPr>
      <t xml:space="preserve">엔드포인트</t>
    </r>
  </si>
  <si>
    <t xml:space="preserve">▼ SCR-001</t>
  </si>
  <si>
    <r>
      <rPr>
        <b val="true"/>
        <sz val="10"/>
        <color rgb="FF666666"/>
        <rFont val="Arial"/>
        <family val="2"/>
        <charset val="1"/>
      </rPr>
      <t xml:space="preserve">5</t>
    </r>
    <r>
      <rPr>
        <b val="true"/>
        <sz val="10"/>
        <color rgb="FF666666"/>
        <rFont val="DejaVu Sans"/>
        <family val="2"/>
      </rPr>
      <t xml:space="preserve">개 요소</t>
    </r>
  </si>
  <si>
    <t xml:space="preserve">UI-001</t>
  </si>
  <si>
    <r>
      <rPr>
        <sz val="10"/>
        <color rgb="FF333333"/>
        <rFont val="DejaVu Sans"/>
        <family val="2"/>
      </rPr>
      <t xml:space="preserve">상단 </t>
    </r>
    <r>
      <rPr>
        <sz val="10"/>
        <color rgb="FF333333"/>
        <rFont val="DejaVu Sans"/>
        <family val="2"/>
        <charset val="1"/>
      </rPr>
      <t xml:space="preserve">GNB</t>
    </r>
  </si>
  <si>
    <t xml:space="preserve">Nav</t>
  </si>
  <si>
    <t xml:space="preserve">전체 공통 상단 네비게이션 바</t>
  </si>
  <si>
    <r>
      <rPr>
        <sz val="10"/>
        <color rgb="FF333333"/>
        <rFont val="Arial"/>
        <family val="2"/>
        <charset val="1"/>
      </rPr>
      <t xml:space="preserve">- </t>
    </r>
    <r>
      <rPr>
        <sz val="10"/>
        <color rgb="FF333333"/>
        <rFont val="DejaVu Sans"/>
        <family val="2"/>
      </rPr>
      <t xml:space="preserve">로고</t>
    </r>
    <r>
      <rPr>
        <sz val="10"/>
        <color rgb="FF333333"/>
        <rFont val="Arial"/>
        <family val="2"/>
        <charset val="1"/>
      </rPr>
      <t xml:space="preserve">: </t>
    </r>
    <r>
      <rPr>
        <sz val="10"/>
        <color rgb="FF333333"/>
        <rFont val="DejaVu Sans"/>
        <family val="2"/>
      </rPr>
      <t xml:space="preserve">탭 시 메인 이동
</t>
    </r>
    <r>
      <rPr>
        <sz val="10"/>
        <color rgb="FF333333"/>
        <rFont val="Arial"/>
        <family val="2"/>
        <charset val="1"/>
      </rPr>
      <t xml:space="preserve">- </t>
    </r>
    <r>
      <rPr>
        <sz val="10"/>
        <color rgb="FF333333"/>
        <rFont val="DejaVu Sans"/>
        <family val="2"/>
      </rPr>
      <t xml:space="preserve">검색 아이콘</t>
    </r>
    <r>
      <rPr>
        <sz val="10"/>
        <color rgb="FF333333"/>
        <rFont val="Arial"/>
        <family val="2"/>
        <charset val="1"/>
      </rPr>
      <t xml:space="preserve">: </t>
    </r>
    <r>
      <rPr>
        <sz val="10"/>
        <color rgb="FF333333"/>
        <rFont val="DejaVu Sans"/>
        <family val="2"/>
      </rPr>
      <t xml:space="preserve">탭 시 검색 화면
</t>
    </r>
    <r>
      <rPr>
        <sz val="10"/>
        <color rgb="FF333333"/>
        <rFont val="Arial"/>
        <family val="2"/>
        <charset val="1"/>
      </rPr>
      <t xml:space="preserve">- </t>
    </r>
    <r>
      <rPr>
        <sz val="10"/>
        <color rgb="FF333333"/>
        <rFont val="DejaVu Sans"/>
        <family val="2"/>
      </rPr>
      <t xml:space="preserve">알림 아이콘</t>
    </r>
    <r>
      <rPr>
        <sz val="10"/>
        <color rgb="FF333333"/>
        <rFont val="Arial"/>
        <family val="2"/>
        <charset val="1"/>
      </rPr>
      <t xml:space="preserve">: </t>
    </r>
    <r>
      <rPr>
        <sz val="10"/>
        <color rgb="FF333333"/>
        <rFont val="DejaVu Sans"/>
        <family val="2"/>
      </rPr>
      <t xml:space="preserve">탭 시 알림 목록
</t>
    </r>
    <r>
      <rPr>
        <sz val="10"/>
        <color rgb="FF333333"/>
        <rFont val="Arial"/>
        <family val="2"/>
        <charset val="1"/>
      </rPr>
      <t xml:space="preserve">- </t>
    </r>
    <r>
      <rPr>
        <sz val="10"/>
        <color rgb="FF333333"/>
        <rFont val="DejaVu Sans"/>
        <family val="2"/>
      </rPr>
      <t xml:space="preserve">프로필</t>
    </r>
    <r>
      <rPr>
        <sz val="10"/>
        <color rgb="FF333333"/>
        <rFont val="Arial"/>
        <family val="2"/>
        <charset val="1"/>
      </rPr>
      <t xml:space="preserve">: </t>
    </r>
    <r>
      <rPr>
        <sz val="10"/>
        <color rgb="FF333333"/>
        <rFont val="DejaVu Sans"/>
        <family val="2"/>
      </rPr>
      <t xml:space="preserve">탭 시 마이페이지</t>
    </r>
  </si>
  <si>
    <r>
      <rPr>
        <sz val="10"/>
        <color rgb="FF333333"/>
        <rFont val="Arial"/>
        <family val="2"/>
        <charset val="1"/>
      </rPr>
      <t xml:space="preserve">- </t>
    </r>
    <r>
      <rPr>
        <sz val="10"/>
        <color rgb="FF333333"/>
        <rFont val="DejaVu Sans"/>
        <family val="2"/>
      </rPr>
      <t xml:space="preserve">스크롤 시 고정</t>
    </r>
    <r>
      <rPr>
        <sz val="10"/>
        <color rgb="FF333333"/>
        <rFont val="Arial"/>
        <family val="2"/>
        <charset val="1"/>
      </rPr>
      <t xml:space="preserve">(sticky)
- </t>
    </r>
    <r>
      <rPr>
        <sz val="10"/>
        <color rgb="FF333333"/>
        <rFont val="DejaVu Sans"/>
        <family val="2"/>
      </rPr>
      <t xml:space="preserve">반응형 햄버거 메뉴 </t>
    </r>
    <r>
      <rPr>
        <sz val="10"/>
        <color rgb="FF333333"/>
        <rFont val="Arial"/>
        <family val="2"/>
        <charset val="1"/>
      </rPr>
      <t xml:space="preserve">(768px </t>
    </r>
    <r>
      <rPr>
        <sz val="10"/>
        <color rgb="FF333333"/>
        <rFont val="DejaVu Sans"/>
        <family val="2"/>
      </rPr>
      <t xml:space="preserve">이하</t>
    </r>
    <r>
      <rPr>
        <sz val="10"/>
        <color rgb="FF333333"/>
        <rFont val="Arial"/>
        <family val="2"/>
        <charset val="1"/>
      </rPr>
      <t xml:space="preserve">)</t>
    </r>
  </si>
  <si>
    <r>
      <rPr>
        <sz val="10"/>
        <color rgb="FF333333"/>
        <rFont val="Arial"/>
        <family val="2"/>
        <charset val="1"/>
      </rPr>
      <t xml:space="preserve">- </t>
    </r>
    <r>
      <rPr>
        <sz val="10"/>
        <color rgb="FF333333"/>
        <rFont val="DejaVu Sans"/>
        <family val="2"/>
      </rPr>
      <t xml:space="preserve">상태바 영역 고려
</t>
    </r>
    <r>
      <rPr>
        <sz val="10"/>
        <color rgb="FF333333"/>
        <rFont val="Arial"/>
        <family val="2"/>
        <charset val="1"/>
      </rPr>
      <t xml:space="preserve">- Safe Area </t>
    </r>
    <r>
      <rPr>
        <sz val="10"/>
        <color rgb="FF333333"/>
        <rFont val="DejaVu Sans"/>
        <family val="2"/>
      </rPr>
      <t xml:space="preserve">적용</t>
    </r>
  </si>
  <si>
    <t xml:space="preserve">□ 키보드 탭 순서
□ aria-label</t>
  </si>
  <si>
    <t xml:space="preserve">완료</t>
  </si>
  <si>
    <t xml:space="preserve">UI-002</t>
  </si>
  <si>
    <t xml:space="preserve">메인 배너 슬라이드</t>
  </si>
  <si>
    <t xml:space="preserve">Slide</t>
  </si>
  <si>
    <r>
      <rPr>
        <sz val="10"/>
        <color rgb="FF333333"/>
        <rFont val="DejaVu Sans"/>
        <family val="2"/>
      </rPr>
      <t xml:space="preserve">프로모션</t>
    </r>
    <r>
      <rPr>
        <sz val="10"/>
        <color rgb="FF333333"/>
        <rFont val="DejaVu Sans"/>
        <family val="2"/>
        <charset val="1"/>
      </rPr>
      <t xml:space="preserve">/</t>
    </r>
    <r>
      <rPr>
        <sz val="10"/>
        <color rgb="FF333333"/>
        <rFont val="DejaVu Sans"/>
        <family val="2"/>
      </rPr>
      <t xml:space="preserve">이벤트 배너 슬라이드</t>
    </r>
  </si>
  <si>
    <r>
      <rPr>
        <sz val="10"/>
        <color rgb="FF333333"/>
        <rFont val="Arial"/>
        <family val="2"/>
        <charset val="1"/>
      </rPr>
      <t xml:space="preserve">- </t>
    </r>
    <r>
      <rPr>
        <sz val="10"/>
        <color rgb="FF333333"/>
        <rFont val="DejaVu Sans"/>
        <family val="2"/>
      </rPr>
      <t xml:space="preserve">자동 전환</t>
    </r>
    <r>
      <rPr>
        <sz val="10"/>
        <color rgb="FF333333"/>
        <rFont val="Arial"/>
        <family val="2"/>
        <charset val="1"/>
      </rPr>
      <t xml:space="preserve">: 3</t>
    </r>
    <r>
      <rPr>
        <sz val="10"/>
        <color rgb="FF333333"/>
        <rFont val="DejaVu Sans"/>
        <family val="2"/>
      </rPr>
      <t xml:space="preserve">초 간격
</t>
    </r>
    <r>
      <rPr>
        <sz val="10"/>
        <color rgb="FF333333"/>
        <rFont val="Arial"/>
        <family val="2"/>
        <charset val="1"/>
      </rPr>
      <t xml:space="preserve">- Web: </t>
    </r>
    <r>
      <rPr>
        <sz val="10"/>
        <color rgb="FF333333"/>
        <rFont val="DejaVu Sans"/>
        <family val="2"/>
      </rPr>
      <t xml:space="preserve">좌</t>
    </r>
    <r>
      <rPr>
        <sz val="10"/>
        <color rgb="FF333333"/>
        <rFont val="Arial"/>
        <family val="2"/>
        <charset val="1"/>
      </rPr>
      <t xml:space="preserve">/</t>
    </r>
    <r>
      <rPr>
        <sz val="10"/>
        <color rgb="FF333333"/>
        <rFont val="DejaVu Sans"/>
        <family val="2"/>
      </rPr>
      <t xml:space="preserve">우 화살표 호버 시 표시
</t>
    </r>
    <r>
      <rPr>
        <sz val="10"/>
        <color rgb="FF333333"/>
        <rFont val="Arial"/>
        <family val="2"/>
        <charset val="1"/>
      </rPr>
      <t xml:space="preserve">- App: </t>
    </r>
    <r>
      <rPr>
        <sz val="10"/>
        <color rgb="FF333333"/>
        <rFont val="DejaVu Sans"/>
        <family val="2"/>
      </rPr>
      <t xml:space="preserve">좌우 스와이프
</t>
    </r>
    <r>
      <rPr>
        <sz val="10"/>
        <color rgb="FF333333"/>
        <rFont val="Arial"/>
        <family val="2"/>
        <charset val="1"/>
      </rPr>
      <t xml:space="preserve">- </t>
    </r>
    <r>
      <rPr>
        <sz val="10"/>
        <color rgb="FF333333"/>
        <rFont val="DejaVu Sans"/>
        <family val="2"/>
      </rPr>
      <t xml:space="preserve">인디케이터</t>
    </r>
    <r>
      <rPr>
        <sz val="10"/>
        <color rgb="FF333333"/>
        <rFont val="Arial"/>
        <family val="2"/>
        <charset val="1"/>
      </rPr>
      <t xml:space="preserve">: </t>
    </r>
    <r>
      <rPr>
        <sz val="10"/>
        <color rgb="FF333333"/>
        <rFont val="DejaVu Sans"/>
        <family val="2"/>
      </rPr>
      <t xml:space="preserve">현재 위치 표시
</t>
    </r>
    <r>
      <rPr>
        <sz val="10"/>
        <color rgb="FF333333"/>
        <rFont val="Arial"/>
        <family val="2"/>
        <charset val="1"/>
      </rPr>
      <t xml:space="preserve">- </t>
    </r>
    <r>
      <rPr>
        <sz val="10"/>
        <color rgb="FF333333"/>
        <rFont val="DejaVu Sans"/>
        <family val="2"/>
      </rPr>
      <t xml:space="preserve">탭</t>
    </r>
    <r>
      <rPr>
        <sz val="10"/>
        <color rgb="FF333333"/>
        <rFont val="Arial"/>
        <family val="2"/>
        <charset val="1"/>
      </rPr>
      <t xml:space="preserve">/</t>
    </r>
    <r>
      <rPr>
        <sz val="10"/>
        <color rgb="FF333333"/>
        <rFont val="DejaVu Sans"/>
        <family val="2"/>
      </rPr>
      <t xml:space="preserve">클릭</t>
    </r>
    <r>
      <rPr>
        <sz val="10"/>
        <color rgb="FF333333"/>
        <rFont val="Arial"/>
        <family val="2"/>
        <charset val="1"/>
      </rPr>
      <t xml:space="preserve">: </t>
    </r>
    <r>
      <rPr>
        <sz val="10"/>
        <color rgb="FF333333"/>
        <rFont val="DejaVu Sans"/>
        <family val="2"/>
      </rPr>
      <t xml:space="preserve">배너 상세로 이동</t>
    </r>
  </si>
  <si>
    <r>
      <rPr>
        <sz val="10"/>
        <color rgb="FF333333"/>
        <rFont val="Arial"/>
        <family val="2"/>
        <charset val="1"/>
      </rPr>
      <t xml:space="preserve">- </t>
    </r>
    <r>
      <rPr>
        <sz val="10"/>
        <color rgb="FF333333"/>
        <rFont val="DejaVu Sans"/>
        <family val="2"/>
      </rPr>
      <t xml:space="preserve">화살표 버튼 </t>
    </r>
    <r>
      <rPr>
        <sz val="10"/>
        <color rgb="FF333333"/>
        <rFont val="Arial"/>
        <family val="2"/>
        <charset val="1"/>
      </rPr>
      <t xml:space="preserve">hover </t>
    </r>
    <r>
      <rPr>
        <sz val="10"/>
        <color rgb="FF333333"/>
        <rFont val="DejaVu Sans"/>
        <family val="2"/>
      </rPr>
      <t xml:space="preserve">표시
</t>
    </r>
    <r>
      <rPr>
        <sz val="10"/>
        <color rgb="FF333333"/>
        <rFont val="Arial"/>
        <family val="2"/>
        <charset val="1"/>
      </rPr>
      <t xml:space="preserve">- </t>
    </r>
    <r>
      <rPr>
        <sz val="10"/>
        <color rgb="FF333333"/>
        <rFont val="DejaVu Sans"/>
        <family val="2"/>
      </rPr>
      <t xml:space="preserve">키보드 좌</t>
    </r>
    <r>
      <rPr>
        <sz val="10"/>
        <color rgb="FF333333"/>
        <rFont val="Arial"/>
        <family val="2"/>
        <charset val="1"/>
      </rPr>
      <t xml:space="preserve">/</t>
    </r>
    <r>
      <rPr>
        <sz val="10"/>
        <color rgb="FF333333"/>
        <rFont val="DejaVu Sans"/>
        <family val="2"/>
      </rPr>
      <t xml:space="preserve">우 키 지원</t>
    </r>
  </si>
  <si>
    <r>
      <rPr>
        <sz val="10"/>
        <color rgb="FF333333"/>
        <rFont val="Arial"/>
        <family val="2"/>
        <charset val="1"/>
      </rPr>
      <t xml:space="preserve">- </t>
    </r>
    <r>
      <rPr>
        <sz val="10"/>
        <color rgb="FF333333"/>
        <rFont val="DejaVu Sans"/>
        <family val="2"/>
      </rPr>
      <t xml:space="preserve">스와이프 제스처
</t>
    </r>
    <r>
      <rPr>
        <sz val="10"/>
        <color rgb="FF333333"/>
        <rFont val="Arial"/>
        <family val="2"/>
        <charset val="1"/>
      </rPr>
      <t xml:space="preserve">- </t>
    </r>
    <r>
      <rPr>
        <sz val="10"/>
        <color rgb="FF333333"/>
        <rFont val="DejaVu Sans"/>
        <family val="2"/>
      </rPr>
      <t xml:space="preserve">자동 전환 중 터치 시 일시 정지</t>
    </r>
  </si>
  <si>
    <r>
      <rPr>
        <sz val="10"/>
        <color rgb="FF333333"/>
        <rFont val="Arial"/>
        <family val="2"/>
        <charset val="1"/>
      </rPr>
      <t xml:space="preserve">□ alt </t>
    </r>
    <r>
      <rPr>
        <sz val="10"/>
        <color rgb="FF333333"/>
        <rFont val="DejaVu Sans"/>
        <family val="2"/>
      </rPr>
      <t xml:space="preserve">텍스트
□ 자동 재생 중지 버튼</t>
    </r>
  </si>
  <si>
    <t xml:space="preserve">UI-003</t>
  </si>
  <si>
    <t xml:space="preserve">카테고리 메뉴</t>
  </si>
  <si>
    <t xml:space="preserve">메인 카테고리 바로가기 메뉴</t>
  </si>
  <si>
    <r>
      <rPr>
        <sz val="10"/>
        <color rgb="FF333333"/>
        <rFont val="Arial"/>
        <family val="2"/>
        <charset val="1"/>
      </rPr>
      <t xml:space="preserve">- </t>
    </r>
    <r>
      <rPr>
        <sz val="10"/>
        <color rgb="FF333333"/>
        <rFont val="DejaVu Sans"/>
        <family val="2"/>
      </rPr>
      <t xml:space="preserve">아이콘 </t>
    </r>
    <r>
      <rPr>
        <sz val="10"/>
        <color rgb="FF333333"/>
        <rFont val="Arial"/>
        <family val="2"/>
        <charset val="1"/>
      </rPr>
      <t xml:space="preserve">+ </t>
    </r>
    <r>
      <rPr>
        <sz val="10"/>
        <color rgb="FF333333"/>
        <rFont val="DejaVu Sans"/>
        <family val="2"/>
      </rPr>
      <t xml:space="preserve">텍스트 구성
</t>
    </r>
    <r>
      <rPr>
        <sz val="10"/>
        <color rgb="FF333333"/>
        <rFont val="Arial"/>
        <family val="2"/>
        <charset val="1"/>
      </rPr>
      <t xml:space="preserve">- </t>
    </r>
    <r>
      <rPr>
        <sz val="10"/>
        <color rgb="FF333333"/>
        <rFont val="DejaVu Sans"/>
        <family val="2"/>
      </rPr>
      <t xml:space="preserve">탭</t>
    </r>
    <r>
      <rPr>
        <sz val="10"/>
        <color rgb="FF333333"/>
        <rFont val="Arial"/>
        <family val="2"/>
        <charset val="1"/>
      </rPr>
      <t xml:space="preserve">/</t>
    </r>
    <r>
      <rPr>
        <sz val="10"/>
        <color rgb="FF333333"/>
        <rFont val="DejaVu Sans"/>
        <family val="2"/>
      </rPr>
      <t xml:space="preserve">클릭 시 해당 카테고리 목록으로 이동
</t>
    </r>
    <r>
      <rPr>
        <sz val="10"/>
        <color rgb="FF333333"/>
        <rFont val="Arial"/>
        <family val="2"/>
        <charset val="1"/>
      </rPr>
      <t xml:space="preserve">- Web: </t>
    </r>
    <r>
      <rPr>
        <sz val="10"/>
        <color rgb="FF333333"/>
        <rFont val="DejaVu Sans"/>
        <family val="2"/>
      </rPr>
      <t xml:space="preserve">가로 나열
</t>
    </r>
    <r>
      <rPr>
        <sz val="10"/>
        <color rgb="FF333333"/>
        <rFont val="Arial"/>
        <family val="2"/>
        <charset val="1"/>
      </rPr>
      <t xml:space="preserve">- App: 2</t>
    </r>
    <r>
      <rPr>
        <sz val="10"/>
        <color rgb="FF333333"/>
        <rFont val="DejaVu Sans"/>
        <family val="2"/>
      </rPr>
      <t xml:space="preserve">행 그리드 </t>
    </r>
    <r>
      <rPr>
        <sz val="10"/>
        <color rgb="FF333333"/>
        <rFont val="Arial"/>
        <family val="2"/>
        <charset val="1"/>
      </rPr>
      <t xml:space="preserve">or </t>
    </r>
    <r>
      <rPr>
        <sz val="10"/>
        <color rgb="FF333333"/>
        <rFont val="DejaVu Sans"/>
        <family val="2"/>
      </rPr>
      <t xml:space="preserve">가로 스크롤</t>
    </r>
  </si>
  <si>
    <r>
      <rPr>
        <sz val="10"/>
        <color rgb="FF333333"/>
        <rFont val="Arial"/>
        <family val="2"/>
        <charset val="1"/>
      </rPr>
      <t xml:space="preserve">- </t>
    </r>
    <r>
      <rPr>
        <sz val="10"/>
        <color rgb="FF333333"/>
        <rFont val="DejaVu Sans"/>
        <family val="2"/>
      </rPr>
      <t xml:space="preserve">가로 나열</t>
    </r>
    <r>
      <rPr>
        <sz val="10"/>
        <color rgb="FF333333"/>
        <rFont val="Arial"/>
        <family val="2"/>
        <charset val="1"/>
      </rPr>
      <t xml:space="preserve">, 8</t>
    </r>
    <r>
      <rPr>
        <sz val="10"/>
        <color rgb="FF333333"/>
        <rFont val="DejaVu Sans"/>
        <family val="2"/>
      </rPr>
      <t xml:space="preserve">개 이상 시 </t>
    </r>
    <r>
      <rPr>
        <sz val="10"/>
        <color rgb="FF333333"/>
        <rFont val="Arial"/>
        <family val="2"/>
        <charset val="1"/>
      </rPr>
      <t xml:space="preserve">'</t>
    </r>
    <r>
      <rPr>
        <sz val="10"/>
        <color rgb="FF333333"/>
        <rFont val="DejaVu Sans"/>
        <family val="2"/>
      </rPr>
      <t xml:space="preserve">더보기</t>
    </r>
    <r>
      <rPr>
        <sz val="10"/>
        <color rgb="FF333333"/>
        <rFont val="Arial"/>
        <family val="2"/>
        <charset val="1"/>
      </rPr>
      <t xml:space="preserve">'</t>
    </r>
  </si>
  <si>
    <r>
      <rPr>
        <sz val="10"/>
        <color rgb="FF333333"/>
        <rFont val="Arial"/>
        <family val="2"/>
        <charset val="1"/>
      </rPr>
      <t xml:space="preserve">- 2</t>
    </r>
    <r>
      <rPr>
        <sz val="10"/>
        <color rgb="FF333333"/>
        <rFont val="DejaVu Sans"/>
        <family val="2"/>
      </rPr>
      <t xml:space="preserve">행 그리드 </t>
    </r>
    <r>
      <rPr>
        <sz val="10"/>
        <color rgb="FF333333"/>
        <rFont val="Arial"/>
        <family val="2"/>
        <charset val="1"/>
      </rPr>
      <t xml:space="preserve">(4x2)
- </t>
    </r>
    <r>
      <rPr>
        <sz val="10"/>
        <color rgb="FF333333"/>
        <rFont val="DejaVu Sans"/>
        <family val="2"/>
      </rPr>
      <t xml:space="preserve">가로 스크롤 </t>
    </r>
    <r>
      <rPr>
        <sz val="10"/>
        <color rgb="FF333333"/>
        <rFont val="Arial"/>
        <family val="2"/>
        <charset val="1"/>
      </rPr>
      <t xml:space="preserve">(</t>
    </r>
    <r>
      <rPr>
        <sz val="10"/>
        <color rgb="FF333333"/>
        <rFont val="DejaVu Sans"/>
        <family val="2"/>
      </rPr>
      <t xml:space="preserve">아이콘 작을 시</t>
    </r>
    <r>
      <rPr>
        <sz val="10"/>
        <color rgb="FF333333"/>
        <rFont val="Arial"/>
        <family val="2"/>
        <charset val="1"/>
      </rPr>
      <t xml:space="preserve">)</t>
    </r>
  </si>
  <si>
    <t xml:space="preserve">□ 아이콘 레이블</t>
  </si>
  <si>
    <t xml:space="preserve">UI-004</t>
  </si>
  <si>
    <t xml:space="preserve">추천 콘텐츠 섹션</t>
  </si>
  <si>
    <t xml:space="preserve">List</t>
  </si>
  <si>
    <t xml:space="preserve">개인화 추천 콘텐츠 목록</t>
  </si>
  <si>
    <r>
      <rPr>
        <sz val="10"/>
        <color rgb="FF333333"/>
        <rFont val="Arial"/>
        <family val="2"/>
        <charset val="1"/>
      </rPr>
      <t xml:space="preserve">- </t>
    </r>
    <r>
      <rPr>
        <sz val="10"/>
        <color rgb="FF333333"/>
        <rFont val="DejaVu Sans"/>
        <family val="2"/>
      </rPr>
      <t xml:space="preserve">카드형 리스트
</t>
    </r>
    <r>
      <rPr>
        <sz val="10"/>
        <color rgb="FF333333"/>
        <rFont val="Arial"/>
        <family val="2"/>
        <charset val="1"/>
      </rPr>
      <t xml:space="preserve">- Web: </t>
    </r>
    <r>
      <rPr>
        <sz val="10"/>
        <color rgb="FF333333"/>
        <rFont val="DejaVu Sans"/>
        <family val="2"/>
      </rPr>
      <t xml:space="preserve">더보기 버튼
</t>
    </r>
    <r>
      <rPr>
        <sz val="10"/>
        <color rgb="FF333333"/>
        <rFont val="Arial"/>
        <family val="2"/>
        <charset val="1"/>
      </rPr>
      <t xml:space="preserve">- App: </t>
    </r>
    <r>
      <rPr>
        <sz val="10"/>
        <color rgb="FF333333"/>
        <rFont val="DejaVu Sans"/>
        <family val="2"/>
      </rPr>
      <t xml:space="preserve">무한 스크롤
</t>
    </r>
    <r>
      <rPr>
        <sz val="10"/>
        <color rgb="FF333333"/>
        <rFont val="Arial"/>
        <family val="2"/>
        <charset val="1"/>
      </rPr>
      <t xml:space="preserve">- </t>
    </r>
    <r>
      <rPr>
        <sz val="10"/>
        <color rgb="FF333333"/>
        <rFont val="DejaVu Sans"/>
        <family val="2"/>
      </rPr>
      <t xml:space="preserve">카드 탭 시 상세 이동</t>
    </r>
  </si>
  <si>
    <t xml:space="preserve">FN-004</t>
  </si>
  <si>
    <r>
      <rPr>
        <sz val="10"/>
        <color rgb="FF333333"/>
        <rFont val="Arial"/>
        <family val="2"/>
        <charset val="1"/>
      </rPr>
      <t xml:space="preserve">- </t>
    </r>
    <r>
      <rPr>
        <sz val="10"/>
        <color rgb="FF333333"/>
        <rFont val="DejaVu Sans"/>
        <family val="2"/>
      </rPr>
      <t xml:space="preserve">그리드 </t>
    </r>
    <r>
      <rPr>
        <sz val="10"/>
        <color rgb="FF333333"/>
        <rFont val="Arial"/>
        <family val="2"/>
        <charset val="1"/>
      </rPr>
      <t xml:space="preserve">3</t>
    </r>
    <r>
      <rPr>
        <sz val="10"/>
        <color rgb="FF333333"/>
        <rFont val="DejaVu Sans"/>
        <family val="2"/>
      </rPr>
      <t xml:space="preserve">열 </t>
    </r>
    <r>
      <rPr>
        <sz val="10"/>
        <color rgb="FF333333"/>
        <rFont val="Arial"/>
        <family val="2"/>
        <charset val="1"/>
      </rPr>
      <t xml:space="preserve">(PC) / 2</t>
    </r>
    <r>
      <rPr>
        <sz val="10"/>
        <color rgb="FF333333"/>
        <rFont val="DejaVu Sans"/>
        <family val="2"/>
      </rPr>
      <t xml:space="preserve">열 </t>
    </r>
    <r>
      <rPr>
        <sz val="10"/>
        <color rgb="FF333333"/>
        <rFont val="Arial"/>
        <family val="2"/>
        <charset val="1"/>
      </rPr>
      <t xml:space="preserve">(</t>
    </r>
    <r>
      <rPr>
        <sz val="10"/>
        <color rgb="FF333333"/>
        <rFont val="DejaVu Sans"/>
        <family val="2"/>
      </rPr>
      <t xml:space="preserve">태블릿</t>
    </r>
    <r>
      <rPr>
        <sz val="10"/>
        <color rgb="FF333333"/>
        <rFont val="Arial"/>
        <family val="2"/>
        <charset val="1"/>
      </rPr>
      <t xml:space="preserve">) / 1</t>
    </r>
    <r>
      <rPr>
        <sz val="10"/>
        <color rgb="FF333333"/>
        <rFont val="DejaVu Sans"/>
        <family val="2"/>
      </rPr>
      <t xml:space="preserve">열 </t>
    </r>
    <r>
      <rPr>
        <sz val="10"/>
        <color rgb="FF333333"/>
        <rFont val="Arial"/>
        <family val="2"/>
        <charset val="1"/>
      </rPr>
      <t xml:space="preserve">(</t>
    </r>
    <r>
      <rPr>
        <sz val="10"/>
        <color rgb="FF333333"/>
        <rFont val="DejaVu Sans"/>
        <family val="2"/>
      </rPr>
      <t xml:space="preserve">모바일</t>
    </r>
    <r>
      <rPr>
        <sz val="10"/>
        <color rgb="FF333333"/>
        <rFont val="Arial"/>
        <family val="2"/>
        <charset val="1"/>
      </rPr>
      <t xml:space="preserve">)
- </t>
    </r>
    <r>
      <rPr>
        <sz val="10"/>
        <color rgb="FF333333"/>
        <rFont val="DejaVu Sans"/>
        <family val="2"/>
      </rPr>
      <t xml:space="preserve">더보기 버튼</t>
    </r>
  </si>
  <si>
    <r>
      <rPr>
        <sz val="10"/>
        <color rgb="FF333333"/>
        <rFont val="Arial"/>
        <family val="2"/>
        <charset val="1"/>
      </rPr>
      <t xml:space="preserve">- </t>
    </r>
    <r>
      <rPr>
        <sz val="10"/>
        <color rgb="FF333333"/>
        <rFont val="DejaVu Sans"/>
        <family val="2"/>
      </rPr>
      <t xml:space="preserve">무한 스크롤
</t>
    </r>
    <r>
      <rPr>
        <sz val="10"/>
        <color rgb="FF333333"/>
        <rFont val="Arial"/>
        <family val="2"/>
        <charset val="1"/>
      </rPr>
      <t xml:space="preserve">- </t>
    </r>
    <r>
      <rPr>
        <sz val="10"/>
        <color rgb="FF333333"/>
        <rFont val="DejaVu Sans"/>
        <family val="2"/>
      </rPr>
      <t xml:space="preserve">스켈레톤 로딩
</t>
    </r>
    <r>
      <rPr>
        <sz val="10"/>
        <color rgb="FF333333"/>
        <rFont val="Arial"/>
        <family val="2"/>
        <charset val="1"/>
      </rPr>
      <t xml:space="preserve">- Pull-to-refresh</t>
    </r>
  </si>
  <si>
    <r>
      <rPr>
        <sz val="10"/>
        <color rgb="FF333333"/>
        <rFont val="DejaVu Sans"/>
        <family val="2"/>
      </rPr>
      <t xml:space="preserve">□ 카드 이미지 </t>
    </r>
    <r>
      <rPr>
        <sz val="10"/>
        <color rgb="FF333333"/>
        <rFont val="DejaVu Sans"/>
        <family val="2"/>
        <charset val="1"/>
      </rPr>
      <t xml:space="preserve">alt
□ 포커스 순서</t>
    </r>
  </si>
  <si>
    <t xml:space="preserve">설계중</t>
  </si>
  <si>
    <t xml:space="preserve">UI-005</t>
  </si>
  <si>
    <t xml:space="preserve">하단 탭바</t>
  </si>
  <si>
    <t xml:space="preserve">Tab</t>
  </si>
  <si>
    <r>
      <rPr>
        <sz val="10"/>
        <color rgb="FF333333"/>
        <rFont val="Arial"/>
        <family val="2"/>
        <charset val="1"/>
      </rPr>
      <t xml:space="preserve">App </t>
    </r>
    <r>
      <rPr>
        <sz val="10"/>
        <color rgb="FF333333"/>
        <rFont val="DejaVu Sans"/>
        <family val="2"/>
      </rPr>
      <t xml:space="preserve">전용 하단 네비게이션 탭</t>
    </r>
  </si>
  <si>
    <r>
      <rPr>
        <sz val="10"/>
        <color rgb="FF333333"/>
        <rFont val="Arial"/>
        <family val="2"/>
        <charset val="1"/>
      </rPr>
      <t xml:space="preserve">- 5</t>
    </r>
    <r>
      <rPr>
        <sz val="10"/>
        <color rgb="FF333333"/>
        <rFont val="DejaVu Sans"/>
        <family val="2"/>
      </rPr>
      <t xml:space="preserve">개 탭</t>
    </r>
    <r>
      <rPr>
        <sz val="10"/>
        <color rgb="FF333333"/>
        <rFont val="Arial"/>
        <family val="2"/>
        <charset val="1"/>
      </rPr>
      <t xml:space="preserve">: </t>
    </r>
    <r>
      <rPr>
        <sz val="10"/>
        <color rgb="FF333333"/>
        <rFont val="DejaVu Sans"/>
        <family val="2"/>
      </rPr>
      <t xml:space="preserve">홈</t>
    </r>
    <r>
      <rPr>
        <sz val="10"/>
        <color rgb="FF333333"/>
        <rFont val="Arial"/>
        <family val="2"/>
        <charset val="1"/>
      </rPr>
      <t xml:space="preserve">, </t>
    </r>
    <r>
      <rPr>
        <sz val="10"/>
        <color rgb="FF333333"/>
        <rFont val="DejaVu Sans"/>
        <family val="2"/>
      </rPr>
      <t xml:space="preserve">검색</t>
    </r>
    <r>
      <rPr>
        <sz val="10"/>
        <color rgb="FF333333"/>
        <rFont val="Arial"/>
        <family val="2"/>
        <charset val="1"/>
      </rPr>
      <t xml:space="preserve">, </t>
    </r>
    <r>
      <rPr>
        <sz val="10"/>
        <color rgb="FF333333"/>
        <rFont val="DejaVu Sans"/>
        <family val="2"/>
      </rPr>
      <t xml:space="preserve">즐겨찾기</t>
    </r>
    <r>
      <rPr>
        <sz val="10"/>
        <color rgb="FF333333"/>
        <rFont val="Arial"/>
        <family val="2"/>
        <charset val="1"/>
      </rPr>
      <t xml:space="preserve">, </t>
    </r>
    <r>
      <rPr>
        <sz val="10"/>
        <color rgb="FF333333"/>
        <rFont val="DejaVu Sans"/>
        <family val="2"/>
      </rPr>
      <t xml:space="preserve">알림</t>
    </r>
    <r>
      <rPr>
        <sz val="10"/>
        <color rgb="FF333333"/>
        <rFont val="Arial"/>
        <family val="2"/>
        <charset val="1"/>
      </rPr>
      <t xml:space="preserve">, </t>
    </r>
    <r>
      <rPr>
        <sz val="10"/>
        <color rgb="FF333333"/>
        <rFont val="DejaVu Sans"/>
        <family val="2"/>
      </rPr>
      <t xml:space="preserve">마이
</t>
    </r>
    <r>
      <rPr>
        <sz val="10"/>
        <color rgb="FF333333"/>
        <rFont val="Arial"/>
        <family val="2"/>
        <charset val="1"/>
      </rPr>
      <t xml:space="preserve">- </t>
    </r>
    <r>
      <rPr>
        <sz val="10"/>
        <color rgb="FF333333"/>
        <rFont val="DejaVu Sans"/>
        <family val="2"/>
      </rPr>
      <t xml:space="preserve">현재 탭 활성 상태 표시
</t>
    </r>
    <r>
      <rPr>
        <sz val="10"/>
        <color rgb="FF333333"/>
        <rFont val="Arial"/>
        <family val="2"/>
        <charset val="1"/>
      </rPr>
      <t xml:space="preserve">- </t>
    </r>
    <r>
      <rPr>
        <sz val="10"/>
        <color rgb="FF333333"/>
        <rFont val="DejaVu Sans"/>
        <family val="2"/>
      </rPr>
      <t xml:space="preserve">뱃지</t>
    </r>
    <r>
      <rPr>
        <sz val="10"/>
        <color rgb="FF333333"/>
        <rFont val="Arial"/>
        <family val="2"/>
        <charset val="1"/>
      </rPr>
      <t xml:space="preserve">: </t>
    </r>
    <r>
      <rPr>
        <sz val="10"/>
        <color rgb="FF333333"/>
        <rFont val="DejaVu Sans"/>
        <family val="2"/>
      </rPr>
      <t xml:space="preserve">알림 미읽음 수 표시</t>
    </r>
  </si>
  <si>
    <r>
      <rPr>
        <sz val="10"/>
        <color rgb="FF333333"/>
        <rFont val="Arial"/>
        <family val="2"/>
        <charset val="1"/>
      </rPr>
      <t xml:space="preserve">- Web</t>
    </r>
    <r>
      <rPr>
        <sz val="10"/>
        <color rgb="FF333333"/>
        <rFont val="DejaVu Sans"/>
        <family val="2"/>
      </rPr>
      <t xml:space="preserve">에서는 미노출 </t>
    </r>
    <r>
      <rPr>
        <sz val="10"/>
        <color rgb="FF333333"/>
        <rFont val="Arial"/>
        <family val="2"/>
        <charset val="1"/>
      </rPr>
      <t xml:space="preserve">(GNB</t>
    </r>
    <r>
      <rPr>
        <sz val="10"/>
        <color rgb="FF333333"/>
        <rFont val="DejaVu Sans"/>
        <family val="2"/>
      </rPr>
      <t xml:space="preserve">로 대체</t>
    </r>
    <r>
      <rPr>
        <sz val="10"/>
        <color rgb="FF333333"/>
        <rFont val="Arial"/>
        <family val="2"/>
        <charset val="1"/>
      </rPr>
      <t xml:space="preserve">)</t>
    </r>
  </si>
  <si>
    <r>
      <rPr>
        <sz val="10"/>
        <color rgb="FF333333"/>
        <rFont val="Arial"/>
        <family val="2"/>
        <charset val="1"/>
      </rPr>
      <t xml:space="preserve">- Safe Area </t>
    </r>
    <r>
      <rPr>
        <sz val="10"/>
        <color rgb="FF333333"/>
        <rFont val="DejaVu Sans"/>
        <family val="2"/>
      </rPr>
      <t xml:space="preserve">하단 여백
</t>
    </r>
    <r>
      <rPr>
        <sz val="10"/>
        <color rgb="FF333333"/>
        <rFont val="Arial"/>
        <family val="2"/>
        <charset val="1"/>
      </rPr>
      <t xml:space="preserve">- </t>
    </r>
    <r>
      <rPr>
        <sz val="10"/>
        <color rgb="FF333333"/>
        <rFont val="DejaVu Sans"/>
        <family val="2"/>
      </rPr>
      <t xml:space="preserve">탭 전환 애니메이션
</t>
    </r>
    <r>
      <rPr>
        <sz val="10"/>
        <color rgb="FF333333"/>
        <rFont val="Arial"/>
        <family val="2"/>
        <charset val="1"/>
      </rPr>
      <t xml:space="preserve">- </t>
    </r>
    <r>
      <rPr>
        <sz val="10"/>
        <color rgb="FF333333"/>
        <rFont val="DejaVu Sans"/>
        <family val="2"/>
      </rPr>
      <t xml:space="preserve">알림 뱃지 실시간 갱신</t>
    </r>
  </si>
  <si>
    <t xml:space="preserve">□ 탭 레이블
□ 뱃지 접근성</t>
  </si>
  <si>
    <t xml:space="preserve">▼ SCR-010</t>
  </si>
  <si>
    <r>
      <rPr>
        <b val="true"/>
        <sz val="10"/>
        <color rgb="FF666666"/>
        <rFont val="Arial"/>
        <family val="2"/>
        <charset val="1"/>
      </rPr>
      <t xml:space="preserve">6</t>
    </r>
    <r>
      <rPr>
        <b val="true"/>
        <sz val="10"/>
        <color rgb="FF666666"/>
        <rFont val="DejaVu Sans"/>
        <family val="2"/>
      </rPr>
      <t xml:space="preserve">개 요소</t>
    </r>
  </si>
  <si>
    <t xml:space="preserve">UI-010</t>
  </si>
  <si>
    <t xml:space="preserve">이메일 입력 필드</t>
  </si>
  <si>
    <t xml:space="preserve">Input</t>
  </si>
  <si>
    <t xml:space="preserve">회원가입용 이메일 주소 입력</t>
  </si>
  <si>
    <r>
      <rPr>
        <sz val="10"/>
        <color rgb="FF333333"/>
        <rFont val="Arial"/>
        <family val="2"/>
        <charset val="1"/>
      </rPr>
      <t xml:space="preserve">- placeholder: 'example@email.com'
- </t>
    </r>
    <r>
      <rPr>
        <sz val="10"/>
        <color rgb="FF333333"/>
        <rFont val="DejaVu Sans"/>
        <family val="2"/>
      </rPr>
      <t xml:space="preserve">포커스 시 라벨 상단 이동
</t>
    </r>
    <r>
      <rPr>
        <sz val="10"/>
        <color rgb="FF333333"/>
        <rFont val="Arial"/>
        <family val="2"/>
        <charset val="1"/>
      </rPr>
      <t xml:space="preserve">- </t>
    </r>
    <r>
      <rPr>
        <sz val="10"/>
        <color rgb="FF333333"/>
        <rFont val="DejaVu Sans"/>
        <family val="2"/>
      </rPr>
      <t xml:space="preserve">입력 중 실시간 형식 검증
</t>
    </r>
    <r>
      <rPr>
        <sz val="10"/>
        <color rgb="FF333333"/>
        <rFont val="Arial"/>
        <family val="2"/>
        <charset val="1"/>
      </rPr>
      <t xml:space="preserve">- </t>
    </r>
    <r>
      <rPr>
        <sz val="10"/>
        <color rgb="FF333333"/>
        <rFont val="DejaVu Sans"/>
        <family val="2"/>
      </rPr>
      <t xml:space="preserve">유효</t>
    </r>
    <r>
      <rPr>
        <sz val="10"/>
        <color rgb="FF333333"/>
        <rFont val="Arial"/>
        <family val="2"/>
        <charset val="1"/>
      </rPr>
      <t xml:space="preserve">: </t>
    </r>
    <r>
      <rPr>
        <sz val="10"/>
        <color rgb="FF333333"/>
        <rFont val="DejaVu Sans"/>
        <family val="2"/>
      </rPr>
      <t xml:space="preserve">초록 체크</t>
    </r>
    <r>
      <rPr>
        <sz val="10"/>
        <color rgb="FF333333"/>
        <rFont val="Arial"/>
        <family val="2"/>
        <charset val="1"/>
      </rPr>
      <t xml:space="preserve">, </t>
    </r>
    <r>
      <rPr>
        <sz val="10"/>
        <color rgb="FF333333"/>
        <rFont val="DejaVu Sans"/>
        <family val="2"/>
      </rPr>
      <t xml:space="preserve">무효</t>
    </r>
    <r>
      <rPr>
        <sz val="10"/>
        <color rgb="FF333333"/>
        <rFont val="Arial"/>
        <family val="2"/>
        <charset val="1"/>
      </rPr>
      <t xml:space="preserve">: </t>
    </r>
    <r>
      <rPr>
        <sz val="10"/>
        <color rgb="FF333333"/>
        <rFont val="DejaVu Sans"/>
        <family val="2"/>
      </rPr>
      <t xml:space="preserve">빨간 경고</t>
    </r>
  </si>
  <si>
    <t xml:space="preserve">FN-001</t>
  </si>
  <si>
    <t xml:space="preserve">API-001</t>
  </si>
  <si>
    <r>
      <rPr>
        <sz val="10"/>
        <color rgb="FF333333"/>
        <rFont val="Arial"/>
        <family val="2"/>
        <charset val="1"/>
      </rPr>
      <t xml:space="preserve">- autofocus (</t>
    </r>
    <r>
      <rPr>
        <sz val="10"/>
        <color rgb="FF333333"/>
        <rFont val="DejaVu Sans"/>
        <family val="2"/>
      </rPr>
      <t xml:space="preserve">첫 필드</t>
    </r>
    <r>
      <rPr>
        <sz val="10"/>
        <color rgb="FF333333"/>
        <rFont val="Arial"/>
        <family val="2"/>
        <charset val="1"/>
      </rPr>
      <t xml:space="preserve">)
- </t>
    </r>
    <r>
      <rPr>
        <sz val="10"/>
        <color rgb="FF333333"/>
        <rFont val="DejaVu Sans"/>
        <family val="2"/>
      </rPr>
      <t xml:space="preserve">엔터 시 다음 필드로</t>
    </r>
  </si>
  <si>
    <r>
      <rPr>
        <sz val="10"/>
        <color rgb="FF333333"/>
        <rFont val="Arial"/>
        <family val="2"/>
        <charset val="1"/>
      </rPr>
      <t xml:space="preserve">- </t>
    </r>
    <r>
      <rPr>
        <sz val="10"/>
        <color rgb="FF333333"/>
        <rFont val="DejaVu Sans"/>
        <family val="2"/>
      </rPr>
      <t xml:space="preserve">키보드 타입</t>
    </r>
    <r>
      <rPr>
        <sz val="10"/>
        <color rgb="FF333333"/>
        <rFont val="Arial"/>
        <family val="2"/>
        <charset val="1"/>
      </rPr>
      <t xml:space="preserve">: email
- </t>
    </r>
    <r>
      <rPr>
        <sz val="10"/>
        <color rgb="FF333333"/>
        <rFont val="DejaVu Sans"/>
        <family val="2"/>
      </rPr>
      <t xml:space="preserve">붙여넣기 지원</t>
    </r>
  </si>
  <si>
    <r>
      <rPr>
        <sz val="10"/>
        <color rgb="FF333333"/>
        <rFont val="Arial"/>
        <family val="2"/>
        <charset val="1"/>
      </rPr>
      <t xml:space="preserve">- RFC 5322 </t>
    </r>
    <r>
      <rPr>
        <sz val="10"/>
        <color rgb="FF333333"/>
        <rFont val="DejaVu Sans"/>
        <family val="2"/>
      </rPr>
      <t xml:space="preserve">이메일 형식
</t>
    </r>
    <r>
      <rPr>
        <sz val="10"/>
        <color rgb="FF333333"/>
        <rFont val="Arial"/>
        <family val="2"/>
        <charset val="1"/>
      </rPr>
      <t xml:space="preserve">- </t>
    </r>
    <r>
      <rPr>
        <sz val="10"/>
        <color rgb="FF333333"/>
        <rFont val="DejaVu Sans"/>
        <family val="2"/>
      </rPr>
      <t xml:space="preserve">최대 </t>
    </r>
    <r>
      <rPr>
        <sz val="10"/>
        <color rgb="FF333333"/>
        <rFont val="Arial"/>
        <family val="2"/>
        <charset val="1"/>
      </rPr>
      <t xml:space="preserve">255</t>
    </r>
    <r>
      <rPr>
        <sz val="10"/>
        <color rgb="FF333333"/>
        <rFont val="DejaVu Sans"/>
        <family val="2"/>
      </rPr>
      <t xml:space="preserve">자</t>
    </r>
  </si>
  <si>
    <r>
      <rPr>
        <sz val="10"/>
        <color rgb="FF333333"/>
        <rFont val="Arial"/>
        <family val="2"/>
        <charset val="1"/>
      </rPr>
      <t xml:space="preserve">- '</t>
    </r>
    <r>
      <rPr>
        <sz val="10"/>
        <color rgb="FF333333"/>
        <rFont val="DejaVu Sans"/>
        <family val="2"/>
      </rPr>
      <t xml:space="preserve">이메일 형식이 올바르지 않습니다</t>
    </r>
    <r>
      <rPr>
        <sz val="10"/>
        <color rgb="FF333333"/>
        <rFont val="Arial"/>
        <family val="2"/>
        <charset val="1"/>
      </rPr>
      <t xml:space="preserve">'
- '</t>
    </r>
    <r>
      <rPr>
        <sz val="10"/>
        <color rgb="FF333333"/>
        <rFont val="DejaVu Sans"/>
        <family val="2"/>
      </rPr>
      <t xml:space="preserve">이미 가입된 이메일입니다</t>
    </r>
    <r>
      <rPr>
        <sz val="10"/>
        <color rgb="FF333333"/>
        <rFont val="Arial"/>
        <family val="2"/>
        <charset val="1"/>
      </rPr>
      <t xml:space="preserve">'</t>
    </r>
  </si>
  <si>
    <r>
      <rPr>
        <sz val="10"/>
        <color rgb="FF333333"/>
        <rFont val="Arial"/>
        <family val="2"/>
        <charset val="1"/>
      </rPr>
      <t xml:space="preserve">□ label </t>
    </r>
    <r>
      <rPr>
        <sz val="10"/>
        <color rgb="FF333333"/>
        <rFont val="DejaVu Sans"/>
        <family val="2"/>
      </rPr>
      <t xml:space="preserve">연결
□ 에러 메시지 </t>
    </r>
    <r>
      <rPr>
        <sz val="10"/>
        <color rgb="FF333333"/>
        <rFont val="Arial"/>
        <family val="2"/>
        <charset val="1"/>
      </rPr>
      <t xml:space="preserve">aria-live</t>
    </r>
  </si>
  <si>
    <t xml:space="preserve">UI-011</t>
  </si>
  <si>
    <t xml:space="preserve">비밀번호 입력 필드</t>
  </si>
  <si>
    <r>
      <rPr>
        <sz val="10"/>
        <color rgb="FF333333"/>
        <rFont val="DejaVu Sans"/>
        <family val="2"/>
      </rPr>
      <t xml:space="preserve">비밀번호 입력 </t>
    </r>
    <r>
      <rPr>
        <sz val="10"/>
        <color rgb="FF333333"/>
        <rFont val="DejaVu Sans"/>
        <family val="2"/>
        <charset val="1"/>
      </rPr>
      <t xml:space="preserve">+ </t>
    </r>
    <r>
      <rPr>
        <sz val="10"/>
        <color rgb="FF333333"/>
        <rFont val="DejaVu Sans"/>
        <family val="2"/>
      </rPr>
      <t xml:space="preserve">강도 표시</t>
    </r>
  </si>
  <si>
    <r>
      <rPr>
        <sz val="10"/>
        <color rgb="FF333333"/>
        <rFont val="Arial"/>
        <family val="2"/>
        <charset val="1"/>
      </rPr>
      <t xml:space="preserve">- </t>
    </r>
    <r>
      <rPr>
        <sz val="10"/>
        <color rgb="FF333333"/>
        <rFont val="DejaVu Sans"/>
        <family val="2"/>
      </rPr>
      <t xml:space="preserve">비밀번호 마스킹 </t>
    </r>
    <r>
      <rPr>
        <sz val="10"/>
        <color rgb="FF333333"/>
        <rFont val="Arial"/>
        <family val="2"/>
        <charset val="1"/>
      </rPr>
      <t xml:space="preserve">(●)
- </t>
    </r>
    <r>
      <rPr>
        <sz val="10"/>
        <color rgb="FF333333"/>
        <rFont val="DejaVu Sans"/>
        <family val="2"/>
      </rPr>
      <t xml:space="preserve">눈 아이콘</t>
    </r>
    <r>
      <rPr>
        <sz val="10"/>
        <color rgb="FF333333"/>
        <rFont val="Arial"/>
        <family val="2"/>
        <charset val="1"/>
      </rPr>
      <t xml:space="preserve">: </t>
    </r>
    <r>
      <rPr>
        <sz val="10"/>
        <color rgb="FF333333"/>
        <rFont val="DejaVu Sans"/>
        <family val="2"/>
      </rPr>
      <t xml:space="preserve">토글로 표시</t>
    </r>
    <r>
      <rPr>
        <sz val="10"/>
        <color rgb="FF333333"/>
        <rFont val="Arial"/>
        <family val="2"/>
        <charset val="1"/>
      </rPr>
      <t xml:space="preserve">/</t>
    </r>
    <r>
      <rPr>
        <sz val="10"/>
        <color rgb="FF333333"/>
        <rFont val="DejaVu Sans"/>
        <family val="2"/>
      </rPr>
      <t xml:space="preserve">숨김
</t>
    </r>
    <r>
      <rPr>
        <sz val="10"/>
        <color rgb="FF333333"/>
        <rFont val="Arial"/>
        <family val="2"/>
        <charset val="1"/>
      </rPr>
      <t xml:space="preserve">- </t>
    </r>
    <r>
      <rPr>
        <sz val="10"/>
        <color rgb="FF333333"/>
        <rFont val="DejaVu Sans"/>
        <family val="2"/>
      </rPr>
      <t xml:space="preserve">하단에 비밀번호 강도 바 표시
</t>
    </r>
    <r>
      <rPr>
        <sz val="10"/>
        <color rgb="FF333333"/>
        <rFont val="Arial"/>
        <family val="2"/>
        <charset val="1"/>
      </rPr>
      <t xml:space="preserve">- </t>
    </r>
    <r>
      <rPr>
        <sz val="10"/>
        <color rgb="FF333333"/>
        <rFont val="DejaVu Sans"/>
        <family val="2"/>
      </rPr>
      <t xml:space="preserve">강도</t>
    </r>
    <r>
      <rPr>
        <sz val="10"/>
        <color rgb="FF333333"/>
        <rFont val="Arial"/>
        <family val="2"/>
        <charset val="1"/>
      </rPr>
      <t xml:space="preserve">: </t>
    </r>
    <r>
      <rPr>
        <sz val="10"/>
        <color rgb="FF333333"/>
        <rFont val="DejaVu Sans"/>
        <family val="2"/>
      </rPr>
      <t xml:space="preserve">약함</t>
    </r>
    <r>
      <rPr>
        <sz val="10"/>
        <color rgb="FF333333"/>
        <rFont val="Arial"/>
        <family val="2"/>
        <charset val="1"/>
      </rPr>
      <t xml:space="preserve">(</t>
    </r>
    <r>
      <rPr>
        <sz val="10"/>
        <color rgb="FF333333"/>
        <rFont val="DejaVu Sans"/>
        <family val="2"/>
      </rPr>
      <t xml:space="preserve">빨강</t>
    </r>
    <r>
      <rPr>
        <sz val="10"/>
        <color rgb="FF333333"/>
        <rFont val="Arial"/>
        <family val="2"/>
        <charset val="1"/>
      </rPr>
      <t xml:space="preserve">)/</t>
    </r>
    <r>
      <rPr>
        <sz val="10"/>
        <color rgb="FF333333"/>
        <rFont val="DejaVu Sans"/>
        <family val="2"/>
      </rPr>
      <t xml:space="preserve">보통</t>
    </r>
    <r>
      <rPr>
        <sz val="10"/>
        <color rgb="FF333333"/>
        <rFont val="Arial"/>
        <family val="2"/>
        <charset val="1"/>
      </rPr>
      <t xml:space="preserve">(</t>
    </r>
    <r>
      <rPr>
        <sz val="10"/>
        <color rgb="FF333333"/>
        <rFont val="DejaVu Sans"/>
        <family val="2"/>
      </rPr>
      <t xml:space="preserve">주황</t>
    </r>
    <r>
      <rPr>
        <sz val="10"/>
        <color rgb="FF333333"/>
        <rFont val="Arial"/>
        <family val="2"/>
        <charset val="1"/>
      </rPr>
      <t xml:space="preserve">)/</t>
    </r>
    <r>
      <rPr>
        <sz val="10"/>
        <color rgb="FF333333"/>
        <rFont val="DejaVu Sans"/>
        <family val="2"/>
      </rPr>
      <t xml:space="preserve">강함</t>
    </r>
    <r>
      <rPr>
        <sz val="10"/>
        <color rgb="FF333333"/>
        <rFont val="Arial"/>
        <family val="2"/>
        <charset val="1"/>
      </rPr>
      <t xml:space="preserve">(</t>
    </r>
    <r>
      <rPr>
        <sz val="10"/>
        <color rgb="FF333333"/>
        <rFont val="DejaVu Sans"/>
        <family val="2"/>
      </rPr>
      <t xml:space="preserve">초록</t>
    </r>
    <r>
      <rPr>
        <sz val="10"/>
        <color rgb="FF333333"/>
        <rFont val="Arial"/>
        <family val="2"/>
        <charset val="1"/>
      </rPr>
      <t xml:space="preserve">)</t>
    </r>
  </si>
  <si>
    <r>
      <rPr>
        <sz val="10"/>
        <color rgb="FF333333"/>
        <rFont val="Arial"/>
        <family val="2"/>
        <charset val="1"/>
      </rPr>
      <t xml:space="preserve">- </t>
    </r>
    <r>
      <rPr>
        <sz val="10"/>
        <color rgb="FF333333"/>
        <rFont val="DejaVu Sans"/>
        <family val="2"/>
      </rPr>
      <t xml:space="preserve">엔터 시 다음 필드로</t>
    </r>
  </si>
  <si>
    <r>
      <rPr>
        <sz val="10"/>
        <color rgb="FF333333"/>
        <rFont val="Arial"/>
        <family val="2"/>
        <charset val="1"/>
      </rPr>
      <t xml:space="preserve">- </t>
    </r>
    <r>
      <rPr>
        <sz val="10"/>
        <color rgb="FF333333"/>
        <rFont val="DejaVu Sans"/>
        <family val="2"/>
      </rPr>
      <t xml:space="preserve">키보드 타입</t>
    </r>
    <r>
      <rPr>
        <sz val="10"/>
        <color rgb="FF333333"/>
        <rFont val="Arial"/>
        <family val="2"/>
        <charset val="1"/>
      </rPr>
      <t xml:space="preserve">: password
- </t>
    </r>
    <r>
      <rPr>
        <sz val="10"/>
        <color rgb="FF333333"/>
        <rFont val="DejaVu Sans"/>
        <family val="2"/>
      </rPr>
      <t xml:space="preserve">생체 인증 자동 완성 안내</t>
    </r>
  </si>
  <si>
    <r>
      <rPr>
        <sz val="10"/>
        <color rgb="FF333333"/>
        <rFont val="Arial"/>
        <family val="2"/>
        <charset val="1"/>
      </rPr>
      <t xml:space="preserve">- 8</t>
    </r>
    <r>
      <rPr>
        <sz val="10"/>
        <color rgb="FF333333"/>
        <rFont val="DejaVu Sans"/>
        <family val="2"/>
      </rPr>
      <t xml:space="preserve">자 이상
</t>
    </r>
    <r>
      <rPr>
        <sz val="10"/>
        <color rgb="FF333333"/>
        <rFont val="Arial"/>
        <family val="2"/>
        <charset val="1"/>
      </rPr>
      <t xml:space="preserve">- </t>
    </r>
    <r>
      <rPr>
        <sz val="10"/>
        <color rgb="FF333333"/>
        <rFont val="DejaVu Sans"/>
        <family val="2"/>
      </rPr>
      <t xml:space="preserve">영문 </t>
    </r>
    <r>
      <rPr>
        <sz val="10"/>
        <color rgb="FF333333"/>
        <rFont val="Arial"/>
        <family val="2"/>
        <charset val="1"/>
      </rPr>
      <t xml:space="preserve">+ </t>
    </r>
    <r>
      <rPr>
        <sz val="10"/>
        <color rgb="FF333333"/>
        <rFont val="DejaVu Sans"/>
        <family val="2"/>
      </rPr>
      <t xml:space="preserve">숫자 </t>
    </r>
    <r>
      <rPr>
        <sz val="10"/>
        <color rgb="FF333333"/>
        <rFont val="Arial"/>
        <family val="2"/>
        <charset val="1"/>
      </rPr>
      <t xml:space="preserve">+ </t>
    </r>
    <r>
      <rPr>
        <sz val="10"/>
        <color rgb="FF333333"/>
        <rFont val="DejaVu Sans"/>
        <family val="2"/>
      </rPr>
      <t xml:space="preserve">특수문자 포함</t>
    </r>
  </si>
  <si>
    <r>
      <rPr>
        <sz val="10"/>
        <color rgb="FF333333"/>
        <rFont val="Arial"/>
        <family val="2"/>
        <charset val="1"/>
      </rPr>
      <t xml:space="preserve">- '</t>
    </r>
    <r>
      <rPr>
        <sz val="10"/>
        <color rgb="FF333333"/>
        <rFont val="DejaVu Sans"/>
        <family val="2"/>
      </rPr>
      <t xml:space="preserve">비밀번호는 </t>
    </r>
    <r>
      <rPr>
        <sz val="10"/>
        <color rgb="FF333333"/>
        <rFont val="Arial"/>
        <family val="2"/>
        <charset val="1"/>
      </rPr>
      <t xml:space="preserve">8</t>
    </r>
    <r>
      <rPr>
        <sz val="10"/>
        <color rgb="FF333333"/>
        <rFont val="DejaVu Sans"/>
        <family val="2"/>
      </rPr>
      <t xml:space="preserve">자 이상이어야 합니다</t>
    </r>
    <r>
      <rPr>
        <sz val="10"/>
        <color rgb="FF333333"/>
        <rFont val="Arial"/>
        <family val="2"/>
        <charset val="1"/>
      </rPr>
      <t xml:space="preserve">'
- '</t>
    </r>
    <r>
      <rPr>
        <sz val="10"/>
        <color rgb="FF333333"/>
        <rFont val="DejaVu Sans"/>
        <family val="2"/>
      </rPr>
      <t xml:space="preserve">영문</t>
    </r>
    <r>
      <rPr>
        <sz val="10"/>
        <color rgb="FF333333"/>
        <rFont val="Arial"/>
        <family val="2"/>
        <charset val="1"/>
      </rPr>
      <t xml:space="preserve">, </t>
    </r>
    <r>
      <rPr>
        <sz val="10"/>
        <color rgb="FF333333"/>
        <rFont val="DejaVu Sans"/>
        <family val="2"/>
      </rPr>
      <t xml:space="preserve">숫자</t>
    </r>
    <r>
      <rPr>
        <sz val="10"/>
        <color rgb="FF333333"/>
        <rFont val="Arial"/>
        <family val="2"/>
        <charset val="1"/>
      </rPr>
      <t xml:space="preserve">, </t>
    </r>
    <r>
      <rPr>
        <sz val="10"/>
        <color rgb="FF333333"/>
        <rFont val="DejaVu Sans"/>
        <family val="2"/>
      </rPr>
      <t xml:space="preserve">특수문자를 포함해주세요</t>
    </r>
    <r>
      <rPr>
        <sz val="10"/>
        <color rgb="FF333333"/>
        <rFont val="Arial"/>
        <family val="2"/>
        <charset val="1"/>
      </rPr>
      <t xml:space="preserve">'</t>
    </r>
  </si>
  <si>
    <t xml:space="preserve">□ 비밀번호 표시 토글 레이블</t>
  </si>
  <si>
    <t xml:space="preserve">UI-012</t>
  </si>
  <si>
    <t xml:space="preserve">비밀번호 확인 필드</t>
  </si>
  <si>
    <t xml:space="preserve">비밀번호 재입력 확인</t>
  </si>
  <si>
    <r>
      <rPr>
        <sz val="10"/>
        <color rgb="FF333333"/>
        <rFont val="Arial"/>
        <family val="2"/>
        <charset val="1"/>
      </rPr>
      <t xml:space="preserve">- </t>
    </r>
    <r>
      <rPr>
        <sz val="10"/>
        <color rgb="FF333333"/>
        <rFont val="DejaVu Sans"/>
        <family val="2"/>
      </rPr>
      <t xml:space="preserve">비밀번호와 실시간 일치 확인
</t>
    </r>
    <r>
      <rPr>
        <sz val="10"/>
        <color rgb="FF333333"/>
        <rFont val="Arial"/>
        <family val="2"/>
        <charset val="1"/>
      </rPr>
      <t xml:space="preserve">- </t>
    </r>
    <r>
      <rPr>
        <sz val="10"/>
        <color rgb="FF333333"/>
        <rFont val="DejaVu Sans"/>
        <family val="2"/>
      </rPr>
      <t xml:space="preserve">일치</t>
    </r>
    <r>
      <rPr>
        <sz val="10"/>
        <color rgb="FF333333"/>
        <rFont val="Arial"/>
        <family val="2"/>
        <charset val="1"/>
      </rPr>
      <t xml:space="preserve">: </t>
    </r>
    <r>
      <rPr>
        <sz val="10"/>
        <color rgb="FF333333"/>
        <rFont val="DejaVu Sans"/>
        <family val="2"/>
      </rPr>
      <t xml:space="preserve">초록 체크
</t>
    </r>
    <r>
      <rPr>
        <sz val="10"/>
        <color rgb="FF333333"/>
        <rFont val="Arial"/>
        <family val="2"/>
        <charset val="1"/>
      </rPr>
      <t xml:space="preserve">- </t>
    </r>
    <r>
      <rPr>
        <sz val="10"/>
        <color rgb="FF333333"/>
        <rFont val="DejaVu Sans"/>
        <family val="2"/>
      </rPr>
      <t xml:space="preserve">불일치</t>
    </r>
    <r>
      <rPr>
        <sz val="10"/>
        <color rgb="FF333333"/>
        <rFont val="Arial"/>
        <family val="2"/>
        <charset val="1"/>
      </rPr>
      <t xml:space="preserve">: </t>
    </r>
    <r>
      <rPr>
        <sz val="10"/>
        <color rgb="FF333333"/>
        <rFont val="DejaVu Sans"/>
        <family val="2"/>
      </rPr>
      <t xml:space="preserve">빨간 </t>
    </r>
    <r>
      <rPr>
        <sz val="10"/>
        <color rgb="FF333333"/>
        <rFont val="Arial"/>
        <family val="2"/>
        <charset val="1"/>
      </rPr>
      <t xml:space="preserve">X + </t>
    </r>
    <r>
      <rPr>
        <sz val="10"/>
        <color rgb="FF333333"/>
        <rFont val="DejaVu Sans"/>
        <family val="2"/>
      </rPr>
      <t xml:space="preserve">에러 메시지</t>
    </r>
  </si>
  <si>
    <r>
      <rPr>
        <sz val="10"/>
        <color rgb="FF333333"/>
        <rFont val="Arial"/>
        <family val="2"/>
        <charset val="1"/>
      </rPr>
      <t xml:space="preserve">- </t>
    </r>
    <r>
      <rPr>
        <sz val="10"/>
        <color rgb="FF333333"/>
        <rFont val="DejaVu Sans"/>
        <family val="2"/>
      </rPr>
      <t xml:space="preserve">비밀번호 필드와 동일 값</t>
    </r>
  </si>
  <si>
    <r>
      <rPr>
        <sz val="10"/>
        <color rgb="FF333333"/>
        <rFont val="Arial"/>
        <family val="2"/>
        <charset val="1"/>
      </rPr>
      <t xml:space="preserve">- '</t>
    </r>
    <r>
      <rPr>
        <sz val="10"/>
        <color rgb="FF333333"/>
        <rFont val="DejaVu Sans"/>
        <family val="2"/>
      </rPr>
      <t xml:space="preserve">비밀번호가 일치하지 않습니다</t>
    </r>
    <r>
      <rPr>
        <sz val="10"/>
        <color rgb="FF333333"/>
        <rFont val="Arial"/>
        <family val="2"/>
        <charset val="1"/>
      </rPr>
      <t xml:space="preserve">'</t>
    </r>
  </si>
  <si>
    <r>
      <rPr>
        <sz val="10"/>
        <color rgb="FF333333"/>
        <rFont val="DejaVu Sans"/>
        <family val="2"/>
      </rPr>
      <t xml:space="preserve">□ 일치</t>
    </r>
    <r>
      <rPr>
        <sz val="10"/>
        <color rgb="FF333333"/>
        <rFont val="DejaVu Sans"/>
        <family val="2"/>
        <charset val="1"/>
      </rPr>
      <t xml:space="preserve">/</t>
    </r>
    <r>
      <rPr>
        <sz val="10"/>
        <color rgb="FF333333"/>
        <rFont val="DejaVu Sans"/>
        <family val="2"/>
      </rPr>
      <t xml:space="preserve">불일치 상태 알림</t>
    </r>
  </si>
  <si>
    <t xml:space="preserve">UI-013</t>
  </si>
  <si>
    <t xml:space="preserve">약관 동의 체크박스</t>
  </si>
  <si>
    <t xml:space="preserve">Checkbox</t>
  </si>
  <si>
    <r>
      <rPr>
        <sz val="10"/>
        <color rgb="FF333333"/>
        <rFont val="DejaVu Sans"/>
        <family val="2"/>
      </rPr>
      <t xml:space="preserve">이용약관</t>
    </r>
    <r>
      <rPr>
        <sz val="10"/>
        <color rgb="FF333333"/>
        <rFont val="DejaVu Sans"/>
        <family val="2"/>
        <charset val="1"/>
      </rPr>
      <t xml:space="preserve">/</t>
    </r>
    <r>
      <rPr>
        <sz val="10"/>
        <color rgb="FF333333"/>
        <rFont val="DejaVu Sans"/>
        <family val="2"/>
      </rPr>
      <t xml:space="preserve">개인정보 동의</t>
    </r>
  </si>
  <si>
    <r>
      <rPr>
        <sz val="10"/>
        <color rgb="FF333333"/>
        <rFont val="Arial"/>
        <family val="2"/>
        <charset val="1"/>
      </rPr>
      <t xml:space="preserve">- </t>
    </r>
    <r>
      <rPr>
        <sz val="10"/>
        <color rgb="FF333333"/>
        <rFont val="DejaVu Sans"/>
        <family val="2"/>
      </rPr>
      <t xml:space="preserve">전체 동의 체크박스 </t>
    </r>
    <r>
      <rPr>
        <sz val="10"/>
        <color rgb="FF333333"/>
        <rFont val="Arial"/>
        <family val="2"/>
        <charset val="1"/>
      </rPr>
      <t xml:space="preserve">(</t>
    </r>
    <r>
      <rPr>
        <sz val="10"/>
        <color rgb="FF333333"/>
        <rFont val="DejaVu Sans"/>
        <family val="2"/>
      </rPr>
      <t xml:space="preserve">최상단</t>
    </r>
    <r>
      <rPr>
        <sz val="10"/>
        <color rgb="FF333333"/>
        <rFont val="Arial"/>
        <family val="2"/>
        <charset val="1"/>
      </rPr>
      <t xml:space="preserve">)
- </t>
    </r>
    <r>
      <rPr>
        <sz val="10"/>
        <color rgb="FF333333"/>
        <rFont val="DejaVu Sans"/>
        <family val="2"/>
      </rPr>
      <t xml:space="preserve">개별 동의</t>
    </r>
    <r>
      <rPr>
        <sz val="10"/>
        <color rgb="FF333333"/>
        <rFont val="Arial"/>
        <family val="2"/>
        <charset val="1"/>
      </rPr>
      <t xml:space="preserve">: </t>
    </r>
    <r>
      <rPr>
        <sz val="10"/>
        <color rgb="FF333333"/>
        <rFont val="DejaVu Sans"/>
        <family val="2"/>
      </rPr>
      <t xml:space="preserve">이용약관</t>
    </r>
    <r>
      <rPr>
        <sz val="10"/>
        <color rgb="FF333333"/>
        <rFont val="Arial"/>
        <family val="2"/>
        <charset val="1"/>
      </rPr>
      <t xml:space="preserve">(</t>
    </r>
    <r>
      <rPr>
        <sz val="10"/>
        <color rgb="FF333333"/>
        <rFont val="DejaVu Sans"/>
        <family val="2"/>
      </rPr>
      <t xml:space="preserve">필수</t>
    </r>
    <r>
      <rPr>
        <sz val="10"/>
        <color rgb="FF333333"/>
        <rFont val="Arial"/>
        <family val="2"/>
        <charset val="1"/>
      </rPr>
      <t xml:space="preserve">), </t>
    </r>
    <r>
      <rPr>
        <sz val="10"/>
        <color rgb="FF333333"/>
        <rFont val="DejaVu Sans"/>
        <family val="2"/>
      </rPr>
      <t xml:space="preserve">개인정보</t>
    </r>
    <r>
      <rPr>
        <sz val="10"/>
        <color rgb="FF333333"/>
        <rFont val="Arial"/>
        <family val="2"/>
        <charset val="1"/>
      </rPr>
      <t xml:space="preserve">(</t>
    </r>
    <r>
      <rPr>
        <sz val="10"/>
        <color rgb="FF333333"/>
        <rFont val="DejaVu Sans"/>
        <family val="2"/>
      </rPr>
      <t xml:space="preserve">필수</t>
    </r>
    <r>
      <rPr>
        <sz val="10"/>
        <color rgb="FF333333"/>
        <rFont val="Arial"/>
        <family val="2"/>
        <charset val="1"/>
      </rPr>
      <t xml:space="preserve">), </t>
    </r>
    <r>
      <rPr>
        <sz val="10"/>
        <color rgb="FF333333"/>
        <rFont val="DejaVu Sans"/>
        <family val="2"/>
      </rPr>
      <t xml:space="preserve">마케팅</t>
    </r>
    <r>
      <rPr>
        <sz val="10"/>
        <color rgb="FF333333"/>
        <rFont val="Arial"/>
        <family val="2"/>
        <charset val="1"/>
      </rPr>
      <t xml:space="preserve">(</t>
    </r>
    <r>
      <rPr>
        <sz val="10"/>
        <color rgb="FF333333"/>
        <rFont val="DejaVu Sans"/>
        <family val="2"/>
      </rPr>
      <t xml:space="preserve">선택</t>
    </r>
    <r>
      <rPr>
        <sz val="10"/>
        <color rgb="FF333333"/>
        <rFont val="Arial"/>
        <family val="2"/>
        <charset val="1"/>
      </rPr>
      <t xml:space="preserve">)
- </t>
    </r>
    <r>
      <rPr>
        <sz val="10"/>
        <color rgb="FF333333"/>
        <rFont val="DejaVu Sans"/>
        <family val="2"/>
      </rPr>
      <t xml:space="preserve">전체 동의 시 개별 모두 체크
</t>
    </r>
    <r>
      <rPr>
        <sz val="10"/>
        <color rgb="FF333333"/>
        <rFont val="Arial"/>
        <family val="2"/>
        <charset val="1"/>
      </rPr>
      <t xml:space="preserve">- '</t>
    </r>
    <r>
      <rPr>
        <sz val="10"/>
        <color rgb="FF333333"/>
        <rFont val="DejaVu Sans"/>
        <family val="2"/>
      </rPr>
      <t xml:space="preserve">보기</t>
    </r>
    <r>
      <rPr>
        <sz val="10"/>
        <color rgb="FF333333"/>
        <rFont val="Arial"/>
        <family val="2"/>
        <charset val="1"/>
      </rPr>
      <t xml:space="preserve">' </t>
    </r>
    <r>
      <rPr>
        <sz val="10"/>
        <color rgb="FF333333"/>
        <rFont val="DejaVu Sans"/>
        <family val="2"/>
      </rPr>
      <t xml:space="preserve">링크</t>
    </r>
    <r>
      <rPr>
        <sz val="10"/>
        <color rgb="FF333333"/>
        <rFont val="Arial"/>
        <family val="2"/>
        <charset val="1"/>
      </rPr>
      <t xml:space="preserve">: </t>
    </r>
    <r>
      <rPr>
        <sz val="10"/>
        <color rgb="FF333333"/>
        <rFont val="DejaVu Sans"/>
        <family val="2"/>
      </rPr>
      <t xml:space="preserve">약관 상세 모달</t>
    </r>
    <r>
      <rPr>
        <sz val="10"/>
        <color rgb="FF333333"/>
        <rFont val="Arial"/>
        <family val="2"/>
        <charset val="1"/>
      </rPr>
      <t xml:space="preserve">/</t>
    </r>
    <r>
      <rPr>
        <sz val="10"/>
        <color rgb="FF333333"/>
        <rFont val="DejaVu Sans"/>
        <family val="2"/>
      </rPr>
      <t xml:space="preserve">페이지</t>
    </r>
  </si>
  <si>
    <r>
      <rPr>
        <sz val="10"/>
        <color rgb="FF333333"/>
        <rFont val="Arial"/>
        <family val="2"/>
        <charset val="1"/>
      </rPr>
      <t xml:space="preserve">- </t>
    </r>
    <r>
      <rPr>
        <sz val="10"/>
        <color rgb="FF333333"/>
        <rFont val="DejaVu Sans"/>
        <family val="2"/>
      </rPr>
      <t xml:space="preserve">약관 보기</t>
    </r>
    <r>
      <rPr>
        <sz val="10"/>
        <color rgb="FF333333"/>
        <rFont val="Arial"/>
        <family val="2"/>
        <charset val="1"/>
      </rPr>
      <t xml:space="preserve">: </t>
    </r>
    <r>
      <rPr>
        <sz val="10"/>
        <color rgb="FF333333"/>
        <rFont val="DejaVu Sans"/>
        <family val="2"/>
      </rPr>
      <t xml:space="preserve">모달</t>
    </r>
  </si>
  <si>
    <r>
      <rPr>
        <sz val="10"/>
        <color rgb="FF333333"/>
        <rFont val="Arial"/>
        <family val="2"/>
        <charset val="1"/>
      </rPr>
      <t xml:space="preserve">- </t>
    </r>
    <r>
      <rPr>
        <sz val="10"/>
        <color rgb="FF333333"/>
        <rFont val="DejaVu Sans"/>
        <family val="2"/>
      </rPr>
      <t xml:space="preserve">약관 보기</t>
    </r>
    <r>
      <rPr>
        <sz val="10"/>
        <color rgb="FF333333"/>
        <rFont val="Arial"/>
        <family val="2"/>
        <charset val="1"/>
      </rPr>
      <t xml:space="preserve">: </t>
    </r>
    <r>
      <rPr>
        <sz val="10"/>
        <color rgb="FF333333"/>
        <rFont val="DejaVu Sans"/>
        <family val="2"/>
      </rPr>
      <t xml:space="preserve">새 화면 </t>
    </r>
    <r>
      <rPr>
        <sz val="10"/>
        <color rgb="FF333333"/>
        <rFont val="Arial"/>
        <family val="2"/>
        <charset val="1"/>
      </rPr>
      <t xml:space="preserve">or </t>
    </r>
    <r>
      <rPr>
        <sz val="10"/>
        <color rgb="FF333333"/>
        <rFont val="DejaVu Sans"/>
        <family val="2"/>
      </rPr>
      <t xml:space="preserve">바텀시트</t>
    </r>
  </si>
  <si>
    <r>
      <rPr>
        <sz val="10"/>
        <color rgb="FF333333"/>
        <rFont val="Arial"/>
        <family val="2"/>
        <charset val="1"/>
      </rPr>
      <t xml:space="preserve">- </t>
    </r>
    <r>
      <rPr>
        <sz val="10"/>
        <color rgb="FF333333"/>
        <rFont val="DejaVu Sans"/>
        <family val="2"/>
      </rPr>
      <t xml:space="preserve">필수 약관 미동의 시 가입 불가</t>
    </r>
  </si>
  <si>
    <r>
      <rPr>
        <sz val="10"/>
        <color rgb="FF333333"/>
        <rFont val="Arial"/>
        <family val="2"/>
        <charset val="1"/>
      </rPr>
      <t xml:space="preserve">- '</t>
    </r>
    <r>
      <rPr>
        <sz val="10"/>
        <color rgb="FF333333"/>
        <rFont val="DejaVu Sans"/>
        <family val="2"/>
      </rPr>
      <t xml:space="preserve">필수 약관에 동의해주세요</t>
    </r>
    <r>
      <rPr>
        <sz val="10"/>
        <color rgb="FF333333"/>
        <rFont val="Arial"/>
        <family val="2"/>
        <charset val="1"/>
      </rPr>
      <t xml:space="preserve">'</t>
    </r>
  </si>
  <si>
    <t xml:space="preserve">□ 체크박스 레이블 연결</t>
  </si>
  <si>
    <t xml:space="preserve">UI-014</t>
  </si>
  <si>
    <t xml:space="preserve">소셜 로그인 버튼 그룹</t>
  </si>
  <si>
    <t xml:space="preserve">Button</t>
  </si>
  <si>
    <r>
      <rPr>
        <sz val="10"/>
        <color rgb="FF333333"/>
        <rFont val="Arial"/>
        <family val="2"/>
        <charset val="1"/>
      </rPr>
      <t xml:space="preserve">Google/Apple/Kakao </t>
    </r>
    <r>
      <rPr>
        <sz val="10"/>
        <color rgb="FF333333"/>
        <rFont val="DejaVu Sans"/>
        <family val="2"/>
      </rPr>
      <t xml:space="preserve">소셜 가입 버튼</t>
    </r>
  </si>
  <si>
    <r>
      <rPr>
        <sz val="10"/>
        <color rgb="FF333333"/>
        <rFont val="Arial"/>
        <family val="2"/>
        <charset val="1"/>
      </rPr>
      <t xml:space="preserve">- </t>
    </r>
    <r>
      <rPr>
        <sz val="10"/>
        <color rgb="FF333333"/>
        <rFont val="DejaVu Sans"/>
        <family val="2"/>
      </rPr>
      <t xml:space="preserve">각 소셜 브랜드 컬러 </t>
    </r>
    <r>
      <rPr>
        <sz val="10"/>
        <color rgb="FF333333"/>
        <rFont val="Arial"/>
        <family val="2"/>
        <charset val="1"/>
      </rPr>
      <t xml:space="preserve">+ </t>
    </r>
    <r>
      <rPr>
        <sz val="10"/>
        <color rgb="FF333333"/>
        <rFont val="DejaVu Sans"/>
        <family val="2"/>
      </rPr>
      <t xml:space="preserve">로고
</t>
    </r>
    <r>
      <rPr>
        <sz val="10"/>
        <color rgb="FF333333"/>
        <rFont val="Arial"/>
        <family val="2"/>
        <charset val="1"/>
      </rPr>
      <t xml:space="preserve">- Google: </t>
    </r>
    <r>
      <rPr>
        <sz val="10"/>
        <color rgb="FF333333"/>
        <rFont val="DejaVu Sans"/>
        <family val="2"/>
      </rPr>
      <t xml:space="preserve">흰색 배경
</t>
    </r>
    <r>
      <rPr>
        <sz val="10"/>
        <color rgb="FF333333"/>
        <rFont val="Arial"/>
        <family val="2"/>
        <charset val="1"/>
      </rPr>
      <t xml:space="preserve">- Apple: </t>
    </r>
    <r>
      <rPr>
        <sz val="10"/>
        <color rgb="FF333333"/>
        <rFont val="DejaVu Sans"/>
        <family val="2"/>
      </rPr>
      <t xml:space="preserve">검정 배경
</t>
    </r>
    <r>
      <rPr>
        <sz val="10"/>
        <color rgb="FF333333"/>
        <rFont val="Arial"/>
        <family val="2"/>
        <charset val="1"/>
      </rPr>
      <t xml:space="preserve">- Kakao: </t>
    </r>
    <r>
      <rPr>
        <sz val="10"/>
        <color rgb="FF333333"/>
        <rFont val="DejaVu Sans"/>
        <family val="2"/>
      </rPr>
      <t xml:space="preserve">노란 배경
</t>
    </r>
    <r>
      <rPr>
        <sz val="10"/>
        <color rgb="FF333333"/>
        <rFont val="Arial"/>
        <family val="2"/>
        <charset val="1"/>
      </rPr>
      <t xml:space="preserve">- </t>
    </r>
    <r>
      <rPr>
        <sz val="10"/>
        <color rgb="FF333333"/>
        <rFont val="DejaVu Sans"/>
        <family val="2"/>
      </rPr>
      <t xml:space="preserve">탭</t>
    </r>
    <r>
      <rPr>
        <sz val="10"/>
        <color rgb="FF333333"/>
        <rFont val="Arial"/>
        <family val="2"/>
        <charset val="1"/>
      </rPr>
      <t xml:space="preserve">/</t>
    </r>
    <r>
      <rPr>
        <sz val="10"/>
        <color rgb="FF333333"/>
        <rFont val="DejaVu Sans"/>
        <family val="2"/>
      </rPr>
      <t xml:space="preserve">클릭 시 해당 </t>
    </r>
    <r>
      <rPr>
        <sz val="10"/>
        <color rgb="FF333333"/>
        <rFont val="Arial"/>
        <family val="2"/>
        <charset val="1"/>
      </rPr>
      <t xml:space="preserve">OAuth </t>
    </r>
    <r>
      <rPr>
        <sz val="10"/>
        <color rgb="FF333333"/>
        <rFont val="DejaVu Sans"/>
        <family val="2"/>
      </rPr>
      <t xml:space="preserve">진행</t>
    </r>
  </si>
  <si>
    <t xml:space="preserve">FN-002</t>
  </si>
  <si>
    <t xml:space="preserve">API-002</t>
  </si>
  <si>
    <r>
      <rPr>
        <sz val="10"/>
        <color rgb="FF333333"/>
        <rFont val="Arial"/>
        <family val="2"/>
        <charset val="1"/>
      </rPr>
      <t xml:space="preserve">- OAuth </t>
    </r>
    <r>
      <rPr>
        <sz val="10"/>
        <color rgb="FF333333"/>
        <rFont val="DejaVu Sans"/>
        <family val="2"/>
      </rPr>
      <t xml:space="preserve">팝업 방식</t>
    </r>
  </si>
  <si>
    <r>
      <rPr>
        <sz val="10"/>
        <color rgb="FF333333"/>
        <rFont val="Arial"/>
        <family val="2"/>
        <charset val="1"/>
      </rPr>
      <t xml:space="preserve">- </t>
    </r>
    <r>
      <rPr>
        <sz val="10"/>
        <color rgb="FF333333"/>
        <rFont val="DejaVu Sans"/>
        <family val="2"/>
      </rPr>
      <t xml:space="preserve">앱 전환 방식
</t>
    </r>
    <r>
      <rPr>
        <sz val="10"/>
        <color rgb="FF333333"/>
        <rFont val="Arial"/>
        <family val="2"/>
        <charset val="1"/>
      </rPr>
      <t xml:space="preserve">- Apple Sign-in </t>
    </r>
    <r>
      <rPr>
        <sz val="10"/>
        <color rgb="FF333333"/>
        <rFont val="DejaVu Sans"/>
        <family val="2"/>
      </rPr>
      <t xml:space="preserve">필수</t>
    </r>
    <r>
      <rPr>
        <sz val="10"/>
        <color rgb="FF333333"/>
        <rFont val="Arial"/>
        <family val="2"/>
        <charset val="1"/>
      </rPr>
      <t xml:space="preserve">(iOS)</t>
    </r>
  </si>
  <si>
    <r>
      <rPr>
        <sz val="10"/>
        <color rgb="FF333333"/>
        <rFont val="Arial"/>
        <family val="2"/>
        <charset val="1"/>
      </rPr>
      <t xml:space="preserve">- '</t>
    </r>
    <r>
      <rPr>
        <sz val="10"/>
        <color rgb="FF333333"/>
        <rFont val="DejaVu Sans"/>
        <family val="2"/>
      </rPr>
      <t xml:space="preserve">소셜 인증에 실패했습니다</t>
    </r>
    <r>
      <rPr>
        <sz val="10"/>
        <color rgb="FF333333"/>
        <rFont val="Arial"/>
        <family val="2"/>
        <charset val="1"/>
      </rPr>
      <t xml:space="preserve">. </t>
    </r>
    <r>
      <rPr>
        <sz val="10"/>
        <color rgb="FF333333"/>
        <rFont val="DejaVu Sans"/>
        <family val="2"/>
      </rPr>
      <t xml:space="preserve">다시 시도해주세요</t>
    </r>
    <r>
      <rPr>
        <sz val="10"/>
        <color rgb="FF333333"/>
        <rFont val="Arial"/>
        <family val="2"/>
        <charset val="1"/>
      </rPr>
      <t xml:space="preserve">'</t>
    </r>
  </si>
  <si>
    <r>
      <rPr>
        <sz val="10"/>
        <color rgb="FF333333"/>
        <rFont val="DejaVu Sans"/>
        <family val="2"/>
      </rPr>
      <t xml:space="preserve">□ 버튼 레이블 </t>
    </r>
    <r>
      <rPr>
        <sz val="10"/>
        <color rgb="FF333333"/>
        <rFont val="DejaVu Sans"/>
        <family val="2"/>
        <charset val="1"/>
      </rPr>
      <t xml:space="preserve">(</t>
    </r>
    <r>
      <rPr>
        <sz val="10"/>
        <color rgb="FF333333"/>
        <rFont val="DejaVu Sans"/>
        <family val="2"/>
      </rPr>
      <t xml:space="preserve">시각 장애</t>
    </r>
    <r>
      <rPr>
        <sz val="10"/>
        <color rgb="FF333333"/>
        <rFont val="DejaVu Sans"/>
        <family val="2"/>
        <charset val="1"/>
      </rPr>
      <t xml:space="preserve">)</t>
    </r>
  </si>
  <si>
    <t xml:space="preserve">UI-015</t>
  </si>
  <si>
    <t xml:space="preserve">가입하기 버튼</t>
  </si>
  <si>
    <t xml:space="preserve">회원가입 최종 제출 버튼</t>
  </si>
  <si>
    <r>
      <rPr>
        <sz val="10"/>
        <color rgb="FF333333"/>
        <rFont val="Arial"/>
        <family val="2"/>
        <charset val="1"/>
      </rPr>
      <t xml:space="preserve">- </t>
    </r>
    <r>
      <rPr>
        <sz val="10"/>
        <color rgb="FF333333"/>
        <rFont val="DejaVu Sans"/>
        <family val="2"/>
      </rPr>
      <t xml:space="preserve">필수 입력 미완료 시 비활성</t>
    </r>
    <r>
      <rPr>
        <sz val="10"/>
        <color rgb="FF333333"/>
        <rFont val="Arial"/>
        <family val="2"/>
        <charset val="1"/>
      </rPr>
      <t xml:space="preserve">(</t>
    </r>
    <r>
      <rPr>
        <sz val="10"/>
        <color rgb="FF333333"/>
        <rFont val="DejaVu Sans"/>
        <family val="2"/>
      </rPr>
      <t xml:space="preserve">회색</t>
    </r>
    <r>
      <rPr>
        <sz val="10"/>
        <color rgb="FF333333"/>
        <rFont val="Arial"/>
        <family val="2"/>
        <charset val="1"/>
      </rPr>
      <t xml:space="preserve">)
- </t>
    </r>
    <r>
      <rPr>
        <sz val="10"/>
        <color rgb="FF333333"/>
        <rFont val="DejaVu Sans"/>
        <family val="2"/>
      </rPr>
      <t xml:space="preserve">완료 시 활성</t>
    </r>
    <r>
      <rPr>
        <sz val="10"/>
        <color rgb="FF333333"/>
        <rFont val="Arial"/>
        <family val="2"/>
        <charset val="1"/>
      </rPr>
      <t xml:space="preserve">(</t>
    </r>
    <r>
      <rPr>
        <sz val="10"/>
        <color rgb="FF333333"/>
        <rFont val="DejaVu Sans"/>
        <family val="2"/>
      </rPr>
      <t xml:space="preserve">브랜드 컬러</t>
    </r>
    <r>
      <rPr>
        <sz val="10"/>
        <color rgb="FF333333"/>
        <rFont val="Arial"/>
        <family val="2"/>
        <charset val="1"/>
      </rPr>
      <t xml:space="preserve">)
- </t>
    </r>
    <r>
      <rPr>
        <sz val="10"/>
        <color rgb="FF333333"/>
        <rFont val="DejaVu Sans"/>
        <family val="2"/>
      </rPr>
      <t xml:space="preserve">탭</t>
    </r>
    <r>
      <rPr>
        <sz val="10"/>
        <color rgb="FF333333"/>
        <rFont val="Arial"/>
        <family val="2"/>
        <charset val="1"/>
      </rPr>
      <t xml:space="preserve">/</t>
    </r>
    <r>
      <rPr>
        <sz val="10"/>
        <color rgb="FF333333"/>
        <rFont val="DejaVu Sans"/>
        <family val="2"/>
      </rPr>
      <t xml:space="preserve">클릭 시 로딩 스피너
</t>
    </r>
    <r>
      <rPr>
        <sz val="10"/>
        <color rgb="FF333333"/>
        <rFont val="Arial"/>
        <family val="2"/>
        <charset val="1"/>
      </rPr>
      <t xml:space="preserve">- </t>
    </r>
    <r>
      <rPr>
        <sz val="10"/>
        <color rgb="FF333333"/>
        <rFont val="DejaVu Sans"/>
        <family val="2"/>
      </rPr>
      <t xml:space="preserve">중복 클릭 방지</t>
    </r>
  </si>
  <si>
    <r>
      <rPr>
        <sz val="10"/>
        <color rgb="FF333333"/>
        <rFont val="Arial"/>
        <family val="2"/>
        <charset val="1"/>
      </rPr>
      <t xml:space="preserve">- </t>
    </r>
    <r>
      <rPr>
        <sz val="10"/>
        <color rgb="FF333333"/>
        <rFont val="DejaVu Sans"/>
        <family val="2"/>
      </rPr>
      <t xml:space="preserve">엔터키로도 제출 가능</t>
    </r>
  </si>
  <si>
    <r>
      <rPr>
        <sz val="10"/>
        <color rgb="FF333333"/>
        <rFont val="Arial"/>
        <family val="2"/>
        <charset val="1"/>
      </rPr>
      <t xml:space="preserve">- </t>
    </r>
    <r>
      <rPr>
        <sz val="10"/>
        <color rgb="FF333333"/>
        <rFont val="DejaVu Sans"/>
        <family val="2"/>
      </rPr>
      <t xml:space="preserve">키보드 올라와 있으면 키보드 닫고 제출</t>
    </r>
  </si>
  <si>
    <r>
      <rPr>
        <sz val="10"/>
        <color rgb="FF333333"/>
        <rFont val="Arial"/>
        <family val="2"/>
        <charset val="1"/>
      </rPr>
      <t xml:space="preserve">- </t>
    </r>
    <r>
      <rPr>
        <sz val="10"/>
        <color rgb="FF333333"/>
        <rFont val="DejaVu Sans"/>
        <family val="2"/>
      </rPr>
      <t xml:space="preserve">이메일 </t>
    </r>
    <r>
      <rPr>
        <sz val="10"/>
        <color rgb="FF333333"/>
        <rFont val="Arial"/>
        <family val="2"/>
        <charset val="1"/>
      </rPr>
      <t xml:space="preserve">+ </t>
    </r>
    <r>
      <rPr>
        <sz val="10"/>
        <color rgb="FF333333"/>
        <rFont val="DejaVu Sans"/>
        <family val="2"/>
      </rPr>
      <t xml:space="preserve">비밀번호 </t>
    </r>
    <r>
      <rPr>
        <sz val="10"/>
        <color rgb="FF333333"/>
        <rFont val="Arial"/>
        <family val="2"/>
        <charset val="1"/>
      </rPr>
      <t xml:space="preserve">+ </t>
    </r>
    <r>
      <rPr>
        <sz val="10"/>
        <color rgb="FF333333"/>
        <rFont val="DejaVu Sans"/>
        <family val="2"/>
      </rPr>
      <t xml:space="preserve">필수약관 모두 유효</t>
    </r>
  </si>
  <si>
    <r>
      <rPr>
        <sz val="10"/>
        <color rgb="FF333333"/>
        <rFont val="Arial"/>
        <family val="2"/>
        <charset val="1"/>
      </rPr>
      <t xml:space="preserve">- </t>
    </r>
    <r>
      <rPr>
        <sz val="10"/>
        <color rgb="FF333333"/>
        <rFont val="DejaVu Sans"/>
        <family val="2"/>
      </rPr>
      <t xml:space="preserve">필드별 인라인 에러 하이라이트
</t>
    </r>
    <r>
      <rPr>
        <sz val="10"/>
        <color rgb="FF333333"/>
        <rFont val="Arial"/>
        <family val="2"/>
        <charset val="1"/>
      </rPr>
      <t xml:space="preserve">- </t>
    </r>
    <r>
      <rPr>
        <sz val="10"/>
        <color rgb="FF333333"/>
        <rFont val="DejaVu Sans"/>
        <family val="2"/>
      </rPr>
      <t xml:space="preserve">서버 에러</t>
    </r>
    <r>
      <rPr>
        <sz val="10"/>
        <color rgb="FF333333"/>
        <rFont val="Arial"/>
        <family val="2"/>
        <charset val="1"/>
      </rPr>
      <t xml:space="preserve">: </t>
    </r>
    <r>
      <rPr>
        <sz val="10"/>
        <color rgb="FF333333"/>
        <rFont val="DejaVu Sans"/>
        <family val="2"/>
      </rPr>
      <t xml:space="preserve">토스트 </t>
    </r>
    <r>
      <rPr>
        <sz val="10"/>
        <color rgb="FF333333"/>
        <rFont val="Arial"/>
        <family val="2"/>
        <charset val="1"/>
      </rPr>
      <t xml:space="preserve">'</t>
    </r>
    <r>
      <rPr>
        <sz val="10"/>
        <color rgb="FF333333"/>
        <rFont val="DejaVu Sans"/>
        <family val="2"/>
      </rPr>
      <t xml:space="preserve">일시적 오류가 발생했습니다</t>
    </r>
    <r>
      <rPr>
        <sz val="10"/>
        <color rgb="FF333333"/>
        <rFont val="Arial"/>
        <family val="2"/>
        <charset val="1"/>
      </rPr>
      <t xml:space="preserve">'</t>
    </r>
  </si>
  <si>
    <r>
      <rPr>
        <sz val="10"/>
        <color rgb="FF333333"/>
        <rFont val="Arial"/>
        <family val="2"/>
        <charset val="1"/>
      </rPr>
      <t xml:space="preserve">□ disabled </t>
    </r>
    <r>
      <rPr>
        <sz val="10"/>
        <color rgb="FF333333"/>
        <rFont val="DejaVu Sans"/>
        <family val="2"/>
      </rPr>
      <t xml:space="preserve">상태 안내</t>
    </r>
  </si>
  <si>
    <t xml:space="preserve">▼ SCR-011</t>
  </si>
  <si>
    <t xml:space="preserve">UI-020</t>
  </si>
  <si>
    <t xml:space="preserve">로그인용 이메일 입력</t>
  </si>
  <si>
    <r>
      <rPr>
        <sz val="10"/>
        <color rgb="FF333333"/>
        <rFont val="Arial"/>
        <family val="2"/>
        <charset val="1"/>
      </rPr>
      <t xml:space="preserve">- placeholder: '</t>
    </r>
    <r>
      <rPr>
        <sz val="10"/>
        <color rgb="FF333333"/>
        <rFont val="DejaVu Sans"/>
        <family val="2"/>
      </rPr>
      <t xml:space="preserve">이메일 주소</t>
    </r>
    <r>
      <rPr>
        <sz val="10"/>
        <color rgb="FF333333"/>
        <rFont val="Arial"/>
        <family val="2"/>
        <charset val="1"/>
      </rPr>
      <t xml:space="preserve">'
- </t>
    </r>
    <r>
      <rPr>
        <sz val="10"/>
        <color rgb="FF333333"/>
        <rFont val="DejaVu Sans"/>
        <family val="2"/>
      </rPr>
      <t xml:space="preserve">이전 로그인 이메일 자동 완성</t>
    </r>
  </si>
  <si>
    <t xml:space="preserve">FN-003</t>
  </si>
  <si>
    <t xml:space="preserve">API-003</t>
  </si>
  <si>
    <t xml:space="preserve">- autofocus</t>
  </si>
  <si>
    <r>
      <rPr>
        <sz val="10"/>
        <color rgb="FF333333"/>
        <rFont val="Arial"/>
        <family val="2"/>
        <charset val="1"/>
      </rPr>
      <t xml:space="preserve">- </t>
    </r>
    <r>
      <rPr>
        <sz val="10"/>
        <color rgb="FF333333"/>
        <rFont val="DejaVu Sans"/>
        <family val="2"/>
      </rPr>
      <t xml:space="preserve">키보드 타입</t>
    </r>
    <r>
      <rPr>
        <sz val="10"/>
        <color rgb="FF333333"/>
        <rFont val="Arial"/>
        <family val="2"/>
        <charset val="1"/>
      </rPr>
      <t xml:space="preserve">: email</t>
    </r>
  </si>
  <si>
    <r>
      <rPr>
        <sz val="10"/>
        <color rgb="FF333333"/>
        <rFont val="Arial"/>
        <family val="2"/>
        <charset val="1"/>
      </rPr>
      <t xml:space="preserve">- </t>
    </r>
    <r>
      <rPr>
        <sz val="10"/>
        <color rgb="FF333333"/>
        <rFont val="DejaVu Sans"/>
        <family val="2"/>
      </rPr>
      <t xml:space="preserve">이메일 형식 검증</t>
    </r>
  </si>
  <si>
    <r>
      <rPr>
        <sz val="10"/>
        <color rgb="FF333333"/>
        <rFont val="Arial"/>
        <family val="2"/>
        <charset val="1"/>
      </rPr>
      <t xml:space="preserve">- '</t>
    </r>
    <r>
      <rPr>
        <sz val="10"/>
        <color rgb="FF333333"/>
        <rFont val="DejaVu Sans"/>
        <family val="2"/>
      </rPr>
      <t xml:space="preserve">이메일 형식이 올바르지 않습니다</t>
    </r>
    <r>
      <rPr>
        <sz val="10"/>
        <color rgb="FF333333"/>
        <rFont val="Arial"/>
        <family val="2"/>
        <charset val="1"/>
      </rPr>
      <t xml:space="preserve">'</t>
    </r>
  </si>
  <si>
    <r>
      <rPr>
        <sz val="10"/>
        <color rgb="FF333333"/>
        <rFont val="Arial"/>
        <family val="2"/>
        <charset val="1"/>
      </rPr>
      <t xml:space="preserve">□ label </t>
    </r>
    <r>
      <rPr>
        <sz val="10"/>
        <color rgb="FF333333"/>
        <rFont val="DejaVu Sans"/>
        <family val="2"/>
      </rPr>
      <t xml:space="preserve">연결</t>
    </r>
  </si>
  <si>
    <t xml:space="preserve">UI-021</t>
  </si>
  <si>
    <t xml:space="preserve">로그인용 비밀번호 입력</t>
  </si>
  <si>
    <r>
      <rPr>
        <sz val="10"/>
        <color rgb="FF333333"/>
        <rFont val="Arial"/>
        <family val="2"/>
        <charset val="1"/>
      </rPr>
      <t xml:space="preserve">- </t>
    </r>
    <r>
      <rPr>
        <sz val="10"/>
        <color rgb="FF333333"/>
        <rFont val="DejaVu Sans"/>
        <family val="2"/>
      </rPr>
      <t xml:space="preserve">마스킹 </t>
    </r>
    <r>
      <rPr>
        <sz val="10"/>
        <color rgb="FF333333"/>
        <rFont val="Arial"/>
        <family val="2"/>
        <charset val="1"/>
      </rPr>
      <t xml:space="preserve">+ </t>
    </r>
    <r>
      <rPr>
        <sz val="10"/>
        <color rgb="FF333333"/>
        <rFont val="DejaVu Sans"/>
        <family val="2"/>
      </rPr>
      <t xml:space="preserve">눈 아이콘 토글
</t>
    </r>
    <r>
      <rPr>
        <sz val="10"/>
        <color rgb="FF333333"/>
        <rFont val="Arial"/>
        <family val="2"/>
        <charset val="1"/>
      </rPr>
      <t xml:space="preserve">- </t>
    </r>
    <r>
      <rPr>
        <sz val="10"/>
        <color rgb="FF333333"/>
        <rFont val="DejaVu Sans"/>
        <family val="2"/>
      </rPr>
      <t xml:space="preserve">엔터 시 로그인 실행</t>
    </r>
  </si>
  <si>
    <r>
      <rPr>
        <sz val="10"/>
        <color rgb="FF333333"/>
        <rFont val="Arial"/>
        <family val="2"/>
        <charset val="1"/>
      </rPr>
      <t xml:space="preserve">- '</t>
    </r>
    <r>
      <rPr>
        <sz val="10"/>
        <color rgb="FF333333"/>
        <rFont val="DejaVu Sans"/>
        <family val="2"/>
      </rPr>
      <t xml:space="preserve">이메일 또는 비밀번호가 일치하지 않습니다</t>
    </r>
    <r>
      <rPr>
        <sz val="10"/>
        <color rgb="FF333333"/>
        <rFont val="Arial"/>
        <family val="2"/>
        <charset val="1"/>
      </rPr>
      <t xml:space="preserve">'</t>
    </r>
  </si>
  <si>
    <t xml:space="preserve">□ 비밀번호 표시 토글</t>
  </si>
  <si>
    <t xml:space="preserve">UI-022</t>
  </si>
  <si>
    <t xml:space="preserve">자동 로그인 체크박스</t>
  </si>
  <si>
    <t xml:space="preserve">자동 로그인 유지 옵션</t>
  </si>
  <si>
    <r>
      <rPr>
        <sz val="10"/>
        <color rgb="FF333333"/>
        <rFont val="Arial"/>
        <family val="2"/>
        <charset val="1"/>
      </rPr>
      <t xml:space="preserve">- </t>
    </r>
    <r>
      <rPr>
        <sz val="10"/>
        <color rgb="FF333333"/>
        <rFont val="DejaVu Sans"/>
        <family val="2"/>
      </rPr>
      <t xml:space="preserve">체크 시 </t>
    </r>
    <r>
      <rPr>
        <sz val="10"/>
        <color rgb="FF333333"/>
        <rFont val="Arial"/>
        <family val="2"/>
        <charset val="1"/>
      </rPr>
      <t xml:space="preserve">Refresh Token 30</t>
    </r>
    <r>
      <rPr>
        <sz val="10"/>
        <color rgb="FF333333"/>
        <rFont val="DejaVu Sans"/>
        <family val="2"/>
      </rPr>
      <t xml:space="preserve">일 유지
</t>
    </r>
    <r>
      <rPr>
        <sz val="10"/>
        <color rgb="FF333333"/>
        <rFont val="Arial"/>
        <family val="2"/>
        <charset val="1"/>
      </rPr>
      <t xml:space="preserve">- </t>
    </r>
    <r>
      <rPr>
        <sz val="10"/>
        <color rgb="FF333333"/>
        <rFont val="DejaVu Sans"/>
        <family val="2"/>
      </rPr>
      <t xml:space="preserve">미체크 시 세션 기반 </t>
    </r>
    <r>
      <rPr>
        <sz val="10"/>
        <color rgb="FF333333"/>
        <rFont val="Arial"/>
        <family val="2"/>
        <charset val="1"/>
      </rPr>
      <t xml:space="preserve">(</t>
    </r>
    <r>
      <rPr>
        <sz val="10"/>
        <color rgb="FF333333"/>
        <rFont val="DejaVu Sans"/>
        <family val="2"/>
      </rPr>
      <t xml:space="preserve">브라우저 닫으면 로그아웃</t>
    </r>
    <r>
      <rPr>
        <sz val="10"/>
        <color rgb="FF333333"/>
        <rFont val="Arial"/>
        <family val="2"/>
        <charset val="1"/>
      </rPr>
      <t xml:space="preserve">)</t>
    </r>
  </si>
  <si>
    <r>
      <rPr>
        <sz val="10"/>
        <color rgb="FF333333"/>
        <rFont val="Arial"/>
        <family val="2"/>
        <charset val="1"/>
      </rPr>
      <t xml:space="preserve">- </t>
    </r>
    <r>
      <rPr>
        <sz val="10"/>
        <color rgb="FF333333"/>
        <rFont val="DejaVu Sans"/>
        <family val="2"/>
      </rPr>
      <t xml:space="preserve">쿠키 기반</t>
    </r>
  </si>
  <si>
    <r>
      <rPr>
        <sz val="10"/>
        <color rgb="FF333333"/>
        <rFont val="Arial"/>
        <family val="2"/>
        <charset val="1"/>
      </rPr>
      <t xml:space="preserve">- Secure Storage </t>
    </r>
    <r>
      <rPr>
        <sz val="10"/>
        <color rgb="FF333333"/>
        <rFont val="DejaVu Sans"/>
        <family val="2"/>
      </rPr>
      <t xml:space="preserve">저장</t>
    </r>
  </si>
  <si>
    <t xml:space="preserve">□ 레이블 연결</t>
  </si>
  <si>
    <t xml:space="preserve">UI-023</t>
  </si>
  <si>
    <t xml:space="preserve">로그인 버튼</t>
  </si>
  <si>
    <t xml:space="preserve">로그인 제출 버튼</t>
  </si>
  <si>
    <r>
      <rPr>
        <sz val="10"/>
        <color rgb="FF333333"/>
        <rFont val="Arial"/>
        <family val="2"/>
        <charset val="1"/>
      </rPr>
      <t xml:space="preserve">- </t>
    </r>
    <r>
      <rPr>
        <sz val="10"/>
        <color rgb="FF333333"/>
        <rFont val="DejaVu Sans"/>
        <family val="2"/>
      </rPr>
      <t xml:space="preserve">이메일</t>
    </r>
    <r>
      <rPr>
        <sz val="10"/>
        <color rgb="FF333333"/>
        <rFont val="Arial"/>
        <family val="2"/>
        <charset val="1"/>
      </rPr>
      <t xml:space="preserve">+</t>
    </r>
    <r>
      <rPr>
        <sz val="10"/>
        <color rgb="FF333333"/>
        <rFont val="DejaVu Sans"/>
        <family val="2"/>
      </rPr>
      <t xml:space="preserve">비밀번호 입력 시 활성
</t>
    </r>
    <r>
      <rPr>
        <sz val="10"/>
        <color rgb="FF333333"/>
        <rFont val="Arial"/>
        <family val="2"/>
        <charset val="1"/>
      </rPr>
      <t xml:space="preserve">- </t>
    </r>
    <r>
      <rPr>
        <sz val="10"/>
        <color rgb="FF333333"/>
        <rFont val="DejaVu Sans"/>
        <family val="2"/>
      </rPr>
      <t xml:space="preserve">로딩 스피너
</t>
    </r>
    <r>
      <rPr>
        <sz val="10"/>
        <color rgb="FF333333"/>
        <rFont val="Arial"/>
        <family val="2"/>
        <charset val="1"/>
      </rPr>
      <t xml:space="preserve">- 5</t>
    </r>
    <r>
      <rPr>
        <sz val="10"/>
        <color rgb="FF333333"/>
        <rFont val="DejaVu Sans"/>
        <family val="2"/>
      </rPr>
      <t xml:space="preserve">회 실패 시 잠금 안내</t>
    </r>
  </si>
  <si>
    <r>
      <rPr>
        <sz val="10"/>
        <color rgb="FF333333"/>
        <rFont val="Arial"/>
        <family val="2"/>
        <charset val="1"/>
      </rPr>
      <t xml:space="preserve">- </t>
    </r>
    <r>
      <rPr>
        <sz val="10"/>
        <color rgb="FF333333"/>
        <rFont val="DejaVu Sans"/>
        <family val="2"/>
      </rPr>
      <t xml:space="preserve">이메일 </t>
    </r>
    <r>
      <rPr>
        <sz val="10"/>
        <color rgb="FF333333"/>
        <rFont val="Arial"/>
        <family val="2"/>
        <charset val="1"/>
      </rPr>
      <t xml:space="preserve">+ </t>
    </r>
    <r>
      <rPr>
        <sz val="10"/>
        <color rgb="FF333333"/>
        <rFont val="DejaVu Sans"/>
        <family val="2"/>
      </rPr>
      <t xml:space="preserve">비밀번호 입력됨</t>
    </r>
  </si>
  <si>
    <r>
      <rPr>
        <sz val="10"/>
        <color rgb="FF333333"/>
        <rFont val="Arial"/>
        <family val="2"/>
        <charset val="1"/>
      </rPr>
      <t xml:space="preserve">- </t>
    </r>
    <r>
      <rPr>
        <sz val="10"/>
        <color rgb="FF333333"/>
        <rFont val="DejaVu Sans"/>
        <family val="2"/>
      </rPr>
      <t xml:space="preserve">계정 잠금</t>
    </r>
    <r>
      <rPr>
        <sz val="10"/>
        <color rgb="FF333333"/>
        <rFont val="Arial"/>
        <family val="2"/>
        <charset val="1"/>
      </rPr>
      <t xml:space="preserve">: '30</t>
    </r>
    <r>
      <rPr>
        <sz val="10"/>
        <color rgb="FF333333"/>
        <rFont val="DejaVu Sans"/>
        <family val="2"/>
      </rPr>
      <t xml:space="preserve">분 후 다시 시도해주세요</t>
    </r>
    <r>
      <rPr>
        <sz val="10"/>
        <color rgb="FF333333"/>
        <rFont val="Arial"/>
        <family val="2"/>
        <charset val="1"/>
      </rPr>
      <t xml:space="preserve">'</t>
    </r>
  </si>
  <si>
    <r>
      <rPr>
        <sz val="10"/>
        <color rgb="FF333333"/>
        <rFont val="Arial"/>
        <family val="2"/>
        <charset val="1"/>
      </rPr>
      <t xml:space="preserve">□ disabled </t>
    </r>
    <r>
      <rPr>
        <sz val="10"/>
        <color rgb="FF333333"/>
        <rFont val="DejaVu Sans"/>
        <family val="2"/>
      </rPr>
      <t xml:space="preserve">안내</t>
    </r>
  </si>
  <si>
    <t xml:space="preserve">UI-024</t>
  </si>
  <si>
    <t xml:space="preserve">비밀번호 찾기 링크</t>
  </si>
  <si>
    <t xml:space="preserve">Link</t>
  </si>
  <si>
    <t xml:space="preserve">비밀번호 재설정 페이지 이동</t>
  </si>
  <si>
    <r>
      <rPr>
        <sz val="10"/>
        <color rgb="FF333333"/>
        <rFont val="Arial"/>
        <family val="2"/>
        <charset val="1"/>
      </rPr>
      <t xml:space="preserve">- </t>
    </r>
    <r>
      <rPr>
        <sz val="10"/>
        <color rgb="FF333333"/>
        <rFont val="DejaVu Sans"/>
        <family val="2"/>
      </rPr>
      <t xml:space="preserve">탭</t>
    </r>
    <r>
      <rPr>
        <sz val="10"/>
        <color rgb="FF333333"/>
        <rFont val="Arial"/>
        <family val="2"/>
        <charset val="1"/>
      </rPr>
      <t xml:space="preserve">/</t>
    </r>
    <r>
      <rPr>
        <sz val="10"/>
        <color rgb="FF333333"/>
        <rFont val="DejaVu Sans"/>
        <family val="2"/>
      </rPr>
      <t xml:space="preserve">클릭 시 </t>
    </r>
    <r>
      <rPr>
        <sz val="10"/>
        <color rgb="FF333333"/>
        <rFont val="Arial"/>
        <family val="2"/>
        <charset val="1"/>
      </rPr>
      <t xml:space="preserve">SCR-012</t>
    </r>
    <r>
      <rPr>
        <sz val="10"/>
        <color rgb="FF333333"/>
        <rFont val="DejaVu Sans"/>
        <family val="2"/>
      </rPr>
      <t xml:space="preserve">로 이동</t>
    </r>
  </si>
  <si>
    <t xml:space="preserve">□ 링크 텍스트 명확</t>
  </si>
  <si>
    <t xml:space="preserve">▼ SCR-022</t>
  </si>
  <si>
    <r>
      <rPr>
        <b val="true"/>
        <sz val="10"/>
        <color rgb="FF666666"/>
        <rFont val="Arial"/>
        <family val="2"/>
        <charset val="1"/>
      </rPr>
      <t xml:space="preserve">4</t>
    </r>
    <r>
      <rPr>
        <b val="true"/>
        <sz val="10"/>
        <color rgb="FF666666"/>
        <rFont val="DejaVu Sans"/>
        <family val="2"/>
      </rPr>
      <t xml:space="preserve">개 요소</t>
    </r>
  </si>
  <si>
    <t xml:space="preserve">UI-030</t>
  </si>
  <si>
    <t xml:space="preserve">검색 입력 필드</t>
  </si>
  <si>
    <t xml:space="preserve">검색 키워드 입력</t>
  </si>
  <si>
    <r>
      <rPr>
        <sz val="10"/>
        <color rgb="FF333333"/>
        <rFont val="Arial"/>
        <family val="2"/>
        <charset val="1"/>
      </rPr>
      <t xml:space="preserve">- placeholder: '</t>
    </r>
    <r>
      <rPr>
        <sz val="10"/>
        <color rgb="FF333333"/>
        <rFont val="DejaVu Sans"/>
        <family val="2"/>
      </rPr>
      <t xml:space="preserve">검색어를 입력하세요</t>
    </r>
    <r>
      <rPr>
        <sz val="10"/>
        <color rgb="FF333333"/>
        <rFont val="Arial"/>
        <family val="2"/>
        <charset val="1"/>
      </rPr>
      <t xml:space="preserve">'
- </t>
    </r>
    <r>
      <rPr>
        <sz val="10"/>
        <color rgb="FF333333"/>
        <rFont val="DejaVu Sans"/>
        <family val="2"/>
      </rPr>
      <t xml:space="preserve">입력 시 자동완성 드롭다운 </t>
    </r>
    <r>
      <rPr>
        <sz val="10"/>
        <color rgb="FF333333"/>
        <rFont val="Arial"/>
        <family val="2"/>
        <charset val="1"/>
      </rPr>
      <t xml:space="preserve">(300ms </t>
    </r>
    <r>
      <rPr>
        <sz val="10"/>
        <color rgb="FF333333"/>
        <rFont val="DejaVu Sans"/>
        <family val="2"/>
      </rPr>
      <t xml:space="preserve">디바운스</t>
    </r>
    <r>
      <rPr>
        <sz val="10"/>
        <color rgb="FF333333"/>
        <rFont val="Arial"/>
        <family val="2"/>
        <charset val="1"/>
      </rPr>
      <t xml:space="preserve">)
- X </t>
    </r>
    <r>
      <rPr>
        <sz val="10"/>
        <color rgb="FF333333"/>
        <rFont val="DejaVu Sans"/>
        <family val="2"/>
      </rPr>
      <t xml:space="preserve">버튼</t>
    </r>
    <r>
      <rPr>
        <sz val="10"/>
        <color rgb="FF333333"/>
        <rFont val="Arial"/>
        <family val="2"/>
        <charset val="1"/>
      </rPr>
      <t xml:space="preserve">: </t>
    </r>
    <r>
      <rPr>
        <sz val="10"/>
        <color rgb="FF333333"/>
        <rFont val="DejaVu Sans"/>
        <family val="2"/>
      </rPr>
      <t xml:space="preserve">입력 초기화
</t>
    </r>
    <r>
      <rPr>
        <sz val="10"/>
        <color rgb="FF333333"/>
        <rFont val="Arial"/>
        <family val="2"/>
        <charset val="1"/>
      </rPr>
      <t xml:space="preserve">- Enter/</t>
    </r>
    <r>
      <rPr>
        <sz val="10"/>
        <color rgb="FF333333"/>
        <rFont val="DejaVu Sans"/>
        <family val="2"/>
      </rPr>
      <t xml:space="preserve">검색버튼</t>
    </r>
    <r>
      <rPr>
        <sz val="10"/>
        <color rgb="FF333333"/>
        <rFont val="Arial"/>
        <family val="2"/>
        <charset val="1"/>
      </rPr>
      <t xml:space="preserve">: </t>
    </r>
    <r>
      <rPr>
        <sz val="10"/>
        <color rgb="FF333333"/>
        <rFont val="DejaVu Sans"/>
        <family val="2"/>
      </rPr>
      <t xml:space="preserve">검색 실행</t>
    </r>
  </si>
  <si>
    <t xml:space="preserve">API-010</t>
  </si>
  <si>
    <r>
      <rPr>
        <sz val="10"/>
        <color rgb="FF333333"/>
        <rFont val="Arial"/>
        <family val="2"/>
        <charset val="1"/>
      </rPr>
      <t xml:space="preserve">- URL </t>
    </r>
    <r>
      <rPr>
        <sz val="10"/>
        <color rgb="FF333333"/>
        <rFont val="DejaVu Sans"/>
        <family val="2"/>
      </rPr>
      <t xml:space="preserve">파라미터 반영
</t>
    </r>
    <r>
      <rPr>
        <sz val="10"/>
        <color rgb="FF333333"/>
        <rFont val="Arial"/>
        <family val="2"/>
        <charset val="1"/>
      </rPr>
      <t xml:space="preserve">- autofocus</t>
    </r>
  </si>
  <si>
    <r>
      <rPr>
        <sz val="10"/>
        <color rgb="FF333333"/>
        <rFont val="Arial"/>
        <family val="2"/>
        <charset val="1"/>
      </rPr>
      <t xml:space="preserve">- </t>
    </r>
    <r>
      <rPr>
        <sz val="10"/>
        <color rgb="FF333333"/>
        <rFont val="DejaVu Sans"/>
        <family val="2"/>
      </rPr>
      <t xml:space="preserve">키보드 자동 포커스
</t>
    </r>
    <r>
      <rPr>
        <sz val="10"/>
        <color rgb="FF333333"/>
        <rFont val="Arial"/>
        <family val="2"/>
        <charset val="1"/>
      </rPr>
      <t xml:space="preserve">- </t>
    </r>
    <r>
      <rPr>
        <sz val="10"/>
        <color rgb="FF333333"/>
        <rFont val="DejaVu Sans"/>
        <family val="2"/>
      </rPr>
      <t xml:space="preserve">음성 검색 아이콘</t>
    </r>
  </si>
  <si>
    <r>
      <rPr>
        <sz val="10"/>
        <color rgb="FF333333"/>
        <rFont val="Arial"/>
        <family val="2"/>
        <charset val="1"/>
      </rPr>
      <t xml:space="preserve">- </t>
    </r>
    <r>
      <rPr>
        <sz val="10"/>
        <color rgb="FF333333"/>
        <rFont val="DejaVu Sans"/>
        <family val="2"/>
      </rPr>
      <t xml:space="preserve">최소 </t>
    </r>
    <r>
      <rPr>
        <sz val="10"/>
        <color rgb="FF333333"/>
        <rFont val="Arial"/>
        <family val="2"/>
        <charset val="1"/>
      </rPr>
      <t xml:space="preserve">2</t>
    </r>
    <r>
      <rPr>
        <sz val="10"/>
        <color rgb="FF333333"/>
        <rFont val="DejaVu Sans"/>
        <family val="2"/>
      </rPr>
      <t xml:space="preserve">글자
</t>
    </r>
    <r>
      <rPr>
        <sz val="10"/>
        <color rgb="FF333333"/>
        <rFont val="Arial"/>
        <family val="2"/>
        <charset val="1"/>
      </rPr>
      <t xml:space="preserve">- </t>
    </r>
    <r>
      <rPr>
        <sz val="10"/>
        <color rgb="FF333333"/>
        <rFont val="DejaVu Sans"/>
        <family val="2"/>
      </rPr>
      <t xml:space="preserve">특수문자 이스케이프</t>
    </r>
  </si>
  <si>
    <r>
      <rPr>
        <sz val="10"/>
        <color rgb="FF333333"/>
        <rFont val="Arial"/>
        <family val="2"/>
        <charset val="1"/>
      </rPr>
      <t xml:space="preserve">- '2</t>
    </r>
    <r>
      <rPr>
        <sz val="10"/>
        <color rgb="FF333333"/>
        <rFont val="DejaVu Sans"/>
        <family val="2"/>
      </rPr>
      <t xml:space="preserve">글자 이상 입력해주세요</t>
    </r>
    <r>
      <rPr>
        <sz val="10"/>
        <color rgb="FF333333"/>
        <rFont val="Arial"/>
        <family val="2"/>
        <charset val="1"/>
      </rPr>
      <t xml:space="preserve">'</t>
    </r>
  </si>
  <si>
    <r>
      <rPr>
        <sz val="10"/>
        <color rgb="FF333333"/>
        <rFont val="DejaVu Sans"/>
        <family val="2"/>
      </rPr>
      <t xml:space="preserve">□ 검색창 레이블
□ 자동완성 </t>
    </r>
    <r>
      <rPr>
        <sz val="10"/>
        <color rgb="FF333333"/>
        <rFont val="DejaVu Sans"/>
        <family val="2"/>
        <charset val="1"/>
      </rPr>
      <t xml:space="preserve">aria</t>
    </r>
  </si>
  <si>
    <t xml:space="preserve">UI-031</t>
  </si>
  <si>
    <t xml:space="preserve">최근 검색어 목록</t>
  </si>
  <si>
    <r>
      <rPr>
        <sz val="10"/>
        <color rgb="FF333333"/>
        <rFont val="DejaVu Sans"/>
        <family val="2"/>
      </rPr>
      <t xml:space="preserve">사용자 최근 검색어 </t>
    </r>
    <r>
      <rPr>
        <sz val="10"/>
        <color rgb="FF333333"/>
        <rFont val="DejaVu Sans"/>
        <family val="2"/>
        <charset val="1"/>
      </rPr>
      <t xml:space="preserve">(</t>
    </r>
    <r>
      <rPr>
        <sz val="10"/>
        <color rgb="FF333333"/>
        <rFont val="DejaVu Sans"/>
        <family val="2"/>
      </rPr>
      <t xml:space="preserve">최대 </t>
    </r>
    <r>
      <rPr>
        <sz val="10"/>
        <color rgb="FF333333"/>
        <rFont val="DejaVu Sans"/>
        <family val="2"/>
        <charset val="1"/>
      </rPr>
      <t xml:space="preserve">20</t>
    </r>
    <r>
      <rPr>
        <sz val="10"/>
        <color rgb="FF333333"/>
        <rFont val="DejaVu Sans"/>
        <family val="2"/>
      </rPr>
      <t xml:space="preserve">개</t>
    </r>
    <r>
      <rPr>
        <sz val="10"/>
        <color rgb="FF333333"/>
        <rFont val="DejaVu Sans"/>
        <family val="2"/>
        <charset val="1"/>
      </rPr>
      <t xml:space="preserve">)</t>
    </r>
  </si>
  <si>
    <r>
      <rPr>
        <sz val="10"/>
        <color rgb="FF333333"/>
        <rFont val="Arial"/>
        <family val="2"/>
        <charset val="1"/>
      </rPr>
      <t xml:space="preserve">- </t>
    </r>
    <r>
      <rPr>
        <sz val="10"/>
        <color rgb="FF333333"/>
        <rFont val="DejaVu Sans"/>
        <family val="2"/>
      </rPr>
      <t xml:space="preserve">검색어별 </t>
    </r>
    <r>
      <rPr>
        <sz val="10"/>
        <color rgb="FF333333"/>
        <rFont val="Arial"/>
        <family val="2"/>
        <charset val="1"/>
      </rPr>
      <t xml:space="preserve">X </t>
    </r>
    <r>
      <rPr>
        <sz val="10"/>
        <color rgb="FF333333"/>
        <rFont val="DejaVu Sans"/>
        <family val="2"/>
      </rPr>
      <t xml:space="preserve">버튼</t>
    </r>
    <r>
      <rPr>
        <sz val="10"/>
        <color rgb="FF333333"/>
        <rFont val="Arial"/>
        <family val="2"/>
        <charset val="1"/>
      </rPr>
      <t xml:space="preserve">: </t>
    </r>
    <r>
      <rPr>
        <sz val="10"/>
        <color rgb="FF333333"/>
        <rFont val="DejaVu Sans"/>
        <family val="2"/>
      </rPr>
      <t xml:space="preserve">개별 삭제
</t>
    </r>
    <r>
      <rPr>
        <sz val="10"/>
        <color rgb="FF333333"/>
        <rFont val="Arial"/>
        <family val="2"/>
        <charset val="1"/>
      </rPr>
      <t xml:space="preserve">- '</t>
    </r>
    <r>
      <rPr>
        <sz val="10"/>
        <color rgb="FF333333"/>
        <rFont val="DejaVu Sans"/>
        <family val="2"/>
      </rPr>
      <t xml:space="preserve">전체 삭제</t>
    </r>
    <r>
      <rPr>
        <sz val="10"/>
        <color rgb="FF333333"/>
        <rFont val="Arial"/>
        <family val="2"/>
        <charset val="1"/>
      </rPr>
      <t xml:space="preserve">' </t>
    </r>
    <r>
      <rPr>
        <sz val="10"/>
        <color rgb="FF333333"/>
        <rFont val="DejaVu Sans"/>
        <family val="2"/>
      </rPr>
      <t xml:space="preserve">버튼
</t>
    </r>
    <r>
      <rPr>
        <sz val="10"/>
        <color rgb="FF333333"/>
        <rFont val="Arial"/>
        <family val="2"/>
        <charset val="1"/>
      </rPr>
      <t xml:space="preserve">- </t>
    </r>
    <r>
      <rPr>
        <sz val="10"/>
        <color rgb="FF333333"/>
        <rFont val="DejaVu Sans"/>
        <family val="2"/>
      </rPr>
      <t xml:space="preserve">탭</t>
    </r>
    <r>
      <rPr>
        <sz val="10"/>
        <color rgb="FF333333"/>
        <rFont val="Arial"/>
        <family val="2"/>
        <charset val="1"/>
      </rPr>
      <t xml:space="preserve">/</t>
    </r>
    <r>
      <rPr>
        <sz val="10"/>
        <color rgb="FF333333"/>
        <rFont val="DejaVu Sans"/>
        <family val="2"/>
      </rPr>
      <t xml:space="preserve">클릭 시 해당 키워드로 검색</t>
    </r>
  </si>
  <si>
    <t xml:space="preserve">□ 삭제 버튼 레이블</t>
  </si>
  <si>
    <t xml:space="preserve">UI-032</t>
  </si>
  <si>
    <t xml:space="preserve">필터 패널</t>
  </si>
  <si>
    <t xml:space="preserve">Select</t>
  </si>
  <si>
    <r>
      <rPr>
        <sz val="10"/>
        <color rgb="FF333333"/>
        <rFont val="DejaVu Sans"/>
        <family val="2"/>
      </rPr>
      <t xml:space="preserve">검색 필터 </t>
    </r>
    <r>
      <rPr>
        <sz val="10"/>
        <color rgb="FF333333"/>
        <rFont val="DejaVu Sans"/>
        <family val="2"/>
        <charset val="1"/>
      </rPr>
      <t xml:space="preserve">(</t>
    </r>
    <r>
      <rPr>
        <sz val="10"/>
        <color rgb="FF333333"/>
        <rFont val="DejaVu Sans"/>
        <family val="2"/>
      </rPr>
      <t xml:space="preserve">카테고리</t>
    </r>
    <r>
      <rPr>
        <sz val="10"/>
        <color rgb="FF333333"/>
        <rFont val="DejaVu Sans"/>
        <family val="2"/>
        <charset val="1"/>
      </rPr>
      <t xml:space="preserve">/</t>
    </r>
    <r>
      <rPr>
        <sz val="10"/>
        <color rgb="FF333333"/>
        <rFont val="DejaVu Sans"/>
        <family val="2"/>
      </rPr>
      <t xml:space="preserve">날짜</t>
    </r>
    <r>
      <rPr>
        <sz val="10"/>
        <color rgb="FF333333"/>
        <rFont val="DejaVu Sans"/>
        <family val="2"/>
        <charset val="1"/>
      </rPr>
      <t xml:space="preserve">/</t>
    </r>
    <r>
      <rPr>
        <sz val="10"/>
        <color rgb="FF333333"/>
        <rFont val="DejaVu Sans"/>
        <family val="2"/>
      </rPr>
      <t xml:space="preserve">정렬</t>
    </r>
    <r>
      <rPr>
        <sz val="10"/>
        <color rgb="FF333333"/>
        <rFont val="DejaVu Sans"/>
        <family val="2"/>
        <charset val="1"/>
      </rPr>
      <t xml:space="preserve">)</t>
    </r>
  </si>
  <si>
    <r>
      <rPr>
        <sz val="10"/>
        <color rgb="FF333333"/>
        <rFont val="Arial"/>
        <family val="2"/>
        <charset val="1"/>
      </rPr>
      <t xml:space="preserve">- Web: </t>
    </r>
    <r>
      <rPr>
        <sz val="10"/>
        <color rgb="FF333333"/>
        <rFont val="DejaVu Sans"/>
        <family val="2"/>
      </rPr>
      <t xml:space="preserve">좌측 사이드 패널
</t>
    </r>
    <r>
      <rPr>
        <sz val="10"/>
        <color rgb="FF333333"/>
        <rFont val="Arial"/>
        <family val="2"/>
        <charset val="1"/>
      </rPr>
      <t xml:space="preserve">- App: </t>
    </r>
    <r>
      <rPr>
        <sz val="10"/>
        <color rgb="FF333333"/>
        <rFont val="DejaVu Sans"/>
        <family val="2"/>
      </rPr>
      <t xml:space="preserve">하단 바텀시트
</t>
    </r>
    <r>
      <rPr>
        <sz val="10"/>
        <color rgb="FF333333"/>
        <rFont val="Arial"/>
        <family val="2"/>
        <charset val="1"/>
      </rPr>
      <t xml:space="preserve">- </t>
    </r>
    <r>
      <rPr>
        <sz val="10"/>
        <color rgb="FF333333"/>
        <rFont val="DejaVu Sans"/>
        <family val="2"/>
      </rPr>
      <t xml:space="preserve">필터 적용 시 결과 즉시 갱신
</t>
    </r>
    <r>
      <rPr>
        <sz val="10"/>
        <color rgb="FF333333"/>
        <rFont val="Arial"/>
        <family val="2"/>
        <charset val="1"/>
      </rPr>
      <t xml:space="preserve">- </t>
    </r>
    <r>
      <rPr>
        <sz val="10"/>
        <color rgb="FF333333"/>
        <rFont val="DejaVu Sans"/>
        <family val="2"/>
      </rPr>
      <t xml:space="preserve">활성 필터 칩으로 표시</t>
    </r>
  </si>
  <si>
    <r>
      <rPr>
        <sz val="10"/>
        <color rgb="FF333333"/>
        <rFont val="Arial"/>
        <family val="2"/>
        <charset val="1"/>
      </rPr>
      <t xml:space="preserve">- </t>
    </r>
    <r>
      <rPr>
        <sz val="10"/>
        <color rgb="FF333333"/>
        <rFont val="DejaVu Sans"/>
        <family val="2"/>
      </rPr>
      <t xml:space="preserve">사이드 패널 </t>
    </r>
    <r>
      <rPr>
        <sz val="10"/>
        <color rgb="FF333333"/>
        <rFont val="Arial"/>
        <family val="2"/>
        <charset val="1"/>
      </rPr>
      <t xml:space="preserve">(</t>
    </r>
    <r>
      <rPr>
        <sz val="10"/>
        <color rgb="FF333333"/>
        <rFont val="DejaVu Sans"/>
        <family val="2"/>
      </rPr>
      <t xml:space="preserve">항상 표시 </t>
    </r>
    <r>
      <rPr>
        <sz val="10"/>
        <color rgb="FF333333"/>
        <rFont val="Arial"/>
        <family val="2"/>
        <charset val="1"/>
      </rPr>
      <t xml:space="preserve">or </t>
    </r>
    <r>
      <rPr>
        <sz val="10"/>
        <color rgb="FF333333"/>
        <rFont val="DejaVu Sans"/>
        <family val="2"/>
      </rPr>
      <t xml:space="preserve">접기</t>
    </r>
    <r>
      <rPr>
        <sz val="10"/>
        <color rgb="FF333333"/>
        <rFont val="Arial"/>
        <family val="2"/>
        <charset val="1"/>
      </rPr>
      <t xml:space="preserve">)</t>
    </r>
  </si>
  <si>
    <r>
      <rPr>
        <sz val="10"/>
        <color rgb="FF333333"/>
        <rFont val="Arial"/>
        <family val="2"/>
        <charset val="1"/>
      </rPr>
      <t xml:space="preserve">- </t>
    </r>
    <r>
      <rPr>
        <sz val="10"/>
        <color rgb="FF333333"/>
        <rFont val="DejaVu Sans"/>
        <family val="2"/>
      </rPr>
      <t xml:space="preserve">바텀시트 </t>
    </r>
    <r>
      <rPr>
        <sz val="10"/>
        <color rgb="FF333333"/>
        <rFont val="Arial"/>
        <family val="2"/>
        <charset val="1"/>
      </rPr>
      <t xml:space="preserve">(</t>
    </r>
    <r>
      <rPr>
        <sz val="10"/>
        <color rgb="FF333333"/>
        <rFont val="DejaVu Sans"/>
        <family val="2"/>
      </rPr>
      <t xml:space="preserve">필터 아이콘 탭 시</t>
    </r>
    <r>
      <rPr>
        <sz val="10"/>
        <color rgb="FF333333"/>
        <rFont val="Arial"/>
        <family val="2"/>
        <charset val="1"/>
      </rPr>
      <t xml:space="preserve">)</t>
    </r>
  </si>
  <si>
    <t xml:space="preserve">□ 필터 옵션 레이블</t>
  </si>
  <si>
    <t xml:space="preserve">UI-033</t>
  </si>
  <si>
    <t xml:space="preserve">검색 결과 목록</t>
  </si>
  <si>
    <t xml:space="preserve">검색 결과 카드 목록</t>
  </si>
  <si>
    <r>
      <rPr>
        <sz val="10"/>
        <color rgb="FF333333"/>
        <rFont val="Arial"/>
        <family val="2"/>
        <charset val="1"/>
      </rPr>
      <t xml:space="preserve">- </t>
    </r>
    <r>
      <rPr>
        <sz val="10"/>
        <color rgb="FF333333"/>
        <rFont val="DejaVu Sans"/>
        <family val="2"/>
      </rPr>
      <t xml:space="preserve">결과 건수 표시
</t>
    </r>
    <r>
      <rPr>
        <sz val="10"/>
        <color rgb="FF333333"/>
        <rFont val="Arial"/>
        <family val="2"/>
        <charset val="1"/>
      </rPr>
      <t xml:space="preserve">- </t>
    </r>
    <r>
      <rPr>
        <sz val="10"/>
        <color rgb="FF333333"/>
        <rFont val="DejaVu Sans"/>
        <family val="2"/>
      </rPr>
      <t xml:space="preserve">키워드 하이라이트
</t>
    </r>
    <r>
      <rPr>
        <sz val="10"/>
        <color rgb="FF333333"/>
        <rFont val="Arial"/>
        <family val="2"/>
        <charset val="1"/>
      </rPr>
      <t xml:space="preserve">- </t>
    </r>
    <r>
      <rPr>
        <sz val="10"/>
        <color rgb="FF333333"/>
        <rFont val="DejaVu Sans"/>
        <family val="2"/>
      </rPr>
      <t xml:space="preserve">카드 탭 시 상세 이동
</t>
    </r>
    <r>
      <rPr>
        <sz val="10"/>
        <color rgb="FF333333"/>
        <rFont val="Arial"/>
        <family val="2"/>
        <charset val="1"/>
      </rPr>
      <t xml:space="preserve">- Web: </t>
    </r>
    <r>
      <rPr>
        <sz val="10"/>
        <color rgb="FF333333"/>
        <rFont val="DejaVu Sans"/>
        <family val="2"/>
      </rPr>
      <t xml:space="preserve">페이지네이션
</t>
    </r>
    <r>
      <rPr>
        <sz val="10"/>
        <color rgb="FF333333"/>
        <rFont val="Arial"/>
        <family val="2"/>
        <charset val="1"/>
      </rPr>
      <t xml:space="preserve">- App: </t>
    </r>
    <r>
      <rPr>
        <sz val="10"/>
        <color rgb="FF333333"/>
        <rFont val="DejaVu Sans"/>
        <family val="2"/>
      </rPr>
      <t xml:space="preserve">무한 스크롤</t>
    </r>
  </si>
  <si>
    <r>
      <rPr>
        <sz val="10"/>
        <color rgb="FF333333"/>
        <rFont val="Arial"/>
        <family val="2"/>
        <charset val="1"/>
      </rPr>
      <t xml:space="preserve">- </t>
    </r>
    <r>
      <rPr>
        <sz val="10"/>
        <color rgb="FF333333"/>
        <rFont val="DejaVu Sans"/>
        <family val="2"/>
      </rPr>
      <t xml:space="preserve">페이지네이션 </t>
    </r>
    <r>
      <rPr>
        <sz val="10"/>
        <color rgb="FF333333"/>
        <rFont val="Arial"/>
        <family val="2"/>
        <charset val="1"/>
      </rPr>
      <t xml:space="preserve">(</t>
    </r>
    <r>
      <rPr>
        <sz val="10"/>
        <color rgb="FF333333"/>
        <rFont val="DejaVu Sans"/>
        <family val="2"/>
      </rPr>
      <t xml:space="preserve">하단</t>
    </r>
    <r>
      <rPr>
        <sz val="10"/>
        <color rgb="FF333333"/>
        <rFont val="Arial"/>
        <family val="2"/>
        <charset val="1"/>
      </rPr>
      <t xml:space="preserve">)</t>
    </r>
  </si>
  <si>
    <r>
      <rPr>
        <sz val="10"/>
        <color rgb="FF333333"/>
        <rFont val="Arial"/>
        <family val="2"/>
        <charset val="1"/>
      </rPr>
      <t xml:space="preserve">- </t>
    </r>
    <r>
      <rPr>
        <sz val="10"/>
        <color rgb="FF333333"/>
        <rFont val="DejaVu Sans"/>
        <family val="2"/>
      </rPr>
      <t xml:space="preserve">무한 스크롤
</t>
    </r>
    <r>
      <rPr>
        <sz val="10"/>
        <color rgb="FF333333"/>
        <rFont val="Arial"/>
        <family val="2"/>
        <charset val="1"/>
      </rPr>
      <t xml:space="preserve">- </t>
    </r>
    <r>
      <rPr>
        <sz val="10"/>
        <color rgb="FF333333"/>
        <rFont val="DejaVu Sans"/>
        <family val="2"/>
      </rPr>
      <t xml:space="preserve">스켈레톤 로딩</t>
    </r>
  </si>
  <si>
    <r>
      <rPr>
        <sz val="10"/>
        <color rgb="FF333333"/>
        <rFont val="Arial"/>
        <family val="2"/>
        <charset val="1"/>
      </rPr>
      <t xml:space="preserve">- </t>
    </r>
    <r>
      <rPr>
        <sz val="10"/>
        <color rgb="FF333333"/>
        <rFont val="DejaVu Sans"/>
        <family val="2"/>
      </rPr>
      <t xml:space="preserve">결과 없음</t>
    </r>
    <r>
      <rPr>
        <sz val="10"/>
        <color rgb="FF333333"/>
        <rFont val="Arial"/>
        <family val="2"/>
        <charset val="1"/>
      </rPr>
      <t xml:space="preserve">: '</t>
    </r>
    <r>
      <rPr>
        <sz val="10"/>
        <color rgb="FF333333"/>
        <rFont val="DejaVu Sans"/>
        <family val="2"/>
      </rPr>
      <t xml:space="preserve">검색 결과가 없습니다</t>
    </r>
    <r>
      <rPr>
        <sz val="10"/>
        <color rgb="FF333333"/>
        <rFont val="Arial"/>
        <family val="2"/>
        <charset val="1"/>
      </rPr>
      <t xml:space="preserve">' + </t>
    </r>
    <r>
      <rPr>
        <sz val="10"/>
        <color rgb="FF333333"/>
        <rFont val="DejaVu Sans"/>
        <family val="2"/>
      </rPr>
      <t xml:space="preserve">추천 검색어</t>
    </r>
  </si>
  <si>
    <t xml:space="preserve">□ 결과 건수 알림
□ 카드 포커스</t>
  </si>
  <si>
    <t xml:space="preserve">▼ SCR-030</t>
  </si>
  <si>
    <t xml:space="preserve">UI-040</t>
  </si>
  <si>
    <t xml:space="preserve">프로필 이미지</t>
  </si>
  <si>
    <t xml:space="preserve">Image</t>
  </si>
  <si>
    <t xml:space="preserve">사용자 프로필 사진</t>
  </si>
  <si>
    <r>
      <rPr>
        <sz val="10"/>
        <color rgb="FF333333"/>
        <rFont val="Arial"/>
        <family val="2"/>
        <charset val="1"/>
      </rPr>
      <t xml:space="preserve">- </t>
    </r>
    <r>
      <rPr>
        <sz val="10"/>
        <color rgb="FF333333"/>
        <rFont val="DejaVu Sans"/>
        <family val="2"/>
      </rPr>
      <t xml:space="preserve">탭</t>
    </r>
    <r>
      <rPr>
        <sz val="10"/>
        <color rgb="FF333333"/>
        <rFont val="Arial"/>
        <family val="2"/>
        <charset val="1"/>
      </rPr>
      <t xml:space="preserve">/</t>
    </r>
    <r>
      <rPr>
        <sz val="10"/>
        <color rgb="FF333333"/>
        <rFont val="DejaVu Sans"/>
        <family val="2"/>
      </rPr>
      <t xml:space="preserve">클릭 시 이미지 변경 옵션
</t>
    </r>
    <r>
      <rPr>
        <sz val="10"/>
        <color rgb="FF333333"/>
        <rFont val="Arial"/>
        <family val="2"/>
        <charset val="1"/>
      </rPr>
      <t xml:space="preserve">- Web: </t>
    </r>
    <r>
      <rPr>
        <sz val="10"/>
        <color rgb="FF333333"/>
        <rFont val="DejaVu Sans"/>
        <family val="2"/>
      </rPr>
      <t xml:space="preserve">파일 선택 모달
</t>
    </r>
    <r>
      <rPr>
        <sz val="10"/>
        <color rgb="FF333333"/>
        <rFont val="Arial"/>
        <family val="2"/>
        <charset val="1"/>
      </rPr>
      <t xml:space="preserve">- App: </t>
    </r>
    <r>
      <rPr>
        <sz val="10"/>
        <color rgb="FF333333"/>
        <rFont val="DejaVu Sans"/>
        <family val="2"/>
      </rPr>
      <t xml:space="preserve">카메라</t>
    </r>
    <r>
      <rPr>
        <sz val="10"/>
        <color rgb="FF333333"/>
        <rFont val="Arial"/>
        <family val="2"/>
        <charset val="1"/>
      </rPr>
      <t xml:space="preserve">/</t>
    </r>
    <r>
      <rPr>
        <sz val="10"/>
        <color rgb="FF333333"/>
        <rFont val="DejaVu Sans"/>
        <family val="2"/>
      </rPr>
      <t xml:space="preserve">갤러리 액션시트
</t>
    </r>
    <r>
      <rPr>
        <sz val="10"/>
        <color rgb="FF333333"/>
        <rFont val="Arial"/>
        <family val="2"/>
        <charset val="1"/>
      </rPr>
      <t xml:space="preserve">- </t>
    </r>
    <r>
      <rPr>
        <sz val="10"/>
        <color rgb="FF333333"/>
        <rFont val="DejaVu Sans"/>
        <family val="2"/>
      </rPr>
      <t xml:space="preserve">크롭 후 저장</t>
    </r>
  </si>
  <si>
    <t xml:space="preserve">FN-005</t>
  </si>
  <si>
    <t xml:space="preserve">API-020</t>
  </si>
  <si>
    <r>
      <rPr>
        <sz val="10"/>
        <color rgb="FF333333"/>
        <rFont val="Arial"/>
        <family val="2"/>
        <charset val="1"/>
      </rPr>
      <t xml:space="preserve">- </t>
    </r>
    <r>
      <rPr>
        <sz val="10"/>
        <color rgb="FF333333"/>
        <rFont val="DejaVu Sans"/>
        <family val="2"/>
      </rPr>
      <t xml:space="preserve">파일 선택 </t>
    </r>
    <r>
      <rPr>
        <sz val="10"/>
        <color rgb="FF333333"/>
        <rFont val="Arial"/>
        <family val="2"/>
        <charset val="1"/>
      </rPr>
      <t xml:space="preserve">+ </t>
    </r>
    <r>
      <rPr>
        <sz val="10"/>
        <color rgb="FF333333"/>
        <rFont val="DejaVu Sans"/>
        <family val="2"/>
      </rPr>
      <t xml:space="preserve">크롭 모달</t>
    </r>
  </si>
  <si>
    <r>
      <rPr>
        <sz val="10"/>
        <color rgb="FF333333"/>
        <rFont val="Arial"/>
        <family val="2"/>
        <charset val="1"/>
      </rPr>
      <t xml:space="preserve">- </t>
    </r>
    <r>
      <rPr>
        <sz val="10"/>
        <color rgb="FF333333"/>
        <rFont val="DejaVu Sans"/>
        <family val="2"/>
      </rPr>
      <t xml:space="preserve">카메라</t>
    </r>
    <r>
      <rPr>
        <sz val="10"/>
        <color rgb="FF333333"/>
        <rFont val="Arial"/>
        <family val="2"/>
        <charset val="1"/>
      </rPr>
      <t xml:space="preserve">/</t>
    </r>
    <r>
      <rPr>
        <sz val="10"/>
        <color rgb="FF333333"/>
        <rFont val="DejaVu Sans"/>
        <family val="2"/>
      </rPr>
      <t xml:space="preserve">갤러리 선택
</t>
    </r>
    <r>
      <rPr>
        <sz val="10"/>
        <color rgb="FF333333"/>
        <rFont val="Arial"/>
        <family val="2"/>
        <charset val="1"/>
      </rPr>
      <t xml:space="preserve">- </t>
    </r>
    <r>
      <rPr>
        <sz val="10"/>
        <color rgb="FF333333"/>
        <rFont val="DejaVu Sans"/>
        <family val="2"/>
      </rPr>
      <t xml:space="preserve">크롭 화면</t>
    </r>
  </si>
  <si>
    <r>
      <rPr>
        <sz val="10"/>
        <color rgb="FF333333"/>
        <rFont val="Arial"/>
        <family val="2"/>
        <charset val="1"/>
      </rPr>
      <t xml:space="preserve">- JPG/PNG</t>
    </r>
    <r>
      <rPr>
        <sz val="10"/>
        <color rgb="FF333333"/>
        <rFont val="DejaVu Sans"/>
        <family val="2"/>
      </rPr>
      <t xml:space="preserve">만 허용
</t>
    </r>
    <r>
      <rPr>
        <sz val="10"/>
        <color rgb="FF333333"/>
        <rFont val="Arial"/>
        <family val="2"/>
        <charset val="1"/>
      </rPr>
      <t xml:space="preserve">- 5MB </t>
    </r>
    <r>
      <rPr>
        <sz val="10"/>
        <color rgb="FF333333"/>
        <rFont val="DejaVu Sans"/>
        <family val="2"/>
      </rPr>
      <t xml:space="preserve">이하
</t>
    </r>
    <r>
      <rPr>
        <sz val="10"/>
        <color rgb="FF333333"/>
        <rFont val="Arial"/>
        <family val="2"/>
        <charset val="1"/>
      </rPr>
      <t xml:space="preserve">- </t>
    </r>
    <r>
      <rPr>
        <sz val="10"/>
        <color rgb="FF333333"/>
        <rFont val="DejaVu Sans"/>
        <family val="2"/>
      </rPr>
      <t xml:space="preserve">자동 리사이즈 </t>
    </r>
    <r>
      <rPr>
        <sz val="10"/>
        <color rgb="FF333333"/>
        <rFont val="Arial"/>
        <family val="2"/>
        <charset val="1"/>
      </rPr>
      <t xml:space="preserve">500x500</t>
    </r>
  </si>
  <si>
    <r>
      <rPr>
        <sz val="10"/>
        <color rgb="FF333333"/>
        <rFont val="Arial"/>
        <family val="2"/>
        <charset val="1"/>
      </rPr>
      <t xml:space="preserve">- '5MB </t>
    </r>
    <r>
      <rPr>
        <sz val="10"/>
        <color rgb="FF333333"/>
        <rFont val="DejaVu Sans"/>
        <family val="2"/>
      </rPr>
      <t xml:space="preserve">이하 파일만 가능합니다</t>
    </r>
    <r>
      <rPr>
        <sz val="10"/>
        <color rgb="FF333333"/>
        <rFont val="Arial"/>
        <family val="2"/>
        <charset val="1"/>
      </rPr>
      <t xml:space="preserve">'
- '</t>
    </r>
    <r>
      <rPr>
        <sz val="10"/>
        <color rgb="FF333333"/>
        <rFont val="DejaVu Sans"/>
        <family val="2"/>
      </rPr>
      <t xml:space="preserve">지원하지 않는 파일 형식입니다</t>
    </r>
    <r>
      <rPr>
        <sz val="10"/>
        <color rgb="FF333333"/>
        <rFont val="Arial"/>
        <family val="2"/>
        <charset val="1"/>
      </rPr>
      <t xml:space="preserve">'</t>
    </r>
  </si>
  <si>
    <r>
      <rPr>
        <sz val="10"/>
        <color rgb="FF333333"/>
        <rFont val="DejaVu Sans"/>
        <family val="2"/>
      </rPr>
      <t xml:space="preserve">□ 프로필 이미지 </t>
    </r>
    <r>
      <rPr>
        <sz val="10"/>
        <color rgb="FF333333"/>
        <rFont val="DejaVu Sans"/>
        <family val="2"/>
        <charset val="1"/>
      </rPr>
      <t xml:space="preserve">alt</t>
    </r>
  </si>
  <si>
    <t xml:space="preserve">UI-041</t>
  </si>
  <si>
    <t xml:space="preserve">닉네임 편집</t>
  </si>
  <si>
    <t xml:space="preserve">닉네임 인라인 편집</t>
  </si>
  <si>
    <r>
      <rPr>
        <sz val="10"/>
        <color rgb="FF333333"/>
        <rFont val="Arial"/>
        <family val="2"/>
        <charset val="1"/>
      </rPr>
      <t xml:space="preserve">- </t>
    </r>
    <r>
      <rPr>
        <sz val="10"/>
        <color rgb="FF333333"/>
        <rFont val="DejaVu Sans"/>
        <family val="2"/>
      </rPr>
      <t xml:space="preserve">연필 아이콘 탭 시 편집 모드
</t>
    </r>
    <r>
      <rPr>
        <sz val="10"/>
        <color rgb="FF333333"/>
        <rFont val="Arial"/>
        <family val="2"/>
        <charset val="1"/>
      </rPr>
      <t xml:space="preserve">- </t>
    </r>
    <r>
      <rPr>
        <sz val="10"/>
        <color rgb="FF333333"/>
        <rFont val="DejaVu Sans"/>
        <family val="2"/>
      </rPr>
      <t xml:space="preserve">실시간 중복 체크
</t>
    </r>
    <r>
      <rPr>
        <sz val="10"/>
        <color rgb="FF333333"/>
        <rFont val="Arial"/>
        <family val="2"/>
        <charset val="1"/>
      </rPr>
      <t xml:space="preserve">- </t>
    </r>
    <r>
      <rPr>
        <sz val="10"/>
        <color rgb="FF333333"/>
        <rFont val="DejaVu Sans"/>
        <family val="2"/>
      </rPr>
      <t xml:space="preserve">저장</t>
    </r>
    <r>
      <rPr>
        <sz val="10"/>
        <color rgb="FF333333"/>
        <rFont val="Arial"/>
        <family val="2"/>
        <charset val="1"/>
      </rPr>
      <t xml:space="preserve">/</t>
    </r>
    <r>
      <rPr>
        <sz val="10"/>
        <color rgb="FF333333"/>
        <rFont val="DejaVu Sans"/>
        <family val="2"/>
      </rPr>
      <t xml:space="preserve">취소 버튼 표시</t>
    </r>
  </si>
  <si>
    <r>
      <rPr>
        <sz val="10"/>
        <color rgb="FF333333"/>
        <rFont val="Arial"/>
        <family val="2"/>
        <charset val="1"/>
      </rPr>
      <t xml:space="preserve">- 2~20</t>
    </r>
    <r>
      <rPr>
        <sz val="10"/>
        <color rgb="FF333333"/>
        <rFont val="DejaVu Sans"/>
        <family val="2"/>
      </rPr>
      <t xml:space="preserve">자
</t>
    </r>
    <r>
      <rPr>
        <sz val="10"/>
        <color rgb="FF333333"/>
        <rFont val="Arial"/>
        <family val="2"/>
        <charset val="1"/>
      </rPr>
      <t xml:space="preserve">- </t>
    </r>
    <r>
      <rPr>
        <sz val="10"/>
        <color rgb="FF333333"/>
        <rFont val="DejaVu Sans"/>
        <family val="2"/>
      </rPr>
      <t xml:space="preserve">특수문자 제한
</t>
    </r>
    <r>
      <rPr>
        <sz val="10"/>
        <color rgb="FF333333"/>
        <rFont val="Arial"/>
        <family val="2"/>
        <charset val="1"/>
      </rPr>
      <t xml:space="preserve">- 30</t>
    </r>
    <r>
      <rPr>
        <sz val="10"/>
        <color rgb="FF333333"/>
        <rFont val="DejaVu Sans"/>
        <family val="2"/>
      </rPr>
      <t xml:space="preserve">일 </t>
    </r>
    <r>
      <rPr>
        <sz val="10"/>
        <color rgb="FF333333"/>
        <rFont val="Arial"/>
        <family val="2"/>
        <charset val="1"/>
      </rPr>
      <t xml:space="preserve">1</t>
    </r>
    <r>
      <rPr>
        <sz val="10"/>
        <color rgb="FF333333"/>
        <rFont val="DejaVu Sans"/>
        <family val="2"/>
      </rPr>
      <t xml:space="preserve">회 변경</t>
    </r>
  </si>
  <si>
    <r>
      <rPr>
        <sz val="10"/>
        <color rgb="FF333333"/>
        <rFont val="Arial"/>
        <family val="2"/>
        <charset val="1"/>
      </rPr>
      <t xml:space="preserve">- '</t>
    </r>
    <r>
      <rPr>
        <sz val="10"/>
        <color rgb="FF333333"/>
        <rFont val="DejaVu Sans"/>
        <family val="2"/>
      </rPr>
      <t xml:space="preserve">이미 사용 중인 닉네임입니다</t>
    </r>
    <r>
      <rPr>
        <sz val="10"/>
        <color rgb="FF333333"/>
        <rFont val="Arial"/>
        <family val="2"/>
        <charset val="1"/>
      </rPr>
      <t xml:space="preserve">'
- '2~20</t>
    </r>
    <r>
      <rPr>
        <sz val="10"/>
        <color rgb="FF333333"/>
        <rFont val="DejaVu Sans"/>
        <family val="2"/>
      </rPr>
      <t xml:space="preserve">자로 입력해주세요</t>
    </r>
    <r>
      <rPr>
        <sz val="10"/>
        <color rgb="FF333333"/>
        <rFont val="Arial"/>
        <family val="2"/>
        <charset val="1"/>
      </rPr>
      <t xml:space="preserve">'
- '30</t>
    </r>
    <r>
      <rPr>
        <sz val="10"/>
        <color rgb="FF333333"/>
        <rFont val="DejaVu Sans"/>
        <family val="2"/>
      </rPr>
      <t xml:space="preserve">일 내 변경 불가</t>
    </r>
    <r>
      <rPr>
        <sz val="10"/>
        <color rgb="FF333333"/>
        <rFont val="Arial"/>
        <family val="2"/>
        <charset val="1"/>
      </rPr>
      <t xml:space="preserve">'</t>
    </r>
  </si>
  <si>
    <t xml:space="preserve">□ 편집 모드 상태 알림</t>
  </si>
  <si>
    <t xml:space="preserve">UI-042</t>
  </si>
  <si>
    <t xml:space="preserve">메뉴 목록</t>
  </si>
  <si>
    <t xml:space="preserve">마이페이지 설정 메뉴</t>
  </si>
  <si>
    <r>
      <rPr>
        <sz val="10"/>
        <color rgb="FF333333"/>
        <rFont val="Arial"/>
        <family val="2"/>
        <charset val="1"/>
      </rPr>
      <t xml:space="preserve">- </t>
    </r>
    <r>
      <rPr>
        <sz val="10"/>
        <color rgb="FF333333"/>
        <rFont val="DejaVu Sans"/>
        <family val="2"/>
      </rPr>
      <t xml:space="preserve">리스트 메뉴</t>
    </r>
    <r>
      <rPr>
        <sz val="10"/>
        <color rgb="FF333333"/>
        <rFont val="Arial"/>
        <family val="2"/>
        <charset val="1"/>
      </rPr>
      <t xml:space="preserve">: </t>
    </r>
    <r>
      <rPr>
        <sz val="10"/>
        <color rgb="FF333333"/>
        <rFont val="DejaVu Sans"/>
        <family val="2"/>
      </rPr>
      <t xml:space="preserve">알림 설정</t>
    </r>
    <r>
      <rPr>
        <sz val="10"/>
        <color rgb="FF333333"/>
        <rFont val="Arial"/>
        <family val="2"/>
        <charset val="1"/>
      </rPr>
      <t xml:space="preserve">, </t>
    </r>
    <r>
      <rPr>
        <sz val="10"/>
        <color rgb="FF333333"/>
        <rFont val="DejaVu Sans"/>
        <family val="2"/>
      </rPr>
      <t xml:space="preserve">다크모드</t>
    </r>
    <r>
      <rPr>
        <sz val="10"/>
        <color rgb="FF333333"/>
        <rFont val="Arial"/>
        <family val="2"/>
        <charset val="1"/>
      </rPr>
      <t xml:space="preserve">, </t>
    </r>
    <r>
      <rPr>
        <sz val="10"/>
        <color rgb="FF333333"/>
        <rFont val="DejaVu Sans"/>
        <family val="2"/>
      </rPr>
      <t xml:space="preserve">개인정보</t>
    </r>
    <r>
      <rPr>
        <sz val="10"/>
        <color rgb="FF333333"/>
        <rFont val="Arial"/>
        <family val="2"/>
        <charset val="1"/>
      </rPr>
      <t xml:space="preserve">, </t>
    </r>
    <r>
      <rPr>
        <sz val="10"/>
        <color rgb="FF333333"/>
        <rFont val="DejaVu Sans"/>
        <family val="2"/>
      </rPr>
      <t xml:space="preserve">고객센터</t>
    </r>
    <r>
      <rPr>
        <sz val="10"/>
        <color rgb="FF333333"/>
        <rFont val="Arial"/>
        <family val="2"/>
        <charset val="1"/>
      </rPr>
      <t xml:space="preserve">, </t>
    </r>
    <r>
      <rPr>
        <sz val="10"/>
        <color rgb="FF333333"/>
        <rFont val="DejaVu Sans"/>
        <family val="2"/>
      </rPr>
      <t xml:space="preserve">로그아웃
</t>
    </r>
    <r>
      <rPr>
        <sz val="10"/>
        <color rgb="FF333333"/>
        <rFont val="Arial"/>
        <family val="2"/>
        <charset val="1"/>
      </rPr>
      <t xml:space="preserve">- </t>
    </r>
    <r>
      <rPr>
        <sz val="10"/>
        <color rgb="FF333333"/>
        <rFont val="DejaVu Sans"/>
        <family val="2"/>
      </rPr>
      <t xml:space="preserve">각 메뉴 탭 시 해당 화면 이동
</t>
    </r>
    <r>
      <rPr>
        <sz val="10"/>
        <color rgb="FF333333"/>
        <rFont val="Arial"/>
        <family val="2"/>
        <charset val="1"/>
      </rPr>
      <t xml:space="preserve">- </t>
    </r>
    <r>
      <rPr>
        <sz val="10"/>
        <color rgb="FF333333"/>
        <rFont val="DejaVu Sans"/>
        <family val="2"/>
      </rPr>
      <t xml:space="preserve">로그아웃</t>
    </r>
    <r>
      <rPr>
        <sz val="10"/>
        <color rgb="FF333333"/>
        <rFont val="Arial"/>
        <family val="2"/>
        <charset val="1"/>
      </rPr>
      <t xml:space="preserve">: </t>
    </r>
    <r>
      <rPr>
        <sz val="10"/>
        <color rgb="FF333333"/>
        <rFont val="DejaVu Sans"/>
        <family val="2"/>
      </rPr>
      <t xml:space="preserve">확인 모달</t>
    </r>
  </si>
  <si>
    <t xml:space="preserve">□ 메뉴 항목 접근성</t>
  </si>
  <si>
    <t xml:space="preserve">UI-043</t>
  </si>
  <si>
    <t xml:space="preserve">로그아웃 버튼</t>
  </si>
  <si>
    <t xml:space="preserve">로그아웃 실행</t>
  </si>
  <si>
    <r>
      <rPr>
        <sz val="10"/>
        <color rgb="FF333333"/>
        <rFont val="Arial"/>
        <family val="2"/>
        <charset val="1"/>
      </rPr>
      <t xml:space="preserve">- </t>
    </r>
    <r>
      <rPr>
        <sz val="10"/>
        <color rgb="FF333333"/>
        <rFont val="DejaVu Sans"/>
        <family val="2"/>
      </rPr>
      <t xml:space="preserve">탭</t>
    </r>
    <r>
      <rPr>
        <sz val="10"/>
        <color rgb="FF333333"/>
        <rFont val="Arial"/>
        <family val="2"/>
        <charset val="1"/>
      </rPr>
      <t xml:space="preserve">/</t>
    </r>
    <r>
      <rPr>
        <sz val="10"/>
        <color rgb="FF333333"/>
        <rFont val="DejaVu Sans"/>
        <family val="2"/>
      </rPr>
      <t xml:space="preserve">클릭 시 확인 모달
</t>
    </r>
    <r>
      <rPr>
        <sz val="10"/>
        <color rgb="FF333333"/>
        <rFont val="Arial"/>
        <family val="2"/>
        <charset val="1"/>
      </rPr>
      <t xml:space="preserve">- </t>
    </r>
    <r>
      <rPr>
        <sz val="10"/>
        <color rgb="FF333333"/>
        <rFont val="DejaVu Sans"/>
        <family val="2"/>
      </rPr>
      <t xml:space="preserve">확인</t>
    </r>
    <r>
      <rPr>
        <sz val="10"/>
        <color rgb="FF333333"/>
        <rFont val="Arial"/>
        <family val="2"/>
        <charset val="1"/>
      </rPr>
      <t xml:space="preserve">: </t>
    </r>
    <r>
      <rPr>
        <sz val="10"/>
        <color rgb="FF333333"/>
        <rFont val="DejaVu Sans"/>
        <family val="2"/>
      </rPr>
      <t xml:space="preserve">세션 종료 → 로그인 화면
</t>
    </r>
    <r>
      <rPr>
        <sz val="10"/>
        <color rgb="FF333333"/>
        <rFont val="Arial"/>
        <family val="2"/>
        <charset val="1"/>
      </rPr>
      <t xml:space="preserve">- </t>
    </r>
    <r>
      <rPr>
        <sz val="10"/>
        <color rgb="FF333333"/>
        <rFont val="DejaVu Sans"/>
        <family val="2"/>
      </rPr>
      <t xml:space="preserve">취소</t>
    </r>
    <r>
      <rPr>
        <sz val="10"/>
        <color rgb="FF333333"/>
        <rFont val="Arial"/>
        <family val="2"/>
        <charset val="1"/>
      </rPr>
      <t xml:space="preserve">: </t>
    </r>
    <r>
      <rPr>
        <sz val="10"/>
        <color rgb="FF333333"/>
        <rFont val="DejaVu Sans"/>
        <family val="2"/>
      </rPr>
      <t xml:space="preserve">모달 닫기</t>
    </r>
  </si>
  <si>
    <r>
      <rPr>
        <sz val="10"/>
        <color rgb="FF333333"/>
        <rFont val="Arial"/>
        <family val="2"/>
        <charset val="1"/>
      </rPr>
      <t xml:space="preserve">- </t>
    </r>
    <r>
      <rPr>
        <sz val="10"/>
        <color rgb="FF333333"/>
        <rFont val="DejaVu Sans"/>
        <family val="2"/>
      </rPr>
      <t xml:space="preserve">모달 확인</t>
    </r>
    <r>
      <rPr>
        <sz val="10"/>
        <color rgb="FF333333"/>
        <rFont val="Arial"/>
        <family val="2"/>
        <charset val="1"/>
      </rPr>
      <t xml:space="preserve">/</t>
    </r>
    <r>
      <rPr>
        <sz val="10"/>
        <color rgb="FF333333"/>
        <rFont val="DejaVu Sans"/>
        <family val="2"/>
      </rPr>
      <t xml:space="preserve">취소</t>
    </r>
  </si>
  <si>
    <t xml:space="preserve">□ 모달 포커스 트랩</t>
  </si>
  <si>
    <t xml:space="preserve">기능명</t>
  </si>
  <si>
    <t xml:space="preserve">기능 분류</t>
  </si>
  <si>
    <t xml:space="preserve">기능 설명</t>
  </si>
  <si>
    <t xml:space="preserve">상세 요구사항</t>
  </si>
  <si>
    <t xml:space="preserve">입력 항목</t>
  </si>
  <si>
    <t xml:space="preserve">출력 항목</t>
  </si>
  <si>
    <t xml:space="preserve">비즈니스 규칙</t>
  </si>
  <si>
    <t xml:space="preserve">예외 처리</t>
  </si>
  <si>
    <r>
      <rPr>
        <b val="true"/>
        <sz val="11"/>
        <color rgb="FFFFFFFF"/>
        <rFont val="Arial"/>
        <family val="0"/>
        <charset val="1"/>
      </rPr>
      <t xml:space="preserve">Web </t>
    </r>
    <r>
      <rPr>
        <b val="true"/>
        <sz val="11"/>
        <color rgb="FFFFFFFF"/>
        <rFont val="DejaVu Sans"/>
        <family val="2"/>
      </rPr>
      <t xml:space="preserve">구현 사항</t>
    </r>
  </si>
  <si>
    <r>
      <rPr>
        <b val="true"/>
        <sz val="11"/>
        <color rgb="FFFFFFFF"/>
        <rFont val="Arial"/>
        <family val="0"/>
        <charset val="1"/>
      </rPr>
      <t xml:space="preserve">App </t>
    </r>
    <r>
      <rPr>
        <b val="true"/>
        <sz val="11"/>
        <color rgb="FFFFFFFF"/>
        <rFont val="DejaVu Sans"/>
        <family val="2"/>
      </rPr>
      <t xml:space="preserve">구현 사항</t>
    </r>
  </si>
  <si>
    <r>
      <rPr>
        <b val="true"/>
        <sz val="11"/>
        <color rgb="FFFFFFFF"/>
        <rFont val="DejaVu Sans"/>
        <family val="2"/>
      </rPr>
      <t xml:space="preserve">관련 </t>
    </r>
    <r>
      <rPr>
        <b val="true"/>
        <sz val="11"/>
        <color rgb="FFFFFFFF"/>
        <rFont val="DejaVu Sans"/>
        <family val="2"/>
        <charset val="1"/>
      </rPr>
      <t xml:space="preserve">API ID</t>
    </r>
  </si>
  <si>
    <r>
      <rPr>
        <b val="true"/>
        <sz val="11"/>
        <color rgb="FFFFFFFF"/>
        <rFont val="Arial"/>
        <family val="0"/>
        <charset val="1"/>
      </rPr>
      <t xml:space="preserve">[</t>
    </r>
    <r>
      <rPr>
        <b val="true"/>
        <sz val="11"/>
        <color rgb="FFFFFFFF"/>
        <rFont val="DejaVu Sans"/>
        <family val="2"/>
      </rPr>
      <t xml:space="preserve">자동</t>
    </r>
    <r>
      <rPr>
        <b val="true"/>
        <sz val="11"/>
        <color rgb="FFFFFFFF"/>
        <rFont val="Arial"/>
        <family val="0"/>
        <charset val="1"/>
      </rPr>
      <t xml:space="preserve">] </t>
    </r>
    <r>
      <rPr>
        <b val="true"/>
        <sz val="11"/>
        <color rgb="FFFFFFFF"/>
        <rFont val="DejaVu Sans"/>
        <family val="2"/>
      </rPr>
      <t xml:space="preserve">관련 </t>
    </r>
    <r>
      <rPr>
        <b val="true"/>
        <sz val="11"/>
        <color rgb="FFFFFFFF"/>
        <rFont val="Arial"/>
        <family val="0"/>
        <charset val="1"/>
      </rPr>
      <t xml:space="preserve">UI </t>
    </r>
    <r>
      <rPr>
        <b val="true"/>
        <sz val="11"/>
        <color rgb="FFFFFFFF"/>
        <rFont val="DejaVu Sans"/>
        <family val="2"/>
      </rPr>
      <t xml:space="preserve">요소</t>
    </r>
  </si>
  <si>
    <r>
      <rPr>
        <b val="true"/>
        <sz val="11"/>
        <color rgb="FF1B2A4A"/>
        <rFont val="DejaVu Sans"/>
        <family val="2"/>
      </rPr>
      <t xml:space="preserve">회원가입 </t>
    </r>
    <r>
      <rPr>
        <b val="true"/>
        <sz val="11"/>
        <color rgb="FF1B2A4A"/>
        <rFont val="DejaVu Sans"/>
        <family val="2"/>
        <charset val="1"/>
      </rPr>
      <t xml:space="preserve">(2</t>
    </r>
    <r>
      <rPr>
        <b val="true"/>
        <sz val="11"/>
        <color rgb="FF1B2A4A"/>
        <rFont val="DejaVu Sans"/>
        <family val="2"/>
      </rPr>
      <t xml:space="preserve">개 기능</t>
    </r>
    <r>
      <rPr>
        <b val="true"/>
        <sz val="11"/>
        <color rgb="FF1B2A4A"/>
        <rFont val="DejaVu Sans"/>
        <family val="2"/>
        <charset val="1"/>
      </rPr>
      <t xml:space="preserve">)</t>
    </r>
  </si>
  <si>
    <t xml:space="preserve">이메일 회원가입</t>
  </si>
  <si>
    <t xml:space="preserve">유효한 이메일과 비밀번호로 신규 회원가입</t>
  </si>
  <si>
    <r>
      <rPr>
        <sz val="10"/>
        <color rgb="FF333333"/>
        <rFont val="Arial"/>
        <family val="2"/>
        <charset val="1"/>
      </rPr>
      <t xml:space="preserve">1. </t>
    </r>
    <r>
      <rPr>
        <sz val="10"/>
        <color rgb="FF333333"/>
        <rFont val="DejaVu Sans"/>
        <family val="2"/>
      </rPr>
      <t xml:space="preserve">이메일 형식 검증 </t>
    </r>
    <r>
      <rPr>
        <sz val="10"/>
        <color rgb="FF333333"/>
        <rFont val="Arial"/>
        <family val="2"/>
        <charset val="1"/>
      </rPr>
      <t xml:space="preserve">(RFC 5322)
2. </t>
    </r>
    <r>
      <rPr>
        <sz val="10"/>
        <color rgb="FF333333"/>
        <rFont val="DejaVu Sans"/>
        <family val="2"/>
      </rPr>
      <t xml:space="preserve">비밀번호</t>
    </r>
    <r>
      <rPr>
        <sz val="10"/>
        <color rgb="FF333333"/>
        <rFont val="Arial"/>
        <family val="2"/>
        <charset val="1"/>
      </rPr>
      <t xml:space="preserve">: 8</t>
    </r>
    <r>
      <rPr>
        <sz val="10"/>
        <color rgb="FF333333"/>
        <rFont val="DejaVu Sans"/>
        <family val="2"/>
      </rPr>
      <t xml:space="preserve">자 이상</t>
    </r>
    <r>
      <rPr>
        <sz val="10"/>
        <color rgb="FF333333"/>
        <rFont val="Arial"/>
        <family val="2"/>
        <charset val="1"/>
      </rPr>
      <t xml:space="preserve">, </t>
    </r>
    <r>
      <rPr>
        <sz val="10"/>
        <color rgb="FF333333"/>
        <rFont val="DejaVu Sans"/>
        <family val="2"/>
      </rPr>
      <t xml:space="preserve">영문</t>
    </r>
    <r>
      <rPr>
        <sz val="10"/>
        <color rgb="FF333333"/>
        <rFont val="Arial"/>
        <family val="2"/>
        <charset val="1"/>
      </rPr>
      <t xml:space="preserve">+</t>
    </r>
    <r>
      <rPr>
        <sz val="10"/>
        <color rgb="FF333333"/>
        <rFont val="DejaVu Sans"/>
        <family val="2"/>
      </rPr>
      <t xml:space="preserve">숫자</t>
    </r>
    <r>
      <rPr>
        <sz val="10"/>
        <color rgb="FF333333"/>
        <rFont val="Arial"/>
        <family val="2"/>
        <charset val="1"/>
      </rPr>
      <t xml:space="preserve">+</t>
    </r>
    <r>
      <rPr>
        <sz val="10"/>
        <color rgb="FF333333"/>
        <rFont val="DejaVu Sans"/>
        <family val="2"/>
      </rPr>
      <t xml:space="preserve">특수문자
</t>
    </r>
    <r>
      <rPr>
        <sz val="10"/>
        <color rgb="FF333333"/>
        <rFont val="Arial"/>
        <family val="2"/>
        <charset val="1"/>
      </rPr>
      <t xml:space="preserve">3. </t>
    </r>
    <r>
      <rPr>
        <sz val="10"/>
        <color rgb="FF333333"/>
        <rFont val="DejaVu Sans"/>
        <family val="2"/>
      </rPr>
      <t xml:space="preserve">약관 동의 필수 </t>
    </r>
    <r>
      <rPr>
        <sz val="10"/>
        <color rgb="FF333333"/>
        <rFont val="Arial"/>
        <family val="2"/>
        <charset val="1"/>
      </rPr>
      <t xml:space="preserve">(</t>
    </r>
    <r>
      <rPr>
        <sz val="10"/>
        <color rgb="FF333333"/>
        <rFont val="DejaVu Sans"/>
        <family val="2"/>
      </rPr>
      <t xml:space="preserve">이용약관</t>
    </r>
    <r>
      <rPr>
        <sz val="10"/>
        <color rgb="FF333333"/>
        <rFont val="Arial"/>
        <family val="2"/>
        <charset val="1"/>
      </rPr>
      <t xml:space="preserve">, </t>
    </r>
    <r>
      <rPr>
        <sz val="10"/>
        <color rgb="FF333333"/>
        <rFont val="DejaVu Sans"/>
        <family val="2"/>
      </rPr>
      <t xml:space="preserve">개인정보</t>
    </r>
    <r>
      <rPr>
        <sz val="10"/>
        <color rgb="FF333333"/>
        <rFont val="Arial"/>
        <family val="2"/>
        <charset val="1"/>
      </rPr>
      <t xml:space="preserve">)
4. </t>
    </r>
    <r>
      <rPr>
        <sz val="10"/>
        <color rgb="FF333333"/>
        <rFont val="DejaVu Sans"/>
        <family val="2"/>
      </rPr>
      <t xml:space="preserve">이메일 인증 발송
</t>
    </r>
    <r>
      <rPr>
        <sz val="10"/>
        <color rgb="FF333333"/>
        <rFont val="Arial"/>
        <family val="2"/>
        <charset val="1"/>
      </rPr>
      <t xml:space="preserve">5. </t>
    </r>
    <r>
      <rPr>
        <sz val="10"/>
        <color rgb="FF333333"/>
        <rFont val="DejaVu Sans"/>
        <family val="2"/>
      </rPr>
      <t xml:space="preserve">인증 완료 후 로그인 가능</t>
    </r>
  </si>
  <si>
    <r>
      <rPr>
        <sz val="10"/>
        <color rgb="FF333333"/>
        <rFont val="DejaVu Sans"/>
        <family val="2"/>
      </rPr>
      <t xml:space="preserve">이메일</t>
    </r>
    <r>
      <rPr>
        <sz val="10"/>
        <color rgb="FF333333"/>
        <rFont val="DejaVu Sans"/>
        <family val="2"/>
        <charset val="1"/>
      </rPr>
      <t xml:space="preserve">, </t>
    </r>
    <r>
      <rPr>
        <sz val="10"/>
        <color rgb="FF333333"/>
        <rFont val="DejaVu Sans"/>
        <family val="2"/>
      </rPr>
      <t xml:space="preserve">비밀번호</t>
    </r>
    <r>
      <rPr>
        <sz val="10"/>
        <color rgb="FF333333"/>
        <rFont val="DejaVu Sans"/>
        <family val="2"/>
        <charset val="1"/>
      </rPr>
      <t xml:space="preserve">, </t>
    </r>
    <r>
      <rPr>
        <sz val="10"/>
        <color rgb="FF333333"/>
        <rFont val="DejaVu Sans"/>
        <family val="2"/>
      </rPr>
      <t xml:space="preserve">비밀번호확인</t>
    </r>
    <r>
      <rPr>
        <sz val="10"/>
        <color rgb="FF333333"/>
        <rFont val="DejaVu Sans"/>
        <family val="2"/>
        <charset val="1"/>
      </rPr>
      <t xml:space="preserve">, </t>
    </r>
    <r>
      <rPr>
        <sz val="10"/>
        <color rgb="FF333333"/>
        <rFont val="DejaVu Sans"/>
        <family val="2"/>
      </rPr>
      <t xml:space="preserve">약관동의여부</t>
    </r>
  </si>
  <si>
    <r>
      <rPr>
        <sz val="10"/>
        <color rgb="FF333333"/>
        <rFont val="DejaVu Sans"/>
        <family val="2"/>
      </rPr>
      <t xml:space="preserve">가입 완료 메시지</t>
    </r>
    <r>
      <rPr>
        <sz val="10"/>
        <color rgb="FF333333"/>
        <rFont val="DejaVu Sans"/>
        <family val="2"/>
        <charset val="1"/>
      </rPr>
      <t xml:space="preserve">, </t>
    </r>
    <r>
      <rPr>
        <sz val="10"/>
        <color rgb="FF333333"/>
        <rFont val="DejaVu Sans"/>
        <family val="2"/>
      </rPr>
      <t xml:space="preserve">인증 이메일</t>
    </r>
  </si>
  <si>
    <r>
      <rPr>
        <sz val="10"/>
        <color rgb="FF333333"/>
        <rFont val="Arial"/>
        <family val="2"/>
        <charset val="1"/>
      </rPr>
      <t xml:space="preserve">- </t>
    </r>
    <r>
      <rPr>
        <sz val="10"/>
        <color rgb="FF333333"/>
        <rFont val="DejaVu Sans"/>
        <family val="2"/>
      </rPr>
      <t xml:space="preserve">동일 이메일 중복 가입 불가
</t>
    </r>
    <r>
      <rPr>
        <sz val="10"/>
        <color rgb="FF333333"/>
        <rFont val="Arial"/>
        <family val="2"/>
        <charset val="1"/>
      </rPr>
      <t xml:space="preserve">- </t>
    </r>
    <r>
      <rPr>
        <sz val="10"/>
        <color rgb="FF333333"/>
        <rFont val="DejaVu Sans"/>
        <family val="2"/>
      </rPr>
      <t xml:space="preserve">탈퇴 후 </t>
    </r>
    <r>
      <rPr>
        <sz val="10"/>
        <color rgb="FF333333"/>
        <rFont val="Arial"/>
        <family val="2"/>
        <charset val="1"/>
      </rPr>
      <t xml:space="preserve">30</t>
    </r>
    <r>
      <rPr>
        <sz val="10"/>
        <color rgb="FF333333"/>
        <rFont val="DejaVu Sans"/>
        <family val="2"/>
      </rPr>
      <t xml:space="preserve">일 내 동일 이메일 재가입 불가
</t>
    </r>
    <r>
      <rPr>
        <sz val="10"/>
        <color rgb="FF333333"/>
        <rFont val="Arial"/>
        <family val="2"/>
        <charset val="1"/>
      </rPr>
      <t xml:space="preserve">- </t>
    </r>
    <r>
      <rPr>
        <sz val="10"/>
        <color rgb="FF333333"/>
        <rFont val="DejaVu Sans"/>
        <family val="2"/>
      </rPr>
      <t xml:space="preserve">만 </t>
    </r>
    <r>
      <rPr>
        <sz val="10"/>
        <color rgb="FF333333"/>
        <rFont val="Arial"/>
        <family val="2"/>
        <charset val="1"/>
      </rPr>
      <t xml:space="preserve">14</t>
    </r>
    <r>
      <rPr>
        <sz val="10"/>
        <color rgb="FF333333"/>
        <rFont val="DejaVu Sans"/>
        <family val="2"/>
      </rPr>
      <t xml:space="preserve">세 미만 가입 불가</t>
    </r>
  </si>
  <si>
    <r>
      <rPr>
        <sz val="10"/>
        <color rgb="FF333333"/>
        <rFont val="Arial"/>
        <family val="2"/>
        <charset val="1"/>
      </rPr>
      <t xml:space="preserve">- </t>
    </r>
    <r>
      <rPr>
        <sz val="10"/>
        <color rgb="FF333333"/>
        <rFont val="DejaVu Sans"/>
        <family val="2"/>
      </rPr>
      <t xml:space="preserve">중복 이메일</t>
    </r>
    <r>
      <rPr>
        <sz val="10"/>
        <color rgb="FF333333"/>
        <rFont val="Arial"/>
        <family val="2"/>
        <charset val="1"/>
      </rPr>
      <t xml:space="preserve">: '</t>
    </r>
    <r>
      <rPr>
        <sz val="10"/>
        <color rgb="FF333333"/>
        <rFont val="DejaVu Sans"/>
        <family val="2"/>
      </rPr>
      <t xml:space="preserve">이미 가입된 이메일입니다</t>
    </r>
    <r>
      <rPr>
        <sz val="10"/>
        <color rgb="FF333333"/>
        <rFont val="Arial"/>
        <family val="2"/>
        <charset val="1"/>
      </rPr>
      <t xml:space="preserve">'
- </t>
    </r>
    <r>
      <rPr>
        <sz val="10"/>
        <color rgb="FF333333"/>
        <rFont val="DejaVu Sans"/>
        <family val="2"/>
      </rPr>
      <t xml:space="preserve">비밀번호 불일치</t>
    </r>
    <r>
      <rPr>
        <sz val="10"/>
        <color rgb="FF333333"/>
        <rFont val="Arial"/>
        <family val="2"/>
        <charset val="1"/>
      </rPr>
      <t xml:space="preserve">: </t>
    </r>
    <r>
      <rPr>
        <sz val="10"/>
        <color rgb="FF333333"/>
        <rFont val="DejaVu Sans"/>
        <family val="2"/>
      </rPr>
      <t xml:space="preserve">인라인 에러
</t>
    </r>
    <r>
      <rPr>
        <sz val="10"/>
        <color rgb="FF333333"/>
        <rFont val="Arial"/>
        <family val="2"/>
        <charset val="1"/>
      </rPr>
      <t xml:space="preserve">- </t>
    </r>
    <r>
      <rPr>
        <sz val="10"/>
        <color rgb="FF333333"/>
        <rFont val="DejaVu Sans"/>
        <family val="2"/>
      </rPr>
      <t xml:space="preserve">서버 에러</t>
    </r>
    <r>
      <rPr>
        <sz val="10"/>
        <color rgb="FF333333"/>
        <rFont val="Arial"/>
        <family val="2"/>
        <charset val="1"/>
      </rPr>
      <t xml:space="preserve">: '</t>
    </r>
    <r>
      <rPr>
        <sz val="10"/>
        <color rgb="FF333333"/>
        <rFont val="DejaVu Sans"/>
        <family val="2"/>
      </rPr>
      <t xml:space="preserve">일시적 오류</t>
    </r>
    <r>
      <rPr>
        <sz val="10"/>
        <color rgb="FF333333"/>
        <rFont val="Arial"/>
        <family val="2"/>
        <charset val="1"/>
      </rPr>
      <t xml:space="preserve">' </t>
    </r>
    <r>
      <rPr>
        <sz val="10"/>
        <color rgb="FF333333"/>
        <rFont val="DejaVu Sans"/>
        <family val="2"/>
      </rPr>
      <t xml:space="preserve">토스트</t>
    </r>
  </si>
  <si>
    <r>
      <rPr>
        <sz val="10"/>
        <color rgb="FF333333"/>
        <rFont val="Arial"/>
        <family val="2"/>
        <charset val="1"/>
      </rPr>
      <t xml:space="preserve">- </t>
    </r>
    <r>
      <rPr>
        <sz val="10"/>
        <color rgb="FF333333"/>
        <rFont val="DejaVu Sans"/>
        <family val="2"/>
      </rPr>
      <t xml:space="preserve">엔터키 폼 제출
</t>
    </r>
    <r>
      <rPr>
        <sz val="10"/>
        <color rgb="FF333333"/>
        <rFont val="Arial"/>
        <family val="2"/>
        <charset val="1"/>
      </rPr>
      <t xml:space="preserve">- </t>
    </r>
    <r>
      <rPr>
        <sz val="10"/>
        <color rgb="FF333333"/>
        <rFont val="DejaVu Sans"/>
        <family val="2"/>
      </rPr>
      <t xml:space="preserve">탭 순서 보장</t>
    </r>
  </si>
  <si>
    <r>
      <rPr>
        <sz val="10"/>
        <color rgb="FF333333"/>
        <rFont val="Arial"/>
        <family val="2"/>
        <charset val="1"/>
      </rPr>
      <t xml:space="preserve">- </t>
    </r>
    <r>
      <rPr>
        <sz val="10"/>
        <color rgb="FF333333"/>
        <rFont val="DejaVu Sans"/>
        <family val="2"/>
      </rPr>
      <t xml:space="preserve">키보드 올라올 때 스크롤
</t>
    </r>
    <r>
      <rPr>
        <sz val="10"/>
        <color rgb="FF333333"/>
        <rFont val="Arial"/>
        <family val="2"/>
        <charset val="1"/>
      </rPr>
      <t xml:space="preserve">- </t>
    </r>
    <r>
      <rPr>
        <sz val="10"/>
        <color rgb="FF333333"/>
        <rFont val="DejaVu Sans"/>
        <family val="2"/>
      </rPr>
      <t xml:space="preserve">생체 인증 등록 안내</t>
    </r>
  </si>
  <si>
    <t xml:space="preserve">소셜 로그인</t>
  </si>
  <si>
    <r>
      <rPr>
        <sz val="10"/>
        <color rgb="FF333333"/>
        <rFont val="Arial"/>
        <family val="2"/>
        <charset val="1"/>
      </rPr>
      <t xml:space="preserve">Google/Apple/Kakao </t>
    </r>
    <r>
      <rPr>
        <sz val="10"/>
        <color rgb="FF333333"/>
        <rFont val="DejaVu Sans"/>
        <family val="2"/>
      </rPr>
      <t xml:space="preserve">계정으로 간편 로그인</t>
    </r>
    <r>
      <rPr>
        <sz val="10"/>
        <color rgb="FF333333"/>
        <rFont val="Arial"/>
        <family val="2"/>
        <charset val="1"/>
      </rPr>
      <t xml:space="preserve">/</t>
    </r>
    <r>
      <rPr>
        <sz val="10"/>
        <color rgb="FF333333"/>
        <rFont val="DejaVu Sans"/>
        <family val="2"/>
      </rPr>
      <t xml:space="preserve">가입</t>
    </r>
  </si>
  <si>
    <r>
      <rPr>
        <sz val="10"/>
        <color rgb="FF333333"/>
        <rFont val="Arial"/>
        <family val="2"/>
        <charset val="1"/>
      </rPr>
      <t xml:space="preserve">1. </t>
    </r>
    <r>
      <rPr>
        <sz val="10"/>
        <color rgb="FF333333"/>
        <rFont val="DejaVu Sans"/>
        <family val="2"/>
      </rPr>
      <t xml:space="preserve">소셜 인증 성공 시 자동 가입</t>
    </r>
    <r>
      <rPr>
        <sz val="10"/>
        <color rgb="FF333333"/>
        <rFont val="Arial"/>
        <family val="2"/>
        <charset val="1"/>
      </rPr>
      <t xml:space="preserve">/</t>
    </r>
    <r>
      <rPr>
        <sz val="10"/>
        <color rgb="FF333333"/>
        <rFont val="DejaVu Sans"/>
        <family val="2"/>
      </rPr>
      <t xml:space="preserve">로그인
</t>
    </r>
    <r>
      <rPr>
        <sz val="10"/>
        <color rgb="FF333333"/>
        <rFont val="Arial"/>
        <family val="2"/>
        <charset val="1"/>
      </rPr>
      <t xml:space="preserve">2. </t>
    </r>
    <r>
      <rPr>
        <sz val="10"/>
        <color rgb="FF333333"/>
        <rFont val="DejaVu Sans"/>
        <family val="2"/>
      </rPr>
      <t xml:space="preserve">이메일 정보 자동 연동
</t>
    </r>
    <r>
      <rPr>
        <sz val="10"/>
        <color rgb="FF333333"/>
        <rFont val="Arial"/>
        <family val="2"/>
        <charset val="1"/>
      </rPr>
      <t xml:space="preserve">3. </t>
    </r>
    <r>
      <rPr>
        <sz val="10"/>
        <color rgb="FF333333"/>
        <rFont val="DejaVu Sans"/>
        <family val="2"/>
      </rPr>
      <t xml:space="preserve">프로필 이미지 연동 </t>
    </r>
    <r>
      <rPr>
        <sz val="10"/>
        <color rgb="FF333333"/>
        <rFont val="Arial"/>
        <family val="2"/>
        <charset val="1"/>
      </rPr>
      <t xml:space="preserve">(</t>
    </r>
    <r>
      <rPr>
        <sz val="10"/>
        <color rgb="FF333333"/>
        <rFont val="DejaVu Sans"/>
        <family val="2"/>
      </rPr>
      <t xml:space="preserve">선택</t>
    </r>
    <r>
      <rPr>
        <sz val="10"/>
        <color rgb="FF333333"/>
        <rFont val="Arial"/>
        <family val="2"/>
        <charset val="1"/>
      </rPr>
      <t xml:space="preserve">)
4. </t>
    </r>
    <r>
      <rPr>
        <sz val="10"/>
        <color rgb="FF333333"/>
        <rFont val="DejaVu Sans"/>
        <family val="2"/>
      </rPr>
      <t xml:space="preserve">기존 가입 이메일과 동일 시 계정 연결 안내</t>
    </r>
  </si>
  <si>
    <t xml:space="preserve">소셜 제공자 토큰</t>
  </si>
  <si>
    <r>
      <rPr>
        <sz val="10"/>
        <color rgb="FF333333"/>
        <rFont val="DejaVu Sans"/>
        <family val="2"/>
      </rPr>
      <t xml:space="preserve">로그인 완료</t>
    </r>
    <r>
      <rPr>
        <sz val="10"/>
        <color rgb="FF333333"/>
        <rFont val="DejaVu Sans"/>
        <family val="2"/>
        <charset val="1"/>
      </rPr>
      <t xml:space="preserve">, </t>
    </r>
    <r>
      <rPr>
        <sz val="10"/>
        <color rgb="FF333333"/>
        <rFont val="DejaVu Sans"/>
        <family val="2"/>
      </rPr>
      <t xml:space="preserve">프로필 정보</t>
    </r>
  </si>
  <si>
    <r>
      <rPr>
        <sz val="10"/>
        <color rgb="FF333333"/>
        <rFont val="Arial"/>
        <family val="2"/>
        <charset val="1"/>
      </rPr>
      <t xml:space="preserve">- </t>
    </r>
    <r>
      <rPr>
        <sz val="10"/>
        <color rgb="FF333333"/>
        <rFont val="DejaVu Sans"/>
        <family val="2"/>
      </rPr>
      <t xml:space="preserve">소셜 계정 이메일이 기존 가입 이메일과 동일 시 연결 확인
</t>
    </r>
    <r>
      <rPr>
        <sz val="10"/>
        <color rgb="FF333333"/>
        <rFont val="Arial"/>
        <family val="2"/>
        <charset val="1"/>
      </rPr>
      <t xml:space="preserve">- </t>
    </r>
    <r>
      <rPr>
        <sz val="10"/>
        <color rgb="FF333333"/>
        <rFont val="DejaVu Sans"/>
        <family val="2"/>
      </rPr>
      <t xml:space="preserve">소셜 연동 해제 시 비밀번호 설정 필수</t>
    </r>
  </si>
  <si>
    <r>
      <rPr>
        <sz val="10"/>
        <color rgb="FF333333"/>
        <rFont val="Arial"/>
        <family val="2"/>
        <charset val="1"/>
      </rPr>
      <t xml:space="preserve">- </t>
    </r>
    <r>
      <rPr>
        <sz val="10"/>
        <color rgb="FF333333"/>
        <rFont val="DejaVu Sans"/>
        <family val="2"/>
      </rPr>
      <t xml:space="preserve">소셜 인증 실패</t>
    </r>
    <r>
      <rPr>
        <sz val="10"/>
        <color rgb="FF333333"/>
        <rFont val="Arial"/>
        <family val="2"/>
        <charset val="1"/>
      </rPr>
      <t xml:space="preserve">: '</t>
    </r>
    <r>
      <rPr>
        <sz val="10"/>
        <color rgb="FF333333"/>
        <rFont val="DejaVu Sans"/>
        <family val="2"/>
      </rPr>
      <t xml:space="preserve">인증에 실패했습니다</t>
    </r>
    <r>
      <rPr>
        <sz val="10"/>
        <color rgb="FF333333"/>
        <rFont val="Arial"/>
        <family val="2"/>
        <charset val="1"/>
      </rPr>
      <t xml:space="preserve">'
- </t>
    </r>
    <r>
      <rPr>
        <sz val="10"/>
        <color rgb="FF333333"/>
        <rFont val="DejaVu Sans"/>
        <family val="2"/>
      </rPr>
      <t xml:space="preserve">네트워크 에러</t>
    </r>
    <r>
      <rPr>
        <sz val="10"/>
        <color rgb="FF333333"/>
        <rFont val="Arial"/>
        <family val="2"/>
        <charset val="1"/>
      </rPr>
      <t xml:space="preserve">: </t>
    </r>
    <r>
      <rPr>
        <sz val="10"/>
        <color rgb="FF333333"/>
        <rFont val="DejaVu Sans"/>
        <family val="2"/>
      </rPr>
      <t xml:space="preserve">재시도 안내</t>
    </r>
  </si>
  <si>
    <r>
      <rPr>
        <sz val="10"/>
        <color rgb="FF333333"/>
        <rFont val="Arial"/>
        <family val="2"/>
        <charset val="1"/>
      </rPr>
      <t xml:space="preserve">- </t>
    </r>
    <r>
      <rPr>
        <sz val="10"/>
        <color rgb="FF333333"/>
        <rFont val="DejaVu Sans"/>
        <family val="2"/>
      </rPr>
      <t xml:space="preserve">팝업 방식 </t>
    </r>
    <r>
      <rPr>
        <sz val="10"/>
        <color rgb="FF333333"/>
        <rFont val="Arial"/>
        <family val="2"/>
        <charset val="1"/>
      </rPr>
      <t xml:space="preserve">OAuth</t>
    </r>
  </si>
  <si>
    <r>
      <rPr>
        <sz val="10"/>
        <color rgb="FF333333"/>
        <rFont val="Arial"/>
        <family val="2"/>
        <charset val="1"/>
      </rPr>
      <t xml:space="preserve">- </t>
    </r>
    <r>
      <rPr>
        <sz val="10"/>
        <color rgb="FF333333"/>
        <rFont val="DejaVu Sans"/>
        <family val="2"/>
      </rPr>
      <t xml:space="preserve">앱 전환 방식 </t>
    </r>
    <r>
      <rPr>
        <sz val="10"/>
        <color rgb="FF333333"/>
        <rFont val="Arial"/>
        <family val="2"/>
        <charset val="1"/>
      </rPr>
      <t xml:space="preserve">OAuth
- Apple Sign-in </t>
    </r>
    <r>
      <rPr>
        <sz val="10"/>
        <color rgb="FF333333"/>
        <rFont val="DejaVu Sans"/>
        <family val="2"/>
      </rPr>
      <t xml:space="preserve">필수</t>
    </r>
    <r>
      <rPr>
        <sz val="10"/>
        <color rgb="FF333333"/>
        <rFont val="Arial"/>
        <family val="2"/>
        <charset val="1"/>
      </rPr>
      <t xml:space="preserve">(iOS)</t>
    </r>
  </si>
  <si>
    <r>
      <rPr>
        <b val="true"/>
        <sz val="11"/>
        <color rgb="FF1B2A4A"/>
        <rFont val="DejaVu Sans"/>
        <family val="2"/>
      </rPr>
      <t xml:space="preserve">로그인 </t>
    </r>
    <r>
      <rPr>
        <b val="true"/>
        <sz val="11"/>
        <color rgb="FF1B2A4A"/>
        <rFont val="DejaVu Sans"/>
        <family val="2"/>
        <charset val="1"/>
      </rPr>
      <t xml:space="preserve">(1</t>
    </r>
    <r>
      <rPr>
        <b val="true"/>
        <sz val="11"/>
        <color rgb="FF1B2A4A"/>
        <rFont val="DejaVu Sans"/>
        <family val="2"/>
      </rPr>
      <t xml:space="preserve">개 기능</t>
    </r>
    <r>
      <rPr>
        <b val="true"/>
        <sz val="11"/>
        <color rgb="FF1B2A4A"/>
        <rFont val="DejaVu Sans"/>
        <family val="2"/>
        <charset val="1"/>
      </rPr>
      <t xml:space="preserve">)</t>
    </r>
  </si>
  <si>
    <r>
      <rPr>
        <sz val="10"/>
        <color rgb="FF333333"/>
        <rFont val="DejaVu Sans"/>
        <family val="2"/>
      </rPr>
      <t xml:space="preserve">이메일</t>
    </r>
    <r>
      <rPr>
        <sz val="10"/>
        <color rgb="FF333333"/>
        <rFont val="DejaVu Sans"/>
        <family val="2"/>
        <charset val="1"/>
      </rPr>
      <t xml:space="preserve">/PW </t>
    </r>
    <r>
      <rPr>
        <sz val="10"/>
        <color rgb="FF333333"/>
        <rFont val="DejaVu Sans"/>
        <family val="2"/>
      </rPr>
      <t xml:space="preserve">로그인</t>
    </r>
  </si>
  <si>
    <t xml:space="preserve">이메일과 비밀번호로 로그인</t>
  </si>
  <si>
    <r>
      <rPr>
        <sz val="10"/>
        <color rgb="FF333333"/>
        <rFont val="Arial"/>
        <family val="2"/>
        <charset val="1"/>
      </rPr>
      <t xml:space="preserve">1. </t>
    </r>
    <r>
      <rPr>
        <sz val="10"/>
        <color rgb="FF333333"/>
        <rFont val="DejaVu Sans"/>
        <family val="2"/>
      </rPr>
      <t xml:space="preserve">이메일</t>
    </r>
    <r>
      <rPr>
        <sz val="10"/>
        <color rgb="FF333333"/>
        <rFont val="Arial"/>
        <family val="2"/>
        <charset val="1"/>
      </rPr>
      <t xml:space="preserve">+</t>
    </r>
    <r>
      <rPr>
        <sz val="10"/>
        <color rgb="FF333333"/>
        <rFont val="DejaVu Sans"/>
        <family val="2"/>
      </rPr>
      <t xml:space="preserve">비밀번호 일치 시 로그인
</t>
    </r>
    <r>
      <rPr>
        <sz val="10"/>
        <color rgb="FF333333"/>
        <rFont val="Arial"/>
        <family val="2"/>
        <charset val="1"/>
      </rPr>
      <t xml:space="preserve">2. </t>
    </r>
    <r>
      <rPr>
        <sz val="10"/>
        <color rgb="FF333333"/>
        <rFont val="DejaVu Sans"/>
        <family val="2"/>
      </rPr>
      <t xml:space="preserve">자동 로그인 체크 시 토큰 유지 </t>
    </r>
    <r>
      <rPr>
        <sz val="10"/>
        <color rgb="FF333333"/>
        <rFont val="Arial"/>
        <family val="2"/>
        <charset val="1"/>
      </rPr>
      <t xml:space="preserve">(30</t>
    </r>
    <r>
      <rPr>
        <sz val="10"/>
        <color rgb="FF333333"/>
        <rFont val="DejaVu Sans"/>
        <family val="2"/>
      </rPr>
      <t xml:space="preserve">일</t>
    </r>
    <r>
      <rPr>
        <sz val="10"/>
        <color rgb="FF333333"/>
        <rFont val="Arial"/>
        <family val="2"/>
        <charset val="1"/>
      </rPr>
      <t xml:space="preserve">)
3. 5</t>
    </r>
    <r>
      <rPr>
        <sz val="10"/>
        <color rgb="FF333333"/>
        <rFont val="DejaVu Sans"/>
        <family val="2"/>
      </rPr>
      <t xml:space="preserve">회 연속 실패 시 계정 잠금 </t>
    </r>
    <r>
      <rPr>
        <sz val="10"/>
        <color rgb="FF333333"/>
        <rFont val="Arial"/>
        <family val="2"/>
        <charset val="1"/>
      </rPr>
      <t xml:space="preserve">(30</t>
    </r>
    <r>
      <rPr>
        <sz val="10"/>
        <color rgb="FF333333"/>
        <rFont val="DejaVu Sans"/>
        <family val="2"/>
      </rPr>
      <t xml:space="preserve">분</t>
    </r>
    <r>
      <rPr>
        <sz val="10"/>
        <color rgb="FF333333"/>
        <rFont val="Arial"/>
        <family val="2"/>
        <charset val="1"/>
      </rPr>
      <t xml:space="preserve">)</t>
    </r>
  </si>
  <si>
    <r>
      <rPr>
        <sz val="10"/>
        <color rgb="FF333333"/>
        <rFont val="DejaVu Sans"/>
        <family val="2"/>
      </rPr>
      <t xml:space="preserve">이메일</t>
    </r>
    <r>
      <rPr>
        <sz val="10"/>
        <color rgb="FF333333"/>
        <rFont val="DejaVu Sans"/>
        <family val="2"/>
        <charset val="1"/>
      </rPr>
      <t xml:space="preserve">, </t>
    </r>
    <r>
      <rPr>
        <sz val="10"/>
        <color rgb="FF333333"/>
        <rFont val="DejaVu Sans"/>
        <family val="2"/>
      </rPr>
      <t xml:space="preserve">비밀번호</t>
    </r>
    <r>
      <rPr>
        <sz val="10"/>
        <color rgb="FF333333"/>
        <rFont val="DejaVu Sans"/>
        <family val="2"/>
        <charset val="1"/>
      </rPr>
      <t xml:space="preserve">, </t>
    </r>
    <r>
      <rPr>
        <sz val="10"/>
        <color rgb="FF333333"/>
        <rFont val="DejaVu Sans"/>
        <family val="2"/>
      </rPr>
      <t xml:space="preserve">자동로그인 여부</t>
    </r>
  </si>
  <si>
    <r>
      <rPr>
        <sz val="10"/>
        <color rgb="FF333333"/>
        <rFont val="DejaVu Sans"/>
        <family val="2"/>
      </rPr>
      <t xml:space="preserve">로그인 세션</t>
    </r>
    <r>
      <rPr>
        <sz val="10"/>
        <color rgb="FF333333"/>
        <rFont val="DejaVu Sans"/>
        <family val="2"/>
        <charset val="1"/>
      </rPr>
      <t xml:space="preserve">, Access/Refresh </t>
    </r>
    <r>
      <rPr>
        <sz val="10"/>
        <color rgb="FF333333"/>
        <rFont val="DejaVu Sans"/>
        <family val="2"/>
      </rPr>
      <t xml:space="preserve">토큰</t>
    </r>
  </si>
  <si>
    <r>
      <rPr>
        <sz val="10"/>
        <color rgb="FF333333"/>
        <rFont val="Arial"/>
        <family val="2"/>
        <charset val="1"/>
      </rPr>
      <t xml:space="preserve">- 5</t>
    </r>
    <r>
      <rPr>
        <sz val="10"/>
        <color rgb="FF333333"/>
        <rFont val="DejaVu Sans"/>
        <family val="2"/>
      </rPr>
      <t xml:space="preserve">회 실패 시 </t>
    </r>
    <r>
      <rPr>
        <sz val="10"/>
        <color rgb="FF333333"/>
        <rFont val="Arial"/>
        <family val="2"/>
        <charset val="1"/>
      </rPr>
      <t xml:space="preserve">30</t>
    </r>
    <r>
      <rPr>
        <sz val="10"/>
        <color rgb="FF333333"/>
        <rFont val="DejaVu Sans"/>
        <family val="2"/>
      </rPr>
      <t xml:space="preserve">분 잠금
</t>
    </r>
    <r>
      <rPr>
        <sz val="10"/>
        <color rgb="FF333333"/>
        <rFont val="Arial"/>
        <family val="2"/>
        <charset val="1"/>
      </rPr>
      <t xml:space="preserve">- </t>
    </r>
    <r>
      <rPr>
        <sz val="10"/>
        <color rgb="FF333333"/>
        <rFont val="DejaVu Sans"/>
        <family val="2"/>
      </rPr>
      <t xml:space="preserve">자동 로그인</t>
    </r>
    <r>
      <rPr>
        <sz val="10"/>
        <color rgb="FF333333"/>
        <rFont val="Arial"/>
        <family val="2"/>
        <charset val="1"/>
      </rPr>
      <t xml:space="preserve">: Refresh Token 30</t>
    </r>
    <r>
      <rPr>
        <sz val="10"/>
        <color rgb="FF333333"/>
        <rFont val="DejaVu Sans"/>
        <family val="2"/>
      </rPr>
      <t xml:space="preserve">일
</t>
    </r>
    <r>
      <rPr>
        <sz val="10"/>
        <color rgb="FF333333"/>
        <rFont val="Arial"/>
        <family val="2"/>
        <charset val="1"/>
      </rPr>
      <t xml:space="preserve">- </t>
    </r>
    <r>
      <rPr>
        <sz val="10"/>
        <color rgb="FF333333"/>
        <rFont val="DejaVu Sans"/>
        <family val="2"/>
      </rPr>
      <t xml:space="preserve">비활성 계정 로그인 불가</t>
    </r>
  </si>
  <si>
    <r>
      <rPr>
        <sz val="10"/>
        <color rgb="FF333333"/>
        <rFont val="Arial"/>
        <family val="2"/>
        <charset val="1"/>
      </rPr>
      <t xml:space="preserve">- </t>
    </r>
    <r>
      <rPr>
        <sz val="10"/>
        <color rgb="FF333333"/>
        <rFont val="DejaVu Sans"/>
        <family val="2"/>
      </rPr>
      <t xml:space="preserve">비밀번호 오류</t>
    </r>
    <r>
      <rPr>
        <sz val="10"/>
        <color rgb="FF333333"/>
        <rFont val="Arial"/>
        <family val="2"/>
        <charset val="1"/>
      </rPr>
      <t xml:space="preserve">: '</t>
    </r>
    <r>
      <rPr>
        <sz val="10"/>
        <color rgb="FF333333"/>
        <rFont val="DejaVu Sans"/>
        <family val="2"/>
      </rPr>
      <t xml:space="preserve">이메일 또는 비밀번호가 일치하지 않습니다</t>
    </r>
    <r>
      <rPr>
        <sz val="10"/>
        <color rgb="FF333333"/>
        <rFont val="Arial"/>
        <family val="2"/>
        <charset val="1"/>
      </rPr>
      <t xml:space="preserve">'
- </t>
    </r>
    <r>
      <rPr>
        <sz val="10"/>
        <color rgb="FF333333"/>
        <rFont val="DejaVu Sans"/>
        <family val="2"/>
      </rPr>
      <t xml:space="preserve">잠긴 계정</t>
    </r>
    <r>
      <rPr>
        <sz val="10"/>
        <color rgb="FF333333"/>
        <rFont val="Arial"/>
        <family val="2"/>
        <charset val="1"/>
      </rPr>
      <t xml:space="preserve">: </t>
    </r>
    <r>
      <rPr>
        <sz val="10"/>
        <color rgb="FF333333"/>
        <rFont val="DejaVu Sans"/>
        <family val="2"/>
      </rPr>
      <t xml:space="preserve">잠금 해제 안내</t>
    </r>
  </si>
  <si>
    <r>
      <rPr>
        <sz val="10"/>
        <color rgb="FF333333"/>
        <rFont val="Arial"/>
        <family val="2"/>
        <charset val="1"/>
      </rPr>
      <t xml:space="preserve">- </t>
    </r>
    <r>
      <rPr>
        <sz val="10"/>
        <color rgb="FF333333"/>
        <rFont val="DejaVu Sans"/>
        <family val="2"/>
      </rPr>
      <t xml:space="preserve">쿠키 기반 세션</t>
    </r>
  </si>
  <si>
    <r>
      <rPr>
        <sz val="10"/>
        <color rgb="FF333333"/>
        <rFont val="Arial"/>
        <family val="2"/>
        <charset val="1"/>
      </rPr>
      <t xml:space="preserve">- Secure Storage </t>
    </r>
    <r>
      <rPr>
        <sz val="10"/>
        <color rgb="FF333333"/>
        <rFont val="DejaVu Sans"/>
        <family val="2"/>
      </rPr>
      <t xml:space="preserve">토큰 저장</t>
    </r>
  </si>
  <si>
    <r>
      <rPr>
        <b val="true"/>
        <sz val="11"/>
        <color rgb="FF1B2A4A"/>
        <rFont val="DejaVu Sans"/>
        <family val="2"/>
      </rPr>
      <t xml:space="preserve">검색 </t>
    </r>
    <r>
      <rPr>
        <b val="true"/>
        <sz val="11"/>
        <color rgb="FF1B2A4A"/>
        <rFont val="DejaVu Sans"/>
        <family val="2"/>
        <charset val="1"/>
      </rPr>
      <t xml:space="preserve">(1</t>
    </r>
    <r>
      <rPr>
        <b val="true"/>
        <sz val="11"/>
        <color rgb="FF1B2A4A"/>
        <rFont val="DejaVu Sans"/>
        <family val="2"/>
      </rPr>
      <t xml:space="preserve">개 기능</t>
    </r>
    <r>
      <rPr>
        <b val="true"/>
        <sz val="11"/>
        <color rgb="FF1B2A4A"/>
        <rFont val="DejaVu Sans"/>
        <family val="2"/>
        <charset val="1"/>
      </rPr>
      <t xml:space="preserve">)</t>
    </r>
  </si>
  <si>
    <t xml:space="preserve">키워드 검색</t>
  </si>
  <si>
    <t xml:space="preserve">키워드 기반 통합 검색</t>
  </si>
  <si>
    <r>
      <rPr>
        <sz val="10"/>
        <color rgb="FF333333"/>
        <rFont val="Arial"/>
        <family val="2"/>
        <charset val="1"/>
      </rPr>
      <t xml:space="preserve">1. </t>
    </r>
    <r>
      <rPr>
        <sz val="10"/>
        <color rgb="FF333333"/>
        <rFont val="DejaVu Sans"/>
        <family val="2"/>
      </rPr>
      <t xml:space="preserve">검색어 입력 시 자동완성 </t>
    </r>
    <r>
      <rPr>
        <sz val="10"/>
        <color rgb="FF333333"/>
        <rFont val="Arial"/>
        <family val="2"/>
        <charset val="1"/>
      </rPr>
      <t xml:space="preserve">(300ms </t>
    </r>
    <r>
      <rPr>
        <sz val="10"/>
        <color rgb="FF333333"/>
        <rFont val="DejaVu Sans"/>
        <family val="2"/>
      </rPr>
      <t xml:space="preserve">디바운스</t>
    </r>
    <r>
      <rPr>
        <sz val="10"/>
        <color rgb="FF333333"/>
        <rFont val="Arial"/>
        <family val="2"/>
        <charset val="1"/>
      </rPr>
      <t xml:space="preserve">)
2. </t>
    </r>
    <r>
      <rPr>
        <sz val="10"/>
        <color rgb="FF333333"/>
        <rFont val="DejaVu Sans"/>
        <family val="2"/>
      </rPr>
      <t xml:space="preserve">최근 검색어 저장 </t>
    </r>
    <r>
      <rPr>
        <sz val="10"/>
        <color rgb="FF333333"/>
        <rFont val="Arial"/>
        <family val="2"/>
        <charset val="1"/>
      </rPr>
      <t xml:space="preserve">(</t>
    </r>
    <r>
      <rPr>
        <sz val="10"/>
        <color rgb="FF333333"/>
        <rFont val="DejaVu Sans"/>
        <family val="2"/>
      </rPr>
      <t xml:space="preserve">최대 </t>
    </r>
    <r>
      <rPr>
        <sz val="10"/>
        <color rgb="FF333333"/>
        <rFont val="Arial"/>
        <family val="2"/>
        <charset val="1"/>
      </rPr>
      <t xml:space="preserve">20</t>
    </r>
    <r>
      <rPr>
        <sz val="10"/>
        <color rgb="FF333333"/>
        <rFont val="DejaVu Sans"/>
        <family val="2"/>
      </rPr>
      <t xml:space="preserve">개</t>
    </r>
    <r>
      <rPr>
        <sz val="10"/>
        <color rgb="FF333333"/>
        <rFont val="Arial"/>
        <family val="2"/>
        <charset val="1"/>
      </rPr>
      <t xml:space="preserve">)
3. </t>
    </r>
    <r>
      <rPr>
        <sz val="10"/>
        <color rgb="FF333333"/>
        <rFont val="DejaVu Sans"/>
        <family val="2"/>
      </rPr>
      <t xml:space="preserve">인기 검색어 실시간 갱신 </t>
    </r>
    <r>
      <rPr>
        <sz val="10"/>
        <color rgb="FF333333"/>
        <rFont val="Arial"/>
        <family val="2"/>
        <charset val="1"/>
      </rPr>
      <t xml:space="preserve">(1</t>
    </r>
    <r>
      <rPr>
        <sz val="10"/>
        <color rgb="FF333333"/>
        <rFont val="DejaVu Sans"/>
        <family val="2"/>
      </rPr>
      <t xml:space="preserve">시간</t>
    </r>
    <r>
      <rPr>
        <sz val="10"/>
        <color rgb="FF333333"/>
        <rFont val="Arial"/>
        <family val="2"/>
        <charset val="1"/>
      </rPr>
      <t xml:space="preserve">)
4. </t>
    </r>
    <r>
      <rPr>
        <sz val="10"/>
        <color rgb="FF333333"/>
        <rFont val="DejaVu Sans"/>
        <family val="2"/>
      </rPr>
      <t xml:space="preserve">검색 결과 하이라이트</t>
    </r>
  </si>
  <si>
    <r>
      <rPr>
        <sz val="10"/>
        <color rgb="FF333333"/>
        <rFont val="DejaVu Sans"/>
        <family val="2"/>
      </rPr>
      <t xml:space="preserve">검색 키워드</t>
    </r>
    <r>
      <rPr>
        <sz val="10"/>
        <color rgb="FF333333"/>
        <rFont val="DejaVu Sans"/>
        <family val="2"/>
        <charset val="1"/>
      </rPr>
      <t xml:space="preserve">, </t>
    </r>
    <r>
      <rPr>
        <sz val="10"/>
        <color rgb="FF333333"/>
        <rFont val="DejaVu Sans"/>
        <family val="2"/>
      </rPr>
      <t xml:space="preserve">필터 조건</t>
    </r>
    <r>
      <rPr>
        <sz val="10"/>
        <color rgb="FF333333"/>
        <rFont val="DejaVu Sans"/>
        <family val="2"/>
        <charset val="1"/>
      </rPr>
      <t xml:space="preserve">, </t>
    </r>
    <r>
      <rPr>
        <sz val="10"/>
        <color rgb="FF333333"/>
        <rFont val="DejaVu Sans"/>
        <family val="2"/>
      </rPr>
      <t xml:space="preserve">정렬 옵션</t>
    </r>
  </si>
  <si>
    <r>
      <rPr>
        <sz val="10"/>
        <color rgb="FF333333"/>
        <rFont val="DejaVu Sans"/>
        <family val="2"/>
      </rPr>
      <t xml:space="preserve">검색 결과 목록</t>
    </r>
    <r>
      <rPr>
        <sz val="10"/>
        <color rgb="FF333333"/>
        <rFont val="DejaVu Sans"/>
        <family val="2"/>
        <charset val="1"/>
      </rPr>
      <t xml:space="preserve">, </t>
    </r>
    <r>
      <rPr>
        <sz val="10"/>
        <color rgb="FF333333"/>
        <rFont val="DejaVu Sans"/>
        <family val="2"/>
      </rPr>
      <t xml:space="preserve">총 건수</t>
    </r>
    <r>
      <rPr>
        <sz val="10"/>
        <color rgb="FF333333"/>
        <rFont val="DejaVu Sans"/>
        <family val="2"/>
        <charset val="1"/>
      </rPr>
      <t xml:space="preserve">, </t>
    </r>
    <r>
      <rPr>
        <sz val="10"/>
        <color rgb="FF333333"/>
        <rFont val="DejaVu Sans"/>
        <family val="2"/>
      </rPr>
      <t xml:space="preserve">자동완성 목록</t>
    </r>
  </si>
  <si>
    <r>
      <rPr>
        <sz val="10"/>
        <color rgb="FF333333"/>
        <rFont val="Arial"/>
        <family val="2"/>
        <charset val="1"/>
      </rPr>
      <t xml:space="preserve">- </t>
    </r>
    <r>
      <rPr>
        <sz val="10"/>
        <color rgb="FF333333"/>
        <rFont val="DejaVu Sans"/>
        <family val="2"/>
      </rPr>
      <t xml:space="preserve">최소 </t>
    </r>
    <r>
      <rPr>
        <sz val="10"/>
        <color rgb="FF333333"/>
        <rFont val="Arial"/>
        <family val="2"/>
        <charset val="1"/>
      </rPr>
      <t xml:space="preserve">2</t>
    </r>
    <r>
      <rPr>
        <sz val="10"/>
        <color rgb="FF333333"/>
        <rFont val="DejaVu Sans"/>
        <family val="2"/>
      </rPr>
      <t xml:space="preserve">글자 이상 입력
</t>
    </r>
    <r>
      <rPr>
        <sz val="10"/>
        <color rgb="FF333333"/>
        <rFont val="Arial"/>
        <family val="2"/>
        <charset val="1"/>
      </rPr>
      <t xml:space="preserve">- </t>
    </r>
    <r>
      <rPr>
        <sz val="10"/>
        <color rgb="FF333333"/>
        <rFont val="DejaVu Sans"/>
        <family val="2"/>
      </rPr>
      <t xml:space="preserve">특수문자 이스케이프
</t>
    </r>
    <r>
      <rPr>
        <sz val="10"/>
        <color rgb="FF333333"/>
        <rFont val="Arial"/>
        <family val="2"/>
        <charset val="1"/>
      </rPr>
      <t xml:space="preserve">- </t>
    </r>
    <r>
      <rPr>
        <sz val="10"/>
        <color rgb="FF333333"/>
        <rFont val="DejaVu Sans"/>
        <family val="2"/>
      </rPr>
      <t xml:space="preserve">빈 검색어 실행 불가</t>
    </r>
  </si>
  <si>
    <r>
      <rPr>
        <sz val="10"/>
        <color rgb="FF333333"/>
        <rFont val="Arial"/>
        <family val="2"/>
        <charset val="1"/>
      </rPr>
      <t xml:space="preserve">- </t>
    </r>
    <r>
      <rPr>
        <sz val="10"/>
        <color rgb="FF333333"/>
        <rFont val="DejaVu Sans"/>
        <family val="2"/>
      </rPr>
      <t xml:space="preserve">결과 없음</t>
    </r>
    <r>
      <rPr>
        <sz val="10"/>
        <color rgb="FF333333"/>
        <rFont val="Arial"/>
        <family val="2"/>
        <charset val="1"/>
      </rPr>
      <t xml:space="preserve">: </t>
    </r>
    <r>
      <rPr>
        <sz val="10"/>
        <color rgb="FF333333"/>
        <rFont val="DejaVu Sans"/>
        <family val="2"/>
      </rPr>
      <t xml:space="preserve">추천 검색어 표시
</t>
    </r>
    <r>
      <rPr>
        <sz val="10"/>
        <color rgb="FF333333"/>
        <rFont val="Arial"/>
        <family val="2"/>
        <charset val="1"/>
      </rPr>
      <t xml:space="preserve">- </t>
    </r>
    <r>
      <rPr>
        <sz val="10"/>
        <color rgb="FF333333"/>
        <rFont val="DejaVu Sans"/>
        <family val="2"/>
      </rPr>
      <t xml:space="preserve">검색 실패</t>
    </r>
    <r>
      <rPr>
        <sz val="10"/>
        <color rgb="FF333333"/>
        <rFont val="Arial"/>
        <family val="2"/>
        <charset val="1"/>
      </rPr>
      <t xml:space="preserve">: </t>
    </r>
    <r>
      <rPr>
        <sz val="10"/>
        <color rgb="FF333333"/>
        <rFont val="DejaVu Sans"/>
        <family val="2"/>
      </rPr>
      <t xml:space="preserve">재시도 안내</t>
    </r>
  </si>
  <si>
    <r>
      <rPr>
        <sz val="10"/>
        <color rgb="FF333333"/>
        <rFont val="Arial"/>
        <family val="2"/>
        <charset val="1"/>
      </rPr>
      <t xml:space="preserve">- URL </t>
    </r>
    <r>
      <rPr>
        <sz val="10"/>
        <color rgb="FF333333"/>
        <rFont val="DejaVu Sans"/>
        <family val="2"/>
      </rPr>
      <t xml:space="preserve">파라미터 검색어 반영
</t>
    </r>
    <r>
      <rPr>
        <sz val="10"/>
        <color rgb="FF333333"/>
        <rFont val="Arial"/>
        <family val="2"/>
        <charset val="1"/>
      </rPr>
      <t xml:space="preserve">- </t>
    </r>
    <r>
      <rPr>
        <sz val="10"/>
        <color rgb="FF333333"/>
        <rFont val="DejaVu Sans"/>
        <family val="2"/>
      </rPr>
      <t xml:space="preserve">뒤로가기 시 검색 상태 유지</t>
    </r>
  </si>
  <si>
    <r>
      <rPr>
        <sz val="10"/>
        <color rgb="FF333333"/>
        <rFont val="Arial"/>
        <family val="2"/>
        <charset val="1"/>
      </rPr>
      <t xml:space="preserve">- </t>
    </r>
    <r>
      <rPr>
        <sz val="10"/>
        <color rgb="FF333333"/>
        <rFont val="DejaVu Sans"/>
        <family val="2"/>
      </rPr>
      <t xml:space="preserve">음성 검색 지원
</t>
    </r>
    <r>
      <rPr>
        <sz val="10"/>
        <color rgb="FF333333"/>
        <rFont val="Arial"/>
        <family val="2"/>
        <charset val="1"/>
      </rPr>
      <t xml:space="preserve">- </t>
    </r>
    <r>
      <rPr>
        <sz val="10"/>
        <color rgb="FF333333"/>
        <rFont val="DejaVu Sans"/>
        <family val="2"/>
      </rPr>
      <t xml:space="preserve">검색 시 키보드 자동 닫기</t>
    </r>
  </si>
  <si>
    <r>
      <rPr>
        <b val="true"/>
        <sz val="11"/>
        <color rgb="FF1B2A4A"/>
        <rFont val="DejaVu Sans"/>
        <family val="2"/>
      </rPr>
      <t xml:space="preserve">마이페이지 </t>
    </r>
    <r>
      <rPr>
        <b val="true"/>
        <sz val="11"/>
        <color rgb="FF1B2A4A"/>
        <rFont val="DejaVu Sans"/>
        <family val="2"/>
        <charset val="1"/>
      </rPr>
      <t xml:space="preserve">(1</t>
    </r>
    <r>
      <rPr>
        <b val="true"/>
        <sz val="11"/>
        <color rgb="FF1B2A4A"/>
        <rFont val="DejaVu Sans"/>
        <family val="2"/>
      </rPr>
      <t xml:space="preserve">개 기능</t>
    </r>
    <r>
      <rPr>
        <b val="true"/>
        <sz val="11"/>
        <color rgb="FF1B2A4A"/>
        <rFont val="DejaVu Sans"/>
        <family val="2"/>
        <charset val="1"/>
      </rPr>
      <t xml:space="preserve">)</t>
    </r>
  </si>
  <si>
    <t xml:space="preserve">프로필 수정</t>
  </si>
  <si>
    <t xml:space="preserve">사용자 프로필 정보 수정</t>
  </si>
  <si>
    <r>
      <rPr>
        <sz val="10"/>
        <color rgb="FF333333"/>
        <rFont val="Arial"/>
        <family val="2"/>
        <charset val="1"/>
      </rPr>
      <t xml:space="preserve">1. </t>
    </r>
    <r>
      <rPr>
        <sz val="10"/>
        <color rgb="FF333333"/>
        <rFont val="DejaVu Sans"/>
        <family val="2"/>
      </rPr>
      <t xml:space="preserve">닉네임 변경 </t>
    </r>
    <r>
      <rPr>
        <sz val="10"/>
        <color rgb="FF333333"/>
        <rFont val="Arial"/>
        <family val="2"/>
        <charset val="1"/>
      </rPr>
      <t xml:space="preserve">(2~20</t>
    </r>
    <r>
      <rPr>
        <sz val="10"/>
        <color rgb="FF333333"/>
        <rFont val="DejaVu Sans"/>
        <family val="2"/>
      </rPr>
      <t xml:space="preserve">자</t>
    </r>
    <r>
      <rPr>
        <sz val="10"/>
        <color rgb="FF333333"/>
        <rFont val="Arial"/>
        <family val="2"/>
        <charset val="1"/>
      </rPr>
      <t xml:space="preserve">, </t>
    </r>
    <r>
      <rPr>
        <sz val="10"/>
        <color rgb="FF333333"/>
        <rFont val="DejaVu Sans"/>
        <family val="2"/>
      </rPr>
      <t xml:space="preserve">특수문자 제한</t>
    </r>
    <r>
      <rPr>
        <sz val="10"/>
        <color rgb="FF333333"/>
        <rFont val="Arial"/>
        <family val="2"/>
        <charset val="1"/>
      </rPr>
      <t xml:space="preserve">)
2. </t>
    </r>
    <r>
      <rPr>
        <sz val="10"/>
        <color rgb="FF333333"/>
        <rFont val="DejaVu Sans"/>
        <family val="2"/>
      </rPr>
      <t xml:space="preserve">프로필 이미지 변경 </t>
    </r>
    <r>
      <rPr>
        <sz val="10"/>
        <color rgb="FF333333"/>
        <rFont val="Arial"/>
        <family val="2"/>
        <charset val="1"/>
      </rPr>
      <t xml:space="preserve">(JPG/PNG, 5MB </t>
    </r>
    <r>
      <rPr>
        <sz val="10"/>
        <color rgb="FF333333"/>
        <rFont val="DejaVu Sans"/>
        <family val="2"/>
      </rPr>
      <t xml:space="preserve">이하</t>
    </r>
    <r>
      <rPr>
        <sz val="10"/>
        <color rgb="FF333333"/>
        <rFont val="Arial"/>
        <family val="2"/>
        <charset val="1"/>
      </rPr>
      <t xml:space="preserve">)
3. </t>
    </r>
    <r>
      <rPr>
        <sz val="10"/>
        <color rgb="FF333333"/>
        <rFont val="DejaVu Sans"/>
        <family val="2"/>
      </rPr>
      <t xml:space="preserve">변경 즉시 반영</t>
    </r>
  </si>
  <si>
    <r>
      <rPr>
        <sz val="10"/>
        <color rgb="FF333333"/>
        <rFont val="DejaVu Sans"/>
        <family val="2"/>
      </rPr>
      <t xml:space="preserve">닉네임</t>
    </r>
    <r>
      <rPr>
        <sz val="10"/>
        <color rgb="FF333333"/>
        <rFont val="DejaVu Sans"/>
        <family val="2"/>
        <charset val="1"/>
      </rPr>
      <t xml:space="preserve">, </t>
    </r>
    <r>
      <rPr>
        <sz val="10"/>
        <color rgb="FF333333"/>
        <rFont val="DejaVu Sans"/>
        <family val="2"/>
      </rPr>
      <t xml:space="preserve">프로필 이미지 파일</t>
    </r>
  </si>
  <si>
    <t xml:space="preserve">수정 완료 메시지</t>
  </si>
  <si>
    <r>
      <rPr>
        <sz val="10"/>
        <color rgb="FF333333"/>
        <rFont val="Arial"/>
        <family val="2"/>
        <charset val="1"/>
      </rPr>
      <t xml:space="preserve">- </t>
    </r>
    <r>
      <rPr>
        <sz val="10"/>
        <color rgb="FF333333"/>
        <rFont val="DejaVu Sans"/>
        <family val="2"/>
      </rPr>
      <t xml:space="preserve">닉네임 중복 불가
</t>
    </r>
    <r>
      <rPr>
        <sz val="10"/>
        <color rgb="FF333333"/>
        <rFont val="Arial"/>
        <family val="2"/>
        <charset val="1"/>
      </rPr>
      <t xml:space="preserve">- 30</t>
    </r>
    <r>
      <rPr>
        <sz val="10"/>
        <color rgb="FF333333"/>
        <rFont val="DejaVu Sans"/>
        <family val="2"/>
      </rPr>
      <t xml:space="preserve">일 내 닉네임 </t>
    </r>
    <r>
      <rPr>
        <sz val="10"/>
        <color rgb="FF333333"/>
        <rFont val="Arial"/>
        <family val="2"/>
        <charset val="1"/>
      </rPr>
      <t xml:space="preserve">1</t>
    </r>
    <r>
      <rPr>
        <sz val="10"/>
        <color rgb="FF333333"/>
        <rFont val="DejaVu Sans"/>
        <family val="2"/>
      </rPr>
      <t xml:space="preserve">회 변경
</t>
    </r>
    <r>
      <rPr>
        <sz val="10"/>
        <color rgb="FF333333"/>
        <rFont val="Arial"/>
        <family val="2"/>
        <charset val="1"/>
      </rPr>
      <t xml:space="preserve">- </t>
    </r>
    <r>
      <rPr>
        <sz val="10"/>
        <color rgb="FF333333"/>
        <rFont val="DejaVu Sans"/>
        <family val="2"/>
      </rPr>
      <t xml:space="preserve">이미지 자동 리사이즈 </t>
    </r>
    <r>
      <rPr>
        <sz val="10"/>
        <color rgb="FF333333"/>
        <rFont val="Arial"/>
        <family val="2"/>
        <charset val="1"/>
      </rPr>
      <t xml:space="preserve">(500x500)</t>
    </r>
  </si>
  <si>
    <r>
      <rPr>
        <sz val="10"/>
        <color rgb="FF333333"/>
        <rFont val="Arial"/>
        <family val="2"/>
        <charset val="1"/>
      </rPr>
      <t xml:space="preserve">- </t>
    </r>
    <r>
      <rPr>
        <sz val="10"/>
        <color rgb="FF333333"/>
        <rFont val="DejaVu Sans"/>
        <family val="2"/>
      </rPr>
      <t xml:space="preserve">닉네임 중복</t>
    </r>
    <r>
      <rPr>
        <sz val="10"/>
        <color rgb="FF333333"/>
        <rFont val="Arial"/>
        <family val="2"/>
        <charset val="1"/>
      </rPr>
      <t xml:space="preserve">: '</t>
    </r>
    <r>
      <rPr>
        <sz val="10"/>
        <color rgb="FF333333"/>
        <rFont val="DejaVu Sans"/>
        <family val="2"/>
      </rPr>
      <t xml:space="preserve">이미 사용 중인 닉네임입니다</t>
    </r>
    <r>
      <rPr>
        <sz val="10"/>
        <color rgb="FF333333"/>
        <rFont val="Arial"/>
        <family val="2"/>
        <charset val="1"/>
      </rPr>
      <t xml:space="preserve">'
- </t>
    </r>
    <r>
      <rPr>
        <sz val="10"/>
        <color rgb="FF333333"/>
        <rFont val="DejaVu Sans"/>
        <family val="2"/>
      </rPr>
      <t xml:space="preserve">이미지 용량 초과</t>
    </r>
    <r>
      <rPr>
        <sz val="10"/>
        <color rgb="FF333333"/>
        <rFont val="Arial"/>
        <family val="2"/>
        <charset val="1"/>
      </rPr>
      <t xml:space="preserve">: '5MB </t>
    </r>
    <r>
      <rPr>
        <sz val="10"/>
        <color rgb="FF333333"/>
        <rFont val="DejaVu Sans"/>
        <family val="2"/>
      </rPr>
      <t xml:space="preserve">이하 파일만 가능합니다</t>
    </r>
    <r>
      <rPr>
        <sz val="10"/>
        <color rgb="FF333333"/>
        <rFont val="Arial"/>
        <family val="2"/>
        <charset val="1"/>
      </rPr>
      <t xml:space="preserve">'</t>
    </r>
  </si>
  <si>
    <r>
      <rPr>
        <sz val="10"/>
        <color rgb="FF333333"/>
        <rFont val="Arial"/>
        <family val="2"/>
        <charset val="1"/>
      </rPr>
      <t xml:space="preserve">- </t>
    </r>
    <r>
      <rPr>
        <sz val="10"/>
        <color rgb="FF333333"/>
        <rFont val="DejaVu Sans"/>
        <family val="2"/>
      </rPr>
      <t xml:space="preserve">이미지 크롭 </t>
    </r>
    <r>
      <rPr>
        <sz val="10"/>
        <color rgb="FF333333"/>
        <rFont val="Arial"/>
        <family val="2"/>
        <charset val="1"/>
      </rPr>
      <t xml:space="preserve">(Web: </t>
    </r>
    <r>
      <rPr>
        <sz val="10"/>
        <color rgb="FF333333"/>
        <rFont val="DejaVu Sans"/>
        <family val="2"/>
      </rPr>
      <t xml:space="preserve">모달</t>
    </r>
    <r>
      <rPr>
        <sz val="10"/>
        <color rgb="FF333333"/>
        <rFont val="Arial"/>
        <family val="2"/>
        <charset val="1"/>
      </rPr>
      <t xml:space="preserve">)</t>
    </r>
  </si>
  <si>
    <r>
      <rPr>
        <sz val="10"/>
        <color rgb="FF333333"/>
        <rFont val="Arial"/>
        <family val="2"/>
        <charset val="1"/>
      </rPr>
      <t xml:space="preserve">- </t>
    </r>
    <r>
      <rPr>
        <sz val="10"/>
        <color rgb="FF333333"/>
        <rFont val="DejaVu Sans"/>
        <family val="2"/>
      </rPr>
      <t xml:space="preserve">이미지 크롭 </t>
    </r>
    <r>
      <rPr>
        <sz val="10"/>
        <color rgb="FF333333"/>
        <rFont val="Arial"/>
        <family val="2"/>
        <charset val="1"/>
      </rPr>
      <t xml:space="preserve">(App: </t>
    </r>
    <r>
      <rPr>
        <sz val="10"/>
        <color rgb="FF333333"/>
        <rFont val="DejaVu Sans"/>
        <family val="2"/>
      </rPr>
      <t xml:space="preserve">별도 화면</t>
    </r>
    <r>
      <rPr>
        <sz val="10"/>
        <color rgb="FF333333"/>
        <rFont val="Arial"/>
        <family val="2"/>
        <charset val="1"/>
      </rPr>
      <t xml:space="preserve">)
- </t>
    </r>
    <r>
      <rPr>
        <sz val="10"/>
        <color rgb="FF333333"/>
        <rFont val="DejaVu Sans"/>
        <family val="2"/>
      </rPr>
      <t xml:space="preserve">카메라</t>
    </r>
    <r>
      <rPr>
        <sz val="10"/>
        <color rgb="FF333333"/>
        <rFont val="Arial"/>
        <family val="2"/>
        <charset val="1"/>
      </rPr>
      <t xml:space="preserve">/</t>
    </r>
    <r>
      <rPr>
        <sz val="10"/>
        <color rgb="FF333333"/>
        <rFont val="DejaVu Sans"/>
        <family val="2"/>
      </rPr>
      <t xml:space="preserve">갤러리 선택</t>
    </r>
  </si>
  <si>
    <r>
      <rPr>
        <b val="true"/>
        <sz val="11"/>
        <color rgb="FFFFFFFF"/>
        <rFont val="Arial"/>
        <family val="0"/>
        <charset val="1"/>
      </rPr>
      <t xml:space="preserve">API</t>
    </r>
    <r>
      <rPr>
        <b val="true"/>
        <sz val="11"/>
        <color rgb="FFFFFFFF"/>
        <rFont val="DejaVu Sans"/>
        <family val="2"/>
      </rPr>
      <t xml:space="preserve">명</t>
    </r>
  </si>
  <si>
    <t xml:space="preserve">Method</t>
  </si>
  <si>
    <t xml:space="preserve">엔드포인트</t>
  </si>
  <si>
    <t xml:space="preserve">Request Headers</t>
  </si>
  <si>
    <t xml:space="preserve">Request Body</t>
  </si>
  <si>
    <r>
      <rPr>
        <b val="true"/>
        <sz val="11"/>
        <color rgb="FFFFFFFF"/>
        <rFont val="Arial"/>
        <family val="0"/>
        <charset val="1"/>
      </rPr>
      <t xml:space="preserve">Response (</t>
    </r>
    <r>
      <rPr>
        <b val="true"/>
        <sz val="11"/>
        <color rgb="FFFFFFFF"/>
        <rFont val="DejaVu Sans"/>
        <family val="2"/>
      </rPr>
      <t xml:space="preserve">성공</t>
    </r>
    <r>
      <rPr>
        <b val="true"/>
        <sz val="11"/>
        <color rgb="FFFFFFFF"/>
        <rFont val="Arial"/>
        <family val="0"/>
        <charset val="1"/>
      </rPr>
      <t xml:space="preserve">)</t>
    </r>
  </si>
  <si>
    <r>
      <rPr>
        <b val="true"/>
        <sz val="11"/>
        <color rgb="FFFFFFFF"/>
        <rFont val="Arial"/>
        <family val="0"/>
        <charset val="1"/>
      </rPr>
      <t xml:space="preserve">Response (</t>
    </r>
    <r>
      <rPr>
        <b val="true"/>
        <sz val="11"/>
        <color rgb="FFFFFFFF"/>
        <rFont val="DejaVu Sans"/>
        <family val="2"/>
      </rPr>
      <t xml:space="preserve">실패</t>
    </r>
    <r>
      <rPr>
        <b val="true"/>
        <sz val="11"/>
        <color rgb="FFFFFFFF"/>
        <rFont val="Arial"/>
        <family val="0"/>
        <charset val="1"/>
      </rPr>
      <t xml:space="preserve">)</t>
    </r>
  </si>
  <si>
    <t xml:space="preserve">인증 필요</t>
  </si>
  <si>
    <t xml:space="preserve">POST</t>
  </si>
  <si>
    <t xml:space="preserve">/api/v1/auth/signup</t>
  </si>
  <si>
    <r>
      <rPr>
        <sz val="10"/>
        <color rgb="FF333333"/>
        <rFont val="DejaVu Sans"/>
        <family val="2"/>
      </rPr>
      <t xml:space="preserve">이메일</t>
    </r>
    <r>
      <rPr>
        <sz val="10"/>
        <color rgb="FF333333"/>
        <rFont val="DejaVu Sans"/>
        <family val="2"/>
        <charset val="1"/>
      </rPr>
      <t xml:space="preserve">/</t>
    </r>
    <r>
      <rPr>
        <sz val="10"/>
        <color rgb="FF333333"/>
        <rFont val="DejaVu Sans"/>
        <family val="2"/>
      </rPr>
      <t xml:space="preserve">비밀번호 기반 회원가입</t>
    </r>
  </si>
  <si>
    <t xml:space="preserve">Content-Type: application/json</t>
  </si>
  <si>
    <t xml:space="preserve">{
  "email": "string (required)",
  "password": "string (required)",
  "passwordConfirm": "string (required)",
  "termsAgreed": "boolean (required)",
  "privacyAgreed": "boolean (required)"
}</t>
  </si>
  <si>
    <r>
      <rPr>
        <sz val="10"/>
        <color rgb="FF333333"/>
        <rFont val="Arial"/>
        <family val="2"/>
        <charset val="1"/>
      </rPr>
      <t xml:space="preserve">{
  "status": 201,
  "data": {
    "userId": "string",
    "email": "string"
  },
  "message": "</t>
    </r>
    <r>
      <rPr>
        <sz val="10"/>
        <color rgb="FF333333"/>
        <rFont val="DejaVu Sans"/>
        <family val="2"/>
      </rPr>
      <t xml:space="preserve">인증 이메일이 발송되었습니다</t>
    </r>
    <r>
      <rPr>
        <sz val="10"/>
        <color rgb="FF333333"/>
        <rFont val="Arial"/>
        <family val="2"/>
        <charset val="1"/>
      </rPr>
      <t xml:space="preserve">"
}</t>
    </r>
  </si>
  <si>
    <r>
      <rPr>
        <sz val="10"/>
        <color rgb="FF333333"/>
        <rFont val="Arial"/>
        <family val="2"/>
        <charset val="1"/>
      </rPr>
      <t xml:space="preserve">400: </t>
    </r>
    <r>
      <rPr>
        <sz val="10"/>
        <color rgb="FF333333"/>
        <rFont val="DejaVu Sans"/>
        <family val="2"/>
      </rPr>
      <t xml:space="preserve">유효성 검사 실패
</t>
    </r>
    <r>
      <rPr>
        <sz val="10"/>
        <color rgb="FF333333"/>
        <rFont val="Arial"/>
        <family val="2"/>
        <charset val="1"/>
      </rPr>
      <t xml:space="preserve">409: </t>
    </r>
    <r>
      <rPr>
        <sz val="10"/>
        <color rgb="FF333333"/>
        <rFont val="DejaVu Sans"/>
        <family val="2"/>
      </rPr>
      <t xml:space="preserve">이메일 중복
</t>
    </r>
    <r>
      <rPr>
        <sz val="10"/>
        <color rgb="FF333333"/>
        <rFont val="Arial"/>
        <family val="2"/>
        <charset val="1"/>
      </rPr>
      <t xml:space="preserve">500: </t>
    </r>
    <r>
      <rPr>
        <sz val="10"/>
        <color rgb="FF333333"/>
        <rFont val="DejaVu Sans"/>
        <family val="2"/>
      </rPr>
      <t xml:space="preserve">서버 오류</t>
    </r>
  </si>
  <si>
    <t xml:space="preserve">개발완료</t>
  </si>
  <si>
    <r>
      <rPr>
        <sz val="10"/>
        <color rgb="FF333333"/>
        <rFont val="DejaVu Sans"/>
        <family val="2"/>
      </rPr>
      <t xml:space="preserve">개발자</t>
    </r>
    <r>
      <rPr>
        <sz val="10"/>
        <color rgb="FF333333"/>
        <rFont val="DejaVu Sans"/>
        <family val="2"/>
        <charset val="1"/>
      </rPr>
      <t xml:space="preserve">1</t>
    </r>
  </si>
  <si>
    <t xml:space="preserve">/api/v1/auth/social</t>
  </si>
  <si>
    <r>
      <rPr>
        <sz val="10"/>
        <color rgb="FF333333"/>
        <rFont val="DejaVu Sans"/>
        <family val="2"/>
      </rPr>
      <t xml:space="preserve">소셜 계정 인증 기반 로그인</t>
    </r>
    <r>
      <rPr>
        <sz val="10"/>
        <color rgb="FF333333"/>
        <rFont val="DejaVu Sans"/>
        <family val="2"/>
        <charset val="1"/>
      </rPr>
      <t xml:space="preserve">/</t>
    </r>
    <r>
      <rPr>
        <sz val="10"/>
        <color rgb="FF333333"/>
        <rFont val="DejaVu Sans"/>
        <family val="2"/>
      </rPr>
      <t xml:space="preserve">가입</t>
    </r>
  </si>
  <si>
    <t xml:space="preserve">{
  "provider": "google|apple|kakao",
  "token": "string (required)",
  "deviceInfo": "object (optional)"
}</t>
  </si>
  <si>
    <t xml:space="preserve">{
  "status": 200,
  "data": {
    "accessToken": "string",
    "refreshToken": "string",
    "user": {...}
  }
}</t>
  </si>
  <si>
    <r>
      <rPr>
        <sz val="10"/>
        <color rgb="FF333333"/>
        <rFont val="Arial"/>
        <family val="2"/>
        <charset val="1"/>
      </rPr>
      <t xml:space="preserve">401: </t>
    </r>
    <r>
      <rPr>
        <sz val="10"/>
        <color rgb="FF333333"/>
        <rFont val="DejaVu Sans"/>
        <family val="2"/>
      </rPr>
      <t xml:space="preserve">인증 실패
</t>
    </r>
    <r>
      <rPr>
        <sz val="10"/>
        <color rgb="FF333333"/>
        <rFont val="Arial"/>
        <family val="2"/>
        <charset val="1"/>
      </rPr>
      <t xml:space="preserve">409: </t>
    </r>
    <r>
      <rPr>
        <sz val="10"/>
        <color rgb="FF333333"/>
        <rFont val="DejaVu Sans"/>
        <family val="2"/>
      </rPr>
      <t xml:space="preserve">이메일 충돌
</t>
    </r>
    <r>
      <rPr>
        <sz val="10"/>
        <color rgb="FF333333"/>
        <rFont val="Arial"/>
        <family val="2"/>
        <charset val="1"/>
      </rPr>
      <t xml:space="preserve">500: </t>
    </r>
    <r>
      <rPr>
        <sz val="10"/>
        <color rgb="FF333333"/>
        <rFont val="DejaVu Sans"/>
        <family val="2"/>
      </rPr>
      <t xml:space="preserve">서버 오류</t>
    </r>
  </si>
  <si>
    <t xml:space="preserve">이메일 로그인</t>
  </si>
  <si>
    <t xml:space="preserve">/api/v1/auth/login</t>
  </si>
  <si>
    <r>
      <rPr>
        <sz val="10"/>
        <color rgb="FF333333"/>
        <rFont val="DejaVu Sans"/>
        <family val="2"/>
      </rPr>
      <t xml:space="preserve">이메일</t>
    </r>
    <r>
      <rPr>
        <sz val="10"/>
        <color rgb="FF333333"/>
        <rFont val="DejaVu Sans"/>
        <family val="2"/>
        <charset val="1"/>
      </rPr>
      <t xml:space="preserve">/</t>
    </r>
    <r>
      <rPr>
        <sz val="10"/>
        <color rgb="FF333333"/>
        <rFont val="DejaVu Sans"/>
        <family val="2"/>
      </rPr>
      <t xml:space="preserve">비밀번호 로그인</t>
    </r>
  </si>
  <si>
    <t xml:space="preserve">{
  "email": "string (required)",
  "password": "string (required)",
  "autoLogin": "boolean (optional)"
}</t>
  </si>
  <si>
    <r>
      <rPr>
        <sz val="10"/>
        <color rgb="FF333333"/>
        <rFont val="Arial"/>
        <family val="2"/>
        <charset val="1"/>
      </rPr>
      <t xml:space="preserve">401: </t>
    </r>
    <r>
      <rPr>
        <sz val="10"/>
        <color rgb="FF333333"/>
        <rFont val="DejaVu Sans"/>
        <family val="2"/>
      </rPr>
      <t xml:space="preserve">비밀번호 불일치
</t>
    </r>
    <r>
      <rPr>
        <sz val="10"/>
        <color rgb="FF333333"/>
        <rFont val="Arial"/>
        <family val="2"/>
        <charset val="1"/>
      </rPr>
      <t xml:space="preserve">423: </t>
    </r>
    <r>
      <rPr>
        <sz val="10"/>
        <color rgb="FF333333"/>
        <rFont val="DejaVu Sans"/>
        <family val="2"/>
      </rPr>
      <t xml:space="preserve">계정 잠금
</t>
    </r>
    <r>
      <rPr>
        <sz val="10"/>
        <color rgb="FF333333"/>
        <rFont val="Arial"/>
        <family val="2"/>
        <charset val="1"/>
      </rPr>
      <t xml:space="preserve">404: </t>
    </r>
    <r>
      <rPr>
        <sz val="10"/>
        <color rgb="FF333333"/>
        <rFont val="DejaVu Sans"/>
        <family val="2"/>
      </rPr>
      <t xml:space="preserve">계정 없음</t>
    </r>
  </si>
  <si>
    <t xml:space="preserve">GET</t>
  </si>
  <si>
    <t xml:space="preserve">/api/v1/search</t>
  </si>
  <si>
    <t xml:space="preserve">Authorization: Bearer {token}
Content-Type: application/json</t>
  </si>
  <si>
    <t xml:space="preserve">Query Params:
  q: "string (required, min 2)"
  category: "string (optional)"
  sort: "relevance|date|popular"
  page: "number"
  limit: "number (default: 20)"</t>
  </si>
  <si>
    <t xml:space="preserve">{
  "status": 200,
  "data": {
    "total": "number",
    "items": [...],
    "pagination": {...}
  }
}</t>
  </si>
  <si>
    <r>
      <rPr>
        <sz val="10"/>
        <color rgb="FF333333"/>
        <rFont val="Arial"/>
        <family val="2"/>
        <charset val="1"/>
      </rPr>
      <t xml:space="preserve">400: </t>
    </r>
    <r>
      <rPr>
        <sz val="10"/>
        <color rgb="FF333333"/>
        <rFont val="DejaVu Sans"/>
        <family val="2"/>
      </rPr>
      <t xml:space="preserve">검색어 부족
</t>
    </r>
    <r>
      <rPr>
        <sz val="10"/>
        <color rgb="FF333333"/>
        <rFont val="Arial"/>
        <family val="2"/>
        <charset val="1"/>
      </rPr>
      <t xml:space="preserve">401: </t>
    </r>
    <r>
      <rPr>
        <sz val="10"/>
        <color rgb="FF333333"/>
        <rFont val="DejaVu Sans"/>
        <family val="2"/>
      </rPr>
      <t xml:space="preserve">인증 필요
</t>
    </r>
    <r>
      <rPr>
        <sz val="10"/>
        <color rgb="FF333333"/>
        <rFont val="Arial"/>
        <family val="2"/>
        <charset val="1"/>
      </rPr>
      <t xml:space="preserve">500: </t>
    </r>
    <r>
      <rPr>
        <sz val="10"/>
        <color rgb="FF333333"/>
        <rFont val="DejaVu Sans"/>
        <family val="2"/>
      </rPr>
      <t xml:space="preserve">서버 오류</t>
    </r>
  </si>
  <si>
    <t xml:space="preserve">개발중</t>
  </si>
  <si>
    <r>
      <rPr>
        <sz val="10"/>
        <color rgb="FF333333"/>
        <rFont val="DejaVu Sans"/>
        <family val="2"/>
      </rPr>
      <t xml:space="preserve">개발자</t>
    </r>
    <r>
      <rPr>
        <sz val="10"/>
        <color rgb="FF333333"/>
        <rFont val="DejaVu Sans"/>
        <family val="2"/>
        <charset val="1"/>
      </rPr>
      <t xml:space="preserve">2</t>
    </r>
  </si>
  <si>
    <t xml:space="preserve">PUT</t>
  </si>
  <si>
    <t xml:space="preserve">/api/v1/users/me</t>
  </si>
  <si>
    <t xml:space="preserve">Authorization: Bearer {token}
Content-Type: multipart/form-data</t>
  </si>
  <si>
    <r>
      <rPr>
        <sz val="10"/>
        <color rgb="FF333333"/>
        <rFont val="Arial"/>
        <family val="2"/>
        <charset val="1"/>
      </rPr>
      <t xml:space="preserve">{
  "nickname": "string (optional, 2-20</t>
    </r>
    <r>
      <rPr>
        <sz val="10"/>
        <color rgb="FF333333"/>
        <rFont val="DejaVu Sans"/>
        <family val="2"/>
      </rPr>
      <t xml:space="preserve">자</t>
    </r>
    <r>
      <rPr>
        <sz val="10"/>
        <color rgb="FF333333"/>
        <rFont val="Arial"/>
        <family val="2"/>
        <charset val="1"/>
      </rPr>
      <t xml:space="preserve">)",
  "profileImage": "file (optional, JPG/PNG, &lt;5MB)"
}</t>
    </r>
  </si>
  <si>
    <t xml:space="preserve">{
  "status": 200,
  "data": {
    "userId": "string",
    "nickname": "string",
    "profileImageUrl": "string"
  }
}</t>
  </si>
  <si>
    <r>
      <rPr>
        <sz val="10"/>
        <color rgb="FF333333"/>
        <rFont val="Arial"/>
        <family val="2"/>
        <charset val="1"/>
      </rPr>
      <t xml:space="preserve">400: </t>
    </r>
    <r>
      <rPr>
        <sz val="10"/>
        <color rgb="FF333333"/>
        <rFont val="DejaVu Sans"/>
        <family val="2"/>
      </rPr>
      <t xml:space="preserve">유효성 실패
</t>
    </r>
    <r>
      <rPr>
        <sz val="10"/>
        <color rgb="FF333333"/>
        <rFont val="Arial"/>
        <family val="2"/>
        <charset val="1"/>
      </rPr>
      <t xml:space="preserve">409: </t>
    </r>
    <r>
      <rPr>
        <sz val="10"/>
        <color rgb="FF333333"/>
        <rFont val="DejaVu Sans"/>
        <family val="2"/>
      </rPr>
      <t xml:space="preserve">닉네임 중복
</t>
    </r>
    <r>
      <rPr>
        <sz val="10"/>
        <color rgb="FF333333"/>
        <rFont val="Arial"/>
        <family val="2"/>
        <charset val="1"/>
      </rPr>
      <t xml:space="preserve">413: </t>
    </r>
    <r>
      <rPr>
        <sz val="10"/>
        <color rgb="FF333333"/>
        <rFont val="DejaVu Sans"/>
        <family val="2"/>
      </rPr>
      <t xml:space="preserve">파일 용량 초과</t>
    </r>
  </si>
  <si>
    <t xml:space="preserve">테이블명</t>
  </si>
  <si>
    <t xml:space="preserve">컬럼명</t>
  </si>
  <si>
    <t xml:space="preserve">데이터 타입</t>
  </si>
  <si>
    <t xml:space="preserve">길이</t>
  </si>
  <si>
    <r>
      <rPr>
        <b val="true"/>
        <sz val="11"/>
        <color rgb="FFFFFFFF"/>
        <rFont val="Arial"/>
        <family val="0"/>
        <charset val="1"/>
      </rPr>
      <t xml:space="preserve">NULL </t>
    </r>
    <r>
      <rPr>
        <b val="true"/>
        <sz val="11"/>
        <color rgb="FFFFFFFF"/>
        <rFont val="DejaVu Sans"/>
        <family val="2"/>
      </rPr>
      <t xml:space="preserve">허용</t>
    </r>
  </si>
  <si>
    <t xml:space="preserve">기본값</t>
  </si>
  <si>
    <t xml:space="preserve">PK</t>
  </si>
  <si>
    <t xml:space="preserve">FK</t>
  </si>
  <si>
    <t xml:space="preserve">인덱스</t>
  </si>
  <si>
    <t xml:space="preserve">users</t>
  </si>
  <si>
    <t xml:space="preserve">id</t>
  </si>
  <si>
    <t xml:space="preserve">BIGINT</t>
  </si>
  <si>
    <t xml:space="preserve">AUTO_INCREMENT</t>
  </si>
  <si>
    <r>
      <rPr>
        <sz val="10"/>
        <color rgb="FF333333"/>
        <rFont val="DejaVu Sans"/>
        <family val="2"/>
      </rPr>
      <t xml:space="preserve">사용자 고유 </t>
    </r>
    <r>
      <rPr>
        <sz val="10"/>
        <color rgb="FF333333"/>
        <rFont val="DejaVu Sans"/>
        <family val="2"/>
        <charset val="1"/>
      </rPr>
      <t xml:space="preserve">ID</t>
    </r>
  </si>
  <si>
    <t xml:space="preserve">email</t>
  </si>
  <si>
    <t xml:space="preserve">VARCHAR</t>
  </si>
  <si>
    <t xml:space="preserve">255</t>
  </si>
  <si>
    <t xml:space="preserve">UNIQUE</t>
  </si>
  <si>
    <r>
      <rPr>
        <sz val="10"/>
        <color rgb="FF333333"/>
        <rFont val="DejaVu Sans"/>
        <family val="2"/>
      </rPr>
      <t xml:space="preserve">이메일 </t>
    </r>
    <r>
      <rPr>
        <sz val="10"/>
        <color rgb="FF333333"/>
        <rFont val="DejaVu Sans"/>
        <family val="2"/>
        <charset val="1"/>
      </rPr>
      <t xml:space="preserve">(</t>
    </r>
    <r>
      <rPr>
        <sz val="10"/>
        <color rgb="FF333333"/>
        <rFont val="DejaVu Sans"/>
        <family val="2"/>
      </rPr>
      <t xml:space="preserve">로그인용</t>
    </r>
    <r>
      <rPr>
        <sz val="10"/>
        <color rgb="FF333333"/>
        <rFont val="DejaVu Sans"/>
        <family val="2"/>
        <charset val="1"/>
      </rPr>
      <t xml:space="preserve">)</t>
    </r>
  </si>
  <si>
    <t xml:space="preserve">password_hash</t>
  </si>
  <si>
    <t xml:space="preserve">NULL</t>
  </si>
  <si>
    <r>
      <rPr>
        <sz val="10"/>
        <color rgb="FF333333"/>
        <rFont val="DejaVu Sans"/>
        <family val="2"/>
      </rPr>
      <t xml:space="preserve">비밀번호 해시 </t>
    </r>
    <r>
      <rPr>
        <sz val="10"/>
        <color rgb="FF333333"/>
        <rFont val="DejaVu Sans"/>
        <family val="2"/>
        <charset val="1"/>
      </rPr>
      <t xml:space="preserve">(</t>
    </r>
    <r>
      <rPr>
        <sz val="10"/>
        <color rgb="FF333333"/>
        <rFont val="DejaVu Sans"/>
        <family val="2"/>
      </rPr>
      <t xml:space="preserve">소셜 가입 시 </t>
    </r>
    <r>
      <rPr>
        <sz val="10"/>
        <color rgb="FF333333"/>
        <rFont val="DejaVu Sans"/>
        <family val="2"/>
        <charset val="1"/>
      </rPr>
      <t xml:space="preserve">NULL)</t>
    </r>
  </si>
  <si>
    <t xml:space="preserve">nickname</t>
  </si>
  <si>
    <t xml:space="preserve">20</t>
  </si>
  <si>
    <t xml:space="preserve">닉네임</t>
  </si>
  <si>
    <t xml:space="preserve">profile_image_url</t>
  </si>
  <si>
    <t xml:space="preserve">500</t>
  </si>
  <si>
    <r>
      <rPr>
        <sz val="10"/>
        <color rgb="FF333333"/>
        <rFont val="DejaVu Sans"/>
        <family val="2"/>
      </rPr>
      <t xml:space="preserve">프로필 이미지 </t>
    </r>
    <r>
      <rPr>
        <sz val="10"/>
        <color rgb="FF333333"/>
        <rFont val="DejaVu Sans"/>
        <family val="2"/>
        <charset val="1"/>
      </rPr>
      <t xml:space="preserve">URL</t>
    </r>
  </si>
  <si>
    <t xml:space="preserve">provider</t>
  </si>
  <si>
    <t xml:space="preserve">ENUM</t>
  </si>
  <si>
    <t xml:space="preserve">'email'</t>
  </si>
  <si>
    <r>
      <rPr>
        <sz val="10"/>
        <color rgb="FF333333"/>
        <rFont val="DejaVu Sans"/>
        <family val="2"/>
      </rPr>
      <t xml:space="preserve">가입 경로</t>
    </r>
    <r>
      <rPr>
        <sz val="10"/>
        <color rgb="FF333333"/>
        <rFont val="DejaVu Sans"/>
        <family val="2"/>
        <charset val="1"/>
      </rPr>
      <t xml:space="preserve">: email/google/apple/kakao</t>
    </r>
  </si>
  <si>
    <t xml:space="preserve">status</t>
  </si>
  <si>
    <t xml:space="preserve">'active'</t>
  </si>
  <si>
    <r>
      <rPr>
        <sz val="10"/>
        <color rgb="FF333333"/>
        <rFont val="DejaVu Sans"/>
        <family val="2"/>
      </rPr>
      <t xml:space="preserve">계정 상태</t>
    </r>
    <r>
      <rPr>
        <sz val="10"/>
        <color rgb="FF333333"/>
        <rFont val="DejaVu Sans"/>
        <family val="2"/>
        <charset val="1"/>
      </rPr>
      <t xml:space="preserve">: active/locked/withdrawn</t>
    </r>
  </si>
  <si>
    <t xml:space="preserve">login_fail_count</t>
  </si>
  <si>
    <t xml:space="preserve">INT</t>
  </si>
  <si>
    <t xml:space="preserve">0</t>
  </si>
  <si>
    <t xml:space="preserve">연속 로그인 실패 횟수</t>
  </si>
  <si>
    <t xml:space="preserve">last_login_at</t>
  </si>
  <si>
    <t xml:space="preserve">DATETIME</t>
  </si>
  <si>
    <t xml:space="preserve">마지막 로그인 일시</t>
  </si>
  <si>
    <t xml:space="preserve">created_at</t>
  </si>
  <si>
    <t xml:space="preserve">CURRENT_TIMESTAMP</t>
  </si>
  <si>
    <t xml:space="preserve">가입일시</t>
  </si>
  <si>
    <t xml:space="preserve">updated_at</t>
  </si>
  <si>
    <t xml:space="preserve">수정일시</t>
  </si>
  <si>
    <t xml:space="preserve">user_tokens</t>
  </si>
  <si>
    <r>
      <rPr>
        <sz val="10"/>
        <color rgb="FF333333"/>
        <rFont val="DejaVu Sans"/>
        <family val="2"/>
      </rPr>
      <t xml:space="preserve">토큰 고유 </t>
    </r>
    <r>
      <rPr>
        <sz val="10"/>
        <color rgb="FF333333"/>
        <rFont val="DejaVu Sans"/>
        <family val="2"/>
        <charset val="1"/>
      </rPr>
      <t xml:space="preserve">ID</t>
    </r>
  </si>
  <si>
    <t xml:space="preserve">user_id</t>
  </si>
  <si>
    <t xml:space="preserve">users.id</t>
  </si>
  <si>
    <r>
      <rPr>
        <sz val="10"/>
        <color rgb="FF333333"/>
        <rFont val="DejaVu Sans"/>
        <family val="2"/>
      </rPr>
      <t xml:space="preserve">사용자 </t>
    </r>
    <r>
      <rPr>
        <sz val="10"/>
        <color rgb="FF333333"/>
        <rFont val="DejaVu Sans"/>
        <family val="2"/>
        <charset val="1"/>
      </rPr>
      <t xml:space="preserve">FK</t>
    </r>
  </si>
  <si>
    <t xml:space="preserve">refresh_token</t>
  </si>
  <si>
    <t xml:space="preserve">리프레시 토큰</t>
  </si>
  <si>
    <t xml:space="preserve">expires_at</t>
  </si>
  <si>
    <t xml:space="preserve">토큰 만료 일시</t>
  </si>
  <si>
    <t xml:space="preserve">device_info</t>
  </si>
  <si>
    <t xml:space="preserve">JSON</t>
  </si>
  <si>
    <t xml:space="preserve">디바이스 정보</t>
  </si>
  <si>
    <t xml:space="preserve">search_history</t>
  </si>
  <si>
    <r>
      <rPr>
        <sz val="10"/>
        <color rgb="FF333333"/>
        <rFont val="DejaVu Sans"/>
        <family val="2"/>
      </rPr>
      <t xml:space="preserve">검색 기록 </t>
    </r>
    <r>
      <rPr>
        <sz val="10"/>
        <color rgb="FF333333"/>
        <rFont val="DejaVu Sans"/>
        <family val="2"/>
        <charset val="1"/>
      </rPr>
      <t xml:space="preserve">ID</t>
    </r>
  </si>
  <si>
    <t xml:space="preserve">keyword</t>
  </si>
  <si>
    <t xml:space="preserve">200</t>
  </si>
  <si>
    <t xml:space="preserve">검색 키워드</t>
  </si>
  <si>
    <t xml:space="preserve">searched_at</t>
  </si>
  <si>
    <t xml:space="preserve">검색 일시</t>
  </si>
  <si>
    <t xml:space="preserve">TC-ID</t>
  </si>
  <si>
    <t xml:space="preserve">테스트 영역</t>
  </si>
  <si>
    <t xml:space="preserve">하위 영역</t>
  </si>
  <si>
    <t xml:space="preserve">테스트 유형</t>
  </si>
  <si>
    <t xml:space="preserve">테스트 시나리오</t>
  </si>
  <si>
    <t xml:space="preserve">사전 조건</t>
  </si>
  <si>
    <t xml:space="preserve">테스트 절차</t>
  </si>
  <si>
    <t xml:space="preserve">기대 결과</t>
  </si>
  <si>
    <t xml:space="preserve">실제 결과</t>
  </si>
  <si>
    <t xml:space="preserve">테스트 상태</t>
  </si>
  <si>
    <t xml:space="preserve">심각도</t>
  </si>
  <si>
    <t xml:space="preserve">테스트 환경</t>
  </si>
  <si>
    <r>
      <rPr>
        <b val="true"/>
        <sz val="11"/>
        <color rgb="FFFFFFFF"/>
        <rFont val="DejaVu Sans"/>
        <family val="2"/>
      </rPr>
      <t xml:space="preserve">브라우저</t>
    </r>
    <r>
      <rPr>
        <b val="true"/>
        <sz val="11"/>
        <color rgb="FFFFFFFF"/>
        <rFont val="DejaVu Sans"/>
        <family val="2"/>
        <charset val="1"/>
      </rPr>
      <t xml:space="preserve">/</t>
    </r>
    <r>
      <rPr>
        <b val="true"/>
        <sz val="11"/>
        <color rgb="FFFFFFFF"/>
        <rFont val="DejaVu Sans"/>
        <family val="2"/>
      </rPr>
      <t xml:space="preserve">앱</t>
    </r>
  </si>
  <si>
    <t xml:space="preserve">디바이스</t>
  </si>
  <si>
    <t xml:space="preserve">OS</t>
  </si>
  <si>
    <t xml:space="preserve">테스트 사이클</t>
  </si>
  <si>
    <t xml:space="preserve">자동화 여부</t>
  </si>
  <si>
    <t xml:space="preserve">버그 티켓</t>
  </si>
  <si>
    <t xml:space="preserve">스크린샷</t>
  </si>
  <si>
    <t xml:space="preserve">TC-001</t>
  </si>
  <si>
    <t xml:space="preserve">이메일 가입</t>
  </si>
  <si>
    <t xml:space="preserve">기능 테스트</t>
  </si>
  <si>
    <t xml:space="preserve">유효한 이메일로 회원가입 성공</t>
  </si>
  <si>
    <t xml:space="preserve">비회원 상태</t>
  </si>
  <si>
    <r>
      <rPr>
        <sz val="10"/>
        <color rgb="FF333333"/>
        <rFont val="Arial"/>
        <family val="2"/>
        <charset val="1"/>
      </rPr>
      <t xml:space="preserve">1. /signup </t>
    </r>
    <r>
      <rPr>
        <sz val="10"/>
        <color rgb="FF333333"/>
        <rFont val="DejaVu Sans"/>
        <family val="2"/>
      </rPr>
      <t xml:space="preserve">페이지 이동
</t>
    </r>
    <r>
      <rPr>
        <sz val="10"/>
        <color rgb="FF333333"/>
        <rFont val="Arial"/>
        <family val="2"/>
        <charset val="1"/>
      </rPr>
      <t xml:space="preserve">2. </t>
    </r>
    <r>
      <rPr>
        <sz val="10"/>
        <color rgb="FF333333"/>
        <rFont val="DejaVu Sans"/>
        <family val="2"/>
      </rPr>
      <t xml:space="preserve">이메일 입력
</t>
    </r>
    <r>
      <rPr>
        <sz val="10"/>
        <color rgb="FF333333"/>
        <rFont val="Arial"/>
        <family val="2"/>
        <charset val="1"/>
      </rPr>
      <t xml:space="preserve">3. </t>
    </r>
    <r>
      <rPr>
        <sz val="10"/>
        <color rgb="FF333333"/>
        <rFont val="DejaVu Sans"/>
        <family val="2"/>
      </rPr>
      <t xml:space="preserve">비밀번호 입력 </t>
    </r>
    <r>
      <rPr>
        <sz val="10"/>
        <color rgb="FF333333"/>
        <rFont val="Arial"/>
        <family val="2"/>
        <charset val="1"/>
      </rPr>
      <t xml:space="preserve">(8</t>
    </r>
    <r>
      <rPr>
        <sz val="10"/>
        <color rgb="FF333333"/>
        <rFont val="DejaVu Sans"/>
        <family val="2"/>
      </rPr>
      <t xml:space="preserve">자 이상</t>
    </r>
    <r>
      <rPr>
        <sz val="10"/>
        <color rgb="FF333333"/>
        <rFont val="Arial"/>
        <family val="2"/>
        <charset val="1"/>
      </rPr>
      <t xml:space="preserve">, </t>
    </r>
    <r>
      <rPr>
        <sz val="10"/>
        <color rgb="FF333333"/>
        <rFont val="DejaVu Sans"/>
        <family val="2"/>
      </rPr>
      <t xml:space="preserve">영문</t>
    </r>
    <r>
      <rPr>
        <sz val="10"/>
        <color rgb="FF333333"/>
        <rFont val="Arial"/>
        <family val="2"/>
        <charset val="1"/>
      </rPr>
      <t xml:space="preserve">+</t>
    </r>
    <r>
      <rPr>
        <sz val="10"/>
        <color rgb="FF333333"/>
        <rFont val="DejaVu Sans"/>
        <family val="2"/>
      </rPr>
      <t xml:space="preserve">숫자</t>
    </r>
    <r>
      <rPr>
        <sz val="10"/>
        <color rgb="FF333333"/>
        <rFont val="Arial"/>
        <family val="2"/>
        <charset val="1"/>
      </rPr>
      <t xml:space="preserve">+</t>
    </r>
    <r>
      <rPr>
        <sz val="10"/>
        <color rgb="FF333333"/>
        <rFont val="DejaVu Sans"/>
        <family val="2"/>
      </rPr>
      <t xml:space="preserve">특수문자</t>
    </r>
    <r>
      <rPr>
        <sz val="10"/>
        <color rgb="FF333333"/>
        <rFont val="Arial"/>
        <family val="2"/>
        <charset val="1"/>
      </rPr>
      <t xml:space="preserve">)
4. </t>
    </r>
    <r>
      <rPr>
        <sz val="10"/>
        <color rgb="FF333333"/>
        <rFont val="DejaVu Sans"/>
        <family val="2"/>
      </rPr>
      <t xml:space="preserve">비밀번호 확인 입력
</t>
    </r>
    <r>
      <rPr>
        <sz val="10"/>
        <color rgb="FF333333"/>
        <rFont val="Arial"/>
        <family val="2"/>
        <charset val="1"/>
      </rPr>
      <t xml:space="preserve">5. </t>
    </r>
    <r>
      <rPr>
        <sz val="10"/>
        <color rgb="FF333333"/>
        <rFont val="DejaVu Sans"/>
        <family val="2"/>
      </rPr>
      <t xml:space="preserve">약관 전체 동의
</t>
    </r>
    <r>
      <rPr>
        <sz val="10"/>
        <color rgb="FF333333"/>
        <rFont val="Arial"/>
        <family val="2"/>
        <charset val="1"/>
      </rPr>
      <t xml:space="preserve">6. </t>
    </r>
    <r>
      <rPr>
        <sz val="10"/>
        <color rgb="FF333333"/>
        <rFont val="DejaVu Sans"/>
        <family val="2"/>
      </rPr>
      <t xml:space="preserve">가입하기 클릭</t>
    </r>
  </si>
  <si>
    <r>
      <rPr>
        <sz val="10"/>
        <color rgb="FF333333"/>
        <rFont val="DejaVu Sans"/>
        <family val="2"/>
      </rPr>
      <t xml:space="preserve">가입 완료 메시지</t>
    </r>
    <r>
      <rPr>
        <sz val="10"/>
        <color rgb="FF333333"/>
        <rFont val="DejaVu Sans"/>
        <family val="2"/>
        <charset val="1"/>
      </rPr>
      <t xml:space="preserve">, </t>
    </r>
    <r>
      <rPr>
        <sz val="10"/>
        <color rgb="FF333333"/>
        <rFont val="DejaVu Sans"/>
        <family val="2"/>
      </rPr>
      <t xml:space="preserve">인증 이메일 수신</t>
    </r>
  </si>
  <si>
    <t xml:space="preserve">미실행</t>
  </si>
  <si>
    <r>
      <rPr>
        <sz val="10"/>
        <color rgb="FF333333"/>
        <rFont val="Arial"/>
        <family val="2"/>
        <charset val="1"/>
      </rPr>
      <t xml:space="preserve">QA</t>
    </r>
    <r>
      <rPr>
        <sz val="10"/>
        <color rgb="FF333333"/>
        <rFont val="DejaVu Sans"/>
        <family val="2"/>
      </rPr>
      <t xml:space="preserve">담당자</t>
    </r>
    <r>
      <rPr>
        <sz val="10"/>
        <color rgb="FF333333"/>
        <rFont val="Arial"/>
        <family val="2"/>
        <charset val="1"/>
      </rPr>
      <t xml:space="preserve">1</t>
    </r>
  </si>
  <si>
    <t xml:space="preserve">Staging</t>
  </si>
  <si>
    <t xml:space="preserve">Chrome</t>
  </si>
  <si>
    <t xml:space="preserve">Desktop</t>
  </si>
  <si>
    <t xml:space="preserve">Windows 11</t>
  </si>
  <si>
    <r>
      <rPr>
        <sz val="10"/>
        <color rgb="FF333333"/>
        <rFont val="Arial"/>
        <family val="2"/>
        <charset val="1"/>
      </rPr>
      <t xml:space="preserve">1</t>
    </r>
    <r>
      <rPr>
        <sz val="10"/>
        <color rgb="FF333333"/>
        <rFont val="DejaVu Sans"/>
        <family val="2"/>
      </rPr>
      <t xml:space="preserve">차</t>
    </r>
  </si>
  <si>
    <t xml:space="preserve">수동</t>
  </si>
  <si>
    <t xml:space="preserve">TC-002</t>
  </si>
  <si>
    <t xml:space="preserve">App (iOS)</t>
  </si>
  <si>
    <r>
      <rPr>
        <sz val="10"/>
        <color rgb="FF333333"/>
        <rFont val="Arial"/>
        <family val="2"/>
        <charset val="1"/>
      </rPr>
      <t xml:space="preserve">Apple ID</t>
    </r>
    <r>
      <rPr>
        <sz val="10"/>
        <color rgb="FF333333"/>
        <rFont val="DejaVu Sans"/>
        <family val="2"/>
      </rPr>
      <t xml:space="preserve">로 소셜 로그인 성공</t>
    </r>
  </si>
  <si>
    <r>
      <rPr>
        <sz val="10"/>
        <color rgb="FF333333"/>
        <rFont val="Arial"/>
        <family val="2"/>
        <charset val="1"/>
      </rPr>
      <t xml:space="preserve">Apple ID </t>
    </r>
    <r>
      <rPr>
        <sz val="10"/>
        <color rgb="FF333333"/>
        <rFont val="DejaVu Sans"/>
        <family val="2"/>
      </rPr>
      <t xml:space="preserve">보유</t>
    </r>
    <r>
      <rPr>
        <sz val="10"/>
        <color rgb="FF333333"/>
        <rFont val="Arial"/>
        <family val="2"/>
        <charset val="1"/>
      </rPr>
      <t xml:space="preserve">, </t>
    </r>
    <r>
      <rPr>
        <sz val="10"/>
        <color rgb="FF333333"/>
        <rFont val="DejaVu Sans"/>
        <family val="2"/>
      </rPr>
      <t xml:space="preserve">앱 설치</t>
    </r>
  </si>
  <si>
    <r>
      <rPr>
        <sz val="10"/>
        <color rgb="FF333333"/>
        <rFont val="Arial"/>
        <family val="2"/>
        <charset val="1"/>
      </rPr>
      <t xml:space="preserve">1. </t>
    </r>
    <r>
      <rPr>
        <sz val="10"/>
        <color rgb="FF333333"/>
        <rFont val="DejaVu Sans"/>
        <family val="2"/>
      </rPr>
      <t xml:space="preserve">앱 실행
</t>
    </r>
    <r>
      <rPr>
        <sz val="10"/>
        <color rgb="FF333333"/>
        <rFont val="Arial"/>
        <family val="2"/>
        <charset val="1"/>
      </rPr>
      <t xml:space="preserve">2. 'Apple</t>
    </r>
    <r>
      <rPr>
        <sz val="10"/>
        <color rgb="FF333333"/>
        <rFont val="DejaVu Sans"/>
        <family val="2"/>
      </rPr>
      <t xml:space="preserve">로 로그인</t>
    </r>
    <r>
      <rPr>
        <sz val="10"/>
        <color rgb="FF333333"/>
        <rFont val="Arial"/>
        <family val="2"/>
        <charset val="1"/>
      </rPr>
      <t xml:space="preserve">' </t>
    </r>
    <r>
      <rPr>
        <sz val="10"/>
        <color rgb="FF333333"/>
        <rFont val="DejaVu Sans"/>
        <family val="2"/>
      </rPr>
      <t xml:space="preserve">탭
</t>
    </r>
    <r>
      <rPr>
        <sz val="10"/>
        <color rgb="FF333333"/>
        <rFont val="Arial"/>
        <family val="2"/>
        <charset val="1"/>
      </rPr>
      <t xml:space="preserve">3. Apple ID </t>
    </r>
    <r>
      <rPr>
        <sz val="10"/>
        <color rgb="FF333333"/>
        <rFont val="DejaVu Sans"/>
        <family val="2"/>
      </rPr>
      <t xml:space="preserve">인증
</t>
    </r>
    <r>
      <rPr>
        <sz val="10"/>
        <color rgb="FF333333"/>
        <rFont val="Arial"/>
        <family val="2"/>
        <charset val="1"/>
      </rPr>
      <t xml:space="preserve">4. </t>
    </r>
    <r>
      <rPr>
        <sz val="10"/>
        <color rgb="FF333333"/>
        <rFont val="DejaVu Sans"/>
        <family val="2"/>
      </rPr>
      <t xml:space="preserve">권한 허용</t>
    </r>
  </si>
  <si>
    <r>
      <rPr>
        <sz val="10"/>
        <color rgb="FF333333"/>
        <rFont val="DejaVu Sans"/>
        <family val="2"/>
      </rPr>
      <t xml:space="preserve">로그인 성공</t>
    </r>
    <r>
      <rPr>
        <sz val="10"/>
        <color rgb="FF333333"/>
        <rFont val="DejaVu Sans"/>
        <family val="2"/>
        <charset val="1"/>
      </rPr>
      <t xml:space="preserve">, </t>
    </r>
    <r>
      <rPr>
        <sz val="10"/>
        <color rgb="FF333333"/>
        <rFont val="DejaVu Sans"/>
        <family val="2"/>
      </rPr>
      <t xml:space="preserve">메인 화면 이동</t>
    </r>
  </si>
  <si>
    <t xml:space="preserve">인앱브라우저</t>
  </si>
  <si>
    <t xml:space="preserve">iPhone 15</t>
  </si>
  <si>
    <t xml:space="preserve">iOS 17</t>
  </si>
  <si>
    <t xml:space="preserve">TC-003</t>
  </si>
  <si>
    <t xml:space="preserve">App (Android)</t>
  </si>
  <si>
    <r>
      <rPr>
        <sz val="10"/>
        <color rgb="FF333333"/>
        <rFont val="Arial"/>
        <family val="2"/>
        <charset val="1"/>
      </rPr>
      <t xml:space="preserve">Google </t>
    </r>
    <r>
      <rPr>
        <sz val="10"/>
        <color rgb="FF333333"/>
        <rFont val="DejaVu Sans"/>
        <family val="2"/>
      </rPr>
      <t xml:space="preserve">계정 로그인 성공</t>
    </r>
  </si>
  <si>
    <r>
      <rPr>
        <sz val="10"/>
        <color rgb="FF333333"/>
        <rFont val="Arial"/>
        <family val="2"/>
        <charset val="1"/>
      </rPr>
      <t xml:space="preserve">Google </t>
    </r>
    <r>
      <rPr>
        <sz val="10"/>
        <color rgb="FF333333"/>
        <rFont val="DejaVu Sans"/>
        <family val="2"/>
      </rPr>
      <t xml:space="preserve">계정 보유</t>
    </r>
    <r>
      <rPr>
        <sz val="10"/>
        <color rgb="FF333333"/>
        <rFont val="Arial"/>
        <family val="2"/>
        <charset val="1"/>
      </rPr>
      <t xml:space="preserve">, </t>
    </r>
    <r>
      <rPr>
        <sz val="10"/>
        <color rgb="FF333333"/>
        <rFont val="DejaVu Sans"/>
        <family val="2"/>
      </rPr>
      <t xml:space="preserve">앱 설치</t>
    </r>
  </si>
  <si>
    <r>
      <rPr>
        <sz val="10"/>
        <color rgb="FF333333"/>
        <rFont val="Arial"/>
        <family val="2"/>
        <charset val="1"/>
      </rPr>
      <t xml:space="preserve">1. </t>
    </r>
    <r>
      <rPr>
        <sz val="10"/>
        <color rgb="FF333333"/>
        <rFont val="DejaVu Sans"/>
        <family val="2"/>
      </rPr>
      <t xml:space="preserve">앱 실행
</t>
    </r>
    <r>
      <rPr>
        <sz val="10"/>
        <color rgb="FF333333"/>
        <rFont val="Arial"/>
        <family val="2"/>
        <charset val="1"/>
      </rPr>
      <t xml:space="preserve">2. 'Google</t>
    </r>
    <r>
      <rPr>
        <sz val="10"/>
        <color rgb="FF333333"/>
        <rFont val="DejaVu Sans"/>
        <family val="2"/>
      </rPr>
      <t xml:space="preserve">로 로그인</t>
    </r>
    <r>
      <rPr>
        <sz val="10"/>
        <color rgb="FF333333"/>
        <rFont val="Arial"/>
        <family val="2"/>
        <charset val="1"/>
      </rPr>
      <t xml:space="preserve">' </t>
    </r>
    <r>
      <rPr>
        <sz val="10"/>
        <color rgb="FF333333"/>
        <rFont val="DejaVu Sans"/>
        <family val="2"/>
      </rPr>
      <t xml:space="preserve">탭
</t>
    </r>
    <r>
      <rPr>
        <sz val="10"/>
        <color rgb="FF333333"/>
        <rFont val="Arial"/>
        <family val="2"/>
        <charset val="1"/>
      </rPr>
      <t xml:space="preserve">3. </t>
    </r>
    <r>
      <rPr>
        <sz val="10"/>
        <color rgb="FF333333"/>
        <rFont val="DejaVu Sans"/>
        <family val="2"/>
      </rPr>
      <t xml:space="preserve">계정 선택
</t>
    </r>
    <r>
      <rPr>
        <sz val="10"/>
        <color rgb="FF333333"/>
        <rFont val="Arial"/>
        <family val="2"/>
        <charset val="1"/>
      </rPr>
      <t xml:space="preserve">4. </t>
    </r>
    <r>
      <rPr>
        <sz val="10"/>
        <color rgb="FF333333"/>
        <rFont val="DejaVu Sans"/>
        <family val="2"/>
      </rPr>
      <t xml:space="preserve">권한 허용</t>
    </r>
  </si>
  <si>
    <r>
      <rPr>
        <sz val="10"/>
        <color rgb="FF333333"/>
        <rFont val="Arial"/>
        <family val="2"/>
        <charset val="1"/>
      </rPr>
      <t xml:space="preserve">QA</t>
    </r>
    <r>
      <rPr>
        <sz val="10"/>
        <color rgb="FF333333"/>
        <rFont val="DejaVu Sans"/>
        <family val="2"/>
      </rPr>
      <t xml:space="preserve">담당자</t>
    </r>
    <r>
      <rPr>
        <sz val="10"/>
        <color rgb="FF333333"/>
        <rFont val="Arial"/>
        <family val="2"/>
        <charset val="1"/>
      </rPr>
      <t xml:space="preserve">2</t>
    </r>
  </si>
  <si>
    <t xml:space="preserve">Galaxy S24</t>
  </si>
  <si>
    <t xml:space="preserve">Android 14</t>
  </si>
  <si>
    <t xml:space="preserve">TC-004</t>
  </si>
  <si>
    <r>
      <rPr>
        <sz val="10"/>
        <color rgb="FF333333"/>
        <rFont val="DejaVu Sans"/>
        <family val="2"/>
      </rPr>
      <t xml:space="preserve">올바른 이메일</t>
    </r>
    <r>
      <rPr>
        <sz val="10"/>
        <color rgb="FF333333"/>
        <rFont val="DejaVu Sans"/>
        <family val="2"/>
        <charset val="1"/>
      </rPr>
      <t xml:space="preserve">/PW</t>
    </r>
    <r>
      <rPr>
        <sz val="10"/>
        <color rgb="FF333333"/>
        <rFont val="DejaVu Sans"/>
        <family val="2"/>
      </rPr>
      <t xml:space="preserve">로 로그인 성공</t>
    </r>
  </si>
  <si>
    <t xml:space="preserve">가입 완료된 계정</t>
  </si>
  <si>
    <r>
      <rPr>
        <sz val="10"/>
        <color rgb="FF333333"/>
        <rFont val="Arial"/>
        <family val="2"/>
        <charset val="1"/>
      </rPr>
      <t xml:space="preserve">1. /login </t>
    </r>
    <r>
      <rPr>
        <sz val="10"/>
        <color rgb="FF333333"/>
        <rFont val="DejaVu Sans"/>
        <family val="2"/>
      </rPr>
      <t xml:space="preserve">접근
</t>
    </r>
    <r>
      <rPr>
        <sz val="10"/>
        <color rgb="FF333333"/>
        <rFont val="Arial"/>
        <family val="2"/>
        <charset val="1"/>
      </rPr>
      <t xml:space="preserve">2. </t>
    </r>
    <r>
      <rPr>
        <sz val="10"/>
        <color rgb="FF333333"/>
        <rFont val="DejaVu Sans"/>
        <family val="2"/>
      </rPr>
      <t xml:space="preserve">이메일 입력
</t>
    </r>
    <r>
      <rPr>
        <sz val="10"/>
        <color rgb="FF333333"/>
        <rFont val="Arial"/>
        <family val="2"/>
        <charset val="1"/>
      </rPr>
      <t xml:space="preserve">3. </t>
    </r>
    <r>
      <rPr>
        <sz val="10"/>
        <color rgb="FF333333"/>
        <rFont val="DejaVu Sans"/>
        <family val="2"/>
      </rPr>
      <t xml:space="preserve">비밀번호 입력
</t>
    </r>
    <r>
      <rPr>
        <sz val="10"/>
        <color rgb="FF333333"/>
        <rFont val="Arial"/>
        <family val="2"/>
        <charset val="1"/>
      </rPr>
      <t xml:space="preserve">4. </t>
    </r>
    <r>
      <rPr>
        <sz val="10"/>
        <color rgb="FF333333"/>
        <rFont val="DejaVu Sans"/>
        <family val="2"/>
      </rPr>
      <t xml:space="preserve">로그인 클릭</t>
    </r>
  </si>
  <si>
    <r>
      <rPr>
        <sz val="10"/>
        <color rgb="FF333333"/>
        <rFont val="DejaVu Sans"/>
        <family val="2"/>
      </rPr>
      <t xml:space="preserve">로그인 성공</t>
    </r>
    <r>
      <rPr>
        <sz val="10"/>
        <color rgb="FF333333"/>
        <rFont val="DejaVu Sans"/>
        <family val="2"/>
        <charset val="1"/>
      </rPr>
      <t xml:space="preserve">, </t>
    </r>
    <r>
      <rPr>
        <sz val="10"/>
        <color rgb="FF333333"/>
        <rFont val="DejaVu Sans"/>
        <family val="2"/>
      </rPr>
      <t xml:space="preserve">메인 화면 이동</t>
    </r>
    <r>
      <rPr>
        <sz val="10"/>
        <color rgb="FF333333"/>
        <rFont val="DejaVu Sans"/>
        <family val="2"/>
        <charset val="1"/>
      </rPr>
      <t xml:space="preserve">, </t>
    </r>
    <r>
      <rPr>
        <sz val="10"/>
        <color rgb="FF333333"/>
        <rFont val="DejaVu Sans"/>
        <family val="2"/>
      </rPr>
      <t xml:space="preserve">토큰 발급</t>
    </r>
  </si>
  <si>
    <t xml:space="preserve">TC-005</t>
  </si>
  <si>
    <r>
      <rPr>
        <sz val="10"/>
        <color rgb="FF333333"/>
        <rFont val="Arial"/>
        <family val="2"/>
        <charset val="1"/>
      </rPr>
      <t xml:space="preserve">5</t>
    </r>
    <r>
      <rPr>
        <sz val="10"/>
        <color rgb="FF333333"/>
        <rFont val="DejaVu Sans"/>
        <family val="2"/>
      </rPr>
      <t xml:space="preserve">회 실패 잠금</t>
    </r>
  </si>
  <si>
    <r>
      <rPr>
        <sz val="10"/>
        <color rgb="FF333333"/>
        <rFont val="Arial"/>
        <family val="2"/>
        <charset val="1"/>
      </rPr>
      <t xml:space="preserve">5</t>
    </r>
    <r>
      <rPr>
        <sz val="10"/>
        <color rgb="FF333333"/>
        <rFont val="DejaVu Sans"/>
        <family val="2"/>
      </rPr>
      <t xml:space="preserve">회 연속 비밀번호 오류 시 계정 잠금</t>
    </r>
  </si>
  <si>
    <r>
      <rPr>
        <sz val="10"/>
        <color rgb="FF333333"/>
        <rFont val="Arial"/>
        <family val="2"/>
        <charset val="1"/>
      </rPr>
      <t xml:space="preserve">1. /login </t>
    </r>
    <r>
      <rPr>
        <sz val="10"/>
        <color rgb="FF333333"/>
        <rFont val="DejaVu Sans"/>
        <family val="2"/>
      </rPr>
      <t xml:space="preserve">접근
</t>
    </r>
    <r>
      <rPr>
        <sz val="10"/>
        <color rgb="FF333333"/>
        <rFont val="Arial"/>
        <family val="2"/>
        <charset val="1"/>
      </rPr>
      <t xml:space="preserve">2. </t>
    </r>
    <r>
      <rPr>
        <sz val="10"/>
        <color rgb="FF333333"/>
        <rFont val="DejaVu Sans"/>
        <family val="2"/>
      </rPr>
      <t xml:space="preserve">올바른 이메일 입력
</t>
    </r>
    <r>
      <rPr>
        <sz val="10"/>
        <color rgb="FF333333"/>
        <rFont val="Arial"/>
        <family val="2"/>
        <charset val="1"/>
      </rPr>
      <t xml:space="preserve">3. </t>
    </r>
    <r>
      <rPr>
        <sz val="10"/>
        <color rgb="FF333333"/>
        <rFont val="DejaVu Sans"/>
        <family val="2"/>
      </rPr>
      <t xml:space="preserve">틀린 비밀번호로 </t>
    </r>
    <r>
      <rPr>
        <sz val="10"/>
        <color rgb="FF333333"/>
        <rFont val="Arial"/>
        <family val="2"/>
        <charset val="1"/>
      </rPr>
      <t xml:space="preserve">5</t>
    </r>
    <r>
      <rPr>
        <sz val="10"/>
        <color rgb="FF333333"/>
        <rFont val="DejaVu Sans"/>
        <family val="2"/>
      </rPr>
      <t xml:space="preserve">회 시도
</t>
    </r>
    <r>
      <rPr>
        <sz val="10"/>
        <color rgb="FF333333"/>
        <rFont val="Arial"/>
        <family val="2"/>
        <charset val="1"/>
      </rPr>
      <t xml:space="preserve">4. </t>
    </r>
    <r>
      <rPr>
        <sz val="10"/>
        <color rgb="FF333333"/>
        <rFont val="DejaVu Sans"/>
        <family val="2"/>
      </rPr>
      <t xml:space="preserve">잠금 메시지 확인</t>
    </r>
  </si>
  <si>
    <r>
      <rPr>
        <sz val="10"/>
        <color rgb="FF333333"/>
        <rFont val="Arial"/>
        <family val="2"/>
        <charset val="1"/>
      </rPr>
      <t xml:space="preserve">5</t>
    </r>
    <r>
      <rPr>
        <sz val="10"/>
        <color rgb="FF333333"/>
        <rFont val="DejaVu Sans"/>
        <family val="2"/>
      </rPr>
      <t xml:space="preserve">회째 실패 후 </t>
    </r>
    <r>
      <rPr>
        <sz val="10"/>
        <color rgb="FF333333"/>
        <rFont val="Arial"/>
        <family val="2"/>
        <charset val="1"/>
      </rPr>
      <t xml:space="preserve">'</t>
    </r>
    <r>
      <rPr>
        <sz val="10"/>
        <color rgb="FF333333"/>
        <rFont val="DejaVu Sans"/>
        <family val="2"/>
      </rPr>
      <t xml:space="preserve">계정이 잠겼습니다</t>
    </r>
    <r>
      <rPr>
        <sz val="10"/>
        <color rgb="FF333333"/>
        <rFont val="Arial"/>
        <family val="2"/>
        <charset val="1"/>
      </rPr>
      <t xml:space="preserve">' </t>
    </r>
    <r>
      <rPr>
        <sz val="10"/>
        <color rgb="FF333333"/>
        <rFont val="DejaVu Sans"/>
        <family val="2"/>
      </rPr>
      <t xml:space="preserve">메시지</t>
    </r>
    <r>
      <rPr>
        <sz val="10"/>
        <color rgb="FF333333"/>
        <rFont val="Arial"/>
        <family val="2"/>
        <charset val="1"/>
      </rPr>
      <t xml:space="preserve">, 30</t>
    </r>
    <r>
      <rPr>
        <sz val="10"/>
        <color rgb="FF333333"/>
        <rFont val="DejaVu Sans"/>
        <family val="2"/>
      </rPr>
      <t xml:space="preserve">분 잠금</t>
    </r>
  </si>
  <si>
    <t xml:space="preserve">Major</t>
  </si>
  <si>
    <t xml:space="preserve">TC-006</t>
  </si>
  <si>
    <t xml:space="preserve">공통</t>
  </si>
  <si>
    <t xml:space="preserve">키워드 검색 결과 정확성</t>
  </si>
  <si>
    <t xml:space="preserve">검색 가능 데이터 존재</t>
  </si>
  <si>
    <r>
      <rPr>
        <sz val="10"/>
        <color rgb="FF333333"/>
        <rFont val="Arial"/>
        <family val="2"/>
        <charset val="1"/>
      </rPr>
      <t xml:space="preserve">1. </t>
    </r>
    <r>
      <rPr>
        <sz val="10"/>
        <color rgb="FF333333"/>
        <rFont val="DejaVu Sans"/>
        <family val="2"/>
      </rPr>
      <t xml:space="preserve">검색창 클릭
</t>
    </r>
    <r>
      <rPr>
        <sz val="10"/>
        <color rgb="FF333333"/>
        <rFont val="Arial"/>
        <family val="2"/>
        <charset val="1"/>
      </rPr>
      <t xml:space="preserve">2. '</t>
    </r>
    <r>
      <rPr>
        <sz val="10"/>
        <color rgb="FF333333"/>
        <rFont val="DejaVu Sans"/>
        <family val="2"/>
      </rPr>
      <t xml:space="preserve">테스트</t>
    </r>
    <r>
      <rPr>
        <sz val="10"/>
        <color rgb="FF333333"/>
        <rFont val="Arial"/>
        <family val="2"/>
        <charset val="1"/>
      </rPr>
      <t xml:space="preserve">' </t>
    </r>
    <r>
      <rPr>
        <sz val="10"/>
        <color rgb="FF333333"/>
        <rFont val="DejaVu Sans"/>
        <family val="2"/>
      </rPr>
      <t xml:space="preserve">입력
</t>
    </r>
    <r>
      <rPr>
        <sz val="10"/>
        <color rgb="FF333333"/>
        <rFont val="Arial"/>
        <family val="2"/>
        <charset val="1"/>
      </rPr>
      <t xml:space="preserve">3. </t>
    </r>
    <r>
      <rPr>
        <sz val="10"/>
        <color rgb="FF333333"/>
        <rFont val="DejaVu Sans"/>
        <family val="2"/>
      </rPr>
      <t xml:space="preserve">검색 실행
</t>
    </r>
    <r>
      <rPr>
        <sz val="10"/>
        <color rgb="FF333333"/>
        <rFont val="Arial"/>
        <family val="2"/>
        <charset val="1"/>
      </rPr>
      <t xml:space="preserve">4. </t>
    </r>
    <r>
      <rPr>
        <sz val="10"/>
        <color rgb="FF333333"/>
        <rFont val="DejaVu Sans"/>
        <family val="2"/>
      </rPr>
      <t xml:space="preserve">결과 확인</t>
    </r>
  </si>
  <si>
    <r>
      <rPr>
        <sz val="10"/>
        <color rgb="FF333333"/>
        <rFont val="DejaVu Sans"/>
        <family val="2"/>
      </rPr>
      <t xml:space="preserve">키워드 포함 결과만 표시</t>
    </r>
    <r>
      <rPr>
        <sz val="10"/>
        <color rgb="FF333333"/>
        <rFont val="DejaVu Sans"/>
        <family val="2"/>
        <charset val="1"/>
      </rPr>
      <t xml:space="preserve">, </t>
    </r>
    <r>
      <rPr>
        <sz val="10"/>
        <color rgb="FF333333"/>
        <rFont val="DejaVu Sans"/>
        <family val="2"/>
      </rPr>
      <t xml:space="preserve">하이라이트</t>
    </r>
    <r>
      <rPr>
        <sz val="10"/>
        <color rgb="FF333333"/>
        <rFont val="DejaVu Sans"/>
        <family val="2"/>
        <charset val="1"/>
      </rPr>
      <t xml:space="preserve">, </t>
    </r>
    <r>
      <rPr>
        <sz val="10"/>
        <color rgb="FF333333"/>
        <rFont val="DejaVu Sans"/>
        <family val="2"/>
      </rPr>
      <t xml:space="preserve">건수 표시</t>
    </r>
  </si>
  <si>
    <t xml:space="preserve">자동화 예정</t>
  </si>
  <si>
    <t xml:space="preserve">TC-007</t>
  </si>
  <si>
    <t xml:space="preserve">프로필 이미지 변경</t>
  </si>
  <si>
    <r>
      <rPr>
        <sz val="10"/>
        <color rgb="FF333333"/>
        <rFont val="DejaVu Sans"/>
        <family val="2"/>
      </rPr>
      <t xml:space="preserve">프로필 이미지 변경 성공 </t>
    </r>
    <r>
      <rPr>
        <sz val="10"/>
        <color rgb="FF333333"/>
        <rFont val="DejaVu Sans"/>
        <family val="2"/>
        <charset val="1"/>
      </rPr>
      <t xml:space="preserve">(iOS)</t>
    </r>
  </si>
  <si>
    <t xml:space="preserve">로그인 완료</t>
  </si>
  <si>
    <r>
      <rPr>
        <sz val="10"/>
        <color rgb="FF333333"/>
        <rFont val="Arial"/>
        <family val="2"/>
        <charset val="1"/>
      </rPr>
      <t xml:space="preserve">1. </t>
    </r>
    <r>
      <rPr>
        <sz val="10"/>
        <color rgb="FF333333"/>
        <rFont val="DejaVu Sans"/>
        <family val="2"/>
      </rPr>
      <t xml:space="preserve">마이페이지 탭
</t>
    </r>
    <r>
      <rPr>
        <sz val="10"/>
        <color rgb="FF333333"/>
        <rFont val="Arial"/>
        <family val="2"/>
        <charset val="1"/>
      </rPr>
      <t xml:space="preserve">2. </t>
    </r>
    <r>
      <rPr>
        <sz val="10"/>
        <color rgb="FF333333"/>
        <rFont val="DejaVu Sans"/>
        <family val="2"/>
      </rPr>
      <t xml:space="preserve">프로필 이미지 탭
</t>
    </r>
    <r>
      <rPr>
        <sz val="10"/>
        <color rgb="FF333333"/>
        <rFont val="Arial"/>
        <family val="2"/>
        <charset val="1"/>
      </rPr>
      <t xml:space="preserve">3. </t>
    </r>
    <r>
      <rPr>
        <sz val="10"/>
        <color rgb="FF333333"/>
        <rFont val="DejaVu Sans"/>
        <family val="2"/>
      </rPr>
      <t xml:space="preserve">갤러리에서 이미지 선택 </t>
    </r>
    <r>
      <rPr>
        <sz val="10"/>
        <color rgb="FF333333"/>
        <rFont val="Arial"/>
        <family val="2"/>
        <charset val="1"/>
      </rPr>
      <t xml:space="preserve">(5MB </t>
    </r>
    <r>
      <rPr>
        <sz val="10"/>
        <color rgb="FF333333"/>
        <rFont val="DejaVu Sans"/>
        <family val="2"/>
      </rPr>
      <t xml:space="preserve">이하</t>
    </r>
    <r>
      <rPr>
        <sz val="10"/>
        <color rgb="FF333333"/>
        <rFont val="Arial"/>
        <family val="2"/>
        <charset val="1"/>
      </rPr>
      <t xml:space="preserve">)
4. </t>
    </r>
    <r>
      <rPr>
        <sz val="10"/>
        <color rgb="FF333333"/>
        <rFont val="DejaVu Sans"/>
        <family val="2"/>
      </rPr>
      <t xml:space="preserve">크롭 후 저장</t>
    </r>
  </si>
  <si>
    <r>
      <rPr>
        <sz val="10"/>
        <color rgb="FF333333"/>
        <rFont val="DejaVu Sans"/>
        <family val="2"/>
      </rPr>
      <t xml:space="preserve">이미지 변경 완료</t>
    </r>
    <r>
      <rPr>
        <sz val="10"/>
        <color rgb="FF333333"/>
        <rFont val="DejaVu Sans"/>
        <family val="2"/>
        <charset val="1"/>
      </rPr>
      <t xml:space="preserve">, </t>
    </r>
    <r>
      <rPr>
        <sz val="10"/>
        <color rgb="FF333333"/>
        <rFont val="DejaVu Sans"/>
        <family val="2"/>
      </rPr>
      <t xml:space="preserve">즉시 반영</t>
    </r>
  </si>
  <si>
    <t xml:space="preserve">Minor</t>
  </si>
  <si>
    <t xml:space="preserve">TC-008</t>
  </si>
  <si>
    <t xml:space="preserve">배너 슬라이드</t>
  </si>
  <si>
    <r>
      <rPr>
        <sz val="10"/>
        <color rgb="FF333333"/>
        <rFont val="Arial"/>
        <family val="2"/>
        <charset val="1"/>
      </rPr>
      <t xml:space="preserve">UI/UX </t>
    </r>
    <r>
      <rPr>
        <sz val="10"/>
        <color rgb="FF333333"/>
        <rFont val="DejaVu Sans"/>
        <family val="2"/>
      </rPr>
      <t xml:space="preserve">테스트</t>
    </r>
  </si>
  <si>
    <r>
      <rPr>
        <sz val="10"/>
        <color rgb="FF333333"/>
        <rFont val="DejaVu Sans"/>
        <family val="2"/>
      </rPr>
      <t xml:space="preserve">메인 배너 자동</t>
    </r>
    <r>
      <rPr>
        <sz val="10"/>
        <color rgb="FF333333"/>
        <rFont val="DejaVu Sans"/>
        <family val="2"/>
        <charset val="1"/>
      </rPr>
      <t xml:space="preserve">/</t>
    </r>
    <r>
      <rPr>
        <sz val="10"/>
        <color rgb="FF333333"/>
        <rFont val="DejaVu Sans"/>
        <family val="2"/>
      </rPr>
      <t xml:space="preserve">수동 전환</t>
    </r>
  </si>
  <si>
    <t xml:space="preserve">로그인 후 메인 접근</t>
  </si>
  <si>
    <r>
      <rPr>
        <sz val="10"/>
        <color rgb="FF333333"/>
        <rFont val="Arial"/>
        <family val="2"/>
        <charset val="1"/>
      </rPr>
      <t xml:space="preserve">1. </t>
    </r>
    <r>
      <rPr>
        <sz val="10"/>
        <color rgb="FF333333"/>
        <rFont val="DejaVu Sans"/>
        <family val="2"/>
      </rPr>
      <t xml:space="preserve">메인 페이지 접근
</t>
    </r>
    <r>
      <rPr>
        <sz val="10"/>
        <color rgb="FF333333"/>
        <rFont val="Arial"/>
        <family val="2"/>
        <charset val="1"/>
      </rPr>
      <t xml:space="preserve">2. </t>
    </r>
    <r>
      <rPr>
        <sz val="10"/>
        <color rgb="FF333333"/>
        <rFont val="DejaVu Sans"/>
        <family val="2"/>
      </rPr>
      <t xml:space="preserve">배너 자동 전환 확인 </t>
    </r>
    <r>
      <rPr>
        <sz val="10"/>
        <color rgb="FF333333"/>
        <rFont val="Arial"/>
        <family val="2"/>
        <charset val="1"/>
      </rPr>
      <t xml:space="preserve">(3</t>
    </r>
    <r>
      <rPr>
        <sz val="10"/>
        <color rgb="FF333333"/>
        <rFont val="DejaVu Sans"/>
        <family val="2"/>
      </rPr>
      <t xml:space="preserve">초</t>
    </r>
    <r>
      <rPr>
        <sz val="10"/>
        <color rgb="FF333333"/>
        <rFont val="Arial"/>
        <family val="2"/>
        <charset val="1"/>
      </rPr>
      <t xml:space="preserve">)
3. </t>
    </r>
    <r>
      <rPr>
        <sz val="10"/>
        <color rgb="FF333333"/>
        <rFont val="DejaVu Sans"/>
        <family val="2"/>
      </rPr>
      <t xml:space="preserve">화살표로 수동 전환
</t>
    </r>
    <r>
      <rPr>
        <sz val="10"/>
        <color rgb="FF333333"/>
        <rFont val="Arial"/>
        <family val="2"/>
        <charset val="1"/>
      </rPr>
      <t xml:space="preserve">4. </t>
    </r>
    <r>
      <rPr>
        <sz val="10"/>
        <color rgb="FF333333"/>
        <rFont val="DejaVu Sans"/>
        <family val="2"/>
      </rPr>
      <t xml:space="preserve">인디케이터 동작 확인</t>
    </r>
  </si>
  <si>
    <r>
      <rPr>
        <sz val="10"/>
        <color rgb="FF333333"/>
        <rFont val="DejaVu Sans"/>
        <family val="2"/>
      </rPr>
      <t xml:space="preserve">자동</t>
    </r>
    <r>
      <rPr>
        <sz val="10"/>
        <color rgb="FF333333"/>
        <rFont val="DejaVu Sans"/>
        <family val="2"/>
        <charset val="1"/>
      </rPr>
      <t xml:space="preserve">/</t>
    </r>
    <r>
      <rPr>
        <sz val="10"/>
        <color rgb="FF333333"/>
        <rFont val="DejaVu Sans"/>
        <family val="2"/>
      </rPr>
      <t xml:space="preserve">수동 전환 정상</t>
    </r>
    <r>
      <rPr>
        <sz val="10"/>
        <color rgb="FF333333"/>
        <rFont val="DejaVu Sans"/>
        <family val="2"/>
        <charset val="1"/>
      </rPr>
      <t xml:space="preserve">, </t>
    </r>
    <r>
      <rPr>
        <sz val="10"/>
        <color rgb="FF333333"/>
        <rFont val="DejaVu Sans"/>
        <family val="2"/>
      </rPr>
      <t xml:space="preserve">현재 위치 표시</t>
    </r>
  </si>
  <si>
    <t xml:space="preserve">macOS</t>
  </si>
  <si>
    <t xml:space="preserve">TC-009</t>
  </si>
  <si>
    <t xml:space="preserve">API</t>
  </si>
  <si>
    <t xml:space="preserve">토큰 만료</t>
  </si>
  <si>
    <r>
      <rPr>
        <sz val="10"/>
        <color rgb="FF333333"/>
        <rFont val="Arial"/>
        <family val="2"/>
        <charset val="1"/>
      </rPr>
      <t xml:space="preserve">API </t>
    </r>
    <r>
      <rPr>
        <sz val="10"/>
        <color rgb="FF333333"/>
        <rFont val="DejaVu Sans"/>
        <family val="2"/>
      </rPr>
      <t xml:space="preserve">테스트</t>
    </r>
  </si>
  <si>
    <r>
      <rPr>
        <sz val="10"/>
        <color rgb="FF333333"/>
        <rFont val="DejaVu Sans"/>
        <family val="2"/>
      </rPr>
      <t xml:space="preserve">만료 토큰으로 </t>
    </r>
    <r>
      <rPr>
        <sz val="10"/>
        <color rgb="FF333333"/>
        <rFont val="DejaVu Sans"/>
        <family val="2"/>
        <charset val="1"/>
      </rPr>
      <t xml:space="preserve">401 </t>
    </r>
    <r>
      <rPr>
        <sz val="10"/>
        <color rgb="FF333333"/>
        <rFont val="DejaVu Sans"/>
        <family val="2"/>
      </rPr>
      <t xml:space="preserve">반환 확인</t>
    </r>
  </si>
  <si>
    <r>
      <rPr>
        <sz val="10"/>
        <color rgb="FF333333"/>
        <rFont val="DejaVu Sans"/>
        <family val="2"/>
      </rPr>
      <t xml:space="preserve">만료된 </t>
    </r>
    <r>
      <rPr>
        <sz val="10"/>
        <color rgb="FF333333"/>
        <rFont val="DejaVu Sans"/>
        <family val="2"/>
        <charset val="1"/>
      </rPr>
      <t xml:space="preserve">JWT </t>
    </r>
    <r>
      <rPr>
        <sz val="10"/>
        <color rgb="FF333333"/>
        <rFont val="DejaVu Sans"/>
        <family val="2"/>
      </rPr>
      <t xml:space="preserve">토큰</t>
    </r>
  </si>
  <si>
    <r>
      <rPr>
        <sz val="10"/>
        <color rgb="FF333333"/>
        <rFont val="Arial"/>
        <family val="2"/>
        <charset val="1"/>
      </rPr>
      <t xml:space="preserve">1. </t>
    </r>
    <r>
      <rPr>
        <sz val="10"/>
        <color rgb="FF333333"/>
        <rFont val="DejaVu Sans"/>
        <family val="2"/>
      </rPr>
      <t xml:space="preserve">만료 </t>
    </r>
    <r>
      <rPr>
        <sz val="10"/>
        <color rgb="FF333333"/>
        <rFont val="Arial"/>
        <family val="2"/>
        <charset val="1"/>
      </rPr>
      <t xml:space="preserve">Access Token </t>
    </r>
    <r>
      <rPr>
        <sz val="10"/>
        <color rgb="FF333333"/>
        <rFont val="DejaVu Sans"/>
        <family val="2"/>
      </rPr>
      <t xml:space="preserve">준비
</t>
    </r>
    <r>
      <rPr>
        <sz val="10"/>
        <color rgb="FF333333"/>
        <rFont val="Arial"/>
        <family val="2"/>
        <charset val="1"/>
      </rPr>
      <t xml:space="preserve">2. </t>
    </r>
    <r>
      <rPr>
        <sz val="10"/>
        <color rgb="FF333333"/>
        <rFont val="DejaVu Sans"/>
        <family val="2"/>
      </rPr>
      <t xml:space="preserve">보호 </t>
    </r>
    <r>
      <rPr>
        <sz val="10"/>
        <color rgb="FF333333"/>
        <rFont val="Arial"/>
        <family val="2"/>
        <charset val="1"/>
      </rPr>
      <t xml:space="preserve">API </t>
    </r>
    <r>
      <rPr>
        <sz val="10"/>
        <color rgb="FF333333"/>
        <rFont val="DejaVu Sans"/>
        <family val="2"/>
      </rPr>
      <t xml:space="preserve">호출
</t>
    </r>
    <r>
      <rPr>
        <sz val="10"/>
        <color rgb="FF333333"/>
        <rFont val="Arial"/>
        <family val="2"/>
        <charset val="1"/>
      </rPr>
      <t xml:space="preserve">3. </t>
    </r>
    <r>
      <rPr>
        <sz val="10"/>
        <color rgb="FF333333"/>
        <rFont val="DejaVu Sans"/>
        <family val="2"/>
      </rPr>
      <t xml:space="preserve">응답 확인</t>
    </r>
  </si>
  <si>
    <r>
      <rPr>
        <sz val="10"/>
        <color rgb="FF333333"/>
        <rFont val="Arial"/>
        <family val="2"/>
        <charset val="1"/>
      </rPr>
      <t xml:space="preserve">HTTP 401 </t>
    </r>
    <r>
      <rPr>
        <sz val="10"/>
        <color rgb="FF333333"/>
        <rFont val="DejaVu Sans"/>
        <family val="2"/>
      </rPr>
      <t xml:space="preserve">반환</t>
    </r>
    <r>
      <rPr>
        <sz val="10"/>
        <color rgb="FF333333"/>
        <rFont val="Arial"/>
        <family val="2"/>
        <charset val="1"/>
      </rPr>
      <t xml:space="preserve">, </t>
    </r>
    <r>
      <rPr>
        <sz val="10"/>
        <color rgb="FF333333"/>
        <rFont val="DejaVu Sans"/>
        <family val="2"/>
      </rPr>
      <t xml:space="preserve">토큰 만료 안내</t>
    </r>
  </si>
  <si>
    <t xml:space="preserve">Blocker</t>
  </si>
  <si>
    <t xml:space="preserve">자동화 완료</t>
  </si>
  <si>
    <t xml:space="preserve">TC-010</t>
  </si>
  <si>
    <t xml:space="preserve">성능</t>
  </si>
  <si>
    <t xml:space="preserve">페이지 로딩</t>
  </si>
  <si>
    <t xml:space="preserve">성능 테스트</t>
  </si>
  <si>
    <r>
      <rPr>
        <sz val="10"/>
        <color rgb="FF333333"/>
        <rFont val="DejaVu Sans"/>
        <family val="2"/>
      </rPr>
      <t xml:space="preserve">메인 페이지 로딩 </t>
    </r>
    <r>
      <rPr>
        <sz val="10"/>
        <color rgb="FF333333"/>
        <rFont val="DejaVu Sans"/>
        <family val="2"/>
        <charset val="1"/>
      </rPr>
      <t xml:space="preserve">3</t>
    </r>
    <r>
      <rPr>
        <sz val="10"/>
        <color rgb="FF333333"/>
        <rFont val="DejaVu Sans"/>
        <family val="2"/>
      </rPr>
      <t xml:space="preserve">초 이내</t>
    </r>
  </si>
  <si>
    <r>
      <rPr>
        <sz val="10"/>
        <color rgb="FF333333"/>
        <rFont val="Arial"/>
        <family val="2"/>
        <charset val="1"/>
      </rPr>
      <t xml:space="preserve">Staging </t>
    </r>
    <r>
      <rPr>
        <sz val="10"/>
        <color rgb="FF333333"/>
        <rFont val="DejaVu Sans"/>
        <family val="2"/>
      </rPr>
      <t xml:space="preserve">환경</t>
    </r>
  </si>
  <si>
    <r>
      <rPr>
        <sz val="10"/>
        <color rgb="FF333333"/>
        <rFont val="Arial"/>
        <family val="2"/>
        <charset val="1"/>
      </rPr>
      <t xml:space="preserve">1. </t>
    </r>
    <r>
      <rPr>
        <sz val="10"/>
        <color rgb="FF333333"/>
        <rFont val="DejaVu Sans"/>
        <family val="2"/>
      </rPr>
      <t xml:space="preserve">캐시 초기화
</t>
    </r>
    <r>
      <rPr>
        <sz val="10"/>
        <color rgb="FF333333"/>
        <rFont val="Arial"/>
        <family val="2"/>
        <charset val="1"/>
      </rPr>
      <t xml:space="preserve">2. </t>
    </r>
    <r>
      <rPr>
        <sz val="10"/>
        <color rgb="FF333333"/>
        <rFont val="DejaVu Sans"/>
        <family val="2"/>
      </rPr>
      <t xml:space="preserve">메인 접근
</t>
    </r>
    <r>
      <rPr>
        <sz val="10"/>
        <color rgb="FF333333"/>
        <rFont val="Arial"/>
        <family val="2"/>
        <charset val="1"/>
      </rPr>
      <t xml:space="preserve">3. DevTools Performance
4. LCP/FCP/TTI </t>
    </r>
    <r>
      <rPr>
        <sz val="10"/>
        <color rgb="FF333333"/>
        <rFont val="DejaVu Sans"/>
        <family val="2"/>
      </rPr>
      <t xml:space="preserve">기록</t>
    </r>
  </si>
  <si>
    <r>
      <rPr>
        <sz val="10"/>
        <color rgb="FF333333"/>
        <rFont val="Arial"/>
        <family val="2"/>
        <charset val="1"/>
      </rPr>
      <t xml:space="preserve">LCP &lt; 2.5</t>
    </r>
    <r>
      <rPr>
        <sz val="10"/>
        <color rgb="FF333333"/>
        <rFont val="DejaVu Sans"/>
        <family val="2"/>
      </rPr>
      <t xml:space="preserve">초</t>
    </r>
    <r>
      <rPr>
        <sz val="10"/>
        <color rgb="FF333333"/>
        <rFont val="Arial"/>
        <family val="2"/>
        <charset val="1"/>
      </rPr>
      <t xml:space="preserve">, FCP &lt; 1.8</t>
    </r>
    <r>
      <rPr>
        <sz val="10"/>
        <color rgb="FF333333"/>
        <rFont val="DejaVu Sans"/>
        <family val="2"/>
      </rPr>
      <t xml:space="preserve">초</t>
    </r>
    <r>
      <rPr>
        <sz val="10"/>
        <color rgb="FF333333"/>
        <rFont val="Arial"/>
        <family val="2"/>
        <charset val="1"/>
      </rPr>
      <t xml:space="preserve">, TTI &lt; 3</t>
    </r>
    <r>
      <rPr>
        <sz val="10"/>
        <color rgb="FF333333"/>
        <rFont val="DejaVu Sans"/>
        <family val="2"/>
      </rPr>
      <t xml:space="preserve">초</t>
    </r>
  </si>
  <si>
    <t xml:space="preserve">기획 문서 종합 대시보드</t>
  </si>
  <si>
    <t xml:space="preserve">문서 작성 현황</t>
  </si>
  <si>
    <t xml:space="preserve">시트</t>
  </si>
  <si>
    <t xml:space="preserve">전체 항목</t>
  </si>
  <si>
    <r>
      <rPr>
        <sz val="10"/>
        <color rgb="FF333333"/>
        <rFont val="Arial"/>
        <family val="2"/>
        <charset val="1"/>
      </rPr>
      <t xml:space="preserve">IA(</t>
    </r>
    <r>
      <rPr>
        <sz val="10"/>
        <color rgb="FF333333"/>
        <rFont val="DejaVu Sans"/>
        <family val="2"/>
      </rPr>
      <t xml:space="preserve">정보구조</t>
    </r>
    <r>
      <rPr>
        <sz val="10"/>
        <color rgb="FF333333"/>
        <rFont val="Arial"/>
        <family val="2"/>
        <charset val="1"/>
      </rPr>
      <t xml:space="preserve">)</t>
    </r>
  </si>
  <si>
    <t xml:space="preserve">화면설계서</t>
  </si>
  <si>
    <t xml:space="preserve">기능명세서</t>
  </si>
  <si>
    <r>
      <rPr>
        <sz val="10"/>
        <color rgb="FF333333"/>
        <rFont val="Arial"/>
        <family val="2"/>
        <charset val="1"/>
      </rPr>
      <t xml:space="preserve">API</t>
    </r>
    <r>
      <rPr>
        <sz val="10"/>
        <color rgb="FF333333"/>
        <rFont val="DejaVu Sans"/>
        <family val="2"/>
      </rPr>
      <t xml:space="preserve">명세서</t>
    </r>
  </si>
  <si>
    <t xml:space="preserve">데이터 정의서</t>
  </si>
  <si>
    <r>
      <rPr>
        <b val="true"/>
        <sz val="10"/>
        <color rgb="FF2B3A67"/>
        <rFont val="Arial"/>
        <family val="2"/>
        <charset val="1"/>
      </rPr>
      <t xml:space="preserve">QA </t>
    </r>
    <r>
      <rPr>
        <b val="true"/>
        <sz val="10"/>
        <color rgb="FF2B3A67"/>
        <rFont val="DejaVu Sans"/>
        <family val="2"/>
      </rPr>
      <t xml:space="preserve">테스트 현황</t>
    </r>
  </si>
  <si>
    <r>
      <rPr>
        <sz val="10"/>
        <color rgb="FF333333"/>
        <rFont val="DejaVu Sans"/>
        <family val="2"/>
      </rPr>
      <t xml:space="preserve">전체 </t>
    </r>
    <r>
      <rPr>
        <sz val="10"/>
        <color rgb="FF333333"/>
        <rFont val="DejaVu Sans"/>
        <family val="2"/>
        <charset val="1"/>
      </rPr>
      <t xml:space="preserve">TC </t>
    </r>
    <r>
      <rPr>
        <sz val="10"/>
        <color rgb="FF333333"/>
        <rFont val="DejaVu Sans"/>
        <family val="2"/>
      </rPr>
      <t xml:space="preserve">수</t>
    </r>
  </si>
  <si>
    <t xml:space="preserve">Pass</t>
  </si>
  <si>
    <t xml:space="preserve">Fail</t>
  </si>
  <si>
    <t xml:space="preserve">Block</t>
  </si>
  <si>
    <t xml:space="preserve">Pass Rate (%)</t>
  </si>
  <si>
    <r>
      <rPr>
        <b val="true"/>
        <sz val="10"/>
        <color rgb="FF2B3A67"/>
        <rFont val="DejaVu Sans"/>
        <family val="2"/>
      </rPr>
      <t xml:space="preserve">플랫폼별 </t>
    </r>
    <r>
      <rPr>
        <b val="true"/>
        <sz val="10"/>
        <color rgb="FF2B3A67"/>
        <rFont val="DejaVu Sans"/>
        <family val="2"/>
        <charset val="1"/>
      </rPr>
      <t xml:space="preserve">QA </t>
    </r>
    <r>
      <rPr>
        <b val="true"/>
        <sz val="10"/>
        <color rgb="FF2B3A67"/>
        <rFont val="DejaVu Sans"/>
        <family val="2"/>
      </rPr>
      <t xml:space="preserve">현황</t>
    </r>
  </si>
  <si>
    <r>
      <rPr>
        <b val="true"/>
        <sz val="10"/>
        <rFont val="DejaVu Sans"/>
        <family val="2"/>
      </rPr>
      <t xml:space="preserve">총 </t>
    </r>
    <r>
      <rPr>
        <b val="true"/>
        <sz val="10"/>
        <rFont val="DejaVu Sans"/>
        <family val="2"/>
        <charset val="1"/>
      </rPr>
      <t xml:space="preserve">TC</t>
    </r>
  </si>
  <si>
    <t xml:space="preserve">사용자 스토리 현황</t>
  </si>
  <si>
    <t xml:space="preserve">In Review</t>
  </si>
  <si>
    <r>
      <rPr>
        <b val="true"/>
        <sz val="10"/>
        <color rgb="FF2B3A67"/>
        <rFont val="Arial"/>
        <family val="2"/>
        <charset val="1"/>
      </rPr>
      <t xml:space="preserve">UI </t>
    </r>
    <r>
      <rPr>
        <b val="true"/>
        <sz val="10"/>
        <color rgb="FF2B3A67"/>
        <rFont val="DejaVu Sans"/>
        <family val="2"/>
      </rPr>
      <t xml:space="preserve">요소 현황</t>
    </r>
  </si>
  <si>
    <r>
      <rPr>
        <sz val="10"/>
        <color rgb="FF333333"/>
        <rFont val="DejaVu Sans"/>
        <family val="2"/>
      </rPr>
      <t xml:space="preserve">전체 </t>
    </r>
    <r>
      <rPr>
        <sz val="10"/>
        <color rgb="FF333333"/>
        <rFont val="DejaVu Sans"/>
        <family val="2"/>
        <charset val="1"/>
      </rPr>
      <t xml:space="preserve">UI </t>
    </r>
    <r>
      <rPr>
        <sz val="10"/>
        <color rgb="FF333333"/>
        <rFont val="DejaVu Sans"/>
        <family val="2"/>
      </rPr>
      <t xml:space="preserve">요소 수</t>
    </r>
  </si>
</sst>
</file>

<file path=xl/styles.xml><?xml version="1.0" encoding="utf-8"?>
<styleSheet xmlns="http://schemas.openxmlformats.org/spreadsheetml/2006/main">
  <numFmts count="1">
    <numFmt numFmtId="164" formatCode="General"/>
  </numFmts>
  <fonts count="2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1"/>
      <color rgb="FFFFFFFF"/>
      <name val="DejaVu Sans"/>
      <family val="2"/>
    </font>
    <font>
      <b val="true"/>
      <sz val="11"/>
      <color rgb="FFFFFFFF"/>
      <name val="DejaVu Sans"/>
      <family val="2"/>
      <charset val="1"/>
    </font>
    <font>
      <sz val="10"/>
      <color rgb="FF333333"/>
      <name val="DejaVu Sans"/>
      <family val="2"/>
    </font>
    <font>
      <sz val="10"/>
      <color rgb="FF333333"/>
      <name val="Arial"/>
      <family val="2"/>
      <charset val="1"/>
    </font>
    <font>
      <sz val="10"/>
      <color rgb="FF333333"/>
      <name val="DejaVu Sans"/>
      <family val="2"/>
      <charset val="1"/>
    </font>
    <font>
      <i val="true"/>
      <sz val="10"/>
      <color rgb="FF666666"/>
      <name val="Arial"/>
      <family val="2"/>
      <charset val="1"/>
    </font>
    <font>
      <u val="single"/>
      <sz val="10"/>
      <color rgb="FF0066CC"/>
      <name val="Arial"/>
      <family val="2"/>
      <charset val="1"/>
    </font>
    <font>
      <i val="true"/>
      <sz val="10"/>
      <color rgb="FF666666"/>
      <name val="Arial"/>
      <family val="0"/>
      <charset val="1"/>
    </font>
    <font>
      <b val="true"/>
      <u val="single"/>
      <sz val="11"/>
      <color rgb="FF0066CC"/>
      <name val="Arial"/>
      <family val="2"/>
      <charset val="1"/>
    </font>
    <font>
      <b val="true"/>
      <sz val="11"/>
      <color rgb="FF1B2A4A"/>
      <name val="DejaVu Sans"/>
      <family val="2"/>
    </font>
    <font>
      <b val="true"/>
      <sz val="10"/>
      <color rgb="FF666666"/>
      <name val="Arial"/>
      <family val="2"/>
      <charset val="1"/>
    </font>
    <font>
      <b val="true"/>
      <sz val="10"/>
      <color rgb="FF666666"/>
      <name val="DejaVu Sans"/>
      <family val="2"/>
    </font>
    <font>
      <b val="true"/>
      <sz val="11"/>
      <color rgb="FF1B2A4A"/>
      <name val="DejaVu Sans"/>
      <family val="2"/>
      <charset val="1"/>
    </font>
    <font>
      <i val="true"/>
      <sz val="10"/>
      <color rgb="FF666666"/>
      <name val="DejaVu Sans"/>
      <family val="2"/>
    </font>
    <font>
      <b val="true"/>
      <sz val="16"/>
      <color rgb="FF2B3A67"/>
      <name val="DejaVu Sans"/>
      <family val="2"/>
    </font>
    <font>
      <b val="true"/>
      <sz val="10"/>
      <color rgb="FF2B3A67"/>
      <name val="DejaVu Sans"/>
      <family val="2"/>
    </font>
    <font>
      <b val="true"/>
      <sz val="10"/>
      <name val="DejaVu Sans"/>
      <family val="2"/>
    </font>
    <font>
      <b val="true"/>
      <sz val="10"/>
      <color rgb="FF2B3A67"/>
      <name val="Arial"/>
      <family val="2"/>
      <charset val="1"/>
    </font>
    <font>
      <b val="true"/>
      <sz val="10"/>
      <color rgb="FF2B3A67"/>
      <name val="DejaVu Sans"/>
      <family val="2"/>
      <charset val="1"/>
    </font>
    <font>
      <b val="true"/>
      <sz val="10"/>
      <name val="DejaVu Sans"/>
      <family val="2"/>
      <charset val="1"/>
    </font>
    <font>
      <b val="true"/>
      <sz val="10"/>
      <name val="Arial"/>
      <family val="2"/>
      <charset val="1"/>
    </font>
  </fonts>
  <fills count="9">
    <fill>
      <patternFill patternType="none"/>
    </fill>
    <fill>
      <patternFill patternType="gray125"/>
    </fill>
    <fill>
      <patternFill patternType="solid">
        <fgColor rgb="FF2B3A67"/>
        <bgColor rgb="FF1B2A4A"/>
      </patternFill>
    </fill>
    <fill>
      <patternFill patternType="solid">
        <fgColor rgb="FFFFFFFF"/>
        <bgColor rgb="FFF8F9FA"/>
      </patternFill>
    </fill>
    <fill>
      <patternFill patternType="solid">
        <fgColor rgb="FFF8F9FA"/>
        <bgColor rgb="FFFFFFFF"/>
      </patternFill>
    </fill>
    <fill>
      <patternFill patternType="solid">
        <fgColor rgb="FF5B7DB1"/>
        <bgColor rgb="FF666666"/>
      </patternFill>
    </fill>
    <fill>
      <patternFill patternType="solid">
        <fgColor rgb="FFD6E4F0"/>
        <bgColor rgb="FFDEE2E6"/>
      </patternFill>
    </fill>
    <fill>
      <patternFill patternType="solid">
        <fgColor rgb="FFE8EDF5"/>
        <bgColor rgb="FFDEE2E6"/>
      </patternFill>
    </fill>
    <fill>
      <patternFill patternType="solid">
        <fgColor rgb="FFDEE2E6"/>
        <bgColor rgb="FFD6E4F0"/>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xf numFmtId="164" fontId="14" fillId="6" borderId="1" xfId="0" applyFont="true" applyBorder="true" applyAlignment="true" applyProtection="false">
      <alignment horizontal="left" vertical="center" textRotation="0" wrapText="true" indent="0" shrinkToFit="false"/>
      <protection locked="true" hidden="false"/>
    </xf>
    <xf numFmtId="164" fontId="15" fillId="6"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13" fillId="6" borderId="1" xfId="0" applyFont="true" applyBorder="true" applyAlignment="false" applyProtection="false">
      <alignment horizontal="general" vertical="bottom"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64" fontId="15" fillId="6"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8" fillId="3" borderId="1" xfId="0" applyFont="true" applyBorder="true" applyAlignment="true" applyProtection="false">
      <alignment horizontal="left" vertical="center" textRotation="0" wrapText="true" indent="0" shrinkToFit="false"/>
      <protection locked="true" hidden="false"/>
    </xf>
    <xf numFmtId="164" fontId="18" fillId="4" borderId="1" xfId="0" applyFont="true" applyBorder="true" applyAlignment="true" applyProtection="false">
      <alignment horizontal="left" vertical="center" textRotation="0" wrapText="tru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20"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21" fillId="8"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22" fillId="7"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25" fillId="8"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2B3A67"/>
          <bgColor rgb="FF000000"/>
        </patternFill>
      </fill>
    </dxf>
    <dxf>
      <fill>
        <patternFill patternType="solid">
          <fgColor rgb="FFFFFFFF"/>
          <bgColor rgb="FF000000"/>
        </patternFill>
      </fill>
    </dxf>
    <dxf>
      <fill>
        <patternFill patternType="solid">
          <fgColor rgb="FF5B7DB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7A2B8"/>
      <rgbColor rgb="FFC0C0C0"/>
      <rgbColor rgb="FF5B7DB1"/>
      <rgbColor rgb="FF9999FF"/>
      <rgbColor rgb="FFDC3545"/>
      <rgbColor rgb="FFF8F9FA"/>
      <rgbColor rgb="FFE8EDF5"/>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D6E4F0"/>
      <rgbColor rgb="FFDEE2E6"/>
      <rgbColor rgb="FFFFFF99"/>
      <rgbColor rgb="FF99CCFF"/>
      <rgbColor rgb="FFFF99CC"/>
      <rgbColor rgb="FFCC99FF"/>
      <rgbColor rgb="FFFFCC99"/>
      <rgbColor rgb="FF3D5A99"/>
      <rgbColor rgb="FF20C997"/>
      <rgbColor rgb="FF99CC00"/>
      <rgbColor rgb="FFFFC107"/>
      <rgbColor rgb="FFFF9900"/>
      <rgbColor rgb="FFFD7E14"/>
      <rgbColor rgb="FF666666"/>
      <rgbColor rgb="FF969696"/>
      <rgbColor rgb="FF1B2A4A"/>
      <rgbColor rgb="FF28A745"/>
      <rgbColor rgb="FF003300"/>
      <rgbColor rgb="FF333300"/>
      <rgbColor rgb="FF993300"/>
      <rgbColor rgb="FF6F42C1"/>
      <rgbColor rgb="FF2B3A6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44592;&#54925;&#47928;&#49436;_&#51333;&#54633;&#53596;&#54540;&#47551;.xlsx" TargetMode="External"/><Relationship Id="rId2" Type="http://schemas.openxmlformats.org/officeDocument/2006/relationships/hyperlink" Target="&#44592;&#54925;&#47928;&#49436;_&#51333;&#54633;&#53596;&#54540;&#47551;_v2.xlsx" TargetMode="External"/><Relationship Id="rId3" Type="http://schemas.openxmlformats.org/officeDocument/2006/relationships/hyperlink" Target="&#44592;&#54925;&#47928;&#49436;_&#51333;&#54633;&#53596;&#54540;&#47551;.xlsx" TargetMode="External"/><Relationship Id="rId4" Type="http://schemas.openxmlformats.org/officeDocument/2006/relationships/hyperlink" Target="&#44592;&#54925;&#47928;&#49436;_&#51333;&#54633;&#53596;&#54540;&#47551;_v2.xlsx" TargetMode="External"/><Relationship Id="rId5" Type="http://schemas.openxmlformats.org/officeDocument/2006/relationships/hyperlink" Target="&#44592;&#54925;&#47928;&#49436;_&#51333;&#54633;&#53596;&#54540;&#47551;.xlsx" TargetMode="External"/><Relationship Id="rId6" Type="http://schemas.openxmlformats.org/officeDocument/2006/relationships/hyperlink" Target="&#44592;&#54925;&#47928;&#49436;_&#51333;&#54633;&#53596;&#54540;&#47551;_v2.xlsx" TargetMode="External"/><Relationship Id="rId7" Type="http://schemas.openxmlformats.org/officeDocument/2006/relationships/hyperlink" Target="&#44592;&#54925;&#47928;&#49436;_&#51333;&#54633;&#53596;&#54540;&#47551;.xlsx" TargetMode="External"/><Relationship Id="rId8" Type="http://schemas.openxmlformats.org/officeDocument/2006/relationships/hyperlink" Target="&#44592;&#54925;&#47928;&#49436;_&#51333;&#54633;&#53596;&#54540;&#47551;_v2.xlsx" TargetMode="External"/><Relationship Id="rId9" Type="http://schemas.openxmlformats.org/officeDocument/2006/relationships/hyperlink" Target="&#44592;&#54925;&#47928;&#49436;_&#51333;&#54633;&#53596;&#54540;&#47551;.xlsx" TargetMode="External"/><Relationship Id="rId10" Type="http://schemas.openxmlformats.org/officeDocument/2006/relationships/hyperlink" Target="&#44592;&#54925;&#47928;&#49436;_&#51333;&#54633;&#53596;&#54540;&#47551;_v2.xlsx" TargetMode="External"/><Relationship Id="rId1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hyperlink" Target="&#44592;&#54925;&#47928;&#49436;_&#51333;&#54633;&#53596;&#54540;&#47551;_v2.xlsx" TargetMode="External"/><Relationship Id="rId2" Type="http://schemas.openxmlformats.org/officeDocument/2006/relationships/hyperlink" Target="&#44592;&#54925;&#47928;&#49436;_&#51333;&#54633;&#53596;&#54540;&#47551;_v2.xlsx" TargetMode="External"/><Relationship Id="rId3" Type="http://schemas.openxmlformats.org/officeDocument/2006/relationships/hyperlink" Target="&#44592;&#54925;&#47928;&#49436;_&#51333;&#54633;&#53596;&#54540;&#47551;_v2.xlsx" TargetMode="External"/><Relationship Id="rId4" Type="http://schemas.openxmlformats.org/officeDocument/2006/relationships/hyperlink" Target="&#44592;&#54925;&#47928;&#49436;_&#51333;&#54633;&#53596;&#54540;&#47551;_v2.xlsx" TargetMode="External"/><Relationship Id="rId5" Type="http://schemas.openxmlformats.org/officeDocument/2006/relationships/hyperlink" Target="&#44592;&#54925;&#47928;&#49436;_&#51333;&#54633;&#53596;&#54540;&#47551;_v2.xlsx" TargetMode="External"/><Relationship Id="rId6" Type="http://schemas.openxmlformats.org/officeDocument/2006/relationships/hyperlink" Target="&#44592;&#54925;&#47928;&#49436;_&#51333;&#54633;&#53596;&#54540;&#47551;_v2.xlsx" TargetMode="External"/><Relationship Id="rId7" Type="http://schemas.openxmlformats.org/officeDocument/2006/relationships/hyperlink" Target="&#44592;&#54925;&#47928;&#49436;_&#51333;&#54633;&#53596;&#54540;&#47551;_v2.xlsx" TargetMode="External"/><Relationship Id="rId8" Type="http://schemas.openxmlformats.org/officeDocument/2006/relationships/hyperlink" Target="&#44592;&#54925;&#47928;&#49436;_&#51333;&#54633;&#53596;&#54540;&#47551;_v2.xlsx" TargetMode="External"/><Relationship Id="rId9" Type="http://schemas.openxmlformats.org/officeDocument/2006/relationships/hyperlink" Target="&#44592;&#54925;&#47928;&#49436;_&#51333;&#54633;&#53596;&#54540;&#47551;_v2.xlsx" TargetMode="External"/><Relationship Id="rId10" Type="http://schemas.openxmlformats.org/officeDocument/2006/relationships/hyperlink" Target="&#44592;&#54925;&#47928;&#49436;_&#51333;&#54633;&#53596;&#54540;&#47551;_v2.xlsx" TargetMode="External"/><Relationship Id="rId11" Type="http://schemas.openxmlformats.org/officeDocument/2006/relationships/hyperlink" Target="&#44592;&#54925;&#47928;&#49436;_&#51333;&#54633;&#53596;&#54540;&#47551;_v2.xlsx" TargetMode="External"/><Relationship Id="rId12" Type="http://schemas.openxmlformats.org/officeDocument/2006/relationships/hyperlink" Target="&#44592;&#54925;&#47928;&#49436;_&#51333;&#54633;&#53596;&#54540;&#47551;_v2.xlsx" TargetMode="External"/><Relationship Id="rId13" Type="http://schemas.openxmlformats.org/officeDocument/2006/relationships/hyperlink" Target="&#44592;&#54925;&#47928;&#49436;_&#51333;&#54633;&#53596;&#54540;&#47551;_v2.xlsx" TargetMode="External"/><Relationship Id="rId14" Type="http://schemas.openxmlformats.org/officeDocument/2006/relationships/hyperlink" Target="&#44592;&#54925;&#47928;&#49436;_&#51333;&#54633;&#53596;&#54540;&#47551;_v2.xlsx" TargetMode="External"/><Relationship Id="rId15" Type="http://schemas.openxmlformats.org/officeDocument/2006/relationships/hyperlink" Target="&#44592;&#54925;&#47928;&#49436;_&#51333;&#54633;&#53596;&#54540;&#47551;_v2.xlsx" TargetMode="External"/><Relationship Id="rId16" Type="http://schemas.openxmlformats.org/officeDocument/2006/relationships/hyperlink" Target="&#44592;&#54925;&#47928;&#49436;_&#51333;&#54633;&#53596;&#54540;&#47551;_v2.xlsx" TargetMode="External"/><Relationship Id="rId17" Type="http://schemas.openxmlformats.org/officeDocument/2006/relationships/hyperlink" Target="&#44592;&#54925;&#47928;&#49436;_&#51333;&#54633;&#53596;&#54540;&#47551;_v2.xlsx" TargetMode="External"/><Relationship Id="rId18" Type="http://schemas.openxmlformats.org/officeDocument/2006/relationships/hyperlink" Target="&#44592;&#54925;&#47928;&#49436;_&#51333;&#54633;&#53596;&#54540;&#47551;_v2.xlsx" TargetMode="External"/><Relationship Id="rId19" Type="http://schemas.openxmlformats.org/officeDocument/2006/relationships/hyperlink" Target="&#44592;&#54925;&#47928;&#49436;_&#51333;&#54633;&#53596;&#54540;&#47551;_v2.xlsx" TargetMode="External"/><Relationship Id="rId20" Type="http://schemas.openxmlformats.org/officeDocument/2006/relationships/hyperlink" Target="&#44592;&#54925;&#47928;&#49436;_&#51333;&#54633;&#53596;&#54540;&#47551;_v2.xlsx" TargetMode="External"/><Relationship Id="rId21" Type="http://schemas.openxmlformats.org/officeDocument/2006/relationships/hyperlink" Target="&#44592;&#54925;&#47928;&#49436;_&#51333;&#54633;&#53596;&#54540;&#47551;_v2.xlsx" TargetMode="External"/><Relationship Id="rId22" Type="http://schemas.openxmlformats.org/officeDocument/2006/relationships/hyperlink" Target="&#44592;&#54925;&#47928;&#49436;_&#51333;&#54633;&#53596;&#54540;&#47551;_v2.xlsx" TargetMode="External"/><Relationship Id="rId23" Type="http://schemas.openxmlformats.org/officeDocument/2006/relationships/hyperlink" Target="&#44592;&#54925;&#47928;&#49436;_&#51333;&#54633;&#53596;&#54540;&#47551;_v2.xlsx" TargetMode="External"/><Relationship Id="rId24" Type="http://schemas.openxmlformats.org/officeDocument/2006/relationships/hyperlink" Target="&#44592;&#54925;&#47928;&#49436;_&#51333;&#54633;&#53596;&#54540;&#47551;_v2.xlsx" TargetMode="External"/><Relationship Id="rId25" Type="http://schemas.openxmlformats.org/officeDocument/2006/relationships/hyperlink" Target="&#44592;&#54925;&#47928;&#49436;_&#51333;&#54633;&#53596;&#54540;&#47551;_v2.xlsx" TargetMode="External"/><Relationship Id="rId26" Type="http://schemas.openxmlformats.org/officeDocument/2006/relationships/hyperlink" Target="&#44592;&#54925;&#47928;&#49436;_&#51333;&#54633;&#53596;&#54540;&#47551;_v2.xlsx" TargetMode="External"/><Relationship Id="rId27" Type="http://schemas.openxmlformats.org/officeDocument/2006/relationships/hyperlink" Target="&#44592;&#54925;&#47928;&#49436;_&#51333;&#54633;&#53596;&#54540;&#47551;_v2.xlsx" TargetMode="External"/><Relationship Id="rId28" Type="http://schemas.openxmlformats.org/officeDocument/2006/relationships/hyperlink" Target="&#44592;&#54925;&#47928;&#49436;_&#51333;&#54633;&#53596;&#54540;&#47551;_v2.xlsx" TargetMode="External"/><Relationship Id="rId29" Type="http://schemas.openxmlformats.org/officeDocument/2006/relationships/hyperlink" Target="&#44592;&#54925;&#47928;&#49436;_&#51333;&#54633;&#53596;&#54540;&#47551;_v2.xlsx" TargetMode="External"/><Relationship Id="rId30" Type="http://schemas.openxmlformats.org/officeDocument/2006/relationships/hyperlink" Target="&#44592;&#54925;&#47928;&#49436;_&#51333;&#54633;&#53596;&#54540;&#47551;_v2.xlsx" TargetMode="External"/><Relationship Id="rId31" Type="http://schemas.openxmlformats.org/officeDocument/2006/relationships/hyperlink" Target="&#44592;&#54925;&#47928;&#49436;_&#51333;&#54633;&#53596;&#54540;&#47551;_v2.xlsx" TargetMode="External"/><Relationship Id="rId32" Type="http://schemas.openxmlformats.org/officeDocument/2006/relationships/hyperlink" Target="&#44592;&#54925;&#47928;&#49436;_&#51333;&#54633;&#53596;&#54540;&#47551;_v2.xlsx" TargetMode="External"/><Relationship Id="rId33" Type="http://schemas.openxmlformats.org/officeDocument/2006/relationships/hyperlink" Target="&#44592;&#54925;&#47928;&#49436;_&#51333;&#54633;&#53596;&#54540;&#47551;_v2.xlsx" TargetMode="External"/><Relationship Id="rId34" Type="http://schemas.openxmlformats.org/officeDocument/2006/relationships/hyperlink" Target="&#44592;&#54925;&#47928;&#49436;_&#51333;&#54633;&#53596;&#54540;&#47551;_v2.xlsx" TargetMode="External"/><Relationship Id="rId35" Type="http://schemas.openxmlformats.org/officeDocument/2006/relationships/hyperlink" Target="&#44592;&#54925;&#47928;&#49436;_&#51333;&#54633;&#53596;&#54540;&#47551;_v2.xlsx" TargetMode="External"/><Relationship Id="rId36" Type="http://schemas.openxmlformats.org/officeDocument/2006/relationships/hyperlink" Target="&#44592;&#54925;&#47928;&#49436;_&#51333;&#54633;&#53596;&#54540;&#47551;_v2.xlsx" TargetMode="External"/><Relationship Id="rId37" Type="http://schemas.openxmlformats.org/officeDocument/2006/relationships/hyperlink" Target="&#44592;&#54925;&#47928;&#49436;_&#51333;&#54633;&#53596;&#54540;&#47551;_v2.xlsx" TargetMode="External"/><Relationship Id="rId38" Type="http://schemas.openxmlformats.org/officeDocument/2006/relationships/hyperlink" Target="&#44592;&#54925;&#47928;&#49436;_&#51333;&#54633;&#53596;&#54540;&#47551;_v2.xlsx" TargetMode="External"/><Relationship Id="rId39" Type="http://schemas.openxmlformats.org/officeDocument/2006/relationships/hyperlink" Target="&#44592;&#54925;&#47928;&#49436;_&#51333;&#54633;&#53596;&#54540;&#47551;_v2.xlsx" TargetMode="External"/><Relationship Id="rId40" Type="http://schemas.openxmlformats.org/officeDocument/2006/relationships/hyperlink" Target="&#44592;&#54925;&#47928;&#49436;_&#51333;&#54633;&#53596;&#54540;&#47551;_v2.xlsx" TargetMode="External"/><Relationship Id="rId41" Type="http://schemas.openxmlformats.org/officeDocument/2006/relationships/hyperlink" Target="&#44592;&#54925;&#47928;&#49436;_&#51333;&#54633;&#53596;&#54540;&#47551;_v2.xlsx" TargetMode="External"/><Relationship Id="rId42" Type="http://schemas.openxmlformats.org/officeDocument/2006/relationships/hyperlink" Target="&#44592;&#54925;&#47928;&#49436;_&#51333;&#54633;&#53596;&#54540;&#47551;_v2.xlsx" TargetMode="External"/><Relationship Id="rId43" Type="http://schemas.openxmlformats.org/officeDocument/2006/relationships/hyperlink" Target="&#44592;&#54925;&#47928;&#49436;_&#51333;&#54633;&#53596;&#54540;&#47551;_v2.xlsx" TargetMode="External"/><Relationship Id="rId44" Type="http://schemas.openxmlformats.org/officeDocument/2006/relationships/hyperlink" Target="&#44592;&#54925;&#47928;&#49436;_&#51333;&#54633;&#53596;&#54540;&#47551;_v2.xlsx" TargetMode="External"/><Relationship Id="rId45" Type="http://schemas.openxmlformats.org/officeDocument/2006/relationships/hyperlink" Target="&#44592;&#54925;&#47928;&#49436;_&#51333;&#54633;&#53596;&#54540;&#47551;_v2.xlsx" TargetMode="External"/><Relationship Id="rId46" Type="http://schemas.openxmlformats.org/officeDocument/2006/relationships/hyperlink" Target="&#44592;&#54925;&#47928;&#49436;_&#51333;&#54633;&#53596;&#54540;&#47551;_v2.xlsx" TargetMode="External"/><Relationship Id="rId47" Type="http://schemas.openxmlformats.org/officeDocument/2006/relationships/hyperlink" Target="&#44592;&#54925;&#47928;&#49436;_&#51333;&#54633;&#53596;&#54540;&#47551;_v2.xlsx" TargetMode="External"/><Relationship Id="rId48" Type="http://schemas.openxmlformats.org/officeDocument/2006/relationships/hyperlink" Target="&#44592;&#54925;&#47928;&#49436;_&#51333;&#54633;&#53596;&#54540;&#47551;_v2.xlsx" TargetMode="External"/><Relationship Id="rId49" Type="http://schemas.openxmlformats.org/officeDocument/2006/relationships/hyperlink" Target="&#44592;&#54925;&#47928;&#49436;_&#51333;&#54633;&#53596;&#54540;&#47551;_v2.xlsx" TargetMode="External"/><Relationship Id="rId50" Type="http://schemas.openxmlformats.org/officeDocument/2006/relationships/hyperlink" Target="&#44592;&#54925;&#47928;&#49436;_&#51333;&#54633;&#53596;&#54540;&#47551;_v2.xlsx" TargetMode="External"/><Relationship Id="rId51" Type="http://schemas.openxmlformats.org/officeDocument/2006/relationships/hyperlink" Target="&#44592;&#54925;&#47928;&#49436;_&#51333;&#54633;&#53596;&#54540;&#47551;_v2.xlsx" TargetMode="External"/><Relationship Id="rId52" Type="http://schemas.openxmlformats.org/officeDocument/2006/relationships/hyperlink" Target="&#44592;&#54925;&#47928;&#49436;_&#51333;&#54633;&#53596;&#54540;&#47551;_v2.xlsx" TargetMode="External"/><Relationship Id="rId53" Type="http://schemas.openxmlformats.org/officeDocument/2006/relationships/hyperlink" Target="&#44592;&#54925;&#47928;&#49436;_&#51333;&#54633;&#53596;&#54540;&#47551;_v2.xlsx" TargetMode="External"/><Relationship Id="rId54" Type="http://schemas.openxmlformats.org/officeDocument/2006/relationships/hyperlink" Target="&#44592;&#54925;&#47928;&#49436;_&#51333;&#54633;&#53596;&#54540;&#47551;_v2.xlsx" TargetMode="External"/><Relationship Id="rId55" Type="http://schemas.openxmlformats.org/officeDocument/2006/relationships/hyperlink" Target="&#44592;&#54925;&#47928;&#49436;_&#51333;&#54633;&#53596;&#54540;&#47551;_v2.xlsx" TargetMode="External"/><Relationship Id="rId56" Type="http://schemas.openxmlformats.org/officeDocument/2006/relationships/hyperlink" Target="&#44592;&#54925;&#47928;&#49436;_&#51333;&#54633;&#53596;&#54540;&#47551;_v2.xlsx" TargetMode="External"/><Relationship Id="rId57" Type="http://schemas.openxmlformats.org/officeDocument/2006/relationships/hyperlink" Target="&#44592;&#54925;&#47928;&#49436;_&#51333;&#54633;&#53596;&#54540;&#47551;_v2.xlsx" TargetMode="External"/><Relationship Id="rId58" Type="http://schemas.openxmlformats.org/officeDocument/2006/relationships/hyperlink" Target="&#44592;&#54925;&#47928;&#49436;_&#51333;&#54633;&#53596;&#54540;&#47551;_v2.xlsx" TargetMode="External"/><Relationship Id="rId59" Type="http://schemas.openxmlformats.org/officeDocument/2006/relationships/hyperlink" Target="&#44592;&#54925;&#47928;&#49436;_&#51333;&#54633;&#53596;&#54540;&#47551;_v2.xlsx" TargetMode="External"/><Relationship Id="rId60" Type="http://schemas.openxmlformats.org/officeDocument/2006/relationships/hyperlink" Target="&#44592;&#54925;&#47928;&#49436;_&#51333;&#54633;&#53596;&#54540;&#47551;_v2.xlsx" TargetMode="External"/><Relationship Id="rId61" Type="http://schemas.openxmlformats.org/officeDocument/2006/relationships/hyperlink" Target="&#44592;&#54925;&#47928;&#49436;_&#51333;&#54633;&#53596;&#54540;&#47551;_v2.xlsx" TargetMode="External"/><Relationship Id="rId62" Type="http://schemas.openxmlformats.org/officeDocument/2006/relationships/hyperlink" Target="&#44592;&#54925;&#47928;&#49436;_&#51333;&#54633;&#53596;&#54540;&#47551;_v2.xlsx" TargetMode="External"/><Relationship Id="rId63" Type="http://schemas.openxmlformats.org/officeDocument/2006/relationships/hyperlink" Target="&#44592;&#54925;&#47928;&#49436;_&#51333;&#54633;&#53596;&#54540;&#47551;_v2.xlsx" TargetMode="External"/><Relationship Id="rId64" Type="http://schemas.openxmlformats.org/officeDocument/2006/relationships/hyperlink" Target="&#44592;&#54925;&#47928;&#49436;_&#51333;&#54633;&#53596;&#54540;&#47551;_v2.xlsx" TargetMode="External"/><Relationship Id="rId65" Type="http://schemas.openxmlformats.org/officeDocument/2006/relationships/hyperlink" Target="&#44592;&#54925;&#47928;&#49436;_&#51333;&#54633;&#53596;&#54540;&#47551;_v2.xlsx" TargetMode="External"/><Relationship Id="rId66" Type="http://schemas.openxmlformats.org/officeDocument/2006/relationships/hyperlink" Target="&#44592;&#54925;&#47928;&#49436;_&#51333;&#54633;&#53596;&#54540;&#47551;_v2.xlsx" TargetMode="External"/><Relationship Id="rId67"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hyperlink" Target="&#44592;&#54925;&#47928;&#49436;_&#51333;&#54633;&#53596;&#54540;&#47551;_v2.xlsx" TargetMode="External"/><Relationship Id="rId2" Type="http://schemas.openxmlformats.org/officeDocument/2006/relationships/hyperlink" Target="&#44592;&#54925;&#47928;&#49436;_&#51333;&#54633;&#53596;&#54540;&#47551;_v2.xlsx" TargetMode="External"/><Relationship Id="rId3" Type="http://schemas.openxmlformats.org/officeDocument/2006/relationships/hyperlink" Target="&#44592;&#54925;&#47928;&#49436;_&#51333;&#54633;&#53596;&#54540;&#47551;_v2.xlsx" TargetMode="External"/><Relationship Id="rId4" Type="http://schemas.openxmlformats.org/officeDocument/2006/relationships/hyperlink" Target="&#44592;&#54925;&#47928;&#49436;_&#51333;&#54633;&#53596;&#54540;&#47551;_v2.xlsx" TargetMode="External"/><Relationship Id="rId5" Type="http://schemas.openxmlformats.org/officeDocument/2006/relationships/hyperlink" Target="&#44592;&#54925;&#47928;&#49436;_&#51333;&#54633;&#53596;&#54540;&#47551;_v2.xlsx" TargetMode="External"/><Relationship Id="rId6" Type="http://schemas.openxmlformats.org/officeDocument/2006/relationships/hyperlink" Target="&#44592;&#54925;&#47928;&#49436;_&#51333;&#54633;&#53596;&#54540;&#47551;_v2.xlsx" TargetMode="External"/><Relationship Id="rId7" Type="http://schemas.openxmlformats.org/officeDocument/2006/relationships/hyperlink" Target="&#44592;&#54925;&#47928;&#49436;_&#51333;&#54633;&#53596;&#54540;&#47551;_v2.xlsx" TargetMode="External"/><Relationship Id="rId8" Type="http://schemas.openxmlformats.org/officeDocument/2006/relationships/hyperlink" Target="&#44592;&#54925;&#47928;&#49436;_&#51333;&#54633;&#53596;&#54540;&#47551;_v2.xlsx" TargetMode="External"/><Relationship Id="rId9" Type="http://schemas.openxmlformats.org/officeDocument/2006/relationships/hyperlink" Target="&#44592;&#54925;&#47928;&#49436;_&#51333;&#54633;&#53596;&#54540;&#47551;_v2.xlsx" TargetMode="External"/><Relationship Id="rId10"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hyperlink" Target="&#44592;&#54925;&#47928;&#49436;_&#51333;&#54633;&#53596;&#54540;&#47551;.xlsx" TargetMode="External"/><Relationship Id="rId2" Type="http://schemas.openxmlformats.org/officeDocument/2006/relationships/hyperlink" Target="&#44592;&#54925;&#47928;&#49436;_&#51333;&#54633;&#53596;&#54540;&#47551;.xlsx" TargetMode="External"/><Relationship Id="rId3" Type="http://schemas.openxmlformats.org/officeDocument/2006/relationships/hyperlink" Target="&#44592;&#54925;&#47928;&#49436;_&#51333;&#54633;&#53596;&#54540;&#47551;.xlsx" TargetMode="External"/><Relationship Id="rId4" Type="http://schemas.openxmlformats.org/officeDocument/2006/relationships/hyperlink" Target="&#44592;&#54925;&#47928;&#49436;_&#51333;&#54633;&#53596;&#54540;&#47551;.xlsx" TargetMode="External"/><Relationship Id="rId5" Type="http://schemas.openxmlformats.org/officeDocument/2006/relationships/hyperlink" Target="&#44592;&#54925;&#47928;&#49436;_&#51333;&#54633;&#53596;&#54540;&#47551;.xlsx" TargetMode="External"/><Relationship Id="rId6" Type="http://schemas.openxmlformats.org/officeDocument/2006/relationships/hyperlink" Target="&#44592;&#54925;&#47928;&#49436;_&#51333;&#54633;&#53596;&#54540;&#47551;.xlsx" TargetMode="External"/><Relationship Id="rId7" Type="http://schemas.openxmlformats.org/officeDocument/2006/relationships/hyperlink" Target="&#44592;&#54925;&#47928;&#49436;_&#51333;&#54633;&#53596;&#54540;&#47551;.xlsx" TargetMode="External"/><Relationship Id="rId8" Type="http://schemas.openxmlformats.org/officeDocument/2006/relationships/hyperlink" Target="&#44592;&#54925;&#47928;&#49436;_&#51333;&#54633;&#53596;&#54540;&#47551;.xlsx" TargetMode="External"/><Relationship Id="rId9" Type="http://schemas.openxmlformats.org/officeDocument/2006/relationships/hyperlink" Target="&#44592;&#54925;&#47928;&#49436;_&#51333;&#54633;&#53596;&#54540;&#47551;.xlsx" TargetMode="External"/><Relationship Id="rId10" Type="http://schemas.openxmlformats.org/officeDocument/2006/relationships/hyperlink" Target="&#44592;&#54925;&#47928;&#49436;_&#51333;&#54633;&#53596;&#54540;&#47551;.xlsx" TargetMode="External"/><Relationship Id="rId11" Type="http://schemas.openxmlformats.org/officeDocument/2006/relationships/hyperlink" Target="&#44592;&#54925;&#47928;&#49436;_&#51333;&#54633;&#53596;&#54540;&#47551;.xlsx" TargetMode="External"/><Relationship Id="rId12" Type="http://schemas.openxmlformats.org/officeDocument/2006/relationships/hyperlink" Target="&#44592;&#54925;&#47928;&#49436;_&#51333;&#54633;&#53596;&#54540;&#47551;.xlsx" TargetMode="External"/><Relationship Id="rId13" Type="http://schemas.openxmlformats.org/officeDocument/2006/relationships/hyperlink" Target="&#44592;&#54925;&#47928;&#49436;_&#51333;&#54633;&#53596;&#54540;&#47551;.xlsx" TargetMode="External"/><Relationship Id="rId14" Type="http://schemas.openxmlformats.org/officeDocument/2006/relationships/hyperlink" Target="&#44592;&#54925;&#47928;&#49436;_&#51333;&#54633;&#53596;&#54540;&#47551;.xlsx" TargetMode="External"/><Relationship Id="rId15" Type="http://schemas.openxmlformats.org/officeDocument/2006/relationships/hyperlink" Target="&#44592;&#54925;&#47928;&#49436;_&#51333;&#54633;&#53596;&#54540;&#47551;.xlsx" TargetMode="External"/><Relationship Id="rId16" Type="http://schemas.openxmlformats.org/officeDocument/2006/relationships/hyperlink" Target="&#44592;&#54925;&#47928;&#49436;_&#51333;&#54633;&#53596;&#54540;&#47551;.xlsx" TargetMode="External"/><Relationship Id="rId17" Type="http://schemas.openxmlformats.org/officeDocument/2006/relationships/hyperlink" Target="&#44592;&#54925;&#47928;&#49436;_&#51333;&#54633;&#53596;&#54540;&#47551;.xlsx" TargetMode="External"/><Relationship Id="rId18" Type="http://schemas.openxmlformats.org/officeDocument/2006/relationships/hyperlink" Target="&#44592;&#54925;&#47928;&#49436;_&#51333;&#54633;&#53596;&#54540;&#47551;.xlsx" TargetMode="External"/><Relationship Id="rId19" Type="http://schemas.openxmlformats.org/officeDocument/2006/relationships/hyperlink" Target="&#44592;&#54925;&#47928;&#49436;_&#51333;&#54633;&#53596;&#54540;&#47551;.xlsx" TargetMode="External"/><Relationship Id="rId20" Type="http://schemas.openxmlformats.org/officeDocument/2006/relationships/hyperlink" Target="&#44592;&#54925;&#47928;&#49436;_&#51333;&#54633;&#53596;&#54540;&#47551;.xlsx" TargetMode="External"/><Relationship Id="rId21" Type="http://schemas.openxmlformats.org/officeDocument/2006/relationships/hyperlink" Target="&#44592;&#54925;&#47928;&#49436;_&#51333;&#54633;&#53596;&#54540;&#47551;.xlsx" TargetMode="External"/><Relationship Id="rId22" Type="http://schemas.openxmlformats.org/officeDocument/2006/relationships/hyperlink" Target="&#44592;&#54925;&#47928;&#49436;_&#51333;&#54633;&#53596;&#54540;&#47551;.xlsx" TargetMode="External"/><Relationship Id="rId23" Type="http://schemas.openxmlformats.org/officeDocument/2006/relationships/hyperlink" Target="&#44592;&#54925;&#47928;&#49436;_&#51333;&#54633;&#53596;&#54540;&#47551;.xlsx" TargetMode="External"/><Relationship Id="rId24" Type="http://schemas.openxmlformats.org/officeDocument/2006/relationships/hyperlink" Target="&#44592;&#54925;&#47928;&#49436;_&#51333;&#54633;&#53596;&#54540;&#47551;.xlsx" TargetMode="External"/><Relationship Id="rId25"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C997"/>
    <pageSetUpPr fitToPage="false"/>
  </sheetPr>
  <dimension ref="A1:L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customHeight="true" zeroHeight="false" outlineLevelRow="0" outlineLevelCol="0"/>
  <cols>
    <col collapsed="false" customWidth="true" hidden="false" outlineLevel="0" max="1" min="1" style="0" width="14"/>
    <col collapsed="false" customWidth="true" hidden="false" outlineLevel="0" max="3" min="2" style="0" width="16"/>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22"/>
    <col collapsed="false" customWidth="true" hidden="false" outlineLevel="0" max="8" min="8" style="0" width="10"/>
    <col collapsed="false" customWidth="true" hidden="false" outlineLevel="0" max="9" min="9" style="0" width="12"/>
    <col collapsed="false" customWidth="true" hidden="false" outlineLevel="0" max="10" min="10" style="0" width="30"/>
    <col collapsed="false" customWidth="true" hidden="false" outlineLevel="0" max="11" min="11" style="0" width="10"/>
    <col collapsed="false" customWidth="true" hidden="false" outlineLevel="0" max="12" min="12" style="0" width="20"/>
  </cols>
  <sheetData>
    <row r="1" customFormat="false" ht="30" hidden="false" customHeight="true" outlineLevel="0" collapsed="false">
      <c r="A1" s="1" t="s">
        <v>0</v>
      </c>
      <c r="B1" s="1" t="s">
        <v>1</v>
      </c>
      <c r="C1" s="1" t="s">
        <v>2</v>
      </c>
      <c r="D1" s="2" t="s">
        <v>3</v>
      </c>
      <c r="E1" s="2" t="s">
        <v>4</v>
      </c>
      <c r="F1" s="2" t="s">
        <v>5</v>
      </c>
      <c r="G1" s="2" t="s">
        <v>6</v>
      </c>
      <c r="H1" s="2" t="s">
        <v>7</v>
      </c>
      <c r="I1" s="2" t="s">
        <v>8</v>
      </c>
      <c r="J1" s="2" t="s">
        <v>9</v>
      </c>
      <c r="K1" s="2" t="s">
        <v>10</v>
      </c>
      <c r="L1" s="2" t="s">
        <v>11</v>
      </c>
    </row>
    <row r="2" customFormat="false" ht="34.5" hidden="false" customHeight="true" outlineLevel="0" collapsed="false">
      <c r="A2" s="3" t="s">
        <v>12</v>
      </c>
      <c r="B2" s="3"/>
      <c r="C2" s="3"/>
      <c r="D2" s="4" t="s">
        <v>13</v>
      </c>
      <c r="E2" s="3" t="s">
        <v>14</v>
      </c>
      <c r="F2" s="4" t="s">
        <v>15</v>
      </c>
      <c r="G2" s="4" t="s">
        <v>16</v>
      </c>
      <c r="H2" s="4" t="s">
        <v>17</v>
      </c>
      <c r="I2" s="3" t="s">
        <v>18</v>
      </c>
      <c r="J2" s="3" t="s">
        <v>19</v>
      </c>
      <c r="K2" s="3" t="s">
        <v>20</v>
      </c>
      <c r="L2" s="3"/>
    </row>
    <row r="3" customFormat="false" ht="34.5" hidden="false" customHeight="true" outlineLevel="0" collapsed="false">
      <c r="A3" s="5" t="s">
        <v>21</v>
      </c>
      <c r="B3" s="5" t="s">
        <v>22</v>
      </c>
      <c r="C3" s="5"/>
      <c r="D3" s="6" t="s">
        <v>23</v>
      </c>
      <c r="E3" s="5" t="s">
        <v>22</v>
      </c>
      <c r="F3" s="6" t="s">
        <v>15</v>
      </c>
      <c r="G3" s="6" t="s">
        <v>24</v>
      </c>
      <c r="H3" s="6" t="s">
        <v>17</v>
      </c>
      <c r="I3" s="5" t="s">
        <v>25</v>
      </c>
      <c r="J3" s="5" t="s">
        <v>26</v>
      </c>
      <c r="K3" s="5" t="s">
        <v>20</v>
      </c>
      <c r="L3" s="5"/>
    </row>
    <row r="4" customFormat="false" ht="34.5" hidden="false" customHeight="true" outlineLevel="0" collapsed="false">
      <c r="A4" s="3" t="s">
        <v>21</v>
      </c>
      <c r="B4" s="3" t="s">
        <v>27</v>
      </c>
      <c r="C4" s="3"/>
      <c r="D4" s="4" t="s">
        <v>28</v>
      </c>
      <c r="E4" s="3" t="s">
        <v>27</v>
      </c>
      <c r="F4" s="4" t="s">
        <v>15</v>
      </c>
      <c r="G4" s="4" t="s">
        <v>29</v>
      </c>
      <c r="H4" s="4" t="s">
        <v>17</v>
      </c>
      <c r="I4" s="3" t="s">
        <v>25</v>
      </c>
      <c r="J4" s="3" t="s">
        <v>30</v>
      </c>
      <c r="K4" s="3" t="s">
        <v>20</v>
      </c>
      <c r="L4" s="3"/>
    </row>
    <row r="5" customFormat="false" ht="34.5" hidden="false" customHeight="true" outlineLevel="0" collapsed="false">
      <c r="A5" s="5" t="s">
        <v>21</v>
      </c>
      <c r="B5" s="5" t="s">
        <v>31</v>
      </c>
      <c r="C5" s="5"/>
      <c r="D5" s="6" t="s">
        <v>32</v>
      </c>
      <c r="E5" s="5" t="s">
        <v>31</v>
      </c>
      <c r="F5" s="6" t="s">
        <v>15</v>
      </c>
      <c r="G5" s="6" t="s">
        <v>33</v>
      </c>
      <c r="H5" s="6" t="s">
        <v>17</v>
      </c>
      <c r="I5" s="5" t="s">
        <v>25</v>
      </c>
      <c r="J5" s="5" t="s">
        <v>34</v>
      </c>
      <c r="K5" s="5" t="s">
        <v>20</v>
      </c>
      <c r="L5" s="5"/>
    </row>
    <row r="6" customFormat="false" ht="34.5" hidden="false" customHeight="true" outlineLevel="0" collapsed="false">
      <c r="A6" s="3" t="s">
        <v>35</v>
      </c>
      <c r="B6" s="3" t="s">
        <v>36</v>
      </c>
      <c r="C6" s="3"/>
      <c r="D6" s="4" t="s">
        <v>37</v>
      </c>
      <c r="E6" s="3" t="s">
        <v>38</v>
      </c>
      <c r="F6" s="4" t="s">
        <v>15</v>
      </c>
      <c r="G6" s="4" t="s">
        <v>39</v>
      </c>
      <c r="H6" s="4" t="s">
        <v>17</v>
      </c>
      <c r="I6" s="3" t="s">
        <v>18</v>
      </c>
      <c r="J6" s="3" t="s">
        <v>40</v>
      </c>
      <c r="K6" s="3" t="s">
        <v>41</v>
      </c>
      <c r="L6" s="3"/>
    </row>
    <row r="7" customFormat="false" ht="34.5" hidden="false" customHeight="true" outlineLevel="0" collapsed="false">
      <c r="A7" s="5" t="s">
        <v>35</v>
      </c>
      <c r="B7" s="5" t="s">
        <v>42</v>
      </c>
      <c r="C7" s="5"/>
      <c r="D7" s="6" t="s">
        <v>43</v>
      </c>
      <c r="E7" s="5" t="s">
        <v>44</v>
      </c>
      <c r="F7" s="6" t="s">
        <v>15</v>
      </c>
      <c r="G7" s="6" t="s">
        <v>45</v>
      </c>
      <c r="H7" s="6" t="s">
        <v>17</v>
      </c>
      <c r="I7" s="5" t="s">
        <v>18</v>
      </c>
      <c r="J7" s="5" t="s">
        <v>46</v>
      </c>
      <c r="K7" s="5" t="s">
        <v>41</v>
      </c>
      <c r="L7" s="5"/>
    </row>
    <row r="8" customFormat="false" ht="34.5" hidden="false" customHeight="true" outlineLevel="0" collapsed="false">
      <c r="A8" s="3" t="s">
        <v>35</v>
      </c>
      <c r="B8" s="3" t="s">
        <v>47</v>
      </c>
      <c r="C8" s="3"/>
      <c r="D8" s="4" t="s">
        <v>48</v>
      </c>
      <c r="E8" s="3" t="s">
        <v>47</v>
      </c>
      <c r="F8" s="4" t="s">
        <v>15</v>
      </c>
      <c r="G8" s="4" t="s">
        <v>49</v>
      </c>
      <c r="H8" s="4" t="s">
        <v>17</v>
      </c>
      <c r="I8" s="3" t="s">
        <v>18</v>
      </c>
      <c r="J8" s="3" t="s">
        <v>50</v>
      </c>
      <c r="K8" s="3" t="s">
        <v>41</v>
      </c>
      <c r="L8" s="3"/>
    </row>
    <row r="9" customFormat="false" ht="34.5" hidden="false" customHeight="true" outlineLevel="0" collapsed="false">
      <c r="A9" s="5" t="s">
        <v>51</v>
      </c>
      <c r="B9" s="5" t="s">
        <v>52</v>
      </c>
      <c r="C9" s="5"/>
      <c r="D9" s="6" t="s">
        <v>53</v>
      </c>
      <c r="E9" s="5" t="s">
        <v>51</v>
      </c>
      <c r="F9" s="6" t="s">
        <v>15</v>
      </c>
      <c r="G9" s="6" t="s">
        <v>54</v>
      </c>
      <c r="H9" s="6" t="s">
        <v>55</v>
      </c>
      <c r="I9" s="5" t="s">
        <v>21</v>
      </c>
      <c r="J9" s="5" t="s">
        <v>56</v>
      </c>
      <c r="K9" s="5" t="s">
        <v>41</v>
      </c>
      <c r="L9" s="5"/>
    </row>
    <row r="10" customFormat="false" ht="34.5" hidden="false" customHeight="true" outlineLevel="0" collapsed="false">
      <c r="A10" s="3" t="s">
        <v>51</v>
      </c>
      <c r="B10" s="3" t="s">
        <v>57</v>
      </c>
      <c r="C10" s="3"/>
      <c r="D10" s="4" t="s">
        <v>58</v>
      </c>
      <c r="E10" s="3" t="s">
        <v>57</v>
      </c>
      <c r="F10" s="4" t="s">
        <v>15</v>
      </c>
      <c r="G10" s="4" t="s">
        <v>59</v>
      </c>
      <c r="H10" s="4" t="s">
        <v>55</v>
      </c>
      <c r="I10" s="3" t="s">
        <v>21</v>
      </c>
      <c r="J10" s="3" t="s">
        <v>60</v>
      </c>
      <c r="K10" s="3" t="s">
        <v>41</v>
      </c>
      <c r="L10" s="3"/>
    </row>
    <row r="11" customFormat="false" ht="34.5" hidden="false" customHeight="true" outlineLevel="0" collapsed="false">
      <c r="A11" s="5" t="s">
        <v>51</v>
      </c>
      <c r="B11" s="5" t="s">
        <v>61</v>
      </c>
      <c r="C11" s="5"/>
      <c r="D11" s="6" t="s">
        <v>62</v>
      </c>
      <c r="E11" s="5" t="s">
        <v>63</v>
      </c>
      <c r="F11" s="6" t="s">
        <v>15</v>
      </c>
      <c r="G11" s="6" t="s">
        <v>64</v>
      </c>
      <c r="H11" s="6" t="s">
        <v>55</v>
      </c>
      <c r="I11" s="5" t="s">
        <v>21</v>
      </c>
      <c r="J11" s="5" t="s">
        <v>65</v>
      </c>
      <c r="K11" s="5" t="s">
        <v>41</v>
      </c>
      <c r="L11" s="5"/>
    </row>
    <row r="12" customFormat="false" ht="34.5" hidden="false" customHeight="true" outlineLevel="0" collapsed="false">
      <c r="A12" s="3" t="s">
        <v>66</v>
      </c>
      <c r="B12" s="3" t="s">
        <v>67</v>
      </c>
      <c r="C12" s="3"/>
      <c r="D12" s="4" t="s">
        <v>68</v>
      </c>
      <c r="E12" s="3" t="s">
        <v>69</v>
      </c>
      <c r="F12" s="4" t="s">
        <v>70</v>
      </c>
      <c r="G12" s="4" t="s">
        <v>71</v>
      </c>
      <c r="H12" s="4" t="s">
        <v>55</v>
      </c>
      <c r="I12" s="3" t="s">
        <v>66</v>
      </c>
      <c r="J12" s="3" t="s">
        <v>72</v>
      </c>
      <c r="K12" s="3" t="s">
        <v>41</v>
      </c>
      <c r="L12" s="3"/>
    </row>
    <row r="13" customFormat="false" ht="34.5" hidden="false" customHeight="true" outlineLevel="0" collapsed="false">
      <c r="A13" s="5" t="s">
        <v>66</v>
      </c>
      <c r="B13" s="5" t="s">
        <v>73</v>
      </c>
      <c r="C13" s="5"/>
      <c r="D13" s="6" t="s">
        <v>74</v>
      </c>
      <c r="E13" s="5" t="s">
        <v>73</v>
      </c>
      <c r="F13" s="6" t="s">
        <v>70</v>
      </c>
      <c r="G13" s="6" t="s">
        <v>75</v>
      </c>
      <c r="H13" s="6" t="s">
        <v>55</v>
      </c>
      <c r="I13" s="5" t="s">
        <v>66</v>
      </c>
      <c r="J13" s="5" t="s">
        <v>76</v>
      </c>
      <c r="K13" s="5" t="s">
        <v>41</v>
      </c>
      <c r="L13" s="5"/>
    </row>
  </sheetData>
  <autoFilter ref="A1:L1"/>
  <dataValidations count="3">
    <dataValidation allowBlank="true" error="드롭다운 목록에서 선택해주세요." errorStyle="stop" errorTitle="잘못된 입력" operator="between" promptTitle="플랫폼" showDropDown="false" showErrorMessage="true" showInputMessage="true" sqref="F2:F200" type="list">
      <formula1>"Web,App (iOS),App (Android),Web + App,공통"</formula1>
      <formula2>0</formula2>
    </dataValidation>
    <dataValidation allowBlank="true" error="드롭다운 목록에서 선택해주세요." errorStyle="stop" errorTitle="잘못된 입력" operator="between" promptTitle="로그인 필요" showDropDown="false" showErrorMessage="true" showInputMessage="true" sqref="H2:H200" type="list">
      <formula1>"Y,N"</formula1>
      <formula2>0</formula2>
    </dataValidation>
    <dataValidation allowBlank="true" error="드롭다운 목록에서 선택해주세요." errorStyle="stop" errorTitle="잘못된 입력" operator="between" promptTitle="상태" showDropDown="false" showErrorMessage="true" showInputMessage="true" sqref="K2:K200" type="list">
      <formula1>"작성중,검토중,확정,변경필요,삭제"</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F42C1"/>
    <pageSetUpPr fitToPage="false"/>
  </sheetPr>
  <dimension ref="A1:M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customHeight="tru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2"/>
    <col collapsed="false" customWidth="true" hidden="false" outlineLevel="0" max="4" min="4" style="0" width="40"/>
    <col collapsed="false" customWidth="true" hidden="false" outlineLevel="0" max="5" min="5" style="0" width="35"/>
    <col collapsed="false" customWidth="true" hidden="false" outlineLevel="0" max="6" min="6" style="0" width="12"/>
    <col collapsed="false" customWidth="true" hidden="false" outlineLevel="0" max="7" min="7" style="0" width="10"/>
    <col collapsed="false" customWidth="true" hidden="false" outlineLevel="0" max="8" min="8" style="0" width="8"/>
    <col collapsed="false" customWidth="true" hidden="false" outlineLevel="0" max="10" min="9" style="0" width="12"/>
    <col collapsed="false" customWidth="true" hidden="false" outlineLevel="0" max="11" min="11" style="0" width="18"/>
    <col collapsed="false" customWidth="true" hidden="false" outlineLevel="0" max="12" min="12" style="0" width="12"/>
    <col collapsed="false" customWidth="true" hidden="false" outlineLevel="0" max="13" min="13" style="0" width="20"/>
  </cols>
  <sheetData>
    <row r="1" customFormat="false" ht="30" hidden="false" customHeight="true" outlineLevel="0" collapsed="false">
      <c r="A1" s="2" t="s">
        <v>77</v>
      </c>
      <c r="B1" s="2" t="s">
        <v>78</v>
      </c>
      <c r="C1" s="2" t="s">
        <v>79</v>
      </c>
      <c r="D1" s="2" t="s">
        <v>80</v>
      </c>
      <c r="E1" s="2" t="s">
        <v>81</v>
      </c>
      <c r="F1" s="2" t="s">
        <v>3</v>
      </c>
      <c r="G1" s="2" t="s">
        <v>82</v>
      </c>
      <c r="H1" s="2" t="s">
        <v>83</v>
      </c>
      <c r="I1" s="2" t="s">
        <v>84</v>
      </c>
      <c r="J1" s="2" t="s">
        <v>10</v>
      </c>
      <c r="K1" s="7" t="s">
        <v>85</v>
      </c>
      <c r="L1" s="7" t="s">
        <v>86</v>
      </c>
      <c r="M1" s="2" t="s">
        <v>11</v>
      </c>
    </row>
    <row r="2" customFormat="false" ht="69.75" hidden="false" customHeight="true" outlineLevel="0" collapsed="false">
      <c r="A2" s="4" t="s">
        <v>87</v>
      </c>
      <c r="B2" s="3" t="s">
        <v>21</v>
      </c>
      <c r="C2" s="3" t="s">
        <v>25</v>
      </c>
      <c r="D2" s="3" t="s">
        <v>88</v>
      </c>
      <c r="E2" s="4" t="s">
        <v>89</v>
      </c>
      <c r="F2" s="4" t="s">
        <v>23</v>
      </c>
      <c r="G2" s="4" t="s">
        <v>90</v>
      </c>
      <c r="H2" s="4" t="s">
        <v>91</v>
      </c>
      <c r="I2" s="3" t="s">
        <v>92</v>
      </c>
      <c r="J2" s="4" t="s">
        <v>93</v>
      </c>
      <c r="K2" s="3"/>
      <c r="L2" s="3"/>
      <c r="M2" s="3"/>
    </row>
    <row r="3" customFormat="false" ht="69.75" hidden="false" customHeight="true" outlineLevel="0" collapsed="false">
      <c r="A3" s="6" t="s">
        <v>94</v>
      </c>
      <c r="B3" s="5" t="s">
        <v>21</v>
      </c>
      <c r="C3" s="5" t="s">
        <v>25</v>
      </c>
      <c r="D3" s="5" t="s">
        <v>95</v>
      </c>
      <c r="E3" s="6" t="s">
        <v>96</v>
      </c>
      <c r="F3" s="6" t="s">
        <v>23</v>
      </c>
      <c r="G3" s="6" t="s">
        <v>90</v>
      </c>
      <c r="H3" s="6" t="s">
        <v>97</v>
      </c>
      <c r="I3" s="5" t="s">
        <v>92</v>
      </c>
      <c r="J3" s="6" t="s">
        <v>93</v>
      </c>
      <c r="K3" s="5"/>
      <c r="L3" s="5"/>
      <c r="M3" s="5"/>
    </row>
    <row r="4" customFormat="false" ht="69.75" hidden="false" customHeight="true" outlineLevel="0" collapsed="false">
      <c r="A4" s="4" t="s">
        <v>98</v>
      </c>
      <c r="B4" s="3" t="s">
        <v>21</v>
      </c>
      <c r="C4" s="3" t="s">
        <v>21</v>
      </c>
      <c r="D4" s="3" t="s">
        <v>99</v>
      </c>
      <c r="E4" s="4" t="s">
        <v>100</v>
      </c>
      <c r="F4" s="4" t="s">
        <v>28</v>
      </c>
      <c r="G4" s="4" t="s">
        <v>90</v>
      </c>
      <c r="H4" s="4" t="s">
        <v>97</v>
      </c>
      <c r="I4" s="3" t="s">
        <v>92</v>
      </c>
      <c r="J4" s="4" t="s">
        <v>101</v>
      </c>
      <c r="K4" s="3"/>
      <c r="L4" s="3"/>
      <c r="M4" s="3"/>
    </row>
    <row r="5" customFormat="false" ht="69.75" hidden="false" customHeight="true" outlineLevel="0" collapsed="false">
      <c r="A5" s="6" t="s">
        <v>102</v>
      </c>
      <c r="B5" s="5" t="s">
        <v>35</v>
      </c>
      <c r="C5" s="5" t="s">
        <v>21</v>
      </c>
      <c r="D5" s="5" t="s">
        <v>103</v>
      </c>
      <c r="E5" s="6" t="s">
        <v>104</v>
      </c>
      <c r="F5" s="6" t="s">
        <v>48</v>
      </c>
      <c r="G5" s="6" t="s">
        <v>105</v>
      </c>
      <c r="H5" s="6" t="s">
        <v>91</v>
      </c>
      <c r="I5" s="5" t="s">
        <v>106</v>
      </c>
      <c r="J5" s="6" t="s">
        <v>107</v>
      </c>
      <c r="K5" s="5"/>
      <c r="L5" s="5"/>
      <c r="M5" s="5"/>
    </row>
    <row r="6" customFormat="false" ht="69.75" hidden="false" customHeight="true" outlineLevel="0" collapsed="false">
      <c r="A6" s="4" t="s">
        <v>108</v>
      </c>
      <c r="B6" s="3" t="s">
        <v>51</v>
      </c>
      <c r="C6" s="3" t="s">
        <v>21</v>
      </c>
      <c r="D6" s="3" t="s">
        <v>109</v>
      </c>
      <c r="E6" s="4" t="s">
        <v>110</v>
      </c>
      <c r="F6" s="4" t="s">
        <v>53</v>
      </c>
      <c r="G6" s="4" t="s">
        <v>111</v>
      </c>
      <c r="H6" s="4" t="s">
        <v>112</v>
      </c>
      <c r="I6" s="3" t="s">
        <v>106</v>
      </c>
      <c r="J6" s="4" t="s">
        <v>113</v>
      </c>
      <c r="K6" s="3"/>
      <c r="L6" s="3"/>
      <c r="M6" s="3"/>
    </row>
    <row r="7" customFormat="false" ht="69.75" hidden="false" customHeight="true" outlineLevel="0" collapsed="false">
      <c r="A7" s="6" t="s">
        <v>114</v>
      </c>
      <c r="B7" s="5" t="s">
        <v>61</v>
      </c>
      <c r="C7" s="5" t="s">
        <v>21</v>
      </c>
      <c r="D7" s="5" t="s">
        <v>115</v>
      </c>
      <c r="E7" s="6" t="s">
        <v>116</v>
      </c>
      <c r="F7" s="6" t="s">
        <v>62</v>
      </c>
      <c r="G7" s="6" t="s">
        <v>105</v>
      </c>
      <c r="H7" s="6" t="s">
        <v>97</v>
      </c>
      <c r="I7" s="5" t="s">
        <v>92</v>
      </c>
      <c r="J7" s="6" t="s">
        <v>113</v>
      </c>
      <c r="K7" s="5"/>
      <c r="L7" s="5"/>
      <c r="M7" s="5"/>
    </row>
    <row r="8" customFormat="false" ht="15" hidden="false" customHeight="true" outlineLevel="0" collapsed="false">
      <c r="K8" s="8" t="str">
        <f aca="false">IFERROR(VLOOKUP(F8,'IA(정보구조)'!D:E,2,FALSE()),"")</f>
        <v/>
      </c>
      <c r="L8" s="9" t="n">
        <f aca="false">IFERROR(COUNTIF(기능명세서!H:H,F8),0)</f>
        <v>0</v>
      </c>
    </row>
    <row r="9" customFormat="false" ht="15" hidden="false" customHeight="true" outlineLevel="0" collapsed="false">
      <c r="K9" s="8" t="str">
        <f aca="false">IFERROR(VLOOKUP(F9,'IA(정보구조)'!D:E,2,FALSE()),"")</f>
        <v/>
      </c>
      <c r="L9" s="9" t="n">
        <f aca="false">IFERROR(COUNTIF(기능명세서!H:H,F9),0)</f>
        <v>0</v>
      </c>
    </row>
    <row r="10" customFormat="false" ht="15" hidden="false" customHeight="true" outlineLevel="0" collapsed="false">
      <c r="K10" s="8" t="str">
        <f aca="false">IFERROR(VLOOKUP(F10,'IA(정보구조)'!D:E,2,FALSE()),"")</f>
        <v/>
      </c>
      <c r="L10" s="9" t="n">
        <f aca="false">IFERROR(COUNTIF(기능명세서!H:H,F10),0)</f>
        <v>0</v>
      </c>
    </row>
    <row r="11" customFormat="false" ht="15" hidden="false" customHeight="true" outlineLevel="0" collapsed="false">
      <c r="K11" s="8" t="str">
        <f aca="false">IFERROR(VLOOKUP(F11,'IA(정보구조)'!D:E,2,FALSE()),"")</f>
        <v/>
      </c>
      <c r="L11" s="9" t="n">
        <f aca="false">IFERROR(COUNTIF(기능명세서!H:H,F11),0)</f>
        <v>0</v>
      </c>
    </row>
    <row r="12" customFormat="false" ht="15" hidden="false" customHeight="true" outlineLevel="0" collapsed="false">
      <c r="K12" s="8" t="str">
        <f aca="false">IFERROR(VLOOKUP(F12,'IA(정보구조)'!D:E,2,FALSE()),"")</f>
        <v/>
      </c>
      <c r="L12" s="9" t="n">
        <f aca="false">IFERROR(COUNTIF(기능명세서!H:H,F12),0)</f>
        <v>0</v>
      </c>
    </row>
    <row r="13" customFormat="false" ht="15" hidden="false" customHeight="true" outlineLevel="0" collapsed="false">
      <c r="K13" s="8" t="str">
        <f aca="false">IFERROR(VLOOKUP(F13,'IA(정보구조)'!D:E,2,FALSE()),"")</f>
        <v/>
      </c>
      <c r="L13" s="9" t="n">
        <f aca="false">IFERROR(COUNTIF(기능명세서!H:H,F13),0)</f>
        <v>0</v>
      </c>
    </row>
    <row r="14" customFormat="false" ht="15" hidden="false" customHeight="true" outlineLevel="0" collapsed="false">
      <c r="K14" s="8" t="str">
        <f aca="false">IFERROR(VLOOKUP(F14,'IA(정보구조)'!D:E,2,FALSE()),"")</f>
        <v/>
      </c>
      <c r="L14" s="9" t="n">
        <f aca="false">IFERROR(COUNTIF(기능명세서!H:H,F14),0)</f>
        <v>0</v>
      </c>
    </row>
    <row r="15" customFormat="false" ht="15" hidden="false" customHeight="true" outlineLevel="0" collapsed="false">
      <c r="K15" s="8" t="str">
        <f aca="false">IFERROR(VLOOKUP(F15,'IA(정보구조)'!D:E,2,FALSE()),"")</f>
        <v/>
      </c>
      <c r="L15" s="9" t="n">
        <f aca="false">IFERROR(COUNTIF(기능명세서!H:H,F15),0)</f>
        <v>0</v>
      </c>
    </row>
    <row r="16" customFormat="false" ht="15" hidden="false" customHeight="true" outlineLevel="0" collapsed="false">
      <c r="K16" s="8" t="str">
        <f aca="false">IFERROR(VLOOKUP(F16,'IA(정보구조)'!D:E,2,FALSE()),"")</f>
        <v/>
      </c>
      <c r="L16" s="9" t="n">
        <f aca="false">IFERROR(COUNTIF(기능명세서!H:H,F16),0)</f>
        <v>0</v>
      </c>
    </row>
    <row r="17" customFormat="false" ht="15" hidden="false" customHeight="true" outlineLevel="0" collapsed="false">
      <c r="K17" s="8" t="str">
        <f aca="false">IFERROR(VLOOKUP(F17,'IA(정보구조)'!D:E,2,FALSE()),"")</f>
        <v/>
      </c>
      <c r="L17" s="9" t="n">
        <f aca="false">IFERROR(COUNTIF(기능명세서!H:H,F17),0)</f>
        <v>0</v>
      </c>
    </row>
    <row r="18" customFormat="false" ht="15" hidden="false" customHeight="true" outlineLevel="0" collapsed="false">
      <c r="K18" s="8" t="str">
        <f aca="false">IFERROR(VLOOKUP(F18,'IA(정보구조)'!D:E,2,FALSE()),"")</f>
        <v/>
      </c>
      <c r="L18" s="9" t="n">
        <f aca="false">IFERROR(COUNTIF(기능명세서!H:H,F18),0)</f>
        <v>0</v>
      </c>
    </row>
    <row r="19" customFormat="false" ht="15" hidden="false" customHeight="true" outlineLevel="0" collapsed="false">
      <c r="K19" s="8" t="str">
        <f aca="false">IFERROR(VLOOKUP(F19,'IA(정보구조)'!D:E,2,FALSE()),"")</f>
        <v/>
      </c>
      <c r="L19" s="9" t="n">
        <f aca="false">IFERROR(COUNTIF(기능명세서!H:H,F19),0)</f>
        <v>0</v>
      </c>
    </row>
    <row r="20" customFormat="false" ht="15" hidden="false" customHeight="true" outlineLevel="0" collapsed="false">
      <c r="K20" s="8" t="str">
        <f aca="false">IFERROR(VLOOKUP(F20,'IA(정보구조)'!D:E,2,FALSE()),"")</f>
        <v/>
      </c>
      <c r="L20" s="9" t="n">
        <f aca="false">IFERROR(COUNTIF(기능명세서!H:H,F20),0)</f>
        <v>0</v>
      </c>
    </row>
    <row r="21" customFormat="false" ht="15" hidden="false" customHeight="true" outlineLevel="0" collapsed="false">
      <c r="K21" s="8" t="str">
        <f aca="false">IFERROR(VLOOKUP(F21,'IA(정보구조)'!D:E,2,FALSE()),"")</f>
        <v/>
      </c>
      <c r="L21" s="9" t="n">
        <f aca="false">IFERROR(COUNTIF(기능명세서!H:H,F21),0)</f>
        <v>0</v>
      </c>
    </row>
    <row r="22" customFormat="false" ht="15" hidden="false" customHeight="true" outlineLevel="0" collapsed="false">
      <c r="K22" s="8" t="str">
        <f aca="false">IFERROR(VLOOKUP(F22,'IA(정보구조)'!D:E,2,FALSE()),"")</f>
        <v/>
      </c>
      <c r="L22" s="9" t="n">
        <f aca="false">IFERROR(COUNTIF(기능명세서!H:H,F22),0)</f>
        <v>0</v>
      </c>
    </row>
    <row r="23" customFormat="false" ht="15" hidden="false" customHeight="true" outlineLevel="0" collapsed="false">
      <c r="K23" s="8" t="str">
        <f aca="false">IFERROR(VLOOKUP(F23,'IA(정보구조)'!D:E,2,FALSE()),"")</f>
        <v/>
      </c>
      <c r="L23" s="9" t="n">
        <f aca="false">IFERROR(COUNTIF(기능명세서!H:H,F23),0)</f>
        <v>0</v>
      </c>
    </row>
    <row r="24" customFormat="false" ht="15" hidden="false" customHeight="true" outlineLevel="0" collapsed="false">
      <c r="K24" s="8" t="str">
        <f aca="false">IFERROR(VLOOKUP(F24,'IA(정보구조)'!D:E,2,FALSE()),"")</f>
        <v/>
      </c>
      <c r="L24" s="9" t="n">
        <f aca="false">IFERROR(COUNTIF(기능명세서!H:H,F24),0)</f>
        <v>0</v>
      </c>
    </row>
    <row r="25" customFormat="false" ht="15" hidden="false" customHeight="true" outlineLevel="0" collapsed="false">
      <c r="K25" s="8" t="str">
        <f aca="false">IFERROR(VLOOKUP(F25,'IA(정보구조)'!D:E,2,FALSE()),"")</f>
        <v/>
      </c>
      <c r="L25" s="9" t="n">
        <f aca="false">IFERROR(COUNTIF(기능명세서!H:H,F25),0)</f>
        <v>0</v>
      </c>
    </row>
    <row r="26" customFormat="false" ht="15" hidden="false" customHeight="true" outlineLevel="0" collapsed="false">
      <c r="K26" s="8" t="str">
        <f aca="false">IFERROR(VLOOKUP(F26,'IA(정보구조)'!D:E,2,FALSE()),"")</f>
        <v/>
      </c>
      <c r="L26" s="9" t="n">
        <f aca="false">IFERROR(COUNTIF(기능명세서!H:H,F26),0)</f>
        <v>0</v>
      </c>
    </row>
    <row r="27" customFormat="false" ht="15" hidden="false" customHeight="true" outlineLevel="0" collapsed="false">
      <c r="K27" s="8" t="str">
        <f aca="false">IFERROR(VLOOKUP(F27,'IA(정보구조)'!D:E,2,FALSE()),"")</f>
        <v/>
      </c>
      <c r="L27" s="9" t="n">
        <f aca="false">IFERROR(COUNTIF(기능명세서!H:H,F27),0)</f>
        <v>0</v>
      </c>
    </row>
    <row r="28" customFormat="false" ht="15" hidden="false" customHeight="true" outlineLevel="0" collapsed="false">
      <c r="K28" s="8" t="str">
        <f aca="false">IFERROR(VLOOKUP(F28,'IA(정보구조)'!D:E,2,FALSE()),"")</f>
        <v/>
      </c>
      <c r="L28" s="9" t="n">
        <f aca="false">IFERROR(COUNTIF(기능명세서!H:H,F28),0)</f>
        <v>0</v>
      </c>
    </row>
    <row r="29" customFormat="false" ht="15" hidden="false" customHeight="true" outlineLevel="0" collapsed="false">
      <c r="K29" s="8" t="str">
        <f aca="false">IFERROR(VLOOKUP(F29,'IA(정보구조)'!D:E,2,FALSE()),"")</f>
        <v/>
      </c>
      <c r="L29" s="9" t="n">
        <f aca="false">IFERROR(COUNTIF(기능명세서!H:H,F29),0)</f>
        <v>0</v>
      </c>
    </row>
    <row r="30" customFormat="false" ht="15" hidden="false" customHeight="true" outlineLevel="0" collapsed="false">
      <c r="K30" s="8" t="str">
        <f aca="false">IFERROR(VLOOKUP(F30,'IA(정보구조)'!D:E,2,FALSE()),"")</f>
        <v/>
      </c>
      <c r="L30" s="9" t="n">
        <f aca="false">IFERROR(COUNTIF(기능명세서!H:H,F30),0)</f>
        <v>0</v>
      </c>
    </row>
    <row r="31" customFormat="false" ht="15" hidden="false" customHeight="true" outlineLevel="0" collapsed="false">
      <c r="K31" s="8" t="str">
        <f aca="false">IFERROR(VLOOKUP(F31,'IA(정보구조)'!D:E,2,FALSE()),"")</f>
        <v/>
      </c>
      <c r="L31" s="9" t="n">
        <f aca="false">IFERROR(COUNTIF(기능명세서!H:H,F31),0)</f>
        <v>0</v>
      </c>
    </row>
    <row r="32" customFormat="false" ht="15" hidden="false" customHeight="true" outlineLevel="0" collapsed="false">
      <c r="K32" s="8" t="str">
        <f aca="false">IFERROR(VLOOKUP(F32,'IA(정보구조)'!D:E,2,FALSE()),"")</f>
        <v/>
      </c>
      <c r="L32" s="9" t="n">
        <f aca="false">IFERROR(COUNTIF(기능명세서!H:H,F32),0)</f>
        <v>0</v>
      </c>
    </row>
    <row r="33" customFormat="false" ht="15" hidden="false" customHeight="true" outlineLevel="0" collapsed="false">
      <c r="K33" s="8" t="str">
        <f aca="false">IFERROR(VLOOKUP(F33,'IA(정보구조)'!D:E,2,FALSE()),"")</f>
        <v/>
      </c>
      <c r="L33" s="9" t="n">
        <f aca="false">IFERROR(COUNTIF(기능명세서!H:H,F33),0)</f>
        <v>0</v>
      </c>
    </row>
    <row r="34" customFormat="false" ht="15" hidden="false" customHeight="true" outlineLevel="0" collapsed="false">
      <c r="K34" s="8" t="str">
        <f aca="false">IFERROR(VLOOKUP(F34,'IA(정보구조)'!D:E,2,FALSE()),"")</f>
        <v/>
      </c>
      <c r="L34" s="9" t="n">
        <f aca="false">IFERROR(COUNTIF(기능명세서!H:H,F34),0)</f>
        <v>0</v>
      </c>
    </row>
    <row r="35" customFormat="false" ht="15" hidden="false" customHeight="true" outlineLevel="0" collapsed="false">
      <c r="K35" s="8" t="str">
        <f aca="false">IFERROR(VLOOKUP(F35,'IA(정보구조)'!D:E,2,FALSE()),"")</f>
        <v/>
      </c>
      <c r="L35" s="9" t="n">
        <f aca="false">IFERROR(COUNTIF(기능명세서!H:H,F35),0)</f>
        <v>0</v>
      </c>
    </row>
    <row r="36" customFormat="false" ht="15" hidden="false" customHeight="true" outlineLevel="0" collapsed="false">
      <c r="K36" s="8" t="str">
        <f aca="false">IFERROR(VLOOKUP(F36,'IA(정보구조)'!D:E,2,FALSE()),"")</f>
        <v/>
      </c>
      <c r="L36" s="9" t="n">
        <f aca="false">IFERROR(COUNTIF(기능명세서!H:H,F36),0)</f>
        <v>0</v>
      </c>
    </row>
    <row r="37" customFormat="false" ht="15" hidden="false" customHeight="true" outlineLevel="0" collapsed="false">
      <c r="K37" s="8" t="str">
        <f aca="false">IFERROR(VLOOKUP(F37,'IA(정보구조)'!D:E,2,FALSE()),"")</f>
        <v/>
      </c>
      <c r="L37" s="9" t="n">
        <f aca="false">IFERROR(COUNTIF(기능명세서!H:H,F37),0)</f>
        <v>0</v>
      </c>
    </row>
    <row r="38" customFormat="false" ht="15" hidden="false" customHeight="true" outlineLevel="0" collapsed="false">
      <c r="K38" s="8" t="str">
        <f aca="false">IFERROR(VLOOKUP(F38,'IA(정보구조)'!D:E,2,FALSE()),"")</f>
        <v/>
      </c>
      <c r="L38" s="9" t="n">
        <f aca="false">IFERROR(COUNTIF(기능명세서!H:H,F38),0)</f>
        <v>0</v>
      </c>
    </row>
    <row r="39" customFormat="false" ht="15" hidden="false" customHeight="true" outlineLevel="0" collapsed="false">
      <c r="K39" s="8" t="str">
        <f aca="false">IFERROR(VLOOKUP(F39,'IA(정보구조)'!D:E,2,FALSE()),"")</f>
        <v/>
      </c>
      <c r="L39" s="9" t="n">
        <f aca="false">IFERROR(COUNTIF(기능명세서!H:H,F39),0)</f>
        <v>0</v>
      </c>
    </row>
    <row r="40" customFormat="false" ht="15" hidden="false" customHeight="true" outlineLevel="0" collapsed="false">
      <c r="K40" s="8" t="str">
        <f aca="false">IFERROR(VLOOKUP(F40,'IA(정보구조)'!D:E,2,FALSE()),"")</f>
        <v/>
      </c>
      <c r="L40" s="9" t="n">
        <f aca="false">IFERROR(COUNTIF(기능명세서!H:H,F40),0)</f>
        <v>0</v>
      </c>
    </row>
    <row r="41" customFormat="false" ht="15" hidden="false" customHeight="true" outlineLevel="0" collapsed="false">
      <c r="K41" s="8" t="str">
        <f aca="false">IFERROR(VLOOKUP(F41,'IA(정보구조)'!D:E,2,FALSE()),"")</f>
        <v/>
      </c>
      <c r="L41" s="9" t="n">
        <f aca="false">IFERROR(COUNTIF(기능명세서!H:H,F41),0)</f>
        <v>0</v>
      </c>
    </row>
    <row r="42" customFormat="false" ht="15" hidden="false" customHeight="true" outlineLevel="0" collapsed="false">
      <c r="K42" s="8" t="str">
        <f aca="false">IFERROR(VLOOKUP(F42,'IA(정보구조)'!D:E,2,FALSE()),"")</f>
        <v/>
      </c>
      <c r="L42" s="9" t="n">
        <f aca="false">IFERROR(COUNTIF(기능명세서!H:H,F42),0)</f>
        <v>0</v>
      </c>
    </row>
    <row r="43" customFormat="false" ht="15" hidden="false" customHeight="true" outlineLevel="0" collapsed="false">
      <c r="K43" s="8" t="str">
        <f aca="false">IFERROR(VLOOKUP(F43,'IA(정보구조)'!D:E,2,FALSE()),"")</f>
        <v/>
      </c>
      <c r="L43" s="9" t="n">
        <f aca="false">IFERROR(COUNTIF(기능명세서!H:H,F43),0)</f>
        <v>0</v>
      </c>
    </row>
    <row r="44" customFormat="false" ht="15" hidden="false" customHeight="true" outlineLevel="0" collapsed="false">
      <c r="K44" s="8" t="str">
        <f aca="false">IFERROR(VLOOKUP(F44,'IA(정보구조)'!D:E,2,FALSE()),"")</f>
        <v/>
      </c>
      <c r="L44" s="9" t="n">
        <f aca="false">IFERROR(COUNTIF(기능명세서!H:H,F44),0)</f>
        <v>0</v>
      </c>
    </row>
    <row r="45" customFormat="false" ht="15" hidden="false" customHeight="true" outlineLevel="0" collapsed="false">
      <c r="K45" s="8" t="str">
        <f aca="false">IFERROR(VLOOKUP(F45,'IA(정보구조)'!D:E,2,FALSE()),"")</f>
        <v/>
      </c>
      <c r="L45" s="9" t="n">
        <f aca="false">IFERROR(COUNTIF(기능명세서!H:H,F45),0)</f>
        <v>0</v>
      </c>
    </row>
    <row r="46" customFormat="false" ht="15" hidden="false" customHeight="true" outlineLevel="0" collapsed="false">
      <c r="K46" s="8" t="str">
        <f aca="false">IFERROR(VLOOKUP(F46,'IA(정보구조)'!D:E,2,FALSE()),"")</f>
        <v/>
      </c>
      <c r="L46" s="9" t="n">
        <f aca="false">IFERROR(COUNTIF(기능명세서!H:H,F46),0)</f>
        <v>0</v>
      </c>
    </row>
    <row r="47" customFormat="false" ht="15" hidden="false" customHeight="true" outlineLevel="0" collapsed="false">
      <c r="K47" s="8" t="str">
        <f aca="false">IFERROR(VLOOKUP(F47,'IA(정보구조)'!D:E,2,FALSE()),"")</f>
        <v/>
      </c>
      <c r="L47" s="9" t="n">
        <f aca="false">IFERROR(COUNTIF(기능명세서!H:H,F47),0)</f>
        <v>0</v>
      </c>
    </row>
    <row r="48" customFormat="false" ht="15" hidden="false" customHeight="true" outlineLevel="0" collapsed="false">
      <c r="K48" s="8" t="str">
        <f aca="false">IFERROR(VLOOKUP(F48,'IA(정보구조)'!D:E,2,FALSE()),"")</f>
        <v/>
      </c>
      <c r="L48" s="9" t="n">
        <f aca="false">IFERROR(COUNTIF(기능명세서!H:H,F48),0)</f>
        <v>0</v>
      </c>
    </row>
    <row r="49" customFormat="false" ht="15" hidden="false" customHeight="true" outlineLevel="0" collapsed="false">
      <c r="K49" s="8" t="str">
        <f aca="false">IFERROR(VLOOKUP(F49,'IA(정보구조)'!D:E,2,FALSE()),"")</f>
        <v/>
      </c>
      <c r="L49" s="9" t="n">
        <f aca="false">IFERROR(COUNTIF(기능명세서!H:H,F49),0)</f>
        <v>0</v>
      </c>
    </row>
    <row r="50" customFormat="false" ht="15" hidden="false" customHeight="true" outlineLevel="0" collapsed="false">
      <c r="K50" s="8" t="str">
        <f aca="false">IFERROR(VLOOKUP(F50,'IA(정보구조)'!D:E,2,FALSE()),"")</f>
        <v/>
      </c>
      <c r="L50" s="9" t="n">
        <f aca="false">IFERROR(COUNTIF(기능명세서!H:H,F50),0)</f>
        <v>0</v>
      </c>
    </row>
    <row r="51" customFormat="false" ht="15" hidden="false" customHeight="true" outlineLevel="0" collapsed="false">
      <c r="K51" s="8" t="str">
        <f aca="false">IFERROR(VLOOKUP(F51,'IA(정보구조)'!D:E,2,FALSE()),"")</f>
        <v/>
      </c>
      <c r="L51" s="9" t="n">
        <f aca="false">IFERROR(COUNTIF(기능명세서!H:H,F51),0)</f>
        <v>0</v>
      </c>
    </row>
    <row r="52" customFormat="false" ht="15" hidden="false" customHeight="true" outlineLevel="0" collapsed="false">
      <c r="K52" s="8" t="str">
        <f aca="false">IFERROR(VLOOKUP(F52,'IA(정보구조)'!D:E,2,FALSE()),"")</f>
        <v/>
      </c>
      <c r="L52" s="9" t="n">
        <f aca="false">IFERROR(COUNTIF(기능명세서!H:H,F52),0)</f>
        <v>0</v>
      </c>
    </row>
    <row r="53" customFormat="false" ht="15" hidden="false" customHeight="true" outlineLevel="0" collapsed="false">
      <c r="K53" s="8" t="str">
        <f aca="false">IFERROR(VLOOKUP(F53,'IA(정보구조)'!D:E,2,FALSE()),"")</f>
        <v/>
      </c>
      <c r="L53" s="9" t="n">
        <f aca="false">IFERROR(COUNTIF(기능명세서!H:H,F53),0)</f>
        <v>0</v>
      </c>
    </row>
    <row r="54" customFormat="false" ht="15" hidden="false" customHeight="true" outlineLevel="0" collapsed="false">
      <c r="K54" s="8" t="str">
        <f aca="false">IFERROR(VLOOKUP(F54,'IA(정보구조)'!D:E,2,FALSE()),"")</f>
        <v/>
      </c>
      <c r="L54" s="9" t="n">
        <f aca="false">IFERROR(COUNTIF(기능명세서!H:H,F54),0)</f>
        <v>0</v>
      </c>
    </row>
    <row r="55" customFormat="false" ht="15" hidden="false" customHeight="true" outlineLevel="0" collapsed="false">
      <c r="K55" s="8" t="str">
        <f aca="false">IFERROR(VLOOKUP(F55,'IA(정보구조)'!D:E,2,FALSE()),"")</f>
        <v/>
      </c>
      <c r="L55" s="9" t="n">
        <f aca="false">IFERROR(COUNTIF(기능명세서!H:H,F55),0)</f>
        <v>0</v>
      </c>
    </row>
    <row r="56" customFormat="false" ht="15" hidden="false" customHeight="true" outlineLevel="0" collapsed="false">
      <c r="K56" s="8" t="str">
        <f aca="false">IFERROR(VLOOKUP(F56,'IA(정보구조)'!D:E,2,FALSE()),"")</f>
        <v/>
      </c>
      <c r="L56" s="9" t="n">
        <f aca="false">IFERROR(COUNTIF(기능명세서!H:H,F56),0)</f>
        <v>0</v>
      </c>
    </row>
    <row r="57" customFormat="false" ht="15" hidden="false" customHeight="true" outlineLevel="0" collapsed="false">
      <c r="K57" s="8" t="str">
        <f aca="false">IFERROR(VLOOKUP(F57,'IA(정보구조)'!D:E,2,FALSE()),"")</f>
        <v/>
      </c>
      <c r="L57" s="9" t="n">
        <f aca="false">IFERROR(COUNTIF(기능명세서!H:H,F57),0)</f>
        <v>0</v>
      </c>
    </row>
    <row r="58" customFormat="false" ht="15" hidden="false" customHeight="true" outlineLevel="0" collapsed="false">
      <c r="K58" s="8" t="str">
        <f aca="false">IFERROR(VLOOKUP(F58,'IA(정보구조)'!D:E,2,FALSE()),"")</f>
        <v/>
      </c>
      <c r="L58" s="9" t="n">
        <f aca="false">IFERROR(COUNTIF(기능명세서!H:H,F58),0)</f>
        <v>0</v>
      </c>
    </row>
    <row r="59" customFormat="false" ht="15" hidden="false" customHeight="true" outlineLevel="0" collapsed="false">
      <c r="K59" s="8" t="str">
        <f aca="false">IFERROR(VLOOKUP(F59,'IA(정보구조)'!D:E,2,FALSE()),"")</f>
        <v/>
      </c>
      <c r="L59" s="9" t="n">
        <f aca="false">IFERROR(COUNTIF(기능명세서!H:H,F59),0)</f>
        <v>0</v>
      </c>
    </row>
    <row r="60" customFormat="false" ht="15" hidden="false" customHeight="true" outlineLevel="0" collapsed="false">
      <c r="K60" s="8" t="str">
        <f aca="false">IFERROR(VLOOKUP(F60,'IA(정보구조)'!D:E,2,FALSE()),"")</f>
        <v/>
      </c>
      <c r="L60" s="9" t="n">
        <f aca="false">IFERROR(COUNTIF(기능명세서!H:H,F60),0)</f>
        <v>0</v>
      </c>
    </row>
    <row r="61" customFormat="false" ht="15" hidden="false" customHeight="true" outlineLevel="0" collapsed="false">
      <c r="K61" s="8" t="str">
        <f aca="false">IFERROR(VLOOKUP(F61,'IA(정보구조)'!D:E,2,FALSE()),"")</f>
        <v/>
      </c>
      <c r="L61" s="9" t="n">
        <f aca="false">IFERROR(COUNTIF(기능명세서!H:H,F61),0)</f>
        <v>0</v>
      </c>
    </row>
    <row r="62" customFormat="false" ht="15" hidden="false" customHeight="true" outlineLevel="0" collapsed="false">
      <c r="K62" s="8" t="str">
        <f aca="false">IFERROR(VLOOKUP(F62,'IA(정보구조)'!D:E,2,FALSE()),"")</f>
        <v/>
      </c>
      <c r="L62" s="9" t="n">
        <f aca="false">IFERROR(COUNTIF(기능명세서!H:H,F62),0)</f>
        <v>0</v>
      </c>
    </row>
    <row r="63" customFormat="false" ht="15" hidden="false" customHeight="true" outlineLevel="0" collapsed="false">
      <c r="K63" s="8" t="str">
        <f aca="false">IFERROR(VLOOKUP(F63,'IA(정보구조)'!D:E,2,FALSE()),"")</f>
        <v/>
      </c>
      <c r="L63" s="9" t="n">
        <f aca="false">IFERROR(COUNTIF(기능명세서!H:H,F63),0)</f>
        <v>0</v>
      </c>
    </row>
    <row r="64" customFormat="false" ht="15" hidden="false" customHeight="true" outlineLevel="0" collapsed="false">
      <c r="K64" s="8" t="str">
        <f aca="false">IFERROR(VLOOKUP(F64,'IA(정보구조)'!D:E,2,FALSE()),"")</f>
        <v/>
      </c>
      <c r="L64" s="9" t="n">
        <f aca="false">IFERROR(COUNTIF(기능명세서!H:H,F64),0)</f>
        <v>0</v>
      </c>
    </row>
    <row r="65" customFormat="false" ht="15" hidden="false" customHeight="true" outlineLevel="0" collapsed="false">
      <c r="K65" s="8" t="str">
        <f aca="false">IFERROR(VLOOKUP(F65,'IA(정보구조)'!D:E,2,FALSE()),"")</f>
        <v/>
      </c>
      <c r="L65" s="9" t="n">
        <f aca="false">IFERROR(COUNTIF(기능명세서!H:H,F65),0)</f>
        <v>0</v>
      </c>
    </row>
    <row r="66" customFormat="false" ht="15" hidden="false" customHeight="true" outlineLevel="0" collapsed="false">
      <c r="K66" s="8" t="str">
        <f aca="false">IFERROR(VLOOKUP(F66,'IA(정보구조)'!D:E,2,FALSE()),"")</f>
        <v/>
      </c>
      <c r="L66" s="9" t="n">
        <f aca="false">IFERROR(COUNTIF(기능명세서!H:H,F66),0)</f>
        <v>0</v>
      </c>
    </row>
    <row r="67" customFormat="false" ht="15" hidden="false" customHeight="true" outlineLevel="0" collapsed="false">
      <c r="K67" s="8" t="str">
        <f aca="false">IFERROR(VLOOKUP(F67,'IA(정보구조)'!D:E,2,FALSE()),"")</f>
        <v/>
      </c>
      <c r="L67" s="9" t="n">
        <f aca="false">IFERROR(COUNTIF(기능명세서!H:H,F67),0)</f>
        <v>0</v>
      </c>
    </row>
    <row r="68" customFormat="false" ht="15" hidden="false" customHeight="true" outlineLevel="0" collapsed="false">
      <c r="K68" s="8" t="str">
        <f aca="false">IFERROR(VLOOKUP(F68,'IA(정보구조)'!D:E,2,FALSE()),"")</f>
        <v/>
      </c>
      <c r="L68" s="9" t="n">
        <f aca="false">IFERROR(COUNTIF(기능명세서!H:H,F68),0)</f>
        <v>0</v>
      </c>
    </row>
    <row r="69" customFormat="false" ht="15" hidden="false" customHeight="true" outlineLevel="0" collapsed="false">
      <c r="K69" s="8" t="str">
        <f aca="false">IFERROR(VLOOKUP(F69,'IA(정보구조)'!D:E,2,FALSE()),"")</f>
        <v/>
      </c>
      <c r="L69" s="9" t="n">
        <f aca="false">IFERROR(COUNTIF(기능명세서!H:H,F69),0)</f>
        <v>0</v>
      </c>
    </row>
    <row r="70" customFormat="false" ht="15" hidden="false" customHeight="true" outlineLevel="0" collapsed="false">
      <c r="K70" s="8" t="str">
        <f aca="false">IFERROR(VLOOKUP(F70,'IA(정보구조)'!D:E,2,FALSE()),"")</f>
        <v/>
      </c>
      <c r="L70" s="9" t="n">
        <f aca="false">IFERROR(COUNTIF(기능명세서!H:H,F70),0)</f>
        <v>0</v>
      </c>
    </row>
    <row r="71" customFormat="false" ht="15" hidden="false" customHeight="true" outlineLevel="0" collapsed="false">
      <c r="K71" s="8" t="str">
        <f aca="false">IFERROR(VLOOKUP(F71,'IA(정보구조)'!D:E,2,FALSE()),"")</f>
        <v/>
      </c>
      <c r="L71" s="9" t="n">
        <f aca="false">IFERROR(COUNTIF(기능명세서!H:H,F71),0)</f>
        <v>0</v>
      </c>
    </row>
    <row r="72" customFormat="false" ht="15" hidden="false" customHeight="true" outlineLevel="0" collapsed="false">
      <c r="K72" s="8" t="str">
        <f aca="false">IFERROR(VLOOKUP(F72,'IA(정보구조)'!D:E,2,FALSE()),"")</f>
        <v/>
      </c>
      <c r="L72" s="9" t="n">
        <f aca="false">IFERROR(COUNTIF(기능명세서!H:H,F72),0)</f>
        <v>0</v>
      </c>
    </row>
    <row r="73" customFormat="false" ht="15" hidden="false" customHeight="true" outlineLevel="0" collapsed="false">
      <c r="K73" s="8" t="str">
        <f aca="false">IFERROR(VLOOKUP(F73,'IA(정보구조)'!D:E,2,FALSE()),"")</f>
        <v/>
      </c>
      <c r="L73" s="9" t="n">
        <f aca="false">IFERROR(COUNTIF(기능명세서!H:H,F73),0)</f>
        <v>0</v>
      </c>
    </row>
    <row r="74" customFormat="false" ht="15" hidden="false" customHeight="true" outlineLevel="0" collapsed="false">
      <c r="K74" s="8" t="str">
        <f aca="false">IFERROR(VLOOKUP(F74,'IA(정보구조)'!D:E,2,FALSE()),"")</f>
        <v/>
      </c>
      <c r="L74" s="9" t="n">
        <f aca="false">IFERROR(COUNTIF(기능명세서!H:H,F74),0)</f>
        <v>0</v>
      </c>
    </row>
    <row r="75" customFormat="false" ht="15" hidden="false" customHeight="true" outlineLevel="0" collapsed="false">
      <c r="K75" s="8" t="str">
        <f aca="false">IFERROR(VLOOKUP(F75,'IA(정보구조)'!D:E,2,FALSE()),"")</f>
        <v/>
      </c>
      <c r="L75" s="9" t="n">
        <f aca="false">IFERROR(COUNTIF(기능명세서!H:H,F75),0)</f>
        <v>0</v>
      </c>
    </row>
    <row r="76" customFormat="false" ht="15" hidden="false" customHeight="true" outlineLevel="0" collapsed="false">
      <c r="K76" s="8" t="str">
        <f aca="false">IFERROR(VLOOKUP(F76,'IA(정보구조)'!D:E,2,FALSE()),"")</f>
        <v/>
      </c>
      <c r="L76" s="9" t="n">
        <f aca="false">IFERROR(COUNTIF(기능명세서!H:H,F76),0)</f>
        <v>0</v>
      </c>
    </row>
    <row r="77" customFormat="false" ht="15" hidden="false" customHeight="true" outlineLevel="0" collapsed="false">
      <c r="K77" s="8" t="str">
        <f aca="false">IFERROR(VLOOKUP(F77,'IA(정보구조)'!D:E,2,FALSE()),"")</f>
        <v/>
      </c>
      <c r="L77" s="9" t="n">
        <f aca="false">IFERROR(COUNTIF(기능명세서!H:H,F77),0)</f>
        <v>0</v>
      </c>
    </row>
    <row r="78" customFormat="false" ht="15" hidden="false" customHeight="true" outlineLevel="0" collapsed="false">
      <c r="K78" s="8" t="str">
        <f aca="false">IFERROR(VLOOKUP(F78,'IA(정보구조)'!D:E,2,FALSE()),"")</f>
        <v/>
      </c>
      <c r="L78" s="9" t="n">
        <f aca="false">IFERROR(COUNTIF(기능명세서!H:H,F78),0)</f>
        <v>0</v>
      </c>
    </row>
    <row r="79" customFormat="false" ht="15" hidden="false" customHeight="true" outlineLevel="0" collapsed="false">
      <c r="K79" s="8" t="str">
        <f aca="false">IFERROR(VLOOKUP(F79,'IA(정보구조)'!D:E,2,FALSE()),"")</f>
        <v/>
      </c>
      <c r="L79" s="9" t="n">
        <f aca="false">IFERROR(COUNTIF(기능명세서!H:H,F79),0)</f>
        <v>0</v>
      </c>
    </row>
    <row r="80" customFormat="false" ht="15" hidden="false" customHeight="true" outlineLevel="0" collapsed="false">
      <c r="K80" s="8" t="str">
        <f aca="false">IFERROR(VLOOKUP(F80,'IA(정보구조)'!D:E,2,FALSE()),"")</f>
        <v/>
      </c>
      <c r="L80" s="9" t="n">
        <f aca="false">IFERROR(COUNTIF(기능명세서!H:H,F80),0)</f>
        <v>0</v>
      </c>
    </row>
    <row r="81" customFormat="false" ht="15" hidden="false" customHeight="true" outlineLevel="0" collapsed="false">
      <c r="K81" s="8" t="str">
        <f aca="false">IFERROR(VLOOKUP(F81,'IA(정보구조)'!D:E,2,FALSE()),"")</f>
        <v/>
      </c>
      <c r="L81" s="9" t="n">
        <f aca="false">IFERROR(COUNTIF(기능명세서!H:H,F81),0)</f>
        <v>0</v>
      </c>
    </row>
    <row r="82" customFormat="false" ht="15" hidden="false" customHeight="true" outlineLevel="0" collapsed="false">
      <c r="K82" s="8" t="str">
        <f aca="false">IFERROR(VLOOKUP(F82,'IA(정보구조)'!D:E,2,FALSE()),"")</f>
        <v/>
      </c>
      <c r="L82" s="9" t="n">
        <f aca="false">IFERROR(COUNTIF(기능명세서!H:H,F82),0)</f>
        <v>0</v>
      </c>
    </row>
    <row r="83" customFormat="false" ht="15" hidden="false" customHeight="true" outlineLevel="0" collapsed="false">
      <c r="K83" s="8" t="str">
        <f aca="false">IFERROR(VLOOKUP(F83,'IA(정보구조)'!D:E,2,FALSE()),"")</f>
        <v/>
      </c>
      <c r="L83" s="9" t="n">
        <f aca="false">IFERROR(COUNTIF(기능명세서!H:H,F83),0)</f>
        <v>0</v>
      </c>
    </row>
    <row r="84" customFormat="false" ht="15" hidden="false" customHeight="true" outlineLevel="0" collapsed="false">
      <c r="K84" s="8" t="str">
        <f aca="false">IFERROR(VLOOKUP(F84,'IA(정보구조)'!D:E,2,FALSE()),"")</f>
        <v/>
      </c>
      <c r="L84" s="9" t="n">
        <f aca="false">IFERROR(COUNTIF(기능명세서!H:H,F84),0)</f>
        <v>0</v>
      </c>
    </row>
    <row r="85" customFormat="false" ht="15" hidden="false" customHeight="true" outlineLevel="0" collapsed="false">
      <c r="K85" s="8" t="str">
        <f aca="false">IFERROR(VLOOKUP(F85,'IA(정보구조)'!D:E,2,FALSE()),"")</f>
        <v/>
      </c>
      <c r="L85" s="9" t="n">
        <f aca="false">IFERROR(COUNTIF(기능명세서!H:H,F85),0)</f>
        <v>0</v>
      </c>
    </row>
    <row r="86" customFormat="false" ht="15" hidden="false" customHeight="true" outlineLevel="0" collapsed="false">
      <c r="K86" s="8" t="str">
        <f aca="false">IFERROR(VLOOKUP(F86,'IA(정보구조)'!D:E,2,FALSE()),"")</f>
        <v/>
      </c>
      <c r="L86" s="9" t="n">
        <f aca="false">IFERROR(COUNTIF(기능명세서!H:H,F86),0)</f>
        <v>0</v>
      </c>
    </row>
    <row r="87" customFormat="false" ht="15" hidden="false" customHeight="true" outlineLevel="0" collapsed="false">
      <c r="K87" s="8" t="str">
        <f aca="false">IFERROR(VLOOKUP(F87,'IA(정보구조)'!D:E,2,FALSE()),"")</f>
        <v/>
      </c>
      <c r="L87" s="9" t="n">
        <f aca="false">IFERROR(COUNTIF(기능명세서!H:H,F87),0)</f>
        <v>0</v>
      </c>
    </row>
    <row r="88" customFormat="false" ht="15" hidden="false" customHeight="true" outlineLevel="0" collapsed="false">
      <c r="K88" s="8" t="str">
        <f aca="false">IFERROR(VLOOKUP(F88,'IA(정보구조)'!D:E,2,FALSE()),"")</f>
        <v/>
      </c>
      <c r="L88" s="9" t="n">
        <f aca="false">IFERROR(COUNTIF(기능명세서!H:H,F88),0)</f>
        <v>0</v>
      </c>
    </row>
    <row r="89" customFormat="false" ht="15" hidden="false" customHeight="true" outlineLevel="0" collapsed="false">
      <c r="K89" s="8" t="str">
        <f aca="false">IFERROR(VLOOKUP(F89,'IA(정보구조)'!D:E,2,FALSE()),"")</f>
        <v/>
      </c>
      <c r="L89" s="9" t="n">
        <f aca="false">IFERROR(COUNTIF(기능명세서!H:H,F89),0)</f>
        <v>0</v>
      </c>
    </row>
    <row r="90" customFormat="false" ht="15" hidden="false" customHeight="true" outlineLevel="0" collapsed="false">
      <c r="K90" s="8" t="str">
        <f aca="false">IFERROR(VLOOKUP(F90,'IA(정보구조)'!D:E,2,FALSE()),"")</f>
        <v/>
      </c>
      <c r="L90" s="9" t="n">
        <f aca="false">IFERROR(COUNTIF(기능명세서!H:H,F90),0)</f>
        <v>0</v>
      </c>
    </row>
    <row r="91" customFormat="false" ht="15" hidden="false" customHeight="true" outlineLevel="0" collapsed="false">
      <c r="K91" s="8" t="str">
        <f aca="false">IFERROR(VLOOKUP(F91,'IA(정보구조)'!D:E,2,FALSE()),"")</f>
        <v/>
      </c>
      <c r="L91" s="9" t="n">
        <f aca="false">IFERROR(COUNTIF(기능명세서!H:H,F91),0)</f>
        <v>0</v>
      </c>
    </row>
    <row r="92" customFormat="false" ht="15" hidden="false" customHeight="true" outlineLevel="0" collapsed="false">
      <c r="K92" s="8" t="str">
        <f aca="false">IFERROR(VLOOKUP(F92,'IA(정보구조)'!D:E,2,FALSE()),"")</f>
        <v/>
      </c>
      <c r="L92" s="9" t="n">
        <f aca="false">IFERROR(COUNTIF(기능명세서!H:H,F92),0)</f>
        <v>0</v>
      </c>
    </row>
    <row r="93" customFormat="false" ht="15" hidden="false" customHeight="true" outlineLevel="0" collapsed="false">
      <c r="K93" s="8" t="str">
        <f aca="false">IFERROR(VLOOKUP(F93,'IA(정보구조)'!D:E,2,FALSE()),"")</f>
        <v/>
      </c>
      <c r="L93" s="9" t="n">
        <f aca="false">IFERROR(COUNTIF(기능명세서!H:H,F93),0)</f>
        <v>0</v>
      </c>
    </row>
    <row r="94" customFormat="false" ht="15" hidden="false" customHeight="true" outlineLevel="0" collapsed="false">
      <c r="K94" s="8" t="str">
        <f aca="false">IFERROR(VLOOKUP(F94,'IA(정보구조)'!D:E,2,FALSE()),"")</f>
        <v/>
      </c>
      <c r="L94" s="9" t="n">
        <f aca="false">IFERROR(COUNTIF(기능명세서!H:H,F94),0)</f>
        <v>0</v>
      </c>
    </row>
    <row r="95" customFormat="false" ht="15" hidden="false" customHeight="true" outlineLevel="0" collapsed="false">
      <c r="K95" s="8" t="str">
        <f aca="false">IFERROR(VLOOKUP(F95,'IA(정보구조)'!D:E,2,FALSE()),"")</f>
        <v/>
      </c>
      <c r="L95" s="9" t="n">
        <f aca="false">IFERROR(COUNTIF(기능명세서!H:H,F95),0)</f>
        <v>0</v>
      </c>
    </row>
    <row r="96" customFormat="false" ht="15" hidden="false" customHeight="true" outlineLevel="0" collapsed="false">
      <c r="K96" s="8" t="str">
        <f aca="false">IFERROR(VLOOKUP(F96,'IA(정보구조)'!D:E,2,FALSE()),"")</f>
        <v/>
      </c>
      <c r="L96" s="9" t="n">
        <f aca="false">IFERROR(COUNTIF(기능명세서!H:H,F96),0)</f>
        <v>0</v>
      </c>
    </row>
    <row r="97" customFormat="false" ht="15" hidden="false" customHeight="true" outlineLevel="0" collapsed="false">
      <c r="K97" s="8" t="str">
        <f aca="false">IFERROR(VLOOKUP(F97,'IA(정보구조)'!D:E,2,FALSE()),"")</f>
        <v/>
      </c>
      <c r="L97" s="9" t="n">
        <f aca="false">IFERROR(COUNTIF(기능명세서!H:H,F97),0)</f>
        <v>0</v>
      </c>
    </row>
    <row r="98" customFormat="false" ht="15" hidden="false" customHeight="true" outlineLevel="0" collapsed="false">
      <c r="K98" s="8" t="str">
        <f aca="false">IFERROR(VLOOKUP(F98,'IA(정보구조)'!D:E,2,FALSE()),"")</f>
        <v/>
      </c>
      <c r="L98" s="9" t="n">
        <f aca="false">IFERROR(COUNTIF(기능명세서!H:H,F98),0)</f>
        <v>0</v>
      </c>
    </row>
    <row r="99" customFormat="false" ht="15" hidden="false" customHeight="true" outlineLevel="0" collapsed="false">
      <c r="K99" s="8" t="str">
        <f aca="false">IFERROR(VLOOKUP(F99,'IA(정보구조)'!D:E,2,FALSE()),"")</f>
        <v/>
      </c>
      <c r="L99" s="9" t="n">
        <f aca="false">IFERROR(COUNTIF(기능명세서!H:H,F99),0)</f>
        <v>0</v>
      </c>
    </row>
    <row r="100" customFormat="false" ht="15" hidden="false" customHeight="true" outlineLevel="0" collapsed="false">
      <c r="K100" s="8" t="str">
        <f aca="false">IFERROR(VLOOKUP(F100,'IA(정보구조)'!D:E,2,FALSE()),"")</f>
        <v/>
      </c>
      <c r="L100" s="9" t="n">
        <f aca="false">IFERROR(COUNTIF(기능명세서!H:H,F100),0)</f>
        <v>0</v>
      </c>
    </row>
    <row r="101" customFormat="false" ht="15" hidden="false" customHeight="true" outlineLevel="0" collapsed="false">
      <c r="K101" s="8" t="str">
        <f aca="false">IFERROR(VLOOKUP(F101,'IA(정보구조)'!D:E,2,FALSE()),"")</f>
        <v/>
      </c>
      <c r="L101" s="9" t="n">
        <f aca="false">IFERROR(COUNTIF(기능명세서!H:H,F101),0)</f>
        <v>0</v>
      </c>
    </row>
    <row r="102" customFormat="false" ht="15" hidden="false" customHeight="true" outlineLevel="0" collapsed="false">
      <c r="K102" s="8" t="str">
        <f aca="false">IFERROR(VLOOKUP(F102,'IA(정보구조)'!D:E,2,FALSE()),"")</f>
        <v/>
      </c>
      <c r="L102" s="9" t="n">
        <f aca="false">IFERROR(COUNTIF(기능명세서!H:H,F102),0)</f>
        <v>0</v>
      </c>
    </row>
    <row r="103" customFormat="false" ht="15" hidden="false" customHeight="true" outlineLevel="0" collapsed="false">
      <c r="K103" s="8" t="str">
        <f aca="false">IFERROR(VLOOKUP(F103,'IA(정보구조)'!D:E,2,FALSE()),"")</f>
        <v/>
      </c>
      <c r="L103" s="9" t="n">
        <f aca="false">IFERROR(COUNTIF(기능명세서!H:H,F103),0)</f>
        <v>0</v>
      </c>
    </row>
    <row r="104" customFormat="false" ht="15" hidden="false" customHeight="true" outlineLevel="0" collapsed="false">
      <c r="K104" s="8" t="str">
        <f aca="false">IFERROR(VLOOKUP(F104,'IA(정보구조)'!D:E,2,FALSE()),"")</f>
        <v/>
      </c>
      <c r="L104" s="9" t="n">
        <f aca="false">IFERROR(COUNTIF(기능명세서!H:H,F104),0)</f>
        <v>0</v>
      </c>
    </row>
    <row r="105" customFormat="false" ht="15" hidden="false" customHeight="true" outlineLevel="0" collapsed="false">
      <c r="K105" s="8" t="str">
        <f aca="false">IFERROR(VLOOKUP(F105,'IA(정보구조)'!D:E,2,FALSE()),"")</f>
        <v/>
      </c>
      <c r="L105" s="9" t="n">
        <f aca="false">IFERROR(COUNTIF(기능명세서!H:H,F105),0)</f>
        <v>0</v>
      </c>
    </row>
    <row r="106" customFormat="false" ht="15" hidden="false" customHeight="true" outlineLevel="0" collapsed="false">
      <c r="K106" s="8" t="str">
        <f aca="false">IFERROR(VLOOKUP(F106,'IA(정보구조)'!D:E,2,FALSE()),"")</f>
        <v/>
      </c>
      <c r="L106" s="9" t="n">
        <f aca="false">IFERROR(COUNTIF(기능명세서!H:H,F106),0)</f>
        <v>0</v>
      </c>
    </row>
    <row r="107" customFormat="false" ht="15" hidden="false" customHeight="true" outlineLevel="0" collapsed="false">
      <c r="K107" s="8" t="str">
        <f aca="false">IFERROR(VLOOKUP(F107,'IA(정보구조)'!D:E,2,FALSE()),"")</f>
        <v/>
      </c>
      <c r="L107" s="9" t="n">
        <f aca="false">IFERROR(COUNTIF(기능명세서!H:H,F107),0)</f>
        <v>0</v>
      </c>
    </row>
    <row r="108" customFormat="false" ht="15" hidden="false" customHeight="true" outlineLevel="0" collapsed="false">
      <c r="K108" s="8" t="str">
        <f aca="false">IFERROR(VLOOKUP(F108,'IA(정보구조)'!D:E,2,FALSE()),"")</f>
        <v/>
      </c>
      <c r="L108" s="9" t="n">
        <f aca="false">IFERROR(COUNTIF(기능명세서!H:H,F108),0)</f>
        <v>0</v>
      </c>
    </row>
    <row r="109" customFormat="false" ht="15" hidden="false" customHeight="true" outlineLevel="0" collapsed="false">
      <c r="K109" s="8" t="str">
        <f aca="false">IFERROR(VLOOKUP(F109,'IA(정보구조)'!D:E,2,FALSE()),"")</f>
        <v/>
      </c>
      <c r="L109" s="9" t="n">
        <f aca="false">IFERROR(COUNTIF(기능명세서!H:H,F109),0)</f>
        <v>0</v>
      </c>
    </row>
    <row r="110" customFormat="false" ht="15" hidden="false" customHeight="true" outlineLevel="0" collapsed="false">
      <c r="K110" s="8" t="str">
        <f aca="false">IFERROR(VLOOKUP(F110,'IA(정보구조)'!D:E,2,FALSE()),"")</f>
        <v/>
      </c>
      <c r="L110" s="9" t="n">
        <f aca="false">IFERROR(COUNTIF(기능명세서!H:H,F110),0)</f>
        <v>0</v>
      </c>
    </row>
    <row r="111" customFormat="false" ht="15" hidden="false" customHeight="true" outlineLevel="0" collapsed="false">
      <c r="K111" s="8" t="str">
        <f aca="false">IFERROR(VLOOKUP(F111,'IA(정보구조)'!D:E,2,FALSE()),"")</f>
        <v/>
      </c>
      <c r="L111" s="9" t="n">
        <f aca="false">IFERROR(COUNTIF(기능명세서!H:H,F111),0)</f>
        <v>0</v>
      </c>
    </row>
    <row r="112" customFormat="false" ht="15" hidden="false" customHeight="true" outlineLevel="0" collapsed="false">
      <c r="K112" s="8" t="str">
        <f aca="false">IFERROR(VLOOKUP(F112,'IA(정보구조)'!D:E,2,FALSE()),"")</f>
        <v/>
      </c>
      <c r="L112" s="9" t="n">
        <f aca="false">IFERROR(COUNTIF(기능명세서!H:H,F112),0)</f>
        <v>0</v>
      </c>
    </row>
    <row r="113" customFormat="false" ht="15" hidden="false" customHeight="true" outlineLevel="0" collapsed="false">
      <c r="K113" s="8" t="str">
        <f aca="false">IFERROR(VLOOKUP(F113,'IA(정보구조)'!D:E,2,FALSE()),"")</f>
        <v/>
      </c>
      <c r="L113" s="9" t="n">
        <f aca="false">IFERROR(COUNTIF(기능명세서!H:H,F113),0)</f>
        <v>0</v>
      </c>
    </row>
    <row r="114" customFormat="false" ht="15" hidden="false" customHeight="true" outlineLevel="0" collapsed="false">
      <c r="K114" s="8" t="str">
        <f aca="false">IFERROR(VLOOKUP(F114,'IA(정보구조)'!D:E,2,FALSE()),"")</f>
        <v/>
      </c>
      <c r="L114" s="9" t="n">
        <f aca="false">IFERROR(COUNTIF(기능명세서!H:H,F114),0)</f>
        <v>0</v>
      </c>
    </row>
    <row r="115" customFormat="false" ht="15" hidden="false" customHeight="true" outlineLevel="0" collapsed="false">
      <c r="K115" s="8" t="str">
        <f aca="false">IFERROR(VLOOKUP(F115,'IA(정보구조)'!D:E,2,FALSE()),"")</f>
        <v/>
      </c>
      <c r="L115" s="9" t="n">
        <f aca="false">IFERROR(COUNTIF(기능명세서!H:H,F115),0)</f>
        <v>0</v>
      </c>
    </row>
    <row r="116" customFormat="false" ht="15" hidden="false" customHeight="true" outlineLevel="0" collapsed="false">
      <c r="K116" s="8" t="str">
        <f aca="false">IFERROR(VLOOKUP(F116,'IA(정보구조)'!D:E,2,FALSE()),"")</f>
        <v/>
      </c>
      <c r="L116" s="9" t="n">
        <f aca="false">IFERROR(COUNTIF(기능명세서!H:H,F116),0)</f>
        <v>0</v>
      </c>
    </row>
    <row r="117" customFormat="false" ht="15" hidden="false" customHeight="true" outlineLevel="0" collapsed="false">
      <c r="K117" s="8" t="str">
        <f aca="false">IFERROR(VLOOKUP(F117,'IA(정보구조)'!D:E,2,FALSE()),"")</f>
        <v/>
      </c>
      <c r="L117" s="9" t="n">
        <f aca="false">IFERROR(COUNTIF(기능명세서!H:H,F117),0)</f>
        <v>0</v>
      </c>
    </row>
    <row r="118" customFormat="false" ht="15" hidden="false" customHeight="true" outlineLevel="0" collapsed="false">
      <c r="K118" s="8" t="str">
        <f aca="false">IFERROR(VLOOKUP(F118,'IA(정보구조)'!D:E,2,FALSE()),"")</f>
        <v/>
      </c>
      <c r="L118" s="9" t="n">
        <f aca="false">IFERROR(COUNTIF(기능명세서!H:H,F118),0)</f>
        <v>0</v>
      </c>
    </row>
    <row r="119" customFormat="false" ht="15" hidden="false" customHeight="true" outlineLevel="0" collapsed="false">
      <c r="K119" s="8" t="str">
        <f aca="false">IFERROR(VLOOKUP(F119,'IA(정보구조)'!D:E,2,FALSE()),"")</f>
        <v/>
      </c>
      <c r="L119" s="9" t="n">
        <f aca="false">IFERROR(COUNTIF(기능명세서!H:H,F119),0)</f>
        <v>0</v>
      </c>
    </row>
    <row r="120" customFormat="false" ht="15" hidden="false" customHeight="true" outlineLevel="0" collapsed="false">
      <c r="K120" s="8" t="str">
        <f aca="false">IFERROR(VLOOKUP(F120,'IA(정보구조)'!D:E,2,FALSE()),"")</f>
        <v/>
      </c>
      <c r="L120" s="9" t="n">
        <f aca="false">IFERROR(COUNTIF(기능명세서!H:H,F120),0)</f>
        <v>0</v>
      </c>
    </row>
    <row r="121" customFormat="false" ht="15" hidden="false" customHeight="true" outlineLevel="0" collapsed="false">
      <c r="K121" s="8" t="str">
        <f aca="false">IFERROR(VLOOKUP(F121,'IA(정보구조)'!D:E,2,FALSE()),"")</f>
        <v/>
      </c>
      <c r="L121" s="9" t="n">
        <f aca="false">IFERROR(COUNTIF(기능명세서!H:H,F121),0)</f>
        <v>0</v>
      </c>
    </row>
    <row r="122" customFormat="false" ht="15" hidden="false" customHeight="true" outlineLevel="0" collapsed="false">
      <c r="K122" s="8" t="str">
        <f aca="false">IFERROR(VLOOKUP(F122,'IA(정보구조)'!D:E,2,FALSE()),"")</f>
        <v/>
      </c>
      <c r="L122" s="9" t="n">
        <f aca="false">IFERROR(COUNTIF(기능명세서!H:H,F122),0)</f>
        <v>0</v>
      </c>
    </row>
    <row r="123" customFormat="false" ht="15" hidden="false" customHeight="true" outlineLevel="0" collapsed="false">
      <c r="K123" s="8" t="str">
        <f aca="false">IFERROR(VLOOKUP(F123,'IA(정보구조)'!D:E,2,FALSE()),"")</f>
        <v/>
      </c>
      <c r="L123" s="9" t="n">
        <f aca="false">IFERROR(COUNTIF(기능명세서!H:H,F123),0)</f>
        <v>0</v>
      </c>
    </row>
    <row r="124" customFormat="false" ht="15" hidden="false" customHeight="true" outlineLevel="0" collapsed="false">
      <c r="K124" s="8" t="str">
        <f aca="false">IFERROR(VLOOKUP(F124,'IA(정보구조)'!D:E,2,FALSE()),"")</f>
        <v/>
      </c>
      <c r="L124" s="9" t="n">
        <f aca="false">IFERROR(COUNTIF(기능명세서!H:H,F124),0)</f>
        <v>0</v>
      </c>
    </row>
    <row r="125" customFormat="false" ht="15" hidden="false" customHeight="true" outlineLevel="0" collapsed="false">
      <c r="K125" s="8" t="str">
        <f aca="false">IFERROR(VLOOKUP(F125,'IA(정보구조)'!D:E,2,FALSE()),"")</f>
        <v/>
      </c>
      <c r="L125" s="9" t="n">
        <f aca="false">IFERROR(COUNTIF(기능명세서!H:H,F125),0)</f>
        <v>0</v>
      </c>
    </row>
    <row r="126" customFormat="false" ht="15" hidden="false" customHeight="true" outlineLevel="0" collapsed="false">
      <c r="K126" s="8" t="str">
        <f aca="false">IFERROR(VLOOKUP(F126,'IA(정보구조)'!D:E,2,FALSE()),"")</f>
        <v/>
      </c>
      <c r="L126" s="9" t="n">
        <f aca="false">IFERROR(COUNTIF(기능명세서!H:H,F126),0)</f>
        <v>0</v>
      </c>
    </row>
    <row r="127" customFormat="false" ht="15" hidden="false" customHeight="true" outlineLevel="0" collapsed="false">
      <c r="K127" s="8" t="str">
        <f aca="false">IFERROR(VLOOKUP(F127,'IA(정보구조)'!D:E,2,FALSE()),"")</f>
        <v/>
      </c>
      <c r="L127" s="9" t="n">
        <f aca="false">IFERROR(COUNTIF(기능명세서!H:H,F127),0)</f>
        <v>0</v>
      </c>
    </row>
    <row r="128" customFormat="false" ht="15" hidden="false" customHeight="true" outlineLevel="0" collapsed="false">
      <c r="K128" s="8" t="str">
        <f aca="false">IFERROR(VLOOKUP(F128,'IA(정보구조)'!D:E,2,FALSE()),"")</f>
        <v/>
      </c>
      <c r="L128" s="9" t="n">
        <f aca="false">IFERROR(COUNTIF(기능명세서!H:H,F128),0)</f>
        <v>0</v>
      </c>
    </row>
    <row r="129" customFormat="false" ht="15" hidden="false" customHeight="true" outlineLevel="0" collapsed="false">
      <c r="K129" s="8" t="str">
        <f aca="false">IFERROR(VLOOKUP(F129,'IA(정보구조)'!D:E,2,FALSE()),"")</f>
        <v/>
      </c>
      <c r="L129" s="9" t="n">
        <f aca="false">IFERROR(COUNTIF(기능명세서!H:H,F129),0)</f>
        <v>0</v>
      </c>
    </row>
    <row r="130" customFormat="false" ht="15" hidden="false" customHeight="true" outlineLevel="0" collapsed="false">
      <c r="K130" s="8" t="str">
        <f aca="false">IFERROR(VLOOKUP(F130,'IA(정보구조)'!D:E,2,FALSE()),"")</f>
        <v/>
      </c>
      <c r="L130" s="9" t="n">
        <f aca="false">IFERROR(COUNTIF(기능명세서!H:H,F130),0)</f>
        <v>0</v>
      </c>
    </row>
    <row r="131" customFormat="false" ht="15" hidden="false" customHeight="true" outlineLevel="0" collapsed="false">
      <c r="K131" s="8" t="str">
        <f aca="false">IFERROR(VLOOKUP(F131,'IA(정보구조)'!D:E,2,FALSE()),"")</f>
        <v/>
      </c>
      <c r="L131" s="9" t="n">
        <f aca="false">IFERROR(COUNTIF(기능명세서!H:H,F131),0)</f>
        <v>0</v>
      </c>
    </row>
    <row r="132" customFormat="false" ht="15" hidden="false" customHeight="true" outlineLevel="0" collapsed="false">
      <c r="K132" s="8" t="str">
        <f aca="false">IFERROR(VLOOKUP(F132,'IA(정보구조)'!D:E,2,FALSE()),"")</f>
        <v/>
      </c>
      <c r="L132" s="9" t="n">
        <f aca="false">IFERROR(COUNTIF(기능명세서!H:H,F132),0)</f>
        <v>0</v>
      </c>
    </row>
    <row r="133" customFormat="false" ht="15" hidden="false" customHeight="true" outlineLevel="0" collapsed="false">
      <c r="K133" s="8" t="str">
        <f aca="false">IFERROR(VLOOKUP(F133,'IA(정보구조)'!D:E,2,FALSE()),"")</f>
        <v/>
      </c>
      <c r="L133" s="9" t="n">
        <f aca="false">IFERROR(COUNTIF(기능명세서!H:H,F133),0)</f>
        <v>0</v>
      </c>
    </row>
    <row r="134" customFormat="false" ht="15" hidden="false" customHeight="true" outlineLevel="0" collapsed="false">
      <c r="K134" s="8" t="str">
        <f aca="false">IFERROR(VLOOKUP(F134,'IA(정보구조)'!D:E,2,FALSE()),"")</f>
        <v/>
      </c>
      <c r="L134" s="9" t="n">
        <f aca="false">IFERROR(COUNTIF(기능명세서!H:H,F134),0)</f>
        <v>0</v>
      </c>
    </row>
    <row r="135" customFormat="false" ht="15" hidden="false" customHeight="true" outlineLevel="0" collapsed="false">
      <c r="K135" s="8" t="str">
        <f aca="false">IFERROR(VLOOKUP(F135,'IA(정보구조)'!D:E,2,FALSE()),"")</f>
        <v/>
      </c>
      <c r="L135" s="9" t="n">
        <f aca="false">IFERROR(COUNTIF(기능명세서!H:H,F135),0)</f>
        <v>0</v>
      </c>
    </row>
    <row r="136" customFormat="false" ht="15" hidden="false" customHeight="true" outlineLevel="0" collapsed="false">
      <c r="K136" s="8" t="str">
        <f aca="false">IFERROR(VLOOKUP(F136,'IA(정보구조)'!D:E,2,FALSE()),"")</f>
        <v/>
      </c>
      <c r="L136" s="9" t="n">
        <f aca="false">IFERROR(COUNTIF(기능명세서!H:H,F136),0)</f>
        <v>0</v>
      </c>
    </row>
    <row r="137" customFormat="false" ht="15" hidden="false" customHeight="true" outlineLevel="0" collapsed="false">
      <c r="K137" s="8" t="str">
        <f aca="false">IFERROR(VLOOKUP(F137,'IA(정보구조)'!D:E,2,FALSE()),"")</f>
        <v/>
      </c>
      <c r="L137" s="9" t="n">
        <f aca="false">IFERROR(COUNTIF(기능명세서!H:H,F137),0)</f>
        <v>0</v>
      </c>
    </row>
    <row r="138" customFormat="false" ht="15" hidden="false" customHeight="true" outlineLevel="0" collapsed="false">
      <c r="K138" s="8" t="str">
        <f aca="false">IFERROR(VLOOKUP(F138,'IA(정보구조)'!D:E,2,FALSE()),"")</f>
        <v/>
      </c>
      <c r="L138" s="9" t="n">
        <f aca="false">IFERROR(COUNTIF(기능명세서!H:H,F138),0)</f>
        <v>0</v>
      </c>
    </row>
    <row r="139" customFormat="false" ht="15" hidden="false" customHeight="true" outlineLevel="0" collapsed="false">
      <c r="K139" s="8" t="str">
        <f aca="false">IFERROR(VLOOKUP(F139,'IA(정보구조)'!D:E,2,FALSE()),"")</f>
        <v/>
      </c>
      <c r="L139" s="9" t="n">
        <f aca="false">IFERROR(COUNTIF(기능명세서!H:H,F139),0)</f>
        <v>0</v>
      </c>
    </row>
    <row r="140" customFormat="false" ht="15" hidden="false" customHeight="true" outlineLevel="0" collapsed="false">
      <c r="K140" s="8" t="str">
        <f aca="false">IFERROR(VLOOKUP(F140,'IA(정보구조)'!D:E,2,FALSE()),"")</f>
        <v/>
      </c>
      <c r="L140" s="9" t="n">
        <f aca="false">IFERROR(COUNTIF(기능명세서!H:H,F140),0)</f>
        <v>0</v>
      </c>
    </row>
    <row r="141" customFormat="false" ht="15" hidden="false" customHeight="true" outlineLevel="0" collapsed="false">
      <c r="K141" s="8" t="str">
        <f aca="false">IFERROR(VLOOKUP(F141,'IA(정보구조)'!D:E,2,FALSE()),"")</f>
        <v/>
      </c>
      <c r="L141" s="9" t="n">
        <f aca="false">IFERROR(COUNTIF(기능명세서!H:H,F141),0)</f>
        <v>0</v>
      </c>
    </row>
    <row r="142" customFormat="false" ht="15" hidden="false" customHeight="true" outlineLevel="0" collapsed="false">
      <c r="K142" s="8" t="str">
        <f aca="false">IFERROR(VLOOKUP(F142,'IA(정보구조)'!D:E,2,FALSE()),"")</f>
        <v/>
      </c>
      <c r="L142" s="9" t="n">
        <f aca="false">IFERROR(COUNTIF(기능명세서!H:H,F142),0)</f>
        <v>0</v>
      </c>
    </row>
    <row r="143" customFormat="false" ht="15" hidden="false" customHeight="true" outlineLevel="0" collapsed="false">
      <c r="K143" s="8" t="str">
        <f aca="false">IFERROR(VLOOKUP(F143,'IA(정보구조)'!D:E,2,FALSE()),"")</f>
        <v/>
      </c>
      <c r="L143" s="9" t="n">
        <f aca="false">IFERROR(COUNTIF(기능명세서!H:H,F143),0)</f>
        <v>0</v>
      </c>
    </row>
    <row r="144" customFormat="false" ht="15" hidden="false" customHeight="true" outlineLevel="0" collapsed="false">
      <c r="K144" s="8" t="str">
        <f aca="false">IFERROR(VLOOKUP(F144,'IA(정보구조)'!D:E,2,FALSE()),"")</f>
        <v/>
      </c>
      <c r="L144" s="9" t="n">
        <f aca="false">IFERROR(COUNTIF(기능명세서!H:H,F144),0)</f>
        <v>0</v>
      </c>
    </row>
    <row r="145" customFormat="false" ht="15" hidden="false" customHeight="true" outlineLevel="0" collapsed="false">
      <c r="K145" s="8" t="str">
        <f aca="false">IFERROR(VLOOKUP(F145,'IA(정보구조)'!D:E,2,FALSE()),"")</f>
        <v/>
      </c>
      <c r="L145" s="9" t="n">
        <f aca="false">IFERROR(COUNTIF(기능명세서!H:H,F145),0)</f>
        <v>0</v>
      </c>
    </row>
    <row r="146" customFormat="false" ht="15" hidden="false" customHeight="true" outlineLevel="0" collapsed="false">
      <c r="K146" s="8" t="str">
        <f aca="false">IFERROR(VLOOKUP(F146,'IA(정보구조)'!D:E,2,FALSE()),"")</f>
        <v/>
      </c>
      <c r="L146" s="9" t="n">
        <f aca="false">IFERROR(COUNTIF(기능명세서!H:H,F146),0)</f>
        <v>0</v>
      </c>
    </row>
    <row r="147" customFormat="false" ht="15" hidden="false" customHeight="true" outlineLevel="0" collapsed="false">
      <c r="K147" s="8" t="str">
        <f aca="false">IFERROR(VLOOKUP(F147,'IA(정보구조)'!D:E,2,FALSE()),"")</f>
        <v/>
      </c>
      <c r="L147" s="9" t="n">
        <f aca="false">IFERROR(COUNTIF(기능명세서!H:H,F147),0)</f>
        <v>0</v>
      </c>
    </row>
    <row r="148" customFormat="false" ht="15" hidden="false" customHeight="true" outlineLevel="0" collapsed="false">
      <c r="K148" s="8" t="str">
        <f aca="false">IFERROR(VLOOKUP(F148,'IA(정보구조)'!D:E,2,FALSE()),"")</f>
        <v/>
      </c>
      <c r="L148" s="9" t="n">
        <f aca="false">IFERROR(COUNTIF(기능명세서!H:H,F148),0)</f>
        <v>0</v>
      </c>
    </row>
    <row r="149" customFormat="false" ht="15" hidden="false" customHeight="true" outlineLevel="0" collapsed="false">
      <c r="K149" s="8" t="str">
        <f aca="false">IFERROR(VLOOKUP(F149,'IA(정보구조)'!D:E,2,FALSE()),"")</f>
        <v/>
      </c>
      <c r="L149" s="9" t="n">
        <f aca="false">IFERROR(COUNTIF(기능명세서!H:H,F149),0)</f>
        <v>0</v>
      </c>
    </row>
    <row r="150" customFormat="false" ht="15" hidden="false" customHeight="true" outlineLevel="0" collapsed="false">
      <c r="K150" s="8" t="str">
        <f aca="false">IFERROR(VLOOKUP(F150,'IA(정보구조)'!D:E,2,FALSE()),"")</f>
        <v/>
      </c>
      <c r="L150" s="9" t="n">
        <f aca="false">IFERROR(COUNTIF(기능명세서!H:H,F150),0)</f>
        <v>0</v>
      </c>
    </row>
    <row r="151" customFormat="false" ht="15" hidden="false" customHeight="true" outlineLevel="0" collapsed="false">
      <c r="K151" s="8" t="str">
        <f aca="false">IFERROR(VLOOKUP(F151,'IA(정보구조)'!D:E,2,FALSE()),"")</f>
        <v/>
      </c>
      <c r="L151" s="9" t="n">
        <f aca="false">IFERROR(COUNTIF(기능명세서!H:H,F151),0)</f>
        <v>0</v>
      </c>
    </row>
    <row r="152" customFormat="false" ht="15" hidden="false" customHeight="true" outlineLevel="0" collapsed="false">
      <c r="K152" s="8" t="str">
        <f aca="false">IFERROR(VLOOKUP(F152,'IA(정보구조)'!D:E,2,FALSE()),"")</f>
        <v/>
      </c>
      <c r="L152" s="9" t="n">
        <f aca="false">IFERROR(COUNTIF(기능명세서!H:H,F152),0)</f>
        <v>0</v>
      </c>
    </row>
    <row r="153" customFormat="false" ht="15" hidden="false" customHeight="true" outlineLevel="0" collapsed="false">
      <c r="K153" s="8" t="str">
        <f aca="false">IFERROR(VLOOKUP(F153,'IA(정보구조)'!D:E,2,FALSE()),"")</f>
        <v/>
      </c>
      <c r="L153" s="9" t="n">
        <f aca="false">IFERROR(COUNTIF(기능명세서!H:H,F153),0)</f>
        <v>0</v>
      </c>
    </row>
    <row r="154" customFormat="false" ht="15" hidden="false" customHeight="true" outlineLevel="0" collapsed="false">
      <c r="K154" s="8" t="str">
        <f aca="false">IFERROR(VLOOKUP(F154,'IA(정보구조)'!D:E,2,FALSE()),"")</f>
        <v/>
      </c>
      <c r="L154" s="9" t="n">
        <f aca="false">IFERROR(COUNTIF(기능명세서!H:H,F154),0)</f>
        <v>0</v>
      </c>
    </row>
    <row r="155" customFormat="false" ht="15" hidden="false" customHeight="true" outlineLevel="0" collapsed="false">
      <c r="K155" s="8" t="str">
        <f aca="false">IFERROR(VLOOKUP(F155,'IA(정보구조)'!D:E,2,FALSE()),"")</f>
        <v/>
      </c>
      <c r="L155" s="9" t="n">
        <f aca="false">IFERROR(COUNTIF(기능명세서!H:H,F155),0)</f>
        <v>0</v>
      </c>
    </row>
    <row r="156" customFormat="false" ht="15" hidden="false" customHeight="true" outlineLevel="0" collapsed="false">
      <c r="K156" s="8" t="str">
        <f aca="false">IFERROR(VLOOKUP(F156,'IA(정보구조)'!D:E,2,FALSE()),"")</f>
        <v/>
      </c>
      <c r="L156" s="9" t="n">
        <f aca="false">IFERROR(COUNTIF(기능명세서!H:H,F156),0)</f>
        <v>0</v>
      </c>
    </row>
    <row r="157" customFormat="false" ht="15" hidden="false" customHeight="true" outlineLevel="0" collapsed="false">
      <c r="K157" s="8" t="str">
        <f aca="false">IFERROR(VLOOKUP(F157,'IA(정보구조)'!D:E,2,FALSE()),"")</f>
        <v/>
      </c>
      <c r="L157" s="9" t="n">
        <f aca="false">IFERROR(COUNTIF(기능명세서!H:H,F157),0)</f>
        <v>0</v>
      </c>
    </row>
    <row r="158" customFormat="false" ht="15" hidden="false" customHeight="true" outlineLevel="0" collapsed="false">
      <c r="K158" s="8" t="str">
        <f aca="false">IFERROR(VLOOKUP(F158,'IA(정보구조)'!D:E,2,FALSE()),"")</f>
        <v/>
      </c>
      <c r="L158" s="9" t="n">
        <f aca="false">IFERROR(COUNTIF(기능명세서!H:H,F158),0)</f>
        <v>0</v>
      </c>
    </row>
    <row r="159" customFormat="false" ht="15" hidden="false" customHeight="true" outlineLevel="0" collapsed="false">
      <c r="K159" s="8" t="str">
        <f aca="false">IFERROR(VLOOKUP(F159,'IA(정보구조)'!D:E,2,FALSE()),"")</f>
        <v/>
      </c>
      <c r="L159" s="9" t="n">
        <f aca="false">IFERROR(COUNTIF(기능명세서!H:H,F159),0)</f>
        <v>0</v>
      </c>
    </row>
    <row r="160" customFormat="false" ht="15" hidden="false" customHeight="true" outlineLevel="0" collapsed="false">
      <c r="K160" s="8" t="str">
        <f aca="false">IFERROR(VLOOKUP(F160,'IA(정보구조)'!D:E,2,FALSE()),"")</f>
        <v/>
      </c>
      <c r="L160" s="9" t="n">
        <f aca="false">IFERROR(COUNTIF(기능명세서!H:H,F160),0)</f>
        <v>0</v>
      </c>
    </row>
    <row r="161" customFormat="false" ht="15" hidden="false" customHeight="true" outlineLevel="0" collapsed="false">
      <c r="K161" s="8" t="str">
        <f aca="false">IFERROR(VLOOKUP(F161,'IA(정보구조)'!D:E,2,FALSE()),"")</f>
        <v/>
      </c>
      <c r="L161" s="9" t="n">
        <f aca="false">IFERROR(COUNTIF(기능명세서!H:H,F161),0)</f>
        <v>0</v>
      </c>
    </row>
    <row r="162" customFormat="false" ht="15" hidden="false" customHeight="true" outlineLevel="0" collapsed="false">
      <c r="K162" s="8" t="str">
        <f aca="false">IFERROR(VLOOKUP(F162,'IA(정보구조)'!D:E,2,FALSE()),"")</f>
        <v/>
      </c>
      <c r="L162" s="9" t="n">
        <f aca="false">IFERROR(COUNTIF(기능명세서!H:H,F162),0)</f>
        <v>0</v>
      </c>
    </row>
    <row r="163" customFormat="false" ht="15" hidden="false" customHeight="true" outlineLevel="0" collapsed="false">
      <c r="K163" s="8" t="str">
        <f aca="false">IFERROR(VLOOKUP(F163,'IA(정보구조)'!D:E,2,FALSE()),"")</f>
        <v/>
      </c>
      <c r="L163" s="9" t="n">
        <f aca="false">IFERROR(COUNTIF(기능명세서!H:H,F163),0)</f>
        <v>0</v>
      </c>
    </row>
    <row r="164" customFormat="false" ht="15" hidden="false" customHeight="true" outlineLevel="0" collapsed="false">
      <c r="K164" s="8" t="str">
        <f aca="false">IFERROR(VLOOKUP(F164,'IA(정보구조)'!D:E,2,FALSE()),"")</f>
        <v/>
      </c>
      <c r="L164" s="9" t="n">
        <f aca="false">IFERROR(COUNTIF(기능명세서!H:H,F164),0)</f>
        <v>0</v>
      </c>
    </row>
    <row r="165" customFormat="false" ht="15" hidden="false" customHeight="true" outlineLevel="0" collapsed="false">
      <c r="K165" s="8" t="str">
        <f aca="false">IFERROR(VLOOKUP(F165,'IA(정보구조)'!D:E,2,FALSE()),"")</f>
        <v/>
      </c>
      <c r="L165" s="9" t="n">
        <f aca="false">IFERROR(COUNTIF(기능명세서!H:H,F165),0)</f>
        <v>0</v>
      </c>
    </row>
    <row r="166" customFormat="false" ht="15" hidden="false" customHeight="true" outlineLevel="0" collapsed="false">
      <c r="K166" s="8" t="str">
        <f aca="false">IFERROR(VLOOKUP(F166,'IA(정보구조)'!D:E,2,FALSE()),"")</f>
        <v/>
      </c>
      <c r="L166" s="9" t="n">
        <f aca="false">IFERROR(COUNTIF(기능명세서!H:H,F166),0)</f>
        <v>0</v>
      </c>
    </row>
    <row r="167" customFormat="false" ht="15" hidden="false" customHeight="true" outlineLevel="0" collapsed="false">
      <c r="K167" s="8" t="str">
        <f aca="false">IFERROR(VLOOKUP(F167,'IA(정보구조)'!D:E,2,FALSE()),"")</f>
        <v/>
      </c>
      <c r="L167" s="9" t="n">
        <f aca="false">IFERROR(COUNTIF(기능명세서!H:H,F167),0)</f>
        <v>0</v>
      </c>
    </row>
    <row r="168" customFormat="false" ht="15" hidden="false" customHeight="true" outlineLevel="0" collapsed="false">
      <c r="K168" s="8" t="str">
        <f aca="false">IFERROR(VLOOKUP(F168,'IA(정보구조)'!D:E,2,FALSE()),"")</f>
        <v/>
      </c>
      <c r="L168" s="9" t="n">
        <f aca="false">IFERROR(COUNTIF(기능명세서!H:H,F168),0)</f>
        <v>0</v>
      </c>
    </row>
    <row r="169" customFormat="false" ht="15" hidden="false" customHeight="true" outlineLevel="0" collapsed="false">
      <c r="K169" s="8" t="str">
        <f aca="false">IFERROR(VLOOKUP(F169,'IA(정보구조)'!D:E,2,FALSE()),"")</f>
        <v/>
      </c>
      <c r="L169" s="9" t="n">
        <f aca="false">IFERROR(COUNTIF(기능명세서!H:H,F169),0)</f>
        <v>0</v>
      </c>
    </row>
    <row r="170" customFormat="false" ht="15" hidden="false" customHeight="true" outlineLevel="0" collapsed="false">
      <c r="K170" s="8" t="str">
        <f aca="false">IFERROR(VLOOKUP(F170,'IA(정보구조)'!D:E,2,FALSE()),"")</f>
        <v/>
      </c>
      <c r="L170" s="9" t="n">
        <f aca="false">IFERROR(COUNTIF(기능명세서!H:H,F170),0)</f>
        <v>0</v>
      </c>
    </row>
    <row r="171" customFormat="false" ht="15" hidden="false" customHeight="true" outlineLevel="0" collapsed="false">
      <c r="K171" s="8" t="str">
        <f aca="false">IFERROR(VLOOKUP(F171,'IA(정보구조)'!D:E,2,FALSE()),"")</f>
        <v/>
      </c>
      <c r="L171" s="9" t="n">
        <f aca="false">IFERROR(COUNTIF(기능명세서!H:H,F171),0)</f>
        <v>0</v>
      </c>
    </row>
    <row r="172" customFormat="false" ht="15" hidden="false" customHeight="true" outlineLevel="0" collapsed="false">
      <c r="K172" s="8" t="str">
        <f aca="false">IFERROR(VLOOKUP(F172,'IA(정보구조)'!D:E,2,FALSE()),"")</f>
        <v/>
      </c>
      <c r="L172" s="9" t="n">
        <f aca="false">IFERROR(COUNTIF(기능명세서!H:H,F172),0)</f>
        <v>0</v>
      </c>
    </row>
    <row r="173" customFormat="false" ht="15" hidden="false" customHeight="true" outlineLevel="0" collapsed="false">
      <c r="K173" s="8" t="str">
        <f aca="false">IFERROR(VLOOKUP(F173,'IA(정보구조)'!D:E,2,FALSE()),"")</f>
        <v/>
      </c>
      <c r="L173" s="9" t="n">
        <f aca="false">IFERROR(COUNTIF(기능명세서!H:H,F173),0)</f>
        <v>0</v>
      </c>
    </row>
    <row r="174" customFormat="false" ht="15" hidden="false" customHeight="true" outlineLevel="0" collapsed="false">
      <c r="K174" s="8" t="str">
        <f aca="false">IFERROR(VLOOKUP(F174,'IA(정보구조)'!D:E,2,FALSE()),"")</f>
        <v/>
      </c>
      <c r="L174" s="9" t="n">
        <f aca="false">IFERROR(COUNTIF(기능명세서!H:H,F174),0)</f>
        <v>0</v>
      </c>
    </row>
    <row r="175" customFormat="false" ht="15" hidden="false" customHeight="true" outlineLevel="0" collapsed="false">
      <c r="K175" s="8" t="str">
        <f aca="false">IFERROR(VLOOKUP(F175,'IA(정보구조)'!D:E,2,FALSE()),"")</f>
        <v/>
      </c>
      <c r="L175" s="9" t="n">
        <f aca="false">IFERROR(COUNTIF(기능명세서!H:H,F175),0)</f>
        <v>0</v>
      </c>
    </row>
    <row r="176" customFormat="false" ht="15" hidden="false" customHeight="true" outlineLevel="0" collapsed="false">
      <c r="K176" s="8" t="str">
        <f aca="false">IFERROR(VLOOKUP(F176,'IA(정보구조)'!D:E,2,FALSE()),"")</f>
        <v/>
      </c>
      <c r="L176" s="9" t="n">
        <f aca="false">IFERROR(COUNTIF(기능명세서!H:H,F176),0)</f>
        <v>0</v>
      </c>
    </row>
    <row r="177" customFormat="false" ht="15" hidden="false" customHeight="true" outlineLevel="0" collapsed="false">
      <c r="K177" s="8" t="str">
        <f aca="false">IFERROR(VLOOKUP(F177,'IA(정보구조)'!D:E,2,FALSE()),"")</f>
        <v/>
      </c>
      <c r="L177" s="9" t="n">
        <f aca="false">IFERROR(COUNTIF(기능명세서!H:H,F177),0)</f>
        <v>0</v>
      </c>
    </row>
    <row r="178" customFormat="false" ht="15" hidden="false" customHeight="true" outlineLevel="0" collapsed="false">
      <c r="K178" s="8" t="str">
        <f aca="false">IFERROR(VLOOKUP(F178,'IA(정보구조)'!D:E,2,FALSE()),"")</f>
        <v/>
      </c>
      <c r="L178" s="9" t="n">
        <f aca="false">IFERROR(COUNTIF(기능명세서!H:H,F178),0)</f>
        <v>0</v>
      </c>
    </row>
    <row r="179" customFormat="false" ht="15" hidden="false" customHeight="true" outlineLevel="0" collapsed="false">
      <c r="K179" s="8" t="str">
        <f aca="false">IFERROR(VLOOKUP(F179,'IA(정보구조)'!D:E,2,FALSE()),"")</f>
        <v/>
      </c>
      <c r="L179" s="9" t="n">
        <f aca="false">IFERROR(COUNTIF(기능명세서!H:H,F179),0)</f>
        <v>0</v>
      </c>
    </row>
    <row r="180" customFormat="false" ht="15" hidden="false" customHeight="true" outlineLevel="0" collapsed="false">
      <c r="K180" s="8" t="str">
        <f aca="false">IFERROR(VLOOKUP(F180,'IA(정보구조)'!D:E,2,FALSE()),"")</f>
        <v/>
      </c>
      <c r="L180" s="9" t="n">
        <f aca="false">IFERROR(COUNTIF(기능명세서!H:H,F180),0)</f>
        <v>0</v>
      </c>
    </row>
    <row r="181" customFormat="false" ht="15" hidden="false" customHeight="true" outlineLevel="0" collapsed="false">
      <c r="K181" s="8" t="str">
        <f aca="false">IFERROR(VLOOKUP(F181,'IA(정보구조)'!D:E,2,FALSE()),"")</f>
        <v/>
      </c>
      <c r="L181" s="9" t="n">
        <f aca="false">IFERROR(COUNTIF(기능명세서!H:H,F181),0)</f>
        <v>0</v>
      </c>
    </row>
    <row r="182" customFormat="false" ht="15" hidden="false" customHeight="true" outlineLevel="0" collapsed="false">
      <c r="K182" s="8" t="str">
        <f aca="false">IFERROR(VLOOKUP(F182,'IA(정보구조)'!D:E,2,FALSE()),"")</f>
        <v/>
      </c>
      <c r="L182" s="9" t="n">
        <f aca="false">IFERROR(COUNTIF(기능명세서!H:H,F182),0)</f>
        <v>0</v>
      </c>
    </row>
    <row r="183" customFormat="false" ht="15" hidden="false" customHeight="true" outlineLevel="0" collapsed="false">
      <c r="K183" s="8" t="str">
        <f aca="false">IFERROR(VLOOKUP(F183,'IA(정보구조)'!D:E,2,FALSE()),"")</f>
        <v/>
      </c>
      <c r="L183" s="9" t="n">
        <f aca="false">IFERROR(COUNTIF(기능명세서!H:H,F183),0)</f>
        <v>0</v>
      </c>
    </row>
    <row r="184" customFormat="false" ht="15" hidden="false" customHeight="true" outlineLevel="0" collapsed="false">
      <c r="K184" s="8" t="str">
        <f aca="false">IFERROR(VLOOKUP(F184,'IA(정보구조)'!D:E,2,FALSE()),"")</f>
        <v/>
      </c>
      <c r="L184" s="9" t="n">
        <f aca="false">IFERROR(COUNTIF(기능명세서!H:H,F184),0)</f>
        <v>0</v>
      </c>
    </row>
    <row r="185" customFormat="false" ht="15" hidden="false" customHeight="true" outlineLevel="0" collapsed="false">
      <c r="K185" s="8" t="str">
        <f aca="false">IFERROR(VLOOKUP(F185,'IA(정보구조)'!D:E,2,FALSE()),"")</f>
        <v/>
      </c>
      <c r="L185" s="9" t="n">
        <f aca="false">IFERROR(COUNTIF(기능명세서!H:H,F185),0)</f>
        <v>0</v>
      </c>
    </row>
    <row r="186" customFormat="false" ht="15" hidden="false" customHeight="true" outlineLevel="0" collapsed="false">
      <c r="K186" s="8" t="str">
        <f aca="false">IFERROR(VLOOKUP(F186,'IA(정보구조)'!D:E,2,FALSE()),"")</f>
        <v/>
      </c>
      <c r="L186" s="9" t="n">
        <f aca="false">IFERROR(COUNTIF(기능명세서!H:H,F186),0)</f>
        <v>0</v>
      </c>
    </row>
    <row r="187" customFormat="false" ht="15" hidden="false" customHeight="true" outlineLevel="0" collapsed="false">
      <c r="K187" s="8" t="str">
        <f aca="false">IFERROR(VLOOKUP(F187,'IA(정보구조)'!D:E,2,FALSE()),"")</f>
        <v/>
      </c>
      <c r="L187" s="9" t="n">
        <f aca="false">IFERROR(COUNTIF(기능명세서!H:H,F187),0)</f>
        <v>0</v>
      </c>
    </row>
    <row r="188" customFormat="false" ht="15" hidden="false" customHeight="true" outlineLevel="0" collapsed="false">
      <c r="K188" s="8" t="str">
        <f aca="false">IFERROR(VLOOKUP(F188,'IA(정보구조)'!D:E,2,FALSE()),"")</f>
        <v/>
      </c>
      <c r="L188" s="9" t="n">
        <f aca="false">IFERROR(COUNTIF(기능명세서!H:H,F188),0)</f>
        <v>0</v>
      </c>
    </row>
    <row r="189" customFormat="false" ht="15" hidden="false" customHeight="true" outlineLevel="0" collapsed="false">
      <c r="K189" s="8" t="str">
        <f aca="false">IFERROR(VLOOKUP(F189,'IA(정보구조)'!D:E,2,FALSE()),"")</f>
        <v/>
      </c>
      <c r="L189" s="9" t="n">
        <f aca="false">IFERROR(COUNTIF(기능명세서!H:H,F189),0)</f>
        <v>0</v>
      </c>
    </row>
    <row r="190" customFormat="false" ht="15" hidden="false" customHeight="true" outlineLevel="0" collapsed="false">
      <c r="K190" s="8" t="str">
        <f aca="false">IFERROR(VLOOKUP(F190,'IA(정보구조)'!D:E,2,FALSE()),"")</f>
        <v/>
      </c>
      <c r="L190" s="9" t="n">
        <f aca="false">IFERROR(COUNTIF(기능명세서!H:H,F190),0)</f>
        <v>0</v>
      </c>
    </row>
    <row r="191" customFormat="false" ht="15" hidden="false" customHeight="true" outlineLevel="0" collapsed="false">
      <c r="K191" s="8" t="str">
        <f aca="false">IFERROR(VLOOKUP(F191,'IA(정보구조)'!D:E,2,FALSE()),"")</f>
        <v/>
      </c>
      <c r="L191" s="9" t="n">
        <f aca="false">IFERROR(COUNTIF(기능명세서!H:H,F191),0)</f>
        <v>0</v>
      </c>
    </row>
    <row r="192" customFormat="false" ht="15" hidden="false" customHeight="true" outlineLevel="0" collapsed="false">
      <c r="K192" s="8" t="str">
        <f aca="false">IFERROR(VLOOKUP(F192,'IA(정보구조)'!D:E,2,FALSE()),"")</f>
        <v/>
      </c>
      <c r="L192" s="9" t="n">
        <f aca="false">IFERROR(COUNTIF(기능명세서!H:H,F192),0)</f>
        <v>0</v>
      </c>
    </row>
    <row r="193" customFormat="false" ht="15" hidden="false" customHeight="true" outlineLevel="0" collapsed="false">
      <c r="K193" s="8" t="str">
        <f aca="false">IFERROR(VLOOKUP(F193,'IA(정보구조)'!D:E,2,FALSE()),"")</f>
        <v/>
      </c>
      <c r="L193" s="9" t="n">
        <f aca="false">IFERROR(COUNTIF(기능명세서!H:H,F193),0)</f>
        <v>0</v>
      </c>
    </row>
    <row r="194" customFormat="false" ht="15" hidden="false" customHeight="true" outlineLevel="0" collapsed="false">
      <c r="K194" s="8" t="str">
        <f aca="false">IFERROR(VLOOKUP(F194,'IA(정보구조)'!D:E,2,FALSE()),"")</f>
        <v/>
      </c>
      <c r="L194" s="9" t="n">
        <f aca="false">IFERROR(COUNTIF(기능명세서!H:H,F194),0)</f>
        <v>0</v>
      </c>
    </row>
    <row r="195" customFormat="false" ht="15" hidden="false" customHeight="true" outlineLevel="0" collapsed="false">
      <c r="K195" s="8" t="str">
        <f aca="false">IFERROR(VLOOKUP(F195,'IA(정보구조)'!D:E,2,FALSE()),"")</f>
        <v/>
      </c>
      <c r="L195" s="9" t="n">
        <f aca="false">IFERROR(COUNTIF(기능명세서!H:H,F195),0)</f>
        <v>0</v>
      </c>
    </row>
    <row r="196" customFormat="false" ht="15" hidden="false" customHeight="true" outlineLevel="0" collapsed="false">
      <c r="K196" s="8" t="str">
        <f aca="false">IFERROR(VLOOKUP(F196,'IA(정보구조)'!D:E,2,FALSE()),"")</f>
        <v/>
      </c>
      <c r="L196" s="9" t="n">
        <f aca="false">IFERROR(COUNTIF(기능명세서!H:H,F196),0)</f>
        <v>0</v>
      </c>
    </row>
    <row r="197" customFormat="false" ht="15" hidden="false" customHeight="true" outlineLevel="0" collapsed="false">
      <c r="K197" s="8" t="str">
        <f aca="false">IFERROR(VLOOKUP(F197,'IA(정보구조)'!D:E,2,FALSE()),"")</f>
        <v/>
      </c>
      <c r="L197" s="9" t="n">
        <f aca="false">IFERROR(COUNTIF(기능명세서!H:H,F197),0)</f>
        <v>0</v>
      </c>
    </row>
    <row r="198" customFormat="false" ht="15" hidden="false" customHeight="true" outlineLevel="0" collapsed="false">
      <c r="K198" s="8" t="str">
        <f aca="false">IFERROR(VLOOKUP(F198,'IA(정보구조)'!D:E,2,FALSE()),"")</f>
        <v/>
      </c>
      <c r="L198" s="9" t="n">
        <f aca="false">IFERROR(COUNTIF(기능명세서!H:H,F198),0)</f>
        <v>0</v>
      </c>
    </row>
    <row r="199" customFormat="false" ht="15" hidden="false" customHeight="true" outlineLevel="0" collapsed="false">
      <c r="K199" s="8" t="str">
        <f aca="false">IFERROR(VLOOKUP(F199,'IA(정보구조)'!D:E,2,FALSE()),"")</f>
        <v/>
      </c>
      <c r="L199" s="9" t="n">
        <f aca="false">IFERROR(COUNTIF(기능명세서!H:H,F199),0)</f>
        <v>0</v>
      </c>
    </row>
    <row r="200" customFormat="false" ht="15" hidden="false" customHeight="true" outlineLevel="0" collapsed="false">
      <c r="K200" s="8" t="str">
        <f aca="false">IFERROR(VLOOKUP(F200,'IA(정보구조)'!D:E,2,FALSE()),"")</f>
        <v/>
      </c>
      <c r="L200" s="9" t="n">
        <f aca="false">IFERROR(COUNTIF(기능명세서!H:H,F200),0)</f>
        <v>0</v>
      </c>
    </row>
  </sheetData>
  <autoFilter ref="A1:M1"/>
  <dataValidations count="5">
    <dataValidation allowBlank="true" error="드롭다운 목록에서 선택해주세요." errorStyle="stop" errorTitle="잘못된 입력" operator="between" promptTitle="우선순위" showDropDown="false" showErrorMessage="true" showInputMessage="true" sqref="G2:G200" type="list">
      <formula1>"Critical,High,Medium,Low"</formula1>
      <formula2>0</formula2>
    </dataValidation>
    <dataValidation allowBlank="true" error="드롭다운 목록에서 선택해주세요." errorStyle="stop" errorTitle="잘못된 입력" operator="between" promptTitle="사이즈" showDropDown="false" showErrorMessage="true" showInputMessage="true" sqref="H2:H200" type="list">
      <formula1>"XS,S,M,L,XL"</formula1>
      <formula2>0</formula2>
    </dataValidation>
    <dataValidation allowBlank="true" error="드롭다운 목록에서 선택해주세요." errorStyle="stop" errorTitle="잘못된 입력" operator="between" promptTitle="담당자" showDropDown="false" showErrorMessage="true" showInputMessage="true" sqref="I2:I200" type="list">
      <formula1>"기획자1,기획자2,디자이너1,개발자1,개발자2,QA담당자1,QA담당자2"</formula1>
      <formula2>0</formula2>
    </dataValidation>
    <dataValidation allowBlank="true" error="드롭다운 목록에서 선택해주세요." errorStyle="stop" errorTitle="잘못된 입력" operator="between" promptTitle="상태" showDropDown="false" showErrorMessage="true" showInputMessage="true" sqref="J2:J200" type="list">
      <formula1>"Backlog,To Do,In Progress,In Review,Done"</formula1>
      <formula2>0</formula2>
    </dataValidation>
    <dataValidation allowBlank="true" error="드롭다운 목록에서 선택해주세요." errorStyle="stop" errorTitle="잘못된 입력" operator="between" promptTitle="화면 ID" showDropDown="false" showErrorMessage="true" showInputMessage="true" sqref="F2:F200" type="list">
      <formula1>"SCR-001,SCR-010,SCR-011,SCR-012,SCR-020,SCR-021,SCR-022,SCR-030,SCR-031,SCR-032,SCR-100,SCR-101"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D5A99"/>
    <pageSetUpPr fitToPage="false"/>
  </sheetPr>
  <dimension ref="A1:W2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F3" activeCellId="0" sqref="F3"/>
    </sheetView>
  </sheetViews>
  <sheetFormatPr defaultColWidth="8.71484375" defaultRowHeight="15" customHeight="tru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4"/>
    <col collapsed="false" customWidth="true" hidden="false" outlineLevel="0" max="4" min="4" style="0" width="20"/>
    <col collapsed="false" customWidth="true" hidden="false" outlineLevel="0" max="5" min="5" style="0" width="30"/>
    <col collapsed="false" customWidth="true" hidden="false" outlineLevel="0" max="7" min="6" style="0" width="35"/>
    <col collapsed="false" customWidth="true" hidden="false" outlineLevel="0" max="12" min="8" style="0" width="25"/>
    <col collapsed="false" customWidth="true" hidden="false" outlineLevel="0" max="13" min="13" style="0" width="20"/>
    <col collapsed="false" customWidth="true" hidden="false" outlineLevel="0" max="15" min="14" style="0" width="18"/>
    <col collapsed="false" customWidth="true" hidden="false" outlineLevel="0" max="16" min="16" style="0" width="20"/>
    <col collapsed="false" customWidth="true" hidden="false" outlineLevel="0" max="17" min="17" style="0" width="10"/>
    <col collapsed="false" customWidth="true" hidden="false" outlineLevel="0" max="18" min="18" style="0" width="12"/>
    <col collapsed="false" customWidth="true" hidden="false" outlineLevel="0" max="21" min="19" style="0" width="14"/>
    <col collapsed="false" customWidth="true" hidden="false" outlineLevel="0" max="22" min="22" style="0" width="20"/>
    <col collapsed="false" customWidth="true" hidden="false" outlineLevel="0" max="23" min="23" style="0" width="14"/>
  </cols>
  <sheetData>
    <row r="1" customFormat="false" ht="30" hidden="false" customHeight="true" outlineLevel="0" collapsed="false">
      <c r="A1" s="2" t="s">
        <v>3</v>
      </c>
      <c r="B1" s="2" t="s">
        <v>4</v>
      </c>
      <c r="C1" s="2" t="s">
        <v>5</v>
      </c>
      <c r="D1" s="2" t="s">
        <v>117</v>
      </c>
      <c r="E1" s="2" t="s">
        <v>118</v>
      </c>
      <c r="F1" s="7" t="s">
        <v>119</v>
      </c>
      <c r="G1" s="2" t="s">
        <v>120</v>
      </c>
      <c r="H1" s="1" t="s">
        <v>121</v>
      </c>
      <c r="I1" s="1" t="s">
        <v>122</v>
      </c>
      <c r="J1" s="2" t="s">
        <v>123</v>
      </c>
      <c r="K1" s="2" t="s">
        <v>124</v>
      </c>
      <c r="L1" s="2" t="s">
        <v>125</v>
      </c>
      <c r="M1" s="2" t="s">
        <v>126</v>
      </c>
      <c r="N1" s="2" t="s">
        <v>127</v>
      </c>
      <c r="O1" s="2" t="s">
        <v>128</v>
      </c>
      <c r="P1" s="2" t="s">
        <v>129</v>
      </c>
      <c r="Q1" s="2" t="s">
        <v>10</v>
      </c>
      <c r="R1" s="2" t="s">
        <v>84</v>
      </c>
      <c r="S1" s="7" t="s">
        <v>130</v>
      </c>
      <c r="T1" s="7" t="s">
        <v>131</v>
      </c>
      <c r="U1" s="7" t="s">
        <v>132</v>
      </c>
      <c r="V1" s="2" t="s">
        <v>11</v>
      </c>
      <c r="W1" s="7" t="s">
        <v>133</v>
      </c>
    </row>
    <row r="2" customFormat="false" ht="99.75" hidden="false" customHeight="true" outlineLevel="0" collapsed="false">
      <c r="A2" s="10" t="s">
        <v>13</v>
      </c>
      <c r="B2" s="3" t="s">
        <v>14</v>
      </c>
      <c r="C2" s="4" t="s">
        <v>15</v>
      </c>
      <c r="D2" s="4" t="s">
        <v>16</v>
      </c>
      <c r="E2" s="3" t="s">
        <v>134</v>
      </c>
      <c r="F2" s="11" t="str">
        <f aca="false">IFERROR(_xlfn.TEXTJOIN(CHAR(10),TRUE(),IF('UI 요소 상세'!B$1:B$500=A2,"□ "&amp;'UI 요소 상세'!C$1:C$500,"")),"")</f>
        <v/>
      </c>
      <c r="G2" s="4" t="s">
        <v>135</v>
      </c>
      <c r="H2" s="4" t="s">
        <v>136</v>
      </c>
      <c r="I2" s="4" t="s">
        <v>137</v>
      </c>
      <c r="J2" s="3" t="s">
        <v>138</v>
      </c>
      <c r="K2" s="4" t="s">
        <v>139</v>
      </c>
      <c r="L2" s="4" t="s">
        <v>140</v>
      </c>
      <c r="M2" s="3" t="s">
        <v>141</v>
      </c>
      <c r="N2" s="4" t="s">
        <v>142</v>
      </c>
      <c r="O2" s="3" t="s">
        <v>143</v>
      </c>
      <c r="P2" s="3"/>
      <c r="Q2" s="3" t="s">
        <v>20</v>
      </c>
      <c r="R2" s="3" t="s">
        <v>144</v>
      </c>
      <c r="S2" s="3"/>
      <c r="T2" s="3"/>
      <c r="U2" s="3"/>
      <c r="V2" s="3"/>
      <c r="W2" s="12" t="n">
        <f aca="false">IFERROR(COUNTIF('UI 요소 상세'!B:B,A2),0)</f>
        <v>5</v>
      </c>
    </row>
    <row r="3" customFormat="false" ht="99.75" hidden="false" customHeight="true" outlineLevel="0" collapsed="false">
      <c r="A3" s="13" t="s">
        <v>23</v>
      </c>
      <c r="B3" s="5" t="s">
        <v>22</v>
      </c>
      <c r="C3" s="6" t="s">
        <v>15</v>
      </c>
      <c r="D3" s="6" t="s">
        <v>24</v>
      </c>
      <c r="E3" s="5" t="s">
        <v>145</v>
      </c>
      <c r="F3" s="14" t="str">
        <f aca="false">IFERROR(_xlfn.TEXTJOIN(CHAR(10),TRUE(),IF('UI 요소 상세'!B$1:B$500=A3,"□ "&amp;'UI 요소 상세'!C$1:C$500,"")),"")</f>
        <v/>
      </c>
      <c r="G3" s="6" t="s">
        <v>146</v>
      </c>
      <c r="H3" s="6" t="s">
        <v>147</v>
      </c>
      <c r="I3" s="6" t="s">
        <v>148</v>
      </c>
      <c r="J3" s="6" t="s">
        <v>149</v>
      </c>
      <c r="K3" s="6" t="s">
        <v>28</v>
      </c>
      <c r="L3" s="6" t="s">
        <v>150</v>
      </c>
      <c r="M3" s="5" t="s">
        <v>151</v>
      </c>
      <c r="N3" s="6" t="s">
        <v>152</v>
      </c>
      <c r="O3" s="5" t="s">
        <v>143</v>
      </c>
      <c r="P3" s="5"/>
      <c r="Q3" s="5" t="s">
        <v>20</v>
      </c>
      <c r="R3" s="5" t="s">
        <v>144</v>
      </c>
      <c r="S3" s="5"/>
      <c r="T3" s="5"/>
      <c r="U3" s="5"/>
      <c r="V3" s="5"/>
      <c r="W3" s="12" t="n">
        <f aca="false">IFERROR(COUNTIF('UI 요소 상세'!B:B,A3),0)</f>
        <v>6</v>
      </c>
    </row>
    <row r="4" customFormat="false" ht="99.75" hidden="false" customHeight="true" outlineLevel="0" collapsed="false">
      <c r="A4" s="10" t="s">
        <v>28</v>
      </c>
      <c r="B4" s="3" t="s">
        <v>27</v>
      </c>
      <c r="C4" s="4" t="s">
        <v>15</v>
      </c>
      <c r="D4" s="4" t="s">
        <v>29</v>
      </c>
      <c r="E4" s="3" t="s">
        <v>153</v>
      </c>
      <c r="F4" s="11" t="str">
        <f aca="false">IFERROR(_xlfn.TEXTJOIN(CHAR(10),TRUE(),IF('UI 요소 상세'!B$1:B$500=A4,"□ "&amp;'UI 요소 상세'!C$1:C$500,"")),"")</f>
        <v/>
      </c>
      <c r="G4" s="4" t="s">
        <v>154</v>
      </c>
      <c r="H4" s="4" t="s">
        <v>155</v>
      </c>
      <c r="I4" s="4" t="s">
        <v>156</v>
      </c>
      <c r="J4" s="3" t="s">
        <v>157</v>
      </c>
      <c r="K4" s="4" t="s">
        <v>158</v>
      </c>
      <c r="L4" s="4" t="s">
        <v>159</v>
      </c>
      <c r="M4" s="3" t="s">
        <v>160</v>
      </c>
      <c r="N4" s="4" t="s">
        <v>152</v>
      </c>
      <c r="O4" s="3" t="s">
        <v>143</v>
      </c>
      <c r="P4" s="3"/>
      <c r="Q4" s="3" t="s">
        <v>20</v>
      </c>
      <c r="R4" s="3" t="s">
        <v>144</v>
      </c>
      <c r="S4" s="3"/>
      <c r="T4" s="3"/>
      <c r="U4" s="3"/>
      <c r="V4" s="3"/>
      <c r="W4" s="12" t="n">
        <f aca="false">IFERROR(COUNTIF('UI 요소 상세'!B:B,A4),0)</f>
        <v>5</v>
      </c>
    </row>
    <row r="5" customFormat="false" ht="99.75" hidden="false" customHeight="true" outlineLevel="0" collapsed="false">
      <c r="A5" s="13" t="s">
        <v>48</v>
      </c>
      <c r="B5" s="5" t="s">
        <v>47</v>
      </c>
      <c r="C5" s="6" t="s">
        <v>15</v>
      </c>
      <c r="D5" s="6" t="s">
        <v>49</v>
      </c>
      <c r="E5" s="5" t="s">
        <v>50</v>
      </c>
      <c r="F5" s="14" t="str">
        <f aca="false">IFERROR(_xlfn.TEXTJOIN(CHAR(10),TRUE(),IF('UI 요소 상세'!B$1:B$500=A5,"□ "&amp;'UI 요소 상세'!C$1:C$500,"")),"")</f>
        <v/>
      </c>
      <c r="G5" s="6" t="s">
        <v>161</v>
      </c>
      <c r="H5" s="6" t="s">
        <v>162</v>
      </c>
      <c r="I5" s="6" t="s">
        <v>163</v>
      </c>
      <c r="J5" s="6" t="s">
        <v>164</v>
      </c>
      <c r="K5" s="6" t="s">
        <v>43</v>
      </c>
      <c r="L5" s="6" t="s">
        <v>165</v>
      </c>
      <c r="M5" s="5" t="s">
        <v>166</v>
      </c>
      <c r="N5" s="6" t="s">
        <v>152</v>
      </c>
      <c r="O5" s="5" t="s">
        <v>143</v>
      </c>
      <c r="P5" s="5"/>
      <c r="Q5" s="5" t="s">
        <v>41</v>
      </c>
      <c r="R5" s="5" t="s">
        <v>144</v>
      </c>
      <c r="S5" s="5"/>
      <c r="T5" s="5"/>
      <c r="U5" s="5"/>
      <c r="V5" s="5"/>
      <c r="W5" s="12" t="n">
        <f aca="false">IFERROR(COUNTIF('UI 요소 상세'!B:B,A5),0)</f>
        <v>4</v>
      </c>
    </row>
    <row r="6" customFormat="false" ht="99.75" hidden="false" customHeight="true" outlineLevel="0" collapsed="false">
      <c r="A6" s="10" t="s">
        <v>53</v>
      </c>
      <c r="B6" s="3" t="s">
        <v>51</v>
      </c>
      <c r="C6" s="4" t="s">
        <v>15</v>
      </c>
      <c r="D6" s="4" t="s">
        <v>54</v>
      </c>
      <c r="E6" s="3" t="s">
        <v>167</v>
      </c>
      <c r="F6" s="11" t="str">
        <f aca="false">IFERROR(_xlfn.TEXTJOIN(CHAR(10),TRUE(),IF('UI 요소 상세'!B$1:B$500=A6,"□ "&amp;'UI 요소 상세'!C$1:C$500,"")),"")</f>
        <v/>
      </c>
      <c r="G6" s="4" t="s">
        <v>168</v>
      </c>
      <c r="H6" s="4" t="s">
        <v>169</v>
      </c>
      <c r="I6" s="4" t="s">
        <v>170</v>
      </c>
      <c r="J6" s="3" t="s">
        <v>171</v>
      </c>
      <c r="K6" s="4" t="s">
        <v>172</v>
      </c>
      <c r="L6" s="4" t="s">
        <v>173</v>
      </c>
      <c r="M6" s="3" t="s">
        <v>174</v>
      </c>
      <c r="N6" s="4" t="s">
        <v>152</v>
      </c>
      <c r="O6" s="3" t="s">
        <v>143</v>
      </c>
      <c r="P6" s="3"/>
      <c r="Q6" s="3" t="s">
        <v>41</v>
      </c>
      <c r="R6" s="3" t="s">
        <v>144</v>
      </c>
      <c r="S6" s="3"/>
      <c r="T6" s="3"/>
      <c r="U6" s="3"/>
      <c r="V6" s="3"/>
      <c r="W6" s="12" t="n">
        <f aca="false">IFERROR(COUNTIF('UI 요소 상세'!B:B,A6),0)</f>
        <v>4</v>
      </c>
    </row>
    <row r="7" customFormat="false" ht="15" hidden="false" customHeight="true" outlineLevel="0" collapsed="false">
      <c r="F7" s="15" t="str">
        <f aca="false">IFERROR(_xlfn.TEXTJOIN(CHAR(10),TRUE(),IF('UI 요소 상세'!B$1:B$500=A7,"□ "&amp;'UI 요소 상세'!C$1:C$500,"")),"")</f>
        <v/>
      </c>
      <c r="S7" s="9" t="n">
        <f aca="false">IFERROR(COUNTIF(기능명세서!H:H,A7),0)</f>
        <v>0</v>
      </c>
      <c r="T7" s="9" t="n">
        <f aca="false">IFERROR(COUNTIF(QA테스트케이스!U:U,A7),0)</f>
        <v>0</v>
      </c>
      <c r="U7" s="9" t="n">
        <f aca="false">IFERROR(COUNTIF(API명세서!K:K,A7),0)</f>
        <v>0</v>
      </c>
      <c r="W7" s="9" t="n">
        <f aca="false">IFERROR(COUNTIF('UI 요소 상세'!B:B,A7),0)</f>
        <v>0</v>
      </c>
    </row>
    <row r="8" customFormat="false" ht="15" hidden="false" customHeight="true" outlineLevel="0" collapsed="false">
      <c r="F8" s="15" t="str">
        <f aca="false">IFERROR(_xlfn.TEXTJOIN(CHAR(10),TRUE(),IF('UI 요소 상세'!B$1:B$500=A8,"□ "&amp;'UI 요소 상세'!C$1:C$500,"")),"")</f>
        <v/>
      </c>
      <c r="S8" s="9" t="n">
        <f aca="false">IFERROR(COUNTIF(기능명세서!H:H,A8),0)</f>
        <v>0</v>
      </c>
      <c r="T8" s="9" t="n">
        <f aca="false">IFERROR(COUNTIF(QA테스트케이스!U:U,A8),0)</f>
        <v>0</v>
      </c>
      <c r="U8" s="9" t="n">
        <f aca="false">IFERROR(COUNTIF(API명세서!K:K,A8),0)</f>
        <v>0</v>
      </c>
      <c r="W8" s="9" t="n">
        <f aca="false">IFERROR(COUNTIF('UI 요소 상세'!B:B,A8),0)</f>
        <v>0</v>
      </c>
    </row>
    <row r="9" customFormat="false" ht="15" hidden="false" customHeight="true" outlineLevel="0" collapsed="false">
      <c r="F9" s="15" t="str">
        <f aca="false">IFERROR(_xlfn.TEXTJOIN(CHAR(10),TRUE(),IF('UI 요소 상세'!B$1:B$500=A9,"□ "&amp;'UI 요소 상세'!C$1:C$500,"")),"")</f>
        <v/>
      </c>
      <c r="S9" s="9" t="n">
        <f aca="false">IFERROR(COUNTIF(기능명세서!H:H,A9),0)</f>
        <v>0</v>
      </c>
      <c r="T9" s="9" t="n">
        <f aca="false">IFERROR(COUNTIF(QA테스트케이스!U:U,A9),0)</f>
        <v>0</v>
      </c>
      <c r="U9" s="9" t="n">
        <f aca="false">IFERROR(COUNTIF(API명세서!K:K,A9),0)</f>
        <v>0</v>
      </c>
      <c r="W9" s="9" t="n">
        <f aca="false">IFERROR(COUNTIF('UI 요소 상세'!B:B,A9),0)</f>
        <v>0</v>
      </c>
    </row>
    <row r="10" customFormat="false" ht="15" hidden="false" customHeight="true" outlineLevel="0" collapsed="false">
      <c r="F10" s="15" t="str">
        <f aca="false">IFERROR(_xlfn.TEXTJOIN(CHAR(10),TRUE(),IF('UI 요소 상세'!B$1:B$500=A10,"□ "&amp;'UI 요소 상세'!C$1:C$500,"")),"")</f>
        <v/>
      </c>
      <c r="S10" s="9" t="n">
        <f aca="false">IFERROR(COUNTIF(기능명세서!H:H,A10),0)</f>
        <v>0</v>
      </c>
      <c r="T10" s="9" t="n">
        <f aca="false">IFERROR(COUNTIF(QA테스트케이스!U:U,A10),0)</f>
        <v>0</v>
      </c>
      <c r="U10" s="9" t="n">
        <f aca="false">IFERROR(COUNTIF(API명세서!K:K,A10),0)</f>
        <v>0</v>
      </c>
      <c r="W10" s="9" t="n">
        <f aca="false">IFERROR(COUNTIF('UI 요소 상세'!B:B,A10),0)</f>
        <v>0</v>
      </c>
    </row>
    <row r="11" customFormat="false" ht="15" hidden="false" customHeight="true" outlineLevel="0" collapsed="false">
      <c r="F11" s="15" t="str">
        <f aca="false">IFERROR(_xlfn.TEXTJOIN(CHAR(10),TRUE(),IF('UI 요소 상세'!B$1:B$500=A11,"□ "&amp;'UI 요소 상세'!C$1:C$500,"")),"")</f>
        <v/>
      </c>
      <c r="S11" s="9" t="n">
        <f aca="false">IFERROR(COUNTIF(기능명세서!H:H,A11),0)</f>
        <v>0</v>
      </c>
      <c r="T11" s="9" t="n">
        <f aca="false">IFERROR(COUNTIF(QA테스트케이스!U:U,A11),0)</f>
        <v>0</v>
      </c>
      <c r="U11" s="9" t="n">
        <f aca="false">IFERROR(COUNTIF(API명세서!K:K,A11),0)</f>
        <v>0</v>
      </c>
      <c r="W11" s="9" t="n">
        <f aca="false">IFERROR(COUNTIF('UI 요소 상세'!B:B,A11),0)</f>
        <v>0</v>
      </c>
    </row>
    <row r="12" customFormat="false" ht="15" hidden="false" customHeight="true" outlineLevel="0" collapsed="false">
      <c r="F12" s="15" t="str">
        <f aca="false">IFERROR(_xlfn.TEXTJOIN(CHAR(10),TRUE(),IF('UI 요소 상세'!B$1:B$500=A12,"□ "&amp;'UI 요소 상세'!C$1:C$500,"")),"")</f>
        <v/>
      </c>
      <c r="S12" s="9" t="n">
        <f aca="false">IFERROR(COUNTIF(기능명세서!H:H,A12),0)</f>
        <v>0</v>
      </c>
      <c r="T12" s="9" t="n">
        <f aca="false">IFERROR(COUNTIF(QA테스트케이스!U:U,A12),0)</f>
        <v>0</v>
      </c>
      <c r="U12" s="9" t="n">
        <f aca="false">IFERROR(COUNTIF(API명세서!K:K,A12),0)</f>
        <v>0</v>
      </c>
      <c r="W12" s="9" t="n">
        <f aca="false">IFERROR(COUNTIF('UI 요소 상세'!B:B,A12),0)</f>
        <v>0</v>
      </c>
    </row>
    <row r="13" customFormat="false" ht="15" hidden="false" customHeight="true" outlineLevel="0" collapsed="false">
      <c r="F13" s="15" t="str">
        <f aca="false">IFERROR(_xlfn.TEXTJOIN(CHAR(10),TRUE(),IF('UI 요소 상세'!B$1:B$500=A13,"□ "&amp;'UI 요소 상세'!C$1:C$500,"")),"")</f>
        <v/>
      </c>
      <c r="S13" s="9" t="n">
        <f aca="false">IFERROR(COUNTIF(기능명세서!H:H,A13),0)</f>
        <v>0</v>
      </c>
      <c r="T13" s="9" t="n">
        <f aca="false">IFERROR(COUNTIF(QA테스트케이스!U:U,A13),0)</f>
        <v>0</v>
      </c>
      <c r="U13" s="9" t="n">
        <f aca="false">IFERROR(COUNTIF(API명세서!K:K,A13),0)</f>
        <v>0</v>
      </c>
      <c r="W13" s="9" t="n">
        <f aca="false">IFERROR(COUNTIF('UI 요소 상세'!B:B,A13),0)</f>
        <v>0</v>
      </c>
    </row>
    <row r="14" customFormat="false" ht="15" hidden="false" customHeight="true" outlineLevel="0" collapsed="false">
      <c r="F14" s="15" t="str">
        <f aca="false">IFERROR(_xlfn.TEXTJOIN(CHAR(10),TRUE(),IF('UI 요소 상세'!B$1:B$500=A14,"□ "&amp;'UI 요소 상세'!C$1:C$500,"")),"")</f>
        <v/>
      </c>
      <c r="S14" s="9" t="n">
        <f aca="false">IFERROR(COUNTIF(기능명세서!H:H,A14),0)</f>
        <v>0</v>
      </c>
      <c r="T14" s="9" t="n">
        <f aca="false">IFERROR(COUNTIF(QA테스트케이스!U:U,A14),0)</f>
        <v>0</v>
      </c>
      <c r="U14" s="9" t="n">
        <f aca="false">IFERROR(COUNTIF(API명세서!K:K,A14),0)</f>
        <v>0</v>
      </c>
      <c r="W14" s="9" t="n">
        <f aca="false">IFERROR(COUNTIF('UI 요소 상세'!B:B,A14),0)</f>
        <v>0</v>
      </c>
    </row>
    <row r="15" customFormat="false" ht="15" hidden="false" customHeight="true" outlineLevel="0" collapsed="false">
      <c r="F15" s="15" t="str">
        <f aca="false">IFERROR(_xlfn.TEXTJOIN(CHAR(10),TRUE(),IF('UI 요소 상세'!B$1:B$500=A15,"□ "&amp;'UI 요소 상세'!C$1:C$500,"")),"")</f>
        <v/>
      </c>
      <c r="S15" s="9" t="n">
        <f aca="false">IFERROR(COUNTIF(기능명세서!H:H,A15),0)</f>
        <v>0</v>
      </c>
      <c r="T15" s="9" t="n">
        <f aca="false">IFERROR(COUNTIF(QA테스트케이스!U:U,A15),0)</f>
        <v>0</v>
      </c>
      <c r="U15" s="9" t="n">
        <f aca="false">IFERROR(COUNTIF(API명세서!K:K,A15),0)</f>
        <v>0</v>
      </c>
      <c r="W15" s="9" t="n">
        <f aca="false">IFERROR(COUNTIF('UI 요소 상세'!B:B,A15),0)</f>
        <v>0</v>
      </c>
    </row>
    <row r="16" customFormat="false" ht="15" hidden="false" customHeight="true" outlineLevel="0" collapsed="false">
      <c r="F16" s="15" t="str">
        <f aca="false">IFERROR(_xlfn.TEXTJOIN(CHAR(10),TRUE(),IF('UI 요소 상세'!B$1:B$500=A16,"□ "&amp;'UI 요소 상세'!C$1:C$500,"")),"")</f>
        <v/>
      </c>
      <c r="S16" s="9" t="n">
        <f aca="false">IFERROR(COUNTIF(기능명세서!H:H,A16),0)</f>
        <v>0</v>
      </c>
      <c r="T16" s="9" t="n">
        <f aca="false">IFERROR(COUNTIF(QA테스트케이스!U:U,A16),0)</f>
        <v>0</v>
      </c>
      <c r="U16" s="9" t="n">
        <f aca="false">IFERROR(COUNTIF(API명세서!K:K,A16),0)</f>
        <v>0</v>
      </c>
      <c r="W16" s="9" t="n">
        <f aca="false">IFERROR(COUNTIF('UI 요소 상세'!B:B,A16),0)</f>
        <v>0</v>
      </c>
    </row>
    <row r="17" customFormat="false" ht="15" hidden="false" customHeight="true" outlineLevel="0" collapsed="false">
      <c r="F17" s="15" t="str">
        <f aca="false">IFERROR(_xlfn.TEXTJOIN(CHAR(10),TRUE(),IF('UI 요소 상세'!B$1:B$500=A17,"□ "&amp;'UI 요소 상세'!C$1:C$500,"")),"")</f>
        <v/>
      </c>
      <c r="S17" s="9" t="n">
        <f aca="false">IFERROR(COUNTIF(기능명세서!H:H,A17),0)</f>
        <v>0</v>
      </c>
      <c r="T17" s="9" t="n">
        <f aca="false">IFERROR(COUNTIF(QA테스트케이스!U:U,A17),0)</f>
        <v>0</v>
      </c>
      <c r="U17" s="9" t="n">
        <f aca="false">IFERROR(COUNTIF(API명세서!K:K,A17),0)</f>
        <v>0</v>
      </c>
      <c r="W17" s="9" t="n">
        <f aca="false">IFERROR(COUNTIF('UI 요소 상세'!B:B,A17),0)</f>
        <v>0</v>
      </c>
    </row>
    <row r="18" customFormat="false" ht="15" hidden="false" customHeight="true" outlineLevel="0" collapsed="false">
      <c r="F18" s="15" t="str">
        <f aca="false">IFERROR(_xlfn.TEXTJOIN(CHAR(10),TRUE(),IF('UI 요소 상세'!B$1:B$500=A18,"□ "&amp;'UI 요소 상세'!C$1:C$500,"")),"")</f>
        <v/>
      </c>
      <c r="S18" s="9" t="n">
        <f aca="false">IFERROR(COUNTIF(기능명세서!H:H,A18),0)</f>
        <v>0</v>
      </c>
      <c r="T18" s="9" t="n">
        <f aca="false">IFERROR(COUNTIF(QA테스트케이스!U:U,A18),0)</f>
        <v>0</v>
      </c>
      <c r="U18" s="9" t="n">
        <f aca="false">IFERROR(COUNTIF(API명세서!K:K,A18),0)</f>
        <v>0</v>
      </c>
      <c r="W18" s="9" t="n">
        <f aca="false">IFERROR(COUNTIF('UI 요소 상세'!B:B,A18),0)</f>
        <v>0</v>
      </c>
    </row>
    <row r="19" customFormat="false" ht="15" hidden="false" customHeight="true" outlineLevel="0" collapsed="false">
      <c r="F19" s="15" t="str">
        <f aca="false">IFERROR(_xlfn.TEXTJOIN(CHAR(10),TRUE(),IF('UI 요소 상세'!B$1:B$500=A19,"□ "&amp;'UI 요소 상세'!C$1:C$500,"")),"")</f>
        <v/>
      </c>
      <c r="S19" s="9" t="n">
        <f aca="false">IFERROR(COUNTIF(기능명세서!H:H,A19),0)</f>
        <v>0</v>
      </c>
      <c r="T19" s="9" t="n">
        <f aca="false">IFERROR(COUNTIF(QA테스트케이스!U:U,A19),0)</f>
        <v>0</v>
      </c>
      <c r="U19" s="9" t="n">
        <f aca="false">IFERROR(COUNTIF(API명세서!K:K,A19),0)</f>
        <v>0</v>
      </c>
      <c r="W19" s="9" t="n">
        <f aca="false">IFERROR(COUNTIF('UI 요소 상세'!B:B,A19),0)</f>
        <v>0</v>
      </c>
    </row>
    <row r="20" customFormat="false" ht="15" hidden="false" customHeight="true" outlineLevel="0" collapsed="false">
      <c r="F20" s="15" t="str">
        <f aca="false">IFERROR(_xlfn.TEXTJOIN(CHAR(10),TRUE(),IF('UI 요소 상세'!B$1:B$500=A20,"□ "&amp;'UI 요소 상세'!C$1:C$500,"")),"")</f>
        <v/>
      </c>
      <c r="S20" s="9" t="n">
        <f aca="false">IFERROR(COUNTIF(기능명세서!H:H,A20),0)</f>
        <v>0</v>
      </c>
      <c r="T20" s="9" t="n">
        <f aca="false">IFERROR(COUNTIF(QA테스트케이스!U:U,A20),0)</f>
        <v>0</v>
      </c>
      <c r="U20" s="9" t="n">
        <f aca="false">IFERROR(COUNTIF(API명세서!K:K,A20),0)</f>
        <v>0</v>
      </c>
      <c r="W20" s="9" t="n">
        <f aca="false">IFERROR(COUNTIF('UI 요소 상세'!B:B,A20),0)</f>
        <v>0</v>
      </c>
    </row>
    <row r="21" customFormat="false" ht="15" hidden="false" customHeight="true" outlineLevel="0" collapsed="false">
      <c r="F21" s="15" t="str">
        <f aca="false">IFERROR(_xlfn.TEXTJOIN(CHAR(10),TRUE(),IF('UI 요소 상세'!B$1:B$500=A21,"□ "&amp;'UI 요소 상세'!C$1:C$500,"")),"")</f>
        <v/>
      </c>
      <c r="S21" s="9" t="n">
        <f aca="false">IFERROR(COUNTIF(기능명세서!H:H,A21),0)</f>
        <v>0</v>
      </c>
      <c r="T21" s="9" t="n">
        <f aca="false">IFERROR(COUNTIF(QA테스트케이스!U:U,A21),0)</f>
        <v>0</v>
      </c>
      <c r="U21" s="9" t="n">
        <f aca="false">IFERROR(COUNTIF(API명세서!K:K,A21),0)</f>
        <v>0</v>
      </c>
      <c r="W21" s="9" t="n">
        <f aca="false">IFERROR(COUNTIF('UI 요소 상세'!B:B,A21),0)</f>
        <v>0</v>
      </c>
    </row>
    <row r="22" customFormat="false" ht="15" hidden="false" customHeight="true" outlineLevel="0" collapsed="false">
      <c r="F22" s="15" t="str">
        <f aca="false">IFERROR(_xlfn.TEXTJOIN(CHAR(10),TRUE(),IF('UI 요소 상세'!B$1:B$500=A22,"□ "&amp;'UI 요소 상세'!C$1:C$500,"")),"")</f>
        <v/>
      </c>
      <c r="S22" s="9" t="n">
        <f aca="false">IFERROR(COUNTIF(기능명세서!H:H,A22),0)</f>
        <v>0</v>
      </c>
      <c r="T22" s="9" t="n">
        <f aca="false">IFERROR(COUNTIF(QA테스트케이스!U:U,A22),0)</f>
        <v>0</v>
      </c>
      <c r="U22" s="9" t="n">
        <f aca="false">IFERROR(COUNTIF(API명세서!K:K,A22),0)</f>
        <v>0</v>
      </c>
      <c r="W22" s="9" t="n">
        <f aca="false">IFERROR(COUNTIF('UI 요소 상세'!B:B,A22),0)</f>
        <v>0</v>
      </c>
    </row>
    <row r="23" customFormat="false" ht="15" hidden="false" customHeight="true" outlineLevel="0" collapsed="false">
      <c r="F23" s="15" t="str">
        <f aca="false">IFERROR(_xlfn.TEXTJOIN(CHAR(10),TRUE(),IF('UI 요소 상세'!B$1:B$500=A23,"□ "&amp;'UI 요소 상세'!C$1:C$500,"")),"")</f>
        <v/>
      </c>
      <c r="S23" s="9" t="n">
        <f aca="false">IFERROR(COUNTIF(기능명세서!H:H,A23),0)</f>
        <v>0</v>
      </c>
      <c r="T23" s="9" t="n">
        <f aca="false">IFERROR(COUNTIF(QA테스트케이스!U:U,A23),0)</f>
        <v>0</v>
      </c>
      <c r="U23" s="9" t="n">
        <f aca="false">IFERROR(COUNTIF(API명세서!K:K,A23),0)</f>
        <v>0</v>
      </c>
      <c r="W23" s="9" t="n">
        <f aca="false">IFERROR(COUNTIF('UI 요소 상세'!B:B,A23),0)</f>
        <v>0</v>
      </c>
    </row>
    <row r="24" customFormat="false" ht="15" hidden="false" customHeight="true" outlineLevel="0" collapsed="false">
      <c r="F24" s="15" t="str">
        <f aca="false">IFERROR(_xlfn.TEXTJOIN(CHAR(10),TRUE(),IF('UI 요소 상세'!B$1:B$500=A24,"□ "&amp;'UI 요소 상세'!C$1:C$500,"")),"")</f>
        <v/>
      </c>
      <c r="S24" s="9" t="n">
        <f aca="false">IFERROR(COUNTIF(기능명세서!H:H,A24),0)</f>
        <v>0</v>
      </c>
      <c r="T24" s="9" t="n">
        <f aca="false">IFERROR(COUNTIF(QA테스트케이스!U:U,A24),0)</f>
        <v>0</v>
      </c>
      <c r="U24" s="9" t="n">
        <f aca="false">IFERROR(COUNTIF(API명세서!K:K,A24),0)</f>
        <v>0</v>
      </c>
      <c r="W24" s="9" t="n">
        <f aca="false">IFERROR(COUNTIF('UI 요소 상세'!B:B,A24),0)</f>
        <v>0</v>
      </c>
    </row>
    <row r="25" customFormat="false" ht="15" hidden="false" customHeight="true" outlineLevel="0" collapsed="false">
      <c r="F25" s="15" t="str">
        <f aca="false">IFERROR(_xlfn.TEXTJOIN(CHAR(10),TRUE(),IF('UI 요소 상세'!B$1:B$500=A25,"□ "&amp;'UI 요소 상세'!C$1:C$500,"")),"")</f>
        <v/>
      </c>
      <c r="S25" s="9" t="n">
        <f aca="false">IFERROR(COUNTIF(기능명세서!H:H,A25),0)</f>
        <v>0</v>
      </c>
      <c r="T25" s="9" t="n">
        <f aca="false">IFERROR(COUNTIF(QA테스트케이스!U:U,A25),0)</f>
        <v>0</v>
      </c>
      <c r="U25" s="9" t="n">
        <f aca="false">IFERROR(COUNTIF(API명세서!K:K,A25),0)</f>
        <v>0</v>
      </c>
      <c r="W25" s="9" t="n">
        <f aca="false">IFERROR(COUNTIF('UI 요소 상세'!B:B,A25),0)</f>
        <v>0</v>
      </c>
    </row>
    <row r="26" customFormat="false" ht="15" hidden="false" customHeight="true" outlineLevel="0" collapsed="false">
      <c r="F26" s="15" t="str">
        <f aca="false">IFERROR(_xlfn.TEXTJOIN(CHAR(10),TRUE(),IF('UI 요소 상세'!B$1:B$500=A26,"□ "&amp;'UI 요소 상세'!C$1:C$500,"")),"")</f>
        <v/>
      </c>
      <c r="S26" s="9" t="n">
        <f aca="false">IFERROR(COUNTIF(기능명세서!H:H,A26),0)</f>
        <v>0</v>
      </c>
      <c r="T26" s="9" t="n">
        <f aca="false">IFERROR(COUNTIF(QA테스트케이스!U:U,A26),0)</f>
        <v>0</v>
      </c>
      <c r="U26" s="9" t="n">
        <f aca="false">IFERROR(COUNTIF(API명세서!K:K,A26),0)</f>
        <v>0</v>
      </c>
      <c r="W26" s="9" t="n">
        <f aca="false">IFERROR(COUNTIF('UI 요소 상세'!B:B,A26),0)</f>
        <v>0</v>
      </c>
    </row>
    <row r="27" customFormat="false" ht="15" hidden="false" customHeight="true" outlineLevel="0" collapsed="false">
      <c r="F27" s="15" t="str">
        <f aca="false">IFERROR(_xlfn.TEXTJOIN(CHAR(10),TRUE(),IF('UI 요소 상세'!B$1:B$500=A27,"□ "&amp;'UI 요소 상세'!C$1:C$500,"")),"")</f>
        <v/>
      </c>
      <c r="S27" s="9" t="n">
        <f aca="false">IFERROR(COUNTIF(기능명세서!H:H,A27),0)</f>
        <v>0</v>
      </c>
      <c r="T27" s="9" t="n">
        <f aca="false">IFERROR(COUNTIF(QA테스트케이스!U:U,A27),0)</f>
        <v>0</v>
      </c>
      <c r="U27" s="9" t="n">
        <f aca="false">IFERROR(COUNTIF(API명세서!K:K,A27),0)</f>
        <v>0</v>
      </c>
      <c r="W27" s="9" t="n">
        <f aca="false">IFERROR(COUNTIF('UI 요소 상세'!B:B,A27),0)</f>
        <v>0</v>
      </c>
    </row>
    <row r="28" customFormat="false" ht="15" hidden="false" customHeight="true" outlineLevel="0" collapsed="false">
      <c r="F28" s="15" t="str">
        <f aca="false">IFERROR(_xlfn.TEXTJOIN(CHAR(10),TRUE(),IF('UI 요소 상세'!B$1:B$500=A28,"□ "&amp;'UI 요소 상세'!C$1:C$500,"")),"")</f>
        <v/>
      </c>
      <c r="S28" s="9" t="n">
        <f aca="false">IFERROR(COUNTIF(기능명세서!H:H,A28),0)</f>
        <v>0</v>
      </c>
      <c r="T28" s="9" t="n">
        <f aca="false">IFERROR(COUNTIF(QA테스트케이스!U:U,A28),0)</f>
        <v>0</v>
      </c>
      <c r="U28" s="9" t="n">
        <f aca="false">IFERROR(COUNTIF(API명세서!K:K,A28),0)</f>
        <v>0</v>
      </c>
      <c r="W28" s="9" t="n">
        <f aca="false">IFERROR(COUNTIF('UI 요소 상세'!B:B,A28),0)</f>
        <v>0</v>
      </c>
    </row>
    <row r="29" customFormat="false" ht="15" hidden="false" customHeight="true" outlineLevel="0" collapsed="false">
      <c r="F29" s="15" t="str">
        <f aca="false">IFERROR(_xlfn.TEXTJOIN(CHAR(10),TRUE(),IF('UI 요소 상세'!B$1:B$500=A29,"□ "&amp;'UI 요소 상세'!C$1:C$500,"")),"")</f>
        <v/>
      </c>
      <c r="S29" s="9" t="n">
        <f aca="false">IFERROR(COUNTIF(기능명세서!H:H,A29),0)</f>
        <v>0</v>
      </c>
      <c r="T29" s="9" t="n">
        <f aca="false">IFERROR(COUNTIF(QA테스트케이스!U:U,A29),0)</f>
        <v>0</v>
      </c>
      <c r="U29" s="9" t="n">
        <f aca="false">IFERROR(COUNTIF(API명세서!K:K,A29),0)</f>
        <v>0</v>
      </c>
      <c r="W29" s="9" t="n">
        <f aca="false">IFERROR(COUNTIF('UI 요소 상세'!B:B,A29),0)</f>
        <v>0</v>
      </c>
    </row>
    <row r="30" customFormat="false" ht="15" hidden="false" customHeight="true" outlineLevel="0" collapsed="false">
      <c r="F30" s="15" t="str">
        <f aca="false">IFERROR(_xlfn.TEXTJOIN(CHAR(10),TRUE(),IF('UI 요소 상세'!B$1:B$500=A30,"□ "&amp;'UI 요소 상세'!C$1:C$500,"")),"")</f>
        <v/>
      </c>
      <c r="S30" s="9" t="n">
        <f aca="false">IFERROR(COUNTIF(기능명세서!H:H,A30),0)</f>
        <v>0</v>
      </c>
      <c r="T30" s="9" t="n">
        <f aca="false">IFERROR(COUNTIF(QA테스트케이스!U:U,A30),0)</f>
        <v>0</v>
      </c>
      <c r="U30" s="9" t="n">
        <f aca="false">IFERROR(COUNTIF(API명세서!K:K,A30),0)</f>
        <v>0</v>
      </c>
      <c r="W30" s="9" t="n">
        <f aca="false">IFERROR(COUNTIF('UI 요소 상세'!B:B,A30),0)</f>
        <v>0</v>
      </c>
    </row>
    <row r="31" customFormat="false" ht="15" hidden="false" customHeight="true" outlineLevel="0" collapsed="false">
      <c r="F31" s="15" t="str">
        <f aca="false">IFERROR(_xlfn.TEXTJOIN(CHAR(10),TRUE(),IF('UI 요소 상세'!B$1:B$500=A31,"□ "&amp;'UI 요소 상세'!C$1:C$500,"")),"")</f>
        <v>□ </v>
      </c>
      <c r="S31" s="9" t="n">
        <f aca="false">IFERROR(COUNTIF(기능명세서!H:H,A31),0)</f>
        <v>0</v>
      </c>
      <c r="T31" s="9" t="n">
        <f aca="false">IFERROR(COUNTIF(QA테스트케이스!U:U,A31),0)</f>
        <v>0</v>
      </c>
      <c r="U31" s="9" t="n">
        <f aca="false">IFERROR(COUNTIF(API명세서!K:K,A31),0)</f>
        <v>0</v>
      </c>
      <c r="W31" s="9" t="n">
        <f aca="false">IFERROR(COUNTIF('UI 요소 상세'!B:B,A31),0)</f>
        <v>0</v>
      </c>
    </row>
    <row r="32" customFormat="false" ht="15" hidden="false" customHeight="true" outlineLevel="0" collapsed="false">
      <c r="F32" s="15" t="str">
        <f aca="false">IFERROR(_xlfn.TEXTJOIN(CHAR(10),TRUE(),IF('UI 요소 상세'!B$1:B$500=A32,"□ "&amp;'UI 요소 상세'!C$1:C$500,"")),"")</f>
        <v>□ </v>
      </c>
      <c r="S32" s="9" t="n">
        <f aca="false">IFERROR(COUNTIF(기능명세서!H:H,A32),0)</f>
        <v>0</v>
      </c>
      <c r="T32" s="9" t="n">
        <f aca="false">IFERROR(COUNTIF(QA테스트케이스!U:U,A32),0)</f>
        <v>0</v>
      </c>
      <c r="U32" s="9" t="n">
        <f aca="false">IFERROR(COUNTIF(API명세서!K:K,A32),0)</f>
        <v>0</v>
      </c>
      <c r="W32" s="9" t="n">
        <f aca="false">IFERROR(COUNTIF('UI 요소 상세'!B:B,A32),0)</f>
        <v>0</v>
      </c>
    </row>
    <row r="33" customFormat="false" ht="15" hidden="false" customHeight="true" outlineLevel="0" collapsed="false">
      <c r="F33" s="15" t="str">
        <f aca="false">IFERROR(_xlfn.TEXTJOIN(CHAR(10),TRUE(),IF('UI 요소 상세'!B$1:B$500=A33,"□ "&amp;'UI 요소 상세'!C$1:C$500,"")),"")</f>
        <v>□ </v>
      </c>
      <c r="S33" s="9" t="n">
        <f aca="false">IFERROR(COUNTIF(기능명세서!H:H,A33),0)</f>
        <v>0</v>
      </c>
      <c r="T33" s="9" t="n">
        <f aca="false">IFERROR(COUNTIF(QA테스트케이스!U:U,A33),0)</f>
        <v>0</v>
      </c>
      <c r="U33" s="9" t="n">
        <f aca="false">IFERROR(COUNTIF(API명세서!K:K,A33),0)</f>
        <v>0</v>
      </c>
      <c r="W33" s="9" t="n">
        <f aca="false">IFERROR(COUNTIF('UI 요소 상세'!B:B,A33),0)</f>
        <v>0</v>
      </c>
    </row>
    <row r="34" customFormat="false" ht="15" hidden="false" customHeight="true" outlineLevel="0" collapsed="false">
      <c r="F34" s="15" t="str">
        <f aca="false">IFERROR(_xlfn.TEXTJOIN(CHAR(10),TRUE(),IF('UI 요소 상세'!B$1:B$500=A34,"□ "&amp;'UI 요소 상세'!C$1:C$500,"")),"")</f>
        <v>□ </v>
      </c>
      <c r="S34" s="9" t="n">
        <f aca="false">IFERROR(COUNTIF(기능명세서!H:H,A34),0)</f>
        <v>0</v>
      </c>
      <c r="T34" s="9" t="n">
        <f aca="false">IFERROR(COUNTIF(QA테스트케이스!U:U,A34),0)</f>
        <v>0</v>
      </c>
      <c r="U34" s="9" t="n">
        <f aca="false">IFERROR(COUNTIF(API명세서!K:K,A34),0)</f>
        <v>0</v>
      </c>
      <c r="W34" s="9" t="n">
        <f aca="false">IFERROR(COUNTIF('UI 요소 상세'!B:B,A34),0)</f>
        <v>0</v>
      </c>
    </row>
    <row r="35" customFormat="false" ht="15" hidden="false" customHeight="true" outlineLevel="0" collapsed="false">
      <c r="F35" s="15" t="str">
        <f aca="false">IFERROR(_xlfn.TEXTJOIN(CHAR(10),TRUE(),IF('UI 요소 상세'!B$1:B$500=A35,"□ "&amp;'UI 요소 상세'!C$1:C$500,"")),"")</f>
        <v>□ </v>
      </c>
      <c r="S35" s="9" t="n">
        <f aca="false">IFERROR(COUNTIF(기능명세서!H:H,A35),0)</f>
        <v>0</v>
      </c>
      <c r="T35" s="9" t="n">
        <f aca="false">IFERROR(COUNTIF(QA테스트케이스!U:U,A35),0)</f>
        <v>0</v>
      </c>
      <c r="U35" s="9" t="n">
        <f aca="false">IFERROR(COUNTIF(API명세서!K:K,A35),0)</f>
        <v>0</v>
      </c>
      <c r="W35" s="9" t="n">
        <f aca="false">IFERROR(COUNTIF('UI 요소 상세'!B:B,A35),0)</f>
        <v>0</v>
      </c>
    </row>
    <row r="36" customFormat="false" ht="15" hidden="false" customHeight="true" outlineLevel="0" collapsed="false">
      <c r="F36" s="15" t="str">
        <f aca="false">IFERROR(_xlfn.TEXTJOIN(CHAR(10),TRUE(),IF('UI 요소 상세'!B$1:B$500=A36,"□ "&amp;'UI 요소 상세'!C$1:C$500,"")),"")</f>
        <v>□ </v>
      </c>
      <c r="S36" s="9" t="n">
        <f aca="false">IFERROR(COUNTIF(기능명세서!H:H,A36),0)</f>
        <v>0</v>
      </c>
      <c r="T36" s="9" t="n">
        <f aca="false">IFERROR(COUNTIF(QA테스트케이스!U:U,A36),0)</f>
        <v>0</v>
      </c>
      <c r="U36" s="9" t="n">
        <f aca="false">IFERROR(COUNTIF(API명세서!K:K,A36),0)</f>
        <v>0</v>
      </c>
      <c r="W36" s="9" t="n">
        <f aca="false">IFERROR(COUNTIF('UI 요소 상세'!B:B,A36),0)</f>
        <v>0</v>
      </c>
    </row>
    <row r="37" customFormat="false" ht="15" hidden="false" customHeight="true" outlineLevel="0" collapsed="false">
      <c r="F37" s="15" t="str">
        <f aca="false">IFERROR(_xlfn.TEXTJOIN(CHAR(10),TRUE(),IF('UI 요소 상세'!B$1:B$500=A37,"□ "&amp;'UI 요소 상세'!C$1:C$500,"")),"")</f>
        <v>□ </v>
      </c>
      <c r="S37" s="9" t="n">
        <f aca="false">IFERROR(COUNTIF(기능명세서!H:H,A37),0)</f>
        <v>0</v>
      </c>
      <c r="T37" s="9" t="n">
        <f aca="false">IFERROR(COUNTIF(QA테스트케이스!U:U,A37),0)</f>
        <v>0</v>
      </c>
      <c r="U37" s="9" t="n">
        <f aca="false">IFERROR(COUNTIF(API명세서!K:K,A37),0)</f>
        <v>0</v>
      </c>
      <c r="W37" s="9" t="n">
        <f aca="false">IFERROR(COUNTIF('UI 요소 상세'!B:B,A37),0)</f>
        <v>0</v>
      </c>
    </row>
    <row r="38" customFormat="false" ht="15" hidden="false" customHeight="true" outlineLevel="0" collapsed="false">
      <c r="F38" s="15" t="str">
        <f aca="false">IFERROR(_xlfn.TEXTJOIN(CHAR(10),TRUE(),IF('UI 요소 상세'!B$1:B$500=A38,"□ "&amp;'UI 요소 상세'!C$1:C$500,"")),"")</f>
        <v>□ </v>
      </c>
      <c r="S38" s="9" t="n">
        <f aca="false">IFERROR(COUNTIF(기능명세서!H:H,A38),0)</f>
        <v>0</v>
      </c>
      <c r="T38" s="9" t="n">
        <f aca="false">IFERROR(COUNTIF(QA테스트케이스!U:U,A38),0)</f>
        <v>0</v>
      </c>
      <c r="U38" s="9" t="n">
        <f aca="false">IFERROR(COUNTIF(API명세서!K:K,A38),0)</f>
        <v>0</v>
      </c>
      <c r="W38" s="9" t="n">
        <f aca="false">IFERROR(COUNTIF('UI 요소 상세'!B:B,A38),0)</f>
        <v>0</v>
      </c>
    </row>
    <row r="39" customFormat="false" ht="15" hidden="false" customHeight="true" outlineLevel="0" collapsed="false">
      <c r="F39" s="15" t="str">
        <f aca="false">IFERROR(_xlfn.TEXTJOIN(CHAR(10),TRUE(),IF('UI 요소 상세'!B$1:B$500=A39,"□ "&amp;'UI 요소 상세'!C$1:C$500,"")),"")</f>
        <v>□ </v>
      </c>
      <c r="S39" s="9" t="n">
        <f aca="false">IFERROR(COUNTIF(기능명세서!H:H,A39),0)</f>
        <v>0</v>
      </c>
      <c r="T39" s="9" t="n">
        <f aca="false">IFERROR(COUNTIF(QA테스트케이스!U:U,A39),0)</f>
        <v>0</v>
      </c>
      <c r="U39" s="9" t="n">
        <f aca="false">IFERROR(COUNTIF(API명세서!K:K,A39),0)</f>
        <v>0</v>
      </c>
      <c r="W39" s="9" t="n">
        <f aca="false">IFERROR(COUNTIF('UI 요소 상세'!B:B,A39),0)</f>
        <v>0</v>
      </c>
    </row>
    <row r="40" customFormat="false" ht="15" hidden="false" customHeight="true" outlineLevel="0" collapsed="false">
      <c r="F40" s="15" t="str">
        <f aca="false">IFERROR(_xlfn.TEXTJOIN(CHAR(10),TRUE(),IF('UI 요소 상세'!B$1:B$500=A40,"□ "&amp;'UI 요소 상세'!C$1:C$500,"")),"")</f>
        <v>□ </v>
      </c>
      <c r="S40" s="9" t="n">
        <f aca="false">IFERROR(COUNTIF(기능명세서!H:H,A40),0)</f>
        <v>0</v>
      </c>
      <c r="T40" s="9" t="n">
        <f aca="false">IFERROR(COUNTIF(QA테스트케이스!U:U,A40),0)</f>
        <v>0</v>
      </c>
      <c r="U40" s="9" t="n">
        <f aca="false">IFERROR(COUNTIF(API명세서!K:K,A40),0)</f>
        <v>0</v>
      </c>
      <c r="W40" s="9" t="n">
        <f aca="false">IFERROR(COUNTIF('UI 요소 상세'!B:B,A40),0)</f>
        <v>0</v>
      </c>
    </row>
    <row r="41" customFormat="false" ht="15" hidden="false" customHeight="true" outlineLevel="0" collapsed="false">
      <c r="F41" s="15" t="str">
        <f aca="false">IFERROR(_xlfn.TEXTJOIN(CHAR(10),TRUE(),IF('UI 요소 상세'!B$1:B$500=A41,"□ "&amp;'UI 요소 상세'!C$1:C$500,"")),"")</f>
        <v>□ </v>
      </c>
      <c r="S41" s="9" t="n">
        <f aca="false">IFERROR(COUNTIF(기능명세서!H:H,A41),0)</f>
        <v>0</v>
      </c>
      <c r="T41" s="9" t="n">
        <f aca="false">IFERROR(COUNTIF(QA테스트케이스!U:U,A41),0)</f>
        <v>0</v>
      </c>
      <c r="U41" s="9" t="n">
        <f aca="false">IFERROR(COUNTIF(API명세서!K:K,A41),0)</f>
        <v>0</v>
      </c>
      <c r="W41" s="9" t="n">
        <f aca="false">IFERROR(COUNTIF('UI 요소 상세'!B:B,A41),0)</f>
        <v>0</v>
      </c>
    </row>
    <row r="42" customFormat="false" ht="15" hidden="false" customHeight="true" outlineLevel="0" collapsed="false">
      <c r="F42" s="15" t="str">
        <f aca="false">IFERROR(_xlfn.TEXTJOIN(CHAR(10),TRUE(),IF('UI 요소 상세'!B$1:B$500=A42,"□ "&amp;'UI 요소 상세'!C$1:C$500,"")),"")</f>
        <v>□ </v>
      </c>
      <c r="S42" s="9" t="n">
        <f aca="false">IFERROR(COUNTIF(기능명세서!H:H,A42),0)</f>
        <v>0</v>
      </c>
      <c r="T42" s="9" t="n">
        <f aca="false">IFERROR(COUNTIF(QA테스트케이스!U:U,A42),0)</f>
        <v>0</v>
      </c>
      <c r="U42" s="9" t="n">
        <f aca="false">IFERROR(COUNTIF(API명세서!K:K,A42),0)</f>
        <v>0</v>
      </c>
      <c r="W42" s="9" t="n">
        <f aca="false">IFERROR(COUNTIF('UI 요소 상세'!B:B,A42),0)</f>
        <v>0</v>
      </c>
    </row>
    <row r="43" customFormat="false" ht="15" hidden="false" customHeight="true" outlineLevel="0" collapsed="false">
      <c r="F43" s="15" t="str">
        <f aca="false">IFERROR(_xlfn.TEXTJOIN(CHAR(10),TRUE(),IF('UI 요소 상세'!B$1:B$500=A43,"□ "&amp;'UI 요소 상세'!C$1:C$500,"")),"")</f>
        <v>□ </v>
      </c>
      <c r="S43" s="9" t="n">
        <f aca="false">IFERROR(COUNTIF(기능명세서!H:H,A43),0)</f>
        <v>0</v>
      </c>
      <c r="T43" s="9" t="n">
        <f aca="false">IFERROR(COUNTIF(QA테스트케이스!U:U,A43),0)</f>
        <v>0</v>
      </c>
      <c r="U43" s="9" t="n">
        <f aca="false">IFERROR(COUNTIF(API명세서!K:K,A43),0)</f>
        <v>0</v>
      </c>
      <c r="W43" s="9" t="n">
        <f aca="false">IFERROR(COUNTIF('UI 요소 상세'!B:B,A43),0)</f>
        <v>0</v>
      </c>
    </row>
    <row r="44" customFormat="false" ht="15" hidden="false" customHeight="true" outlineLevel="0" collapsed="false">
      <c r="F44" s="15" t="str">
        <f aca="false">IFERROR(_xlfn.TEXTJOIN(CHAR(10),TRUE(),IF('UI 요소 상세'!B$1:B$500=A44,"□ "&amp;'UI 요소 상세'!C$1:C$500,"")),"")</f>
        <v>□ </v>
      </c>
      <c r="S44" s="9" t="n">
        <f aca="false">IFERROR(COUNTIF(기능명세서!H:H,A44),0)</f>
        <v>0</v>
      </c>
      <c r="T44" s="9" t="n">
        <f aca="false">IFERROR(COUNTIF(QA테스트케이스!U:U,A44),0)</f>
        <v>0</v>
      </c>
      <c r="U44" s="9" t="n">
        <f aca="false">IFERROR(COUNTIF(API명세서!K:K,A44),0)</f>
        <v>0</v>
      </c>
      <c r="W44" s="9" t="n">
        <f aca="false">IFERROR(COUNTIF('UI 요소 상세'!B:B,A44),0)</f>
        <v>0</v>
      </c>
    </row>
    <row r="45" customFormat="false" ht="15" hidden="false" customHeight="true" outlineLevel="0" collapsed="false">
      <c r="F45" s="15" t="str">
        <f aca="false">IFERROR(_xlfn.TEXTJOIN(CHAR(10),TRUE(),IF('UI 요소 상세'!B$1:B$500=A45,"□ "&amp;'UI 요소 상세'!C$1:C$500,"")),"")</f>
        <v>□ </v>
      </c>
      <c r="S45" s="9" t="n">
        <f aca="false">IFERROR(COUNTIF(기능명세서!H:H,A45),0)</f>
        <v>0</v>
      </c>
      <c r="T45" s="9" t="n">
        <f aca="false">IFERROR(COUNTIF(QA테스트케이스!U:U,A45),0)</f>
        <v>0</v>
      </c>
      <c r="U45" s="9" t="n">
        <f aca="false">IFERROR(COUNTIF(API명세서!K:K,A45),0)</f>
        <v>0</v>
      </c>
      <c r="W45" s="9" t="n">
        <f aca="false">IFERROR(COUNTIF('UI 요소 상세'!B:B,A45),0)</f>
        <v>0</v>
      </c>
    </row>
    <row r="46" customFormat="false" ht="15" hidden="false" customHeight="true" outlineLevel="0" collapsed="false">
      <c r="F46" s="15" t="str">
        <f aca="false">IFERROR(_xlfn.TEXTJOIN(CHAR(10),TRUE(),IF('UI 요소 상세'!B$1:B$500=A46,"□ "&amp;'UI 요소 상세'!C$1:C$500,"")),"")</f>
        <v>□ </v>
      </c>
      <c r="S46" s="9" t="n">
        <f aca="false">IFERROR(COUNTIF(기능명세서!H:H,A46),0)</f>
        <v>0</v>
      </c>
      <c r="T46" s="9" t="n">
        <f aca="false">IFERROR(COUNTIF(QA테스트케이스!U:U,A46),0)</f>
        <v>0</v>
      </c>
      <c r="U46" s="9" t="n">
        <f aca="false">IFERROR(COUNTIF(API명세서!K:K,A46),0)</f>
        <v>0</v>
      </c>
      <c r="W46" s="9" t="n">
        <f aca="false">IFERROR(COUNTIF('UI 요소 상세'!B:B,A46),0)</f>
        <v>0</v>
      </c>
    </row>
    <row r="47" customFormat="false" ht="15" hidden="false" customHeight="true" outlineLevel="0" collapsed="false">
      <c r="F47" s="15" t="str">
        <f aca="false">IFERROR(_xlfn.TEXTJOIN(CHAR(10),TRUE(),IF('UI 요소 상세'!B$1:B$500=A47,"□ "&amp;'UI 요소 상세'!C$1:C$500,"")),"")</f>
        <v>□ </v>
      </c>
      <c r="S47" s="9" t="n">
        <f aca="false">IFERROR(COUNTIF(기능명세서!H:H,A47),0)</f>
        <v>0</v>
      </c>
      <c r="T47" s="9" t="n">
        <f aca="false">IFERROR(COUNTIF(QA테스트케이스!U:U,A47),0)</f>
        <v>0</v>
      </c>
      <c r="U47" s="9" t="n">
        <f aca="false">IFERROR(COUNTIF(API명세서!K:K,A47),0)</f>
        <v>0</v>
      </c>
      <c r="W47" s="9" t="n">
        <f aca="false">IFERROR(COUNTIF('UI 요소 상세'!B:B,A47),0)</f>
        <v>0</v>
      </c>
    </row>
    <row r="48" customFormat="false" ht="15" hidden="false" customHeight="true" outlineLevel="0" collapsed="false">
      <c r="F48" s="15" t="str">
        <f aca="false">IFERROR(_xlfn.TEXTJOIN(CHAR(10),TRUE(),IF('UI 요소 상세'!B$1:B$500=A48,"□ "&amp;'UI 요소 상세'!C$1:C$500,"")),"")</f>
        <v>□ </v>
      </c>
      <c r="S48" s="9" t="n">
        <f aca="false">IFERROR(COUNTIF(기능명세서!H:H,A48),0)</f>
        <v>0</v>
      </c>
      <c r="T48" s="9" t="n">
        <f aca="false">IFERROR(COUNTIF(QA테스트케이스!U:U,A48),0)</f>
        <v>0</v>
      </c>
      <c r="U48" s="9" t="n">
        <f aca="false">IFERROR(COUNTIF(API명세서!K:K,A48),0)</f>
        <v>0</v>
      </c>
      <c r="W48" s="9" t="n">
        <f aca="false">IFERROR(COUNTIF('UI 요소 상세'!B:B,A48),0)</f>
        <v>0</v>
      </c>
    </row>
    <row r="49" customFormat="false" ht="15" hidden="false" customHeight="true" outlineLevel="0" collapsed="false">
      <c r="F49" s="15" t="str">
        <f aca="false">IFERROR(_xlfn.TEXTJOIN(CHAR(10),TRUE(),IF('UI 요소 상세'!B$1:B$500=A49,"□ "&amp;'UI 요소 상세'!C$1:C$500,"")),"")</f>
        <v>□ </v>
      </c>
      <c r="S49" s="9" t="n">
        <f aca="false">IFERROR(COUNTIF(기능명세서!H:H,A49),0)</f>
        <v>0</v>
      </c>
      <c r="T49" s="9" t="n">
        <f aca="false">IFERROR(COUNTIF(QA테스트케이스!U:U,A49),0)</f>
        <v>0</v>
      </c>
      <c r="U49" s="9" t="n">
        <f aca="false">IFERROR(COUNTIF(API명세서!K:K,A49),0)</f>
        <v>0</v>
      </c>
      <c r="W49" s="9" t="n">
        <f aca="false">IFERROR(COUNTIF('UI 요소 상세'!B:B,A49),0)</f>
        <v>0</v>
      </c>
    </row>
    <row r="50" customFormat="false" ht="15" hidden="false" customHeight="true" outlineLevel="0" collapsed="false">
      <c r="F50" s="15" t="str">
        <f aca="false">IFERROR(_xlfn.TEXTJOIN(CHAR(10),TRUE(),IF('UI 요소 상세'!B$1:B$500=A50,"□ "&amp;'UI 요소 상세'!C$1:C$500,"")),"")</f>
        <v>□ </v>
      </c>
      <c r="S50" s="9" t="n">
        <f aca="false">IFERROR(COUNTIF(기능명세서!H:H,A50),0)</f>
        <v>0</v>
      </c>
      <c r="T50" s="9" t="n">
        <f aca="false">IFERROR(COUNTIF(QA테스트케이스!U:U,A50),0)</f>
        <v>0</v>
      </c>
      <c r="U50" s="9" t="n">
        <f aca="false">IFERROR(COUNTIF(API명세서!K:K,A50),0)</f>
        <v>0</v>
      </c>
      <c r="W50" s="9" t="n">
        <f aca="false">IFERROR(COUNTIF('UI 요소 상세'!B:B,A50),0)</f>
        <v>0</v>
      </c>
    </row>
    <row r="51" customFormat="false" ht="15" hidden="false" customHeight="true" outlineLevel="0" collapsed="false">
      <c r="F51" s="15" t="str">
        <f aca="false">IFERROR(_xlfn.TEXTJOIN(CHAR(10),TRUE(),IF('UI 요소 상세'!B$1:B$500=A51,"□ "&amp;'UI 요소 상세'!C$1:C$500,"")),"")</f>
        <v>□ </v>
      </c>
      <c r="S51" s="9" t="n">
        <f aca="false">IFERROR(COUNTIF(기능명세서!H:H,A51),0)</f>
        <v>0</v>
      </c>
      <c r="T51" s="9" t="n">
        <f aca="false">IFERROR(COUNTIF(QA테스트케이스!U:U,A51),0)</f>
        <v>0</v>
      </c>
      <c r="U51" s="9" t="n">
        <f aca="false">IFERROR(COUNTIF(API명세서!K:K,A51),0)</f>
        <v>0</v>
      </c>
      <c r="W51" s="9" t="n">
        <f aca="false">IFERROR(COUNTIF('UI 요소 상세'!B:B,A51),0)</f>
        <v>0</v>
      </c>
    </row>
    <row r="52" customFormat="false" ht="15" hidden="false" customHeight="true" outlineLevel="0" collapsed="false">
      <c r="F52" s="15" t="str">
        <f aca="false">IFERROR(_xlfn.TEXTJOIN(CHAR(10),TRUE(),IF('UI 요소 상세'!B$1:B$500=A52,"□ "&amp;'UI 요소 상세'!C$1:C$500,"")),"")</f>
        <v>□ </v>
      </c>
      <c r="S52" s="9" t="n">
        <f aca="false">IFERROR(COUNTIF(기능명세서!H:H,A52),0)</f>
        <v>0</v>
      </c>
      <c r="T52" s="9" t="n">
        <f aca="false">IFERROR(COUNTIF(QA테스트케이스!U:U,A52),0)</f>
        <v>0</v>
      </c>
      <c r="U52" s="9" t="n">
        <f aca="false">IFERROR(COUNTIF(API명세서!K:K,A52),0)</f>
        <v>0</v>
      </c>
      <c r="W52" s="9" t="n">
        <f aca="false">IFERROR(COUNTIF('UI 요소 상세'!B:B,A52),0)</f>
        <v>0</v>
      </c>
    </row>
    <row r="53" customFormat="false" ht="15" hidden="false" customHeight="true" outlineLevel="0" collapsed="false">
      <c r="F53" s="15" t="str">
        <f aca="false">IFERROR(_xlfn.TEXTJOIN(CHAR(10),TRUE(),IF('UI 요소 상세'!B$1:B$500=A53,"□ "&amp;'UI 요소 상세'!C$1:C$500,"")),"")</f>
        <v>□ </v>
      </c>
      <c r="S53" s="9" t="n">
        <f aca="false">IFERROR(COUNTIF(기능명세서!H:H,A53),0)</f>
        <v>0</v>
      </c>
      <c r="T53" s="9" t="n">
        <f aca="false">IFERROR(COUNTIF(QA테스트케이스!U:U,A53),0)</f>
        <v>0</v>
      </c>
      <c r="U53" s="9" t="n">
        <f aca="false">IFERROR(COUNTIF(API명세서!K:K,A53),0)</f>
        <v>0</v>
      </c>
      <c r="W53" s="9" t="n">
        <f aca="false">IFERROR(COUNTIF('UI 요소 상세'!B:B,A53),0)</f>
        <v>0</v>
      </c>
    </row>
    <row r="54" customFormat="false" ht="15" hidden="false" customHeight="true" outlineLevel="0" collapsed="false">
      <c r="F54" s="15" t="str">
        <f aca="false">IFERROR(_xlfn.TEXTJOIN(CHAR(10),TRUE(),IF('UI 요소 상세'!B$1:B$500=A54,"□ "&amp;'UI 요소 상세'!C$1:C$500,"")),"")</f>
        <v>□ </v>
      </c>
      <c r="S54" s="9" t="n">
        <f aca="false">IFERROR(COUNTIF(기능명세서!H:H,A54),0)</f>
        <v>0</v>
      </c>
      <c r="T54" s="9" t="n">
        <f aca="false">IFERROR(COUNTIF(QA테스트케이스!U:U,A54),0)</f>
        <v>0</v>
      </c>
      <c r="U54" s="9" t="n">
        <f aca="false">IFERROR(COUNTIF(API명세서!K:K,A54),0)</f>
        <v>0</v>
      </c>
      <c r="W54" s="9" t="n">
        <f aca="false">IFERROR(COUNTIF('UI 요소 상세'!B:B,A54),0)</f>
        <v>0</v>
      </c>
    </row>
    <row r="55" customFormat="false" ht="15" hidden="false" customHeight="true" outlineLevel="0" collapsed="false">
      <c r="F55" s="15" t="str">
        <f aca="false">IFERROR(_xlfn.TEXTJOIN(CHAR(10),TRUE(),IF('UI 요소 상세'!B$1:B$500=A55,"□ "&amp;'UI 요소 상세'!C$1:C$500,"")),"")</f>
        <v>□ </v>
      </c>
      <c r="S55" s="9" t="n">
        <f aca="false">IFERROR(COUNTIF(기능명세서!H:H,A55),0)</f>
        <v>0</v>
      </c>
      <c r="T55" s="9" t="n">
        <f aca="false">IFERROR(COUNTIF(QA테스트케이스!U:U,A55),0)</f>
        <v>0</v>
      </c>
      <c r="U55" s="9" t="n">
        <f aca="false">IFERROR(COUNTIF(API명세서!K:K,A55),0)</f>
        <v>0</v>
      </c>
      <c r="W55" s="9" t="n">
        <f aca="false">IFERROR(COUNTIF('UI 요소 상세'!B:B,A55),0)</f>
        <v>0</v>
      </c>
    </row>
    <row r="56" customFormat="false" ht="15" hidden="false" customHeight="true" outlineLevel="0" collapsed="false">
      <c r="F56" s="15" t="str">
        <f aca="false">IFERROR(_xlfn.TEXTJOIN(CHAR(10),TRUE(),IF('UI 요소 상세'!B$1:B$500=A56,"□ "&amp;'UI 요소 상세'!C$1:C$500,"")),"")</f>
        <v>□ </v>
      </c>
      <c r="S56" s="9" t="n">
        <f aca="false">IFERROR(COUNTIF(기능명세서!H:H,A56),0)</f>
        <v>0</v>
      </c>
      <c r="T56" s="9" t="n">
        <f aca="false">IFERROR(COUNTIF(QA테스트케이스!U:U,A56),0)</f>
        <v>0</v>
      </c>
      <c r="U56" s="9" t="n">
        <f aca="false">IFERROR(COUNTIF(API명세서!K:K,A56),0)</f>
        <v>0</v>
      </c>
      <c r="W56" s="9" t="n">
        <f aca="false">IFERROR(COUNTIF('UI 요소 상세'!B:B,A56),0)</f>
        <v>0</v>
      </c>
    </row>
    <row r="57" customFormat="false" ht="15" hidden="false" customHeight="true" outlineLevel="0" collapsed="false">
      <c r="F57" s="15" t="str">
        <f aca="false">IFERROR(_xlfn.TEXTJOIN(CHAR(10),TRUE(),IF('UI 요소 상세'!B$1:B$500=A57,"□ "&amp;'UI 요소 상세'!C$1:C$500,"")),"")</f>
        <v>□ </v>
      </c>
      <c r="S57" s="9" t="n">
        <f aca="false">IFERROR(COUNTIF(기능명세서!H:H,A57),0)</f>
        <v>0</v>
      </c>
      <c r="T57" s="9" t="n">
        <f aca="false">IFERROR(COUNTIF(QA테스트케이스!U:U,A57),0)</f>
        <v>0</v>
      </c>
      <c r="U57" s="9" t="n">
        <f aca="false">IFERROR(COUNTIF(API명세서!K:K,A57),0)</f>
        <v>0</v>
      </c>
      <c r="W57" s="9" t="n">
        <f aca="false">IFERROR(COUNTIF('UI 요소 상세'!B:B,A57),0)</f>
        <v>0</v>
      </c>
    </row>
    <row r="58" customFormat="false" ht="15" hidden="false" customHeight="true" outlineLevel="0" collapsed="false">
      <c r="F58" s="15" t="str">
        <f aca="false">IFERROR(_xlfn.TEXTJOIN(CHAR(10),TRUE(),IF('UI 요소 상세'!B$1:B$500=A58,"□ "&amp;'UI 요소 상세'!C$1:C$500,"")),"")</f>
        <v>□ </v>
      </c>
      <c r="S58" s="9" t="n">
        <f aca="false">IFERROR(COUNTIF(기능명세서!H:H,A58),0)</f>
        <v>0</v>
      </c>
      <c r="T58" s="9" t="n">
        <f aca="false">IFERROR(COUNTIF(QA테스트케이스!U:U,A58),0)</f>
        <v>0</v>
      </c>
      <c r="U58" s="9" t="n">
        <f aca="false">IFERROR(COUNTIF(API명세서!K:K,A58),0)</f>
        <v>0</v>
      </c>
      <c r="W58" s="9" t="n">
        <f aca="false">IFERROR(COUNTIF('UI 요소 상세'!B:B,A58),0)</f>
        <v>0</v>
      </c>
    </row>
    <row r="59" customFormat="false" ht="15" hidden="false" customHeight="true" outlineLevel="0" collapsed="false">
      <c r="F59" s="15" t="str">
        <f aca="false">IFERROR(_xlfn.TEXTJOIN(CHAR(10),TRUE(),IF('UI 요소 상세'!B$1:B$500=A59,"□ "&amp;'UI 요소 상세'!C$1:C$500,"")),"")</f>
        <v>□ </v>
      </c>
      <c r="S59" s="9" t="n">
        <f aca="false">IFERROR(COUNTIF(기능명세서!H:H,A59),0)</f>
        <v>0</v>
      </c>
      <c r="T59" s="9" t="n">
        <f aca="false">IFERROR(COUNTIF(QA테스트케이스!U:U,A59),0)</f>
        <v>0</v>
      </c>
      <c r="U59" s="9" t="n">
        <f aca="false">IFERROR(COUNTIF(API명세서!K:K,A59),0)</f>
        <v>0</v>
      </c>
      <c r="W59" s="9" t="n">
        <f aca="false">IFERROR(COUNTIF('UI 요소 상세'!B:B,A59),0)</f>
        <v>0</v>
      </c>
    </row>
    <row r="60" customFormat="false" ht="15" hidden="false" customHeight="true" outlineLevel="0" collapsed="false">
      <c r="F60" s="15" t="str">
        <f aca="false">IFERROR(_xlfn.TEXTJOIN(CHAR(10),TRUE(),IF('UI 요소 상세'!B$1:B$500=A60,"□ "&amp;'UI 요소 상세'!C$1:C$500,"")),"")</f>
        <v>□ </v>
      </c>
      <c r="S60" s="9" t="n">
        <f aca="false">IFERROR(COUNTIF(기능명세서!H:H,A60),0)</f>
        <v>0</v>
      </c>
      <c r="T60" s="9" t="n">
        <f aca="false">IFERROR(COUNTIF(QA테스트케이스!U:U,A60),0)</f>
        <v>0</v>
      </c>
      <c r="U60" s="9" t="n">
        <f aca="false">IFERROR(COUNTIF(API명세서!K:K,A60),0)</f>
        <v>0</v>
      </c>
      <c r="W60" s="9" t="n">
        <f aca="false">IFERROR(COUNTIF('UI 요소 상세'!B:B,A60),0)</f>
        <v>0</v>
      </c>
    </row>
    <row r="61" customFormat="false" ht="15" hidden="false" customHeight="true" outlineLevel="0" collapsed="false">
      <c r="F61" s="15" t="str">
        <f aca="false">IFERROR(_xlfn.TEXTJOIN(CHAR(10),TRUE(),IF('UI 요소 상세'!B$1:B$500=A61,"□ "&amp;'UI 요소 상세'!C$1:C$500,"")),"")</f>
        <v>□ </v>
      </c>
      <c r="S61" s="9" t="n">
        <f aca="false">IFERROR(COUNTIF(기능명세서!H:H,A61),0)</f>
        <v>0</v>
      </c>
      <c r="T61" s="9" t="n">
        <f aca="false">IFERROR(COUNTIF(QA테스트케이스!U:U,A61),0)</f>
        <v>0</v>
      </c>
      <c r="U61" s="9" t="n">
        <f aca="false">IFERROR(COUNTIF(API명세서!K:K,A61),0)</f>
        <v>0</v>
      </c>
      <c r="W61" s="9" t="n">
        <f aca="false">IFERROR(COUNTIF('UI 요소 상세'!B:B,A61),0)</f>
        <v>0</v>
      </c>
    </row>
    <row r="62" customFormat="false" ht="15" hidden="false" customHeight="true" outlineLevel="0" collapsed="false">
      <c r="F62" s="15" t="str">
        <f aca="false">IFERROR(_xlfn.TEXTJOIN(CHAR(10),TRUE(),IF('UI 요소 상세'!B$1:B$500=A62,"□ "&amp;'UI 요소 상세'!C$1:C$500,"")),"")</f>
        <v>□ </v>
      </c>
      <c r="S62" s="9" t="n">
        <f aca="false">IFERROR(COUNTIF(기능명세서!H:H,A62),0)</f>
        <v>0</v>
      </c>
      <c r="T62" s="9" t="n">
        <f aca="false">IFERROR(COUNTIF(QA테스트케이스!U:U,A62),0)</f>
        <v>0</v>
      </c>
      <c r="U62" s="9" t="n">
        <f aca="false">IFERROR(COUNTIF(API명세서!K:K,A62),0)</f>
        <v>0</v>
      </c>
      <c r="W62" s="9" t="n">
        <f aca="false">IFERROR(COUNTIF('UI 요소 상세'!B:B,A62),0)</f>
        <v>0</v>
      </c>
    </row>
    <row r="63" customFormat="false" ht="15" hidden="false" customHeight="true" outlineLevel="0" collapsed="false">
      <c r="F63" s="15" t="str">
        <f aca="false">IFERROR(_xlfn.TEXTJOIN(CHAR(10),TRUE(),IF('UI 요소 상세'!B$1:B$500=A63,"□ "&amp;'UI 요소 상세'!C$1:C$500,"")),"")</f>
        <v>□ </v>
      </c>
      <c r="S63" s="9" t="n">
        <f aca="false">IFERROR(COUNTIF(기능명세서!H:H,A63),0)</f>
        <v>0</v>
      </c>
      <c r="T63" s="9" t="n">
        <f aca="false">IFERROR(COUNTIF(QA테스트케이스!U:U,A63),0)</f>
        <v>0</v>
      </c>
      <c r="U63" s="9" t="n">
        <f aca="false">IFERROR(COUNTIF(API명세서!K:K,A63),0)</f>
        <v>0</v>
      </c>
      <c r="W63" s="9" t="n">
        <f aca="false">IFERROR(COUNTIF('UI 요소 상세'!B:B,A63),0)</f>
        <v>0</v>
      </c>
    </row>
    <row r="64" customFormat="false" ht="15" hidden="false" customHeight="true" outlineLevel="0" collapsed="false">
      <c r="F64" s="15" t="str">
        <f aca="false">IFERROR(_xlfn.TEXTJOIN(CHAR(10),TRUE(),IF('UI 요소 상세'!B$1:B$500=A64,"□ "&amp;'UI 요소 상세'!C$1:C$500,"")),"")</f>
        <v>□ </v>
      </c>
      <c r="S64" s="9" t="n">
        <f aca="false">IFERROR(COUNTIF(기능명세서!H:H,A64),0)</f>
        <v>0</v>
      </c>
      <c r="T64" s="9" t="n">
        <f aca="false">IFERROR(COUNTIF(QA테스트케이스!U:U,A64),0)</f>
        <v>0</v>
      </c>
      <c r="U64" s="9" t="n">
        <f aca="false">IFERROR(COUNTIF(API명세서!K:K,A64),0)</f>
        <v>0</v>
      </c>
      <c r="W64" s="9" t="n">
        <f aca="false">IFERROR(COUNTIF('UI 요소 상세'!B:B,A64),0)</f>
        <v>0</v>
      </c>
    </row>
    <row r="65" customFormat="false" ht="15" hidden="false" customHeight="true" outlineLevel="0" collapsed="false">
      <c r="F65" s="15" t="str">
        <f aca="false">IFERROR(_xlfn.TEXTJOIN(CHAR(10),TRUE(),IF('UI 요소 상세'!B$1:B$500=A65,"□ "&amp;'UI 요소 상세'!C$1:C$500,"")),"")</f>
        <v>□ </v>
      </c>
      <c r="S65" s="9" t="n">
        <f aca="false">IFERROR(COUNTIF(기능명세서!H:H,A65),0)</f>
        <v>0</v>
      </c>
      <c r="T65" s="9" t="n">
        <f aca="false">IFERROR(COUNTIF(QA테스트케이스!U:U,A65),0)</f>
        <v>0</v>
      </c>
      <c r="U65" s="9" t="n">
        <f aca="false">IFERROR(COUNTIF(API명세서!K:K,A65),0)</f>
        <v>0</v>
      </c>
      <c r="W65" s="9" t="n">
        <f aca="false">IFERROR(COUNTIF('UI 요소 상세'!B:B,A65),0)</f>
        <v>0</v>
      </c>
    </row>
    <row r="66" customFormat="false" ht="15" hidden="false" customHeight="true" outlineLevel="0" collapsed="false">
      <c r="F66" s="15" t="str">
        <f aca="false">IFERROR(_xlfn.TEXTJOIN(CHAR(10),TRUE(),IF('UI 요소 상세'!B$1:B$500=A66,"□ "&amp;'UI 요소 상세'!C$1:C$500,"")),"")</f>
        <v>□ </v>
      </c>
      <c r="S66" s="9" t="n">
        <f aca="false">IFERROR(COUNTIF(기능명세서!H:H,A66),0)</f>
        <v>0</v>
      </c>
      <c r="T66" s="9" t="n">
        <f aca="false">IFERROR(COUNTIF(QA테스트케이스!U:U,A66),0)</f>
        <v>0</v>
      </c>
      <c r="U66" s="9" t="n">
        <f aca="false">IFERROR(COUNTIF(API명세서!K:K,A66),0)</f>
        <v>0</v>
      </c>
      <c r="W66" s="9" t="n">
        <f aca="false">IFERROR(COUNTIF('UI 요소 상세'!B:B,A66),0)</f>
        <v>0</v>
      </c>
    </row>
    <row r="67" customFormat="false" ht="15" hidden="false" customHeight="true" outlineLevel="0" collapsed="false">
      <c r="F67" s="15" t="str">
        <f aca="false">IFERROR(_xlfn.TEXTJOIN(CHAR(10),TRUE(),IF('UI 요소 상세'!B$1:B$500=A67,"□ "&amp;'UI 요소 상세'!C$1:C$500,"")),"")</f>
        <v>□ </v>
      </c>
      <c r="S67" s="9" t="n">
        <f aca="false">IFERROR(COUNTIF(기능명세서!H:H,A67),0)</f>
        <v>0</v>
      </c>
      <c r="T67" s="9" t="n">
        <f aca="false">IFERROR(COUNTIF(QA테스트케이스!U:U,A67),0)</f>
        <v>0</v>
      </c>
      <c r="U67" s="9" t="n">
        <f aca="false">IFERROR(COUNTIF(API명세서!K:K,A67),0)</f>
        <v>0</v>
      </c>
      <c r="W67" s="9" t="n">
        <f aca="false">IFERROR(COUNTIF('UI 요소 상세'!B:B,A67),0)</f>
        <v>0</v>
      </c>
    </row>
    <row r="68" customFormat="false" ht="15" hidden="false" customHeight="true" outlineLevel="0" collapsed="false">
      <c r="F68" s="15" t="str">
        <f aca="false">IFERROR(_xlfn.TEXTJOIN(CHAR(10),TRUE(),IF('UI 요소 상세'!B$1:B$500=A68,"□ "&amp;'UI 요소 상세'!C$1:C$500,"")),"")</f>
        <v>□ </v>
      </c>
      <c r="S68" s="9" t="n">
        <f aca="false">IFERROR(COUNTIF(기능명세서!H:H,A68),0)</f>
        <v>0</v>
      </c>
      <c r="T68" s="9" t="n">
        <f aca="false">IFERROR(COUNTIF(QA테스트케이스!U:U,A68),0)</f>
        <v>0</v>
      </c>
      <c r="U68" s="9" t="n">
        <f aca="false">IFERROR(COUNTIF(API명세서!K:K,A68),0)</f>
        <v>0</v>
      </c>
      <c r="W68" s="9" t="n">
        <f aca="false">IFERROR(COUNTIF('UI 요소 상세'!B:B,A68),0)</f>
        <v>0</v>
      </c>
    </row>
    <row r="69" customFormat="false" ht="15" hidden="false" customHeight="true" outlineLevel="0" collapsed="false">
      <c r="F69" s="15" t="str">
        <f aca="false">IFERROR(_xlfn.TEXTJOIN(CHAR(10),TRUE(),IF('UI 요소 상세'!B$1:B$500=A69,"□ "&amp;'UI 요소 상세'!C$1:C$500,"")),"")</f>
        <v>□ </v>
      </c>
      <c r="S69" s="9" t="n">
        <f aca="false">IFERROR(COUNTIF(기능명세서!H:H,A69),0)</f>
        <v>0</v>
      </c>
      <c r="T69" s="9" t="n">
        <f aca="false">IFERROR(COUNTIF(QA테스트케이스!U:U,A69),0)</f>
        <v>0</v>
      </c>
      <c r="U69" s="9" t="n">
        <f aca="false">IFERROR(COUNTIF(API명세서!K:K,A69),0)</f>
        <v>0</v>
      </c>
      <c r="W69" s="9" t="n">
        <f aca="false">IFERROR(COUNTIF('UI 요소 상세'!B:B,A69),0)</f>
        <v>0</v>
      </c>
    </row>
    <row r="70" customFormat="false" ht="15" hidden="false" customHeight="true" outlineLevel="0" collapsed="false">
      <c r="F70" s="15" t="str">
        <f aca="false">IFERROR(_xlfn.TEXTJOIN(CHAR(10),TRUE(),IF('UI 요소 상세'!B$1:B$500=A70,"□ "&amp;'UI 요소 상세'!C$1:C$500,"")),"")</f>
        <v>□ </v>
      </c>
      <c r="S70" s="9" t="n">
        <f aca="false">IFERROR(COUNTIF(기능명세서!H:H,A70),0)</f>
        <v>0</v>
      </c>
      <c r="T70" s="9" t="n">
        <f aca="false">IFERROR(COUNTIF(QA테스트케이스!U:U,A70),0)</f>
        <v>0</v>
      </c>
      <c r="U70" s="9" t="n">
        <f aca="false">IFERROR(COUNTIF(API명세서!K:K,A70),0)</f>
        <v>0</v>
      </c>
      <c r="W70" s="9" t="n">
        <f aca="false">IFERROR(COUNTIF('UI 요소 상세'!B:B,A70),0)</f>
        <v>0</v>
      </c>
    </row>
    <row r="71" customFormat="false" ht="15" hidden="false" customHeight="true" outlineLevel="0" collapsed="false">
      <c r="F71" s="15" t="str">
        <f aca="false">IFERROR(_xlfn.TEXTJOIN(CHAR(10),TRUE(),IF('UI 요소 상세'!B$1:B$500=A71,"□ "&amp;'UI 요소 상세'!C$1:C$500,"")),"")</f>
        <v>□ </v>
      </c>
      <c r="S71" s="9" t="n">
        <f aca="false">IFERROR(COUNTIF(기능명세서!H:H,A71),0)</f>
        <v>0</v>
      </c>
      <c r="T71" s="9" t="n">
        <f aca="false">IFERROR(COUNTIF(QA테스트케이스!U:U,A71),0)</f>
        <v>0</v>
      </c>
      <c r="U71" s="9" t="n">
        <f aca="false">IFERROR(COUNTIF(API명세서!K:K,A71),0)</f>
        <v>0</v>
      </c>
      <c r="W71" s="9" t="n">
        <f aca="false">IFERROR(COUNTIF('UI 요소 상세'!B:B,A71),0)</f>
        <v>0</v>
      </c>
    </row>
    <row r="72" customFormat="false" ht="15" hidden="false" customHeight="true" outlineLevel="0" collapsed="false">
      <c r="F72" s="15" t="str">
        <f aca="false">IFERROR(_xlfn.TEXTJOIN(CHAR(10),TRUE(),IF('UI 요소 상세'!B$1:B$500=A72,"□ "&amp;'UI 요소 상세'!C$1:C$500,"")),"")</f>
        <v>□ </v>
      </c>
      <c r="S72" s="9" t="n">
        <f aca="false">IFERROR(COUNTIF(기능명세서!H:H,A72),0)</f>
        <v>0</v>
      </c>
      <c r="T72" s="9" t="n">
        <f aca="false">IFERROR(COUNTIF(QA테스트케이스!U:U,A72),0)</f>
        <v>0</v>
      </c>
      <c r="U72" s="9" t="n">
        <f aca="false">IFERROR(COUNTIF(API명세서!K:K,A72),0)</f>
        <v>0</v>
      </c>
      <c r="W72" s="9" t="n">
        <f aca="false">IFERROR(COUNTIF('UI 요소 상세'!B:B,A72),0)</f>
        <v>0</v>
      </c>
    </row>
    <row r="73" customFormat="false" ht="15" hidden="false" customHeight="true" outlineLevel="0" collapsed="false">
      <c r="F73" s="15" t="str">
        <f aca="false">IFERROR(_xlfn.TEXTJOIN(CHAR(10),TRUE(),IF('UI 요소 상세'!B$1:B$500=A73,"□ "&amp;'UI 요소 상세'!C$1:C$500,"")),"")</f>
        <v>□ </v>
      </c>
      <c r="S73" s="9" t="n">
        <f aca="false">IFERROR(COUNTIF(기능명세서!H:H,A73),0)</f>
        <v>0</v>
      </c>
      <c r="T73" s="9" t="n">
        <f aca="false">IFERROR(COUNTIF(QA테스트케이스!U:U,A73),0)</f>
        <v>0</v>
      </c>
      <c r="U73" s="9" t="n">
        <f aca="false">IFERROR(COUNTIF(API명세서!K:K,A73),0)</f>
        <v>0</v>
      </c>
      <c r="W73" s="9" t="n">
        <f aca="false">IFERROR(COUNTIF('UI 요소 상세'!B:B,A73),0)</f>
        <v>0</v>
      </c>
    </row>
    <row r="74" customFormat="false" ht="15" hidden="false" customHeight="true" outlineLevel="0" collapsed="false">
      <c r="F74" s="15" t="str">
        <f aca="false">IFERROR(_xlfn.TEXTJOIN(CHAR(10),TRUE(),IF('UI 요소 상세'!B$1:B$500=A74,"□ "&amp;'UI 요소 상세'!C$1:C$500,"")),"")</f>
        <v>□ </v>
      </c>
      <c r="S74" s="9" t="n">
        <f aca="false">IFERROR(COUNTIF(기능명세서!H:H,A74),0)</f>
        <v>0</v>
      </c>
      <c r="T74" s="9" t="n">
        <f aca="false">IFERROR(COUNTIF(QA테스트케이스!U:U,A74),0)</f>
        <v>0</v>
      </c>
      <c r="U74" s="9" t="n">
        <f aca="false">IFERROR(COUNTIF(API명세서!K:K,A74),0)</f>
        <v>0</v>
      </c>
      <c r="W74" s="9" t="n">
        <f aca="false">IFERROR(COUNTIF('UI 요소 상세'!B:B,A74),0)</f>
        <v>0</v>
      </c>
    </row>
    <row r="75" customFormat="false" ht="15" hidden="false" customHeight="true" outlineLevel="0" collapsed="false">
      <c r="F75" s="15" t="str">
        <f aca="false">IFERROR(_xlfn.TEXTJOIN(CHAR(10),TRUE(),IF('UI 요소 상세'!B$1:B$500=A75,"□ "&amp;'UI 요소 상세'!C$1:C$500,"")),"")</f>
        <v>□ </v>
      </c>
      <c r="S75" s="9" t="n">
        <f aca="false">IFERROR(COUNTIF(기능명세서!H:H,A75),0)</f>
        <v>0</v>
      </c>
      <c r="T75" s="9" t="n">
        <f aca="false">IFERROR(COUNTIF(QA테스트케이스!U:U,A75),0)</f>
        <v>0</v>
      </c>
      <c r="U75" s="9" t="n">
        <f aca="false">IFERROR(COUNTIF(API명세서!K:K,A75),0)</f>
        <v>0</v>
      </c>
      <c r="W75" s="9" t="n">
        <f aca="false">IFERROR(COUNTIF('UI 요소 상세'!B:B,A75),0)</f>
        <v>0</v>
      </c>
    </row>
    <row r="76" customFormat="false" ht="15" hidden="false" customHeight="true" outlineLevel="0" collapsed="false">
      <c r="F76" s="15" t="str">
        <f aca="false">IFERROR(_xlfn.TEXTJOIN(CHAR(10),TRUE(),IF('UI 요소 상세'!B$1:B$500=A76,"□ "&amp;'UI 요소 상세'!C$1:C$500,"")),"")</f>
        <v>□ </v>
      </c>
      <c r="S76" s="9" t="n">
        <f aca="false">IFERROR(COUNTIF(기능명세서!H:H,A76),0)</f>
        <v>0</v>
      </c>
      <c r="T76" s="9" t="n">
        <f aca="false">IFERROR(COUNTIF(QA테스트케이스!U:U,A76),0)</f>
        <v>0</v>
      </c>
      <c r="U76" s="9" t="n">
        <f aca="false">IFERROR(COUNTIF(API명세서!K:K,A76),0)</f>
        <v>0</v>
      </c>
      <c r="W76" s="9" t="n">
        <f aca="false">IFERROR(COUNTIF('UI 요소 상세'!B:B,A76),0)</f>
        <v>0</v>
      </c>
    </row>
    <row r="77" customFormat="false" ht="15" hidden="false" customHeight="true" outlineLevel="0" collapsed="false">
      <c r="F77" s="15" t="str">
        <f aca="false">IFERROR(_xlfn.TEXTJOIN(CHAR(10),TRUE(),IF('UI 요소 상세'!B$1:B$500=A77,"□ "&amp;'UI 요소 상세'!C$1:C$500,"")),"")</f>
        <v>□ </v>
      </c>
      <c r="S77" s="9" t="n">
        <f aca="false">IFERROR(COUNTIF(기능명세서!H:H,A77),0)</f>
        <v>0</v>
      </c>
      <c r="T77" s="9" t="n">
        <f aca="false">IFERROR(COUNTIF(QA테스트케이스!U:U,A77),0)</f>
        <v>0</v>
      </c>
      <c r="U77" s="9" t="n">
        <f aca="false">IFERROR(COUNTIF(API명세서!K:K,A77),0)</f>
        <v>0</v>
      </c>
      <c r="W77" s="9" t="n">
        <f aca="false">IFERROR(COUNTIF('UI 요소 상세'!B:B,A77),0)</f>
        <v>0</v>
      </c>
    </row>
    <row r="78" customFormat="false" ht="15" hidden="false" customHeight="true" outlineLevel="0" collapsed="false">
      <c r="F78" s="15" t="str">
        <f aca="false">IFERROR(_xlfn.TEXTJOIN(CHAR(10),TRUE(),IF('UI 요소 상세'!B$1:B$500=A78,"□ "&amp;'UI 요소 상세'!C$1:C$500,"")),"")</f>
        <v>□ </v>
      </c>
      <c r="S78" s="9" t="n">
        <f aca="false">IFERROR(COUNTIF(기능명세서!H:H,A78),0)</f>
        <v>0</v>
      </c>
      <c r="T78" s="9" t="n">
        <f aca="false">IFERROR(COUNTIF(QA테스트케이스!U:U,A78),0)</f>
        <v>0</v>
      </c>
      <c r="U78" s="9" t="n">
        <f aca="false">IFERROR(COUNTIF(API명세서!K:K,A78),0)</f>
        <v>0</v>
      </c>
      <c r="W78" s="9" t="n">
        <f aca="false">IFERROR(COUNTIF('UI 요소 상세'!B:B,A78),0)</f>
        <v>0</v>
      </c>
    </row>
    <row r="79" customFormat="false" ht="15" hidden="false" customHeight="true" outlineLevel="0" collapsed="false">
      <c r="F79" s="15" t="str">
        <f aca="false">IFERROR(_xlfn.TEXTJOIN(CHAR(10),TRUE(),IF('UI 요소 상세'!B$1:B$500=A79,"□ "&amp;'UI 요소 상세'!C$1:C$500,"")),"")</f>
        <v>□ </v>
      </c>
      <c r="S79" s="9" t="n">
        <f aca="false">IFERROR(COUNTIF(기능명세서!H:H,A79),0)</f>
        <v>0</v>
      </c>
      <c r="T79" s="9" t="n">
        <f aca="false">IFERROR(COUNTIF(QA테스트케이스!U:U,A79),0)</f>
        <v>0</v>
      </c>
      <c r="U79" s="9" t="n">
        <f aca="false">IFERROR(COUNTIF(API명세서!K:K,A79),0)</f>
        <v>0</v>
      </c>
      <c r="W79" s="9" t="n">
        <f aca="false">IFERROR(COUNTIF('UI 요소 상세'!B:B,A79),0)</f>
        <v>0</v>
      </c>
    </row>
    <row r="80" customFormat="false" ht="15" hidden="false" customHeight="true" outlineLevel="0" collapsed="false">
      <c r="F80" s="15" t="str">
        <f aca="false">IFERROR(_xlfn.TEXTJOIN(CHAR(10),TRUE(),IF('UI 요소 상세'!B$1:B$500=A80,"□ "&amp;'UI 요소 상세'!C$1:C$500,"")),"")</f>
        <v>□ </v>
      </c>
      <c r="S80" s="9" t="n">
        <f aca="false">IFERROR(COUNTIF(기능명세서!H:H,A80),0)</f>
        <v>0</v>
      </c>
      <c r="T80" s="9" t="n">
        <f aca="false">IFERROR(COUNTIF(QA테스트케이스!U:U,A80),0)</f>
        <v>0</v>
      </c>
      <c r="U80" s="9" t="n">
        <f aca="false">IFERROR(COUNTIF(API명세서!K:K,A80),0)</f>
        <v>0</v>
      </c>
      <c r="W80" s="9" t="n">
        <f aca="false">IFERROR(COUNTIF('UI 요소 상세'!B:B,A80),0)</f>
        <v>0</v>
      </c>
    </row>
    <row r="81" customFormat="false" ht="15" hidden="false" customHeight="true" outlineLevel="0" collapsed="false">
      <c r="F81" s="15" t="str">
        <f aca="false">IFERROR(_xlfn.TEXTJOIN(CHAR(10),TRUE(),IF('UI 요소 상세'!B$1:B$500=A81,"□ "&amp;'UI 요소 상세'!C$1:C$500,"")),"")</f>
        <v>□ </v>
      </c>
      <c r="S81" s="9" t="n">
        <f aca="false">IFERROR(COUNTIF(기능명세서!H:H,A81),0)</f>
        <v>0</v>
      </c>
      <c r="T81" s="9" t="n">
        <f aca="false">IFERROR(COUNTIF(QA테스트케이스!U:U,A81),0)</f>
        <v>0</v>
      </c>
      <c r="U81" s="9" t="n">
        <f aca="false">IFERROR(COUNTIF(API명세서!K:K,A81),0)</f>
        <v>0</v>
      </c>
      <c r="W81" s="9" t="n">
        <f aca="false">IFERROR(COUNTIF('UI 요소 상세'!B:B,A81),0)</f>
        <v>0</v>
      </c>
    </row>
    <row r="82" customFormat="false" ht="15" hidden="false" customHeight="true" outlineLevel="0" collapsed="false">
      <c r="F82" s="15" t="str">
        <f aca="false">IFERROR(_xlfn.TEXTJOIN(CHAR(10),TRUE(),IF('UI 요소 상세'!B$1:B$500=A82,"□ "&amp;'UI 요소 상세'!C$1:C$500,"")),"")</f>
        <v>□ </v>
      </c>
      <c r="S82" s="9" t="n">
        <f aca="false">IFERROR(COUNTIF(기능명세서!H:H,A82),0)</f>
        <v>0</v>
      </c>
      <c r="T82" s="9" t="n">
        <f aca="false">IFERROR(COUNTIF(QA테스트케이스!U:U,A82),0)</f>
        <v>0</v>
      </c>
      <c r="U82" s="9" t="n">
        <f aca="false">IFERROR(COUNTIF(API명세서!K:K,A82),0)</f>
        <v>0</v>
      </c>
      <c r="W82" s="9" t="n">
        <f aca="false">IFERROR(COUNTIF('UI 요소 상세'!B:B,A82),0)</f>
        <v>0</v>
      </c>
    </row>
    <row r="83" customFormat="false" ht="15" hidden="false" customHeight="true" outlineLevel="0" collapsed="false">
      <c r="F83" s="15" t="str">
        <f aca="false">IFERROR(_xlfn.TEXTJOIN(CHAR(10),TRUE(),IF('UI 요소 상세'!B$1:B$500=A83,"□ "&amp;'UI 요소 상세'!C$1:C$500,"")),"")</f>
        <v>□ </v>
      </c>
      <c r="S83" s="9" t="n">
        <f aca="false">IFERROR(COUNTIF(기능명세서!H:H,A83),0)</f>
        <v>0</v>
      </c>
      <c r="T83" s="9" t="n">
        <f aca="false">IFERROR(COUNTIF(QA테스트케이스!U:U,A83),0)</f>
        <v>0</v>
      </c>
      <c r="U83" s="9" t="n">
        <f aca="false">IFERROR(COUNTIF(API명세서!K:K,A83),0)</f>
        <v>0</v>
      </c>
      <c r="W83" s="9" t="n">
        <f aca="false">IFERROR(COUNTIF('UI 요소 상세'!B:B,A83),0)</f>
        <v>0</v>
      </c>
    </row>
    <row r="84" customFormat="false" ht="15" hidden="false" customHeight="true" outlineLevel="0" collapsed="false">
      <c r="F84" s="15" t="str">
        <f aca="false">IFERROR(_xlfn.TEXTJOIN(CHAR(10),TRUE(),IF('UI 요소 상세'!B$1:B$500=A84,"□ "&amp;'UI 요소 상세'!C$1:C$500,"")),"")</f>
        <v>□ </v>
      </c>
      <c r="S84" s="9" t="n">
        <f aca="false">IFERROR(COUNTIF(기능명세서!H:H,A84),0)</f>
        <v>0</v>
      </c>
      <c r="T84" s="9" t="n">
        <f aca="false">IFERROR(COUNTIF(QA테스트케이스!U:U,A84),0)</f>
        <v>0</v>
      </c>
      <c r="U84" s="9" t="n">
        <f aca="false">IFERROR(COUNTIF(API명세서!K:K,A84),0)</f>
        <v>0</v>
      </c>
      <c r="W84" s="9" t="n">
        <f aca="false">IFERROR(COUNTIF('UI 요소 상세'!B:B,A84),0)</f>
        <v>0</v>
      </c>
    </row>
    <row r="85" customFormat="false" ht="15" hidden="false" customHeight="true" outlineLevel="0" collapsed="false">
      <c r="F85" s="15" t="str">
        <f aca="false">IFERROR(_xlfn.TEXTJOIN(CHAR(10),TRUE(),IF('UI 요소 상세'!B$1:B$500=A85,"□ "&amp;'UI 요소 상세'!C$1:C$500,"")),"")</f>
        <v>□ </v>
      </c>
      <c r="S85" s="9" t="n">
        <f aca="false">IFERROR(COUNTIF(기능명세서!H:H,A85),0)</f>
        <v>0</v>
      </c>
      <c r="T85" s="9" t="n">
        <f aca="false">IFERROR(COUNTIF(QA테스트케이스!U:U,A85),0)</f>
        <v>0</v>
      </c>
      <c r="U85" s="9" t="n">
        <f aca="false">IFERROR(COUNTIF(API명세서!K:K,A85),0)</f>
        <v>0</v>
      </c>
      <c r="W85" s="9" t="n">
        <f aca="false">IFERROR(COUNTIF('UI 요소 상세'!B:B,A85),0)</f>
        <v>0</v>
      </c>
    </row>
    <row r="86" customFormat="false" ht="15" hidden="false" customHeight="true" outlineLevel="0" collapsed="false">
      <c r="F86" s="15" t="str">
        <f aca="false">IFERROR(_xlfn.TEXTJOIN(CHAR(10),TRUE(),IF('UI 요소 상세'!B$1:B$500=A86,"□ "&amp;'UI 요소 상세'!C$1:C$500,"")),"")</f>
        <v>□ </v>
      </c>
      <c r="S86" s="9" t="n">
        <f aca="false">IFERROR(COUNTIF(기능명세서!H:H,A86),0)</f>
        <v>0</v>
      </c>
      <c r="T86" s="9" t="n">
        <f aca="false">IFERROR(COUNTIF(QA테스트케이스!U:U,A86),0)</f>
        <v>0</v>
      </c>
      <c r="U86" s="9" t="n">
        <f aca="false">IFERROR(COUNTIF(API명세서!K:K,A86),0)</f>
        <v>0</v>
      </c>
      <c r="W86" s="9" t="n">
        <f aca="false">IFERROR(COUNTIF('UI 요소 상세'!B:B,A86),0)</f>
        <v>0</v>
      </c>
    </row>
    <row r="87" customFormat="false" ht="15" hidden="false" customHeight="true" outlineLevel="0" collapsed="false">
      <c r="F87" s="15" t="str">
        <f aca="false">IFERROR(_xlfn.TEXTJOIN(CHAR(10),TRUE(),IF('UI 요소 상세'!B$1:B$500=A87,"□ "&amp;'UI 요소 상세'!C$1:C$500,"")),"")</f>
        <v>□ </v>
      </c>
      <c r="S87" s="9" t="n">
        <f aca="false">IFERROR(COUNTIF(기능명세서!H:H,A87),0)</f>
        <v>0</v>
      </c>
      <c r="T87" s="9" t="n">
        <f aca="false">IFERROR(COUNTIF(QA테스트케이스!U:U,A87),0)</f>
        <v>0</v>
      </c>
      <c r="U87" s="9" t="n">
        <f aca="false">IFERROR(COUNTIF(API명세서!K:K,A87),0)</f>
        <v>0</v>
      </c>
      <c r="W87" s="9" t="n">
        <f aca="false">IFERROR(COUNTIF('UI 요소 상세'!B:B,A87),0)</f>
        <v>0</v>
      </c>
    </row>
    <row r="88" customFormat="false" ht="15" hidden="false" customHeight="true" outlineLevel="0" collapsed="false">
      <c r="F88" s="15" t="str">
        <f aca="false">IFERROR(_xlfn.TEXTJOIN(CHAR(10),TRUE(),IF('UI 요소 상세'!B$1:B$500=A88,"□ "&amp;'UI 요소 상세'!C$1:C$500,"")),"")</f>
        <v>□ </v>
      </c>
      <c r="S88" s="9" t="n">
        <f aca="false">IFERROR(COUNTIF(기능명세서!H:H,A88),0)</f>
        <v>0</v>
      </c>
      <c r="T88" s="9" t="n">
        <f aca="false">IFERROR(COUNTIF(QA테스트케이스!U:U,A88),0)</f>
        <v>0</v>
      </c>
      <c r="U88" s="9" t="n">
        <f aca="false">IFERROR(COUNTIF(API명세서!K:K,A88),0)</f>
        <v>0</v>
      </c>
      <c r="W88" s="9" t="n">
        <f aca="false">IFERROR(COUNTIF('UI 요소 상세'!B:B,A88),0)</f>
        <v>0</v>
      </c>
    </row>
    <row r="89" customFormat="false" ht="15" hidden="false" customHeight="true" outlineLevel="0" collapsed="false">
      <c r="F89" s="15" t="str">
        <f aca="false">IFERROR(_xlfn.TEXTJOIN(CHAR(10),TRUE(),IF('UI 요소 상세'!B$1:B$500=A89,"□ "&amp;'UI 요소 상세'!C$1:C$500,"")),"")</f>
        <v>□ </v>
      </c>
      <c r="S89" s="9" t="n">
        <f aca="false">IFERROR(COUNTIF(기능명세서!H:H,A89),0)</f>
        <v>0</v>
      </c>
      <c r="T89" s="9" t="n">
        <f aca="false">IFERROR(COUNTIF(QA테스트케이스!U:U,A89),0)</f>
        <v>0</v>
      </c>
      <c r="U89" s="9" t="n">
        <f aca="false">IFERROR(COUNTIF(API명세서!K:K,A89),0)</f>
        <v>0</v>
      </c>
      <c r="W89" s="9" t="n">
        <f aca="false">IFERROR(COUNTIF('UI 요소 상세'!B:B,A89),0)</f>
        <v>0</v>
      </c>
    </row>
    <row r="90" customFormat="false" ht="15" hidden="false" customHeight="true" outlineLevel="0" collapsed="false">
      <c r="F90" s="15" t="str">
        <f aca="false">IFERROR(_xlfn.TEXTJOIN(CHAR(10),TRUE(),IF('UI 요소 상세'!B$1:B$500=A90,"□ "&amp;'UI 요소 상세'!C$1:C$500,"")),"")</f>
        <v>□ </v>
      </c>
      <c r="S90" s="9" t="n">
        <f aca="false">IFERROR(COUNTIF(기능명세서!H:H,A90),0)</f>
        <v>0</v>
      </c>
      <c r="T90" s="9" t="n">
        <f aca="false">IFERROR(COUNTIF(QA테스트케이스!U:U,A90),0)</f>
        <v>0</v>
      </c>
      <c r="U90" s="9" t="n">
        <f aca="false">IFERROR(COUNTIF(API명세서!K:K,A90),0)</f>
        <v>0</v>
      </c>
      <c r="W90" s="9" t="n">
        <f aca="false">IFERROR(COUNTIF('UI 요소 상세'!B:B,A90),0)</f>
        <v>0</v>
      </c>
    </row>
    <row r="91" customFormat="false" ht="15" hidden="false" customHeight="true" outlineLevel="0" collapsed="false">
      <c r="F91" s="15" t="str">
        <f aca="false">IFERROR(_xlfn.TEXTJOIN(CHAR(10),TRUE(),IF('UI 요소 상세'!B$1:B$500=A91,"□ "&amp;'UI 요소 상세'!C$1:C$500,"")),"")</f>
        <v>□ </v>
      </c>
      <c r="S91" s="9" t="n">
        <f aca="false">IFERROR(COUNTIF(기능명세서!H:H,A91),0)</f>
        <v>0</v>
      </c>
      <c r="T91" s="9" t="n">
        <f aca="false">IFERROR(COUNTIF(QA테스트케이스!U:U,A91),0)</f>
        <v>0</v>
      </c>
      <c r="U91" s="9" t="n">
        <f aca="false">IFERROR(COUNTIF(API명세서!K:K,A91),0)</f>
        <v>0</v>
      </c>
      <c r="W91" s="9" t="n">
        <f aca="false">IFERROR(COUNTIF('UI 요소 상세'!B:B,A91),0)</f>
        <v>0</v>
      </c>
    </row>
    <row r="92" customFormat="false" ht="15" hidden="false" customHeight="true" outlineLevel="0" collapsed="false">
      <c r="F92" s="15" t="str">
        <f aca="false">IFERROR(_xlfn.TEXTJOIN(CHAR(10),TRUE(),IF('UI 요소 상세'!B$1:B$500=A92,"□ "&amp;'UI 요소 상세'!C$1:C$500,"")),"")</f>
        <v>□ </v>
      </c>
      <c r="S92" s="9" t="n">
        <f aca="false">IFERROR(COUNTIF(기능명세서!H:H,A92),0)</f>
        <v>0</v>
      </c>
      <c r="T92" s="9" t="n">
        <f aca="false">IFERROR(COUNTIF(QA테스트케이스!U:U,A92),0)</f>
        <v>0</v>
      </c>
      <c r="U92" s="9" t="n">
        <f aca="false">IFERROR(COUNTIF(API명세서!K:K,A92),0)</f>
        <v>0</v>
      </c>
      <c r="W92" s="9" t="n">
        <f aca="false">IFERROR(COUNTIF('UI 요소 상세'!B:B,A92),0)</f>
        <v>0</v>
      </c>
    </row>
    <row r="93" customFormat="false" ht="15" hidden="false" customHeight="true" outlineLevel="0" collapsed="false">
      <c r="F93" s="15" t="str">
        <f aca="false">IFERROR(_xlfn.TEXTJOIN(CHAR(10),TRUE(),IF('UI 요소 상세'!B$1:B$500=A93,"□ "&amp;'UI 요소 상세'!C$1:C$500,"")),"")</f>
        <v>□ </v>
      </c>
      <c r="S93" s="9" t="n">
        <f aca="false">IFERROR(COUNTIF(기능명세서!H:H,A93),0)</f>
        <v>0</v>
      </c>
      <c r="T93" s="9" t="n">
        <f aca="false">IFERROR(COUNTIF(QA테스트케이스!U:U,A93),0)</f>
        <v>0</v>
      </c>
      <c r="U93" s="9" t="n">
        <f aca="false">IFERROR(COUNTIF(API명세서!K:K,A93),0)</f>
        <v>0</v>
      </c>
      <c r="W93" s="9" t="n">
        <f aca="false">IFERROR(COUNTIF('UI 요소 상세'!B:B,A93),0)</f>
        <v>0</v>
      </c>
    </row>
    <row r="94" customFormat="false" ht="15" hidden="false" customHeight="true" outlineLevel="0" collapsed="false">
      <c r="F94" s="15" t="str">
        <f aca="false">IFERROR(_xlfn.TEXTJOIN(CHAR(10),TRUE(),IF('UI 요소 상세'!B$1:B$500=A94,"□ "&amp;'UI 요소 상세'!C$1:C$500,"")),"")</f>
        <v>□ </v>
      </c>
      <c r="S94" s="9" t="n">
        <f aca="false">IFERROR(COUNTIF(기능명세서!H:H,A94),0)</f>
        <v>0</v>
      </c>
      <c r="T94" s="9" t="n">
        <f aca="false">IFERROR(COUNTIF(QA테스트케이스!U:U,A94),0)</f>
        <v>0</v>
      </c>
      <c r="U94" s="9" t="n">
        <f aca="false">IFERROR(COUNTIF(API명세서!K:K,A94),0)</f>
        <v>0</v>
      </c>
      <c r="W94" s="9" t="n">
        <f aca="false">IFERROR(COUNTIF('UI 요소 상세'!B:B,A94),0)</f>
        <v>0</v>
      </c>
    </row>
    <row r="95" customFormat="false" ht="15" hidden="false" customHeight="true" outlineLevel="0" collapsed="false">
      <c r="F95" s="15" t="str">
        <f aca="false">IFERROR(_xlfn.TEXTJOIN(CHAR(10),TRUE(),IF('UI 요소 상세'!B$1:B$500=A95,"□ "&amp;'UI 요소 상세'!C$1:C$500,"")),"")</f>
        <v>□ </v>
      </c>
      <c r="S95" s="9" t="n">
        <f aca="false">IFERROR(COUNTIF(기능명세서!H:H,A95),0)</f>
        <v>0</v>
      </c>
      <c r="T95" s="9" t="n">
        <f aca="false">IFERROR(COUNTIF(QA테스트케이스!U:U,A95),0)</f>
        <v>0</v>
      </c>
      <c r="U95" s="9" t="n">
        <f aca="false">IFERROR(COUNTIF(API명세서!K:K,A95),0)</f>
        <v>0</v>
      </c>
      <c r="W95" s="9" t="n">
        <f aca="false">IFERROR(COUNTIF('UI 요소 상세'!B:B,A95),0)</f>
        <v>0</v>
      </c>
    </row>
    <row r="96" customFormat="false" ht="15" hidden="false" customHeight="true" outlineLevel="0" collapsed="false">
      <c r="F96" s="15" t="str">
        <f aca="false">IFERROR(_xlfn.TEXTJOIN(CHAR(10),TRUE(),IF('UI 요소 상세'!B$1:B$500=A96,"□ "&amp;'UI 요소 상세'!C$1:C$500,"")),"")</f>
        <v>□ </v>
      </c>
      <c r="S96" s="9" t="n">
        <f aca="false">IFERROR(COUNTIF(기능명세서!H:H,A96),0)</f>
        <v>0</v>
      </c>
      <c r="T96" s="9" t="n">
        <f aca="false">IFERROR(COUNTIF(QA테스트케이스!U:U,A96),0)</f>
        <v>0</v>
      </c>
      <c r="U96" s="9" t="n">
        <f aca="false">IFERROR(COUNTIF(API명세서!K:K,A96),0)</f>
        <v>0</v>
      </c>
      <c r="W96" s="9" t="n">
        <f aca="false">IFERROR(COUNTIF('UI 요소 상세'!B:B,A96),0)</f>
        <v>0</v>
      </c>
    </row>
    <row r="97" customFormat="false" ht="15" hidden="false" customHeight="true" outlineLevel="0" collapsed="false">
      <c r="F97" s="15" t="str">
        <f aca="false">IFERROR(_xlfn.TEXTJOIN(CHAR(10),TRUE(),IF('UI 요소 상세'!B$1:B$500=A97,"□ "&amp;'UI 요소 상세'!C$1:C$500,"")),"")</f>
        <v>□ </v>
      </c>
      <c r="S97" s="9" t="n">
        <f aca="false">IFERROR(COUNTIF(기능명세서!H:H,A97),0)</f>
        <v>0</v>
      </c>
      <c r="T97" s="9" t="n">
        <f aca="false">IFERROR(COUNTIF(QA테스트케이스!U:U,A97),0)</f>
        <v>0</v>
      </c>
      <c r="U97" s="9" t="n">
        <f aca="false">IFERROR(COUNTIF(API명세서!K:K,A97),0)</f>
        <v>0</v>
      </c>
      <c r="W97" s="9" t="n">
        <f aca="false">IFERROR(COUNTIF('UI 요소 상세'!B:B,A97),0)</f>
        <v>0</v>
      </c>
    </row>
    <row r="98" customFormat="false" ht="15" hidden="false" customHeight="true" outlineLevel="0" collapsed="false">
      <c r="F98" s="15" t="str">
        <f aca="false">IFERROR(_xlfn.TEXTJOIN(CHAR(10),TRUE(),IF('UI 요소 상세'!B$1:B$500=A98,"□ "&amp;'UI 요소 상세'!C$1:C$500,"")),"")</f>
        <v>□ </v>
      </c>
      <c r="S98" s="9" t="n">
        <f aca="false">IFERROR(COUNTIF(기능명세서!H:H,A98),0)</f>
        <v>0</v>
      </c>
      <c r="T98" s="9" t="n">
        <f aca="false">IFERROR(COUNTIF(QA테스트케이스!U:U,A98),0)</f>
        <v>0</v>
      </c>
      <c r="U98" s="9" t="n">
        <f aca="false">IFERROR(COUNTIF(API명세서!K:K,A98),0)</f>
        <v>0</v>
      </c>
      <c r="W98" s="9" t="n">
        <f aca="false">IFERROR(COUNTIF('UI 요소 상세'!B:B,A98),0)</f>
        <v>0</v>
      </c>
    </row>
    <row r="99" customFormat="false" ht="15" hidden="false" customHeight="true" outlineLevel="0" collapsed="false">
      <c r="F99" s="15" t="str">
        <f aca="false">IFERROR(_xlfn.TEXTJOIN(CHAR(10),TRUE(),IF('UI 요소 상세'!B$1:B$500=A99,"□ "&amp;'UI 요소 상세'!C$1:C$500,"")),"")</f>
        <v>□ </v>
      </c>
      <c r="S99" s="9" t="n">
        <f aca="false">IFERROR(COUNTIF(기능명세서!H:H,A99),0)</f>
        <v>0</v>
      </c>
      <c r="T99" s="9" t="n">
        <f aca="false">IFERROR(COUNTIF(QA테스트케이스!U:U,A99),0)</f>
        <v>0</v>
      </c>
      <c r="U99" s="9" t="n">
        <f aca="false">IFERROR(COUNTIF(API명세서!K:K,A99),0)</f>
        <v>0</v>
      </c>
      <c r="W99" s="9" t="n">
        <f aca="false">IFERROR(COUNTIF('UI 요소 상세'!B:B,A99),0)</f>
        <v>0</v>
      </c>
    </row>
    <row r="100" customFormat="false" ht="15" hidden="false" customHeight="true" outlineLevel="0" collapsed="false">
      <c r="F100" s="15" t="str">
        <f aca="false">IFERROR(_xlfn.TEXTJOIN(CHAR(10),TRUE(),IF('UI 요소 상세'!B$1:B$500=A100,"□ "&amp;'UI 요소 상세'!C$1:C$500,"")),"")</f>
        <v>□ </v>
      </c>
      <c r="S100" s="9" t="n">
        <f aca="false">IFERROR(COUNTIF(기능명세서!H:H,A100),0)</f>
        <v>0</v>
      </c>
      <c r="T100" s="9" t="n">
        <f aca="false">IFERROR(COUNTIF(QA테스트케이스!U:U,A100),0)</f>
        <v>0</v>
      </c>
      <c r="U100" s="9" t="n">
        <f aca="false">IFERROR(COUNTIF(API명세서!K:K,A100),0)</f>
        <v>0</v>
      </c>
      <c r="W100" s="9" t="n">
        <f aca="false">IFERROR(COUNTIF('UI 요소 상세'!B:B,A100),0)</f>
        <v>0</v>
      </c>
    </row>
    <row r="101" customFormat="false" ht="15" hidden="false" customHeight="true" outlineLevel="0" collapsed="false">
      <c r="F101" s="15" t="str">
        <f aca="false">IFERROR(_xlfn.TEXTJOIN(CHAR(10),TRUE(),IF('UI 요소 상세'!B$1:B$500=A101,"□ "&amp;'UI 요소 상세'!C$1:C$500,"")),"")</f>
        <v>□ </v>
      </c>
      <c r="S101" s="9" t="n">
        <f aca="false">IFERROR(COUNTIF(기능명세서!H:H,A101),0)</f>
        <v>0</v>
      </c>
      <c r="T101" s="9" t="n">
        <f aca="false">IFERROR(COUNTIF(QA테스트케이스!U:U,A101),0)</f>
        <v>0</v>
      </c>
      <c r="U101" s="9" t="n">
        <f aca="false">IFERROR(COUNTIF(API명세서!K:K,A101),0)</f>
        <v>0</v>
      </c>
      <c r="W101" s="9" t="n">
        <f aca="false">IFERROR(COUNTIF('UI 요소 상세'!B:B,A101),0)</f>
        <v>0</v>
      </c>
    </row>
    <row r="102" customFormat="false" ht="15" hidden="false" customHeight="true" outlineLevel="0" collapsed="false">
      <c r="F102" s="15" t="str">
        <f aca="false">IFERROR(_xlfn.TEXTJOIN(CHAR(10),TRUE(),IF('UI 요소 상세'!B$1:B$500=A102,"□ "&amp;'UI 요소 상세'!C$1:C$500,"")),"")</f>
        <v>□ </v>
      </c>
      <c r="S102" s="9" t="n">
        <f aca="false">IFERROR(COUNTIF(기능명세서!H:H,A102),0)</f>
        <v>0</v>
      </c>
      <c r="T102" s="9" t="n">
        <f aca="false">IFERROR(COUNTIF(QA테스트케이스!U:U,A102),0)</f>
        <v>0</v>
      </c>
      <c r="U102" s="9" t="n">
        <f aca="false">IFERROR(COUNTIF(API명세서!K:K,A102),0)</f>
        <v>0</v>
      </c>
      <c r="W102" s="9" t="n">
        <f aca="false">IFERROR(COUNTIF('UI 요소 상세'!B:B,A102),0)</f>
        <v>0</v>
      </c>
    </row>
    <row r="103" customFormat="false" ht="15" hidden="false" customHeight="true" outlineLevel="0" collapsed="false">
      <c r="F103" s="15" t="str">
        <f aca="false">IFERROR(_xlfn.TEXTJOIN(CHAR(10),TRUE(),IF('UI 요소 상세'!B$1:B$500=A103,"□ "&amp;'UI 요소 상세'!C$1:C$500,"")),"")</f>
        <v>□ </v>
      </c>
      <c r="S103" s="9" t="n">
        <f aca="false">IFERROR(COUNTIF(기능명세서!H:H,A103),0)</f>
        <v>0</v>
      </c>
      <c r="T103" s="9" t="n">
        <f aca="false">IFERROR(COUNTIF(QA테스트케이스!U:U,A103),0)</f>
        <v>0</v>
      </c>
      <c r="U103" s="9" t="n">
        <f aca="false">IFERROR(COUNTIF(API명세서!K:K,A103),0)</f>
        <v>0</v>
      </c>
      <c r="W103" s="9" t="n">
        <f aca="false">IFERROR(COUNTIF('UI 요소 상세'!B:B,A103),0)</f>
        <v>0</v>
      </c>
    </row>
    <row r="104" customFormat="false" ht="15" hidden="false" customHeight="true" outlineLevel="0" collapsed="false">
      <c r="F104" s="15" t="str">
        <f aca="false">IFERROR(_xlfn.TEXTJOIN(CHAR(10),TRUE(),IF('UI 요소 상세'!B$1:B$500=A104,"□ "&amp;'UI 요소 상세'!C$1:C$500,"")),"")</f>
        <v>□ </v>
      </c>
      <c r="S104" s="9" t="n">
        <f aca="false">IFERROR(COUNTIF(기능명세서!H:H,A104),0)</f>
        <v>0</v>
      </c>
      <c r="T104" s="9" t="n">
        <f aca="false">IFERROR(COUNTIF(QA테스트케이스!U:U,A104),0)</f>
        <v>0</v>
      </c>
      <c r="U104" s="9" t="n">
        <f aca="false">IFERROR(COUNTIF(API명세서!K:K,A104),0)</f>
        <v>0</v>
      </c>
      <c r="W104" s="9" t="n">
        <f aca="false">IFERROR(COUNTIF('UI 요소 상세'!B:B,A104),0)</f>
        <v>0</v>
      </c>
    </row>
    <row r="105" customFormat="false" ht="15" hidden="false" customHeight="true" outlineLevel="0" collapsed="false">
      <c r="F105" s="15" t="str">
        <f aca="false">IFERROR(_xlfn.TEXTJOIN(CHAR(10),TRUE(),IF('UI 요소 상세'!B$1:B$500=A105,"□ "&amp;'UI 요소 상세'!C$1:C$500,"")),"")</f>
        <v>□ </v>
      </c>
      <c r="S105" s="9" t="n">
        <f aca="false">IFERROR(COUNTIF(기능명세서!H:H,A105),0)</f>
        <v>0</v>
      </c>
      <c r="T105" s="9" t="n">
        <f aca="false">IFERROR(COUNTIF(QA테스트케이스!U:U,A105),0)</f>
        <v>0</v>
      </c>
      <c r="U105" s="9" t="n">
        <f aca="false">IFERROR(COUNTIF(API명세서!K:K,A105),0)</f>
        <v>0</v>
      </c>
      <c r="W105" s="9" t="n">
        <f aca="false">IFERROR(COUNTIF('UI 요소 상세'!B:B,A105),0)</f>
        <v>0</v>
      </c>
    </row>
    <row r="106" customFormat="false" ht="15" hidden="false" customHeight="true" outlineLevel="0" collapsed="false">
      <c r="F106" s="15" t="str">
        <f aca="false">IFERROR(_xlfn.TEXTJOIN(CHAR(10),TRUE(),IF('UI 요소 상세'!B$1:B$500=A106,"□ "&amp;'UI 요소 상세'!C$1:C$500,"")),"")</f>
        <v>□ </v>
      </c>
      <c r="S106" s="9" t="n">
        <f aca="false">IFERROR(COUNTIF(기능명세서!H:H,A106),0)</f>
        <v>0</v>
      </c>
      <c r="T106" s="9" t="n">
        <f aca="false">IFERROR(COUNTIF(QA테스트케이스!U:U,A106),0)</f>
        <v>0</v>
      </c>
      <c r="U106" s="9" t="n">
        <f aca="false">IFERROR(COUNTIF(API명세서!K:K,A106),0)</f>
        <v>0</v>
      </c>
      <c r="W106" s="9" t="n">
        <f aca="false">IFERROR(COUNTIF('UI 요소 상세'!B:B,A106),0)</f>
        <v>0</v>
      </c>
    </row>
    <row r="107" customFormat="false" ht="15" hidden="false" customHeight="true" outlineLevel="0" collapsed="false">
      <c r="F107" s="15" t="str">
        <f aca="false">IFERROR(_xlfn.TEXTJOIN(CHAR(10),TRUE(),IF('UI 요소 상세'!B$1:B$500=A107,"□ "&amp;'UI 요소 상세'!C$1:C$500,"")),"")</f>
        <v>□ </v>
      </c>
      <c r="S107" s="9" t="n">
        <f aca="false">IFERROR(COUNTIF(기능명세서!H:H,A107),0)</f>
        <v>0</v>
      </c>
      <c r="T107" s="9" t="n">
        <f aca="false">IFERROR(COUNTIF(QA테스트케이스!U:U,A107),0)</f>
        <v>0</v>
      </c>
      <c r="U107" s="9" t="n">
        <f aca="false">IFERROR(COUNTIF(API명세서!K:K,A107),0)</f>
        <v>0</v>
      </c>
      <c r="W107" s="9" t="n">
        <f aca="false">IFERROR(COUNTIF('UI 요소 상세'!B:B,A107),0)</f>
        <v>0</v>
      </c>
    </row>
    <row r="108" customFormat="false" ht="15" hidden="false" customHeight="true" outlineLevel="0" collapsed="false">
      <c r="F108" s="15" t="str">
        <f aca="false">IFERROR(_xlfn.TEXTJOIN(CHAR(10),TRUE(),IF('UI 요소 상세'!B$1:B$500=A108,"□ "&amp;'UI 요소 상세'!C$1:C$500,"")),"")</f>
        <v>□ </v>
      </c>
      <c r="S108" s="9" t="n">
        <f aca="false">IFERROR(COUNTIF(기능명세서!H:H,A108),0)</f>
        <v>0</v>
      </c>
      <c r="T108" s="9" t="n">
        <f aca="false">IFERROR(COUNTIF(QA테스트케이스!U:U,A108),0)</f>
        <v>0</v>
      </c>
      <c r="U108" s="9" t="n">
        <f aca="false">IFERROR(COUNTIF(API명세서!K:K,A108),0)</f>
        <v>0</v>
      </c>
      <c r="W108" s="9" t="n">
        <f aca="false">IFERROR(COUNTIF('UI 요소 상세'!B:B,A108),0)</f>
        <v>0</v>
      </c>
    </row>
    <row r="109" customFormat="false" ht="15" hidden="false" customHeight="true" outlineLevel="0" collapsed="false">
      <c r="F109" s="15" t="str">
        <f aca="false">IFERROR(_xlfn.TEXTJOIN(CHAR(10),TRUE(),IF('UI 요소 상세'!B$1:B$500=A109,"□ "&amp;'UI 요소 상세'!C$1:C$500,"")),"")</f>
        <v>□ </v>
      </c>
      <c r="S109" s="9" t="n">
        <f aca="false">IFERROR(COUNTIF(기능명세서!H:H,A109),0)</f>
        <v>0</v>
      </c>
      <c r="T109" s="9" t="n">
        <f aca="false">IFERROR(COUNTIF(QA테스트케이스!U:U,A109),0)</f>
        <v>0</v>
      </c>
      <c r="U109" s="9" t="n">
        <f aca="false">IFERROR(COUNTIF(API명세서!K:K,A109),0)</f>
        <v>0</v>
      </c>
      <c r="W109" s="9" t="n">
        <f aca="false">IFERROR(COUNTIF('UI 요소 상세'!B:B,A109),0)</f>
        <v>0</v>
      </c>
    </row>
    <row r="110" customFormat="false" ht="15" hidden="false" customHeight="true" outlineLevel="0" collapsed="false">
      <c r="F110" s="15" t="str">
        <f aca="false">IFERROR(_xlfn.TEXTJOIN(CHAR(10),TRUE(),IF('UI 요소 상세'!B$1:B$500=A110,"□ "&amp;'UI 요소 상세'!C$1:C$500,"")),"")</f>
        <v>□ </v>
      </c>
      <c r="S110" s="9" t="n">
        <f aca="false">IFERROR(COUNTIF(기능명세서!H:H,A110),0)</f>
        <v>0</v>
      </c>
      <c r="T110" s="9" t="n">
        <f aca="false">IFERROR(COUNTIF(QA테스트케이스!U:U,A110),0)</f>
        <v>0</v>
      </c>
      <c r="U110" s="9" t="n">
        <f aca="false">IFERROR(COUNTIF(API명세서!K:K,A110),0)</f>
        <v>0</v>
      </c>
      <c r="W110" s="9" t="n">
        <f aca="false">IFERROR(COUNTIF('UI 요소 상세'!B:B,A110),0)</f>
        <v>0</v>
      </c>
    </row>
    <row r="111" customFormat="false" ht="15" hidden="false" customHeight="true" outlineLevel="0" collapsed="false">
      <c r="F111" s="15" t="str">
        <f aca="false">IFERROR(_xlfn.TEXTJOIN(CHAR(10),TRUE(),IF('UI 요소 상세'!B$1:B$500=A111,"□ "&amp;'UI 요소 상세'!C$1:C$500,"")),"")</f>
        <v>□ </v>
      </c>
      <c r="S111" s="9" t="n">
        <f aca="false">IFERROR(COUNTIF(기능명세서!H:H,A111),0)</f>
        <v>0</v>
      </c>
      <c r="T111" s="9" t="n">
        <f aca="false">IFERROR(COUNTIF(QA테스트케이스!U:U,A111),0)</f>
        <v>0</v>
      </c>
      <c r="U111" s="9" t="n">
        <f aca="false">IFERROR(COUNTIF(API명세서!K:K,A111),0)</f>
        <v>0</v>
      </c>
      <c r="W111" s="9" t="n">
        <f aca="false">IFERROR(COUNTIF('UI 요소 상세'!B:B,A111),0)</f>
        <v>0</v>
      </c>
    </row>
    <row r="112" customFormat="false" ht="15" hidden="false" customHeight="true" outlineLevel="0" collapsed="false">
      <c r="F112" s="15" t="str">
        <f aca="false">IFERROR(_xlfn.TEXTJOIN(CHAR(10),TRUE(),IF('UI 요소 상세'!B$1:B$500=A112,"□ "&amp;'UI 요소 상세'!C$1:C$500,"")),"")</f>
        <v>□ </v>
      </c>
      <c r="S112" s="9" t="n">
        <f aca="false">IFERROR(COUNTIF(기능명세서!H:H,A112),0)</f>
        <v>0</v>
      </c>
      <c r="T112" s="9" t="n">
        <f aca="false">IFERROR(COUNTIF(QA테스트케이스!U:U,A112),0)</f>
        <v>0</v>
      </c>
      <c r="U112" s="9" t="n">
        <f aca="false">IFERROR(COUNTIF(API명세서!K:K,A112),0)</f>
        <v>0</v>
      </c>
      <c r="W112" s="9" t="n">
        <f aca="false">IFERROR(COUNTIF('UI 요소 상세'!B:B,A112),0)</f>
        <v>0</v>
      </c>
    </row>
    <row r="113" customFormat="false" ht="15" hidden="false" customHeight="true" outlineLevel="0" collapsed="false">
      <c r="F113" s="15" t="str">
        <f aca="false">IFERROR(_xlfn.TEXTJOIN(CHAR(10),TRUE(),IF('UI 요소 상세'!B$1:B$500=A113,"□ "&amp;'UI 요소 상세'!C$1:C$500,"")),"")</f>
        <v>□ </v>
      </c>
      <c r="S113" s="9" t="n">
        <f aca="false">IFERROR(COUNTIF(기능명세서!H:H,A113),0)</f>
        <v>0</v>
      </c>
      <c r="T113" s="9" t="n">
        <f aca="false">IFERROR(COUNTIF(QA테스트케이스!U:U,A113),0)</f>
        <v>0</v>
      </c>
      <c r="U113" s="9" t="n">
        <f aca="false">IFERROR(COUNTIF(API명세서!K:K,A113),0)</f>
        <v>0</v>
      </c>
      <c r="W113" s="9" t="n">
        <f aca="false">IFERROR(COUNTIF('UI 요소 상세'!B:B,A113),0)</f>
        <v>0</v>
      </c>
    </row>
    <row r="114" customFormat="false" ht="15" hidden="false" customHeight="true" outlineLevel="0" collapsed="false">
      <c r="F114" s="15" t="str">
        <f aca="false">IFERROR(_xlfn.TEXTJOIN(CHAR(10),TRUE(),IF('UI 요소 상세'!B$1:B$500=A114,"□ "&amp;'UI 요소 상세'!C$1:C$500,"")),"")</f>
        <v>□ </v>
      </c>
      <c r="S114" s="9" t="n">
        <f aca="false">IFERROR(COUNTIF(기능명세서!H:H,A114),0)</f>
        <v>0</v>
      </c>
      <c r="T114" s="9" t="n">
        <f aca="false">IFERROR(COUNTIF(QA테스트케이스!U:U,A114),0)</f>
        <v>0</v>
      </c>
      <c r="U114" s="9" t="n">
        <f aca="false">IFERROR(COUNTIF(API명세서!K:K,A114),0)</f>
        <v>0</v>
      </c>
      <c r="W114" s="9" t="n">
        <f aca="false">IFERROR(COUNTIF('UI 요소 상세'!B:B,A114),0)</f>
        <v>0</v>
      </c>
    </row>
    <row r="115" customFormat="false" ht="15" hidden="false" customHeight="true" outlineLevel="0" collapsed="false">
      <c r="F115" s="15" t="str">
        <f aca="false">IFERROR(_xlfn.TEXTJOIN(CHAR(10),TRUE(),IF('UI 요소 상세'!B$1:B$500=A115,"□ "&amp;'UI 요소 상세'!C$1:C$500,"")),"")</f>
        <v>□ </v>
      </c>
      <c r="S115" s="9" t="n">
        <f aca="false">IFERROR(COUNTIF(기능명세서!H:H,A115),0)</f>
        <v>0</v>
      </c>
      <c r="T115" s="9" t="n">
        <f aca="false">IFERROR(COUNTIF(QA테스트케이스!U:U,A115),0)</f>
        <v>0</v>
      </c>
      <c r="U115" s="9" t="n">
        <f aca="false">IFERROR(COUNTIF(API명세서!K:K,A115),0)</f>
        <v>0</v>
      </c>
      <c r="W115" s="9" t="n">
        <f aca="false">IFERROR(COUNTIF('UI 요소 상세'!B:B,A115),0)</f>
        <v>0</v>
      </c>
    </row>
    <row r="116" customFormat="false" ht="15" hidden="false" customHeight="true" outlineLevel="0" collapsed="false">
      <c r="F116" s="15" t="str">
        <f aca="false">IFERROR(_xlfn.TEXTJOIN(CHAR(10),TRUE(),IF('UI 요소 상세'!B$1:B$500=A116,"□ "&amp;'UI 요소 상세'!C$1:C$500,"")),"")</f>
        <v>□ </v>
      </c>
      <c r="S116" s="9" t="n">
        <f aca="false">IFERROR(COUNTIF(기능명세서!H:H,A116),0)</f>
        <v>0</v>
      </c>
      <c r="T116" s="9" t="n">
        <f aca="false">IFERROR(COUNTIF(QA테스트케이스!U:U,A116),0)</f>
        <v>0</v>
      </c>
      <c r="U116" s="9" t="n">
        <f aca="false">IFERROR(COUNTIF(API명세서!K:K,A116),0)</f>
        <v>0</v>
      </c>
      <c r="W116" s="9" t="n">
        <f aca="false">IFERROR(COUNTIF('UI 요소 상세'!B:B,A116),0)</f>
        <v>0</v>
      </c>
    </row>
    <row r="117" customFormat="false" ht="15" hidden="false" customHeight="true" outlineLevel="0" collapsed="false">
      <c r="F117" s="15" t="str">
        <f aca="false">IFERROR(_xlfn.TEXTJOIN(CHAR(10),TRUE(),IF('UI 요소 상세'!B$1:B$500=A117,"□ "&amp;'UI 요소 상세'!C$1:C$500,"")),"")</f>
        <v>□ </v>
      </c>
      <c r="S117" s="9" t="n">
        <f aca="false">IFERROR(COUNTIF(기능명세서!H:H,A117),0)</f>
        <v>0</v>
      </c>
      <c r="T117" s="9" t="n">
        <f aca="false">IFERROR(COUNTIF(QA테스트케이스!U:U,A117),0)</f>
        <v>0</v>
      </c>
      <c r="U117" s="9" t="n">
        <f aca="false">IFERROR(COUNTIF(API명세서!K:K,A117),0)</f>
        <v>0</v>
      </c>
      <c r="W117" s="9" t="n">
        <f aca="false">IFERROR(COUNTIF('UI 요소 상세'!B:B,A117),0)</f>
        <v>0</v>
      </c>
    </row>
    <row r="118" customFormat="false" ht="15" hidden="false" customHeight="true" outlineLevel="0" collapsed="false">
      <c r="F118" s="15" t="str">
        <f aca="false">IFERROR(_xlfn.TEXTJOIN(CHAR(10),TRUE(),IF('UI 요소 상세'!B$1:B$500=A118,"□ "&amp;'UI 요소 상세'!C$1:C$500,"")),"")</f>
        <v>□ </v>
      </c>
      <c r="S118" s="9" t="n">
        <f aca="false">IFERROR(COUNTIF(기능명세서!H:H,A118),0)</f>
        <v>0</v>
      </c>
      <c r="T118" s="9" t="n">
        <f aca="false">IFERROR(COUNTIF(QA테스트케이스!U:U,A118),0)</f>
        <v>0</v>
      </c>
      <c r="U118" s="9" t="n">
        <f aca="false">IFERROR(COUNTIF(API명세서!K:K,A118),0)</f>
        <v>0</v>
      </c>
      <c r="W118" s="9" t="n">
        <f aca="false">IFERROR(COUNTIF('UI 요소 상세'!B:B,A118),0)</f>
        <v>0</v>
      </c>
    </row>
    <row r="119" customFormat="false" ht="15" hidden="false" customHeight="true" outlineLevel="0" collapsed="false">
      <c r="F119" s="15" t="str">
        <f aca="false">IFERROR(_xlfn.TEXTJOIN(CHAR(10),TRUE(),IF('UI 요소 상세'!B$1:B$500=A119,"□ "&amp;'UI 요소 상세'!C$1:C$500,"")),"")</f>
        <v>□ </v>
      </c>
      <c r="S119" s="9" t="n">
        <f aca="false">IFERROR(COUNTIF(기능명세서!H:H,A119),0)</f>
        <v>0</v>
      </c>
      <c r="T119" s="9" t="n">
        <f aca="false">IFERROR(COUNTIF(QA테스트케이스!U:U,A119),0)</f>
        <v>0</v>
      </c>
      <c r="U119" s="9" t="n">
        <f aca="false">IFERROR(COUNTIF(API명세서!K:K,A119),0)</f>
        <v>0</v>
      </c>
      <c r="W119" s="9" t="n">
        <f aca="false">IFERROR(COUNTIF('UI 요소 상세'!B:B,A119),0)</f>
        <v>0</v>
      </c>
    </row>
    <row r="120" customFormat="false" ht="15" hidden="false" customHeight="true" outlineLevel="0" collapsed="false">
      <c r="F120" s="15" t="str">
        <f aca="false">IFERROR(_xlfn.TEXTJOIN(CHAR(10),TRUE(),IF('UI 요소 상세'!B$1:B$500=A120,"□ "&amp;'UI 요소 상세'!C$1:C$500,"")),"")</f>
        <v>□ </v>
      </c>
      <c r="S120" s="9" t="n">
        <f aca="false">IFERROR(COUNTIF(기능명세서!H:H,A120),0)</f>
        <v>0</v>
      </c>
      <c r="T120" s="9" t="n">
        <f aca="false">IFERROR(COUNTIF(QA테스트케이스!U:U,A120),0)</f>
        <v>0</v>
      </c>
      <c r="U120" s="9" t="n">
        <f aca="false">IFERROR(COUNTIF(API명세서!K:K,A120),0)</f>
        <v>0</v>
      </c>
      <c r="W120" s="9" t="n">
        <f aca="false">IFERROR(COUNTIF('UI 요소 상세'!B:B,A120),0)</f>
        <v>0</v>
      </c>
    </row>
    <row r="121" customFormat="false" ht="15" hidden="false" customHeight="true" outlineLevel="0" collapsed="false">
      <c r="F121" s="15" t="str">
        <f aca="false">IFERROR(_xlfn.TEXTJOIN(CHAR(10),TRUE(),IF('UI 요소 상세'!B$1:B$500=A121,"□ "&amp;'UI 요소 상세'!C$1:C$500,"")),"")</f>
        <v>□ </v>
      </c>
      <c r="S121" s="9" t="n">
        <f aca="false">IFERROR(COUNTIF(기능명세서!H:H,A121),0)</f>
        <v>0</v>
      </c>
      <c r="T121" s="9" t="n">
        <f aca="false">IFERROR(COUNTIF(QA테스트케이스!U:U,A121),0)</f>
        <v>0</v>
      </c>
      <c r="U121" s="9" t="n">
        <f aca="false">IFERROR(COUNTIF(API명세서!K:K,A121),0)</f>
        <v>0</v>
      </c>
      <c r="W121" s="9" t="n">
        <f aca="false">IFERROR(COUNTIF('UI 요소 상세'!B:B,A121),0)</f>
        <v>0</v>
      </c>
    </row>
    <row r="122" customFormat="false" ht="15" hidden="false" customHeight="true" outlineLevel="0" collapsed="false">
      <c r="F122" s="15" t="str">
        <f aca="false">IFERROR(_xlfn.TEXTJOIN(CHAR(10),TRUE(),IF('UI 요소 상세'!B$1:B$500=A122,"□ "&amp;'UI 요소 상세'!C$1:C$500,"")),"")</f>
        <v>□ </v>
      </c>
      <c r="S122" s="9" t="n">
        <f aca="false">IFERROR(COUNTIF(기능명세서!H:H,A122),0)</f>
        <v>0</v>
      </c>
      <c r="T122" s="9" t="n">
        <f aca="false">IFERROR(COUNTIF(QA테스트케이스!U:U,A122),0)</f>
        <v>0</v>
      </c>
      <c r="U122" s="9" t="n">
        <f aca="false">IFERROR(COUNTIF(API명세서!K:K,A122),0)</f>
        <v>0</v>
      </c>
      <c r="W122" s="9" t="n">
        <f aca="false">IFERROR(COUNTIF('UI 요소 상세'!B:B,A122),0)</f>
        <v>0</v>
      </c>
    </row>
    <row r="123" customFormat="false" ht="15" hidden="false" customHeight="true" outlineLevel="0" collapsed="false">
      <c r="F123" s="15" t="str">
        <f aca="false">IFERROR(_xlfn.TEXTJOIN(CHAR(10),TRUE(),IF('UI 요소 상세'!B$1:B$500=A123,"□ "&amp;'UI 요소 상세'!C$1:C$500,"")),"")</f>
        <v>□ </v>
      </c>
      <c r="S123" s="9" t="n">
        <f aca="false">IFERROR(COUNTIF(기능명세서!H:H,A123),0)</f>
        <v>0</v>
      </c>
      <c r="T123" s="9" t="n">
        <f aca="false">IFERROR(COUNTIF(QA테스트케이스!U:U,A123),0)</f>
        <v>0</v>
      </c>
      <c r="U123" s="9" t="n">
        <f aca="false">IFERROR(COUNTIF(API명세서!K:K,A123),0)</f>
        <v>0</v>
      </c>
      <c r="W123" s="9" t="n">
        <f aca="false">IFERROR(COUNTIF('UI 요소 상세'!B:B,A123),0)</f>
        <v>0</v>
      </c>
    </row>
    <row r="124" customFormat="false" ht="15" hidden="false" customHeight="true" outlineLevel="0" collapsed="false">
      <c r="F124" s="15" t="str">
        <f aca="false">IFERROR(_xlfn.TEXTJOIN(CHAR(10),TRUE(),IF('UI 요소 상세'!B$1:B$500=A124,"□ "&amp;'UI 요소 상세'!C$1:C$500,"")),"")</f>
        <v>□ </v>
      </c>
      <c r="S124" s="9" t="n">
        <f aca="false">IFERROR(COUNTIF(기능명세서!H:H,A124),0)</f>
        <v>0</v>
      </c>
      <c r="T124" s="9" t="n">
        <f aca="false">IFERROR(COUNTIF(QA테스트케이스!U:U,A124),0)</f>
        <v>0</v>
      </c>
      <c r="U124" s="9" t="n">
        <f aca="false">IFERROR(COUNTIF(API명세서!K:K,A124),0)</f>
        <v>0</v>
      </c>
      <c r="W124" s="9" t="n">
        <f aca="false">IFERROR(COUNTIF('UI 요소 상세'!B:B,A124),0)</f>
        <v>0</v>
      </c>
    </row>
    <row r="125" customFormat="false" ht="15" hidden="false" customHeight="true" outlineLevel="0" collapsed="false">
      <c r="F125" s="15" t="str">
        <f aca="false">IFERROR(_xlfn.TEXTJOIN(CHAR(10),TRUE(),IF('UI 요소 상세'!B$1:B$500=A125,"□ "&amp;'UI 요소 상세'!C$1:C$500,"")),"")</f>
        <v>□ </v>
      </c>
      <c r="S125" s="9" t="n">
        <f aca="false">IFERROR(COUNTIF(기능명세서!H:H,A125),0)</f>
        <v>0</v>
      </c>
      <c r="T125" s="9" t="n">
        <f aca="false">IFERROR(COUNTIF(QA테스트케이스!U:U,A125),0)</f>
        <v>0</v>
      </c>
      <c r="U125" s="9" t="n">
        <f aca="false">IFERROR(COUNTIF(API명세서!K:K,A125),0)</f>
        <v>0</v>
      </c>
      <c r="W125" s="9" t="n">
        <f aca="false">IFERROR(COUNTIF('UI 요소 상세'!B:B,A125),0)</f>
        <v>0</v>
      </c>
    </row>
    <row r="126" customFormat="false" ht="15" hidden="false" customHeight="true" outlineLevel="0" collapsed="false">
      <c r="F126" s="15" t="str">
        <f aca="false">IFERROR(_xlfn.TEXTJOIN(CHAR(10),TRUE(),IF('UI 요소 상세'!B$1:B$500=A126,"□ "&amp;'UI 요소 상세'!C$1:C$500,"")),"")</f>
        <v>□ </v>
      </c>
      <c r="S126" s="9" t="n">
        <f aca="false">IFERROR(COUNTIF(기능명세서!H:H,A126),0)</f>
        <v>0</v>
      </c>
      <c r="T126" s="9" t="n">
        <f aca="false">IFERROR(COUNTIF(QA테스트케이스!U:U,A126),0)</f>
        <v>0</v>
      </c>
      <c r="U126" s="9" t="n">
        <f aca="false">IFERROR(COUNTIF(API명세서!K:K,A126),0)</f>
        <v>0</v>
      </c>
      <c r="W126" s="9" t="n">
        <f aca="false">IFERROR(COUNTIF('UI 요소 상세'!B:B,A126),0)</f>
        <v>0</v>
      </c>
    </row>
    <row r="127" customFormat="false" ht="15" hidden="false" customHeight="true" outlineLevel="0" collapsed="false">
      <c r="F127" s="15" t="str">
        <f aca="false">IFERROR(_xlfn.TEXTJOIN(CHAR(10),TRUE(),IF('UI 요소 상세'!B$1:B$500=A127,"□ "&amp;'UI 요소 상세'!C$1:C$500,"")),"")</f>
        <v>□ </v>
      </c>
      <c r="S127" s="9" t="n">
        <f aca="false">IFERROR(COUNTIF(기능명세서!H:H,A127),0)</f>
        <v>0</v>
      </c>
      <c r="T127" s="9" t="n">
        <f aca="false">IFERROR(COUNTIF(QA테스트케이스!U:U,A127),0)</f>
        <v>0</v>
      </c>
      <c r="U127" s="9" t="n">
        <f aca="false">IFERROR(COUNTIF(API명세서!K:K,A127),0)</f>
        <v>0</v>
      </c>
      <c r="W127" s="9" t="n">
        <f aca="false">IFERROR(COUNTIF('UI 요소 상세'!B:B,A127),0)</f>
        <v>0</v>
      </c>
    </row>
    <row r="128" customFormat="false" ht="15" hidden="false" customHeight="true" outlineLevel="0" collapsed="false">
      <c r="F128" s="15" t="str">
        <f aca="false">IFERROR(_xlfn.TEXTJOIN(CHAR(10),TRUE(),IF('UI 요소 상세'!B$1:B$500=A128,"□ "&amp;'UI 요소 상세'!C$1:C$500,"")),"")</f>
        <v>□ </v>
      </c>
      <c r="S128" s="9" t="n">
        <f aca="false">IFERROR(COUNTIF(기능명세서!H:H,A128),0)</f>
        <v>0</v>
      </c>
      <c r="T128" s="9" t="n">
        <f aca="false">IFERROR(COUNTIF(QA테스트케이스!U:U,A128),0)</f>
        <v>0</v>
      </c>
      <c r="U128" s="9" t="n">
        <f aca="false">IFERROR(COUNTIF(API명세서!K:K,A128),0)</f>
        <v>0</v>
      </c>
      <c r="W128" s="9" t="n">
        <f aca="false">IFERROR(COUNTIF('UI 요소 상세'!B:B,A128),0)</f>
        <v>0</v>
      </c>
    </row>
    <row r="129" customFormat="false" ht="15" hidden="false" customHeight="true" outlineLevel="0" collapsed="false">
      <c r="F129" s="15" t="str">
        <f aca="false">IFERROR(_xlfn.TEXTJOIN(CHAR(10),TRUE(),IF('UI 요소 상세'!B$1:B$500=A129,"□ "&amp;'UI 요소 상세'!C$1:C$500,"")),"")</f>
        <v>□ </v>
      </c>
      <c r="S129" s="9" t="n">
        <f aca="false">IFERROR(COUNTIF(기능명세서!H:H,A129),0)</f>
        <v>0</v>
      </c>
      <c r="T129" s="9" t="n">
        <f aca="false">IFERROR(COUNTIF(QA테스트케이스!U:U,A129),0)</f>
        <v>0</v>
      </c>
      <c r="U129" s="9" t="n">
        <f aca="false">IFERROR(COUNTIF(API명세서!K:K,A129),0)</f>
        <v>0</v>
      </c>
      <c r="W129" s="9" t="n">
        <f aca="false">IFERROR(COUNTIF('UI 요소 상세'!B:B,A129),0)</f>
        <v>0</v>
      </c>
    </row>
    <row r="130" customFormat="false" ht="15" hidden="false" customHeight="true" outlineLevel="0" collapsed="false">
      <c r="F130" s="15" t="str">
        <f aca="false">IFERROR(_xlfn.TEXTJOIN(CHAR(10),TRUE(),IF('UI 요소 상세'!B$1:B$500=A130,"□ "&amp;'UI 요소 상세'!C$1:C$500,"")),"")</f>
        <v>□ </v>
      </c>
      <c r="S130" s="9" t="n">
        <f aca="false">IFERROR(COUNTIF(기능명세서!H:H,A130),0)</f>
        <v>0</v>
      </c>
      <c r="T130" s="9" t="n">
        <f aca="false">IFERROR(COUNTIF(QA테스트케이스!U:U,A130),0)</f>
        <v>0</v>
      </c>
      <c r="U130" s="9" t="n">
        <f aca="false">IFERROR(COUNTIF(API명세서!K:K,A130),0)</f>
        <v>0</v>
      </c>
      <c r="W130" s="9" t="n">
        <f aca="false">IFERROR(COUNTIF('UI 요소 상세'!B:B,A130),0)</f>
        <v>0</v>
      </c>
    </row>
    <row r="131" customFormat="false" ht="15" hidden="false" customHeight="true" outlineLevel="0" collapsed="false">
      <c r="F131" s="15" t="str">
        <f aca="false">IFERROR(_xlfn.TEXTJOIN(CHAR(10),TRUE(),IF('UI 요소 상세'!B$1:B$500=A131,"□ "&amp;'UI 요소 상세'!C$1:C$500,"")),"")</f>
        <v>□ </v>
      </c>
      <c r="S131" s="9" t="n">
        <f aca="false">IFERROR(COUNTIF(기능명세서!H:H,A131),0)</f>
        <v>0</v>
      </c>
      <c r="T131" s="9" t="n">
        <f aca="false">IFERROR(COUNTIF(QA테스트케이스!U:U,A131),0)</f>
        <v>0</v>
      </c>
      <c r="U131" s="9" t="n">
        <f aca="false">IFERROR(COUNTIF(API명세서!K:K,A131),0)</f>
        <v>0</v>
      </c>
      <c r="W131" s="9" t="n">
        <f aca="false">IFERROR(COUNTIF('UI 요소 상세'!B:B,A131),0)</f>
        <v>0</v>
      </c>
    </row>
    <row r="132" customFormat="false" ht="15" hidden="false" customHeight="true" outlineLevel="0" collapsed="false">
      <c r="F132" s="15" t="str">
        <f aca="false">IFERROR(_xlfn.TEXTJOIN(CHAR(10),TRUE(),IF('UI 요소 상세'!B$1:B$500=A132,"□ "&amp;'UI 요소 상세'!C$1:C$500,"")),"")</f>
        <v>□ </v>
      </c>
      <c r="S132" s="9" t="n">
        <f aca="false">IFERROR(COUNTIF(기능명세서!H:H,A132),0)</f>
        <v>0</v>
      </c>
      <c r="T132" s="9" t="n">
        <f aca="false">IFERROR(COUNTIF(QA테스트케이스!U:U,A132),0)</f>
        <v>0</v>
      </c>
      <c r="U132" s="9" t="n">
        <f aca="false">IFERROR(COUNTIF(API명세서!K:K,A132),0)</f>
        <v>0</v>
      </c>
      <c r="W132" s="9" t="n">
        <f aca="false">IFERROR(COUNTIF('UI 요소 상세'!B:B,A132),0)</f>
        <v>0</v>
      </c>
    </row>
    <row r="133" customFormat="false" ht="15" hidden="false" customHeight="true" outlineLevel="0" collapsed="false">
      <c r="F133" s="15" t="str">
        <f aca="false">IFERROR(_xlfn.TEXTJOIN(CHAR(10),TRUE(),IF('UI 요소 상세'!B$1:B$500=A133,"□ "&amp;'UI 요소 상세'!C$1:C$500,"")),"")</f>
        <v>□ </v>
      </c>
      <c r="S133" s="9" t="n">
        <f aca="false">IFERROR(COUNTIF(기능명세서!H:H,A133),0)</f>
        <v>0</v>
      </c>
      <c r="T133" s="9" t="n">
        <f aca="false">IFERROR(COUNTIF(QA테스트케이스!U:U,A133),0)</f>
        <v>0</v>
      </c>
      <c r="U133" s="9" t="n">
        <f aca="false">IFERROR(COUNTIF(API명세서!K:K,A133),0)</f>
        <v>0</v>
      </c>
      <c r="W133" s="9" t="n">
        <f aca="false">IFERROR(COUNTIF('UI 요소 상세'!B:B,A133),0)</f>
        <v>0</v>
      </c>
    </row>
    <row r="134" customFormat="false" ht="15" hidden="false" customHeight="true" outlineLevel="0" collapsed="false">
      <c r="F134" s="15" t="str">
        <f aca="false">IFERROR(_xlfn.TEXTJOIN(CHAR(10),TRUE(),IF('UI 요소 상세'!B$1:B$500=A134,"□ "&amp;'UI 요소 상세'!C$1:C$500,"")),"")</f>
        <v>□ </v>
      </c>
      <c r="S134" s="9" t="n">
        <f aca="false">IFERROR(COUNTIF(기능명세서!H:H,A134),0)</f>
        <v>0</v>
      </c>
      <c r="T134" s="9" t="n">
        <f aca="false">IFERROR(COUNTIF(QA테스트케이스!U:U,A134),0)</f>
        <v>0</v>
      </c>
      <c r="U134" s="9" t="n">
        <f aca="false">IFERROR(COUNTIF(API명세서!K:K,A134),0)</f>
        <v>0</v>
      </c>
      <c r="W134" s="9" t="n">
        <f aca="false">IFERROR(COUNTIF('UI 요소 상세'!B:B,A134),0)</f>
        <v>0</v>
      </c>
    </row>
    <row r="135" customFormat="false" ht="15" hidden="false" customHeight="true" outlineLevel="0" collapsed="false">
      <c r="F135" s="15" t="str">
        <f aca="false">IFERROR(_xlfn.TEXTJOIN(CHAR(10),TRUE(),IF('UI 요소 상세'!B$1:B$500=A135,"□ "&amp;'UI 요소 상세'!C$1:C$500,"")),"")</f>
        <v>□ </v>
      </c>
      <c r="S135" s="9" t="n">
        <f aca="false">IFERROR(COUNTIF(기능명세서!H:H,A135),0)</f>
        <v>0</v>
      </c>
      <c r="T135" s="9" t="n">
        <f aca="false">IFERROR(COUNTIF(QA테스트케이스!U:U,A135),0)</f>
        <v>0</v>
      </c>
      <c r="U135" s="9" t="n">
        <f aca="false">IFERROR(COUNTIF(API명세서!K:K,A135),0)</f>
        <v>0</v>
      </c>
      <c r="W135" s="9" t="n">
        <f aca="false">IFERROR(COUNTIF('UI 요소 상세'!B:B,A135),0)</f>
        <v>0</v>
      </c>
    </row>
    <row r="136" customFormat="false" ht="15" hidden="false" customHeight="true" outlineLevel="0" collapsed="false">
      <c r="F136" s="15" t="str">
        <f aca="false">IFERROR(_xlfn.TEXTJOIN(CHAR(10),TRUE(),IF('UI 요소 상세'!B$1:B$500=A136,"□ "&amp;'UI 요소 상세'!C$1:C$500,"")),"")</f>
        <v>□ </v>
      </c>
      <c r="S136" s="9" t="n">
        <f aca="false">IFERROR(COUNTIF(기능명세서!H:H,A136),0)</f>
        <v>0</v>
      </c>
      <c r="T136" s="9" t="n">
        <f aca="false">IFERROR(COUNTIF(QA테스트케이스!U:U,A136),0)</f>
        <v>0</v>
      </c>
      <c r="U136" s="9" t="n">
        <f aca="false">IFERROR(COUNTIF(API명세서!K:K,A136),0)</f>
        <v>0</v>
      </c>
      <c r="W136" s="9" t="n">
        <f aca="false">IFERROR(COUNTIF('UI 요소 상세'!B:B,A136),0)</f>
        <v>0</v>
      </c>
    </row>
    <row r="137" customFormat="false" ht="15" hidden="false" customHeight="true" outlineLevel="0" collapsed="false">
      <c r="F137" s="15" t="str">
        <f aca="false">IFERROR(_xlfn.TEXTJOIN(CHAR(10),TRUE(),IF('UI 요소 상세'!B$1:B$500=A137,"□ "&amp;'UI 요소 상세'!C$1:C$500,"")),"")</f>
        <v>□ </v>
      </c>
      <c r="S137" s="9" t="n">
        <f aca="false">IFERROR(COUNTIF(기능명세서!H:H,A137),0)</f>
        <v>0</v>
      </c>
      <c r="T137" s="9" t="n">
        <f aca="false">IFERROR(COUNTIF(QA테스트케이스!U:U,A137),0)</f>
        <v>0</v>
      </c>
      <c r="U137" s="9" t="n">
        <f aca="false">IFERROR(COUNTIF(API명세서!K:K,A137),0)</f>
        <v>0</v>
      </c>
      <c r="W137" s="9" t="n">
        <f aca="false">IFERROR(COUNTIF('UI 요소 상세'!B:B,A137),0)</f>
        <v>0</v>
      </c>
    </row>
    <row r="138" customFormat="false" ht="15" hidden="false" customHeight="true" outlineLevel="0" collapsed="false">
      <c r="F138" s="15" t="str">
        <f aca="false">IFERROR(_xlfn.TEXTJOIN(CHAR(10),TRUE(),IF('UI 요소 상세'!B$1:B$500=A138,"□ "&amp;'UI 요소 상세'!C$1:C$500,"")),"")</f>
        <v>□ </v>
      </c>
      <c r="S138" s="9" t="n">
        <f aca="false">IFERROR(COUNTIF(기능명세서!H:H,A138),0)</f>
        <v>0</v>
      </c>
      <c r="T138" s="9" t="n">
        <f aca="false">IFERROR(COUNTIF(QA테스트케이스!U:U,A138),0)</f>
        <v>0</v>
      </c>
      <c r="U138" s="9" t="n">
        <f aca="false">IFERROR(COUNTIF(API명세서!K:K,A138),0)</f>
        <v>0</v>
      </c>
      <c r="W138" s="9" t="n">
        <f aca="false">IFERROR(COUNTIF('UI 요소 상세'!B:B,A138),0)</f>
        <v>0</v>
      </c>
    </row>
    <row r="139" customFormat="false" ht="15" hidden="false" customHeight="true" outlineLevel="0" collapsed="false">
      <c r="F139" s="15" t="str">
        <f aca="false">IFERROR(_xlfn.TEXTJOIN(CHAR(10),TRUE(),IF('UI 요소 상세'!B$1:B$500=A139,"□ "&amp;'UI 요소 상세'!C$1:C$500,"")),"")</f>
        <v>□ </v>
      </c>
      <c r="S139" s="9" t="n">
        <f aca="false">IFERROR(COUNTIF(기능명세서!H:H,A139),0)</f>
        <v>0</v>
      </c>
      <c r="T139" s="9" t="n">
        <f aca="false">IFERROR(COUNTIF(QA테스트케이스!U:U,A139),0)</f>
        <v>0</v>
      </c>
      <c r="U139" s="9" t="n">
        <f aca="false">IFERROR(COUNTIF(API명세서!K:K,A139),0)</f>
        <v>0</v>
      </c>
      <c r="W139" s="9" t="n">
        <f aca="false">IFERROR(COUNTIF('UI 요소 상세'!B:B,A139),0)</f>
        <v>0</v>
      </c>
    </row>
    <row r="140" customFormat="false" ht="15" hidden="false" customHeight="true" outlineLevel="0" collapsed="false">
      <c r="F140" s="15" t="str">
        <f aca="false">IFERROR(_xlfn.TEXTJOIN(CHAR(10),TRUE(),IF('UI 요소 상세'!B$1:B$500=A140,"□ "&amp;'UI 요소 상세'!C$1:C$500,"")),"")</f>
        <v>□ </v>
      </c>
      <c r="S140" s="9" t="n">
        <f aca="false">IFERROR(COUNTIF(기능명세서!H:H,A140),0)</f>
        <v>0</v>
      </c>
      <c r="T140" s="9" t="n">
        <f aca="false">IFERROR(COUNTIF(QA테스트케이스!U:U,A140),0)</f>
        <v>0</v>
      </c>
      <c r="U140" s="9" t="n">
        <f aca="false">IFERROR(COUNTIF(API명세서!K:K,A140),0)</f>
        <v>0</v>
      </c>
      <c r="W140" s="9" t="n">
        <f aca="false">IFERROR(COUNTIF('UI 요소 상세'!B:B,A140),0)</f>
        <v>0</v>
      </c>
    </row>
    <row r="141" customFormat="false" ht="15" hidden="false" customHeight="true" outlineLevel="0" collapsed="false">
      <c r="F141" s="15" t="str">
        <f aca="false">IFERROR(_xlfn.TEXTJOIN(CHAR(10),TRUE(),IF('UI 요소 상세'!B$1:B$500=A141,"□ "&amp;'UI 요소 상세'!C$1:C$500,"")),"")</f>
        <v>□ </v>
      </c>
      <c r="S141" s="9" t="n">
        <f aca="false">IFERROR(COUNTIF(기능명세서!H:H,A141),0)</f>
        <v>0</v>
      </c>
      <c r="T141" s="9" t="n">
        <f aca="false">IFERROR(COUNTIF(QA테스트케이스!U:U,A141),0)</f>
        <v>0</v>
      </c>
      <c r="U141" s="9" t="n">
        <f aca="false">IFERROR(COUNTIF(API명세서!K:K,A141),0)</f>
        <v>0</v>
      </c>
      <c r="W141" s="9" t="n">
        <f aca="false">IFERROR(COUNTIF('UI 요소 상세'!B:B,A141),0)</f>
        <v>0</v>
      </c>
    </row>
    <row r="142" customFormat="false" ht="15" hidden="false" customHeight="true" outlineLevel="0" collapsed="false">
      <c r="F142" s="15" t="str">
        <f aca="false">IFERROR(_xlfn.TEXTJOIN(CHAR(10),TRUE(),IF('UI 요소 상세'!B$1:B$500=A142,"□ "&amp;'UI 요소 상세'!C$1:C$500,"")),"")</f>
        <v>□ </v>
      </c>
      <c r="S142" s="9" t="n">
        <f aca="false">IFERROR(COUNTIF(기능명세서!H:H,A142),0)</f>
        <v>0</v>
      </c>
      <c r="T142" s="9" t="n">
        <f aca="false">IFERROR(COUNTIF(QA테스트케이스!U:U,A142),0)</f>
        <v>0</v>
      </c>
      <c r="U142" s="9" t="n">
        <f aca="false">IFERROR(COUNTIF(API명세서!K:K,A142),0)</f>
        <v>0</v>
      </c>
      <c r="W142" s="9" t="n">
        <f aca="false">IFERROR(COUNTIF('UI 요소 상세'!B:B,A142),0)</f>
        <v>0</v>
      </c>
    </row>
    <row r="143" customFormat="false" ht="15" hidden="false" customHeight="true" outlineLevel="0" collapsed="false">
      <c r="F143" s="15" t="str">
        <f aca="false">IFERROR(_xlfn.TEXTJOIN(CHAR(10),TRUE(),IF('UI 요소 상세'!B$1:B$500=A143,"□ "&amp;'UI 요소 상세'!C$1:C$500,"")),"")</f>
        <v>□ </v>
      </c>
      <c r="S143" s="9" t="n">
        <f aca="false">IFERROR(COUNTIF(기능명세서!H:H,A143),0)</f>
        <v>0</v>
      </c>
      <c r="T143" s="9" t="n">
        <f aca="false">IFERROR(COUNTIF(QA테스트케이스!U:U,A143),0)</f>
        <v>0</v>
      </c>
      <c r="U143" s="9" t="n">
        <f aca="false">IFERROR(COUNTIF(API명세서!K:K,A143),0)</f>
        <v>0</v>
      </c>
      <c r="W143" s="9" t="n">
        <f aca="false">IFERROR(COUNTIF('UI 요소 상세'!B:B,A143),0)</f>
        <v>0</v>
      </c>
    </row>
    <row r="144" customFormat="false" ht="15" hidden="false" customHeight="true" outlineLevel="0" collapsed="false">
      <c r="F144" s="15" t="str">
        <f aca="false">IFERROR(_xlfn.TEXTJOIN(CHAR(10),TRUE(),IF('UI 요소 상세'!B$1:B$500=A144,"□ "&amp;'UI 요소 상세'!C$1:C$500,"")),"")</f>
        <v>□ </v>
      </c>
      <c r="S144" s="9" t="n">
        <f aca="false">IFERROR(COUNTIF(기능명세서!H:H,A144),0)</f>
        <v>0</v>
      </c>
      <c r="T144" s="9" t="n">
        <f aca="false">IFERROR(COUNTIF(QA테스트케이스!U:U,A144),0)</f>
        <v>0</v>
      </c>
      <c r="U144" s="9" t="n">
        <f aca="false">IFERROR(COUNTIF(API명세서!K:K,A144),0)</f>
        <v>0</v>
      </c>
      <c r="W144" s="9" t="n">
        <f aca="false">IFERROR(COUNTIF('UI 요소 상세'!B:B,A144),0)</f>
        <v>0</v>
      </c>
    </row>
    <row r="145" customFormat="false" ht="15" hidden="false" customHeight="true" outlineLevel="0" collapsed="false">
      <c r="F145" s="15" t="str">
        <f aca="false">IFERROR(_xlfn.TEXTJOIN(CHAR(10),TRUE(),IF('UI 요소 상세'!B$1:B$500=A145,"□ "&amp;'UI 요소 상세'!C$1:C$500,"")),"")</f>
        <v>□ </v>
      </c>
      <c r="S145" s="9" t="n">
        <f aca="false">IFERROR(COUNTIF(기능명세서!H:H,A145),0)</f>
        <v>0</v>
      </c>
      <c r="T145" s="9" t="n">
        <f aca="false">IFERROR(COUNTIF(QA테스트케이스!U:U,A145),0)</f>
        <v>0</v>
      </c>
      <c r="U145" s="9" t="n">
        <f aca="false">IFERROR(COUNTIF(API명세서!K:K,A145),0)</f>
        <v>0</v>
      </c>
      <c r="W145" s="9" t="n">
        <f aca="false">IFERROR(COUNTIF('UI 요소 상세'!B:B,A145),0)</f>
        <v>0</v>
      </c>
    </row>
    <row r="146" customFormat="false" ht="15" hidden="false" customHeight="true" outlineLevel="0" collapsed="false">
      <c r="F146" s="15" t="str">
        <f aca="false">IFERROR(_xlfn.TEXTJOIN(CHAR(10),TRUE(),IF('UI 요소 상세'!B$1:B$500=A146,"□ "&amp;'UI 요소 상세'!C$1:C$500,"")),"")</f>
        <v>□ </v>
      </c>
      <c r="S146" s="9" t="n">
        <f aca="false">IFERROR(COUNTIF(기능명세서!H:H,A146),0)</f>
        <v>0</v>
      </c>
      <c r="T146" s="9" t="n">
        <f aca="false">IFERROR(COUNTIF(QA테스트케이스!U:U,A146),0)</f>
        <v>0</v>
      </c>
      <c r="U146" s="9" t="n">
        <f aca="false">IFERROR(COUNTIF(API명세서!K:K,A146),0)</f>
        <v>0</v>
      </c>
      <c r="W146" s="9" t="n">
        <f aca="false">IFERROR(COUNTIF('UI 요소 상세'!B:B,A146),0)</f>
        <v>0</v>
      </c>
    </row>
    <row r="147" customFormat="false" ht="15" hidden="false" customHeight="true" outlineLevel="0" collapsed="false">
      <c r="F147" s="15" t="str">
        <f aca="false">IFERROR(_xlfn.TEXTJOIN(CHAR(10),TRUE(),IF('UI 요소 상세'!B$1:B$500=A147,"□ "&amp;'UI 요소 상세'!C$1:C$500,"")),"")</f>
        <v>□ </v>
      </c>
      <c r="S147" s="9" t="n">
        <f aca="false">IFERROR(COUNTIF(기능명세서!H:H,A147),0)</f>
        <v>0</v>
      </c>
      <c r="T147" s="9" t="n">
        <f aca="false">IFERROR(COUNTIF(QA테스트케이스!U:U,A147),0)</f>
        <v>0</v>
      </c>
      <c r="U147" s="9" t="n">
        <f aca="false">IFERROR(COUNTIF(API명세서!K:K,A147),0)</f>
        <v>0</v>
      </c>
      <c r="W147" s="9" t="n">
        <f aca="false">IFERROR(COUNTIF('UI 요소 상세'!B:B,A147),0)</f>
        <v>0</v>
      </c>
    </row>
    <row r="148" customFormat="false" ht="15" hidden="false" customHeight="true" outlineLevel="0" collapsed="false">
      <c r="F148" s="15" t="str">
        <f aca="false">IFERROR(_xlfn.TEXTJOIN(CHAR(10),TRUE(),IF('UI 요소 상세'!B$1:B$500=A148,"□ "&amp;'UI 요소 상세'!C$1:C$500,"")),"")</f>
        <v>□ </v>
      </c>
      <c r="S148" s="9" t="n">
        <f aca="false">IFERROR(COUNTIF(기능명세서!H:H,A148),0)</f>
        <v>0</v>
      </c>
      <c r="T148" s="9" t="n">
        <f aca="false">IFERROR(COUNTIF(QA테스트케이스!U:U,A148),0)</f>
        <v>0</v>
      </c>
      <c r="U148" s="9" t="n">
        <f aca="false">IFERROR(COUNTIF(API명세서!K:K,A148),0)</f>
        <v>0</v>
      </c>
      <c r="W148" s="9" t="n">
        <f aca="false">IFERROR(COUNTIF('UI 요소 상세'!B:B,A148),0)</f>
        <v>0</v>
      </c>
    </row>
    <row r="149" customFormat="false" ht="15" hidden="false" customHeight="true" outlineLevel="0" collapsed="false">
      <c r="F149" s="15" t="str">
        <f aca="false">IFERROR(_xlfn.TEXTJOIN(CHAR(10),TRUE(),IF('UI 요소 상세'!B$1:B$500=A149,"□ "&amp;'UI 요소 상세'!C$1:C$500,"")),"")</f>
        <v>□ </v>
      </c>
      <c r="S149" s="9" t="n">
        <f aca="false">IFERROR(COUNTIF(기능명세서!H:H,A149),0)</f>
        <v>0</v>
      </c>
      <c r="T149" s="9" t="n">
        <f aca="false">IFERROR(COUNTIF(QA테스트케이스!U:U,A149),0)</f>
        <v>0</v>
      </c>
      <c r="U149" s="9" t="n">
        <f aca="false">IFERROR(COUNTIF(API명세서!K:K,A149),0)</f>
        <v>0</v>
      </c>
      <c r="W149" s="9" t="n">
        <f aca="false">IFERROR(COUNTIF('UI 요소 상세'!B:B,A149),0)</f>
        <v>0</v>
      </c>
    </row>
    <row r="150" customFormat="false" ht="15" hidden="false" customHeight="true" outlineLevel="0" collapsed="false">
      <c r="F150" s="15" t="str">
        <f aca="false">IFERROR(_xlfn.TEXTJOIN(CHAR(10),TRUE(),IF('UI 요소 상세'!B$1:B$500=A150,"□ "&amp;'UI 요소 상세'!C$1:C$500,"")),"")</f>
        <v>□ </v>
      </c>
      <c r="S150" s="9" t="n">
        <f aca="false">IFERROR(COUNTIF(기능명세서!H:H,A150),0)</f>
        <v>0</v>
      </c>
      <c r="T150" s="9" t="n">
        <f aca="false">IFERROR(COUNTIF(QA테스트케이스!U:U,A150),0)</f>
        <v>0</v>
      </c>
      <c r="U150" s="9" t="n">
        <f aca="false">IFERROR(COUNTIF(API명세서!K:K,A150),0)</f>
        <v>0</v>
      </c>
      <c r="W150" s="9" t="n">
        <f aca="false">IFERROR(COUNTIF('UI 요소 상세'!B:B,A150),0)</f>
        <v>0</v>
      </c>
    </row>
    <row r="151" customFormat="false" ht="15" hidden="false" customHeight="true" outlineLevel="0" collapsed="false">
      <c r="F151" s="15" t="str">
        <f aca="false">IFERROR(_xlfn.TEXTJOIN(CHAR(10),TRUE(),IF('UI 요소 상세'!B$1:B$500=A151,"□ "&amp;'UI 요소 상세'!C$1:C$500,"")),"")</f>
        <v>□ </v>
      </c>
      <c r="S151" s="9" t="n">
        <f aca="false">IFERROR(COUNTIF(기능명세서!H:H,A151),0)</f>
        <v>0</v>
      </c>
      <c r="T151" s="9" t="n">
        <f aca="false">IFERROR(COUNTIF(QA테스트케이스!U:U,A151),0)</f>
        <v>0</v>
      </c>
      <c r="U151" s="9" t="n">
        <f aca="false">IFERROR(COUNTIF(API명세서!K:K,A151),0)</f>
        <v>0</v>
      </c>
      <c r="W151" s="9" t="n">
        <f aca="false">IFERROR(COUNTIF('UI 요소 상세'!B:B,A151),0)</f>
        <v>0</v>
      </c>
    </row>
    <row r="152" customFormat="false" ht="15" hidden="false" customHeight="true" outlineLevel="0" collapsed="false">
      <c r="F152" s="15" t="str">
        <f aca="false">IFERROR(_xlfn.TEXTJOIN(CHAR(10),TRUE(),IF('UI 요소 상세'!B$1:B$500=A152,"□ "&amp;'UI 요소 상세'!C$1:C$500,"")),"")</f>
        <v>□ </v>
      </c>
      <c r="S152" s="9" t="n">
        <f aca="false">IFERROR(COUNTIF(기능명세서!H:H,A152),0)</f>
        <v>0</v>
      </c>
      <c r="T152" s="9" t="n">
        <f aca="false">IFERROR(COUNTIF(QA테스트케이스!U:U,A152),0)</f>
        <v>0</v>
      </c>
      <c r="U152" s="9" t="n">
        <f aca="false">IFERROR(COUNTIF(API명세서!K:K,A152),0)</f>
        <v>0</v>
      </c>
      <c r="W152" s="9" t="n">
        <f aca="false">IFERROR(COUNTIF('UI 요소 상세'!B:B,A152),0)</f>
        <v>0</v>
      </c>
    </row>
    <row r="153" customFormat="false" ht="15" hidden="false" customHeight="true" outlineLevel="0" collapsed="false">
      <c r="F153" s="15" t="str">
        <f aca="false">IFERROR(_xlfn.TEXTJOIN(CHAR(10),TRUE(),IF('UI 요소 상세'!B$1:B$500=A153,"□ "&amp;'UI 요소 상세'!C$1:C$500,"")),"")</f>
        <v>□ </v>
      </c>
      <c r="S153" s="9" t="n">
        <f aca="false">IFERROR(COUNTIF(기능명세서!H:H,A153),0)</f>
        <v>0</v>
      </c>
      <c r="T153" s="9" t="n">
        <f aca="false">IFERROR(COUNTIF(QA테스트케이스!U:U,A153),0)</f>
        <v>0</v>
      </c>
      <c r="U153" s="9" t="n">
        <f aca="false">IFERROR(COUNTIF(API명세서!K:K,A153),0)</f>
        <v>0</v>
      </c>
      <c r="W153" s="9" t="n">
        <f aca="false">IFERROR(COUNTIF('UI 요소 상세'!B:B,A153),0)</f>
        <v>0</v>
      </c>
    </row>
    <row r="154" customFormat="false" ht="15" hidden="false" customHeight="true" outlineLevel="0" collapsed="false">
      <c r="F154" s="15" t="str">
        <f aca="false">IFERROR(_xlfn.TEXTJOIN(CHAR(10),TRUE(),IF('UI 요소 상세'!B$1:B$500=A154,"□ "&amp;'UI 요소 상세'!C$1:C$500,"")),"")</f>
        <v>□ </v>
      </c>
      <c r="S154" s="9" t="n">
        <f aca="false">IFERROR(COUNTIF(기능명세서!H:H,A154),0)</f>
        <v>0</v>
      </c>
      <c r="T154" s="9" t="n">
        <f aca="false">IFERROR(COUNTIF(QA테스트케이스!U:U,A154),0)</f>
        <v>0</v>
      </c>
      <c r="U154" s="9" t="n">
        <f aca="false">IFERROR(COUNTIF(API명세서!K:K,A154),0)</f>
        <v>0</v>
      </c>
      <c r="W154" s="9" t="n">
        <f aca="false">IFERROR(COUNTIF('UI 요소 상세'!B:B,A154),0)</f>
        <v>0</v>
      </c>
    </row>
    <row r="155" customFormat="false" ht="15" hidden="false" customHeight="true" outlineLevel="0" collapsed="false">
      <c r="F155" s="15" t="str">
        <f aca="false">IFERROR(_xlfn.TEXTJOIN(CHAR(10),TRUE(),IF('UI 요소 상세'!B$1:B$500=A155,"□ "&amp;'UI 요소 상세'!C$1:C$500,"")),"")</f>
        <v>□ </v>
      </c>
      <c r="S155" s="9" t="n">
        <f aca="false">IFERROR(COUNTIF(기능명세서!H:H,A155),0)</f>
        <v>0</v>
      </c>
      <c r="T155" s="9" t="n">
        <f aca="false">IFERROR(COUNTIF(QA테스트케이스!U:U,A155),0)</f>
        <v>0</v>
      </c>
      <c r="U155" s="9" t="n">
        <f aca="false">IFERROR(COUNTIF(API명세서!K:K,A155),0)</f>
        <v>0</v>
      </c>
      <c r="W155" s="9" t="n">
        <f aca="false">IFERROR(COUNTIF('UI 요소 상세'!B:B,A155),0)</f>
        <v>0</v>
      </c>
    </row>
    <row r="156" customFormat="false" ht="15" hidden="false" customHeight="true" outlineLevel="0" collapsed="false">
      <c r="F156" s="15" t="str">
        <f aca="false">IFERROR(_xlfn.TEXTJOIN(CHAR(10),TRUE(),IF('UI 요소 상세'!B$1:B$500=A156,"□ "&amp;'UI 요소 상세'!C$1:C$500,"")),"")</f>
        <v>□ </v>
      </c>
      <c r="S156" s="9" t="n">
        <f aca="false">IFERROR(COUNTIF(기능명세서!H:H,A156),0)</f>
        <v>0</v>
      </c>
      <c r="T156" s="9" t="n">
        <f aca="false">IFERROR(COUNTIF(QA테스트케이스!U:U,A156),0)</f>
        <v>0</v>
      </c>
      <c r="U156" s="9" t="n">
        <f aca="false">IFERROR(COUNTIF(API명세서!K:K,A156),0)</f>
        <v>0</v>
      </c>
      <c r="W156" s="9" t="n">
        <f aca="false">IFERROR(COUNTIF('UI 요소 상세'!B:B,A156),0)</f>
        <v>0</v>
      </c>
    </row>
    <row r="157" customFormat="false" ht="15" hidden="false" customHeight="true" outlineLevel="0" collapsed="false">
      <c r="F157" s="15" t="str">
        <f aca="false">IFERROR(_xlfn.TEXTJOIN(CHAR(10),TRUE(),IF('UI 요소 상세'!B$1:B$500=A157,"□ "&amp;'UI 요소 상세'!C$1:C$500,"")),"")</f>
        <v>□ </v>
      </c>
      <c r="S157" s="9" t="n">
        <f aca="false">IFERROR(COUNTIF(기능명세서!H:H,A157),0)</f>
        <v>0</v>
      </c>
      <c r="T157" s="9" t="n">
        <f aca="false">IFERROR(COUNTIF(QA테스트케이스!U:U,A157),0)</f>
        <v>0</v>
      </c>
      <c r="U157" s="9" t="n">
        <f aca="false">IFERROR(COUNTIF(API명세서!K:K,A157),0)</f>
        <v>0</v>
      </c>
      <c r="W157" s="9" t="n">
        <f aca="false">IFERROR(COUNTIF('UI 요소 상세'!B:B,A157),0)</f>
        <v>0</v>
      </c>
    </row>
    <row r="158" customFormat="false" ht="15" hidden="false" customHeight="true" outlineLevel="0" collapsed="false">
      <c r="F158" s="15" t="str">
        <f aca="false">IFERROR(_xlfn.TEXTJOIN(CHAR(10),TRUE(),IF('UI 요소 상세'!B$1:B$500=A158,"□ "&amp;'UI 요소 상세'!C$1:C$500,"")),"")</f>
        <v>□ </v>
      </c>
      <c r="S158" s="9" t="n">
        <f aca="false">IFERROR(COUNTIF(기능명세서!H:H,A158),0)</f>
        <v>0</v>
      </c>
      <c r="T158" s="9" t="n">
        <f aca="false">IFERROR(COUNTIF(QA테스트케이스!U:U,A158),0)</f>
        <v>0</v>
      </c>
      <c r="U158" s="9" t="n">
        <f aca="false">IFERROR(COUNTIF(API명세서!K:K,A158),0)</f>
        <v>0</v>
      </c>
      <c r="W158" s="9" t="n">
        <f aca="false">IFERROR(COUNTIF('UI 요소 상세'!B:B,A158),0)</f>
        <v>0</v>
      </c>
    </row>
    <row r="159" customFormat="false" ht="15" hidden="false" customHeight="true" outlineLevel="0" collapsed="false">
      <c r="F159" s="15" t="str">
        <f aca="false">IFERROR(_xlfn.TEXTJOIN(CHAR(10),TRUE(),IF('UI 요소 상세'!B$1:B$500=A159,"□ "&amp;'UI 요소 상세'!C$1:C$500,"")),"")</f>
        <v>□ </v>
      </c>
      <c r="S159" s="9" t="n">
        <f aca="false">IFERROR(COUNTIF(기능명세서!H:H,A159),0)</f>
        <v>0</v>
      </c>
      <c r="T159" s="9" t="n">
        <f aca="false">IFERROR(COUNTIF(QA테스트케이스!U:U,A159),0)</f>
        <v>0</v>
      </c>
      <c r="U159" s="9" t="n">
        <f aca="false">IFERROR(COUNTIF(API명세서!K:K,A159),0)</f>
        <v>0</v>
      </c>
      <c r="W159" s="9" t="n">
        <f aca="false">IFERROR(COUNTIF('UI 요소 상세'!B:B,A159),0)</f>
        <v>0</v>
      </c>
    </row>
    <row r="160" customFormat="false" ht="15" hidden="false" customHeight="true" outlineLevel="0" collapsed="false">
      <c r="F160" s="15" t="str">
        <f aca="false">IFERROR(_xlfn.TEXTJOIN(CHAR(10),TRUE(),IF('UI 요소 상세'!B$1:B$500=A160,"□ "&amp;'UI 요소 상세'!C$1:C$500,"")),"")</f>
        <v>□ </v>
      </c>
      <c r="S160" s="9" t="n">
        <f aca="false">IFERROR(COUNTIF(기능명세서!H:H,A160),0)</f>
        <v>0</v>
      </c>
      <c r="T160" s="9" t="n">
        <f aca="false">IFERROR(COUNTIF(QA테스트케이스!U:U,A160),0)</f>
        <v>0</v>
      </c>
      <c r="U160" s="9" t="n">
        <f aca="false">IFERROR(COUNTIF(API명세서!K:K,A160),0)</f>
        <v>0</v>
      </c>
      <c r="W160" s="9" t="n">
        <f aca="false">IFERROR(COUNTIF('UI 요소 상세'!B:B,A160),0)</f>
        <v>0</v>
      </c>
    </row>
    <row r="161" customFormat="false" ht="15" hidden="false" customHeight="true" outlineLevel="0" collapsed="false">
      <c r="F161" s="15" t="str">
        <f aca="false">IFERROR(_xlfn.TEXTJOIN(CHAR(10),TRUE(),IF('UI 요소 상세'!B$1:B$500=A161,"□ "&amp;'UI 요소 상세'!C$1:C$500,"")),"")</f>
        <v>□ </v>
      </c>
      <c r="S161" s="9" t="n">
        <f aca="false">IFERROR(COUNTIF(기능명세서!H:H,A161),0)</f>
        <v>0</v>
      </c>
      <c r="T161" s="9" t="n">
        <f aca="false">IFERROR(COUNTIF(QA테스트케이스!U:U,A161),0)</f>
        <v>0</v>
      </c>
      <c r="U161" s="9" t="n">
        <f aca="false">IFERROR(COUNTIF(API명세서!K:K,A161),0)</f>
        <v>0</v>
      </c>
      <c r="W161" s="9" t="n">
        <f aca="false">IFERROR(COUNTIF('UI 요소 상세'!B:B,A161),0)</f>
        <v>0</v>
      </c>
    </row>
    <row r="162" customFormat="false" ht="15" hidden="false" customHeight="true" outlineLevel="0" collapsed="false">
      <c r="F162" s="15" t="str">
        <f aca="false">IFERROR(_xlfn.TEXTJOIN(CHAR(10),TRUE(),IF('UI 요소 상세'!B$1:B$500=A162,"□ "&amp;'UI 요소 상세'!C$1:C$500,"")),"")</f>
        <v>□ </v>
      </c>
      <c r="S162" s="9" t="n">
        <f aca="false">IFERROR(COUNTIF(기능명세서!H:H,A162),0)</f>
        <v>0</v>
      </c>
      <c r="T162" s="9" t="n">
        <f aca="false">IFERROR(COUNTIF(QA테스트케이스!U:U,A162),0)</f>
        <v>0</v>
      </c>
      <c r="U162" s="9" t="n">
        <f aca="false">IFERROR(COUNTIF(API명세서!K:K,A162),0)</f>
        <v>0</v>
      </c>
      <c r="W162" s="9" t="n">
        <f aca="false">IFERROR(COUNTIF('UI 요소 상세'!B:B,A162),0)</f>
        <v>0</v>
      </c>
    </row>
    <row r="163" customFormat="false" ht="15" hidden="false" customHeight="true" outlineLevel="0" collapsed="false">
      <c r="F163" s="15" t="str">
        <f aca="false">IFERROR(_xlfn.TEXTJOIN(CHAR(10),TRUE(),IF('UI 요소 상세'!B$1:B$500=A163,"□ "&amp;'UI 요소 상세'!C$1:C$500,"")),"")</f>
        <v>□ </v>
      </c>
      <c r="S163" s="9" t="n">
        <f aca="false">IFERROR(COUNTIF(기능명세서!H:H,A163),0)</f>
        <v>0</v>
      </c>
      <c r="T163" s="9" t="n">
        <f aca="false">IFERROR(COUNTIF(QA테스트케이스!U:U,A163),0)</f>
        <v>0</v>
      </c>
      <c r="U163" s="9" t="n">
        <f aca="false">IFERROR(COUNTIF(API명세서!K:K,A163),0)</f>
        <v>0</v>
      </c>
      <c r="W163" s="9" t="n">
        <f aca="false">IFERROR(COUNTIF('UI 요소 상세'!B:B,A163),0)</f>
        <v>0</v>
      </c>
    </row>
    <row r="164" customFormat="false" ht="15" hidden="false" customHeight="true" outlineLevel="0" collapsed="false">
      <c r="F164" s="15" t="str">
        <f aca="false">IFERROR(_xlfn.TEXTJOIN(CHAR(10),TRUE(),IF('UI 요소 상세'!B$1:B$500=A164,"□ "&amp;'UI 요소 상세'!C$1:C$500,"")),"")</f>
        <v>□ </v>
      </c>
      <c r="S164" s="9" t="n">
        <f aca="false">IFERROR(COUNTIF(기능명세서!H:H,A164),0)</f>
        <v>0</v>
      </c>
      <c r="T164" s="9" t="n">
        <f aca="false">IFERROR(COUNTIF(QA테스트케이스!U:U,A164),0)</f>
        <v>0</v>
      </c>
      <c r="U164" s="9" t="n">
        <f aca="false">IFERROR(COUNTIF(API명세서!K:K,A164),0)</f>
        <v>0</v>
      </c>
      <c r="W164" s="9" t="n">
        <f aca="false">IFERROR(COUNTIF('UI 요소 상세'!B:B,A164),0)</f>
        <v>0</v>
      </c>
    </row>
    <row r="165" customFormat="false" ht="15" hidden="false" customHeight="true" outlineLevel="0" collapsed="false">
      <c r="F165" s="15" t="str">
        <f aca="false">IFERROR(_xlfn.TEXTJOIN(CHAR(10),TRUE(),IF('UI 요소 상세'!B$1:B$500=A165,"□ "&amp;'UI 요소 상세'!C$1:C$500,"")),"")</f>
        <v>□ </v>
      </c>
      <c r="S165" s="9" t="n">
        <f aca="false">IFERROR(COUNTIF(기능명세서!H:H,A165),0)</f>
        <v>0</v>
      </c>
      <c r="T165" s="9" t="n">
        <f aca="false">IFERROR(COUNTIF(QA테스트케이스!U:U,A165),0)</f>
        <v>0</v>
      </c>
      <c r="U165" s="9" t="n">
        <f aca="false">IFERROR(COUNTIF(API명세서!K:K,A165),0)</f>
        <v>0</v>
      </c>
      <c r="W165" s="9" t="n">
        <f aca="false">IFERROR(COUNTIF('UI 요소 상세'!B:B,A165),0)</f>
        <v>0</v>
      </c>
    </row>
    <row r="166" customFormat="false" ht="15" hidden="false" customHeight="true" outlineLevel="0" collapsed="false">
      <c r="F166" s="15" t="str">
        <f aca="false">IFERROR(_xlfn.TEXTJOIN(CHAR(10),TRUE(),IF('UI 요소 상세'!B$1:B$500=A166,"□ "&amp;'UI 요소 상세'!C$1:C$500,"")),"")</f>
        <v>□ </v>
      </c>
      <c r="S166" s="9" t="n">
        <f aca="false">IFERROR(COUNTIF(기능명세서!H:H,A166),0)</f>
        <v>0</v>
      </c>
      <c r="T166" s="9" t="n">
        <f aca="false">IFERROR(COUNTIF(QA테스트케이스!U:U,A166),0)</f>
        <v>0</v>
      </c>
      <c r="U166" s="9" t="n">
        <f aca="false">IFERROR(COUNTIF(API명세서!K:K,A166),0)</f>
        <v>0</v>
      </c>
      <c r="W166" s="9" t="n">
        <f aca="false">IFERROR(COUNTIF('UI 요소 상세'!B:B,A166),0)</f>
        <v>0</v>
      </c>
    </row>
    <row r="167" customFormat="false" ht="15" hidden="false" customHeight="true" outlineLevel="0" collapsed="false">
      <c r="F167" s="15" t="str">
        <f aca="false">IFERROR(_xlfn.TEXTJOIN(CHAR(10),TRUE(),IF('UI 요소 상세'!B$1:B$500=A167,"□ "&amp;'UI 요소 상세'!C$1:C$500,"")),"")</f>
        <v>□ </v>
      </c>
      <c r="S167" s="9" t="n">
        <f aca="false">IFERROR(COUNTIF(기능명세서!H:H,A167),0)</f>
        <v>0</v>
      </c>
      <c r="T167" s="9" t="n">
        <f aca="false">IFERROR(COUNTIF(QA테스트케이스!U:U,A167),0)</f>
        <v>0</v>
      </c>
      <c r="U167" s="9" t="n">
        <f aca="false">IFERROR(COUNTIF(API명세서!K:K,A167),0)</f>
        <v>0</v>
      </c>
      <c r="W167" s="9" t="n">
        <f aca="false">IFERROR(COUNTIF('UI 요소 상세'!B:B,A167),0)</f>
        <v>0</v>
      </c>
    </row>
    <row r="168" customFormat="false" ht="15" hidden="false" customHeight="true" outlineLevel="0" collapsed="false">
      <c r="F168" s="15" t="str">
        <f aca="false">IFERROR(_xlfn.TEXTJOIN(CHAR(10),TRUE(),IF('UI 요소 상세'!B$1:B$500=A168,"□ "&amp;'UI 요소 상세'!C$1:C$500,"")),"")</f>
        <v>□ </v>
      </c>
      <c r="S168" s="9" t="n">
        <f aca="false">IFERROR(COUNTIF(기능명세서!H:H,A168),0)</f>
        <v>0</v>
      </c>
      <c r="T168" s="9" t="n">
        <f aca="false">IFERROR(COUNTIF(QA테스트케이스!U:U,A168),0)</f>
        <v>0</v>
      </c>
      <c r="U168" s="9" t="n">
        <f aca="false">IFERROR(COUNTIF(API명세서!K:K,A168),0)</f>
        <v>0</v>
      </c>
      <c r="W168" s="9" t="n">
        <f aca="false">IFERROR(COUNTIF('UI 요소 상세'!B:B,A168),0)</f>
        <v>0</v>
      </c>
    </row>
    <row r="169" customFormat="false" ht="15" hidden="false" customHeight="true" outlineLevel="0" collapsed="false">
      <c r="F169" s="15" t="str">
        <f aca="false">IFERROR(_xlfn.TEXTJOIN(CHAR(10),TRUE(),IF('UI 요소 상세'!B$1:B$500=A169,"□ "&amp;'UI 요소 상세'!C$1:C$500,"")),"")</f>
        <v>□ </v>
      </c>
      <c r="S169" s="9" t="n">
        <f aca="false">IFERROR(COUNTIF(기능명세서!H:H,A169),0)</f>
        <v>0</v>
      </c>
      <c r="T169" s="9" t="n">
        <f aca="false">IFERROR(COUNTIF(QA테스트케이스!U:U,A169),0)</f>
        <v>0</v>
      </c>
      <c r="U169" s="9" t="n">
        <f aca="false">IFERROR(COUNTIF(API명세서!K:K,A169),0)</f>
        <v>0</v>
      </c>
      <c r="W169" s="9" t="n">
        <f aca="false">IFERROR(COUNTIF('UI 요소 상세'!B:B,A169),0)</f>
        <v>0</v>
      </c>
    </row>
    <row r="170" customFormat="false" ht="15" hidden="false" customHeight="true" outlineLevel="0" collapsed="false">
      <c r="F170" s="15" t="str">
        <f aca="false">IFERROR(_xlfn.TEXTJOIN(CHAR(10),TRUE(),IF('UI 요소 상세'!B$1:B$500=A170,"□ "&amp;'UI 요소 상세'!C$1:C$500,"")),"")</f>
        <v>□ </v>
      </c>
      <c r="S170" s="9" t="n">
        <f aca="false">IFERROR(COUNTIF(기능명세서!H:H,A170),0)</f>
        <v>0</v>
      </c>
      <c r="T170" s="9" t="n">
        <f aca="false">IFERROR(COUNTIF(QA테스트케이스!U:U,A170),0)</f>
        <v>0</v>
      </c>
      <c r="U170" s="9" t="n">
        <f aca="false">IFERROR(COUNTIF(API명세서!K:K,A170),0)</f>
        <v>0</v>
      </c>
      <c r="W170" s="9" t="n">
        <f aca="false">IFERROR(COUNTIF('UI 요소 상세'!B:B,A170),0)</f>
        <v>0</v>
      </c>
    </row>
    <row r="171" customFormat="false" ht="15" hidden="false" customHeight="true" outlineLevel="0" collapsed="false">
      <c r="F171" s="15" t="str">
        <f aca="false">IFERROR(_xlfn.TEXTJOIN(CHAR(10),TRUE(),IF('UI 요소 상세'!B$1:B$500=A171,"□ "&amp;'UI 요소 상세'!C$1:C$500,"")),"")</f>
        <v>□ </v>
      </c>
      <c r="S171" s="9" t="n">
        <f aca="false">IFERROR(COUNTIF(기능명세서!H:H,A171),0)</f>
        <v>0</v>
      </c>
      <c r="T171" s="9" t="n">
        <f aca="false">IFERROR(COUNTIF(QA테스트케이스!U:U,A171),0)</f>
        <v>0</v>
      </c>
      <c r="U171" s="9" t="n">
        <f aca="false">IFERROR(COUNTIF(API명세서!K:K,A171),0)</f>
        <v>0</v>
      </c>
      <c r="W171" s="9" t="n">
        <f aca="false">IFERROR(COUNTIF('UI 요소 상세'!B:B,A171),0)</f>
        <v>0</v>
      </c>
    </row>
    <row r="172" customFormat="false" ht="15" hidden="false" customHeight="true" outlineLevel="0" collapsed="false">
      <c r="F172" s="15" t="str">
        <f aca="false">IFERROR(_xlfn.TEXTJOIN(CHAR(10),TRUE(),IF('UI 요소 상세'!B$1:B$500=A172,"□ "&amp;'UI 요소 상세'!C$1:C$500,"")),"")</f>
        <v>□ </v>
      </c>
      <c r="S172" s="9" t="n">
        <f aca="false">IFERROR(COUNTIF(기능명세서!H:H,A172),0)</f>
        <v>0</v>
      </c>
      <c r="T172" s="9" t="n">
        <f aca="false">IFERROR(COUNTIF(QA테스트케이스!U:U,A172),0)</f>
        <v>0</v>
      </c>
      <c r="U172" s="9" t="n">
        <f aca="false">IFERROR(COUNTIF(API명세서!K:K,A172),0)</f>
        <v>0</v>
      </c>
      <c r="W172" s="9" t="n">
        <f aca="false">IFERROR(COUNTIF('UI 요소 상세'!B:B,A172),0)</f>
        <v>0</v>
      </c>
    </row>
    <row r="173" customFormat="false" ht="15" hidden="false" customHeight="true" outlineLevel="0" collapsed="false">
      <c r="F173" s="15" t="str">
        <f aca="false">IFERROR(_xlfn.TEXTJOIN(CHAR(10),TRUE(),IF('UI 요소 상세'!B$1:B$500=A173,"□ "&amp;'UI 요소 상세'!C$1:C$500,"")),"")</f>
        <v>□ </v>
      </c>
      <c r="S173" s="9" t="n">
        <f aca="false">IFERROR(COUNTIF(기능명세서!H:H,A173),0)</f>
        <v>0</v>
      </c>
      <c r="T173" s="9" t="n">
        <f aca="false">IFERROR(COUNTIF(QA테스트케이스!U:U,A173),0)</f>
        <v>0</v>
      </c>
      <c r="U173" s="9" t="n">
        <f aca="false">IFERROR(COUNTIF(API명세서!K:K,A173),0)</f>
        <v>0</v>
      </c>
      <c r="W173" s="9" t="n">
        <f aca="false">IFERROR(COUNTIF('UI 요소 상세'!B:B,A173),0)</f>
        <v>0</v>
      </c>
    </row>
    <row r="174" customFormat="false" ht="15" hidden="false" customHeight="true" outlineLevel="0" collapsed="false">
      <c r="F174" s="15" t="str">
        <f aca="false">IFERROR(_xlfn.TEXTJOIN(CHAR(10),TRUE(),IF('UI 요소 상세'!B$1:B$500=A174,"□ "&amp;'UI 요소 상세'!C$1:C$500,"")),"")</f>
        <v>□ </v>
      </c>
      <c r="S174" s="9" t="n">
        <f aca="false">IFERROR(COUNTIF(기능명세서!H:H,A174),0)</f>
        <v>0</v>
      </c>
      <c r="T174" s="9" t="n">
        <f aca="false">IFERROR(COUNTIF(QA테스트케이스!U:U,A174),0)</f>
        <v>0</v>
      </c>
      <c r="U174" s="9" t="n">
        <f aca="false">IFERROR(COUNTIF(API명세서!K:K,A174),0)</f>
        <v>0</v>
      </c>
      <c r="W174" s="9" t="n">
        <f aca="false">IFERROR(COUNTIF('UI 요소 상세'!B:B,A174),0)</f>
        <v>0</v>
      </c>
    </row>
    <row r="175" customFormat="false" ht="15" hidden="false" customHeight="true" outlineLevel="0" collapsed="false">
      <c r="F175" s="15" t="str">
        <f aca="false">IFERROR(_xlfn.TEXTJOIN(CHAR(10),TRUE(),IF('UI 요소 상세'!B$1:B$500=A175,"□ "&amp;'UI 요소 상세'!C$1:C$500,"")),"")</f>
        <v>□ </v>
      </c>
      <c r="S175" s="9" t="n">
        <f aca="false">IFERROR(COUNTIF(기능명세서!H:H,A175),0)</f>
        <v>0</v>
      </c>
      <c r="T175" s="9" t="n">
        <f aca="false">IFERROR(COUNTIF(QA테스트케이스!U:U,A175),0)</f>
        <v>0</v>
      </c>
      <c r="U175" s="9" t="n">
        <f aca="false">IFERROR(COUNTIF(API명세서!K:K,A175),0)</f>
        <v>0</v>
      </c>
      <c r="W175" s="9" t="n">
        <f aca="false">IFERROR(COUNTIF('UI 요소 상세'!B:B,A175),0)</f>
        <v>0</v>
      </c>
    </row>
    <row r="176" customFormat="false" ht="15" hidden="false" customHeight="true" outlineLevel="0" collapsed="false">
      <c r="F176" s="15" t="str">
        <f aca="false">IFERROR(_xlfn.TEXTJOIN(CHAR(10),TRUE(),IF('UI 요소 상세'!B$1:B$500=A176,"□ "&amp;'UI 요소 상세'!C$1:C$500,"")),"")</f>
        <v>□ </v>
      </c>
      <c r="S176" s="9" t="n">
        <f aca="false">IFERROR(COUNTIF(기능명세서!H:H,A176),0)</f>
        <v>0</v>
      </c>
      <c r="T176" s="9" t="n">
        <f aca="false">IFERROR(COUNTIF(QA테스트케이스!U:U,A176),0)</f>
        <v>0</v>
      </c>
      <c r="U176" s="9" t="n">
        <f aca="false">IFERROR(COUNTIF(API명세서!K:K,A176),0)</f>
        <v>0</v>
      </c>
      <c r="W176" s="9" t="n">
        <f aca="false">IFERROR(COUNTIF('UI 요소 상세'!B:B,A176),0)</f>
        <v>0</v>
      </c>
    </row>
    <row r="177" customFormat="false" ht="15" hidden="false" customHeight="true" outlineLevel="0" collapsed="false">
      <c r="F177" s="15" t="str">
        <f aca="false">IFERROR(_xlfn.TEXTJOIN(CHAR(10),TRUE(),IF('UI 요소 상세'!B$1:B$500=A177,"□ "&amp;'UI 요소 상세'!C$1:C$500,"")),"")</f>
        <v>□ </v>
      </c>
      <c r="S177" s="9" t="n">
        <f aca="false">IFERROR(COUNTIF(기능명세서!H:H,A177),0)</f>
        <v>0</v>
      </c>
      <c r="T177" s="9" t="n">
        <f aca="false">IFERROR(COUNTIF(QA테스트케이스!U:U,A177),0)</f>
        <v>0</v>
      </c>
      <c r="U177" s="9" t="n">
        <f aca="false">IFERROR(COUNTIF(API명세서!K:K,A177),0)</f>
        <v>0</v>
      </c>
      <c r="W177" s="9" t="n">
        <f aca="false">IFERROR(COUNTIF('UI 요소 상세'!B:B,A177),0)</f>
        <v>0</v>
      </c>
    </row>
    <row r="178" customFormat="false" ht="15" hidden="false" customHeight="true" outlineLevel="0" collapsed="false">
      <c r="F178" s="15" t="str">
        <f aca="false">IFERROR(_xlfn.TEXTJOIN(CHAR(10),TRUE(),IF('UI 요소 상세'!B$1:B$500=A178,"□ "&amp;'UI 요소 상세'!C$1:C$500,"")),"")</f>
        <v>□ </v>
      </c>
      <c r="S178" s="9" t="n">
        <f aca="false">IFERROR(COUNTIF(기능명세서!H:H,A178),0)</f>
        <v>0</v>
      </c>
      <c r="T178" s="9" t="n">
        <f aca="false">IFERROR(COUNTIF(QA테스트케이스!U:U,A178),0)</f>
        <v>0</v>
      </c>
      <c r="U178" s="9" t="n">
        <f aca="false">IFERROR(COUNTIF(API명세서!K:K,A178),0)</f>
        <v>0</v>
      </c>
      <c r="W178" s="9" t="n">
        <f aca="false">IFERROR(COUNTIF('UI 요소 상세'!B:B,A178),0)</f>
        <v>0</v>
      </c>
    </row>
    <row r="179" customFormat="false" ht="15" hidden="false" customHeight="true" outlineLevel="0" collapsed="false">
      <c r="F179" s="15" t="str">
        <f aca="false">IFERROR(_xlfn.TEXTJOIN(CHAR(10),TRUE(),IF('UI 요소 상세'!B$1:B$500=A179,"□ "&amp;'UI 요소 상세'!C$1:C$500,"")),"")</f>
        <v>□ </v>
      </c>
      <c r="S179" s="9" t="n">
        <f aca="false">IFERROR(COUNTIF(기능명세서!H:H,A179),0)</f>
        <v>0</v>
      </c>
      <c r="T179" s="9" t="n">
        <f aca="false">IFERROR(COUNTIF(QA테스트케이스!U:U,A179),0)</f>
        <v>0</v>
      </c>
      <c r="U179" s="9" t="n">
        <f aca="false">IFERROR(COUNTIF(API명세서!K:K,A179),0)</f>
        <v>0</v>
      </c>
      <c r="W179" s="9" t="n">
        <f aca="false">IFERROR(COUNTIF('UI 요소 상세'!B:B,A179),0)</f>
        <v>0</v>
      </c>
    </row>
    <row r="180" customFormat="false" ht="15" hidden="false" customHeight="true" outlineLevel="0" collapsed="false">
      <c r="F180" s="15" t="str">
        <f aca="false">IFERROR(_xlfn.TEXTJOIN(CHAR(10),TRUE(),IF('UI 요소 상세'!B$1:B$500=A180,"□ "&amp;'UI 요소 상세'!C$1:C$500,"")),"")</f>
        <v>□ </v>
      </c>
      <c r="S180" s="9" t="n">
        <f aca="false">IFERROR(COUNTIF(기능명세서!H:H,A180),0)</f>
        <v>0</v>
      </c>
      <c r="T180" s="9" t="n">
        <f aca="false">IFERROR(COUNTIF(QA테스트케이스!U:U,A180),0)</f>
        <v>0</v>
      </c>
      <c r="U180" s="9" t="n">
        <f aca="false">IFERROR(COUNTIF(API명세서!K:K,A180),0)</f>
        <v>0</v>
      </c>
      <c r="W180" s="9" t="n">
        <f aca="false">IFERROR(COUNTIF('UI 요소 상세'!B:B,A180),0)</f>
        <v>0</v>
      </c>
    </row>
    <row r="181" customFormat="false" ht="15" hidden="false" customHeight="true" outlineLevel="0" collapsed="false">
      <c r="F181" s="15" t="str">
        <f aca="false">IFERROR(_xlfn.TEXTJOIN(CHAR(10),TRUE(),IF('UI 요소 상세'!B$1:B$500=A181,"□ "&amp;'UI 요소 상세'!C$1:C$500,"")),"")</f>
        <v>□ </v>
      </c>
      <c r="S181" s="9" t="n">
        <f aca="false">IFERROR(COUNTIF(기능명세서!H:H,A181),0)</f>
        <v>0</v>
      </c>
      <c r="T181" s="9" t="n">
        <f aca="false">IFERROR(COUNTIF(QA테스트케이스!U:U,A181),0)</f>
        <v>0</v>
      </c>
      <c r="U181" s="9" t="n">
        <f aca="false">IFERROR(COUNTIF(API명세서!K:K,A181),0)</f>
        <v>0</v>
      </c>
      <c r="W181" s="9" t="n">
        <f aca="false">IFERROR(COUNTIF('UI 요소 상세'!B:B,A181),0)</f>
        <v>0</v>
      </c>
    </row>
    <row r="182" customFormat="false" ht="15" hidden="false" customHeight="true" outlineLevel="0" collapsed="false">
      <c r="F182" s="15" t="str">
        <f aca="false">IFERROR(_xlfn.TEXTJOIN(CHAR(10),TRUE(),IF('UI 요소 상세'!B$1:B$500=A182,"□ "&amp;'UI 요소 상세'!C$1:C$500,"")),"")</f>
        <v>□ </v>
      </c>
      <c r="S182" s="9" t="n">
        <f aca="false">IFERROR(COUNTIF(기능명세서!H:H,A182),0)</f>
        <v>0</v>
      </c>
      <c r="T182" s="9" t="n">
        <f aca="false">IFERROR(COUNTIF(QA테스트케이스!U:U,A182),0)</f>
        <v>0</v>
      </c>
      <c r="U182" s="9" t="n">
        <f aca="false">IFERROR(COUNTIF(API명세서!K:K,A182),0)</f>
        <v>0</v>
      </c>
      <c r="W182" s="9" t="n">
        <f aca="false">IFERROR(COUNTIF('UI 요소 상세'!B:B,A182),0)</f>
        <v>0</v>
      </c>
    </row>
    <row r="183" customFormat="false" ht="15" hidden="false" customHeight="true" outlineLevel="0" collapsed="false">
      <c r="F183" s="15" t="str">
        <f aca="false">IFERROR(_xlfn.TEXTJOIN(CHAR(10),TRUE(),IF('UI 요소 상세'!B$1:B$500=A183,"□ "&amp;'UI 요소 상세'!C$1:C$500,"")),"")</f>
        <v>□ </v>
      </c>
      <c r="S183" s="9" t="n">
        <f aca="false">IFERROR(COUNTIF(기능명세서!H:H,A183),0)</f>
        <v>0</v>
      </c>
      <c r="T183" s="9" t="n">
        <f aca="false">IFERROR(COUNTIF(QA테스트케이스!U:U,A183),0)</f>
        <v>0</v>
      </c>
      <c r="U183" s="9" t="n">
        <f aca="false">IFERROR(COUNTIF(API명세서!K:K,A183),0)</f>
        <v>0</v>
      </c>
      <c r="W183" s="9" t="n">
        <f aca="false">IFERROR(COUNTIF('UI 요소 상세'!B:B,A183),0)</f>
        <v>0</v>
      </c>
    </row>
    <row r="184" customFormat="false" ht="15" hidden="false" customHeight="true" outlineLevel="0" collapsed="false">
      <c r="F184" s="15" t="str">
        <f aca="false">IFERROR(_xlfn.TEXTJOIN(CHAR(10),TRUE(),IF('UI 요소 상세'!B$1:B$500=A184,"□ "&amp;'UI 요소 상세'!C$1:C$500,"")),"")</f>
        <v>□ </v>
      </c>
      <c r="S184" s="9" t="n">
        <f aca="false">IFERROR(COUNTIF(기능명세서!H:H,A184),0)</f>
        <v>0</v>
      </c>
      <c r="T184" s="9" t="n">
        <f aca="false">IFERROR(COUNTIF(QA테스트케이스!U:U,A184),0)</f>
        <v>0</v>
      </c>
      <c r="U184" s="9" t="n">
        <f aca="false">IFERROR(COUNTIF(API명세서!K:K,A184),0)</f>
        <v>0</v>
      </c>
      <c r="W184" s="9" t="n">
        <f aca="false">IFERROR(COUNTIF('UI 요소 상세'!B:B,A184),0)</f>
        <v>0</v>
      </c>
    </row>
    <row r="185" customFormat="false" ht="15" hidden="false" customHeight="true" outlineLevel="0" collapsed="false">
      <c r="F185" s="15" t="str">
        <f aca="false">IFERROR(_xlfn.TEXTJOIN(CHAR(10),TRUE(),IF('UI 요소 상세'!B$1:B$500=A185,"□ "&amp;'UI 요소 상세'!C$1:C$500,"")),"")</f>
        <v>□ </v>
      </c>
      <c r="S185" s="9" t="n">
        <f aca="false">IFERROR(COUNTIF(기능명세서!H:H,A185),0)</f>
        <v>0</v>
      </c>
      <c r="T185" s="9" t="n">
        <f aca="false">IFERROR(COUNTIF(QA테스트케이스!U:U,A185),0)</f>
        <v>0</v>
      </c>
      <c r="U185" s="9" t="n">
        <f aca="false">IFERROR(COUNTIF(API명세서!K:K,A185),0)</f>
        <v>0</v>
      </c>
      <c r="W185" s="9" t="n">
        <f aca="false">IFERROR(COUNTIF('UI 요소 상세'!B:B,A185),0)</f>
        <v>0</v>
      </c>
    </row>
    <row r="186" customFormat="false" ht="15" hidden="false" customHeight="true" outlineLevel="0" collapsed="false">
      <c r="F186" s="15" t="str">
        <f aca="false">IFERROR(_xlfn.TEXTJOIN(CHAR(10),TRUE(),IF('UI 요소 상세'!B$1:B$500=A186,"□ "&amp;'UI 요소 상세'!C$1:C$500,"")),"")</f>
        <v>□ </v>
      </c>
      <c r="S186" s="9" t="n">
        <f aca="false">IFERROR(COUNTIF(기능명세서!H:H,A186),0)</f>
        <v>0</v>
      </c>
      <c r="T186" s="9" t="n">
        <f aca="false">IFERROR(COUNTIF(QA테스트케이스!U:U,A186),0)</f>
        <v>0</v>
      </c>
      <c r="U186" s="9" t="n">
        <f aca="false">IFERROR(COUNTIF(API명세서!K:K,A186),0)</f>
        <v>0</v>
      </c>
      <c r="W186" s="9" t="n">
        <f aca="false">IFERROR(COUNTIF('UI 요소 상세'!B:B,A186),0)</f>
        <v>0</v>
      </c>
    </row>
    <row r="187" customFormat="false" ht="15" hidden="false" customHeight="true" outlineLevel="0" collapsed="false">
      <c r="F187" s="15" t="str">
        <f aca="false">IFERROR(_xlfn.TEXTJOIN(CHAR(10),TRUE(),IF('UI 요소 상세'!B$1:B$500=A187,"□ "&amp;'UI 요소 상세'!C$1:C$500,"")),"")</f>
        <v>□ </v>
      </c>
      <c r="S187" s="9" t="n">
        <f aca="false">IFERROR(COUNTIF(기능명세서!H:H,A187),0)</f>
        <v>0</v>
      </c>
      <c r="T187" s="9" t="n">
        <f aca="false">IFERROR(COUNTIF(QA테스트케이스!U:U,A187),0)</f>
        <v>0</v>
      </c>
      <c r="U187" s="9" t="n">
        <f aca="false">IFERROR(COUNTIF(API명세서!K:K,A187),0)</f>
        <v>0</v>
      </c>
      <c r="W187" s="9" t="n">
        <f aca="false">IFERROR(COUNTIF('UI 요소 상세'!B:B,A187),0)</f>
        <v>0</v>
      </c>
    </row>
    <row r="188" customFormat="false" ht="15" hidden="false" customHeight="true" outlineLevel="0" collapsed="false">
      <c r="F188" s="15" t="str">
        <f aca="false">IFERROR(_xlfn.TEXTJOIN(CHAR(10),TRUE(),IF('UI 요소 상세'!B$1:B$500=A188,"□ "&amp;'UI 요소 상세'!C$1:C$500,"")),"")</f>
        <v>□ </v>
      </c>
      <c r="S188" s="9" t="n">
        <f aca="false">IFERROR(COUNTIF(기능명세서!H:H,A188),0)</f>
        <v>0</v>
      </c>
      <c r="T188" s="9" t="n">
        <f aca="false">IFERROR(COUNTIF(QA테스트케이스!U:U,A188),0)</f>
        <v>0</v>
      </c>
      <c r="U188" s="9" t="n">
        <f aca="false">IFERROR(COUNTIF(API명세서!K:K,A188),0)</f>
        <v>0</v>
      </c>
      <c r="W188" s="9" t="n">
        <f aca="false">IFERROR(COUNTIF('UI 요소 상세'!B:B,A188),0)</f>
        <v>0</v>
      </c>
    </row>
    <row r="189" customFormat="false" ht="15" hidden="false" customHeight="true" outlineLevel="0" collapsed="false">
      <c r="F189" s="15" t="str">
        <f aca="false">IFERROR(_xlfn.TEXTJOIN(CHAR(10),TRUE(),IF('UI 요소 상세'!B$1:B$500=A189,"□ "&amp;'UI 요소 상세'!C$1:C$500,"")),"")</f>
        <v>□ </v>
      </c>
      <c r="S189" s="9" t="n">
        <f aca="false">IFERROR(COUNTIF(기능명세서!H:H,A189),0)</f>
        <v>0</v>
      </c>
      <c r="T189" s="9" t="n">
        <f aca="false">IFERROR(COUNTIF(QA테스트케이스!U:U,A189),0)</f>
        <v>0</v>
      </c>
      <c r="U189" s="9" t="n">
        <f aca="false">IFERROR(COUNTIF(API명세서!K:K,A189),0)</f>
        <v>0</v>
      </c>
      <c r="W189" s="9" t="n">
        <f aca="false">IFERROR(COUNTIF('UI 요소 상세'!B:B,A189),0)</f>
        <v>0</v>
      </c>
    </row>
    <row r="190" customFormat="false" ht="15" hidden="false" customHeight="true" outlineLevel="0" collapsed="false">
      <c r="F190" s="15" t="str">
        <f aca="false">IFERROR(_xlfn.TEXTJOIN(CHAR(10),TRUE(),IF('UI 요소 상세'!B$1:B$500=A190,"□ "&amp;'UI 요소 상세'!C$1:C$500,"")),"")</f>
        <v>□ </v>
      </c>
      <c r="S190" s="9" t="n">
        <f aca="false">IFERROR(COUNTIF(기능명세서!H:H,A190),0)</f>
        <v>0</v>
      </c>
      <c r="T190" s="9" t="n">
        <f aca="false">IFERROR(COUNTIF(QA테스트케이스!U:U,A190),0)</f>
        <v>0</v>
      </c>
      <c r="U190" s="9" t="n">
        <f aca="false">IFERROR(COUNTIF(API명세서!K:K,A190),0)</f>
        <v>0</v>
      </c>
      <c r="W190" s="9" t="n">
        <f aca="false">IFERROR(COUNTIF('UI 요소 상세'!B:B,A190),0)</f>
        <v>0</v>
      </c>
    </row>
    <row r="191" customFormat="false" ht="15" hidden="false" customHeight="true" outlineLevel="0" collapsed="false">
      <c r="F191" s="15" t="str">
        <f aca="false">IFERROR(_xlfn.TEXTJOIN(CHAR(10),TRUE(),IF('UI 요소 상세'!B$1:B$500=A191,"□ "&amp;'UI 요소 상세'!C$1:C$500,"")),"")</f>
        <v>□ </v>
      </c>
      <c r="S191" s="9" t="n">
        <f aca="false">IFERROR(COUNTIF(기능명세서!H:H,A191),0)</f>
        <v>0</v>
      </c>
      <c r="T191" s="9" t="n">
        <f aca="false">IFERROR(COUNTIF(QA테스트케이스!U:U,A191),0)</f>
        <v>0</v>
      </c>
      <c r="U191" s="9" t="n">
        <f aca="false">IFERROR(COUNTIF(API명세서!K:K,A191),0)</f>
        <v>0</v>
      </c>
      <c r="W191" s="9" t="n">
        <f aca="false">IFERROR(COUNTIF('UI 요소 상세'!B:B,A191),0)</f>
        <v>0</v>
      </c>
    </row>
    <row r="192" customFormat="false" ht="15" hidden="false" customHeight="true" outlineLevel="0" collapsed="false">
      <c r="F192" s="15" t="str">
        <f aca="false">IFERROR(_xlfn.TEXTJOIN(CHAR(10),TRUE(),IF('UI 요소 상세'!B$1:B$500=A192,"□ "&amp;'UI 요소 상세'!C$1:C$500,"")),"")</f>
        <v>□ </v>
      </c>
      <c r="S192" s="9" t="n">
        <f aca="false">IFERROR(COUNTIF(기능명세서!H:H,A192),0)</f>
        <v>0</v>
      </c>
      <c r="T192" s="9" t="n">
        <f aca="false">IFERROR(COUNTIF(QA테스트케이스!U:U,A192),0)</f>
        <v>0</v>
      </c>
      <c r="U192" s="9" t="n">
        <f aca="false">IFERROR(COUNTIF(API명세서!K:K,A192),0)</f>
        <v>0</v>
      </c>
      <c r="W192" s="9" t="n">
        <f aca="false">IFERROR(COUNTIF('UI 요소 상세'!B:B,A192),0)</f>
        <v>0</v>
      </c>
    </row>
    <row r="193" customFormat="false" ht="15" hidden="false" customHeight="true" outlineLevel="0" collapsed="false">
      <c r="F193" s="15" t="str">
        <f aca="false">IFERROR(_xlfn.TEXTJOIN(CHAR(10),TRUE(),IF('UI 요소 상세'!B$1:B$500=A193,"□ "&amp;'UI 요소 상세'!C$1:C$500,"")),"")</f>
        <v>□ </v>
      </c>
      <c r="S193" s="9" t="n">
        <f aca="false">IFERROR(COUNTIF(기능명세서!H:H,A193),0)</f>
        <v>0</v>
      </c>
      <c r="T193" s="9" t="n">
        <f aca="false">IFERROR(COUNTIF(QA테스트케이스!U:U,A193),0)</f>
        <v>0</v>
      </c>
      <c r="U193" s="9" t="n">
        <f aca="false">IFERROR(COUNTIF(API명세서!K:K,A193),0)</f>
        <v>0</v>
      </c>
      <c r="W193" s="9" t="n">
        <f aca="false">IFERROR(COUNTIF('UI 요소 상세'!B:B,A193),0)</f>
        <v>0</v>
      </c>
    </row>
    <row r="194" customFormat="false" ht="15" hidden="false" customHeight="true" outlineLevel="0" collapsed="false">
      <c r="F194" s="15" t="str">
        <f aca="false">IFERROR(_xlfn.TEXTJOIN(CHAR(10),TRUE(),IF('UI 요소 상세'!B$1:B$500=A194,"□ "&amp;'UI 요소 상세'!C$1:C$500,"")),"")</f>
        <v>□ </v>
      </c>
      <c r="S194" s="9" t="n">
        <f aca="false">IFERROR(COUNTIF(기능명세서!H:H,A194),0)</f>
        <v>0</v>
      </c>
      <c r="T194" s="9" t="n">
        <f aca="false">IFERROR(COUNTIF(QA테스트케이스!U:U,A194),0)</f>
        <v>0</v>
      </c>
      <c r="U194" s="9" t="n">
        <f aca="false">IFERROR(COUNTIF(API명세서!K:K,A194),0)</f>
        <v>0</v>
      </c>
      <c r="W194" s="9" t="n">
        <f aca="false">IFERROR(COUNTIF('UI 요소 상세'!B:B,A194),0)</f>
        <v>0</v>
      </c>
    </row>
    <row r="195" customFormat="false" ht="15" hidden="false" customHeight="true" outlineLevel="0" collapsed="false">
      <c r="F195" s="15" t="str">
        <f aca="false">IFERROR(_xlfn.TEXTJOIN(CHAR(10),TRUE(),IF('UI 요소 상세'!B$1:B$500=A195,"□ "&amp;'UI 요소 상세'!C$1:C$500,"")),"")</f>
        <v>□ </v>
      </c>
      <c r="S195" s="9" t="n">
        <f aca="false">IFERROR(COUNTIF(기능명세서!H:H,A195),0)</f>
        <v>0</v>
      </c>
      <c r="T195" s="9" t="n">
        <f aca="false">IFERROR(COUNTIF(QA테스트케이스!U:U,A195),0)</f>
        <v>0</v>
      </c>
      <c r="U195" s="9" t="n">
        <f aca="false">IFERROR(COUNTIF(API명세서!K:K,A195),0)</f>
        <v>0</v>
      </c>
      <c r="W195" s="9" t="n">
        <f aca="false">IFERROR(COUNTIF('UI 요소 상세'!B:B,A195),0)</f>
        <v>0</v>
      </c>
    </row>
    <row r="196" customFormat="false" ht="15" hidden="false" customHeight="true" outlineLevel="0" collapsed="false">
      <c r="F196" s="15" t="str">
        <f aca="false">IFERROR(_xlfn.TEXTJOIN(CHAR(10),TRUE(),IF('UI 요소 상세'!B$1:B$500=A196,"□ "&amp;'UI 요소 상세'!C$1:C$500,"")),"")</f>
        <v>□ </v>
      </c>
      <c r="S196" s="9" t="n">
        <f aca="false">IFERROR(COUNTIF(기능명세서!H:H,A196),0)</f>
        <v>0</v>
      </c>
      <c r="T196" s="9" t="n">
        <f aca="false">IFERROR(COUNTIF(QA테스트케이스!U:U,A196),0)</f>
        <v>0</v>
      </c>
      <c r="U196" s="9" t="n">
        <f aca="false">IFERROR(COUNTIF(API명세서!K:K,A196),0)</f>
        <v>0</v>
      </c>
      <c r="W196" s="9" t="n">
        <f aca="false">IFERROR(COUNTIF('UI 요소 상세'!B:B,A196),0)</f>
        <v>0</v>
      </c>
    </row>
    <row r="197" customFormat="false" ht="15" hidden="false" customHeight="true" outlineLevel="0" collapsed="false">
      <c r="F197" s="15" t="str">
        <f aca="false">IFERROR(_xlfn.TEXTJOIN(CHAR(10),TRUE(),IF('UI 요소 상세'!B$1:B$500=A197,"□ "&amp;'UI 요소 상세'!C$1:C$500,"")),"")</f>
        <v>□ </v>
      </c>
      <c r="S197" s="9" t="n">
        <f aca="false">IFERROR(COUNTIF(기능명세서!H:H,A197),0)</f>
        <v>0</v>
      </c>
      <c r="T197" s="9" t="n">
        <f aca="false">IFERROR(COUNTIF(QA테스트케이스!U:U,A197),0)</f>
        <v>0</v>
      </c>
      <c r="U197" s="9" t="n">
        <f aca="false">IFERROR(COUNTIF(API명세서!K:K,A197),0)</f>
        <v>0</v>
      </c>
      <c r="W197" s="9" t="n">
        <f aca="false">IFERROR(COUNTIF('UI 요소 상세'!B:B,A197),0)</f>
        <v>0</v>
      </c>
    </row>
    <row r="198" customFormat="false" ht="15" hidden="false" customHeight="true" outlineLevel="0" collapsed="false">
      <c r="F198" s="15" t="str">
        <f aca="false">IFERROR(_xlfn.TEXTJOIN(CHAR(10),TRUE(),IF('UI 요소 상세'!B$1:B$500=A198,"□ "&amp;'UI 요소 상세'!C$1:C$500,"")),"")</f>
        <v>□ </v>
      </c>
      <c r="S198" s="9" t="n">
        <f aca="false">IFERROR(COUNTIF(기능명세서!H:H,A198),0)</f>
        <v>0</v>
      </c>
      <c r="T198" s="9" t="n">
        <f aca="false">IFERROR(COUNTIF(QA테스트케이스!U:U,A198),0)</f>
        <v>0</v>
      </c>
      <c r="U198" s="9" t="n">
        <f aca="false">IFERROR(COUNTIF(API명세서!K:K,A198),0)</f>
        <v>0</v>
      </c>
      <c r="W198" s="9" t="n">
        <f aca="false">IFERROR(COUNTIF('UI 요소 상세'!B:B,A198),0)</f>
        <v>0</v>
      </c>
    </row>
    <row r="199" customFormat="false" ht="15" hidden="false" customHeight="true" outlineLevel="0" collapsed="false">
      <c r="F199" s="15" t="str">
        <f aca="false">IFERROR(_xlfn.TEXTJOIN(CHAR(10),TRUE(),IF('UI 요소 상세'!B$1:B$500=A199,"□ "&amp;'UI 요소 상세'!C$1:C$500,"")),"")</f>
        <v>□ </v>
      </c>
      <c r="S199" s="9" t="n">
        <f aca="false">IFERROR(COUNTIF(기능명세서!H:H,A199),0)</f>
        <v>0</v>
      </c>
      <c r="T199" s="9" t="n">
        <f aca="false">IFERROR(COUNTIF(QA테스트케이스!U:U,A199),0)</f>
        <v>0</v>
      </c>
      <c r="U199" s="9" t="n">
        <f aca="false">IFERROR(COUNTIF(API명세서!K:K,A199),0)</f>
        <v>0</v>
      </c>
      <c r="W199" s="9" t="n">
        <f aca="false">IFERROR(COUNTIF('UI 요소 상세'!B:B,A199),0)</f>
        <v>0</v>
      </c>
    </row>
    <row r="200" customFormat="false" ht="15" hidden="false" customHeight="true" outlineLevel="0" collapsed="false">
      <c r="S200" s="9" t="n">
        <f aca="false">IFERROR(COUNTIF(기능명세서!H:H,A200),0)</f>
        <v>0</v>
      </c>
      <c r="T200" s="9" t="n">
        <f aca="false">IFERROR(COUNTIF(QA테스트케이스!U:U,A200),0)</f>
        <v>0</v>
      </c>
      <c r="U200" s="9" t="n">
        <f aca="false">IFERROR(COUNTIF(API명세서!K:K,A200),0)</f>
        <v>0</v>
      </c>
    </row>
  </sheetData>
  <autoFilter ref="A1:V1"/>
  <dataValidations count="4">
    <dataValidation allowBlank="true" error="드롭다운 목록에서 선택해주세요." errorStyle="stop" errorTitle="잘못된 입력" operator="between" promptTitle="플랫폼" showDropDown="false" showErrorMessage="true" showInputMessage="true" sqref="C2:C200" type="list">
      <formula1>"Web,App (iOS),App (Android),Web + App,공통"</formula1>
      <formula2>0</formula2>
    </dataValidation>
    <dataValidation allowBlank="true" error="드롭다운 목록에서 선택해주세요." errorStyle="stop" errorTitle="잘못된 입력" operator="between" promptTitle="상태" showDropDown="false" showErrorMessage="true" showInputMessage="true" sqref="Q2:Q200" type="list">
      <formula1>"작성중,검토중,확정,변경필요,삭제"</formula1>
      <formula2>0</formula2>
    </dataValidation>
    <dataValidation allowBlank="true" error="드롭다운 목록에서 선택해주세요." errorStyle="stop" errorTitle="잘못된 입력" operator="between" promptTitle="담당자" showDropDown="false" showErrorMessage="true" showInputMessage="true" sqref="R2:R200" type="list">
      <formula1>"기획자1,기획자2,디자이너1,개발자1,개발자2,QA담당자1,QA담당자2"</formula1>
      <formula2>0</formula2>
    </dataValidation>
    <dataValidation allowBlank="true" error="드롭다운 목록에서 선택해주세요." errorStyle="stop" errorTitle="잘못된 입력" operator="between" promptTitle="화면 ID" showDropDown="false" showErrorMessage="true" showInputMessage="true" sqref="A2:A200" type="list">
      <formula1>"SCR-001,SCR-010,SCR-011,SCR-012,SCR-020,SCR-021,SCR-022,SCR-030,SCR-031,SCR-032,SCR-100,SCR-101"</formula1>
      <formula2>0</formula2>
    </dataValidation>
  </dataValidations>
  <hyperlinks>
    <hyperlink ref="A2" r:id="rId1" location="'IA(정보구조)'!D2" display="SCR-001"/>
    <hyperlink ref="W2" r:id="rId2" location="'UI%20요소%20상세'!B1" display="file:///sessions/jolly-compassionate-wozniak/mnt/f12/기획문서_종합템플릿_v2.xlsx#'UI%20요소%20상세'!B1"/>
    <hyperlink ref="A3" r:id="rId3" location="'IA(정보구조)'!D3" display="SCR-010"/>
    <hyperlink ref="W3" r:id="rId4" location="'UI%20요소%20상세'!B1" display="file:///sessions/jolly-compassionate-wozniak/mnt/f12/기획문서_종합템플릿_v2.xlsx#'UI%20요소%20상세'!B1"/>
    <hyperlink ref="A4" r:id="rId5" location="'IA(정보구조)'!D4" display="SCR-011"/>
    <hyperlink ref="W4" r:id="rId6" location="'UI%20요소%20상세'!B1" display="file:///sessions/jolly-compassionate-wozniak/mnt/f12/기획문서_종합템플릿_v2.xlsx#'UI%20요소%20상세'!B1"/>
    <hyperlink ref="A5" r:id="rId7" location="'IA(정보구조)'!D8" display="SCR-022"/>
    <hyperlink ref="W5" r:id="rId8" location="'UI%20요소%20상세'!B1" display="file:///sessions/jolly-compassionate-wozniak/mnt/f12/기획문서_종합템플릿_v2.xlsx#'UI%20요소%20상세'!B1"/>
    <hyperlink ref="A6" r:id="rId9" location="'IA(정보구조)'!D9" display="SCR-030"/>
    <hyperlink ref="W6" r:id="rId10" location="'UI%20요소%20상세'!B1" display="file:///sessions/jolly-compassionate-wozniak/mnt/f12/기획문서_종합템플릿_v2.xlsx#'UI%20요소%20상세'!B1"/>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A2B8"/>
    <pageSetUpPr fitToPage="false"/>
  </sheetPr>
  <dimension ref="A1:S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2" activePane="bottomLeft" state="frozen"/>
      <selection pane="topLeft" activeCell="A1" activeCellId="0" sqref="A1"/>
      <selection pane="bottomLeft" activeCell="A1" activeCellId="0" sqref="A1"/>
    </sheetView>
  </sheetViews>
  <sheetFormatPr defaultColWidth="8.71484375" defaultRowHeight="15" customHeight="true" zeroHeight="false" outlineLevelRow="1" outlineLevelCol="0"/>
  <cols>
    <col collapsed="false" customWidth="true" hidden="false" outlineLevel="0" max="2" min="1" style="0" width="10"/>
    <col collapsed="false" customWidth="true" hidden="false" outlineLevel="0" max="3" min="3" style="0" width="16"/>
    <col collapsed="false" customWidth="true" hidden="false" outlineLevel="0" max="4" min="4" style="0" width="12"/>
    <col collapsed="false" customWidth="true" hidden="false" outlineLevel="0" max="5" min="5" style="0" width="25"/>
    <col collapsed="false" customWidth="true" hidden="false" outlineLevel="0" max="6" min="6" style="0" width="30"/>
    <col collapsed="false" customWidth="true" hidden="false" outlineLevel="0" max="8" min="7" style="0" width="10"/>
    <col collapsed="false" customWidth="true" hidden="false" outlineLevel="0" max="12" min="9" style="0" width="22"/>
    <col collapsed="false" customWidth="true" hidden="false" outlineLevel="0" max="13" min="13" style="0" width="18"/>
    <col collapsed="false" customWidth="true" hidden="false" outlineLevel="0" max="14" min="14" style="0" width="10"/>
    <col collapsed="false" customWidth="true" hidden="false" outlineLevel="0" max="15" min="15" style="0" width="12"/>
    <col collapsed="false" customWidth="true" hidden="false" outlineLevel="0" max="17" min="16" style="0" width="16"/>
    <col collapsed="false" customWidth="true" hidden="false" outlineLevel="0" max="18" min="18" style="0" width="20"/>
    <col collapsed="false" customWidth="true" hidden="false" outlineLevel="0" max="19" min="19" style="0" width="18"/>
  </cols>
  <sheetData>
    <row r="1" customFormat="false" ht="30" hidden="false" customHeight="true" outlineLevel="0" collapsed="false">
      <c r="A1" s="2" t="s">
        <v>175</v>
      </c>
      <c r="B1" s="2" t="s">
        <v>3</v>
      </c>
      <c r="C1" s="2" t="s">
        <v>176</v>
      </c>
      <c r="D1" s="2" t="s">
        <v>177</v>
      </c>
      <c r="E1" s="2" t="s">
        <v>178</v>
      </c>
      <c r="F1" s="2" t="s">
        <v>120</v>
      </c>
      <c r="G1" s="2" t="s">
        <v>179</v>
      </c>
      <c r="H1" s="1" t="s">
        <v>180</v>
      </c>
      <c r="I1" s="1" t="s">
        <v>181</v>
      </c>
      <c r="J1" s="1" t="s">
        <v>182</v>
      </c>
      <c r="K1" s="2" t="s">
        <v>183</v>
      </c>
      <c r="L1" s="2" t="s">
        <v>184</v>
      </c>
      <c r="M1" s="2" t="s">
        <v>185</v>
      </c>
      <c r="N1" s="2" t="s">
        <v>10</v>
      </c>
      <c r="O1" s="2" t="s">
        <v>84</v>
      </c>
      <c r="P1" s="7" t="s">
        <v>85</v>
      </c>
      <c r="Q1" s="7" t="s">
        <v>186</v>
      </c>
      <c r="R1" s="7" t="s">
        <v>187</v>
      </c>
      <c r="S1" s="16" t="s">
        <v>11</v>
      </c>
    </row>
    <row r="2" customFormat="false" ht="27.75" hidden="false" customHeight="true" outlineLevel="0" collapsed="false">
      <c r="A2" s="17" t="s">
        <v>188</v>
      </c>
      <c r="B2" s="18" t="s">
        <v>14</v>
      </c>
      <c r="C2" s="19" t="s">
        <v>189</v>
      </c>
      <c r="D2" s="20"/>
      <c r="E2" s="20"/>
      <c r="F2" s="20"/>
      <c r="G2" s="20"/>
      <c r="H2" s="20"/>
      <c r="I2" s="20"/>
      <c r="J2" s="20"/>
      <c r="K2" s="20"/>
      <c r="L2" s="20"/>
      <c r="M2" s="20"/>
      <c r="N2" s="20"/>
      <c r="O2" s="20"/>
      <c r="P2" s="20"/>
      <c r="Q2" s="20"/>
      <c r="R2" s="20"/>
      <c r="S2" s="20"/>
    </row>
    <row r="3" customFormat="false" ht="69.75" hidden="false" customHeight="true" outlineLevel="1" collapsed="false">
      <c r="A3" s="4" t="s">
        <v>190</v>
      </c>
      <c r="B3" s="10" t="s">
        <v>13</v>
      </c>
      <c r="C3" s="3" t="s">
        <v>191</v>
      </c>
      <c r="D3" s="4" t="s">
        <v>192</v>
      </c>
      <c r="E3" s="3" t="s">
        <v>193</v>
      </c>
      <c r="F3" s="4" t="s">
        <v>194</v>
      </c>
      <c r="G3" s="4"/>
      <c r="H3" s="4"/>
      <c r="I3" s="4" t="s">
        <v>195</v>
      </c>
      <c r="J3" s="4" t="s">
        <v>196</v>
      </c>
      <c r="K3" s="3"/>
      <c r="L3" s="3"/>
      <c r="M3" s="3" t="s">
        <v>197</v>
      </c>
      <c r="N3" s="3" t="s">
        <v>198</v>
      </c>
      <c r="O3" s="3" t="s">
        <v>144</v>
      </c>
      <c r="P3" s="8" t="str">
        <f aca="false">IFERROR(VLOOKUP(B3,'IA(정보구조)'!D:E,2,FALSE()),"")</f>
        <v>메인 화면</v>
      </c>
      <c r="Q3" s="8" t="str">
        <f aca="false">IFERROR(VLOOKUP(G3,기능명세서!A:B,2,FALSE()),"")</f>
        <v/>
      </c>
      <c r="R3" s="8" t="str">
        <f aca="false">IFERROR(VLOOKUP(H3,API명세서!A:D,4,FALSE()),"")</f>
        <v/>
      </c>
      <c r="S3" s="21"/>
    </row>
    <row r="4" customFormat="false" ht="69.75" hidden="false" customHeight="true" outlineLevel="1" collapsed="false">
      <c r="A4" s="6" t="s">
        <v>199</v>
      </c>
      <c r="B4" s="13" t="s">
        <v>13</v>
      </c>
      <c r="C4" s="5" t="s">
        <v>200</v>
      </c>
      <c r="D4" s="6" t="s">
        <v>201</v>
      </c>
      <c r="E4" s="5" t="s">
        <v>202</v>
      </c>
      <c r="F4" s="6" t="s">
        <v>203</v>
      </c>
      <c r="G4" s="6"/>
      <c r="H4" s="6"/>
      <c r="I4" s="6" t="s">
        <v>204</v>
      </c>
      <c r="J4" s="6" t="s">
        <v>205</v>
      </c>
      <c r="K4" s="5"/>
      <c r="L4" s="5"/>
      <c r="M4" s="6" t="s">
        <v>206</v>
      </c>
      <c r="N4" s="5" t="s">
        <v>198</v>
      </c>
      <c r="O4" s="5" t="s">
        <v>144</v>
      </c>
      <c r="P4" s="8" t="str">
        <f aca="false">IFERROR(VLOOKUP(B4,'IA(정보구조)'!D:E,2,FALSE()),"")</f>
        <v>메인 화면</v>
      </c>
      <c r="Q4" s="8" t="str">
        <f aca="false">IFERROR(VLOOKUP(G4,기능명세서!A:B,2,FALSE()),"")</f>
        <v/>
      </c>
      <c r="R4" s="8" t="str">
        <f aca="false">IFERROR(VLOOKUP(H4,API명세서!A:D,4,FALSE()),"")</f>
        <v/>
      </c>
      <c r="S4" s="21"/>
    </row>
    <row r="5" customFormat="false" ht="69.75" hidden="false" customHeight="true" outlineLevel="1" collapsed="false">
      <c r="A5" s="4" t="s">
        <v>207</v>
      </c>
      <c r="B5" s="10" t="s">
        <v>13</v>
      </c>
      <c r="C5" s="3" t="s">
        <v>208</v>
      </c>
      <c r="D5" s="4" t="s">
        <v>192</v>
      </c>
      <c r="E5" s="3" t="s">
        <v>209</v>
      </c>
      <c r="F5" s="4" t="s">
        <v>210</v>
      </c>
      <c r="G5" s="4"/>
      <c r="H5" s="4"/>
      <c r="I5" s="4" t="s">
        <v>211</v>
      </c>
      <c r="J5" s="4" t="s">
        <v>212</v>
      </c>
      <c r="K5" s="3"/>
      <c r="L5" s="3"/>
      <c r="M5" s="3" t="s">
        <v>213</v>
      </c>
      <c r="N5" s="3" t="s">
        <v>198</v>
      </c>
      <c r="O5" s="3" t="s">
        <v>144</v>
      </c>
      <c r="P5" s="8" t="str">
        <f aca="false">IFERROR(VLOOKUP(B5,'IA(정보구조)'!D:E,2,FALSE()),"")</f>
        <v>메인 화면</v>
      </c>
      <c r="Q5" s="8" t="str">
        <f aca="false">IFERROR(VLOOKUP(G5,기능명세서!A:B,2,FALSE()),"")</f>
        <v/>
      </c>
      <c r="R5" s="8" t="str">
        <f aca="false">IFERROR(VLOOKUP(H5,API명세서!A:D,4,FALSE()),"")</f>
        <v/>
      </c>
      <c r="S5" s="21"/>
    </row>
    <row r="6" customFormat="false" ht="69.75" hidden="false" customHeight="true" outlineLevel="1" collapsed="false">
      <c r="A6" s="6" t="s">
        <v>214</v>
      </c>
      <c r="B6" s="13" t="s">
        <v>13</v>
      </c>
      <c r="C6" s="5" t="s">
        <v>215</v>
      </c>
      <c r="D6" s="6" t="s">
        <v>216</v>
      </c>
      <c r="E6" s="5" t="s">
        <v>217</v>
      </c>
      <c r="F6" s="6" t="s">
        <v>218</v>
      </c>
      <c r="G6" s="13" t="s">
        <v>219</v>
      </c>
      <c r="H6" s="6"/>
      <c r="I6" s="6" t="s">
        <v>220</v>
      </c>
      <c r="J6" s="6" t="s">
        <v>221</v>
      </c>
      <c r="K6" s="5"/>
      <c r="L6" s="5"/>
      <c r="M6" s="5" t="s">
        <v>222</v>
      </c>
      <c r="N6" s="5" t="s">
        <v>223</v>
      </c>
      <c r="O6" s="5" t="s">
        <v>144</v>
      </c>
      <c r="P6" s="8" t="str">
        <f aca="false">IFERROR(VLOOKUP(B6,'IA(정보구조)'!D:E,2,FALSE()),"")</f>
        <v>메인 화면</v>
      </c>
      <c r="Q6" s="8" t="str">
        <f aca="false">IFERROR(VLOOKUP(G6,기능명세서!A:B,2,FALSE()),"")</f>
        <v>키워드 검색</v>
      </c>
      <c r="R6" s="8" t="str">
        <f aca="false">IFERROR(VLOOKUP(H6,API명세서!A:D,4,FALSE()),"")</f>
        <v/>
      </c>
      <c r="S6" s="21"/>
    </row>
    <row r="7" customFormat="false" ht="69.75" hidden="false" customHeight="true" outlineLevel="1" collapsed="false">
      <c r="A7" s="4" t="s">
        <v>224</v>
      </c>
      <c r="B7" s="10" t="s">
        <v>13</v>
      </c>
      <c r="C7" s="3" t="s">
        <v>225</v>
      </c>
      <c r="D7" s="4" t="s">
        <v>226</v>
      </c>
      <c r="E7" s="4" t="s">
        <v>227</v>
      </c>
      <c r="F7" s="4" t="s">
        <v>228</v>
      </c>
      <c r="G7" s="4"/>
      <c r="H7" s="4"/>
      <c r="I7" s="4" t="s">
        <v>229</v>
      </c>
      <c r="J7" s="4" t="s">
        <v>230</v>
      </c>
      <c r="K7" s="3"/>
      <c r="L7" s="3"/>
      <c r="M7" s="3" t="s">
        <v>231</v>
      </c>
      <c r="N7" s="3" t="s">
        <v>198</v>
      </c>
      <c r="O7" s="3" t="s">
        <v>144</v>
      </c>
      <c r="P7" s="8" t="str">
        <f aca="false">IFERROR(VLOOKUP(B7,'IA(정보구조)'!D:E,2,FALSE()),"")</f>
        <v>메인 화면</v>
      </c>
      <c r="Q7" s="8" t="str">
        <f aca="false">IFERROR(VLOOKUP(G7,기능명세서!A:B,2,FALSE()),"")</f>
        <v/>
      </c>
      <c r="R7" s="8" t="str">
        <f aca="false">IFERROR(VLOOKUP(H7,API명세서!A:D,4,FALSE()),"")</f>
        <v/>
      </c>
      <c r="S7" s="21"/>
    </row>
    <row r="8" customFormat="false" ht="27.75" hidden="false" customHeight="true" outlineLevel="0" collapsed="false">
      <c r="A8" s="17" t="s">
        <v>232</v>
      </c>
      <c r="B8" s="18" t="s">
        <v>22</v>
      </c>
      <c r="C8" s="19" t="s">
        <v>233</v>
      </c>
      <c r="D8" s="20"/>
      <c r="E8" s="20"/>
      <c r="F8" s="20"/>
      <c r="G8" s="20"/>
      <c r="H8" s="20"/>
      <c r="I8" s="20"/>
      <c r="J8" s="20"/>
      <c r="K8" s="20"/>
      <c r="L8" s="20"/>
      <c r="M8" s="20"/>
      <c r="N8" s="20"/>
      <c r="O8" s="20"/>
      <c r="P8" s="20"/>
      <c r="Q8" s="20"/>
      <c r="R8" s="20"/>
      <c r="S8" s="20"/>
    </row>
    <row r="9" customFormat="false" ht="69.75" hidden="false" customHeight="true" outlineLevel="1" collapsed="false">
      <c r="A9" s="4" t="s">
        <v>234</v>
      </c>
      <c r="B9" s="10" t="s">
        <v>23</v>
      </c>
      <c r="C9" s="3" t="s">
        <v>235</v>
      </c>
      <c r="D9" s="4" t="s">
        <v>236</v>
      </c>
      <c r="E9" s="3" t="s">
        <v>237</v>
      </c>
      <c r="F9" s="4" t="s">
        <v>238</v>
      </c>
      <c r="G9" s="10" t="s">
        <v>239</v>
      </c>
      <c r="H9" s="10" t="s">
        <v>240</v>
      </c>
      <c r="I9" s="4" t="s">
        <v>241</v>
      </c>
      <c r="J9" s="4" t="s">
        <v>242</v>
      </c>
      <c r="K9" s="4" t="s">
        <v>243</v>
      </c>
      <c r="L9" s="4" t="s">
        <v>244</v>
      </c>
      <c r="M9" s="4" t="s">
        <v>245</v>
      </c>
      <c r="N9" s="3" t="s">
        <v>198</v>
      </c>
      <c r="O9" s="3" t="s">
        <v>144</v>
      </c>
      <c r="P9" s="8" t="str">
        <f aca="false">IFERROR(VLOOKUP(B9,'IA(정보구조)'!D:E,2,FALSE()),"")</f>
        <v>회원가입</v>
      </c>
      <c r="Q9" s="8" t="str">
        <f aca="false">IFERROR(VLOOKUP(G9,기능명세서!A:B,2,FALSE()),"")</f>
        <v>이메일 회원가입</v>
      </c>
      <c r="R9" s="8" t="str">
        <f aca="false">IFERROR(VLOOKUP(H9,API명세서!A:D,4,FALSE()),"")</f>
        <v>/api/v1/auth/signup</v>
      </c>
      <c r="S9" s="21"/>
    </row>
    <row r="10" customFormat="false" ht="69.75" hidden="false" customHeight="true" outlineLevel="1" collapsed="false">
      <c r="A10" s="6" t="s">
        <v>246</v>
      </c>
      <c r="B10" s="13" t="s">
        <v>23</v>
      </c>
      <c r="C10" s="5" t="s">
        <v>247</v>
      </c>
      <c r="D10" s="6" t="s">
        <v>236</v>
      </c>
      <c r="E10" s="5" t="s">
        <v>248</v>
      </c>
      <c r="F10" s="6" t="s">
        <v>249</v>
      </c>
      <c r="G10" s="13" t="s">
        <v>239</v>
      </c>
      <c r="H10" s="13" t="s">
        <v>240</v>
      </c>
      <c r="I10" s="6" t="s">
        <v>250</v>
      </c>
      <c r="J10" s="6" t="s">
        <v>251</v>
      </c>
      <c r="K10" s="6" t="s">
        <v>252</v>
      </c>
      <c r="L10" s="6" t="s">
        <v>253</v>
      </c>
      <c r="M10" s="5" t="s">
        <v>254</v>
      </c>
      <c r="N10" s="5" t="s">
        <v>198</v>
      </c>
      <c r="O10" s="5" t="s">
        <v>144</v>
      </c>
      <c r="P10" s="8" t="str">
        <f aca="false">IFERROR(VLOOKUP(B10,'IA(정보구조)'!D:E,2,FALSE()),"")</f>
        <v>회원가입</v>
      </c>
      <c r="Q10" s="8" t="str">
        <f aca="false">IFERROR(VLOOKUP(G10,기능명세서!A:B,2,FALSE()),"")</f>
        <v>이메일 회원가입</v>
      </c>
      <c r="R10" s="8" t="str">
        <f aca="false">IFERROR(VLOOKUP(H10,API명세서!A:D,4,FALSE()),"")</f>
        <v>/api/v1/auth/signup</v>
      </c>
      <c r="S10" s="21"/>
    </row>
    <row r="11" customFormat="false" ht="69.75" hidden="false" customHeight="true" outlineLevel="1" collapsed="false">
      <c r="A11" s="4" t="s">
        <v>255</v>
      </c>
      <c r="B11" s="10" t="s">
        <v>23</v>
      </c>
      <c r="C11" s="3" t="s">
        <v>256</v>
      </c>
      <c r="D11" s="4" t="s">
        <v>236</v>
      </c>
      <c r="E11" s="3" t="s">
        <v>257</v>
      </c>
      <c r="F11" s="4" t="s">
        <v>258</v>
      </c>
      <c r="G11" s="10" t="s">
        <v>239</v>
      </c>
      <c r="H11" s="10" t="s">
        <v>240</v>
      </c>
      <c r="I11" s="3"/>
      <c r="J11" s="3"/>
      <c r="K11" s="4" t="s">
        <v>259</v>
      </c>
      <c r="L11" s="4" t="s">
        <v>260</v>
      </c>
      <c r="M11" s="3" t="s">
        <v>261</v>
      </c>
      <c r="N11" s="3" t="s">
        <v>198</v>
      </c>
      <c r="O11" s="3" t="s">
        <v>144</v>
      </c>
      <c r="P11" s="8" t="str">
        <f aca="false">IFERROR(VLOOKUP(B11,'IA(정보구조)'!D:E,2,FALSE()),"")</f>
        <v>회원가입</v>
      </c>
      <c r="Q11" s="8" t="str">
        <f aca="false">IFERROR(VLOOKUP(G11,기능명세서!A:B,2,FALSE()),"")</f>
        <v>이메일 회원가입</v>
      </c>
      <c r="R11" s="8" t="str">
        <f aca="false">IFERROR(VLOOKUP(H11,API명세서!A:D,4,FALSE()),"")</f>
        <v>/api/v1/auth/signup</v>
      </c>
      <c r="S11" s="21"/>
    </row>
    <row r="12" customFormat="false" ht="69.75" hidden="false" customHeight="true" outlineLevel="1" collapsed="false">
      <c r="A12" s="6" t="s">
        <v>262</v>
      </c>
      <c r="B12" s="13" t="s">
        <v>23</v>
      </c>
      <c r="C12" s="5" t="s">
        <v>263</v>
      </c>
      <c r="D12" s="6" t="s">
        <v>264</v>
      </c>
      <c r="E12" s="5" t="s">
        <v>265</v>
      </c>
      <c r="F12" s="6" t="s">
        <v>266</v>
      </c>
      <c r="G12" s="13" t="s">
        <v>239</v>
      </c>
      <c r="H12" s="6"/>
      <c r="I12" s="6" t="s">
        <v>267</v>
      </c>
      <c r="J12" s="6" t="s">
        <v>268</v>
      </c>
      <c r="K12" s="6" t="s">
        <v>269</v>
      </c>
      <c r="L12" s="6" t="s">
        <v>270</v>
      </c>
      <c r="M12" s="5" t="s">
        <v>271</v>
      </c>
      <c r="N12" s="5" t="s">
        <v>198</v>
      </c>
      <c r="O12" s="5" t="s">
        <v>144</v>
      </c>
      <c r="P12" s="8" t="str">
        <f aca="false">IFERROR(VLOOKUP(B12,'IA(정보구조)'!D:E,2,FALSE()),"")</f>
        <v>회원가입</v>
      </c>
      <c r="Q12" s="8" t="str">
        <f aca="false">IFERROR(VLOOKUP(G12,기능명세서!A:B,2,FALSE()),"")</f>
        <v>이메일 회원가입</v>
      </c>
      <c r="R12" s="8" t="str">
        <f aca="false">IFERROR(VLOOKUP(H12,API명세서!A:D,4,FALSE()),"")</f>
        <v/>
      </c>
      <c r="S12" s="21"/>
    </row>
    <row r="13" customFormat="false" ht="69.75" hidden="false" customHeight="true" outlineLevel="1" collapsed="false">
      <c r="A13" s="4" t="s">
        <v>272</v>
      </c>
      <c r="B13" s="10" t="s">
        <v>23</v>
      </c>
      <c r="C13" s="3" t="s">
        <v>273</v>
      </c>
      <c r="D13" s="4" t="s">
        <v>274</v>
      </c>
      <c r="E13" s="4" t="s">
        <v>275</v>
      </c>
      <c r="F13" s="4" t="s">
        <v>276</v>
      </c>
      <c r="G13" s="10" t="s">
        <v>277</v>
      </c>
      <c r="H13" s="10" t="s">
        <v>278</v>
      </c>
      <c r="I13" s="4" t="s">
        <v>279</v>
      </c>
      <c r="J13" s="4" t="s">
        <v>280</v>
      </c>
      <c r="K13" s="3"/>
      <c r="L13" s="4" t="s">
        <v>281</v>
      </c>
      <c r="M13" s="3" t="s">
        <v>282</v>
      </c>
      <c r="N13" s="3" t="s">
        <v>198</v>
      </c>
      <c r="O13" s="3" t="s">
        <v>144</v>
      </c>
      <c r="P13" s="8" t="str">
        <f aca="false">IFERROR(VLOOKUP(B13,'IA(정보구조)'!D:E,2,FALSE()),"")</f>
        <v>회원가입</v>
      </c>
      <c r="Q13" s="8" t="str">
        <f aca="false">IFERROR(VLOOKUP(G13,기능명세서!A:B,2,FALSE()),"")</f>
        <v>소셜 로그인</v>
      </c>
      <c r="R13" s="8" t="str">
        <f aca="false">IFERROR(VLOOKUP(H13,API명세서!A:D,4,FALSE()),"")</f>
        <v>/api/v1/auth/social</v>
      </c>
      <c r="S13" s="21"/>
    </row>
    <row r="14" customFormat="false" ht="69.75" hidden="false" customHeight="true" outlineLevel="1" collapsed="false">
      <c r="A14" s="6" t="s">
        <v>283</v>
      </c>
      <c r="B14" s="13" t="s">
        <v>23</v>
      </c>
      <c r="C14" s="5" t="s">
        <v>284</v>
      </c>
      <c r="D14" s="6" t="s">
        <v>274</v>
      </c>
      <c r="E14" s="5" t="s">
        <v>285</v>
      </c>
      <c r="F14" s="6" t="s">
        <v>286</v>
      </c>
      <c r="G14" s="13" t="s">
        <v>239</v>
      </c>
      <c r="H14" s="13" t="s">
        <v>240</v>
      </c>
      <c r="I14" s="6" t="s">
        <v>287</v>
      </c>
      <c r="J14" s="6" t="s">
        <v>288</v>
      </c>
      <c r="K14" s="6" t="s">
        <v>289</v>
      </c>
      <c r="L14" s="6" t="s">
        <v>290</v>
      </c>
      <c r="M14" s="6" t="s">
        <v>291</v>
      </c>
      <c r="N14" s="5" t="s">
        <v>198</v>
      </c>
      <c r="O14" s="5" t="s">
        <v>144</v>
      </c>
      <c r="P14" s="8" t="str">
        <f aca="false">IFERROR(VLOOKUP(B14,'IA(정보구조)'!D:E,2,FALSE()),"")</f>
        <v>회원가입</v>
      </c>
      <c r="Q14" s="8" t="str">
        <f aca="false">IFERROR(VLOOKUP(G14,기능명세서!A:B,2,FALSE()),"")</f>
        <v>이메일 회원가입</v>
      </c>
      <c r="R14" s="8" t="str">
        <f aca="false">IFERROR(VLOOKUP(H14,API명세서!A:D,4,FALSE()),"")</f>
        <v>/api/v1/auth/signup</v>
      </c>
      <c r="S14" s="21"/>
    </row>
    <row r="15" customFormat="false" ht="27.75" hidden="false" customHeight="true" outlineLevel="0" collapsed="false">
      <c r="A15" s="17" t="s">
        <v>292</v>
      </c>
      <c r="B15" s="18" t="s">
        <v>27</v>
      </c>
      <c r="C15" s="19" t="s">
        <v>189</v>
      </c>
      <c r="D15" s="20"/>
      <c r="E15" s="20"/>
      <c r="F15" s="20"/>
      <c r="G15" s="20"/>
      <c r="H15" s="20"/>
      <c r="I15" s="20"/>
      <c r="J15" s="20"/>
      <c r="K15" s="20"/>
      <c r="L15" s="20"/>
      <c r="M15" s="20"/>
      <c r="N15" s="20"/>
      <c r="O15" s="20"/>
      <c r="P15" s="20"/>
      <c r="Q15" s="20"/>
      <c r="R15" s="20"/>
      <c r="S15" s="20"/>
    </row>
    <row r="16" customFormat="false" ht="69.75" hidden="true" customHeight="true" outlineLevel="1" collapsed="false">
      <c r="A16" s="4" t="s">
        <v>293</v>
      </c>
      <c r="B16" s="10" t="s">
        <v>28</v>
      </c>
      <c r="C16" s="3" t="s">
        <v>235</v>
      </c>
      <c r="D16" s="4" t="s">
        <v>236</v>
      </c>
      <c r="E16" s="3" t="s">
        <v>294</v>
      </c>
      <c r="F16" s="4" t="s">
        <v>295</v>
      </c>
      <c r="G16" s="10" t="s">
        <v>296</v>
      </c>
      <c r="H16" s="10" t="s">
        <v>297</v>
      </c>
      <c r="I16" s="4" t="s">
        <v>298</v>
      </c>
      <c r="J16" s="4" t="s">
        <v>299</v>
      </c>
      <c r="K16" s="4" t="s">
        <v>300</v>
      </c>
      <c r="L16" s="4" t="s">
        <v>301</v>
      </c>
      <c r="M16" s="4" t="s">
        <v>302</v>
      </c>
      <c r="N16" s="3" t="s">
        <v>198</v>
      </c>
      <c r="O16" s="3" t="s">
        <v>144</v>
      </c>
      <c r="P16" s="8" t="str">
        <f aca="false">IFERROR(VLOOKUP(B16,'IA(정보구조)'!D:E,2,FALSE()),"")</f>
        <v>로그인</v>
      </c>
      <c r="Q16" s="8" t="str">
        <f aca="false">IFERROR(VLOOKUP(G16,기능명세서!A:B,2,FALSE()),"")</f>
        <v>이메일/PW 로그인</v>
      </c>
      <c r="R16" s="8" t="str">
        <f aca="false">IFERROR(VLOOKUP(H16,API명세서!A:D,4,FALSE()),"")</f>
        <v>/api/v1/auth/login</v>
      </c>
      <c r="S16" s="21"/>
    </row>
    <row r="17" customFormat="false" ht="69.75" hidden="true" customHeight="true" outlineLevel="1" collapsed="false">
      <c r="A17" s="6" t="s">
        <v>303</v>
      </c>
      <c r="B17" s="13" t="s">
        <v>28</v>
      </c>
      <c r="C17" s="5" t="s">
        <v>247</v>
      </c>
      <c r="D17" s="6" t="s">
        <v>236</v>
      </c>
      <c r="E17" s="5" t="s">
        <v>304</v>
      </c>
      <c r="F17" s="6" t="s">
        <v>305</v>
      </c>
      <c r="G17" s="13" t="s">
        <v>296</v>
      </c>
      <c r="H17" s="13" t="s">
        <v>297</v>
      </c>
      <c r="I17" s="5"/>
      <c r="J17" s="5"/>
      <c r="K17" s="5"/>
      <c r="L17" s="6" t="s">
        <v>306</v>
      </c>
      <c r="M17" s="5" t="s">
        <v>307</v>
      </c>
      <c r="N17" s="5" t="s">
        <v>198</v>
      </c>
      <c r="O17" s="5" t="s">
        <v>144</v>
      </c>
      <c r="P17" s="8" t="str">
        <f aca="false">IFERROR(VLOOKUP(B17,'IA(정보구조)'!D:E,2,FALSE()),"")</f>
        <v>로그인</v>
      </c>
      <c r="Q17" s="8" t="str">
        <f aca="false">IFERROR(VLOOKUP(G17,기능명세서!A:B,2,FALSE()),"")</f>
        <v>이메일/PW 로그인</v>
      </c>
      <c r="R17" s="8" t="str">
        <f aca="false">IFERROR(VLOOKUP(H17,API명세서!A:D,4,FALSE()),"")</f>
        <v>/api/v1/auth/login</v>
      </c>
      <c r="S17" s="21"/>
    </row>
    <row r="18" customFormat="false" ht="69.75" hidden="true" customHeight="true" outlineLevel="1" collapsed="false">
      <c r="A18" s="4" t="s">
        <v>308</v>
      </c>
      <c r="B18" s="10" t="s">
        <v>28</v>
      </c>
      <c r="C18" s="3" t="s">
        <v>309</v>
      </c>
      <c r="D18" s="4" t="s">
        <v>264</v>
      </c>
      <c r="E18" s="3" t="s">
        <v>310</v>
      </c>
      <c r="F18" s="4" t="s">
        <v>311</v>
      </c>
      <c r="G18" s="10" t="s">
        <v>296</v>
      </c>
      <c r="H18" s="10" t="s">
        <v>297</v>
      </c>
      <c r="I18" s="4" t="s">
        <v>312</v>
      </c>
      <c r="J18" s="4" t="s">
        <v>313</v>
      </c>
      <c r="K18" s="3"/>
      <c r="L18" s="3"/>
      <c r="M18" s="3" t="s">
        <v>314</v>
      </c>
      <c r="N18" s="3" t="s">
        <v>198</v>
      </c>
      <c r="O18" s="3" t="s">
        <v>144</v>
      </c>
      <c r="P18" s="8" t="str">
        <f aca="false">IFERROR(VLOOKUP(B18,'IA(정보구조)'!D:E,2,FALSE()),"")</f>
        <v>로그인</v>
      </c>
      <c r="Q18" s="8" t="str">
        <f aca="false">IFERROR(VLOOKUP(G18,기능명세서!A:B,2,FALSE()),"")</f>
        <v>이메일/PW 로그인</v>
      </c>
      <c r="R18" s="8" t="str">
        <f aca="false">IFERROR(VLOOKUP(H18,API명세서!A:D,4,FALSE()),"")</f>
        <v>/api/v1/auth/login</v>
      </c>
      <c r="S18" s="21"/>
    </row>
    <row r="19" customFormat="false" ht="69.75" hidden="true" customHeight="true" outlineLevel="1" collapsed="false">
      <c r="A19" s="6" t="s">
        <v>315</v>
      </c>
      <c r="B19" s="13" t="s">
        <v>28</v>
      </c>
      <c r="C19" s="5" t="s">
        <v>316</v>
      </c>
      <c r="D19" s="6" t="s">
        <v>274</v>
      </c>
      <c r="E19" s="5" t="s">
        <v>317</v>
      </c>
      <c r="F19" s="6" t="s">
        <v>318</v>
      </c>
      <c r="G19" s="13" t="s">
        <v>296</v>
      </c>
      <c r="H19" s="13" t="s">
        <v>297</v>
      </c>
      <c r="I19" s="5"/>
      <c r="J19" s="5"/>
      <c r="K19" s="6" t="s">
        <v>319</v>
      </c>
      <c r="L19" s="6" t="s">
        <v>320</v>
      </c>
      <c r="M19" s="6" t="s">
        <v>321</v>
      </c>
      <c r="N19" s="5" t="s">
        <v>198</v>
      </c>
      <c r="O19" s="5" t="s">
        <v>144</v>
      </c>
      <c r="P19" s="8" t="str">
        <f aca="false">IFERROR(VLOOKUP(B19,'IA(정보구조)'!D:E,2,FALSE()),"")</f>
        <v>로그인</v>
      </c>
      <c r="Q19" s="8" t="str">
        <f aca="false">IFERROR(VLOOKUP(G19,기능명세서!A:B,2,FALSE()),"")</f>
        <v>이메일/PW 로그인</v>
      </c>
      <c r="R19" s="8" t="str">
        <f aca="false">IFERROR(VLOOKUP(H19,API명세서!A:D,4,FALSE()),"")</f>
        <v>/api/v1/auth/login</v>
      </c>
      <c r="S19" s="21"/>
    </row>
    <row r="20" customFormat="false" ht="69.75" hidden="true" customHeight="true" outlineLevel="1" collapsed="false">
      <c r="A20" s="4" t="s">
        <v>322</v>
      </c>
      <c r="B20" s="10" t="s">
        <v>28</v>
      </c>
      <c r="C20" s="3" t="s">
        <v>323</v>
      </c>
      <c r="D20" s="4" t="s">
        <v>324</v>
      </c>
      <c r="E20" s="3" t="s">
        <v>325</v>
      </c>
      <c r="F20" s="4" t="s">
        <v>326</v>
      </c>
      <c r="G20" s="4"/>
      <c r="H20" s="4"/>
      <c r="I20" s="3"/>
      <c r="J20" s="3"/>
      <c r="K20" s="3"/>
      <c r="L20" s="3"/>
      <c r="M20" s="3" t="s">
        <v>327</v>
      </c>
      <c r="N20" s="3" t="s">
        <v>198</v>
      </c>
      <c r="O20" s="3" t="s">
        <v>144</v>
      </c>
      <c r="P20" s="8" t="str">
        <f aca="false">IFERROR(VLOOKUP(B20,'IA(정보구조)'!D:E,2,FALSE()),"")</f>
        <v>로그인</v>
      </c>
      <c r="Q20" s="8" t="str">
        <f aca="false">IFERROR(VLOOKUP(G20,기능명세서!A:B,2,FALSE()),"")</f>
        <v/>
      </c>
      <c r="R20" s="8" t="str">
        <f aca="false">IFERROR(VLOOKUP(H20,API명세서!A:D,4,FALSE()),"")</f>
        <v/>
      </c>
      <c r="S20" s="21"/>
    </row>
    <row r="21" customFormat="false" ht="27.75" hidden="false" customHeight="true" outlineLevel="0" collapsed="false">
      <c r="A21" s="17" t="s">
        <v>328</v>
      </c>
      <c r="B21" s="18" t="s">
        <v>47</v>
      </c>
      <c r="C21" s="19" t="s">
        <v>329</v>
      </c>
      <c r="D21" s="20"/>
      <c r="E21" s="20"/>
      <c r="F21" s="20"/>
      <c r="G21" s="20"/>
      <c r="H21" s="20"/>
      <c r="I21" s="20"/>
      <c r="J21" s="20"/>
      <c r="K21" s="20"/>
      <c r="L21" s="20"/>
      <c r="M21" s="20"/>
      <c r="N21" s="20"/>
      <c r="O21" s="20"/>
      <c r="P21" s="20"/>
      <c r="Q21" s="20"/>
      <c r="R21" s="20"/>
      <c r="S21" s="20"/>
    </row>
    <row r="22" customFormat="false" ht="69.75" hidden="true" customHeight="true" outlineLevel="1" collapsed="false">
      <c r="A22" s="4" t="s">
        <v>330</v>
      </c>
      <c r="B22" s="10" t="s">
        <v>48</v>
      </c>
      <c r="C22" s="3" t="s">
        <v>331</v>
      </c>
      <c r="D22" s="4" t="s">
        <v>236</v>
      </c>
      <c r="E22" s="3" t="s">
        <v>332</v>
      </c>
      <c r="F22" s="4" t="s">
        <v>333</v>
      </c>
      <c r="G22" s="10" t="s">
        <v>219</v>
      </c>
      <c r="H22" s="10" t="s">
        <v>334</v>
      </c>
      <c r="I22" s="4" t="s">
        <v>335</v>
      </c>
      <c r="J22" s="4" t="s">
        <v>336</v>
      </c>
      <c r="K22" s="4" t="s">
        <v>337</v>
      </c>
      <c r="L22" s="4" t="s">
        <v>338</v>
      </c>
      <c r="M22" s="3" t="s">
        <v>339</v>
      </c>
      <c r="N22" s="3" t="s">
        <v>223</v>
      </c>
      <c r="O22" s="3" t="s">
        <v>144</v>
      </c>
      <c r="P22" s="8" t="str">
        <f aca="false">IFERROR(VLOOKUP(B22,'IA(정보구조)'!D:E,2,FALSE()),"")</f>
        <v>검색</v>
      </c>
      <c r="Q22" s="8" t="str">
        <f aca="false">IFERROR(VLOOKUP(G22,기능명세서!A:B,2,FALSE()),"")</f>
        <v>키워드 검색</v>
      </c>
      <c r="R22" s="8" t="str">
        <f aca="false">IFERROR(VLOOKUP(H22,API명세서!A:D,4,FALSE()),"")</f>
        <v>/api/v1/search</v>
      </c>
      <c r="S22" s="21"/>
    </row>
    <row r="23" customFormat="false" ht="69.75" hidden="true" customHeight="true" outlineLevel="1" collapsed="false">
      <c r="A23" s="6" t="s">
        <v>340</v>
      </c>
      <c r="B23" s="13" t="s">
        <v>48</v>
      </c>
      <c r="C23" s="5" t="s">
        <v>341</v>
      </c>
      <c r="D23" s="6" t="s">
        <v>216</v>
      </c>
      <c r="E23" s="5" t="s">
        <v>342</v>
      </c>
      <c r="F23" s="6" t="s">
        <v>343</v>
      </c>
      <c r="G23" s="13" t="s">
        <v>219</v>
      </c>
      <c r="H23" s="13" t="s">
        <v>334</v>
      </c>
      <c r="I23" s="5"/>
      <c r="J23" s="5"/>
      <c r="K23" s="5"/>
      <c r="L23" s="5"/>
      <c r="M23" s="5" t="s">
        <v>344</v>
      </c>
      <c r="N23" s="5" t="s">
        <v>223</v>
      </c>
      <c r="O23" s="5" t="s">
        <v>144</v>
      </c>
      <c r="P23" s="8" t="str">
        <f aca="false">IFERROR(VLOOKUP(B23,'IA(정보구조)'!D:E,2,FALSE()),"")</f>
        <v>검색</v>
      </c>
      <c r="Q23" s="8" t="str">
        <f aca="false">IFERROR(VLOOKUP(G23,기능명세서!A:B,2,FALSE()),"")</f>
        <v>키워드 검색</v>
      </c>
      <c r="R23" s="8" t="str">
        <f aca="false">IFERROR(VLOOKUP(H23,API명세서!A:D,4,FALSE()),"")</f>
        <v>/api/v1/search</v>
      </c>
      <c r="S23" s="21"/>
    </row>
    <row r="24" customFormat="false" ht="69.75" hidden="true" customHeight="true" outlineLevel="1" collapsed="false">
      <c r="A24" s="4" t="s">
        <v>345</v>
      </c>
      <c r="B24" s="10" t="s">
        <v>48</v>
      </c>
      <c r="C24" s="3" t="s">
        <v>346</v>
      </c>
      <c r="D24" s="4" t="s">
        <v>347</v>
      </c>
      <c r="E24" s="3" t="s">
        <v>348</v>
      </c>
      <c r="F24" s="4" t="s">
        <v>349</v>
      </c>
      <c r="G24" s="10" t="s">
        <v>219</v>
      </c>
      <c r="H24" s="10" t="s">
        <v>334</v>
      </c>
      <c r="I24" s="4" t="s">
        <v>350</v>
      </c>
      <c r="J24" s="4" t="s">
        <v>351</v>
      </c>
      <c r="K24" s="3"/>
      <c r="L24" s="3"/>
      <c r="M24" s="3" t="s">
        <v>352</v>
      </c>
      <c r="N24" s="3" t="s">
        <v>223</v>
      </c>
      <c r="O24" s="3" t="s">
        <v>144</v>
      </c>
      <c r="P24" s="8" t="str">
        <f aca="false">IFERROR(VLOOKUP(B24,'IA(정보구조)'!D:E,2,FALSE()),"")</f>
        <v>검색</v>
      </c>
      <c r="Q24" s="8" t="str">
        <f aca="false">IFERROR(VLOOKUP(G24,기능명세서!A:B,2,FALSE()),"")</f>
        <v>키워드 검색</v>
      </c>
      <c r="R24" s="8" t="str">
        <f aca="false">IFERROR(VLOOKUP(H24,API명세서!A:D,4,FALSE()),"")</f>
        <v>/api/v1/search</v>
      </c>
      <c r="S24" s="21"/>
    </row>
    <row r="25" customFormat="false" ht="69.75" hidden="true" customHeight="true" outlineLevel="1" collapsed="false">
      <c r="A25" s="6" t="s">
        <v>353</v>
      </c>
      <c r="B25" s="13" t="s">
        <v>48</v>
      </c>
      <c r="C25" s="5" t="s">
        <v>354</v>
      </c>
      <c r="D25" s="6" t="s">
        <v>216</v>
      </c>
      <c r="E25" s="5" t="s">
        <v>355</v>
      </c>
      <c r="F25" s="6" t="s">
        <v>356</v>
      </c>
      <c r="G25" s="13" t="s">
        <v>219</v>
      </c>
      <c r="H25" s="13" t="s">
        <v>334</v>
      </c>
      <c r="I25" s="6" t="s">
        <v>357</v>
      </c>
      <c r="J25" s="6" t="s">
        <v>358</v>
      </c>
      <c r="K25" s="5"/>
      <c r="L25" s="6" t="s">
        <v>359</v>
      </c>
      <c r="M25" s="5" t="s">
        <v>360</v>
      </c>
      <c r="N25" s="5" t="s">
        <v>223</v>
      </c>
      <c r="O25" s="5" t="s">
        <v>144</v>
      </c>
      <c r="P25" s="8" t="str">
        <f aca="false">IFERROR(VLOOKUP(B25,'IA(정보구조)'!D:E,2,FALSE()),"")</f>
        <v>검색</v>
      </c>
      <c r="Q25" s="8" t="str">
        <f aca="false">IFERROR(VLOOKUP(G25,기능명세서!A:B,2,FALSE()),"")</f>
        <v>키워드 검색</v>
      </c>
      <c r="R25" s="8" t="str">
        <f aca="false">IFERROR(VLOOKUP(H25,API명세서!A:D,4,FALSE()),"")</f>
        <v>/api/v1/search</v>
      </c>
      <c r="S25" s="21"/>
    </row>
    <row r="26" customFormat="false" ht="27.75" hidden="false" customHeight="true" outlineLevel="0" collapsed="false">
      <c r="A26" s="22" t="s">
        <v>361</v>
      </c>
      <c r="B26" s="23" t="s">
        <v>51</v>
      </c>
      <c r="C26" s="24" t="s">
        <v>329</v>
      </c>
      <c r="D26" s="25"/>
      <c r="E26" s="25"/>
      <c r="F26" s="25"/>
      <c r="G26" s="25"/>
      <c r="H26" s="25"/>
      <c r="I26" s="25"/>
      <c r="J26" s="25"/>
      <c r="K26" s="25"/>
      <c r="L26" s="25"/>
      <c r="M26" s="25"/>
      <c r="N26" s="25"/>
      <c r="O26" s="25"/>
      <c r="P26" s="20"/>
      <c r="Q26" s="20"/>
      <c r="R26" s="20"/>
      <c r="S26" s="25"/>
    </row>
    <row r="27" customFormat="false" ht="69.75" hidden="true" customHeight="true" outlineLevel="1" collapsed="false">
      <c r="A27" s="4" t="s">
        <v>362</v>
      </c>
      <c r="B27" s="10" t="s">
        <v>53</v>
      </c>
      <c r="C27" s="3" t="s">
        <v>363</v>
      </c>
      <c r="D27" s="4" t="s">
        <v>364</v>
      </c>
      <c r="E27" s="3" t="s">
        <v>365</v>
      </c>
      <c r="F27" s="4" t="s">
        <v>366</v>
      </c>
      <c r="G27" s="10" t="s">
        <v>367</v>
      </c>
      <c r="H27" s="10" t="s">
        <v>368</v>
      </c>
      <c r="I27" s="4" t="s">
        <v>369</v>
      </c>
      <c r="J27" s="4" t="s">
        <v>370</v>
      </c>
      <c r="K27" s="4" t="s">
        <v>371</v>
      </c>
      <c r="L27" s="4" t="s">
        <v>372</v>
      </c>
      <c r="M27" s="3" t="s">
        <v>373</v>
      </c>
      <c r="N27" s="3" t="s">
        <v>223</v>
      </c>
      <c r="O27" s="3" t="s">
        <v>144</v>
      </c>
      <c r="P27" s="8" t="str">
        <f aca="false">IFERROR(VLOOKUP(B27,'IA(정보구조)'!D:E,2,FALSE()),"")</f>
        <v>마이페이지</v>
      </c>
      <c r="Q27" s="8" t="str">
        <f aca="false">IFERROR(VLOOKUP(G27,기능명세서!A:B,2,FALSE()),"")</f>
        <v>프로필 수정</v>
      </c>
      <c r="R27" s="8" t="str">
        <f aca="false">IFERROR(VLOOKUP(H27,API명세서!A:D,4,FALSE()),"")</f>
        <v>/api/v1/users/me</v>
      </c>
      <c r="S27" s="26"/>
    </row>
    <row r="28" customFormat="false" ht="69.75" hidden="true" customHeight="true" outlineLevel="1" collapsed="false">
      <c r="A28" s="6" t="s">
        <v>374</v>
      </c>
      <c r="B28" s="13" t="s">
        <v>53</v>
      </c>
      <c r="C28" s="5" t="s">
        <v>375</v>
      </c>
      <c r="D28" s="6" t="s">
        <v>236</v>
      </c>
      <c r="E28" s="5" t="s">
        <v>376</v>
      </c>
      <c r="F28" s="6" t="s">
        <v>377</v>
      </c>
      <c r="G28" s="13" t="s">
        <v>367</v>
      </c>
      <c r="H28" s="13" t="s">
        <v>368</v>
      </c>
      <c r="I28" s="5"/>
      <c r="J28" s="5"/>
      <c r="K28" s="6" t="s">
        <v>378</v>
      </c>
      <c r="L28" s="6" t="s">
        <v>379</v>
      </c>
      <c r="M28" s="5" t="s">
        <v>380</v>
      </c>
      <c r="N28" s="5" t="s">
        <v>223</v>
      </c>
      <c r="O28" s="5" t="s">
        <v>144</v>
      </c>
      <c r="P28" s="8" t="str">
        <f aca="false">IFERROR(VLOOKUP(B28,'IA(정보구조)'!D:E,2,FALSE()),"")</f>
        <v>마이페이지</v>
      </c>
      <c r="Q28" s="8" t="str">
        <f aca="false">IFERROR(VLOOKUP(G28,기능명세서!A:B,2,FALSE()),"")</f>
        <v>프로필 수정</v>
      </c>
      <c r="R28" s="8" t="str">
        <f aca="false">IFERROR(VLOOKUP(H28,API명세서!A:D,4,FALSE()),"")</f>
        <v>/api/v1/users/me</v>
      </c>
      <c r="S28" s="26"/>
    </row>
    <row r="29" customFormat="false" ht="69.75" hidden="true" customHeight="true" outlineLevel="1" collapsed="false">
      <c r="A29" s="4" t="s">
        <v>381</v>
      </c>
      <c r="B29" s="10" t="s">
        <v>53</v>
      </c>
      <c r="C29" s="3" t="s">
        <v>382</v>
      </c>
      <c r="D29" s="4" t="s">
        <v>216</v>
      </c>
      <c r="E29" s="3" t="s">
        <v>383</v>
      </c>
      <c r="F29" s="4" t="s">
        <v>384</v>
      </c>
      <c r="G29" s="4"/>
      <c r="H29" s="4"/>
      <c r="I29" s="3"/>
      <c r="J29" s="3"/>
      <c r="K29" s="3"/>
      <c r="L29" s="3"/>
      <c r="M29" s="3" t="s">
        <v>385</v>
      </c>
      <c r="N29" s="3" t="s">
        <v>223</v>
      </c>
      <c r="O29" s="3" t="s">
        <v>144</v>
      </c>
      <c r="P29" s="8" t="str">
        <f aca="false">IFERROR(VLOOKUP(B29,'IA(정보구조)'!D:E,2,FALSE()),"")</f>
        <v>마이페이지</v>
      </c>
      <c r="Q29" s="8" t="str">
        <f aca="false">IFERROR(VLOOKUP(G29,기능명세서!A:B,2,FALSE()),"")</f>
        <v/>
      </c>
      <c r="R29" s="8" t="str">
        <f aca="false">IFERROR(VLOOKUP(H29,API명세서!A:D,4,FALSE()),"")</f>
        <v/>
      </c>
      <c r="S29" s="26"/>
    </row>
    <row r="30" customFormat="false" ht="69.75" hidden="true" customHeight="true" outlineLevel="1" collapsed="false">
      <c r="A30" s="6" t="s">
        <v>386</v>
      </c>
      <c r="B30" s="13" t="s">
        <v>53</v>
      </c>
      <c r="C30" s="5" t="s">
        <v>387</v>
      </c>
      <c r="D30" s="6" t="s">
        <v>274</v>
      </c>
      <c r="E30" s="5" t="s">
        <v>388</v>
      </c>
      <c r="F30" s="6" t="s">
        <v>389</v>
      </c>
      <c r="G30" s="13" t="s">
        <v>296</v>
      </c>
      <c r="H30" s="6"/>
      <c r="I30" s="6" t="s">
        <v>390</v>
      </c>
      <c r="J30" s="6" t="s">
        <v>390</v>
      </c>
      <c r="K30" s="5"/>
      <c r="L30" s="5"/>
      <c r="M30" s="5" t="s">
        <v>391</v>
      </c>
      <c r="N30" s="5" t="s">
        <v>223</v>
      </c>
      <c r="O30" s="5" t="s">
        <v>144</v>
      </c>
      <c r="P30" s="8" t="str">
        <f aca="false">IFERROR(VLOOKUP(B30,'IA(정보구조)'!D:E,2,FALSE()),"")</f>
        <v>마이페이지</v>
      </c>
      <c r="Q30" s="8" t="str">
        <f aca="false">IFERROR(VLOOKUP(G30,기능명세서!A:B,2,FALSE()),"")</f>
        <v>이메일/PW 로그인</v>
      </c>
      <c r="R30" s="8" t="str">
        <f aca="false">IFERROR(VLOOKUP(H30,API명세서!A:D,4,FALSE()),"")</f>
        <v/>
      </c>
      <c r="S30" s="26"/>
    </row>
    <row r="31" customFormat="false" ht="15" hidden="false" customHeight="true" outlineLevel="0" collapsed="false">
      <c r="A31" s="26"/>
      <c r="B31" s="26"/>
      <c r="C31" s="26"/>
      <c r="D31" s="26"/>
      <c r="E31" s="26"/>
      <c r="F31" s="26"/>
      <c r="G31" s="26"/>
      <c r="H31" s="26"/>
      <c r="I31" s="26"/>
      <c r="J31" s="26"/>
      <c r="K31" s="26"/>
      <c r="L31" s="26"/>
      <c r="M31" s="26"/>
      <c r="N31" s="26"/>
      <c r="O31" s="26"/>
      <c r="P31" s="21"/>
      <c r="Q31" s="21"/>
      <c r="R31" s="21"/>
      <c r="S31" s="26"/>
    </row>
    <row r="32" customFormat="false" ht="15" hidden="false" customHeight="true" outlineLevel="0" collapsed="false">
      <c r="A32" s="26"/>
      <c r="B32" s="26"/>
      <c r="C32" s="26"/>
      <c r="D32" s="26"/>
      <c r="E32" s="26"/>
      <c r="F32" s="26"/>
      <c r="G32" s="26"/>
      <c r="H32" s="26"/>
      <c r="I32" s="26"/>
      <c r="J32" s="26"/>
      <c r="K32" s="26"/>
      <c r="L32" s="26"/>
      <c r="M32" s="26"/>
      <c r="N32" s="26"/>
      <c r="O32" s="26"/>
      <c r="P32" s="21"/>
      <c r="Q32" s="21"/>
      <c r="R32" s="21"/>
      <c r="S32" s="26"/>
    </row>
    <row r="33" customFormat="false" ht="15" hidden="false" customHeight="true" outlineLevel="0" collapsed="false">
      <c r="A33" s="26"/>
      <c r="B33" s="26"/>
      <c r="C33" s="26"/>
      <c r="D33" s="26"/>
      <c r="E33" s="26"/>
      <c r="F33" s="26"/>
      <c r="G33" s="26"/>
      <c r="H33" s="26"/>
      <c r="I33" s="26"/>
      <c r="J33" s="26"/>
      <c r="K33" s="26"/>
      <c r="L33" s="26"/>
      <c r="M33" s="26"/>
      <c r="N33" s="26"/>
      <c r="O33" s="26"/>
      <c r="P33" s="21"/>
      <c r="Q33" s="21"/>
      <c r="R33" s="21"/>
      <c r="S33" s="26"/>
    </row>
    <row r="34" customFormat="false" ht="15" hidden="false" customHeight="true" outlineLevel="0" collapsed="false">
      <c r="A34" s="26"/>
      <c r="B34" s="26"/>
      <c r="C34" s="26"/>
      <c r="D34" s="26"/>
      <c r="E34" s="26"/>
      <c r="F34" s="26"/>
      <c r="G34" s="26"/>
      <c r="H34" s="26"/>
      <c r="I34" s="26"/>
      <c r="J34" s="26"/>
      <c r="K34" s="26"/>
      <c r="L34" s="26"/>
      <c r="M34" s="26"/>
      <c r="N34" s="26"/>
      <c r="O34" s="26"/>
      <c r="P34" s="21"/>
      <c r="Q34" s="21"/>
      <c r="R34" s="21"/>
      <c r="S34" s="26"/>
    </row>
    <row r="35" customFormat="false" ht="15" hidden="false" customHeight="true" outlineLevel="0" collapsed="false">
      <c r="A35" s="26"/>
      <c r="B35" s="26"/>
      <c r="C35" s="26"/>
      <c r="D35" s="26"/>
      <c r="E35" s="26"/>
      <c r="F35" s="26"/>
      <c r="G35" s="26"/>
      <c r="H35" s="26"/>
      <c r="I35" s="26"/>
      <c r="J35" s="26"/>
      <c r="K35" s="26"/>
      <c r="L35" s="26"/>
      <c r="M35" s="26"/>
      <c r="N35" s="26"/>
      <c r="O35" s="26"/>
      <c r="P35" s="21"/>
      <c r="Q35" s="21"/>
      <c r="R35" s="21"/>
      <c r="S35" s="26"/>
    </row>
    <row r="36" customFormat="false" ht="15" hidden="false" customHeight="true" outlineLevel="0" collapsed="false">
      <c r="A36" s="26"/>
      <c r="B36" s="26"/>
      <c r="C36" s="26"/>
      <c r="D36" s="26"/>
      <c r="E36" s="26"/>
      <c r="F36" s="26"/>
      <c r="G36" s="26"/>
      <c r="H36" s="26"/>
      <c r="I36" s="26"/>
      <c r="J36" s="26"/>
      <c r="K36" s="26"/>
      <c r="L36" s="26"/>
      <c r="M36" s="26"/>
      <c r="N36" s="26"/>
      <c r="O36" s="26"/>
      <c r="P36" s="21"/>
      <c r="Q36" s="21"/>
      <c r="R36" s="21"/>
      <c r="S36" s="26"/>
    </row>
    <row r="37" customFormat="false" ht="15" hidden="false" customHeight="true" outlineLevel="0" collapsed="false">
      <c r="A37" s="26"/>
      <c r="B37" s="26"/>
      <c r="C37" s="26"/>
      <c r="D37" s="26"/>
      <c r="E37" s="26"/>
      <c r="F37" s="26"/>
      <c r="G37" s="26"/>
      <c r="H37" s="26"/>
      <c r="I37" s="26"/>
      <c r="J37" s="26"/>
      <c r="K37" s="26"/>
      <c r="L37" s="26"/>
      <c r="M37" s="26"/>
      <c r="N37" s="26"/>
      <c r="O37" s="26"/>
      <c r="P37" s="21"/>
      <c r="Q37" s="21"/>
      <c r="R37" s="21"/>
      <c r="S37" s="26"/>
    </row>
    <row r="38" customFormat="false" ht="15" hidden="false" customHeight="true" outlineLevel="0" collapsed="false">
      <c r="A38" s="26"/>
      <c r="B38" s="26"/>
      <c r="C38" s="26"/>
      <c r="D38" s="26"/>
      <c r="E38" s="26"/>
      <c r="F38" s="26"/>
      <c r="G38" s="26"/>
      <c r="H38" s="26"/>
      <c r="I38" s="26"/>
      <c r="J38" s="26"/>
      <c r="K38" s="26"/>
      <c r="L38" s="26"/>
      <c r="M38" s="26"/>
      <c r="N38" s="26"/>
      <c r="O38" s="26"/>
      <c r="P38" s="21"/>
      <c r="Q38" s="21"/>
      <c r="R38" s="21"/>
      <c r="S38" s="26"/>
    </row>
    <row r="39" customFormat="false" ht="15" hidden="false" customHeight="true" outlineLevel="0" collapsed="false">
      <c r="A39" s="26"/>
      <c r="B39" s="26"/>
      <c r="C39" s="26"/>
      <c r="D39" s="26"/>
      <c r="E39" s="26"/>
      <c r="F39" s="26"/>
      <c r="G39" s="26"/>
      <c r="H39" s="26"/>
      <c r="I39" s="26"/>
      <c r="J39" s="26"/>
      <c r="K39" s="26"/>
      <c r="L39" s="26"/>
      <c r="M39" s="26"/>
      <c r="N39" s="26"/>
      <c r="O39" s="26"/>
      <c r="P39" s="21"/>
      <c r="Q39" s="21"/>
      <c r="R39" s="21"/>
      <c r="S39" s="26"/>
    </row>
    <row r="40" customFormat="false" ht="15" hidden="false" customHeight="true" outlineLevel="0" collapsed="false">
      <c r="A40" s="26"/>
      <c r="B40" s="26"/>
      <c r="C40" s="26"/>
      <c r="D40" s="26"/>
      <c r="E40" s="26"/>
      <c r="F40" s="26"/>
      <c r="G40" s="26"/>
      <c r="H40" s="26"/>
      <c r="I40" s="26"/>
      <c r="J40" s="26"/>
      <c r="K40" s="26"/>
      <c r="L40" s="26"/>
      <c r="M40" s="26"/>
      <c r="N40" s="26"/>
      <c r="O40" s="26"/>
      <c r="P40" s="21"/>
      <c r="Q40" s="21"/>
      <c r="R40" s="21"/>
      <c r="S40" s="26"/>
    </row>
    <row r="41" customFormat="false" ht="15" hidden="false" customHeight="true" outlineLevel="0" collapsed="false">
      <c r="A41" s="26"/>
      <c r="B41" s="26"/>
      <c r="C41" s="26"/>
      <c r="D41" s="26"/>
      <c r="E41" s="26"/>
      <c r="F41" s="26"/>
      <c r="G41" s="26"/>
      <c r="H41" s="26"/>
      <c r="I41" s="26"/>
      <c r="J41" s="26"/>
      <c r="K41" s="26"/>
      <c r="L41" s="26"/>
      <c r="M41" s="26"/>
      <c r="N41" s="26"/>
      <c r="O41" s="26"/>
      <c r="P41" s="21"/>
      <c r="Q41" s="21"/>
      <c r="R41" s="21"/>
      <c r="S41" s="26"/>
    </row>
    <row r="42" customFormat="false" ht="15" hidden="false" customHeight="true" outlineLevel="0" collapsed="false">
      <c r="A42" s="26"/>
      <c r="B42" s="26"/>
      <c r="C42" s="26"/>
      <c r="D42" s="26"/>
      <c r="E42" s="26"/>
      <c r="F42" s="26"/>
      <c r="G42" s="26"/>
      <c r="H42" s="26"/>
      <c r="I42" s="26"/>
      <c r="J42" s="26"/>
      <c r="K42" s="26"/>
      <c r="L42" s="26"/>
      <c r="M42" s="26"/>
      <c r="N42" s="26"/>
      <c r="O42" s="26"/>
      <c r="P42" s="21"/>
      <c r="Q42" s="21"/>
      <c r="R42" s="21"/>
      <c r="S42" s="26"/>
    </row>
    <row r="43" customFormat="false" ht="15" hidden="false" customHeight="true" outlineLevel="0" collapsed="false">
      <c r="A43" s="26"/>
      <c r="B43" s="26"/>
      <c r="C43" s="26"/>
      <c r="D43" s="26"/>
      <c r="E43" s="26"/>
      <c r="F43" s="26"/>
      <c r="G43" s="26"/>
      <c r="H43" s="26"/>
      <c r="I43" s="26"/>
      <c r="J43" s="26"/>
      <c r="K43" s="26"/>
      <c r="L43" s="26"/>
      <c r="M43" s="26"/>
      <c r="N43" s="26"/>
      <c r="O43" s="26"/>
      <c r="P43" s="21"/>
      <c r="Q43" s="21"/>
      <c r="R43" s="21"/>
      <c r="S43" s="26"/>
    </row>
    <row r="44" customFormat="false" ht="15" hidden="false" customHeight="true" outlineLevel="0" collapsed="false">
      <c r="A44" s="26"/>
      <c r="B44" s="26"/>
      <c r="C44" s="26"/>
      <c r="D44" s="26"/>
      <c r="E44" s="26"/>
      <c r="F44" s="26"/>
      <c r="G44" s="26"/>
      <c r="H44" s="26"/>
      <c r="I44" s="26"/>
      <c r="J44" s="26"/>
      <c r="K44" s="26"/>
      <c r="L44" s="26"/>
      <c r="M44" s="26"/>
      <c r="N44" s="26"/>
      <c r="O44" s="26"/>
      <c r="P44" s="21"/>
      <c r="Q44" s="21"/>
      <c r="R44" s="21"/>
      <c r="S44" s="26"/>
    </row>
    <row r="45" customFormat="false" ht="15" hidden="false" customHeight="true" outlineLevel="0" collapsed="false">
      <c r="A45" s="26"/>
      <c r="B45" s="26"/>
      <c r="C45" s="26"/>
      <c r="D45" s="26"/>
      <c r="E45" s="26"/>
      <c r="F45" s="26"/>
      <c r="G45" s="26"/>
      <c r="H45" s="26"/>
      <c r="I45" s="26"/>
      <c r="J45" s="26"/>
      <c r="K45" s="26"/>
      <c r="L45" s="26"/>
      <c r="M45" s="26"/>
      <c r="N45" s="26"/>
      <c r="O45" s="26"/>
      <c r="P45" s="21"/>
      <c r="Q45" s="21"/>
      <c r="R45" s="21"/>
      <c r="S45" s="26"/>
    </row>
    <row r="46" customFormat="false" ht="15" hidden="false" customHeight="true" outlineLevel="0" collapsed="false">
      <c r="A46" s="26"/>
      <c r="B46" s="26"/>
      <c r="C46" s="26"/>
      <c r="D46" s="26"/>
      <c r="E46" s="26"/>
      <c r="F46" s="26"/>
      <c r="G46" s="26"/>
      <c r="H46" s="26"/>
      <c r="I46" s="26"/>
      <c r="J46" s="26"/>
      <c r="K46" s="26"/>
      <c r="L46" s="26"/>
      <c r="M46" s="26"/>
      <c r="N46" s="26"/>
      <c r="O46" s="26"/>
      <c r="P46" s="21"/>
      <c r="Q46" s="21"/>
      <c r="R46" s="21"/>
      <c r="S46" s="26"/>
    </row>
    <row r="47" customFormat="false" ht="15" hidden="false" customHeight="true" outlineLevel="0" collapsed="false">
      <c r="A47" s="26"/>
      <c r="B47" s="26"/>
      <c r="C47" s="26"/>
      <c r="D47" s="26"/>
      <c r="E47" s="26"/>
      <c r="F47" s="26"/>
      <c r="G47" s="26"/>
      <c r="H47" s="26"/>
      <c r="I47" s="26"/>
      <c r="J47" s="26"/>
      <c r="K47" s="26"/>
      <c r="L47" s="26"/>
      <c r="M47" s="26"/>
      <c r="N47" s="26"/>
      <c r="O47" s="26"/>
      <c r="P47" s="21"/>
      <c r="Q47" s="21"/>
      <c r="R47" s="21"/>
      <c r="S47" s="26"/>
    </row>
    <row r="48" customFormat="false" ht="15" hidden="false" customHeight="true" outlineLevel="0" collapsed="false">
      <c r="A48" s="26"/>
      <c r="B48" s="26"/>
      <c r="C48" s="26"/>
      <c r="D48" s="26"/>
      <c r="E48" s="26"/>
      <c r="F48" s="26"/>
      <c r="G48" s="26"/>
      <c r="H48" s="26"/>
      <c r="I48" s="26"/>
      <c r="J48" s="26"/>
      <c r="K48" s="26"/>
      <c r="L48" s="26"/>
      <c r="M48" s="26"/>
      <c r="N48" s="26"/>
      <c r="O48" s="26"/>
      <c r="P48" s="21"/>
      <c r="Q48" s="21"/>
      <c r="R48" s="21"/>
      <c r="S48" s="26"/>
    </row>
    <row r="49" customFormat="false" ht="15" hidden="false" customHeight="true" outlineLevel="0" collapsed="false">
      <c r="A49" s="26"/>
      <c r="B49" s="26"/>
      <c r="C49" s="26"/>
      <c r="D49" s="26"/>
      <c r="E49" s="26"/>
      <c r="F49" s="26"/>
      <c r="G49" s="26"/>
      <c r="H49" s="26"/>
      <c r="I49" s="26"/>
      <c r="J49" s="26"/>
      <c r="K49" s="26"/>
      <c r="L49" s="26"/>
      <c r="M49" s="26"/>
      <c r="N49" s="26"/>
      <c r="O49" s="26"/>
      <c r="P49" s="21"/>
      <c r="Q49" s="21"/>
      <c r="R49" s="21"/>
      <c r="S49" s="26"/>
    </row>
    <row r="50" customFormat="false" ht="15" hidden="false" customHeight="true" outlineLevel="0" collapsed="false">
      <c r="A50" s="26"/>
      <c r="B50" s="26"/>
      <c r="C50" s="26"/>
      <c r="D50" s="26"/>
      <c r="E50" s="26"/>
      <c r="F50" s="26"/>
      <c r="G50" s="26"/>
      <c r="H50" s="26"/>
      <c r="I50" s="26"/>
      <c r="J50" s="26"/>
      <c r="K50" s="26"/>
      <c r="L50" s="26"/>
      <c r="M50" s="26"/>
      <c r="N50" s="26"/>
      <c r="O50" s="26"/>
      <c r="P50" s="21"/>
      <c r="Q50" s="21"/>
      <c r="R50" s="21"/>
      <c r="S50" s="26"/>
    </row>
    <row r="51" customFormat="false" ht="15" hidden="false" customHeight="true" outlineLevel="0" collapsed="false">
      <c r="A51" s="26"/>
      <c r="B51" s="26"/>
      <c r="C51" s="26"/>
      <c r="D51" s="26"/>
      <c r="E51" s="26"/>
      <c r="F51" s="26"/>
      <c r="G51" s="26"/>
      <c r="H51" s="26"/>
      <c r="I51" s="26"/>
      <c r="J51" s="26"/>
      <c r="K51" s="26"/>
      <c r="L51" s="26"/>
      <c r="M51" s="26"/>
      <c r="N51" s="26"/>
      <c r="O51" s="26"/>
      <c r="P51" s="21"/>
      <c r="Q51" s="21"/>
      <c r="R51" s="21"/>
      <c r="S51" s="26"/>
    </row>
    <row r="52" customFormat="false" ht="15" hidden="false" customHeight="true" outlineLevel="0" collapsed="false">
      <c r="A52" s="26"/>
      <c r="B52" s="26"/>
      <c r="C52" s="26"/>
      <c r="D52" s="26"/>
      <c r="E52" s="26"/>
      <c r="F52" s="26"/>
      <c r="G52" s="26"/>
      <c r="H52" s="26"/>
      <c r="I52" s="26"/>
      <c r="J52" s="26"/>
      <c r="K52" s="26"/>
      <c r="L52" s="26"/>
      <c r="M52" s="26"/>
      <c r="N52" s="26"/>
      <c r="O52" s="26"/>
      <c r="P52" s="21"/>
      <c r="Q52" s="21"/>
      <c r="R52" s="21"/>
      <c r="S52" s="26"/>
    </row>
    <row r="53" customFormat="false" ht="15" hidden="false" customHeight="true" outlineLevel="0" collapsed="false">
      <c r="A53" s="26"/>
      <c r="B53" s="26"/>
      <c r="C53" s="26"/>
      <c r="D53" s="26"/>
      <c r="E53" s="26"/>
      <c r="F53" s="26"/>
      <c r="G53" s="26"/>
      <c r="H53" s="26"/>
      <c r="I53" s="26"/>
      <c r="J53" s="26"/>
      <c r="K53" s="26"/>
      <c r="L53" s="26"/>
      <c r="M53" s="26"/>
      <c r="N53" s="26"/>
      <c r="O53" s="26"/>
      <c r="P53" s="21"/>
      <c r="Q53" s="21"/>
      <c r="R53" s="21"/>
      <c r="S53" s="26"/>
    </row>
    <row r="54" customFormat="false" ht="15" hidden="false" customHeight="true" outlineLevel="0" collapsed="false">
      <c r="A54" s="26"/>
      <c r="B54" s="26"/>
      <c r="C54" s="26"/>
      <c r="D54" s="26"/>
      <c r="E54" s="26"/>
      <c r="F54" s="26"/>
      <c r="G54" s="26"/>
      <c r="H54" s="26"/>
      <c r="I54" s="26"/>
      <c r="J54" s="26"/>
      <c r="K54" s="26"/>
      <c r="L54" s="26"/>
      <c r="M54" s="26"/>
      <c r="N54" s="26"/>
      <c r="O54" s="26"/>
      <c r="P54" s="21"/>
      <c r="Q54" s="21"/>
      <c r="R54" s="21"/>
      <c r="S54" s="26"/>
    </row>
    <row r="55" customFormat="false" ht="15" hidden="false" customHeight="true" outlineLevel="0" collapsed="false">
      <c r="A55" s="26"/>
      <c r="B55" s="26"/>
      <c r="C55" s="26"/>
      <c r="D55" s="26"/>
      <c r="E55" s="26"/>
      <c r="F55" s="26"/>
      <c r="G55" s="26"/>
      <c r="H55" s="26"/>
      <c r="I55" s="26"/>
      <c r="J55" s="26"/>
      <c r="K55" s="26"/>
      <c r="L55" s="26"/>
      <c r="M55" s="26"/>
      <c r="N55" s="26"/>
      <c r="O55" s="26"/>
      <c r="P55" s="21"/>
      <c r="Q55" s="21"/>
      <c r="R55" s="21"/>
      <c r="S55" s="26"/>
    </row>
    <row r="56" customFormat="false" ht="15" hidden="false" customHeight="true" outlineLevel="0" collapsed="false">
      <c r="A56" s="26"/>
      <c r="B56" s="26"/>
      <c r="C56" s="26"/>
      <c r="D56" s="26"/>
      <c r="E56" s="26"/>
      <c r="F56" s="26"/>
      <c r="G56" s="26"/>
      <c r="H56" s="26"/>
      <c r="I56" s="26"/>
      <c r="J56" s="26"/>
      <c r="K56" s="26"/>
      <c r="L56" s="26"/>
      <c r="M56" s="26"/>
      <c r="N56" s="26"/>
      <c r="O56" s="26"/>
      <c r="P56" s="21"/>
      <c r="Q56" s="21"/>
      <c r="R56" s="21"/>
      <c r="S56" s="26"/>
    </row>
    <row r="57" customFormat="false" ht="15" hidden="false" customHeight="true" outlineLevel="0" collapsed="false">
      <c r="A57" s="26"/>
      <c r="B57" s="26"/>
      <c r="C57" s="26"/>
      <c r="D57" s="26"/>
      <c r="E57" s="26"/>
      <c r="F57" s="26"/>
      <c r="G57" s="26"/>
      <c r="H57" s="26"/>
      <c r="I57" s="26"/>
      <c r="J57" s="26"/>
      <c r="K57" s="26"/>
      <c r="L57" s="26"/>
      <c r="M57" s="26"/>
      <c r="N57" s="26"/>
      <c r="O57" s="26"/>
      <c r="P57" s="21"/>
      <c r="Q57" s="21"/>
      <c r="R57" s="21"/>
      <c r="S57" s="26"/>
    </row>
    <row r="58" customFormat="false" ht="15" hidden="false" customHeight="true" outlineLevel="0" collapsed="false">
      <c r="A58" s="26"/>
      <c r="B58" s="26"/>
      <c r="C58" s="26"/>
      <c r="D58" s="26"/>
      <c r="E58" s="26"/>
      <c r="F58" s="26"/>
      <c r="G58" s="26"/>
      <c r="H58" s="26"/>
      <c r="I58" s="26"/>
      <c r="J58" s="26"/>
      <c r="K58" s="26"/>
      <c r="L58" s="26"/>
      <c r="M58" s="26"/>
      <c r="N58" s="26"/>
      <c r="O58" s="26"/>
      <c r="P58" s="21"/>
      <c r="Q58" s="21"/>
      <c r="R58" s="21"/>
      <c r="S58" s="26"/>
    </row>
    <row r="59" customFormat="false" ht="15" hidden="false" customHeight="true" outlineLevel="0" collapsed="false">
      <c r="A59" s="26"/>
      <c r="B59" s="26"/>
      <c r="C59" s="26"/>
      <c r="D59" s="26"/>
      <c r="E59" s="26"/>
      <c r="F59" s="26"/>
      <c r="G59" s="26"/>
      <c r="H59" s="26"/>
      <c r="I59" s="26"/>
      <c r="J59" s="26"/>
      <c r="K59" s="26"/>
      <c r="L59" s="26"/>
      <c r="M59" s="26"/>
      <c r="N59" s="26"/>
      <c r="O59" s="26"/>
      <c r="P59" s="21"/>
      <c r="Q59" s="21"/>
      <c r="R59" s="21"/>
      <c r="S59" s="26"/>
    </row>
    <row r="60" customFormat="false" ht="15" hidden="false" customHeight="true" outlineLevel="0" collapsed="false">
      <c r="A60" s="26"/>
      <c r="B60" s="26"/>
      <c r="C60" s="26"/>
      <c r="D60" s="26"/>
      <c r="E60" s="26"/>
      <c r="F60" s="26"/>
      <c r="G60" s="26"/>
      <c r="H60" s="26"/>
      <c r="I60" s="26"/>
      <c r="J60" s="26"/>
      <c r="K60" s="26"/>
      <c r="L60" s="26"/>
      <c r="M60" s="26"/>
      <c r="N60" s="26"/>
      <c r="O60" s="26"/>
      <c r="P60" s="21"/>
      <c r="Q60" s="21"/>
      <c r="R60" s="21"/>
      <c r="S60" s="26"/>
    </row>
    <row r="61" customFormat="false" ht="15" hidden="false" customHeight="true" outlineLevel="0" collapsed="false">
      <c r="A61" s="26"/>
      <c r="B61" s="26"/>
      <c r="C61" s="26"/>
      <c r="D61" s="26"/>
      <c r="E61" s="26"/>
      <c r="F61" s="26"/>
      <c r="G61" s="26"/>
      <c r="H61" s="26"/>
      <c r="I61" s="26"/>
      <c r="J61" s="26"/>
      <c r="K61" s="26"/>
      <c r="L61" s="26"/>
      <c r="M61" s="26"/>
      <c r="N61" s="26"/>
      <c r="O61" s="26"/>
      <c r="P61" s="21"/>
      <c r="Q61" s="21"/>
      <c r="R61" s="21"/>
      <c r="S61" s="26"/>
    </row>
    <row r="62" customFormat="false" ht="15" hidden="false" customHeight="true" outlineLevel="0" collapsed="false">
      <c r="A62" s="26"/>
      <c r="B62" s="26"/>
      <c r="C62" s="26"/>
      <c r="D62" s="26"/>
      <c r="E62" s="26"/>
      <c r="F62" s="26"/>
      <c r="G62" s="26"/>
      <c r="H62" s="26"/>
      <c r="I62" s="26"/>
      <c r="J62" s="26"/>
      <c r="K62" s="26"/>
      <c r="L62" s="26"/>
      <c r="M62" s="26"/>
      <c r="N62" s="26"/>
      <c r="O62" s="26"/>
      <c r="P62" s="21"/>
      <c r="Q62" s="21"/>
      <c r="R62" s="21"/>
      <c r="S62" s="26"/>
    </row>
    <row r="63" customFormat="false" ht="15" hidden="false" customHeight="true" outlineLevel="0" collapsed="false">
      <c r="A63" s="26"/>
      <c r="B63" s="26"/>
      <c r="C63" s="26"/>
      <c r="D63" s="26"/>
      <c r="E63" s="26"/>
      <c r="F63" s="26"/>
      <c r="G63" s="26"/>
      <c r="H63" s="26"/>
      <c r="I63" s="26"/>
      <c r="J63" s="26"/>
      <c r="K63" s="26"/>
      <c r="L63" s="26"/>
      <c r="M63" s="26"/>
      <c r="N63" s="26"/>
      <c r="O63" s="26"/>
      <c r="P63" s="21"/>
      <c r="Q63" s="21"/>
      <c r="R63" s="21"/>
      <c r="S63" s="26"/>
    </row>
    <row r="64" customFormat="false" ht="15" hidden="false" customHeight="true" outlineLevel="0" collapsed="false">
      <c r="A64" s="26"/>
      <c r="B64" s="26"/>
      <c r="C64" s="26"/>
      <c r="D64" s="26"/>
      <c r="E64" s="26"/>
      <c r="F64" s="26"/>
      <c r="G64" s="26"/>
      <c r="H64" s="26"/>
      <c r="I64" s="26"/>
      <c r="J64" s="26"/>
      <c r="K64" s="26"/>
      <c r="L64" s="26"/>
      <c r="M64" s="26"/>
      <c r="N64" s="26"/>
      <c r="O64" s="26"/>
      <c r="P64" s="21"/>
      <c r="Q64" s="21"/>
      <c r="R64" s="21"/>
      <c r="S64" s="26"/>
    </row>
    <row r="65" customFormat="false" ht="15" hidden="false" customHeight="true" outlineLevel="0" collapsed="false">
      <c r="A65" s="26"/>
      <c r="B65" s="26"/>
      <c r="C65" s="26"/>
      <c r="D65" s="26"/>
      <c r="E65" s="26"/>
      <c r="F65" s="26"/>
      <c r="G65" s="26"/>
      <c r="H65" s="26"/>
      <c r="I65" s="26"/>
      <c r="J65" s="26"/>
      <c r="K65" s="26"/>
      <c r="L65" s="26"/>
      <c r="M65" s="26"/>
      <c r="N65" s="26"/>
      <c r="O65" s="26"/>
      <c r="P65" s="21"/>
      <c r="Q65" s="21"/>
      <c r="R65" s="21"/>
      <c r="S65" s="26"/>
    </row>
    <row r="66" customFormat="false" ht="15" hidden="false" customHeight="true" outlineLevel="0" collapsed="false">
      <c r="A66" s="26"/>
      <c r="B66" s="26"/>
      <c r="C66" s="26"/>
      <c r="D66" s="26"/>
      <c r="E66" s="26"/>
      <c r="F66" s="26"/>
      <c r="G66" s="26"/>
      <c r="H66" s="26"/>
      <c r="I66" s="26"/>
      <c r="J66" s="26"/>
      <c r="K66" s="26"/>
      <c r="L66" s="26"/>
      <c r="M66" s="26"/>
      <c r="N66" s="26"/>
      <c r="O66" s="26"/>
      <c r="P66" s="21"/>
      <c r="Q66" s="21"/>
      <c r="R66" s="21"/>
      <c r="S66" s="26"/>
    </row>
    <row r="67" customFormat="false" ht="15" hidden="false" customHeight="true" outlineLevel="0" collapsed="false">
      <c r="A67" s="26"/>
      <c r="B67" s="26"/>
      <c r="C67" s="26"/>
      <c r="D67" s="26"/>
      <c r="E67" s="26"/>
      <c r="F67" s="26"/>
      <c r="G67" s="26"/>
      <c r="H67" s="26"/>
      <c r="I67" s="26"/>
      <c r="J67" s="26"/>
      <c r="K67" s="26"/>
      <c r="L67" s="26"/>
      <c r="M67" s="26"/>
      <c r="N67" s="26"/>
      <c r="O67" s="26"/>
      <c r="P67" s="21"/>
      <c r="Q67" s="21"/>
      <c r="R67" s="21"/>
      <c r="S67" s="26"/>
    </row>
    <row r="68" customFormat="false" ht="15" hidden="false" customHeight="true" outlineLevel="0" collapsed="false">
      <c r="A68" s="26"/>
      <c r="B68" s="26"/>
      <c r="C68" s="26"/>
      <c r="D68" s="26"/>
      <c r="E68" s="26"/>
      <c r="F68" s="26"/>
      <c r="G68" s="26"/>
      <c r="H68" s="26"/>
      <c r="I68" s="26"/>
      <c r="J68" s="26"/>
      <c r="K68" s="26"/>
      <c r="L68" s="26"/>
      <c r="M68" s="26"/>
      <c r="N68" s="26"/>
      <c r="O68" s="26"/>
      <c r="P68" s="21"/>
      <c r="Q68" s="21"/>
      <c r="R68" s="21"/>
      <c r="S68" s="26"/>
    </row>
    <row r="69" customFormat="false" ht="15" hidden="false" customHeight="true" outlineLevel="0" collapsed="false">
      <c r="A69" s="26"/>
      <c r="B69" s="26"/>
      <c r="C69" s="26"/>
      <c r="D69" s="26"/>
      <c r="E69" s="26"/>
      <c r="F69" s="26"/>
      <c r="G69" s="26"/>
      <c r="H69" s="26"/>
      <c r="I69" s="26"/>
      <c r="J69" s="26"/>
      <c r="K69" s="26"/>
      <c r="L69" s="26"/>
      <c r="M69" s="26"/>
      <c r="N69" s="26"/>
      <c r="O69" s="26"/>
      <c r="P69" s="21"/>
      <c r="Q69" s="21"/>
      <c r="R69" s="21"/>
      <c r="S69" s="26"/>
    </row>
    <row r="70" customFormat="false" ht="15" hidden="false" customHeight="true" outlineLevel="0" collapsed="false">
      <c r="A70" s="26"/>
      <c r="B70" s="26"/>
      <c r="C70" s="26"/>
      <c r="D70" s="26"/>
      <c r="E70" s="26"/>
      <c r="F70" s="26"/>
      <c r="G70" s="26"/>
      <c r="H70" s="26"/>
      <c r="I70" s="26"/>
      <c r="J70" s="26"/>
      <c r="K70" s="26"/>
      <c r="L70" s="26"/>
      <c r="M70" s="26"/>
      <c r="N70" s="26"/>
      <c r="O70" s="26"/>
      <c r="P70" s="21"/>
      <c r="Q70" s="21"/>
      <c r="R70" s="21"/>
      <c r="S70" s="26"/>
    </row>
    <row r="71" customFormat="false" ht="15" hidden="false" customHeight="true" outlineLevel="0" collapsed="false">
      <c r="A71" s="26"/>
      <c r="B71" s="26"/>
      <c r="C71" s="26"/>
      <c r="D71" s="26"/>
      <c r="E71" s="26"/>
      <c r="F71" s="26"/>
      <c r="G71" s="26"/>
      <c r="H71" s="26"/>
      <c r="I71" s="26"/>
      <c r="J71" s="26"/>
      <c r="K71" s="26"/>
      <c r="L71" s="26"/>
      <c r="M71" s="26"/>
      <c r="N71" s="26"/>
      <c r="O71" s="26"/>
      <c r="P71" s="21"/>
      <c r="Q71" s="21"/>
      <c r="R71" s="21"/>
      <c r="S71" s="26"/>
    </row>
    <row r="72" customFormat="false" ht="15" hidden="false" customHeight="true" outlineLevel="0" collapsed="false">
      <c r="A72" s="26"/>
      <c r="B72" s="26"/>
      <c r="C72" s="26"/>
      <c r="D72" s="26"/>
      <c r="E72" s="26"/>
      <c r="F72" s="26"/>
      <c r="G72" s="26"/>
      <c r="H72" s="26"/>
      <c r="I72" s="26"/>
      <c r="J72" s="26"/>
      <c r="K72" s="26"/>
      <c r="L72" s="26"/>
      <c r="M72" s="26"/>
      <c r="N72" s="26"/>
      <c r="O72" s="26"/>
      <c r="P72" s="21"/>
      <c r="Q72" s="21"/>
      <c r="R72" s="21"/>
      <c r="S72" s="26"/>
    </row>
    <row r="73" customFormat="false" ht="15" hidden="false" customHeight="true" outlineLevel="0" collapsed="false">
      <c r="A73" s="26"/>
      <c r="B73" s="26"/>
      <c r="C73" s="26"/>
      <c r="D73" s="26"/>
      <c r="E73" s="26"/>
      <c r="F73" s="26"/>
      <c r="G73" s="26"/>
      <c r="H73" s="26"/>
      <c r="I73" s="26"/>
      <c r="J73" s="26"/>
      <c r="K73" s="26"/>
      <c r="L73" s="26"/>
      <c r="M73" s="26"/>
      <c r="N73" s="26"/>
      <c r="O73" s="26"/>
      <c r="P73" s="21"/>
      <c r="Q73" s="21"/>
      <c r="R73" s="21"/>
      <c r="S73" s="26"/>
    </row>
    <row r="74" customFormat="false" ht="15" hidden="false" customHeight="true" outlineLevel="0" collapsed="false">
      <c r="A74" s="26"/>
      <c r="B74" s="26"/>
      <c r="C74" s="26"/>
      <c r="D74" s="26"/>
      <c r="E74" s="26"/>
      <c r="F74" s="26"/>
      <c r="G74" s="26"/>
      <c r="H74" s="26"/>
      <c r="I74" s="26"/>
      <c r="J74" s="26"/>
      <c r="K74" s="26"/>
      <c r="L74" s="26"/>
      <c r="M74" s="26"/>
      <c r="N74" s="26"/>
      <c r="O74" s="26"/>
      <c r="P74" s="21"/>
      <c r="Q74" s="21"/>
      <c r="R74" s="21"/>
      <c r="S74" s="26"/>
    </row>
    <row r="75" customFormat="false" ht="15" hidden="false" customHeight="true" outlineLevel="0" collapsed="false">
      <c r="A75" s="26"/>
      <c r="B75" s="26"/>
      <c r="C75" s="26"/>
      <c r="D75" s="26"/>
      <c r="E75" s="26"/>
      <c r="F75" s="26"/>
      <c r="G75" s="26"/>
      <c r="H75" s="26"/>
      <c r="I75" s="26"/>
      <c r="J75" s="26"/>
      <c r="K75" s="26"/>
      <c r="L75" s="26"/>
      <c r="M75" s="26"/>
      <c r="N75" s="26"/>
      <c r="O75" s="26"/>
      <c r="P75" s="21"/>
      <c r="Q75" s="21"/>
      <c r="R75" s="21"/>
      <c r="S75" s="26"/>
    </row>
    <row r="76" customFormat="false" ht="15" hidden="false" customHeight="true" outlineLevel="0" collapsed="false">
      <c r="A76" s="26"/>
      <c r="B76" s="26"/>
      <c r="C76" s="26"/>
      <c r="D76" s="26"/>
      <c r="E76" s="26"/>
      <c r="F76" s="26"/>
      <c r="G76" s="26"/>
      <c r="H76" s="26"/>
      <c r="I76" s="26"/>
      <c r="J76" s="26"/>
      <c r="K76" s="26"/>
      <c r="L76" s="26"/>
      <c r="M76" s="26"/>
      <c r="N76" s="26"/>
      <c r="O76" s="26"/>
      <c r="P76" s="21"/>
      <c r="Q76" s="21"/>
      <c r="R76" s="21"/>
      <c r="S76" s="26"/>
    </row>
    <row r="77" customFormat="false" ht="15" hidden="false" customHeight="true" outlineLevel="0" collapsed="false">
      <c r="A77" s="26"/>
      <c r="B77" s="26"/>
      <c r="C77" s="26"/>
      <c r="D77" s="26"/>
      <c r="E77" s="26"/>
      <c r="F77" s="26"/>
      <c r="G77" s="26"/>
      <c r="H77" s="26"/>
      <c r="I77" s="26"/>
      <c r="J77" s="26"/>
      <c r="K77" s="26"/>
      <c r="L77" s="26"/>
      <c r="M77" s="26"/>
      <c r="N77" s="26"/>
      <c r="O77" s="26"/>
      <c r="P77" s="21"/>
      <c r="Q77" s="21"/>
      <c r="R77" s="21"/>
      <c r="S77" s="26"/>
    </row>
    <row r="78" customFormat="false" ht="15" hidden="false" customHeight="true" outlineLevel="0" collapsed="false">
      <c r="A78" s="26"/>
      <c r="B78" s="26"/>
      <c r="C78" s="26"/>
      <c r="D78" s="26"/>
      <c r="E78" s="26"/>
      <c r="F78" s="26"/>
      <c r="G78" s="26"/>
      <c r="H78" s="26"/>
      <c r="I78" s="26"/>
      <c r="J78" s="26"/>
      <c r="K78" s="26"/>
      <c r="L78" s="26"/>
      <c r="M78" s="26"/>
      <c r="N78" s="26"/>
      <c r="O78" s="26"/>
      <c r="P78" s="21"/>
      <c r="Q78" s="21"/>
      <c r="R78" s="21"/>
      <c r="S78" s="26"/>
    </row>
    <row r="79" customFormat="false" ht="15" hidden="false" customHeight="true" outlineLevel="0" collapsed="false">
      <c r="A79" s="26"/>
      <c r="B79" s="26"/>
      <c r="C79" s="26"/>
      <c r="D79" s="26"/>
      <c r="E79" s="26"/>
      <c r="F79" s="26"/>
      <c r="G79" s="26"/>
      <c r="H79" s="26"/>
      <c r="I79" s="26"/>
      <c r="J79" s="26"/>
      <c r="K79" s="26"/>
      <c r="L79" s="26"/>
      <c r="M79" s="26"/>
      <c r="N79" s="26"/>
      <c r="O79" s="26"/>
      <c r="P79" s="21"/>
      <c r="Q79" s="21"/>
      <c r="R79" s="21"/>
      <c r="S79" s="26"/>
    </row>
    <row r="80" customFormat="false" ht="15" hidden="false" customHeight="true" outlineLevel="0" collapsed="false">
      <c r="A80" s="26"/>
      <c r="B80" s="26"/>
      <c r="C80" s="26"/>
      <c r="D80" s="26"/>
      <c r="E80" s="26"/>
      <c r="F80" s="26"/>
      <c r="G80" s="26"/>
      <c r="H80" s="26"/>
      <c r="I80" s="26"/>
      <c r="J80" s="26"/>
      <c r="K80" s="26"/>
      <c r="L80" s="26"/>
      <c r="M80" s="26"/>
      <c r="N80" s="26"/>
      <c r="O80" s="26"/>
      <c r="P80" s="21"/>
      <c r="Q80" s="21"/>
      <c r="R80" s="21"/>
      <c r="S80" s="26"/>
    </row>
    <row r="81" customFormat="false" ht="15" hidden="false" customHeight="true" outlineLevel="0" collapsed="false">
      <c r="A81" s="26"/>
      <c r="B81" s="26"/>
      <c r="C81" s="26"/>
      <c r="D81" s="26"/>
      <c r="E81" s="26"/>
      <c r="F81" s="26"/>
      <c r="G81" s="26"/>
      <c r="H81" s="26"/>
      <c r="I81" s="26"/>
      <c r="J81" s="26"/>
      <c r="K81" s="26"/>
      <c r="L81" s="26"/>
      <c r="M81" s="26"/>
      <c r="N81" s="26"/>
      <c r="O81" s="26"/>
      <c r="P81" s="21"/>
      <c r="Q81" s="21"/>
      <c r="R81" s="21"/>
      <c r="S81" s="26"/>
    </row>
    <row r="82" customFormat="false" ht="15" hidden="false" customHeight="true" outlineLevel="0" collapsed="false">
      <c r="A82" s="26"/>
      <c r="B82" s="26"/>
      <c r="C82" s="26"/>
      <c r="D82" s="26"/>
      <c r="E82" s="26"/>
      <c r="F82" s="26"/>
      <c r="G82" s="26"/>
      <c r="H82" s="26"/>
      <c r="I82" s="26"/>
      <c r="J82" s="26"/>
      <c r="K82" s="26"/>
      <c r="L82" s="26"/>
      <c r="M82" s="26"/>
      <c r="N82" s="26"/>
      <c r="O82" s="26"/>
      <c r="P82" s="21"/>
      <c r="Q82" s="21"/>
      <c r="R82" s="21"/>
      <c r="S82" s="26"/>
    </row>
    <row r="83" customFormat="false" ht="15" hidden="false" customHeight="true" outlineLevel="0" collapsed="false">
      <c r="A83" s="26"/>
      <c r="B83" s="26"/>
      <c r="C83" s="26"/>
      <c r="D83" s="26"/>
      <c r="E83" s="26"/>
      <c r="F83" s="26"/>
      <c r="G83" s="26"/>
      <c r="H83" s="26"/>
      <c r="I83" s="26"/>
      <c r="J83" s="26"/>
      <c r="K83" s="26"/>
      <c r="L83" s="26"/>
      <c r="M83" s="26"/>
      <c r="N83" s="26"/>
      <c r="O83" s="26"/>
      <c r="P83" s="21"/>
      <c r="Q83" s="21"/>
      <c r="R83" s="21"/>
      <c r="S83" s="26"/>
    </row>
    <row r="84" customFormat="false" ht="15" hidden="false" customHeight="true" outlineLevel="0" collapsed="false">
      <c r="A84" s="26"/>
      <c r="B84" s="26"/>
      <c r="C84" s="26"/>
      <c r="D84" s="26"/>
      <c r="E84" s="26"/>
      <c r="F84" s="26"/>
      <c r="G84" s="26"/>
      <c r="H84" s="26"/>
      <c r="I84" s="26"/>
      <c r="J84" s="26"/>
      <c r="K84" s="26"/>
      <c r="L84" s="26"/>
      <c r="M84" s="26"/>
      <c r="N84" s="26"/>
      <c r="O84" s="26"/>
      <c r="P84" s="21"/>
      <c r="Q84" s="21"/>
      <c r="R84" s="21"/>
      <c r="S84" s="26"/>
    </row>
    <row r="85" customFormat="false" ht="15" hidden="false" customHeight="true" outlineLevel="0" collapsed="false">
      <c r="A85" s="26"/>
      <c r="B85" s="26"/>
      <c r="C85" s="26"/>
      <c r="D85" s="26"/>
      <c r="E85" s="26"/>
      <c r="F85" s="26"/>
      <c r="G85" s="26"/>
      <c r="H85" s="26"/>
      <c r="I85" s="26"/>
      <c r="J85" s="26"/>
      <c r="K85" s="26"/>
      <c r="L85" s="26"/>
      <c r="M85" s="26"/>
      <c r="N85" s="26"/>
      <c r="O85" s="26"/>
      <c r="P85" s="21"/>
      <c r="Q85" s="21"/>
      <c r="R85" s="21"/>
      <c r="S85" s="26"/>
    </row>
    <row r="86" customFormat="false" ht="15" hidden="false" customHeight="true" outlineLevel="0" collapsed="false">
      <c r="A86" s="26"/>
      <c r="B86" s="26"/>
      <c r="C86" s="26"/>
      <c r="D86" s="26"/>
      <c r="E86" s="26"/>
      <c r="F86" s="26"/>
      <c r="G86" s="26"/>
      <c r="H86" s="26"/>
      <c r="I86" s="26"/>
      <c r="J86" s="26"/>
      <c r="K86" s="26"/>
      <c r="L86" s="26"/>
      <c r="M86" s="26"/>
      <c r="N86" s="26"/>
      <c r="O86" s="26"/>
      <c r="P86" s="21"/>
      <c r="Q86" s="21"/>
      <c r="R86" s="21"/>
      <c r="S86" s="26"/>
    </row>
    <row r="87" customFormat="false" ht="15" hidden="false" customHeight="true" outlineLevel="0" collapsed="false">
      <c r="A87" s="26"/>
      <c r="B87" s="26"/>
      <c r="C87" s="26"/>
      <c r="D87" s="26"/>
      <c r="E87" s="26"/>
      <c r="F87" s="26"/>
      <c r="G87" s="26"/>
      <c r="H87" s="26"/>
      <c r="I87" s="26"/>
      <c r="J87" s="26"/>
      <c r="K87" s="26"/>
      <c r="L87" s="26"/>
      <c r="M87" s="26"/>
      <c r="N87" s="26"/>
      <c r="O87" s="26"/>
      <c r="P87" s="21"/>
      <c r="Q87" s="21"/>
      <c r="R87" s="21"/>
      <c r="S87" s="26"/>
    </row>
    <row r="88" customFormat="false" ht="15" hidden="false" customHeight="true" outlineLevel="0" collapsed="false">
      <c r="A88" s="26"/>
      <c r="B88" s="26"/>
      <c r="C88" s="26"/>
      <c r="D88" s="26"/>
      <c r="E88" s="26"/>
      <c r="F88" s="26"/>
      <c r="G88" s="26"/>
      <c r="H88" s="26"/>
      <c r="I88" s="26"/>
      <c r="J88" s="26"/>
      <c r="K88" s="26"/>
      <c r="L88" s="26"/>
      <c r="M88" s="26"/>
      <c r="N88" s="26"/>
      <c r="O88" s="26"/>
      <c r="P88" s="21"/>
      <c r="Q88" s="21"/>
      <c r="R88" s="21"/>
      <c r="S88" s="26"/>
    </row>
    <row r="89" customFormat="false" ht="15" hidden="false" customHeight="true" outlineLevel="0" collapsed="false">
      <c r="A89" s="26"/>
      <c r="B89" s="26"/>
      <c r="C89" s="26"/>
      <c r="D89" s="26"/>
      <c r="E89" s="26"/>
      <c r="F89" s="26"/>
      <c r="G89" s="26"/>
      <c r="H89" s="26"/>
      <c r="I89" s="26"/>
      <c r="J89" s="26"/>
      <c r="K89" s="26"/>
      <c r="L89" s="26"/>
      <c r="M89" s="26"/>
      <c r="N89" s="26"/>
      <c r="O89" s="26"/>
      <c r="P89" s="21"/>
      <c r="Q89" s="21"/>
      <c r="R89" s="21"/>
      <c r="S89" s="26"/>
    </row>
    <row r="90" customFormat="false" ht="15" hidden="false" customHeight="true" outlineLevel="0" collapsed="false">
      <c r="A90" s="26"/>
      <c r="B90" s="26"/>
      <c r="C90" s="26"/>
      <c r="D90" s="26"/>
      <c r="E90" s="26"/>
      <c r="F90" s="26"/>
      <c r="G90" s="26"/>
      <c r="H90" s="26"/>
      <c r="I90" s="26"/>
      <c r="J90" s="26"/>
      <c r="K90" s="26"/>
      <c r="L90" s="26"/>
      <c r="M90" s="26"/>
      <c r="N90" s="26"/>
      <c r="O90" s="26"/>
      <c r="P90" s="21"/>
      <c r="Q90" s="21"/>
      <c r="R90" s="21"/>
      <c r="S90" s="26"/>
    </row>
    <row r="91" customFormat="false" ht="15" hidden="false" customHeight="true" outlineLevel="0" collapsed="false">
      <c r="A91" s="26"/>
      <c r="B91" s="26"/>
      <c r="C91" s="26"/>
      <c r="D91" s="26"/>
      <c r="E91" s="26"/>
      <c r="F91" s="26"/>
      <c r="G91" s="26"/>
      <c r="H91" s="26"/>
      <c r="I91" s="26"/>
      <c r="J91" s="26"/>
      <c r="K91" s="26"/>
      <c r="L91" s="26"/>
      <c r="M91" s="26"/>
      <c r="N91" s="26"/>
      <c r="O91" s="26"/>
      <c r="P91" s="21"/>
      <c r="Q91" s="21"/>
      <c r="R91" s="21"/>
      <c r="S91" s="26"/>
    </row>
    <row r="92" customFormat="false" ht="15" hidden="false" customHeight="true" outlineLevel="0" collapsed="false">
      <c r="A92" s="26"/>
      <c r="B92" s="26"/>
      <c r="C92" s="26"/>
      <c r="D92" s="26"/>
      <c r="E92" s="26"/>
      <c r="F92" s="26"/>
      <c r="G92" s="26"/>
      <c r="H92" s="26"/>
      <c r="I92" s="26"/>
      <c r="J92" s="26"/>
      <c r="K92" s="26"/>
      <c r="L92" s="26"/>
      <c r="M92" s="26"/>
      <c r="N92" s="26"/>
      <c r="O92" s="26"/>
      <c r="P92" s="21"/>
      <c r="Q92" s="21"/>
      <c r="R92" s="21"/>
      <c r="S92" s="26"/>
    </row>
    <row r="93" customFormat="false" ht="15" hidden="false" customHeight="true" outlineLevel="0" collapsed="false">
      <c r="A93" s="26"/>
      <c r="B93" s="26"/>
      <c r="C93" s="26"/>
      <c r="D93" s="26"/>
      <c r="E93" s="26"/>
      <c r="F93" s="26"/>
      <c r="G93" s="26"/>
      <c r="H93" s="26"/>
      <c r="I93" s="26"/>
      <c r="J93" s="26"/>
      <c r="K93" s="26"/>
      <c r="L93" s="26"/>
      <c r="M93" s="26"/>
      <c r="N93" s="26"/>
      <c r="O93" s="26"/>
      <c r="P93" s="21"/>
      <c r="Q93" s="21"/>
      <c r="R93" s="21"/>
      <c r="S93" s="26"/>
    </row>
    <row r="94" customFormat="false" ht="15" hidden="false" customHeight="true" outlineLevel="0" collapsed="false">
      <c r="A94" s="26"/>
      <c r="B94" s="26"/>
      <c r="C94" s="26"/>
      <c r="D94" s="26"/>
      <c r="E94" s="26"/>
      <c r="F94" s="26"/>
      <c r="G94" s="26"/>
      <c r="H94" s="26"/>
      <c r="I94" s="26"/>
      <c r="J94" s="26"/>
      <c r="K94" s="26"/>
      <c r="L94" s="26"/>
      <c r="M94" s="26"/>
      <c r="N94" s="26"/>
      <c r="O94" s="26"/>
      <c r="P94" s="21"/>
      <c r="Q94" s="21"/>
      <c r="R94" s="21"/>
      <c r="S94" s="26"/>
    </row>
    <row r="95" customFormat="false" ht="15" hidden="false" customHeight="true" outlineLevel="0" collapsed="false">
      <c r="A95" s="26"/>
      <c r="B95" s="26"/>
      <c r="C95" s="26"/>
      <c r="D95" s="26"/>
      <c r="E95" s="26"/>
      <c r="F95" s="26"/>
      <c r="G95" s="26"/>
      <c r="H95" s="26"/>
      <c r="I95" s="26"/>
      <c r="J95" s="26"/>
      <c r="K95" s="26"/>
      <c r="L95" s="26"/>
      <c r="M95" s="26"/>
      <c r="N95" s="26"/>
      <c r="O95" s="26"/>
      <c r="P95" s="21"/>
      <c r="Q95" s="21"/>
      <c r="R95" s="21"/>
      <c r="S95" s="26"/>
    </row>
    <row r="96" customFormat="false" ht="15" hidden="false" customHeight="true" outlineLevel="0" collapsed="false">
      <c r="A96" s="26"/>
      <c r="B96" s="26"/>
      <c r="C96" s="26"/>
      <c r="D96" s="26"/>
      <c r="E96" s="26"/>
      <c r="F96" s="26"/>
      <c r="G96" s="26"/>
      <c r="H96" s="26"/>
      <c r="I96" s="26"/>
      <c r="J96" s="26"/>
      <c r="K96" s="26"/>
      <c r="L96" s="26"/>
      <c r="M96" s="26"/>
      <c r="N96" s="26"/>
      <c r="O96" s="26"/>
      <c r="P96" s="21"/>
      <c r="Q96" s="21"/>
      <c r="R96" s="21"/>
      <c r="S96" s="26"/>
    </row>
    <row r="97" customFormat="false" ht="15" hidden="false" customHeight="true" outlineLevel="0" collapsed="false">
      <c r="A97" s="26"/>
      <c r="B97" s="26"/>
      <c r="C97" s="26"/>
      <c r="D97" s="26"/>
      <c r="E97" s="26"/>
      <c r="F97" s="26"/>
      <c r="G97" s="26"/>
      <c r="H97" s="26"/>
      <c r="I97" s="26"/>
      <c r="J97" s="26"/>
      <c r="K97" s="26"/>
      <c r="L97" s="26"/>
      <c r="M97" s="26"/>
      <c r="N97" s="26"/>
      <c r="O97" s="26"/>
      <c r="P97" s="21"/>
      <c r="Q97" s="21"/>
      <c r="R97" s="21"/>
      <c r="S97" s="26"/>
    </row>
    <row r="98" customFormat="false" ht="15" hidden="false" customHeight="true" outlineLevel="0" collapsed="false">
      <c r="A98" s="26"/>
      <c r="B98" s="26"/>
      <c r="C98" s="26"/>
      <c r="D98" s="26"/>
      <c r="E98" s="26"/>
      <c r="F98" s="26"/>
      <c r="G98" s="26"/>
      <c r="H98" s="26"/>
      <c r="I98" s="26"/>
      <c r="J98" s="26"/>
      <c r="K98" s="26"/>
      <c r="L98" s="26"/>
      <c r="M98" s="26"/>
      <c r="N98" s="26"/>
      <c r="O98" s="26"/>
      <c r="P98" s="21"/>
      <c r="Q98" s="21"/>
      <c r="R98" s="21"/>
      <c r="S98" s="26"/>
    </row>
    <row r="99" customFormat="false" ht="15" hidden="false" customHeight="true" outlineLevel="0" collapsed="false">
      <c r="A99" s="26"/>
      <c r="B99" s="26"/>
      <c r="C99" s="26"/>
      <c r="D99" s="26"/>
      <c r="E99" s="26"/>
      <c r="F99" s="26"/>
      <c r="G99" s="26"/>
      <c r="H99" s="26"/>
      <c r="I99" s="26"/>
      <c r="J99" s="26"/>
      <c r="K99" s="26"/>
      <c r="L99" s="26"/>
      <c r="M99" s="26"/>
      <c r="N99" s="26"/>
      <c r="O99" s="26"/>
      <c r="P99" s="21"/>
      <c r="Q99" s="21"/>
      <c r="R99" s="21"/>
      <c r="S99" s="26"/>
    </row>
    <row r="100" customFormat="false" ht="15" hidden="false" customHeight="true" outlineLevel="0" collapsed="false">
      <c r="A100" s="26"/>
      <c r="B100" s="26"/>
      <c r="C100" s="26"/>
      <c r="D100" s="26"/>
      <c r="E100" s="26"/>
      <c r="F100" s="26"/>
      <c r="G100" s="26"/>
      <c r="H100" s="26"/>
      <c r="I100" s="26"/>
      <c r="J100" s="26"/>
      <c r="K100" s="26"/>
      <c r="L100" s="26"/>
      <c r="M100" s="26"/>
      <c r="N100" s="26"/>
      <c r="O100" s="26"/>
      <c r="P100" s="21"/>
      <c r="Q100" s="21"/>
      <c r="R100" s="21"/>
      <c r="S100" s="26"/>
    </row>
    <row r="101" customFormat="false" ht="15" hidden="false" customHeight="true" outlineLevel="0" collapsed="false">
      <c r="A101" s="26"/>
      <c r="B101" s="26"/>
      <c r="C101" s="26"/>
      <c r="D101" s="26"/>
      <c r="E101" s="26"/>
      <c r="F101" s="26"/>
      <c r="G101" s="26"/>
      <c r="H101" s="26"/>
      <c r="I101" s="26"/>
      <c r="J101" s="26"/>
      <c r="K101" s="26"/>
      <c r="L101" s="26"/>
      <c r="M101" s="26"/>
      <c r="N101" s="26"/>
      <c r="O101" s="26"/>
      <c r="P101" s="21"/>
      <c r="Q101" s="21"/>
      <c r="R101" s="21"/>
      <c r="S101" s="26"/>
    </row>
    <row r="102" customFormat="false" ht="15" hidden="false" customHeight="true" outlineLevel="0" collapsed="false">
      <c r="A102" s="26"/>
      <c r="B102" s="26"/>
      <c r="C102" s="26"/>
      <c r="D102" s="26"/>
      <c r="E102" s="26"/>
      <c r="F102" s="26"/>
      <c r="G102" s="26"/>
      <c r="H102" s="26"/>
      <c r="I102" s="26"/>
      <c r="J102" s="26"/>
      <c r="K102" s="26"/>
      <c r="L102" s="26"/>
      <c r="M102" s="26"/>
      <c r="N102" s="26"/>
      <c r="O102" s="26"/>
      <c r="P102" s="21"/>
      <c r="Q102" s="21"/>
      <c r="R102" s="21"/>
      <c r="S102" s="26"/>
    </row>
    <row r="103" customFormat="false" ht="15" hidden="false" customHeight="true" outlineLevel="0" collapsed="false">
      <c r="A103" s="26"/>
      <c r="B103" s="26"/>
      <c r="C103" s="26"/>
      <c r="D103" s="26"/>
      <c r="E103" s="26"/>
      <c r="F103" s="26"/>
      <c r="G103" s="26"/>
      <c r="H103" s="26"/>
      <c r="I103" s="26"/>
      <c r="J103" s="26"/>
      <c r="K103" s="26"/>
      <c r="L103" s="26"/>
      <c r="M103" s="26"/>
      <c r="N103" s="26"/>
      <c r="O103" s="26"/>
      <c r="P103" s="21"/>
      <c r="Q103" s="21"/>
      <c r="R103" s="21"/>
      <c r="S103" s="26"/>
    </row>
    <row r="104" customFormat="false" ht="15" hidden="false" customHeight="true" outlineLevel="0" collapsed="false">
      <c r="A104" s="26"/>
      <c r="B104" s="26"/>
      <c r="C104" s="26"/>
      <c r="D104" s="26"/>
      <c r="E104" s="26"/>
      <c r="F104" s="26"/>
      <c r="G104" s="26"/>
      <c r="H104" s="26"/>
      <c r="I104" s="26"/>
      <c r="J104" s="26"/>
      <c r="K104" s="26"/>
      <c r="L104" s="26"/>
      <c r="M104" s="26"/>
      <c r="N104" s="26"/>
      <c r="O104" s="26"/>
      <c r="P104" s="21"/>
      <c r="Q104" s="21"/>
      <c r="R104" s="21"/>
      <c r="S104" s="26"/>
    </row>
    <row r="105" customFormat="false" ht="15" hidden="false" customHeight="true" outlineLevel="0" collapsed="false">
      <c r="A105" s="26"/>
      <c r="B105" s="26"/>
      <c r="C105" s="26"/>
      <c r="D105" s="26"/>
      <c r="E105" s="26"/>
      <c r="F105" s="26"/>
      <c r="G105" s="26"/>
      <c r="H105" s="26"/>
      <c r="I105" s="26"/>
      <c r="J105" s="26"/>
      <c r="K105" s="26"/>
      <c r="L105" s="26"/>
      <c r="M105" s="26"/>
      <c r="N105" s="26"/>
      <c r="O105" s="26"/>
      <c r="P105" s="21"/>
      <c r="Q105" s="21"/>
      <c r="R105" s="21"/>
      <c r="S105" s="26"/>
    </row>
    <row r="106" customFormat="false" ht="15" hidden="false" customHeight="true" outlineLevel="0" collapsed="false">
      <c r="A106" s="26"/>
      <c r="B106" s="26"/>
      <c r="C106" s="26"/>
      <c r="D106" s="26"/>
      <c r="E106" s="26"/>
      <c r="F106" s="26"/>
      <c r="G106" s="26"/>
      <c r="H106" s="26"/>
      <c r="I106" s="26"/>
      <c r="J106" s="26"/>
      <c r="K106" s="26"/>
      <c r="L106" s="26"/>
      <c r="M106" s="26"/>
      <c r="N106" s="26"/>
      <c r="O106" s="26"/>
      <c r="P106" s="21"/>
      <c r="Q106" s="21"/>
      <c r="R106" s="21"/>
      <c r="S106" s="26"/>
    </row>
    <row r="107" customFormat="false" ht="15" hidden="false" customHeight="true" outlineLevel="0" collapsed="false">
      <c r="A107" s="26"/>
      <c r="B107" s="26"/>
      <c r="C107" s="26"/>
      <c r="D107" s="26"/>
      <c r="E107" s="26"/>
      <c r="F107" s="26"/>
      <c r="G107" s="26"/>
      <c r="H107" s="26"/>
      <c r="I107" s="26"/>
      <c r="J107" s="26"/>
      <c r="K107" s="26"/>
      <c r="L107" s="26"/>
      <c r="M107" s="26"/>
      <c r="N107" s="26"/>
      <c r="O107" s="26"/>
      <c r="P107" s="21"/>
      <c r="Q107" s="21"/>
      <c r="R107" s="21"/>
      <c r="S107" s="26"/>
    </row>
    <row r="108" customFormat="false" ht="15" hidden="false" customHeight="true" outlineLevel="0" collapsed="false">
      <c r="A108" s="26"/>
      <c r="B108" s="26"/>
      <c r="C108" s="26"/>
      <c r="D108" s="26"/>
      <c r="E108" s="26"/>
      <c r="F108" s="26"/>
      <c r="G108" s="26"/>
      <c r="H108" s="26"/>
      <c r="I108" s="26"/>
      <c r="J108" s="26"/>
      <c r="K108" s="26"/>
      <c r="L108" s="26"/>
      <c r="M108" s="26"/>
      <c r="N108" s="26"/>
      <c r="O108" s="26"/>
      <c r="P108" s="21"/>
      <c r="Q108" s="21"/>
      <c r="R108" s="21"/>
      <c r="S108" s="26"/>
    </row>
    <row r="109" customFormat="false" ht="15" hidden="false" customHeight="true" outlineLevel="0" collapsed="false">
      <c r="A109" s="26"/>
      <c r="B109" s="26"/>
      <c r="C109" s="26"/>
      <c r="D109" s="26"/>
      <c r="E109" s="26"/>
      <c r="F109" s="26"/>
      <c r="G109" s="26"/>
      <c r="H109" s="26"/>
      <c r="I109" s="26"/>
      <c r="J109" s="26"/>
      <c r="K109" s="26"/>
      <c r="L109" s="26"/>
      <c r="M109" s="26"/>
      <c r="N109" s="26"/>
      <c r="O109" s="26"/>
      <c r="P109" s="21"/>
      <c r="Q109" s="21"/>
      <c r="R109" s="21"/>
      <c r="S109" s="26"/>
    </row>
    <row r="110" customFormat="false" ht="15" hidden="false" customHeight="true" outlineLevel="0" collapsed="false">
      <c r="A110" s="26"/>
      <c r="B110" s="26"/>
      <c r="C110" s="26"/>
      <c r="D110" s="26"/>
      <c r="E110" s="26"/>
      <c r="F110" s="26"/>
      <c r="G110" s="26"/>
      <c r="H110" s="26"/>
      <c r="I110" s="26"/>
      <c r="J110" s="26"/>
      <c r="K110" s="26"/>
      <c r="L110" s="26"/>
      <c r="M110" s="26"/>
      <c r="N110" s="26"/>
      <c r="O110" s="26"/>
      <c r="P110" s="21"/>
      <c r="Q110" s="21"/>
      <c r="R110" s="21"/>
      <c r="S110" s="26"/>
    </row>
    <row r="111" customFormat="false" ht="15" hidden="false" customHeight="true" outlineLevel="0" collapsed="false">
      <c r="A111" s="26"/>
      <c r="B111" s="26"/>
      <c r="C111" s="26"/>
      <c r="D111" s="26"/>
      <c r="E111" s="26"/>
      <c r="F111" s="26"/>
      <c r="G111" s="26"/>
      <c r="H111" s="26"/>
      <c r="I111" s="26"/>
      <c r="J111" s="26"/>
      <c r="K111" s="26"/>
      <c r="L111" s="26"/>
      <c r="M111" s="26"/>
      <c r="N111" s="26"/>
      <c r="O111" s="26"/>
      <c r="P111" s="21"/>
      <c r="Q111" s="21"/>
      <c r="R111" s="21"/>
      <c r="S111" s="26"/>
    </row>
    <row r="112" customFormat="false" ht="15" hidden="false" customHeight="true" outlineLevel="0" collapsed="false">
      <c r="A112" s="26"/>
      <c r="B112" s="26"/>
      <c r="C112" s="26"/>
      <c r="D112" s="26"/>
      <c r="E112" s="26"/>
      <c r="F112" s="26"/>
      <c r="G112" s="26"/>
      <c r="H112" s="26"/>
      <c r="I112" s="26"/>
      <c r="J112" s="26"/>
      <c r="K112" s="26"/>
      <c r="L112" s="26"/>
      <c r="M112" s="26"/>
      <c r="N112" s="26"/>
      <c r="O112" s="26"/>
      <c r="P112" s="21"/>
      <c r="Q112" s="21"/>
      <c r="R112" s="21"/>
      <c r="S112" s="26"/>
    </row>
    <row r="113" customFormat="false" ht="15" hidden="false" customHeight="true" outlineLevel="0" collapsed="false">
      <c r="A113" s="26"/>
      <c r="B113" s="26"/>
      <c r="C113" s="26"/>
      <c r="D113" s="26"/>
      <c r="E113" s="26"/>
      <c r="F113" s="26"/>
      <c r="G113" s="26"/>
      <c r="H113" s="26"/>
      <c r="I113" s="26"/>
      <c r="J113" s="26"/>
      <c r="K113" s="26"/>
      <c r="L113" s="26"/>
      <c r="M113" s="26"/>
      <c r="N113" s="26"/>
      <c r="O113" s="26"/>
      <c r="P113" s="21"/>
      <c r="Q113" s="21"/>
      <c r="R113" s="21"/>
      <c r="S113" s="26"/>
    </row>
    <row r="114" customFormat="false" ht="15" hidden="false" customHeight="true" outlineLevel="0" collapsed="false">
      <c r="A114" s="26"/>
      <c r="B114" s="26"/>
      <c r="C114" s="26"/>
      <c r="D114" s="26"/>
      <c r="E114" s="26"/>
      <c r="F114" s="26"/>
      <c r="G114" s="26"/>
      <c r="H114" s="26"/>
      <c r="I114" s="26"/>
      <c r="J114" s="26"/>
      <c r="K114" s="26"/>
      <c r="L114" s="26"/>
      <c r="M114" s="26"/>
      <c r="N114" s="26"/>
      <c r="O114" s="26"/>
      <c r="P114" s="21"/>
      <c r="Q114" s="21"/>
      <c r="R114" s="21"/>
      <c r="S114" s="26"/>
    </row>
    <row r="115" customFormat="false" ht="15" hidden="false" customHeight="true" outlineLevel="0" collapsed="false">
      <c r="A115" s="26"/>
      <c r="B115" s="26"/>
      <c r="C115" s="26"/>
      <c r="D115" s="26"/>
      <c r="E115" s="26"/>
      <c r="F115" s="26"/>
      <c r="G115" s="26"/>
      <c r="H115" s="26"/>
      <c r="I115" s="26"/>
      <c r="J115" s="26"/>
      <c r="K115" s="26"/>
      <c r="L115" s="26"/>
      <c r="M115" s="26"/>
      <c r="N115" s="26"/>
      <c r="O115" s="26"/>
      <c r="P115" s="21"/>
      <c r="Q115" s="21"/>
      <c r="R115" s="21"/>
      <c r="S115" s="26"/>
    </row>
    <row r="116" customFormat="false" ht="15" hidden="false" customHeight="true" outlineLevel="0" collapsed="false">
      <c r="A116" s="26"/>
      <c r="B116" s="26"/>
      <c r="C116" s="26"/>
      <c r="D116" s="26"/>
      <c r="E116" s="26"/>
      <c r="F116" s="26"/>
      <c r="G116" s="26"/>
      <c r="H116" s="26"/>
      <c r="I116" s="26"/>
      <c r="J116" s="26"/>
      <c r="K116" s="26"/>
      <c r="L116" s="26"/>
      <c r="M116" s="26"/>
      <c r="N116" s="26"/>
      <c r="O116" s="26"/>
      <c r="P116" s="21"/>
      <c r="Q116" s="21"/>
      <c r="R116" s="21"/>
      <c r="S116" s="26"/>
    </row>
    <row r="117" customFormat="false" ht="15" hidden="false" customHeight="true" outlineLevel="0" collapsed="false">
      <c r="A117" s="26"/>
      <c r="B117" s="26"/>
      <c r="C117" s="26"/>
      <c r="D117" s="26"/>
      <c r="E117" s="26"/>
      <c r="F117" s="26"/>
      <c r="G117" s="26"/>
      <c r="H117" s="26"/>
      <c r="I117" s="26"/>
      <c r="J117" s="26"/>
      <c r="K117" s="26"/>
      <c r="L117" s="26"/>
      <c r="M117" s="26"/>
      <c r="N117" s="26"/>
      <c r="O117" s="26"/>
      <c r="P117" s="21"/>
      <c r="Q117" s="21"/>
      <c r="R117" s="21"/>
      <c r="S117" s="26"/>
    </row>
    <row r="118" customFormat="false" ht="15" hidden="false" customHeight="true" outlineLevel="0" collapsed="false">
      <c r="A118" s="26"/>
      <c r="B118" s="26"/>
      <c r="C118" s="26"/>
      <c r="D118" s="26"/>
      <c r="E118" s="26"/>
      <c r="F118" s="26"/>
      <c r="G118" s="26"/>
      <c r="H118" s="26"/>
      <c r="I118" s="26"/>
      <c r="J118" s="26"/>
      <c r="K118" s="26"/>
      <c r="L118" s="26"/>
      <c r="M118" s="26"/>
      <c r="N118" s="26"/>
      <c r="O118" s="26"/>
      <c r="P118" s="21"/>
      <c r="Q118" s="21"/>
      <c r="R118" s="21"/>
      <c r="S118" s="26"/>
    </row>
    <row r="119" customFormat="false" ht="15" hidden="false" customHeight="true" outlineLevel="0" collapsed="false">
      <c r="A119" s="26"/>
      <c r="B119" s="26"/>
      <c r="C119" s="26"/>
      <c r="D119" s="26"/>
      <c r="E119" s="26"/>
      <c r="F119" s="26"/>
      <c r="G119" s="26"/>
      <c r="H119" s="26"/>
      <c r="I119" s="26"/>
      <c r="J119" s="26"/>
      <c r="K119" s="26"/>
      <c r="L119" s="26"/>
      <c r="M119" s="26"/>
      <c r="N119" s="26"/>
      <c r="O119" s="26"/>
      <c r="P119" s="21"/>
      <c r="Q119" s="21"/>
      <c r="R119" s="21"/>
      <c r="S119" s="26"/>
    </row>
    <row r="120" customFormat="false" ht="15" hidden="false" customHeight="true" outlineLevel="0" collapsed="false">
      <c r="A120" s="26"/>
      <c r="B120" s="26"/>
      <c r="C120" s="26"/>
      <c r="D120" s="26"/>
      <c r="E120" s="26"/>
      <c r="F120" s="26"/>
      <c r="G120" s="26"/>
      <c r="H120" s="26"/>
      <c r="I120" s="26"/>
      <c r="J120" s="26"/>
      <c r="K120" s="26"/>
      <c r="L120" s="26"/>
      <c r="M120" s="26"/>
      <c r="N120" s="26"/>
      <c r="O120" s="26"/>
      <c r="P120" s="21"/>
      <c r="Q120" s="21"/>
      <c r="R120" s="21"/>
      <c r="S120" s="26"/>
    </row>
    <row r="121" customFormat="false" ht="15" hidden="false" customHeight="true" outlineLevel="0" collapsed="false">
      <c r="A121" s="26"/>
      <c r="B121" s="26"/>
      <c r="C121" s="26"/>
      <c r="D121" s="26"/>
      <c r="E121" s="26"/>
      <c r="F121" s="26"/>
      <c r="G121" s="26"/>
      <c r="H121" s="26"/>
      <c r="I121" s="26"/>
      <c r="J121" s="26"/>
      <c r="K121" s="26"/>
      <c r="L121" s="26"/>
      <c r="M121" s="26"/>
      <c r="N121" s="26"/>
      <c r="O121" s="26"/>
      <c r="P121" s="21"/>
      <c r="Q121" s="21"/>
      <c r="R121" s="21"/>
      <c r="S121" s="26"/>
    </row>
    <row r="122" customFormat="false" ht="15" hidden="false" customHeight="true" outlineLevel="0" collapsed="false">
      <c r="A122" s="26"/>
      <c r="B122" s="26"/>
      <c r="C122" s="26"/>
      <c r="D122" s="26"/>
      <c r="E122" s="26"/>
      <c r="F122" s="26"/>
      <c r="G122" s="26"/>
      <c r="H122" s="26"/>
      <c r="I122" s="26"/>
      <c r="J122" s="26"/>
      <c r="K122" s="26"/>
      <c r="L122" s="26"/>
      <c r="M122" s="26"/>
      <c r="N122" s="26"/>
      <c r="O122" s="26"/>
      <c r="P122" s="21"/>
      <c r="Q122" s="21"/>
      <c r="R122" s="21"/>
      <c r="S122" s="26"/>
    </row>
    <row r="123" customFormat="false" ht="15" hidden="false" customHeight="true" outlineLevel="0" collapsed="false">
      <c r="A123" s="26"/>
      <c r="B123" s="26"/>
      <c r="C123" s="26"/>
      <c r="D123" s="26"/>
      <c r="E123" s="26"/>
      <c r="F123" s="26"/>
      <c r="G123" s="26"/>
      <c r="H123" s="26"/>
      <c r="I123" s="26"/>
      <c r="J123" s="26"/>
      <c r="K123" s="26"/>
      <c r="L123" s="26"/>
      <c r="M123" s="26"/>
      <c r="N123" s="26"/>
      <c r="O123" s="26"/>
      <c r="P123" s="21"/>
      <c r="Q123" s="21"/>
      <c r="R123" s="21"/>
      <c r="S123" s="26"/>
    </row>
    <row r="124" customFormat="false" ht="15" hidden="false" customHeight="true" outlineLevel="0" collapsed="false">
      <c r="A124" s="26"/>
      <c r="B124" s="26"/>
      <c r="C124" s="26"/>
      <c r="D124" s="26"/>
      <c r="E124" s="26"/>
      <c r="F124" s="26"/>
      <c r="G124" s="26"/>
      <c r="H124" s="26"/>
      <c r="I124" s="26"/>
      <c r="J124" s="26"/>
      <c r="K124" s="26"/>
      <c r="L124" s="26"/>
      <c r="M124" s="26"/>
      <c r="N124" s="26"/>
      <c r="O124" s="26"/>
      <c r="P124" s="21"/>
      <c r="Q124" s="21"/>
      <c r="R124" s="21"/>
      <c r="S124" s="26"/>
    </row>
    <row r="125" customFormat="false" ht="15" hidden="false" customHeight="true" outlineLevel="0" collapsed="false">
      <c r="A125" s="26"/>
      <c r="B125" s="26"/>
      <c r="C125" s="26"/>
      <c r="D125" s="26"/>
      <c r="E125" s="26"/>
      <c r="F125" s="26"/>
      <c r="G125" s="26"/>
      <c r="H125" s="26"/>
      <c r="I125" s="26"/>
      <c r="J125" s="26"/>
      <c r="K125" s="26"/>
      <c r="L125" s="26"/>
      <c r="M125" s="26"/>
      <c r="N125" s="26"/>
      <c r="O125" s="26"/>
      <c r="P125" s="21"/>
      <c r="Q125" s="21"/>
      <c r="R125" s="21"/>
      <c r="S125" s="26"/>
    </row>
    <row r="126" customFormat="false" ht="15" hidden="false" customHeight="true" outlineLevel="0" collapsed="false">
      <c r="A126" s="26"/>
      <c r="B126" s="26"/>
      <c r="C126" s="26"/>
      <c r="D126" s="26"/>
      <c r="E126" s="26"/>
      <c r="F126" s="26"/>
      <c r="G126" s="26"/>
      <c r="H126" s="26"/>
      <c r="I126" s="26"/>
      <c r="J126" s="26"/>
      <c r="K126" s="26"/>
      <c r="L126" s="26"/>
      <c r="M126" s="26"/>
      <c r="N126" s="26"/>
      <c r="O126" s="26"/>
      <c r="P126" s="21"/>
      <c r="Q126" s="21"/>
      <c r="R126" s="21"/>
      <c r="S126" s="26"/>
    </row>
    <row r="127" customFormat="false" ht="15" hidden="false" customHeight="true" outlineLevel="0" collapsed="false">
      <c r="A127" s="26"/>
      <c r="B127" s="26"/>
      <c r="C127" s="26"/>
      <c r="D127" s="26"/>
      <c r="E127" s="26"/>
      <c r="F127" s="26"/>
      <c r="G127" s="26"/>
      <c r="H127" s="26"/>
      <c r="I127" s="26"/>
      <c r="J127" s="26"/>
      <c r="K127" s="26"/>
      <c r="L127" s="26"/>
      <c r="M127" s="26"/>
      <c r="N127" s="26"/>
      <c r="O127" s="26"/>
      <c r="P127" s="21"/>
      <c r="Q127" s="21"/>
      <c r="R127" s="21"/>
      <c r="S127" s="26"/>
    </row>
    <row r="128" customFormat="false" ht="15" hidden="false" customHeight="true" outlineLevel="0" collapsed="false">
      <c r="A128" s="26"/>
      <c r="B128" s="26"/>
      <c r="C128" s="26"/>
      <c r="D128" s="26"/>
      <c r="E128" s="26"/>
      <c r="F128" s="26"/>
      <c r="G128" s="26"/>
      <c r="H128" s="26"/>
      <c r="I128" s="26"/>
      <c r="J128" s="26"/>
      <c r="K128" s="26"/>
      <c r="L128" s="26"/>
      <c r="M128" s="26"/>
      <c r="N128" s="26"/>
      <c r="O128" s="26"/>
      <c r="P128" s="21"/>
      <c r="Q128" s="21"/>
      <c r="R128" s="21"/>
      <c r="S128" s="26"/>
    </row>
    <row r="129" customFormat="false" ht="15" hidden="false" customHeight="true" outlineLevel="0" collapsed="false">
      <c r="A129" s="26"/>
      <c r="B129" s="26"/>
      <c r="C129" s="26"/>
      <c r="D129" s="26"/>
      <c r="E129" s="26"/>
      <c r="F129" s="26"/>
      <c r="G129" s="26"/>
      <c r="H129" s="26"/>
      <c r="I129" s="26"/>
      <c r="J129" s="26"/>
      <c r="K129" s="26"/>
      <c r="L129" s="26"/>
      <c r="M129" s="26"/>
      <c r="N129" s="26"/>
      <c r="O129" s="26"/>
      <c r="P129" s="21"/>
      <c r="Q129" s="21"/>
      <c r="R129" s="21"/>
      <c r="S129" s="26"/>
    </row>
    <row r="130" customFormat="false" ht="15" hidden="false" customHeight="true" outlineLevel="0" collapsed="false">
      <c r="A130" s="26"/>
      <c r="B130" s="26"/>
      <c r="C130" s="26"/>
      <c r="D130" s="26"/>
      <c r="E130" s="26"/>
      <c r="F130" s="26"/>
      <c r="G130" s="26"/>
      <c r="H130" s="26"/>
      <c r="I130" s="26"/>
      <c r="J130" s="26"/>
      <c r="K130" s="26"/>
      <c r="L130" s="26"/>
      <c r="M130" s="26"/>
      <c r="N130" s="26"/>
      <c r="O130" s="26"/>
      <c r="P130" s="21"/>
      <c r="Q130" s="21"/>
      <c r="R130" s="21"/>
      <c r="S130" s="26"/>
    </row>
    <row r="131" customFormat="false" ht="15" hidden="false" customHeight="true" outlineLevel="0" collapsed="false">
      <c r="A131" s="26"/>
      <c r="B131" s="26"/>
      <c r="C131" s="26"/>
      <c r="D131" s="26"/>
      <c r="E131" s="26"/>
      <c r="F131" s="26"/>
      <c r="G131" s="26"/>
      <c r="H131" s="26"/>
      <c r="I131" s="26"/>
      <c r="J131" s="26"/>
      <c r="K131" s="26"/>
      <c r="L131" s="26"/>
      <c r="M131" s="26"/>
      <c r="N131" s="26"/>
      <c r="O131" s="26"/>
      <c r="P131" s="21"/>
      <c r="Q131" s="21"/>
      <c r="R131" s="21"/>
      <c r="S131" s="26"/>
    </row>
    <row r="132" customFormat="false" ht="15" hidden="false" customHeight="true" outlineLevel="0" collapsed="false">
      <c r="A132" s="26"/>
      <c r="B132" s="26"/>
      <c r="C132" s="26"/>
      <c r="D132" s="26"/>
      <c r="E132" s="26"/>
      <c r="F132" s="26"/>
      <c r="G132" s="26"/>
      <c r="H132" s="26"/>
      <c r="I132" s="26"/>
      <c r="J132" s="26"/>
      <c r="K132" s="26"/>
      <c r="L132" s="26"/>
      <c r="M132" s="26"/>
      <c r="N132" s="26"/>
      <c r="O132" s="26"/>
      <c r="P132" s="21"/>
      <c r="Q132" s="21"/>
      <c r="R132" s="21"/>
      <c r="S132" s="26"/>
    </row>
    <row r="133" customFormat="false" ht="15" hidden="false" customHeight="true" outlineLevel="0" collapsed="false">
      <c r="A133" s="26"/>
      <c r="B133" s="26"/>
      <c r="C133" s="26"/>
      <c r="D133" s="26"/>
      <c r="E133" s="26"/>
      <c r="F133" s="26"/>
      <c r="G133" s="26"/>
      <c r="H133" s="26"/>
      <c r="I133" s="26"/>
      <c r="J133" s="26"/>
      <c r="K133" s="26"/>
      <c r="L133" s="26"/>
      <c r="M133" s="26"/>
      <c r="N133" s="26"/>
      <c r="O133" s="26"/>
      <c r="P133" s="21"/>
      <c r="Q133" s="21"/>
      <c r="R133" s="21"/>
      <c r="S133" s="26"/>
    </row>
    <row r="134" customFormat="false" ht="15" hidden="false" customHeight="true" outlineLevel="0" collapsed="false">
      <c r="A134" s="26"/>
      <c r="B134" s="26"/>
      <c r="C134" s="26"/>
      <c r="D134" s="26"/>
      <c r="E134" s="26"/>
      <c r="F134" s="26"/>
      <c r="G134" s="26"/>
      <c r="H134" s="26"/>
      <c r="I134" s="26"/>
      <c r="J134" s="26"/>
      <c r="K134" s="26"/>
      <c r="L134" s="26"/>
      <c r="M134" s="26"/>
      <c r="N134" s="26"/>
      <c r="O134" s="26"/>
      <c r="P134" s="21"/>
      <c r="Q134" s="21"/>
      <c r="R134" s="21"/>
      <c r="S134" s="26"/>
    </row>
    <row r="135" customFormat="false" ht="15" hidden="false" customHeight="true" outlineLevel="0" collapsed="false">
      <c r="A135" s="26"/>
      <c r="B135" s="26"/>
      <c r="C135" s="26"/>
      <c r="D135" s="26"/>
      <c r="E135" s="26"/>
      <c r="F135" s="26"/>
      <c r="G135" s="26"/>
      <c r="H135" s="26"/>
      <c r="I135" s="26"/>
      <c r="J135" s="26"/>
      <c r="K135" s="26"/>
      <c r="L135" s="26"/>
      <c r="M135" s="26"/>
      <c r="N135" s="26"/>
      <c r="O135" s="26"/>
      <c r="P135" s="21"/>
      <c r="Q135" s="21"/>
      <c r="R135" s="21"/>
      <c r="S135" s="26"/>
    </row>
    <row r="136" customFormat="false" ht="15" hidden="false" customHeight="true" outlineLevel="0" collapsed="false">
      <c r="A136" s="26"/>
      <c r="B136" s="26"/>
      <c r="C136" s="26"/>
      <c r="D136" s="26"/>
      <c r="E136" s="26"/>
      <c r="F136" s="26"/>
      <c r="G136" s="26"/>
      <c r="H136" s="26"/>
      <c r="I136" s="26"/>
      <c r="J136" s="26"/>
      <c r="K136" s="26"/>
      <c r="L136" s="26"/>
      <c r="M136" s="26"/>
      <c r="N136" s="26"/>
      <c r="O136" s="26"/>
      <c r="P136" s="21"/>
      <c r="Q136" s="21"/>
      <c r="R136" s="21"/>
      <c r="S136" s="26"/>
    </row>
    <row r="137" customFormat="false" ht="15" hidden="false" customHeight="true" outlineLevel="0" collapsed="false">
      <c r="A137" s="26"/>
      <c r="B137" s="26"/>
      <c r="C137" s="26"/>
      <c r="D137" s="26"/>
      <c r="E137" s="26"/>
      <c r="F137" s="26"/>
      <c r="G137" s="26"/>
      <c r="H137" s="26"/>
      <c r="I137" s="26"/>
      <c r="J137" s="26"/>
      <c r="K137" s="26"/>
      <c r="L137" s="26"/>
      <c r="M137" s="26"/>
      <c r="N137" s="26"/>
      <c r="O137" s="26"/>
      <c r="P137" s="21"/>
      <c r="Q137" s="21"/>
      <c r="R137" s="21"/>
      <c r="S137" s="26"/>
    </row>
    <row r="138" customFormat="false" ht="15" hidden="false" customHeight="true" outlineLevel="0" collapsed="false">
      <c r="A138" s="26"/>
      <c r="B138" s="26"/>
      <c r="C138" s="26"/>
      <c r="D138" s="26"/>
      <c r="E138" s="26"/>
      <c r="F138" s="26"/>
      <c r="G138" s="26"/>
      <c r="H138" s="26"/>
      <c r="I138" s="26"/>
      <c r="J138" s="26"/>
      <c r="K138" s="26"/>
      <c r="L138" s="26"/>
      <c r="M138" s="26"/>
      <c r="N138" s="26"/>
      <c r="O138" s="26"/>
      <c r="P138" s="21"/>
      <c r="Q138" s="21"/>
      <c r="R138" s="21"/>
      <c r="S138" s="26"/>
    </row>
    <row r="139" customFormat="false" ht="15" hidden="false" customHeight="true" outlineLevel="0" collapsed="false">
      <c r="A139" s="26"/>
      <c r="B139" s="26"/>
      <c r="C139" s="26"/>
      <c r="D139" s="26"/>
      <c r="E139" s="26"/>
      <c r="F139" s="26"/>
      <c r="G139" s="26"/>
      <c r="H139" s="26"/>
      <c r="I139" s="26"/>
      <c r="J139" s="26"/>
      <c r="K139" s="26"/>
      <c r="L139" s="26"/>
      <c r="M139" s="26"/>
      <c r="N139" s="26"/>
      <c r="O139" s="26"/>
      <c r="P139" s="21"/>
      <c r="Q139" s="21"/>
      <c r="R139" s="21"/>
      <c r="S139" s="26"/>
    </row>
    <row r="140" customFormat="false" ht="15" hidden="false" customHeight="true" outlineLevel="0" collapsed="false">
      <c r="A140" s="26"/>
      <c r="B140" s="26"/>
      <c r="C140" s="26"/>
      <c r="D140" s="26"/>
      <c r="E140" s="26"/>
      <c r="F140" s="26"/>
      <c r="G140" s="26"/>
      <c r="H140" s="26"/>
      <c r="I140" s="26"/>
      <c r="J140" s="26"/>
      <c r="K140" s="26"/>
      <c r="L140" s="26"/>
      <c r="M140" s="26"/>
      <c r="N140" s="26"/>
      <c r="O140" s="26"/>
      <c r="P140" s="21"/>
      <c r="Q140" s="21"/>
      <c r="R140" s="21"/>
      <c r="S140" s="26"/>
    </row>
    <row r="141" customFormat="false" ht="15" hidden="false" customHeight="true" outlineLevel="0" collapsed="false">
      <c r="A141" s="26"/>
      <c r="B141" s="26"/>
      <c r="C141" s="26"/>
      <c r="D141" s="26"/>
      <c r="E141" s="26"/>
      <c r="F141" s="26"/>
      <c r="G141" s="26"/>
      <c r="H141" s="26"/>
      <c r="I141" s="26"/>
      <c r="J141" s="26"/>
      <c r="K141" s="26"/>
      <c r="L141" s="26"/>
      <c r="M141" s="26"/>
      <c r="N141" s="26"/>
      <c r="O141" s="26"/>
      <c r="P141" s="21"/>
      <c r="Q141" s="21"/>
      <c r="R141" s="21"/>
      <c r="S141" s="26"/>
    </row>
    <row r="142" customFormat="false" ht="15" hidden="false" customHeight="true" outlineLevel="0" collapsed="false">
      <c r="A142" s="26"/>
      <c r="B142" s="26"/>
      <c r="C142" s="26"/>
      <c r="D142" s="26"/>
      <c r="E142" s="26"/>
      <c r="F142" s="26"/>
      <c r="G142" s="26"/>
      <c r="H142" s="26"/>
      <c r="I142" s="26"/>
      <c r="J142" s="26"/>
      <c r="K142" s="26"/>
      <c r="L142" s="26"/>
      <c r="M142" s="26"/>
      <c r="N142" s="26"/>
      <c r="O142" s="26"/>
      <c r="P142" s="21"/>
      <c r="Q142" s="21"/>
      <c r="R142" s="21"/>
      <c r="S142" s="26"/>
    </row>
    <row r="143" customFormat="false" ht="15" hidden="false" customHeight="true" outlineLevel="0" collapsed="false">
      <c r="A143" s="26"/>
      <c r="B143" s="26"/>
      <c r="C143" s="26"/>
      <c r="D143" s="26"/>
      <c r="E143" s="26"/>
      <c r="F143" s="26"/>
      <c r="G143" s="26"/>
      <c r="H143" s="26"/>
      <c r="I143" s="26"/>
      <c r="J143" s="26"/>
      <c r="K143" s="26"/>
      <c r="L143" s="26"/>
      <c r="M143" s="26"/>
      <c r="N143" s="26"/>
      <c r="O143" s="26"/>
      <c r="P143" s="21"/>
      <c r="Q143" s="21"/>
      <c r="R143" s="21"/>
      <c r="S143" s="26"/>
    </row>
    <row r="144" customFormat="false" ht="15" hidden="false" customHeight="true" outlineLevel="0" collapsed="false">
      <c r="A144" s="26"/>
      <c r="B144" s="26"/>
      <c r="C144" s="26"/>
      <c r="D144" s="26"/>
      <c r="E144" s="26"/>
      <c r="F144" s="26"/>
      <c r="G144" s="26"/>
      <c r="H144" s="26"/>
      <c r="I144" s="26"/>
      <c r="J144" s="26"/>
      <c r="K144" s="26"/>
      <c r="L144" s="26"/>
      <c r="M144" s="26"/>
      <c r="N144" s="26"/>
      <c r="O144" s="26"/>
      <c r="P144" s="21"/>
      <c r="Q144" s="21"/>
      <c r="R144" s="21"/>
      <c r="S144" s="26"/>
    </row>
    <row r="145" customFormat="false" ht="15" hidden="false" customHeight="true" outlineLevel="0" collapsed="false">
      <c r="A145" s="26"/>
      <c r="B145" s="26"/>
      <c r="C145" s="26"/>
      <c r="D145" s="26"/>
      <c r="E145" s="26"/>
      <c r="F145" s="26"/>
      <c r="G145" s="26"/>
      <c r="H145" s="26"/>
      <c r="I145" s="26"/>
      <c r="J145" s="26"/>
      <c r="K145" s="26"/>
      <c r="L145" s="26"/>
      <c r="M145" s="26"/>
      <c r="N145" s="26"/>
      <c r="O145" s="26"/>
      <c r="P145" s="21"/>
      <c r="Q145" s="21"/>
      <c r="R145" s="21"/>
      <c r="S145" s="26"/>
    </row>
    <row r="146" customFormat="false" ht="15" hidden="false" customHeight="true" outlineLevel="0" collapsed="false">
      <c r="A146" s="26"/>
      <c r="B146" s="26"/>
      <c r="C146" s="26"/>
      <c r="D146" s="26"/>
      <c r="E146" s="26"/>
      <c r="F146" s="26"/>
      <c r="G146" s="26"/>
      <c r="H146" s="26"/>
      <c r="I146" s="26"/>
      <c r="J146" s="26"/>
      <c r="K146" s="26"/>
      <c r="L146" s="26"/>
      <c r="M146" s="26"/>
      <c r="N146" s="26"/>
      <c r="O146" s="26"/>
      <c r="P146" s="21"/>
      <c r="Q146" s="21"/>
      <c r="R146" s="21"/>
      <c r="S146" s="26"/>
    </row>
    <row r="147" customFormat="false" ht="15" hidden="false" customHeight="true" outlineLevel="0" collapsed="false">
      <c r="A147" s="26"/>
      <c r="B147" s="26"/>
      <c r="C147" s="26"/>
      <c r="D147" s="26"/>
      <c r="E147" s="26"/>
      <c r="F147" s="26"/>
      <c r="G147" s="26"/>
      <c r="H147" s="26"/>
      <c r="I147" s="26"/>
      <c r="J147" s="26"/>
      <c r="K147" s="26"/>
      <c r="L147" s="26"/>
      <c r="M147" s="26"/>
      <c r="N147" s="26"/>
      <c r="O147" s="26"/>
      <c r="P147" s="21"/>
      <c r="Q147" s="21"/>
      <c r="R147" s="21"/>
      <c r="S147" s="26"/>
    </row>
    <row r="148" customFormat="false" ht="15" hidden="false" customHeight="true" outlineLevel="0" collapsed="false">
      <c r="A148" s="26"/>
      <c r="B148" s="26"/>
      <c r="C148" s="26"/>
      <c r="D148" s="26"/>
      <c r="E148" s="26"/>
      <c r="F148" s="26"/>
      <c r="G148" s="26"/>
      <c r="H148" s="26"/>
      <c r="I148" s="26"/>
      <c r="J148" s="26"/>
      <c r="K148" s="26"/>
      <c r="L148" s="26"/>
      <c r="M148" s="26"/>
      <c r="N148" s="26"/>
      <c r="O148" s="26"/>
      <c r="P148" s="21"/>
      <c r="Q148" s="21"/>
      <c r="R148" s="21"/>
      <c r="S148" s="26"/>
    </row>
    <row r="149" customFormat="false" ht="15" hidden="false" customHeight="true" outlineLevel="0" collapsed="false">
      <c r="A149" s="26"/>
      <c r="B149" s="26"/>
      <c r="C149" s="26"/>
      <c r="D149" s="26"/>
      <c r="E149" s="26"/>
      <c r="F149" s="26"/>
      <c r="G149" s="26"/>
      <c r="H149" s="26"/>
      <c r="I149" s="26"/>
      <c r="J149" s="26"/>
      <c r="K149" s="26"/>
      <c r="L149" s="26"/>
      <c r="M149" s="26"/>
      <c r="N149" s="26"/>
      <c r="O149" s="26"/>
      <c r="P149" s="21"/>
      <c r="Q149" s="21"/>
      <c r="R149" s="21"/>
      <c r="S149" s="26"/>
    </row>
    <row r="150" customFormat="false" ht="15" hidden="false" customHeight="true" outlineLevel="0" collapsed="false">
      <c r="A150" s="26"/>
      <c r="B150" s="26"/>
      <c r="C150" s="26"/>
      <c r="D150" s="26"/>
      <c r="E150" s="26"/>
      <c r="F150" s="26"/>
      <c r="G150" s="26"/>
      <c r="H150" s="26"/>
      <c r="I150" s="26"/>
      <c r="J150" s="26"/>
      <c r="K150" s="26"/>
      <c r="L150" s="26"/>
      <c r="M150" s="26"/>
      <c r="N150" s="26"/>
      <c r="O150" s="26"/>
      <c r="P150" s="21"/>
      <c r="Q150" s="21"/>
      <c r="R150" s="21"/>
      <c r="S150" s="26"/>
    </row>
    <row r="151" customFormat="false" ht="15" hidden="false" customHeight="true" outlineLevel="0" collapsed="false">
      <c r="A151" s="26"/>
      <c r="B151" s="26"/>
      <c r="C151" s="26"/>
      <c r="D151" s="26"/>
      <c r="E151" s="26"/>
      <c r="F151" s="26"/>
      <c r="G151" s="26"/>
      <c r="H151" s="26"/>
      <c r="I151" s="26"/>
      <c r="J151" s="26"/>
      <c r="K151" s="26"/>
      <c r="L151" s="26"/>
      <c r="M151" s="26"/>
      <c r="N151" s="26"/>
      <c r="O151" s="26"/>
      <c r="P151" s="21"/>
      <c r="Q151" s="21"/>
      <c r="R151" s="21"/>
      <c r="S151" s="26"/>
    </row>
    <row r="152" customFormat="false" ht="15" hidden="false" customHeight="true" outlineLevel="0" collapsed="false">
      <c r="A152" s="26"/>
      <c r="B152" s="26"/>
      <c r="C152" s="26"/>
      <c r="D152" s="26"/>
      <c r="E152" s="26"/>
      <c r="F152" s="26"/>
      <c r="G152" s="26"/>
      <c r="H152" s="26"/>
      <c r="I152" s="26"/>
      <c r="J152" s="26"/>
      <c r="K152" s="26"/>
      <c r="L152" s="26"/>
      <c r="M152" s="26"/>
      <c r="N152" s="26"/>
      <c r="O152" s="26"/>
      <c r="P152" s="21"/>
      <c r="Q152" s="21"/>
      <c r="R152" s="21"/>
      <c r="S152" s="26"/>
    </row>
    <row r="153" customFormat="false" ht="15" hidden="false" customHeight="true" outlineLevel="0" collapsed="false">
      <c r="A153" s="26"/>
      <c r="B153" s="26"/>
      <c r="C153" s="26"/>
      <c r="D153" s="26"/>
      <c r="E153" s="26"/>
      <c r="F153" s="26"/>
      <c r="G153" s="26"/>
      <c r="H153" s="26"/>
      <c r="I153" s="26"/>
      <c r="J153" s="26"/>
      <c r="K153" s="26"/>
      <c r="L153" s="26"/>
      <c r="M153" s="26"/>
      <c r="N153" s="26"/>
      <c r="O153" s="26"/>
      <c r="P153" s="21"/>
      <c r="Q153" s="21"/>
      <c r="R153" s="21"/>
      <c r="S153" s="26"/>
    </row>
    <row r="154" customFormat="false" ht="15" hidden="false" customHeight="true" outlineLevel="0" collapsed="false">
      <c r="A154" s="26"/>
      <c r="B154" s="26"/>
      <c r="C154" s="26"/>
      <c r="D154" s="26"/>
      <c r="E154" s="26"/>
      <c r="F154" s="26"/>
      <c r="G154" s="26"/>
      <c r="H154" s="26"/>
      <c r="I154" s="26"/>
      <c r="J154" s="26"/>
      <c r="K154" s="26"/>
      <c r="L154" s="26"/>
      <c r="M154" s="26"/>
      <c r="N154" s="26"/>
      <c r="O154" s="26"/>
      <c r="P154" s="21"/>
      <c r="Q154" s="21"/>
      <c r="R154" s="21"/>
      <c r="S154" s="26"/>
    </row>
    <row r="155" customFormat="false" ht="15" hidden="false" customHeight="true" outlineLevel="0" collapsed="false">
      <c r="A155" s="26"/>
      <c r="B155" s="26"/>
      <c r="C155" s="26"/>
      <c r="D155" s="26"/>
      <c r="E155" s="26"/>
      <c r="F155" s="26"/>
      <c r="G155" s="26"/>
      <c r="H155" s="26"/>
      <c r="I155" s="26"/>
      <c r="J155" s="26"/>
      <c r="K155" s="26"/>
      <c r="L155" s="26"/>
      <c r="M155" s="26"/>
      <c r="N155" s="26"/>
      <c r="O155" s="26"/>
      <c r="P155" s="21"/>
      <c r="Q155" s="21"/>
      <c r="R155" s="21"/>
      <c r="S155" s="26"/>
    </row>
    <row r="156" customFormat="false" ht="15" hidden="false" customHeight="true" outlineLevel="0" collapsed="false">
      <c r="A156" s="26"/>
      <c r="B156" s="26"/>
      <c r="C156" s="26"/>
      <c r="D156" s="26"/>
      <c r="E156" s="26"/>
      <c r="F156" s="26"/>
      <c r="G156" s="26"/>
      <c r="H156" s="26"/>
      <c r="I156" s="26"/>
      <c r="J156" s="26"/>
      <c r="K156" s="26"/>
      <c r="L156" s="26"/>
      <c r="M156" s="26"/>
      <c r="N156" s="26"/>
      <c r="O156" s="26"/>
      <c r="P156" s="21"/>
      <c r="Q156" s="21"/>
      <c r="R156" s="21"/>
      <c r="S156" s="26"/>
    </row>
    <row r="157" customFormat="false" ht="15" hidden="false" customHeight="true" outlineLevel="0" collapsed="false">
      <c r="A157" s="26"/>
      <c r="B157" s="26"/>
      <c r="C157" s="26"/>
      <c r="D157" s="26"/>
      <c r="E157" s="26"/>
      <c r="F157" s="26"/>
      <c r="G157" s="26"/>
      <c r="H157" s="26"/>
      <c r="I157" s="26"/>
      <c r="J157" s="26"/>
      <c r="K157" s="26"/>
      <c r="L157" s="26"/>
      <c r="M157" s="26"/>
      <c r="N157" s="26"/>
      <c r="O157" s="26"/>
      <c r="P157" s="21"/>
      <c r="Q157" s="21"/>
      <c r="R157" s="21"/>
      <c r="S157" s="26"/>
    </row>
    <row r="158" customFormat="false" ht="15" hidden="false" customHeight="true" outlineLevel="0" collapsed="false">
      <c r="A158" s="26"/>
      <c r="B158" s="26"/>
      <c r="C158" s="26"/>
      <c r="D158" s="26"/>
      <c r="E158" s="26"/>
      <c r="F158" s="26"/>
      <c r="G158" s="26"/>
      <c r="H158" s="26"/>
      <c r="I158" s="26"/>
      <c r="J158" s="26"/>
      <c r="K158" s="26"/>
      <c r="L158" s="26"/>
      <c r="M158" s="26"/>
      <c r="N158" s="26"/>
      <c r="O158" s="26"/>
      <c r="P158" s="21"/>
      <c r="Q158" s="21"/>
      <c r="R158" s="21"/>
      <c r="S158" s="26"/>
    </row>
    <row r="159" customFormat="false" ht="15" hidden="false" customHeight="true" outlineLevel="0" collapsed="false">
      <c r="A159" s="26"/>
      <c r="B159" s="26"/>
      <c r="C159" s="26"/>
      <c r="D159" s="26"/>
      <c r="E159" s="26"/>
      <c r="F159" s="26"/>
      <c r="G159" s="26"/>
      <c r="H159" s="26"/>
      <c r="I159" s="26"/>
      <c r="J159" s="26"/>
      <c r="K159" s="26"/>
      <c r="L159" s="26"/>
      <c r="M159" s="26"/>
      <c r="N159" s="26"/>
      <c r="O159" s="26"/>
      <c r="P159" s="21"/>
      <c r="Q159" s="21"/>
      <c r="R159" s="21"/>
      <c r="S159" s="26"/>
    </row>
    <row r="160" customFormat="false" ht="15" hidden="false" customHeight="true" outlineLevel="0" collapsed="false">
      <c r="A160" s="26"/>
      <c r="B160" s="26"/>
      <c r="C160" s="26"/>
      <c r="D160" s="26"/>
      <c r="E160" s="26"/>
      <c r="F160" s="26"/>
      <c r="G160" s="26"/>
      <c r="H160" s="26"/>
      <c r="I160" s="26"/>
      <c r="J160" s="26"/>
      <c r="K160" s="26"/>
      <c r="L160" s="26"/>
      <c r="M160" s="26"/>
      <c r="N160" s="26"/>
      <c r="O160" s="26"/>
      <c r="P160" s="21"/>
      <c r="Q160" s="21"/>
      <c r="R160" s="21"/>
      <c r="S160" s="26"/>
    </row>
    <row r="161" customFormat="false" ht="15" hidden="false" customHeight="true" outlineLevel="0" collapsed="false">
      <c r="A161" s="26"/>
      <c r="B161" s="26"/>
      <c r="C161" s="26"/>
      <c r="D161" s="26"/>
      <c r="E161" s="26"/>
      <c r="F161" s="26"/>
      <c r="G161" s="26"/>
      <c r="H161" s="26"/>
      <c r="I161" s="26"/>
      <c r="J161" s="26"/>
      <c r="K161" s="26"/>
      <c r="L161" s="26"/>
      <c r="M161" s="26"/>
      <c r="N161" s="26"/>
      <c r="O161" s="26"/>
      <c r="P161" s="21"/>
      <c r="Q161" s="21"/>
      <c r="R161" s="21"/>
      <c r="S161" s="26"/>
    </row>
    <row r="162" customFormat="false" ht="15" hidden="false" customHeight="true" outlineLevel="0" collapsed="false">
      <c r="A162" s="26"/>
      <c r="B162" s="26"/>
      <c r="C162" s="26"/>
      <c r="D162" s="26"/>
      <c r="E162" s="26"/>
      <c r="F162" s="26"/>
      <c r="G162" s="26"/>
      <c r="H162" s="26"/>
      <c r="I162" s="26"/>
      <c r="J162" s="26"/>
      <c r="K162" s="26"/>
      <c r="L162" s="26"/>
      <c r="M162" s="26"/>
      <c r="N162" s="26"/>
      <c r="O162" s="26"/>
      <c r="P162" s="21"/>
      <c r="Q162" s="21"/>
      <c r="R162" s="21"/>
      <c r="S162" s="26"/>
    </row>
    <row r="163" customFormat="false" ht="15" hidden="false" customHeight="true" outlineLevel="0" collapsed="false">
      <c r="A163" s="26"/>
      <c r="B163" s="26"/>
      <c r="C163" s="26"/>
      <c r="D163" s="26"/>
      <c r="E163" s="26"/>
      <c r="F163" s="26"/>
      <c r="G163" s="26"/>
      <c r="H163" s="26"/>
      <c r="I163" s="26"/>
      <c r="J163" s="26"/>
      <c r="K163" s="26"/>
      <c r="L163" s="26"/>
      <c r="M163" s="26"/>
      <c r="N163" s="26"/>
      <c r="O163" s="26"/>
      <c r="P163" s="21"/>
      <c r="Q163" s="21"/>
      <c r="R163" s="21"/>
      <c r="S163" s="26"/>
    </row>
    <row r="164" customFormat="false" ht="15" hidden="false" customHeight="true" outlineLevel="0" collapsed="false">
      <c r="A164" s="26"/>
      <c r="B164" s="26"/>
      <c r="C164" s="26"/>
      <c r="D164" s="26"/>
      <c r="E164" s="26"/>
      <c r="F164" s="26"/>
      <c r="G164" s="26"/>
      <c r="H164" s="26"/>
      <c r="I164" s="26"/>
      <c r="J164" s="26"/>
      <c r="K164" s="26"/>
      <c r="L164" s="26"/>
      <c r="M164" s="26"/>
      <c r="N164" s="26"/>
      <c r="O164" s="26"/>
      <c r="P164" s="21"/>
      <c r="Q164" s="21"/>
      <c r="R164" s="21"/>
      <c r="S164" s="26"/>
    </row>
    <row r="165" customFormat="false" ht="15" hidden="false" customHeight="true" outlineLevel="0" collapsed="false">
      <c r="A165" s="26"/>
      <c r="B165" s="26"/>
      <c r="C165" s="26"/>
      <c r="D165" s="26"/>
      <c r="E165" s="26"/>
      <c r="F165" s="26"/>
      <c r="G165" s="26"/>
      <c r="H165" s="26"/>
      <c r="I165" s="26"/>
      <c r="J165" s="26"/>
      <c r="K165" s="26"/>
      <c r="L165" s="26"/>
      <c r="M165" s="26"/>
      <c r="N165" s="26"/>
      <c r="O165" s="26"/>
      <c r="P165" s="21"/>
      <c r="Q165" s="21"/>
      <c r="R165" s="21"/>
      <c r="S165" s="26"/>
    </row>
    <row r="166" customFormat="false" ht="15" hidden="false" customHeight="true" outlineLevel="0" collapsed="false">
      <c r="A166" s="26"/>
      <c r="B166" s="26"/>
      <c r="C166" s="26"/>
      <c r="D166" s="26"/>
      <c r="E166" s="26"/>
      <c r="F166" s="26"/>
      <c r="G166" s="26"/>
      <c r="H166" s="26"/>
      <c r="I166" s="26"/>
      <c r="J166" s="26"/>
      <c r="K166" s="26"/>
      <c r="L166" s="26"/>
      <c r="M166" s="26"/>
      <c r="N166" s="26"/>
      <c r="O166" s="26"/>
      <c r="P166" s="21"/>
      <c r="Q166" s="21"/>
      <c r="R166" s="21"/>
      <c r="S166" s="26"/>
    </row>
    <row r="167" customFormat="false" ht="15" hidden="false" customHeight="true" outlineLevel="0" collapsed="false">
      <c r="A167" s="26"/>
      <c r="B167" s="26"/>
      <c r="C167" s="26"/>
      <c r="D167" s="26"/>
      <c r="E167" s="26"/>
      <c r="F167" s="26"/>
      <c r="G167" s="26"/>
      <c r="H167" s="26"/>
      <c r="I167" s="26"/>
      <c r="J167" s="26"/>
      <c r="K167" s="26"/>
      <c r="L167" s="26"/>
      <c r="M167" s="26"/>
      <c r="N167" s="26"/>
      <c r="O167" s="26"/>
      <c r="P167" s="21"/>
      <c r="Q167" s="21"/>
      <c r="R167" s="21"/>
      <c r="S167" s="26"/>
    </row>
    <row r="168" customFormat="false" ht="15" hidden="false" customHeight="true" outlineLevel="0" collapsed="false">
      <c r="A168" s="26"/>
      <c r="B168" s="26"/>
      <c r="C168" s="26"/>
      <c r="D168" s="26"/>
      <c r="E168" s="26"/>
      <c r="F168" s="26"/>
      <c r="G168" s="26"/>
      <c r="H168" s="26"/>
      <c r="I168" s="26"/>
      <c r="J168" s="26"/>
      <c r="K168" s="26"/>
      <c r="L168" s="26"/>
      <c r="M168" s="26"/>
      <c r="N168" s="26"/>
      <c r="O168" s="26"/>
      <c r="P168" s="21"/>
      <c r="Q168" s="21"/>
      <c r="R168" s="21"/>
      <c r="S168" s="26"/>
    </row>
    <row r="169" customFormat="false" ht="15" hidden="false" customHeight="true" outlineLevel="0" collapsed="false">
      <c r="A169" s="26"/>
      <c r="B169" s="26"/>
      <c r="C169" s="26"/>
      <c r="D169" s="26"/>
      <c r="E169" s="26"/>
      <c r="F169" s="26"/>
      <c r="G169" s="26"/>
      <c r="H169" s="26"/>
      <c r="I169" s="26"/>
      <c r="J169" s="26"/>
      <c r="K169" s="26"/>
      <c r="L169" s="26"/>
      <c r="M169" s="26"/>
      <c r="N169" s="26"/>
      <c r="O169" s="26"/>
      <c r="P169" s="21"/>
      <c r="Q169" s="21"/>
      <c r="R169" s="21"/>
      <c r="S169" s="26"/>
    </row>
    <row r="170" customFormat="false" ht="15" hidden="false" customHeight="true" outlineLevel="0" collapsed="false">
      <c r="A170" s="26"/>
      <c r="B170" s="26"/>
      <c r="C170" s="26"/>
      <c r="D170" s="26"/>
      <c r="E170" s="26"/>
      <c r="F170" s="26"/>
      <c r="G170" s="26"/>
      <c r="H170" s="26"/>
      <c r="I170" s="26"/>
      <c r="J170" s="26"/>
      <c r="K170" s="26"/>
      <c r="L170" s="26"/>
      <c r="M170" s="26"/>
      <c r="N170" s="26"/>
      <c r="O170" s="26"/>
      <c r="P170" s="21"/>
      <c r="Q170" s="21"/>
      <c r="R170" s="21"/>
      <c r="S170" s="26"/>
    </row>
    <row r="171" customFormat="false" ht="15" hidden="false" customHeight="true" outlineLevel="0" collapsed="false">
      <c r="A171" s="26"/>
      <c r="B171" s="26"/>
      <c r="C171" s="26"/>
      <c r="D171" s="26"/>
      <c r="E171" s="26"/>
      <c r="F171" s="26"/>
      <c r="G171" s="26"/>
      <c r="H171" s="26"/>
      <c r="I171" s="26"/>
      <c r="J171" s="26"/>
      <c r="K171" s="26"/>
      <c r="L171" s="26"/>
      <c r="M171" s="26"/>
      <c r="N171" s="26"/>
      <c r="O171" s="26"/>
      <c r="P171" s="21"/>
      <c r="Q171" s="21"/>
      <c r="R171" s="21"/>
      <c r="S171" s="26"/>
    </row>
    <row r="172" customFormat="false" ht="15" hidden="false" customHeight="true" outlineLevel="0" collapsed="false">
      <c r="A172" s="26"/>
      <c r="B172" s="26"/>
      <c r="C172" s="26"/>
      <c r="D172" s="26"/>
      <c r="E172" s="26"/>
      <c r="F172" s="26"/>
      <c r="G172" s="26"/>
      <c r="H172" s="26"/>
      <c r="I172" s="26"/>
      <c r="J172" s="26"/>
      <c r="K172" s="26"/>
      <c r="L172" s="26"/>
      <c r="M172" s="26"/>
      <c r="N172" s="26"/>
      <c r="O172" s="26"/>
      <c r="P172" s="21"/>
      <c r="Q172" s="21"/>
      <c r="R172" s="21"/>
      <c r="S172" s="26"/>
    </row>
    <row r="173" customFormat="false" ht="15" hidden="false" customHeight="true" outlineLevel="0" collapsed="false">
      <c r="A173" s="26"/>
      <c r="B173" s="26"/>
      <c r="C173" s="26"/>
      <c r="D173" s="26"/>
      <c r="E173" s="26"/>
      <c r="F173" s="26"/>
      <c r="G173" s="26"/>
      <c r="H173" s="26"/>
      <c r="I173" s="26"/>
      <c r="J173" s="26"/>
      <c r="K173" s="26"/>
      <c r="L173" s="26"/>
      <c r="M173" s="26"/>
      <c r="N173" s="26"/>
      <c r="O173" s="26"/>
      <c r="P173" s="21"/>
      <c r="Q173" s="21"/>
      <c r="R173" s="21"/>
      <c r="S173" s="26"/>
    </row>
    <row r="174" customFormat="false" ht="15" hidden="false" customHeight="true" outlineLevel="0" collapsed="false">
      <c r="A174" s="26"/>
      <c r="B174" s="26"/>
      <c r="C174" s="26"/>
      <c r="D174" s="26"/>
      <c r="E174" s="26"/>
      <c r="F174" s="26"/>
      <c r="G174" s="26"/>
      <c r="H174" s="26"/>
      <c r="I174" s="26"/>
      <c r="J174" s="26"/>
      <c r="K174" s="26"/>
      <c r="L174" s="26"/>
      <c r="M174" s="26"/>
      <c r="N174" s="26"/>
      <c r="O174" s="26"/>
      <c r="P174" s="21"/>
      <c r="Q174" s="21"/>
      <c r="R174" s="21"/>
      <c r="S174" s="26"/>
    </row>
    <row r="175" customFormat="false" ht="15" hidden="false" customHeight="true" outlineLevel="0" collapsed="false">
      <c r="A175" s="26"/>
      <c r="B175" s="26"/>
      <c r="C175" s="26"/>
      <c r="D175" s="26"/>
      <c r="E175" s="26"/>
      <c r="F175" s="26"/>
      <c r="G175" s="26"/>
      <c r="H175" s="26"/>
      <c r="I175" s="26"/>
      <c r="J175" s="26"/>
      <c r="K175" s="26"/>
      <c r="L175" s="26"/>
      <c r="M175" s="26"/>
      <c r="N175" s="26"/>
      <c r="O175" s="26"/>
      <c r="P175" s="21"/>
      <c r="Q175" s="21"/>
      <c r="R175" s="21"/>
      <c r="S175" s="26"/>
    </row>
    <row r="176" customFormat="false" ht="15" hidden="false" customHeight="true" outlineLevel="0" collapsed="false">
      <c r="A176" s="26"/>
      <c r="B176" s="26"/>
      <c r="C176" s="26"/>
      <c r="D176" s="26"/>
      <c r="E176" s="26"/>
      <c r="F176" s="26"/>
      <c r="G176" s="26"/>
      <c r="H176" s="26"/>
      <c r="I176" s="26"/>
      <c r="J176" s="26"/>
      <c r="K176" s="26"/>
      <c r="L176" s="26"/>
      <c r="M176" s="26"/>
      <c r="N176" s="26"/>
      <c r="O176" s="26"/>
      <c r="P176" s="21"/>
      <c r="Q176" s="21"/>
      <c r="R176" s="21"/>
      <c r="S176" s="26"/>
    </row>
    <row r="177" customFormat="false" ht="15" hidden="false" customHeight="true" outlineLevel="0" collapsed="false">
      <c r="A177" s="26"/>
      <c r="B177" s="26"/>
      <c r="C177" s="26"/>
      <c r="D177" s="26"/>
      <c r="E177" s="26"/>
      <c r="F177" s="26"/>
      <c r="G177" s="26"/>
      <c r="H177" s="26"/>
      <c r="I177" s="26"/>
      <c r="J177" s="26"/>
      <c r="K177" s="26"/>
      <c r="L177" s="26"/>
      <c r="M177" s="26"/>
      <c r="N177" s="26"/>
      <c r="O177" s="26"/>
      <c r="P177" s="21"/>
      <c r="Q177" s="21"/>
      <c r="R177" s="21"/>
      <c r="S177" s="26"/>
    </row>
    <row r="178" customFormat="false" ht="15" hidden="false" customHeight="true" outlineLevel="0" collapsed="false">
      <c r="A178" s="26"/>
      <c r="B178" s="26"/>
      <c r="C178" s="26"/>
      <c r="D178" s="26"/>
      <c r="E178" s="26"/>
      <c r="F178" s="26"/>
      <c r="G178" s="26"/>
      <c r="H178" s="26"/>
      <c r="I178" s="26"/>
      <c r="J178" s="26"/>
      <c r="K178" s="26"/>
      <c r="L178" s="26"/>
      <c r="M178" s="26"/>
      <c r="N178" s="26"/>
      <c r="O178" s="26"/>
      <c r="P178" s="21"/>
      <c r="Q178" s="21"/>
      <c r="R178" s="21"/>
      <c r="S178" s="26"/>
    </row>
    <row r="179" customFormat="false" ht="15" hidden="false" customHeight="true" outlineLevel="0" collapsed="false">
      <c r="A179" s="26"/>
      <c r="B179" s="26"/>
      <c r="C179" s="26"/>
      <c r="D179" s="26"/>
      <c r="E179" s="26"/>
      <c r="F179" s="26"/>
      <c r="G179" s="26"/>
      <c r="H179" s="26"/>
      <c r="I179" s="26"/>
      <c r="J179" s="26"/>
      <c r="K179" s="26"/>
      <c r="L179" s="26"/>
      <c r="M179" s="26"/>
      <c r="N179" s="26"/>
      <c r="O179" s="26"/>
      <c r="P179" s="21"/>
      <c r="Q179" s="21"/>
      <c r="R179" s="21"/>
      <c r="S179" s="26"/>
    </row>
    <row r="180" customFormat="false" ht="15" hidden="false" customHeight="true" outlineLevel="0" collapsed="false">
      <c r="A180" s="26"/>
      <c r="B180" s="26"/>
      <c r="C180" s="26"/>
      <c r="D180" s="26"/>
      <c r="E180" s="26"/>
      <c r="F180" s="26"/>
      <c r="G180" s="26"/>
      <c r="H180" s="26"/>
      <c r="I180" s="26"/>
      <c r="J180" s="26"/>
      <c r="K180" s="26"/>
      <c r="L180" s="26"/>
      <c r="M180" s="26"/>
      <c r="N180" s="26"/>
      <c r="O180" s="26"/>
      <c r="P180" s="21"/>
      <c r="Q180" s="21"/>
      <c r="R180" s="21"/>
      <c r="S180" s="26"/>
    </row>
    <row r="181" customFormat="false" ht="15" hidden="false" customHeight="true" outlineLevel="0" collapsed="false">
      <c r="A181" s="26"/>
      <c r="B181" s="26"/>
      <c r="C181" s="26"/>
      <c r="D181" s="26"/>
      <c r="E181" s="26"/>
      <c r="F181" s="26"/>
      <c r="G181" s="26"/>
      <c r="H181" s="26"/>
      <c r="I181" s="26"/>
      <c r="J181" s="26"/>
      <c r="K181" s="26"/>
      <c r="L181" s="26"/>
      <c r="M181" s="26"/>
      <c r="N181" s="26"/>
      <c r="O181" s="26"/>
      <c r="P181" s="21"/>
      <c r="Q181" s="21"/>
      <c r="R181" s="21"/>
      <c r="S181" s="26"/>
    </row>
    <row r="182" customFormat="false" ht="15" hidden="false" customHeight="true" outlineLevel="0" collapsed="false">
      <c r="A182" s="26"/>
      <c r="B182" s="26"/>
      <c r="C182" s="26"/>
      <c r="D182" s="26"/>
      <c r="E182" s="26"/>
      <c r="F182" s="26"/>
      <c r="G182" s="26"/>
      <c r="H182" s="26"/>
      <c r="I182" s="26"/>
      <c r="J182" s="26"/>
      <c r="K182" s="26"/>
      <c r="L182" s="26"/>
      <c r="M182" s="26"/>
      <c r="N182" s="26"/>
      <c r="O182" s="26"/>
      <c r="P182" s="21"/>
      <c r="Q182" s="21"/>
      <c r="R182" s="21"/>
      <c r="S182" s="26"/>
    </row>
    <row r="183" customFormat="false" ht="15" hidden="false" customHeight="true" outlineLevel="0" collapsed="false">
      <c r="A183" s="26"/>
      <c r="B183" s="26"/>
      <c r="C183" s="26"/>
      <c r="D183" s="26"/>
      <c r="E183" s="26"/>
      <c r="F183" s="26"/>
      <c r="G183" s="26"/>
      <c r="H183" s="26"/>
      <c r="I183" s="26"/>
      <c r="J183" s="26"/>
      <c r="K183" s="26"/>
      <c r="L183" s="26"/>
      <c r="M183" s="26"/>
      <c r="N183" s="26"/>
      <c r="O183" s="26"/>
      <c r="P183" s="21"/>
      <c r="Q183" s="21"/>
      <c r="R183" s="21"/>
      <c r="S183" s="26"/>
    </row>
    <row r="184" customFormat="false" ht="15" hidden="false" customHeight="true" outlineLevel="0" collapsed="false">
      <c r="A184" s="26"/>
      <c r="B184" s="26"/>
      <c r="C184" s="26"/>
      <c r="D184" s="26"/>
      <c r="E184" s="26"/>
      <c r="F184" s="26"/>
      <c r="G184" s="26"/>
      <c r="H184" s="26"/>
      <c r="I184" s="26"/>
      <c r="J184" s="26"/>
      <c r="K184" s="26"/>
      <c r="L184" s="26"/>
      <c r="M184" s="26"/>
      <c r="N184" s="26"/>
      <c r="O184" s="26"/>
      <c r="P184" s="21"/>
      <c r="Q184" s="21"/>
      <c r="R184" s="21"/>
      <c r="S184" s="26"/>
    </row>
    <row r="185" customFormat="false" ht="15" hidden="false" customHeight="true" outlineLevel="0" collapsed="false">
      <c r="A185" s="26"/>
      <c r="B185" s="26"/>
      <c r="C185" s="26"/>
      <c r="D185" s="26"/>
      <c r="E185" s="26"/>
      <c r="F185" s="26"/>
      <c r="G185" s="26"/>
      <c r="H185" s="26"/>
      <c r="I185" s="26"/>
      <c r="J185" s="26"/>
      <c r="K185" s="26"/>
      <c r="L185" s="26"/>
      <c r="M185" s="26"/>
      <c r="N185" s="26"/>
      <c r="O185" s="26"/>
      <c r="P185" s="21"/>
      <c r="Q185" s="21"/>
      <c r="R185" s="21"/>
      <c r="S185" s="26"/>
    </row>
    <row r="186" customFormat="false" ht="15" hidden="false" customHeight="true" outlineLevel="0" collapsed="false">
      <c r="A186" s="26"/>
      <c r="B186" s="26"/>
      <c r="C186" s="26"/>
      <c r="D186" s="26"/>
      <c r="E186" s="26"/>
      <c r="F186" s="26"/>
      <c r="G186" s="26"/>
      <c r="H186" s="26"/>
      <c r="I186" s="26"/>
      <c r="J186" s="26"/>
      <c r="K186" s="26"/>
      <c r="L186" s="26"/>
      <c r="M186" s="26"/>
      <c r="N186" s="26"/>
      <c r="O186" s="26"/>
      <c r="P186" s="21"/>
      <c r="Q186" s="21"/>
      <c r="R186" s="21"/>
      <c r="S186" s="26"/>
    </row>
    <row r="187" customFormat="false" ht="15" hidden="false" customHeight="true" outlineLevel="0" collapsed="false">
      <c r="A187" s="26"/>
      <c r="B187" s="26"/>
      <c r="C187" s="26"/>
      <c r="D187" s="26"/>
      <c r="E187" s="26"/>
      <c r="F187" s="26"/>
      <c r="G187" s="26"/>
      <c r="H187" s="26"/>
      <c r="I187" s="26"/>
      <c r="J187" s="26"/>
      <c r="K187" s="26"/>
      <c r="L187" s="26"/>
      <c r="M187" s="26"/>
      <c r="N187" s="26"/>
      <c r="O187" s="26"/>
      <c r="P187" s="21"/>
      <c r="Q187" s="21"/>
      <c r="R187" s="21"/>
      <c r="S187" s="26"/>
    </row>
    <row r="188" customFormat="false" ht="15" hidden="false" customHeight="true" outlineLevel="0" collapsed="false">
      <c r="A188" s="26"/>
      <c r="B188" s="26"/>
      <c r="C188" s="26"/>
      <c r="D188" s="26"/>
      <c r="E188" s="26"/>
      <c r="F188" s="26"/>
      <c r="G188" s="26"/>
      <c r="H188" s="26"/>
      <c r="I188" s="26"/>
      <c r="J188" s="26"/>
      <c r="K188" s="26"/>
      <c r="L188" s="26"/>
      <c r="M188" s="26"/>
      <c r="N188" s="26"/>
      <c r="O188" s="26"/>
      <c r="P188" s="21"/>
      <c r="Q188" s="21"/>
      <c r="R188" s="21"/>
      <c r="S188" s="26"/>
    </row>
    <row r="189" customFormat="false" ht="15" hidden="false" customHeight="true" outlineLevel="0" collapsed="false">
      <c r="A189" s="26"/>
      <c r="B189" s="26"/>
      <c r="C189" s="26"/>
      <c r="D189" s="26"/>
      <c r="E189" s="26"/>
      <c r="F189" s="26"/>
      <c r="G189" s="26"/>
      <c r="H189" s="26"/>
      <c r="I189" s="26"/>
      <c r="J189" s="26"/>
      <c r="K189" s="26"/>
      <c r="L189" s="26"/>
      <c r="M189" s="26"/>
      <c r="N189" s="26"/>
      <c r="O189" s="26"/>
      <c r="P189" s="21"/>
      <c r="Q189" s="21"/>
      <c r="R189" s="21"/>
      <c r="S189" s="26"/>
    </row>
    <row r="190" customFormat="false" ht="15" hidden="false" customHeight="true" outlineLevel="0" collapsed="false">
      <c r="A190" s="26"/>
      <c r="B190" s="26"/>
      <c r="C190" s="26"/>
      <c r="D190" s="26"/>
      <c r="E190" s="26"/>
      <c r="F190" s="26"/>
      <c r="G190" s="26"/>
      <c r="H190" s="26"/>
      <c r="I190" s="26"/>
      <c r="J190" s="26"/>
      <c r="K190" s="26"/>
      <c r="L190" s="26"/>
      <c r="M190" s="26"/>
      <c r="N190" s="26"/>
      <c r="O190" s="26"/>
      <c r="P190" s="21"/>
      <c r="Q190" s="21"/>
      <c r="R190" s="21"/>
      <c r="S190" s="26"/>
    </row>
    <row r="191" customFormat="false" ht="15" hidden="false" customHeight="true" outlineLevel="0" collapsed="false">
      <c r="A191" s="26"/>
      <c r="B191" s="26"/>
      <c r="C191" s="26"/>
      <c r="D191" s="26"/>
      <c r="E191" s="26"/>
      <c r="F191" s="26"/>
      <c r="G191" s="26"/>
      <c r="H191" s="26"/>
      <c r="I191" s="26"/>
      <c r="J191" s="26"/>
      <c r="K191" s="26"/>
      <c r="L191" s="26"/>
      <c r="M191" s="26"/>
      <c r="N191" s="26"/>
      <c r="O191" s="26"/>
      <c r="P191" s="21"/>
      <c r="Q191" s="21"/>
      <c r="R191" s="21"/>
      <c r="S191" s="26"/>
    </row>
    <row r="192" customFormat="false" ht="15" hidden="false" customHeight="true" outlineLevel="0" collapsed="false">
      <c r="A192" s="26"/>
      <c r="B192" s="26"/>
      <c r="C192" s="26"/>
      <c r="D192" s="26"/>
      <c r="E192" s="26"/>
      <c r="F192" s="26"/>
      <c r="G192" s="26"/>
      <c r="H192" s="26"/>
      <c r="I192" s="26"/>
      <c r="J192" s="26"/>
      <c r="K192" s="26"/>
      <c r="L192" s="26"/>
      <c r="M192" s="26"/>
      <c r="N192" s="26"/>
      <c r="O192" s="26"/>
      <c r="P192" s="21"/>
      <c r="Q192" s="21"/>
      <c r="R192" s="21"/>
      <c r="S192" s="26"/>
    </row>
    <row r="193" customFormat="false" ht="15" hidden="false" customHeight="true" outlineLevel="0" collapsed="false">
      <c r="A193" s="26"/>
      <c r="B193" s="26"/>
      <c r="C193" s="26"/>
      <c r="D193" s="26"/>
      <c r="E193" s="26"/>
      <c r="F193" s="26"/>
      <c r="G193" s="26"/>
      <c r="H193" s="26"/>
      <c r="I193" s="26"/>
      <c r="J193" s="26"/>
      <c r="K193" s="26"/>
      <c r="L193" s="26"/>
      <c r="M193" s="26"/>
      <c r="N193" s="26"/>
      <c r="O193" s="26"/>
      <c r="P193" s="21"/>
      <c r="Q193" s="21"/>
      <c r="R193" s="21"/>
      <c r="S193" s="26"/>
    </row>
    <row r="194" customFormat="false" ht="15" hidden="false" customHeight="true" outlineLevel="0" collapsed="false">
      <c r="A194" s="26"/>
      <c r="B194" s="26"/>
      <c r="C194" s="26"/>
      <c r="D194" s="26"/>
      <c r="E194" s="26"/>
      <c r="F194" s="26"/>
      <c r="G194" s="26"/>
      <c r="H194" s="26"/>
      <c r="I194" s="26"/>
      <c r="J194" s="26"/>
      <c r="K194" s="26"/>
      <c r="L194" s="26"/>
      <c r="M194" s="26"/>
      <c r="N194" s="26"/>
      <c r="O194" s="26"/>
      <c r="P194" s="21"/>
      <c r="Q194" s="21"/>
      <c r="R194" s="21"/>
      <c r="S194" s="26"/>
    </row>
    <row r="195" customFormat="false" ht="15" hidden="false" customHeight="true" outlineLevel="0" collapsed="false">
      <c r="A195" s="26"/>
      <c r="B195" s="26"/>
      <c r="C195" s="26"/>
      <c r="D195" s="26"/>
      <c r="E195" s="26"/>
      <c r="F195" s="26"/>
      <c r="G195" s="26"/>
      <c r="H195" s="26"/>
      <c r="I195" s="26"/>
      <c r="J195" s="26"/>
      <c r="K195" s="26"/>
      <c r="L195" s="26"/>
      <c r="M195" s="26"/>
      <c r="N195" s="26"/>
      <c r="O195" s="26"/>
      <c r="P195" s="21"/>
      <c r="Q195" s="21"/>
      <c r="R195" s="21"/>
      <c r="S195" s="26"/>
    </row>
    <row r="196" customFormat="false" ht="15" hidden="false" customHeight="true" outlineLevel="0" collapsed="false">
      <c r="A196" s="26"/>
      <c r="B196" s="26"/>
      <c r="C196" s="26"/>
      <c r="D196" s="26"/>
      <c r="E196" s="26"/>
      <c r="F196" s="26"/>
      <c r="G196" s="26"/>
      <c r="H196" s="26"/>
      <c r="I196" s="26"/>
      <c r="J196" s="26"/>
      <c r="K196" s="26"/>
      <c r="L196" s="26"/>
      <c r="M196" s="26"/>
      <c r="N196" s="26"/>
      <c r="O196" s="26"/>
      <c r="P196" s="21"/>
      <c r="Q196" s="21"/>
      <c r="R196" s="21"/>
      <c r="S196" s="26"/>
    </row>
    <row r="197" customFormat="false" ht="15" hidden="false" customHeight="true" outlineLevel="0" collapsed="false">
      <c r="A197" s="26"/>
      <c r="B197" s="26"/>
      <c r="C197" s="26"/>
      <c r="D197" s="26"/>
      <c r="E197" s="26"/>
      <c r="F197" s="26"/>
      <c r="G197" s="26"/>
      <c r="H197" s="26"/>
      <c r="I197" s="26"/>
      <c r="J197" s="26"/>
      <c r="K197" s="26"/>
      <c r="L197" s="26"/>
      <c r="M197" s="26"/>
      <c r="N197" s="26"/>
      <c r="O197" s="26"/>
      <c r="P197" s="21"/>
      <c r="Q197" s="21"/>
      <c r="R197" s="21"/>
      <c r="S197" s="26"/>
    </row>
    <row r="198" customFormat="false" ht="15" hidden="false" customHeight="true" outlineLevel="0" collapsed="false">
      <c r="A198" s="26"/>
      <c r="B198" s="26"/>
      <c r="C198" s="26"/>
      <c r="D198" s="26"/>
      <c r="E198" s="26"/>
      <c r="F198" s="26"/>
      <c r="G198" s="26"/>
      <c r="H198" s="26"/>
      <c r="I198" s="26"/>
      <c r="J198" s="26"/>
      <c r="K198" s="26"/>
      <c r="L198" s="26"/>
      <c r="M198" s="26"/>
      <c r="N198" s="26"/>
      <c r="O198" s="26"/>
      <c r="P198" s="21"/>
      <c r="Q198" s="21"/>
      <c r="R198" s="21"/>
      <c r="S198" s="26"/>
    </row>
    <row r="199" customFormat="false" ht="15" hidden="false" customHeight="true" outlineLevel="0" collapsed="false">
      <c r="A199" s="26"/>
      <c r="B199" s="26"/>
      <c r="C199" s="26"/>
      <c r="D199" s="26"/>
      <c r="E199" s="26"/>
      <c r="F199" s="26"/>
      <c r="G199" s="26"/>
      <c r="H199" s="26"/>
      <c r="I199" s="26"/>
      <c r="J199" s="26"/>
      <c r="K199" s="26"/>
      <c r="L199" s="26"/>
      <c r="M199" s="26"/>
      <c r="N199" s="26"/>
      <c r="O199" s="26"/>
      <c r="P199" s="21"/>
      <c r="Q199" s="21"/>
      <c r="R199" s="21"/>
      <c r="S199" s="26"/>
    </row>
    <row r="200" customFormat="false" ht="15" hidden="false" customHeight="true" outlineLevel="0" collapsed="false">
      <c r="A200" s="26"/>
      <c r="B200" s="26"/>
      <c r="C200" s="26"/>
      <c r="D200" s="26"/>
      <c r="E200" s="26"/>
      <c r="F200" s="26"/>
      <c r="G200" s="26"/>
      <c r="H200" s="26"/>
      <c r="I200" s="26"/>
      <c r="J200" s="26"/>
      <c r="K200" s="26"/>
      <c r="L200" s="26"/>
      <c r="M200" s="26"/>
      <c r="N200" s="26"/>
      <c r="O200" s="26"/>
      <c r="P200" s="21"/>
      <c r="Q200" s="21"/>
      <c r="R200" s="21"/>
      <c r="S200" s="26"/>
    </row>
    <row r="201" customFormat="false" ht="15" hidden="false" customHeight="true" outlineLevel="0" collapsed="false">
      <c r="A201" s="26"/>
      <c r="B201" s="26"/>
      <c r="C201" s="26"/>
      <c r="D201" s="26"/>
      <c r="E201" s="26"/>
      <c r="F201" s="26"/>
      <c r="G201" s="26"/>
      <c r="H201" s="26"/>
      <c r="I201" s="26"/>
      <c r="J201" s="26"/>
      <c r="K201" s="26"/>
      <c r="L201" s="26"/>
      <c r="M201" s="26"/>
      <c r="N201" s="26"/>
      <c r="O201" s="26"/>
      <c r="P201" s="21"/>
      <c r="Q201" s="21"/>
      <c r="R201" s="21"/>
      <c r="S201" s="26"/>
    </row>
    <row r="202" customFormat="false" ht="15" hidden="false" customHeight="true" outlineLevel="0" collapsed="false">
      <c r="A202" s="26"/>
      <c r="B202" s="26"/>
      <c r="C202" s="26"/>
      <c r="D202" s="26"/>
      <c r="E202" s="26"/>
      <c r="F202" s="26"/>
      <c r="G202" s="26"/>
      <c r="H202" s="26"/>
      <c r="I202" s="26"/>
      <c r="J202" s="26"/>
      <c r="K202" s="26"/>
      <c r="L202" s="26"/>
      <c r="M202" s="26"/>
      <c r="N202" s="26"/>
      <c r="O202" s="26"/>
      <c r="P202" s="21"/>
      <c r="Q202" s="21"/>
      <c r="R202" s="21"/>
      <c r="S202" s="26"/>
    </row>
    <row r="203" customFormat="false" ht="15" hidden="false" customHeight="true" outlineLevel="0" collapsed="false">
      <c r="A203" s="26"/>
      <c r="B203" s="26"/>
      <c r="C203" s="26"/>
      <c r="D203" s="26"/>
      <c r="E203" s="26"/>
      <c r="F203" s="26"/>
      <c r="G203" s="26"/>
      <c r="H203" s="26"/>
      <c r="I203" s="26"/>
      <c r="J203" s="26"/>
      <c r="K203" s="26"/>
      <c r="L203" s="26"/>
      <c r="M203" s="26"/>
      <c r="N203" s="26"/>
      <c r="O203" s="26"/>
      <c r="P203" s="21"/>
      <c r="Q203" s="21"/>
      <c r="R203" s="21"/>
      <c r="S203" s="26"/>
    </row>
    <row r="204" customFormat="false" ht="15" hidden="false" customHeight="true" outlineLevel="0" collapsed="false">
      <c r="A204" s="26"/>
      <c r="B204" s="26"/>
      <c r="C204" s="26"/>
      <c r="D204" s="26"/>
      <c r="E204" s="26"/>
      <c r="F204" s="26"/>
      <c r="G204" s="26"/>
      <c r="H204" s="26"/>
      <c r="I204" s="26"/>
      <c r="J204" s="26"/>
      <c r="K204" s="26"/>
      <c r="L204" s="26"/>
      <c r="M204" s="26"/>
      <c r="N204" s="26"/>
      <c r="O204" s="26"/>
      <c r="P204" s="21"/>
      <c r="Q204" s="21"/>
      <c r="R204" s="21"/>
      <c r="S204" s="26"/>
    </row>
    <row r="205" customFormat="false" ht="15" hidden="false" customHeight="true" outlineLevel="0" collapsed="false">
      <c r="A205" s="26"/>
      <c r="B205" s="26"/>
      <c r="C205" s="26"/>
      <c r="D205" s="26"/>
      <c r="E205" s="26"/>
      <c r="F205" s="26"/>
      <c r="G205" s="26"/>
      <c r="H205" s="26"/>
      <c r="I205" s="26"/>
      <c r="J205" s="26"/>
      <c r="K205" s="26"/>
      <c r="L205" s="26"/>
      <c r="M205" s="26"/>
      <c r="N205" s="26"/>
      <c r="O205" s="26"/>
      <c r="P205" s="21"/>
      <c r="Q205" s="21"/>
      <c r="R205" s="21"/>
      <c r="S205" s="26"/>
    </row>
    <row r="206" customFormat="false" ht="15" hidden="false" customHeight="true" outlineLevel="0" collapsed="false">
      <c r="A206" s="26"/>
      <c r="B206" s="26"/>
      <c r="C206" s="26"/>
      <c r="D206" s="26"/>
      <c r="E206" s="26"/>
      <c r="F206" s="26"/>
      <c r="G206" s="26"/>
      <c r="H206" s="26"/>
      <c r="I206" s="26"/>
      <c r="J206" s="26"/>
      <c r="K206" s="26"/>
      <c r="L206" s="26"/>
      <c r="M206" s="26"/>
      <c r="N206" s="26"/>
      <c r="O206" s="26"/>
      <c r="P206" s="21"/>
      <c r="Q206" s="21"/>
      <c r="R206" s="21"/>
      <c r="S206" s="26"/>
    </row>
    <row r="207" customFormat="false" ht="15" hidden="false" customHeight="true" outlineLevel="0" collapsed="false">
      <c r="A207" s="26"/>
      <c r="B207" s="26"/>
      <c r="C207" s="26"/>
      <c r="D207" s="26"/>
      <c r="E207" s="26"/>
      <c r="F207" s="26"/>
      <c r="G207" s="26"/>
      <c r="H207" s="26"/>
      <c r="I207" s="26"/>
      <c r="J207" s="26"/>
      <c r="K207" s="26"/>
      <c r="L207" s="26"/>
      <c r="M207" s="26"/>
      <c r="N207" s="26"/>
      <c r="O207" s="26"/>
      <c r="P207" s="21"/>
      <c r="Q207" s="21"/>
      <c r="R207" s="21"/>
      <c r="S207" s="26"/>
    </row>
    <row r="208" customFormat="false" ht="15" hidden="false" customHeight="true" outlineLevel="0" collapsed="false">
      <c r="A208" s="26"/>
      <c r="B208" s="26"/>
      <c r="C208" s="26"/>
      <c r="D208" s="26"/>
      <c r="E208" s="26"/>
      <c r="F208" s="26"/>
      <c r="G208" s="26"/>
      <c r="H208" s="26"/>
      <c r="I208" s="26"/>
      <c r="J208" s="26"/>
      <c r="K208" s="26"/>
      <c r="L208" s="26"/>
      <c r="M208" s="26"/>
      <c r="N208" s="26"/>
      <c r="O208" s="26"/>
      <c r="P208" s="21"/>
      <c r="Q208" s="21"/>
      <c r="R208" s="21"/>
      <c r="S208" s="26"/>
    </row>
    <row r="209" customFormat="false" ht="15" hidden="false" customHeight="true" outlineLevel="0" collapsed="false">
      <c r="A209" s="26"/>
      <c r="B209" s="26"/>
      <c r="C209" s="26"/>
      <c r="D209" s="26"/>
      <c r="E209" s="26"/>
      <c r="F209" s="26"/>
      <c r="G209" s="26"/>
      <c r="H209" s="26"/>
      <c r="I209" s="26"/>
      <c r="J209" s="26"/>
      <c r="K209" s="26"/>
      <c r="L209" s="26"/>
      <c r="M209" s="26"/>
      <c r="N209" s="26"/>
      <c r="O209" s="26"/>
      <c r="P209" s="21"/>
      <c r="Q209" s="21"/>
      <c r="R209" s="21"/>
      <c r="S209" s="26"/>
    </row>
    <row r="210" customFormat="false" ht="15" hidden="false" customHeight="true" outlineLevel="0" collapsed="false">
      <c r="A210" s="26"/>
      <c r="B210" s="26"/>
      <c r="C210" s="26"/>
      <c r="D210" s="26"/>
      <c r="E210" s="26"/>
      <c r="F210" s="26"/>
      <c r="G210" s="26"/>
      <c r="H210" s="26"/>
      <c r="I210" s="26"/>
      <c r="J210" s="26"/>
      <c r="K210" s="26"/>
      <c r="L210" s="26"/>
      <c r="M210" s="26"/>
      <c r="N210" s="26"/>
      <c r="O210" s="26"/>
      <c r="P210" s="21"/>
      <c r="Q210" s="21"/>
      <c r="R210" s="21"/>
      <c r="S210" s="26"/>
    </row>
    <row r="211" customFormat="false" ht="15" hidden="false" customHeight="true" outlineLevel="0" collapsed="false">
      <c r="A211" s="26"/>
      <c r="B211" s="26"/>
      <c r="C211" s="26"/>
      <c r="D211" s="26"/>
      <c r="E211" s="26"/>
      <c r="F211" s="26"/>
      <c r="G211" s="26"/>
      <c r="H211" s="26"/>
      <c r="I211" s="26"/>
      <c r="J211" s="26"/>
      <c r="K211" s="26"/>
      <c r="L211" s="26"/>
      <c r="M211" s="26"/>
      <c r="N211" s="26"/>
      <c r="O211" s="26"/>
      <c r="P211" s="21"/>
      <c r="Q211" s="21"/>
      <c r="R211" s="21"/>
      <c r="S211" s="26"/>
    </row>
    <row r="212" customFormat="false" ht="15" hidden="false" customHeight="true" outlineLevel="0" collapsed="false">
      <c r="A212" s="26"/>
      <c r="B212" s="26"/>
      <c r="C212" s="26"/>
      <c r="D212" s="26"/>
      <c r="E212" s="26"/>
      <c r="F212" s="26"/>
      <c r="G212" s="26"/>
      <c r="H212" s="26"/>
      <c r="I212" s="26"/>
      <c r="J212" s="26"/>
      <c r="K212" s="26"/>
      <c r="L212" s="26"/>
      <c r="M212" s="26"/>
      <c r="N212" s="26"/>
      <c r="O212" s="26"/>
      <c r="P212" s="21"/>
      <c r="Q212" s="21"/>
      <c r="R212" s="21"/>
      <c r="S212" s="26"/>
    </row>
    <row r="213" customFormat="false" ht="15" hidden="false" customHeight="true" outlineLevel="0" collapsed="false">
      <c r="A213" s="26"/>
      <c r="B213" s="26"/>
      <c r="C213" s="26"/>
      <c r="D213" s="26"/>
      <c r="E213" s="26"/>
      <c r="F213" s="26"/>
      <c r="G213" s="26"/>
      <c r="H213" s="26"/>
      <c r="I213" s="26"/>
      <c r="J213" s="26"/>
      <c r="K213" s="26"/>
      <c r="L213" s="26"/>
      <c r="M213" s="26"/>
      <c r="N213" s="26"/>
      <c r="O213" s="26"/>
      <c r="P213" s="21"/>
      <c r="Q213" s="21"/>
      <c r="R213" s="21"/>
      <c r="S213" s="26"/>
    </row>
    <row r="214" customFormat="false" ht="15" hidden="false" customHeight="true" outlineLevel="0" collapsed="false">
      <c r="A214" s="26"/>
      <c r="B214" s="26"/>
      <c r="C214" s="26"/>
      <c r="D214" s="26"/>
      <c r="E214" s="26"/>
      <c r="F214" s="26"/>
      <c r="G214" s="26"/>
      <c r="H214" s="26"/>
      <c r="I214" s="26"/>
      <c r="J214" s="26"/>
      <c r="K214" s="26"/>
      <c r="L214" s="26"/>
      <c r="M214" s="26"/>
      <c r="N214" s="26"/>
      <c r="O214" s="26"/>
      <c r="P214" s="21"/>
      <c r="Q214" s="21"/>
      <c r="R214" s="21"/>
      <c r="S214" s="26"/>
    </row>
    <row r="215" customFormat="false" ht="15" hidden="false" customHeight="true" outlineLevel="0" collapsed="false">
      <c r="A215" s="26"/>
      <c r="B215" s="26"/>
      <c r="C215" s="26"/>
      <c r="D215" s="26"/>
      <c r="E215" s="26"/>
      <c r="F215" s="26"/>
      <c r="G215" s="26"/>
      <c r="H215" s="26"/>
      <c r="I215" s="26"/>
      <c r="J215" s="26"/>
      <c r="K215" s="26"/>
      <c r="L215" s="26"/>
      <c r="M215" s="26"/>
      <c r="N215" s="26"/>
      <c r="O215" s="26"/>
      <c r="P215" s="21"/>
      <c r="Q215" s="21"/>
      <c r="R215" s="21"/>
      <c r="S215" s="26"/>
    </row>
    <row r="216" customFormat="false" ht="15" hidden="false" customHeight="true" outlineLevel="0" collapsed="false">
      <c r="A216" s="26"/>
      <c r="B216" s="26"/>
      <c r="C216" s="26"/>
      <c r="D216" s="26"/>
      <c r="E216" s="26"/>
      <c r="F216" s="26"/>
      <c r="G216" s="26"/>
      <c r="H216" s="26"/>
      <c r="I216" s="26"/>
      <c r="J216" s="26"/>
      <c r="K216" s="26"/>
      <c r="L216" s="26"/>
      <c r="M216" s="26"/>
      <c r="N216" s="26"/>
      <c r="O216" s="26"/>
      <c r="P216" s="21"/>
      <c r="Q216" s="21"/>
      <c r="R216" s="21"/>
      <c r="S216" s="26"/>
    </row>
    <row r="217" customFormat="false" ht="15" hidden="false" customHeight="true" outlineLevel="0" collapsed="false">
      <c r="A217" s="26"/>
      <c r="B217" s="26"/>
      <c r="C217" s="26"/>
      <c r="D217" s="26"/>
      <c r="E217" s="26"/>
      <c r="F217" s="26"/>
      <c r="G217" s="26"/>
      <c r="H217" s="26"/>
      <c r="I217" s="26"/>
      <c r="J217" s="26"/>
      <c r="K217" s="26"/>
      <c r="L217" s="26"/>
      <c r="M217" s="26"/>
      <c r="N217" s="26"/>
      <c r="O217" s="26"/>
      <c r="P217" s="21"/>
      <c r="Q217" s="21"/>
      <c r="R217" s="21"/>
      <c r="S217" s="26"/>
    </row>
    <row r="218" customFormat="false" ht="15" hidden="false" customHeight="true" outlineLevel="0" collapsed="false">
      <c r="A218" s="26"/>
      <c r="B218" s="26"/>
      <c r="C218" s="26"/>
      <c r="D218" s="26"/>
      <c r="E218" s="26"/>
      <c r="F218" s="26"/>
      <c r="G218" s="26"/>
      <c r="H218" s="26"/>
      <c r="I218" s="26"/>
      <c r="J218" s="26"/>
      <c r="K218" s="26"/>
      <c r="L218" s="26"/>
      <c r="M218" s="26"/>
      <c r="N218" s="26"/>
      <c r="O218" s="26"/>
      <c r="P218" s="21"/>
      <c r="Q218" s="21"/>
      <c r="R218" s="21"/>
      <c r="S218" s="26"/>
    </row>
    <row r="219" customFormat="false" ht="15" hidden="false" customHeight="true" outlineLevel="0" collapsed="false">
      <c r="A219" s="26"/>
      <c r="B219" s="26"/>
      <c r="C219" s="26"/>
      <c r="D219" s="26"/>
      <c r="E219" s="26"/>
      <c r="F219" s="26"/>
      <c r="G219" s="26"/>
      <c r="H219" s="26"/>
      <c r="I219" s="26"/>
      <c r="J219" s="26"/>
      <c r="K219" s="26"/>
      <c r="L219" s="26"/>
      <c r="M219" s="26"/>
      <c r="N219" s="26"/>
      <c r="O219" s="26"/>
      <c r="P219" s="21"/>
      <c r="Q219" s="21"/>
      <c r="R219" s="21"/>
      <c r="S219" s="26"/>
    </row>
    <row r="220" customFormat="false" ht="15" hidden="false" customHeight="true" outlineLevel="0" collapsed="false">
      <c r="A220" s="26"/>
      <c r="B220" s="26"/>
      <c r="C220" s="26"/>
      <c r="D220" s="26"/>
      <c r="E220" s="26"/>
      <c r="F220" s="26"/>
      <c r="G220" s="26"/>
      <c r="H220" s="26"/>
      <c r="I220" s="26"/>
      <c r="J220" s="26"/>
      <c r="K220" s="26"/>
      <c r="L220" s="26"/>
      <c r="M220" s="26"/>
      <c r="N220" s="26"/>
      <c r="O220" s="26"/>
      <c r="P220" s="21"/>
      <c r="Q220" s="21"/>
      <c r="R220" s="21"/>
      <c r="S220" s="26"/>
    </row>
    <row r="221" customFormat="false" ht="15" hidden="false" customHeight="true" outlineLevel="0" collapsed="false">
      <c r="A221" s="26"/>
      <c r="B221" s="26"/>
      <c r="C221" s="26"/>
      <c r="D221" s="26"/>
      <c r="E221" s="26"/>
      <c r="F221" s="26"/>
      <c r="G221" s="26"/>
      <c r="H221" s="26"/>
      <c r="I221" s="26"/>
      <c r="J221" s="26"/>
      <c r="K221" s="26"/>
      <c r="L221" s="26"/>
      <c r="M221" s="26"/>
      <c r="N221" s="26"/>
      <c r="O221" s="26"/>
      <c r="P221" s="21"/>
      <c r="Q221" s="21"/>
      <c r="R221" s="21"/>
      <c r="S221" s="26"/>
    </row>
    <row r="222" customFormat="false" ht="15" hidden="false" customHeight="true" outlineLevel="0" collapsed="false">
      <c r="A222" s="26"/>
      <c r="B222" s="26"/>
      <c r="C222" s="26"/>
      <c r="D222" s="26"/>
      <c r="E222" s="26"/>
      <c r="F222" s="26"/>
      <c r="G222" s="26"/>
      <c r="H222" s="26"/>
      <c r="I222" s="26"/>
      <c r="J222" s="26"/>
      <c r="K222" s="26"/>
      <c r="L222" s="26"/>
      <c r="M222" s="26"/>
      <c r="N222" s="26"/>
      <c r="O222" s="26"/>
      <c r="P222" s="21"/>
      <c r="Q222" s="21"/>
      <c r="R222" s="21"/>
      <c r="S222" s="26"/>
    </row>
    <row r="223" customFormat="false" ht="15" hidden="false" customHeight="true" outlineLevel="0" collapsed="false">
      <c r="A223" s="26"/>
      <c r="B223" s="26"/>
      <c r="C223" s="26"/>
      <c r="D223" s="26"/>
      <c r="E223" s="26"/>
      <c r="F223" s="26"/>
      <c r="G223" s="26"/>
      <c r="H223" s="26"/>
      <c r="I223" s="26"/>
      <c r="J223" s="26"/>
      <c r="K223" s="26"/>
      <c r="L223" s="26"/>
      <c r="M223" s="26"/>
      <c r="N223" s="26"/>
      <c r="O223" s="26"/>
      <c r="P223" s="21"/>
      <c r="Q223" s="21"/>
      <c r="R223" s="21"/>
      <c r="S223" s="26"/>
    </row>
    <row r="224" customFormat="false" ht="15" hidden="false" customHeight="true" outlineLevel="0" collapsed="false">
      <c r="A224" s="26"/>
      <c r="B224" s="26"/>
      <c r="C224" s="26"/>
      <c r="D224" s="26"/>
      <c r="E224" s="26"/>
      <c r="F224" s="26"/>
      <c r="G224" s="26"/>
      <c r="H224" s="26"/>
      <c r="I224" s="26"/>
      <c r="J224" s="26"/>
      <c r="K224" s="26"/>
      <c r="L224" s="26"/>
      <c r="M224" s="26"/>
      <c r="N224" s="26"/>
      <c r="O224" s="26"/>
      <c r="P224" s="21"/>
      <c r="Q224" s="21"/>
      <c r="R224" s="21"/>
      <c r="S224" s="26"/>
    </row>
    <row r="225" customFormat="false" ht="15" hidden="false" customHeight="true" outlineLevel="0" collapsed="false">
      <c r="A225" s="26"/>
      <c r="B225" s="26"/>
      <c r="C225" s="26"/>
      <c r="D225" s="26"/>
      <c r="E225" s="26"/>
      <c r="F225" s="26"/>
      <c r="G225" s="26"/>
      <c r="H225" s="26"/>
      <c r="I225" s="26"/>
      <c r="J225" s="26"/>
      <c r="K225" s="26"/>
      <c r="L225" s="26"/>
      <c r="M225" s="26"/>
      <c r="N225" s="26"/>
      <c r="O225" s="26"/>
      <c r="P225" s="21"/>
      <c r="Q225" s="21"/>
      <c r="R225" s="21"/>
      <c r="S225" s="26"/>
    </row>
    <row r="226" customFormat="false" ht="15" hidden="false" customHeight="true" outlineLevel="0" collapsed="false">
      <c r="A226" s="26"/>
      <c r="B226" s="26"/>
      <c r="C226" s="26"/>
      <c r="D226" s="26"/>
      <c r="E226" s="26"/>
      <c r="F226" s="26"/>
      <c r="G226" s="26"/>
      <c r="H226" s="26"/>
      <c r="I226" s="26"/>
      <c r="J226" s="26"/>
      <c r="K226" s="26"/>
      <c r="L226" s="26"/>
      <c r="M226" s="26"/>
      <c r="N226" s="26"/>
      <c r="O226" s="26"/>
      <c r="P226" s="21"/>
      <c r="Q226" s="21"/>
      <c r="R226" s="21"/>
      <c r="S226" s="26"/>
    </row>
    <row r="227" customFormat="false" ht="15" hidden="false" customHeight="true" outlineLevel="0" collapsed="false">
      <c r="A227" s="26"/>
      <c r="B227" s="26"/>
      <c r="C227" s="26"/>
      <c r="D227" s="26"/>
      <c r="E227" s="26"/>
      <c r="F227" s="26"/>
      <c r="G227" s="26"/>
      <c r="H227" s="26"/>
      <c r="I227" s="26"/>
      <c r="J227" s="26"/>
      <c r="K227" s="26"/>
      <c r="L227" s="26"/>
      <c r="M227" s="26"/>
      <c r="N227" s="26"/>
      <c r="O227" s="26"/>
      <c r="P227" s="21"/>
      <c r="Q227" s="21"/>
      <c r="R227" s="21"/>
      <c r="S227" s="26"/>
    </row>
    <row r="228" customFormat="false" ht="15" hidden="false" customHeight="true" outlineLevel="0" collapsed="false">
      <c r="A228" s="26"/>
      <c r="B228" s="26"/>
      <c r="C228" s="26"/>
      <c r="D228" s="26"/>
      <c r="E228" s="26"/>
      <c r="F228" s="26"/>
      <c r="G228" s="26"/>
      <c r="H228" s="26"/>
      <c r="I228" s="26"/>
      <c r="J228" s="26"/>
      <c r="K228" s="26"/>
      <c r="L228" s="26"/>
      <c r="M228" s="26"/>
      <c r="N228" s="26"/>
      <c r="O228" s="26"/>
      <c r="P228" s="21"/>
      <c r="Q228" s="21"/>
      <c r="R228" s="21"/>
      <c r="S228" s="26"/>
    </row>
    <row r="229" customFormat="false" ht="15" hidden="false" customHeight="true" outlineLevel="0" collapsed="false">
      <c r="A229" s="26"/>
      <c r="B229" s="26"/>
      <c r="C229" s="26"/>
      <c r="D229" s="26"/>
      <c r="E229" s="26"/>
      <c r="F229" s="26"/>
      <c r="G229" s="26"/>
      <c r="H229" s="26"/>
      <c r="I229" s="26"/>
      <c r="J229" s="26"/>
      <c r="K229" s="26"/>
      <c r="L229" s="26"/>
      <c r="M229" s="26"/>
      <c r="N229" s="26"/>
      <c r="O229" s="26"/>
      <c r="P229" s="21"/>
      <c r="Q229" s="21"/>
      <c r="R229" s="21"/>
      <c r="S229" s="26"/>
    </row>
    <row r="230" customFormat="false" ht="15" hidden="false" customHeight="true" outlineLevel="0" collapsed="false">
      <c r="A230" s="26"/>
      <c r="B230" s="26"/>
      <c r="C230" s="26"/>
      <c r="D230" s="26"/>
      <c r="E230" s="26"/>
      <c r="F230" s="26"/>
      <c r="G230" s="26"/>
      <c r="H230" s="26"/>
      <c r="I230" s="26"/>
      <c r="J230" s="26"/>
      <c r="K230" s="26"/>
      <c r="L230" s="26"/>
      <c r="M230" s="26"/>
      <c r="N230" s="26"/>
      <c r="O230" s="26"/>
      <c r="P230" s="21"/>
      <c r="Q230" s="21"/>
      <c r="R230" s="21"/>
      <c r="S230" s="26"/>
    </row>
    <row r="231" customFormat="false" ht="15" hidden="false" customHeight="true" outlineLevel="0" collapsed="false">
      <c r="A231" s="26"/>
      <c r="B231" s="26"/>
      <c r="C231" s="26"/>
      <c r="D231" s="26"/>
      <c r="E231" s="26"/>
      <c r="F231" s="26"/>
      <c r="G231" s="26"/>
      <c r="H231" s="26"/>
      <c r="I231" s="26"/>
      <c r="J231" s="26"/>
      <c r="K231" s="26"/>
      <c r="L231" s="26"/>
      <c r="M231" s="26"/>
      <c r="N231" s="26"/>
      <c r="O231" s="26"/>
      <c r="P231" s="21"/>
      <c r="Q231" s="21"/>
      <c r="R231" s="21"/>
      <c r="S231" s="26"/>
    </row>
    <row r="232" customFormat="false" ht="15" hidden="false" customHeight="true" outlineLevel="0" collapsed="false">
      <c r="A232" s="26"/>
      <c r="B232" s="26"/>
      <c r="C232" s="26"/>
      <c r="D232" s="26"/>
      <c r="E232" s="26"/>
      <c r="F232" s="26"/>
      <c r="G232" s="26"/>
      <c r="H232" s="26"/>
      <c r="I232" s="26"/>
      <c r="J232" s="26"/>
      <c r="K232" s="26"/>
      <c r="L232" s="26"/>
      <c r="M232" s="26"/>
      <c r="N232" s="26"/>
      <c r="O232" s="26"/>
      <c r="P232" s="21"/>
      <c r="Q232" s="21"/>
      <c r="R232" s="21"/>
      <c r="S232" s="26"/>
    </row>
    <row r="233" customFormat="false" ht="15" hidden="false" customHeight="true" outlineLevel="0" collapsed="false">
      <c r="A233" s="26"/>
      <c r="B233" s="26"/>
      <c r="C233" s="26"/>
      <c r="D233" s="26"/>
      <c r="E233" s="26"/>
      <c r="F233" s="26"/>
      <c r="G233" s="26"/>
      <c r="H233" s="26"/>
      <c r="I233" s="26"/>
      <c r="J233" s="26"/>
      <c r="K233" s="26"/>
      <c r="L233" s="26"/>
      <c r="M233" s="26"/>
      <c r="N233" s="26"/>
      <c r="O233" s="26"/>
      <c r="P233" s="21"/>
      <c r="Q233" s="21"/>
      <c r="R233" s="21"/>
      <c r="S233" s="26"/>
    </row>
    <row r="234" customFormat="false" ht="15" hidden="false" customHeight="true" outlineLevel="0" collapsed="false">
      <c r="A234" s="26"/>
      <c r="B234" s="26"/>
      <c r="C234" s="26"/>
      <c r="D234" s="26"/>
      <c r="E234" s="26"/>
      <c r="F234" s="26"/>
      <c r="G234" s="26"/>
      <c r="H234" s="26"/>
      <c r="I234" s="26"/>
      <c r="J234" s="26"/>
      <c r="K234" s="26"/>
      <c r="L234" s="26"/>
      <c r="M234" s="26"/>
      <c r="N234" s="26"/>
      <c r="O234" s="26"/>
      <c r="P234" s="21"/>
      <c r="Q234" s="21"/>
      <c r="R234" s="21"/>
      <c r="S234" s="26"/>
    </row>
    <row r="235" customFormat="false" ht="15" hidden="false" customHeight="true" outlineLevel="0" collapsed="false">
      <c r="A235" s="26"/>
      <c r="B235" s="26"/>
      <c r="C235" s="26"/>
      <c r="D235" s="26"/>
      <c r="E235" s="26"/>
      <c r="F235" s="26"/>
      <c r="G235" s="26"/>
      <c r="H235" s="26"/>
      <c r="I235" s="26"/>
      <c r="J235" s="26"/>
      <c r="K235" s="26"/>
      <c r="L235" s="26"/>
      <c r="M235" s="26"/>
      <c r="N235" s="26"/>
      <c r="O235" s="26"/>
      <c r="P235" s="21"/>
      <c r="Q235" s="21"/>
      <c r="R235" s="21"/>
      <c r="S235" s="26"/>
    </row>
    <row r="236" customFormat="false" ht="15" hidden="false" customHeight="true" outlineLevel="0" collapsed="false">
      <c r="A236" s="26"/>
      <c r="B236" s="26"/>
      <c r="C236" s="26"/>
      <c r="D236" s="26"/>
      <c r="E236" s="26"/>
      <c r="F236" s="26"/>
      <c r="G236" s="26"/>
      <c r="H236" s="26"/>
      <c r="I236" s="26"/>
      <c r="J236" s="26"/>
      <c r="K236" s="26"/>
      <c r="L236" s="26"/>
      <c r="M236" s="26"/>
      <c r="N236" s="26"/>
      <c r="O236" s="26"/>
      <c r="P236" s="21"/>
      <c r="Q236" s="21"/>
      <c r="R236" s="21"/>
      <c r="S236" s="26"/>
    </row>
    <row r="237" customFormat="false" ht="15" hidden="false" customHeight="true" outlineLevel="0" collapsed="false">
      <c r="A237" s="26"/>
      <c r="B237" s="26"/>
      <c r="C237" s="26"/>
      <c r="D237" s="26"/>
      <c r="E237" s="26"/>
      <c r="F237" s="26"/>
      <c r="G237" s="26"/>
      <c r="H237" s="26"/>
      <c r="I237" s="26"/>
      <c r="J237" s="26"/>
      <c r="K237" s="26"/>
      <c r="L237" s="26"/>
      <c r="M237" s="26"/>
      <c r="N237" s="26"/>
      <c r="O237" s="26"/>
      <c r="P237" s="21"/>
      <c r="Q237" s="21"/>
      <c r="R237" s="21"/>
      <c r="S237" s="26"/>
    </row>
    <row r="238" customFormat="false" ht="15" hidden="false" customHeight="true" outlineLevel="0" collapsed="false">
      <c r="A238" s="26"/>
      <c r="B238" s="26"/>
      <c r="C238" s="26"/>
      <c r="D238" s="26"/>
      <c r="E238" s="26"/>
      <c r="F238" s="26"/>
      <c r="G238" s="26"/>
      <c r="H238" s="26"/>
      <c r="I238" s="26"/>
      <c r="J238" s="26"/>
      <c r="K238" s="26"/>
      <c r="L238" s="26"/>
      <c r="M238" s="26"/>
      <c r="N238" s="26"/>
      <c r="O238" s="26"/>
      <c r="P238" s="21"/>
      <c r="Q238" s="21"/>
      <c r="R238" s="21"/>
      <c r="S238" s="26"/>
    </row>
    <row r="239" customFormat="false" ht="15" hidden="false" customHeight="true" outlineLevel="0" collapsed="false">
      <c r="A239" s="26"/>
      <c r="B239" s="26"/>
      <c r="C239" s="26"/>
      <c r="D239" s="26"/>
      <c r="E239" s="26"/>
      <c r="F239" s="26"/>
      <c r="G239" s="26"/>
      <c r="H239" s="26"/>
      <c r="I239" s="26"/>
      <c r="J239" s="26"/>
      <c r="K239" s="26"/>
      <c r="L239" s="26"/>
      <c r="M239" s="26"/>
      <c r="N239" s="26"/>
      <c r="O239" s="26"/>
      <c r="P239" s="21"/>
      <c r="Q239" s="21"/>
      <c r="R239" s="21"/>
      <c r="S239" s="26"/>
    </row>
    <row r="240" customFormat="false" ht="15" hidden="false" customHeight="true" outlineLevel="0" collapsed="false">
      <c r="A240" s="26"/>
      <c r="B240" s="26"/>
      <c r="C240" s="26"/>
      <c r="D240" s="26"/>
      <c r="E240" s="26"/>
      <c r="F240" s="26"/>
      <c r="G240" s="26"/>
      <c r="H240" s="26"/>
      <c r="I240" s="26"/>
      <c r="J240" s="26"/>
      <c r="K240" s="26"/>
      <c r="L240" s="26"/>
      <c r="M240" s="26"/>
      <c r="N240" s="26"/>
      <c r="O240" s="26"/>
      <c r="P240" s="21"/>
      <c r="Q240" s="21"/>
      <c r="R240" s="21"/>
      <c r="S240" s="26"/>
    </row>
    <row r="241" customFormat="false" ht="15" hidden="false" customHeight="true" outlineLevel="0" collapsed="false">
      <c r="A241" s="26"/>
      <c r="B241" s="26"/>
      <c r="C241" s="26"/>
      <c r="D241" s="26"/>
      <c r="E241" s="26"/>
      <c r="F241" s="26"/>
      <c r="G241" s="26"/>
      <c r="H241" s="26"/>
      <c r="I241" s="26"/>
      <c r="J241" s="26"/>
      <c r="K241" s="26"/>
      <c r="L241" s="26"/>
      <c r="M241" s="26"/>
      <c r="N241" s="26"/>
      <c r="O241" s="26"/>
      <c r="P241" s="21"/>
      <c r="Q241" s="21"/>
      <c r="R241" s="21"/>
      <c r="S241" s="26"/>
    </row>
    <row r="242" customFormat="false" ht="15" hidden="false" customHeight="true" outlineLevel="0" collapsed="false">
      <c r="A242" s="26"/>
      <c r="B242" s="26"/>
      <c r="C242" s="26"/>
      <c r="D242" s="26"/>
      <c r="E242" s="26"/>
      <c r="F242" s="26"/>
      <c r="G242" s="26"/>
      <c r="H242" s="26"/>
      <c r="I242" s="26"/>
      <c r="J242" s="26"/>
      <c r="K242" s="26"/>
      <c r="L242" s="26"/>
      <c r="M242" s="26"/>
      <c r="N242" s="26"/>
      <c r="O242" s="26"/>
      <c r="P242" s="21"/>
      <c r="Q242" s="21"/>
      <c r="R242" s="21"/>
      <c r="S242" s="26"/>
    </row>
    <row r="243" customFormat="false" ht="15" hidden="false" customHeight="true" outlineLevel="0" collapsed="false">
      <c r="A243" s="26"/>
      <c r="B243" s="26"/>
      <c r="C243" s="26"/>
      <c r="D243" s="26"/>
      <c r="E243" s="26"/>
      <c r="F243" s="26"/>
      <c r="G243" s="26"/>
      <c r="H243" s="26"/>
      <c r="I243" s="26"/>
      <c r="J243" s="26"/>
      <c r="K243" s="26"/>
      <c r="L243" s="26"/>
      <c r="M243" s="26"/>
      <c r="N243" s="26"/>
      <c r="O243" s="26"/>
      <c r="P243" s="21"/>
      <c r="Q243" s="21"/>
      <c r="R243" s="21"/>
      <c r="S243" s="26"/>
    </row>
    <row r="244" customFormat="false" ht="15" hidden="false" customHeight="true" outlineLevel="0" collapsed="false">
      <c r="A244" s="26"/>
      <c r="B244" s="26"/>
      <c r="C244" s="26"/>
      <c r="D244" s="26"/>
      <c r="E244" s="26"/>
      <c r="F244" s="26"/>
      <c r="G244" s="26"/>
      <c r="H244" s="26"/>
      <c r="I244" s="26"/>
      <c r="J244" s="26"/>
      <c r="K244" s="26"/>
      <c r="L244" s="26"/>
      <c r="M244" s="26"/>
      <c r="N244" s="26"/>
      <c r="O244" s="26"/>
      <c r="P244" s="21"/>
      <c r="Q244" s="21"/>
      <c r="R244" s="21"/>
      <c r="S244" s="26"/>
    </row>
    <row r="245" customFormat="false" ht="15" hidden="false" customHeight="true" outlineLevel="0" collapsed="false">
      <c r="A245" s="26"/>
      <c r="B245" s="26"/>
      <c r="C245" s="26"/>
      <c r="D245" s="26"/>
      <c r="E245" s="26"/>
      <c r="F245" s="26"/>
      <c r="G245" s="26"/>
      <c r="H245" s="26"/>
      <c r="I245" s="26"/>
      <c r="J245" s="26"/>
      <c r="K245" s="26"/>
      <c r="L245" s="26"/>
      <c r="M245" s="26"/>
      <c r="N245" s="26"/>
      <c r="O245" s="26"/>
      <c r="P245" s="21"/>
      <c r="Q245" s="21"/>
      <c r="R245" s="21"/>
      <c r="S245" s="26"/>
    </row>
    <row r="246" customFormat="false" ht="15" hidden="false" customHeight="true" outlineLevel="0" collapsed="false">
      <c r="A246" s="26"/>
      <c r="B246" s="26"/>
      <c r="C246" s="26"/>
      <c r="D246" s="26"/>
      <c r="E246" s="26"/>
      <c r="F246" s="26"/>
      <c r="G246" s="26"/>
      <c r="H246" s="26"/>
      <c r="I246" s="26"/>
      <c r="J246" s="26"/>
      <c r="K246" s="26"/>
      <c r="L246" s="26"/>
      <c r="M246" s="26"/>
      <c r="N246" s="26"/>
      <c r="O246" s="26"/>
      <c r="P246" s="21"/>
      <c r="Q246" s="21"/>
      <c r="R246" s="21"/>
      <c r="S246" s="26"/>
    </row>
    <row r="247" customFormat="false" ht="15" hidden="false" customHeight="true" outlineLevel="0" collapsed="false">
      <c r="A247" s="26"/>
      <c r="B247" s="26"/>
      <c r="C247" s="26"/>
      <c r="D247" s="26"/>
      <c r="E247" s="26"/>
      <c r="F247" s="26"/>
      <c r="G247" s="26"/>
      <c r="H247" s="26"/>
      <c r="I247" s="26"/>
      <c r="J247" s="26"/>
      <c r="K247" s="26"/>
      <c r="L247" s="26"/>
      <c r="M247" s="26"/>
      <c r="N247" s="26"/>
      <c r="O247" s="26"/>
      <c r="P247" s="21"/>
      <c r="Q247" s="21"/>
      <c r="R247" s="21"/>
      <c r="S247" s="26"/>
    </row>
    <row r="248" customFormat="false" ht="15" hidden="false" customHeight="true" outlineLevel="0" collapsed="false">
      <c r="A248" s="26"/>
      <c r="B248" s="26"/>
      <c r="C248" s="26"/>
      <c r="D248" s="26"/>
      <c r="E248" s="26"/>
      <c r="F248" s="26"/>
      <c r="G248" s="26"/>
      <c r="H248" s="26"/>
      <c r="I248" s="26"/>
      <c r="J248" s="26"/>
      <c r="K248" s="26"/>
      <c r="L248" s="26"/>
      <c r="M248" s="26"/>
      <c r="N248" s="26"/>
      <c r="O248" s="26"/>
      <c r="P248" s="21"/>
      <c r="Q248" s="21"/>
      <c r="R248" s="21"/>
      <c r="S248" s="26"/>
    </row>
    <row r="249" customFormat="false" ht="15" hidden="false" customHeight="true" outlineLevel="0" collapsed="false">
      <c r="A249" s="26"/>
      <c r="B249" s="26"/>
      <c r="C249" s="26"/>
      <c r="D249" s="26"/>
      <c r="E249" s="26"/>
      <c r="F249" s="26"/>
      <c r="G249" s="26"/>
      <c r="H249" s="26"/>
      <c r="I249" s="26"/>
      <c r="J249" s="26"/>
      <c r="K249" s="26"/>
      <c r="L249" s="26"/>
      <c r="M249" s="26"/>
      <c r="N249" s="26"/>
      <c r="O249" s="26"/>
      <c r="P249" s="21"/>
      <c r="Q249" s="21"/>
      <c r="R249" s="21"/>
      <c r="S249" s="26"/>
    </row>
    <row r="250" customFormat="false" ht="15" hidden="false" customHeight="true" outlineLevel="0" collapsed="false">
      <c r="A250" s="26"/>
      <c r="B250" s="26"/>
      <c r="C250" s="26"/>
      <c r="D250" s="26"/>
      <c r="E250" s="26"/>
      <c r="F250" s="26"/>
      <c r="G250" s="26"/>
      <c r="H250" s="26"/>
      <c r="I250" s="26"/>
      <c r="J250" s="26"/>
      <c r="K250" s="26"/>
      <c r="L250" s="26"/>
      <c r="M250" s="26"/>
      <c r="N250" s="26"/>
      <c r="O250" s="26"/>
      <c r="P250" s="21"/>
      <c r="Q250" s="21"/>
      <c r="R250" s="21"/>
      <c r="S250" s="26"/>
    </row>
    <row r="251" customFormat="false" ht="15" hidden="false" customHeight="true" outlineLevel="0" collapsed="false">
      <c r="A251" s="26"/>
      <c r="B251" s="26"/>
      <c r="C251" s="26"/>
      <c r="D251" s="26"/>
      <c r="E251" s="26"/>
      <c r="F251" s="26"/>
      <c r="G251" s="26"/>
      <c r="H251" s="26"/>
      <c r="I251" s="26"/>
      <c r="J251" s="26"/>
      <c r="K251" s="26"/>
      <c r="L251" s="26"/>
      <c r="M251" s="26"/>
      <c r="N251" s="26"/>
      <c r="O251" s="26"/>
      <c r="P251" s="21"/>
      <c r="Q251" s="21"/>
      <c r="R251" s="21"/>
      <c r="S251" s="26"/>
    </row>
    <row r="252" customFormat="false" ht="15" hidden="false" customHeight="true" outlineLevel="0" collapsed="false">
      <c r="A252" s="26"/>
      <c r="B252" s="26"/>
      <c r="C252" s="26"/>
      <c r="D252" s="26"/>
      <c r="E252" s="26"/>
      <c r="F252" s="26"/>
      <c r="G252" s="26"/>
      <c r="H252" s="26"/>
      <c r="I252" s="26"/>
      <c r="J252" s="26"/>
      <c r="K252" s="26"/>
      <c r="L252" s="26"/>
      <c r="M252" s="26"/>
      <c r="N252" s="26"/>
      <c r="O252" s="26"/>
      <c r="P252" s="21"/>
      <c r="Q252" s="21"/>
      <c r="R252" s="21"/>
      <c r="S252" s="26"/>
    </row>
    <row r="253" customFormat="false" ht="15" hidden="false" customHeight="true" outlineLevel="0" collapsed="false">
      <c r="A253" s="26"/>
      <c r="B253" s="26"/>
      <c r="C253" s="26"/>
      <c r="D253" s="26"/>
      <c r="E253" s="26"/>
      <c r="F253" s="26"/>
      <c r="G253" s="26"/>
      <c r="H253" s="26"/>
      <c r="I253" s="26"/>
      <c r="J253" s="26"/>
      <c r="K253" s="26"/>
      <c r="L253" s="26"/>
      <c r="M253" s="26"/>
      <c r="N253" s="26"/>
      <c r="O253" s="26"/>
      <c r="P253" s="21"/>
      <c r="Q253" s="21"/>
      <c r="R253" s="21"/>
      <c r="S253" s="26"/>
    </row>
    <row r="254" customFormat="false" ht="15" hidden="false" customHeight="true" outlineLevel="0" collapsed="false">
      <c r="A254" s="26"/>
      <c r="B254" s="26"/>
      <c r="C254" s="26"/>
      <c r="D254" s="26"/>
      <c r="E254" s="26"/>
      <c r="F254" s="26"/>
      <c r="G254" s="26"/>
      <c r="H254" s="26"/>
      <c r="I254" s="26"/>
      <c r="J254" s="26"/>
      <c r="K254" s="26"/>
      <c r="L254" s="26"/>
      <c r="M254" s="26"/>
      <c r="N254" s="26"/>
      <c r="O254" s="26"/>
      <c r="P254" s="21"/>
      <c r="Q254" s="21"/>
      <c r="R254" s="21"/>
      <c r="S254" s="26"/>
    </row>
    <row r="255" customFormat="false" ht="15" hidden="false" customHeight="true" outlineLevel="0" collapsed="false">
      <c r="A255" s="26"/>
      <c r="B255" s="26"/>
      <c r="C255" s="26"/>
      <c r="D255" s="26"/>
      <c r="E255" s="26"/>
      <c r="F255" s="26"/>
      <c r="G255" s="26"/>
      <c r="H255" s="26"/>
      <c r="I255" s="26"/>
      <c r="J255" s="26"/>
      <c r="K255" s="26"/>
      <c r="L255" s="26"/>
      <c r="M255" s="26"/>
      <c r="N255" s="26"/>
      <c r="O255" s="26"/>
      <c r="P255" s="21"/>
      <c r="Q255" s="21"/>
      <c r="R255" s="21"/>
      <c r="S255" s="26"/>
    </row>
    <row r="256" customFormat="false" ht="15" hidden="false" customHeight="true" outlineLevel="0" collapsed="false">
      <c r="A256" s="26"/>
      <c r="B256" s="26"/>
      <c r="C256" s="26"/>
      <c r="D256" s="26"/>
      <c r="E256" s="26"/>
      <c r="F256" s="26"/>
      <c r="G256" s="26"/>
      <c r="H256" s="26"/>
      <c r="I256" s="26"/>
      <c r="J256" s="26"/>
      <c r="K256" s="26"/>
      <c r="L256" s="26"/>
      <c r="M256" s="26"/>
      <c r="N256" s="26"/>
      <c r="O256" s="26"/>
      <c r="P256" s="21"/>
      <c r="Q256" s="21"/>
      <c r="R256" s="21"/>
      <c r="S256" s="26"/>
    </row>
    <row r="257" customFormat="false" ht="15" hidden="false" customHeight="true" outlineLevel="0" collapsed="false">
      <c r="A257" s="26"/>
      <c r="B257" s="26"/>
      <c r="C257" s="26"/>
      <c r="D257" s="26"/>
      <c r="E257" s="26"/>
      <c r="F257" s="26"/>
      <c r="G257" s="26"/>
      <c r="H257" s="26"/>
      <c r="I257" s="26"/>
      <c r="J257" s="26"/>
      <c r="K257" s="26"/>
      <c r="L257" s="26"/>
      <c r="M257" s="26"/>
      <c r="N257" s="26"/>
      <c r="O257" s="26"/>
      <c r="P257" s="21"/>
      <c r="Q257" s="21"/>
      <c r="R257" s="21"/>
      <c r="S257" s="26"/>
    </row>
    <row r="258" customFormat="false" ht="15" hidden="false" customHeight="true" outlineLevel="0" collapsed="false">
      <c r="A258" s="26"/>
      <c r="B258" s="26"/>
      <c r="C258" s="26"/>
      <c r="D258" s="26"/>
      <c r="E258" s="26"/>
      <c r="F258" s="26"/>
      <c r="G258" s="26"/>
      <c r="H258" s="26"/>
      <c r="I258" s="26"/>
      <c r="J258" s="26"/>
      <c r="K258" s="26"/>
      <c r="L258" s="26"/>
      <c r="M258" s="26"/>
      <c r="N258" s="26"/>
      <c r="O258" s="26"/>
      <c r="P258" s="21"/>
      <c r="Q258" s="21"/>
      <c r="R258" s="21"/>
      <c r="S258" s="26"/>
    </row>
    <row r="259" customFormat="false" ht="15" hidden="false" customHeight="true" outlineLevel="0" collapsed="false">
      <c r="A259" s="26"/>
      <c r="B259" s="26"/>
      <c r="C259" s="26"/>
      <c r="D259" s="26"/>
      <c r="E259" s="26"/>
      <c r="F259" s="26"/>
      <c r="G259" s="26"/>
      <c r="H259" s="26"/>
      <c r="I259" s="26"/>
      <c r="J259" s="26"/>
      <c r="K259" s="26"/>
      <c r="L259" s="26"/>
      <c r="M259" s="26"/>
      <c r="N259" s="26"/>
      <c r="O259" s="26"/>
      <c r="P259" s="21"/>
      <c r="Q259" s="21"/>
      <c r="R259" s="21"/>
      <c r="S259" s="26"/>
    </row>
    <row r="260" customFormat="false" ht="15" hidden="false" customHeight="true" outlineLevel="0" collapsed="false">
      <c r="A260" s="26"/>
      <c r="B260" s="26"/>
      <c r="C260" s="26"/>
      <c r="D260" s="26"/>
      <c r="E260" s="26"/>
      <c r="F260" s="26"/>
      <c r="G260" s="26"/>
      <c r="H260" s="26"/>
      <c r="I260" s="26"/>
      <c r="J260" s="26"/>
      <c r="K260" s="26"/>
      <c r="L260" s="26"/>
      <c r="M260" s="26"/>
      <c r="N260" s="26"/>
      <c r="O260" s="26"/>
      <c r="P260" s="21"/>
      <c r="Q260" s="21"/>
      <c r="R260" s="21"/>
      <c r="S260" s="26"/>
    </row>
    <row r="261" customFormat="false" ht="15" hidden="false" customHeight="true" outlineLevel="0" collapsed="false">
      <c r="A261" s="26"/>
      <c r="B261" s="26"/>
      <c r="C261" s="26"/>
      <c r="D261" s="26"/>
      <c r="E261" s="26"/>
      <c r="F261" s="26"/>
      <c r="G261" s="26"/>
      <c r="H261" s="26"/>
      <c r="I261" s="26"/>
      <c r="J261" s="26"/>
      <c r="K261" s="26"/>
      <c r="L261" s="26"/>
      <c r="M261" s="26"/>
      <c r="N261" s="26"/>
      <c r="O261" s="26"/>
      <c r="P261" s="21"/>
      <c r="Q261" s="21"/>
      <c r="R261" s="21"/>
      <c r="S261" s="26"/>
    </row>
    <row r="262" customFormat="false" ht="15" hidden="false" customHeight="true" outlineLevel="0" collapsed="false">
      <c r="A262" s="26"/>
      <c r="B262" s="26"/>
      <c r="C262" s="26"/>
      <c r="D262" s="26"/>
      <c r="E262" s="26"/>
      <c r="F262" s="26"/>
      <c r="G262" s="26"/>
      <c r="H262" s="26"/>
      <c r="I262" s="26"/>
      <c r="J262" s="26"/>
      <c r="K262" s="26"/>
      <c r="L262" s="26"/>
      <c r="M262" s="26"/>
      <c r="N262" s="26"/>
      <c r="O262" s="26"/>
      <c r="P262" s="21"/>
      <c r="Q262" s="21"/>
      <c r="R262" s="21"/>
      <c r="S262" s="26"/>
    </row>
    <row r="263" customFormat="false" ht="15" hidden="false" customHeight="true" outlineLevel="0" collapsed="false">
      <c r="A263" s="26"/>
      <c r="B263" s="26"/>
      <c r="C263" s="26"/>
      <c r="D263" s="26"/>
      <c r="E263" s="26"/>
      <c r="F263" s="26"/>
      <c r="G263" s="26"/>
      <c r="H263" s="26"/>
      <c r="I263" s="26"/>
      <c r="J263" s="26"/>
      <c r="K263" s="26"/>
      <c r="L263" s="26"/>
      <c r="M263" s="26"/>
      <c r="N263" s="26"/>
      <c r="O263" s="26"/>
      <c r="P263" s="21"/>
      <c r="Q263" s="21"/>
      <c r="R263" s="21"/>
      <c r="S263" s="26"/>
    </row>
    <row r="264" customFormat="false" ht="15" hidden="false" customHeight="true" outlineLevel="0" collapsed="false">
      <c r="A264" s="26"/>
      <c r="B264" s="26"/>
      <c r="C264" s="26"/>
      <c r="D264" s="26"/>
      <c r="E264" s="26"/>
      <c r="F264" s="26"/>
      <c r="G264" s="26"/>
      <c r="H264" s="26"/>
      <c r="I264" s="26"/>
      <c r="J264" s="26"/>
      <c r="K264" s="26"/>
      <c r="L264" s="26"/>
      <c r="M264" s="26"/>
      <c r="N264" s="26"/>
      <c r="O264" s="26"/>
      <c r="P264" s="21"/>
      <c r="Q264" s="21"/>
      <c r="R264" s="21"/>
      <c r="S264" s="26"/>
    </row>
    <row r="265" customFormat="false" ht="15" hidden="false" customHeight="true" outlineLevel="0" collapsed="false">
      <c r="A265" s="26"/>
      <c r="B265" s="26"/>
      <c r="C265" s="26"/>
      <c r="D265" s="26"/>
      <c r="E265" s="26"/>
      <c r="F265" s="26"/>
      <c r="G265" s="26"/>
      <c r="H265" s="26"/>
      <c r="I265" s="26"/>
      <c r="J265" s="26"/>
      <c r="K265" s="26"/>
      <c r="L265" s="26"/>
      <c r="M265" s="26"/>
      <c r="N265" s="26"/>
      <c r="O265" s="26"/>
      <c r="P265" s="21"/>
      <c r="Q265" s="21"/>
      <c r="R265" s="21"/>
      <c r="S265" s="26"/>
    </row>
    <row r="266" customFormat="false" ht="15" hidden="false" customHeight="true" outlineLevel="0" collapsed="false">
      <c r="A266" s="26"/>
      <c r="B266" s="26"/>
      <c r="C266" s="26"/>
      <c r="D266" s="26"/>
      <c r="E266" s="26"/>
      <c r="F266" s="26"/>
      <c r="G266" s="26"/>
      <c r="H266" s="26"/>
      <c r="I266" s="26"/>
      <c r="J266" s="26"/>
      <c r="K266" s="26"/>
      <c r="L266" s="26"/>
      <c r="M266" s="26"/>
      <c r="N266" s="26"/>
      <c r="O266" s="26"/>
      <c r="P266" s="21"/>
      <c r="Q266" s="21"/>
      <c r="R266" s="21"/>
      <c r="S266" s="26"/>
    </row>
    <row r="267" customFormat="false" ht="15" hidden="false" customHeight="true" outlineLevel="0" collapsed="false">
      <c r="A267" s="26"/>
      <c r="B267" s="26"/>
      <c r="C267" s="26"/>
      <c r="D267" s="26"/>
      <c r="E267" s="26"/>
      <c r="F267" s="26"/>
      <c r="G267" s="26"/>
      <c r="H267" s="26"/>
      <c r="I267" s="26"/>
      <c r="J267" s="26"/>
      <c r="K267" s="26"/>
      <c r="L267" s="26"/>
      <c r="M267" s="26"/>
      <c r="N267" s="26"/>
      <c r="O267" s="26"/>
      <c r="P267" s="21"/>
      <c r="Q267" s="21"/>
      <c r="R267" s="21"/>
      <c r="S267" s="26"/>
    </row>
    <row r="268" customFormat="false" ht="15" hidden="false" customHeight="true" outlineLevel="0" collapsed="false">
      <c r="A268" s="26"/>
      <c r="B268" s="26"/>
      <c r="C268" s="26"/>
      <c r="D268" s="26"/>
      <c r="E268" s="26"/>
      <c r="F268" s="26"/>
      <c r="G268" s="26"/>
      <c r="H268" s="26"/>
      <c r="I268" s="26"/>
      <c r="J268" s="26"/>
      <c r="K268" s="26"/>
      <c r="L268" s="26"/>
      <c r="M268" s="26"/>
      <c r="N268" s="26"/>
      <c r="O268" s="26"/>
      <c r="P268" s="21"/>
      <c r="Q268" s="21"/>
      <c r="R268" s="21"/>
      <c r="S268" s="26"/>
    </row>
    <row r="269" customFormat="false" ht="15" hidden="false" customHeight="true" outlineLevel="0" collapsed="false">
      <c r="A269" s="26"/>
      <c r="B269" s="26"/>
      <c r="C269" s="26"/>
      <c r="D269" s="26"/>
      <c r="E269" s="26"/>
      <c r="F269" s="26"/>
      <c r="G269" s="26"/>
      <c r="H269" s="26"/>
      <c r="I269" s="26"/>
      <c r="J269" s="26"/>
      <c r="K269" s="26"/>
      <c r="L269" s="26"/>
      <c r="M269" s="26"/>
      <c r="N269" s="26"/>
      <c r="O269" s="26"/>
      <c r="P269" s="21"/>
      <c r="Q269" s="21"/>
      <c r="R269" s="21"/>
      <c r="S269" s="26"/>
    </row>
    <row r="270" customFormat="false" ht="15" hidden="false" customHeight="true" outlineLevel="0" collapsed="false">
      <c r="A270" s="26"/>
      <c r="B270" s="26"/>
      <c r="C270" s="26"/>
      <c r="D270" s="26"/>
      <c r="E270" s="26"/>
      <c r="F270" s="26"/>
      <c r="G270" s="26"/>
      <c r="H270" s="26"/>
      <c r="I270" s="26"/>
      <c r="J270" s="26"/>
      <c r="K270" s="26"/>
      <c r="L270" s="26"/>
      <c r="M270" s="26"/>
      <c r="N270" s="26"/>
      <c r="O270" s="26"/>
      <c r="P270" s="21"/>
      <c r="Q270" s="21"/>
      <c r="R270" s="21"/>
      <c r="S270" s="26"/>
    </row>
    <row r="271" customFormat="false" ht="15" hidden="false" customHeight="true" outlineLevel="0" collapsed="false">
      <c r="A271" s="26"/>
      <c r="B271" s="26"/>
      <c r="C271" s="26"/>
      <c r="D271" s="26"/>
      <c r="E271" s="26"/>
      <c r="F271" s="26"/>
      <c r="G271" s="26"/>
      <c r="H271" s="26"/>
      <c r="I271" s="26"/>
      <c r="J271" s="26"/>
      <c r="K271" s="26"/>
      <c r="L271" s="26"/>
      <c r="M271" s="26"/>
      <c r="N271" s="26"/>
      <c r="O271" s="26"/>
      <c r="P271" s="21"/>
      <c r="Q271" s="21"/>
      <c r="R271" s="21"/>
      <c r="S271" s="26"/>
    </row>
    <row r="272" customFormat="false" ht="15" hidden="false" customHeight="true" outlineLevel="0" collapsed="false">
      <c r="A272" s="26"/>
      <c r="B272" s="26"/>
      <c r="C272" s="26"/>
      <c r="D272" s="26"/>
      <c r="E272" s="26"/>
      <c r="F272" s="26"/>
      <c r="G272" s="26"/>
      <c r="H272" s="26"/>
      <c r="I272" s="26"/>
      <c r="J272" s="26"/>
      <c r="K272" s="26"/>
      <c r="L272" s="26"/>
      <c r="M272" s="26"/>
      <c r="N272" s="26"/>
      <c r="O272" s="26"/>
      <c r="P272" s="21"/>
      <c r="Q272" s="21"/>
      <c r="R272" s="21"/>
      <c r="S272" s="26"/>
    </row>
    <row r="273" customFormat="false" ht="15" hidden="false" customHeight="true" outlineLevel="0" collapsed="false">
      <c r="A273" s="26"/>
      <c r="B273" s="26"/>
      <c r="C273" s="26"/>
      <c r="D273" s="26"/>
      <c r="E273" s="26"/>
      <c r="F273" s="26"/>
      <c r="G273" s="26"/>
      <c r="H273" s="26"/>
      <c r="I273" s="26"/>
      <c r="J273" s="26"/>
      <c r="K273" s="26"/>
      <c r="L273" s="26"/>
      <c r="M273" s="26"/>
      <c r="N273" s="26"/>
      <c r="O273" s="26"/>
      <c r="P273" s="21"/>
      <c r="Q273" s="21"/>
      <c r="R273" s="21"/>
      <c r="S273" s="26"/>
    </row>
    <row r="274" customFormat="false" ht="15" hidden="false" customHeight="true" outlineLevel="0" collapsed="false">
      <c r="A274" s="26"/>
      <c r="B274" s="26"/>
      <c r="C274" s="26"/>
      <c r="D274" s="26"/>
      <c r="E274" s="26"/>
      <c r="F274" s="26"/>
      <c r="G274" s="26"/>
      <c r="H274" s="26"/>
      <c r="I274" s="26"/>
      <c r="J274" s="26"/>
      <c r="K274" s="26"/>
      <c r="L274" s="26"/>
      <c r="M274" s="26"/>
      <c r="N274" s="26"/>
      <c r="O274" s="26"/>
      <c r="P274" s="21"/>
      <c r="Q274" s="21"/>
      <c r="R274" s="21"/>
      <c r="S274" s="26"/>
    </row>
    <row r="275" customFormat="false" ht="15" hidden="false" customHeight="true" outlineLevel="0" collapsed="false">
      <c r="A275" s="26"/>
      <c r="B275" s="26"/>
      <c r="C275" s="26"/>
      <c r="D275" s="26"/>
      <c r="E275" s="26"/>
      <c r="F275" s="26"/>
      <c r="G275" s="26"/>
      <c r="H275" s="26"/>
      <c r="I275" s="26"/>
      <c r="J275" s="26"/>
      <c r="K275" s="26"/>
      <c r="L275" s="26"/>
      <c r="M275" s="26"/>
      <c r="N275" s="26"/>
      <c r="O275" s="26"/>
      <c r="P275" s="21"/>
      <c r="Q275" s="21"/>
      <c r="R275" s="21"/>
      <c r="S275" s="26"/>
    </row>
    <row r="276" customFormat="false" ht="15" hidden="false" customHeight="true" outlineLevel="0" collapsed="false">
      <c r="A276" s="26"/>
      <c r="B276" s="26"/>
      <c r="C276" s="26"/>
      <c r="D276" s="26"/>
      <c r="E276" s="26"/>
      <c r="F276" s="26"/>
      <c r="G276" s="26"/>
      <c r="H276" s="26"/>
      <c r="I276" s="26"/>
      <c r="J276" s="26"/>
      <c r="K276" s="26"/>
      <c r="L276" s="26"/>
      <c r="M276" s="26"/>
      <c r="N276" s="26"/>
      <c r="O276" s="26"/>
      <c r="P276" s="21"/>
      <c r="Q276" s="21"/>
      <c r="R276" s="21"/>
      <c r="S276" s="26"/>
    </row>
    <row r="277" customFormat="false" ht="15" hidden="false" customHeight="true" outlineLevel="0" collapsed="false">
      <c r="A277" s="26"/>
      <c r="B277" s="26"/>
      <c r="C277" s="26"/>
      <c r="D277" s="26"/>
      <c r="E277" s="26"/>
      <c r="F277" s="26"/>
      <c r="G277" s="26"/>
      <c r="H277" s="26"/>
      <c r="I277" s="26"/>
      <c r="J277" s="26"/>
      <c r="K277" s="26"/>
      <c r="L277" s="26"/>
      <c r="M277" s="26"/>
      <c r="N277" s="26"/>
      <c r="O277" s="26"/>
      <c r="P277" s="21"/>
      <c r="Q277" s="21"/>
      <c r="R277" s="21"/>
      <c r="S277" s="26"/>
    </row>
    <row r="278" customFormat="false" ht="15" hidden="false" customHeight="true" outlineLevel="0" collapsed="false">
      <c r="A278" s="26"/>
      <c r="B278" s="26"/>
      <c r="C278" s="26"/>
      <c r="D278" s="26"/>
      <c r="E278" s="26"/>
      <c r="F278" s="26"/>
      <c r="G278" s="26"/>
      <c r="H278" s="26"/>
      <c r="I278" s="26"/>
      <c r="J278" s="26"/>
      <c r="K278" s="26"/>
      <c r="L278" s="26"/>
      <c r="M278" s="26"/>
      <c r="N278" s="26"/>
      <c r="O278" s="26"/>
      <c r="P278" s="21"/>
      <c r="Q278" s="21"/>
      <c r="R278" s="21"/>
      <c r="S278" s="26"/>
    </row>
    <row r="279" customFormat="false" ht="15" hidden="false" customHeight="true" outlineLevel="0" collapsed="false">
      <c r="A279" s="26"/>
      <c r="B279" s="26"/>
      <c r="C279" s="26"/>
      <c r="D279" s="26"/>
      <c r="E279" s="26"/>
      <c r="F279" s="26"/>
      <c r="G279" s="26"/>
      <c r="H279" s="26"/>
      <c r="I279" s="26"/>
      <c r="J279" s="26"/>
      <c r="K279" s="26"/>
      <c r="L279" s="26"/>
      <c r="M279" s="26"/>
      <c r="N279" s="26"/>
      <c r="O279" s="26"/>
      <c r="P279" s="21"/>
      <c r="Q279" s="21"/>
      <c r="R279" s="21"/>
      <c r="S279" s="26"/>
    </row>
    <row r="280" customFormat="false" ht="15" hidden="false" customHeight="true" outlineLevel="0" collapsed="false">
      <c r="A280" s="26"/>
      <c r="B280" s="26"/>
      <c r="C280" s="26"/>
      <c r="D280" s="26"/>
      <c r="E280" s="26"/>
      <c r="F280" s="26"/>
      <c r="G280" s="26"/>
      <c r="H280" s="26"/>
      <c r="I280" s="26"/>
      <c r="J280" s="26"/>
      <c r="K280" s="26"/>
      <c r="L280" s="26"/>
      <c r="M280" s="26"/>
      <c r="N280" s="26"/>
      <c r="O280" s="26"/>
      <c r="P280" s="21"/>
      <c r="Q280" s="21"/>
      <c r="R280" s="21"/>
      <c r="S280" s="26"/>
    </row>
    <row r="281" customFormat="false" ht="15" hidden="false" customHeight="true" outlineLevel="0" collapsed="false">
      <c r="A281" s="26"/>
      <c r="B281" s="26"/>
      <c r="C281" s="26"/>
      <c r="D281" s="26"/>
      <c r="E281" s="26"/>
      <c r="F281" s="26"/>
      <c r="G281" s="26"/>
      <c r="H281" s="26"/>
      <c r="I281" s="26"/>
      <c r="J281" s="26"/>
      <c r="K281" s="26"/>
      <c r="L281" s="26"/>
      <c r="M281" s="26"/>
      <c r="N281" s="26"/>
      <c r="O281" s="26"/>
      <c r="P281" s="21"/>
      <c r="Q281" s="21"/>
      <c r="R281" s="21"/>
      <c r="S281" s="26"/>
    </row>
    <row r="282" customFormat="false" ht="15" hidden="false" customHeight="true" outlineLevel="0" collapsed="false">
      <c r="A282" s="26"/>
      <c r="B282" s="26"/>
      <c r="C282" s="26"/>
      <c r="D282" s="26"/>
      <c r="E282" s="26"/>
      <c r="F282" s="26"/>
      <c r="G282" s="26"/>
      <c r="H282" s="26"/>
      <c r="I282" s="26"/>
      <c r="J282" s="26"/>
      <c r="K282" s="26"/>
      <c r="L282" s="26"/>
      <c r="M282" s="26"/>
      <c r="N282" s="26"/>
      <c r="O282" s="26"/>
      <c r="P282" s="21"/>
      <c r="Q282" s="21"/>
      <c r="R282" s="21"/>
      <c r="S282" s="26"/>
    </row>
    <row r="283" customFormat="false" ht="15" hidden="false" customHeight="true" outlineLevel="0" collapsed="false">
      <c r="A283" s="26"/>
      <c r="B283" s="26"/>
      <c r="C283" s="26"/>
      <c r="D283" s="26"/>
      <c r="E283" s="26"/>
      <c r="F283" s="26"/>
      <c r="G283" s="26"/>
      <c r="H283" s="26"/>
      <c r="I283" s="26"/>
      <c r="J283" s="26"/>
      <c r="K283" s="26"/>
      <c r="L283" s="26"/>
      <c r="M283" s="26"/>
      <c r="N283" s="26"/>
      <c r="O283" s="26"/>
      <c r="P283" s="21"/>
      <c r="Q283" s="21"/>
      <c r="R283" s="21"/>
      <c r="S283" s="26"/>
    </row>
    <row r="284" customFormat="false" ht="15" hidden="false" customHeight="true" outlineLevel="0" collapsed="false">
      <c r="A284" s="26"/>
      <c r="B284" s="26"/>
      <c r="C284" s="26"/>
      <c r="D284" s="26"/>
      <c r="E284" s="26"/>
      <c r="F284" s="26"/>
      <c r="G284" s="26"/>
      <c r="H284" s="26"/>
      <c r="I284" s="26"/>
      <c r="J284" s="26"/>
      <c r="K284" s="26"/>
      <c r="L284" s="26"/>
      <c r="M284" s="26"/>
      <c r="N284" s="26"/>
      <c r="O284" s="26"/>
      <c r="P284" s="21"/>
      <c r="Q284" s="21"/>
      <c r="R284" s="21"/>
      <c r="S284" s="26"/>
    </row>
    <row r="285" customFormat="false" ht="15" hidden="false" customHeight="true" outlineLevel="0" collapsed="false">
      <c r="A285" s="26"/>
      <c r="B285" s="26"/>
      <c r="C285" s="26"/>
      <c r="D285" s="26"/>
      <c r="E285" s="26"/>
      <c r="F285" s="26"/>
      <c r="G285" s="26"/>
      <c r="H285" s="26"/>
      <c r="I285" s="26"/>
      <c r="J285" s="26"/>
      <c r="K285" s="26"/>
      <c r="L285" s="26"/>
      <c r="M285" s="26"/>
      <c r="N285" s="26"/>
      <c r="O285" s="26"/>
      <c r="P285" s="21"/>
      <c r="Q285" s="21"/>
      <c r="R285" s="21"/>
      <c r="S285" s="26"/>
    </row>
    <row r="286" customFormat="false" ht="15" hidden="false" customHeight="true" outlineLevel="0" collapsed="false">
      <c r="A286" s="26"/>
      <c r="B286" s="26"/>
      <c r="C286" s="26"/>
      <c r="D286" s="26"/>
      <c r="E286" s="26"/>
      <c r="F286" s="26"/>
      <c r="G286" s="26"/>
      <c r="H286" s="26"/>
      <c r="I286" s="26"/>
      <c r="J286" s="26"/>
      <c r="K286" s="26"/>
      <c r="L286" s="26"/>
      <c r="M286" s="26"/>
      <c r="N286" s="26"/>
      <c r="O286" s="26"/>
      <c r="P286" s="21"/>
      <c r="Q286" s="21"/>
      <c r="R286" s="21"/>
      <c r="S286" s="26"/>
    </row>
    <row r="287" customFormat="false" ht="15" hidden="false" customHeight="true" outlineLevel="0" collapsed="false">
      <c r="A287" s="26"/>
      <c r="B287" s="26"/>
      <c r="C287" s="26"/>
      <c r="D287" s="26"/>
      <c r="E287" s="26"/>
      <c r="F287" s="26"/>
      <c r="G287" s="26"/>
      <c r="H287" s="26"/>
      <c r="I287" s="26"/>
      <c r="J287" s="26"/>
      <c r="K287" s="26"/>
      <c r="L287" s="26"/>
      <c r="M287" s="26"/>
      <c r="N287" s="26"/>
      <c r="O287" s="26"/>
      <c r="P287" s="21"/>
      <c r="Q287" s="21"/>
      <c r="R287" s="21"/>
      <c r="S287" s="26"/>
    </row>
    <row r="288" customFormat="false" ht="15" hidden="false" customHeight="true" outlineLevel="0" collapsed="false">
      <c r="A288" s="26"/>
      <c r="B288" s="26"/>
      <c r="C288" s="26"/>
      <c r="D288" s="26"/>
      <c r="E288" s="26"/>
      <c r="F288" s="26"/>
      <c r="G288" s="26"/>
      <c r="H288" s="26"/>
      <c r="I288" s="26"/>
      <c r="J288" s="26"/>
      <c r="K288" s="26"/>
      <c r="L288" s="26"/>
      <c r="M288" s="26"/>
      <c r="N288" s="26"/>
      <c r="O288" s="26"/>
      <c r="P288" s="21"/>
      <c r="Q288" s="21"/>
      <c r="R288" s="21"/>
      <c r="S288" s="26"/>
    </row>
    <row r="289" customFormat="false" ht="15" hidden="false" customHeight="true" outlineLevel="0" collapsed="false">
      <c r="A289" s="26"/>
      <c r="B289" s="26"/>
      <c r="C289" s="26"/>
      <c r="D289" s="26"/>
      <c r="E289" s="26"/>
      <c r="F289" s="26"/>
      <c r="G289" s="26"/>
      <c r="H289" s="26"/>
      <c r="I289" s="26"/>
      <c r="J289" s="26"/>
      <c r="K289" s="26"/>
      <c r="L289" s="26"/>
      <c r="M289" s="26"/>
      <c r="N289" s="26"/>
      <c r="O289" s="26"/>
      <c r="P289" s="21"/>
      <c r="Q289" s="21"/>
      <c r="R289" s="21"/>
      <c r="S289" s="26"/>
    </row>
    <row r="290" customFormat="false" ht="15" hidden="false" customHeight="true" outlineLevel="0" collapsed="false">
      <c r="A290" s="26"/>
      <c r="B290" s="26"/>
      <c r="C290" s="26"/>
      <c r="D290" s="26"/>
      <c r="E290" s="26"/>
      <c r="F290" s="26"/>
      <c r="G290" s="26"/>
      <c r="H290" s="26"/>
      <c r="I290" s="26"/>
      <c r="J290" s="26"/>
      <c r="K290" s="26"/>
      <c r="L290" s="26"/>
      <c r="M290" s="26"/>
      <c r="N290" s="26"/>
      <c r="O290" s="26"/>
      <c r="P290" s="21"/>
      <c r="Q290" s="21"/>
      <c r="R290" s="21"/>
      <c r="S290" s="26"/>
    </row>
    <row r="291" customFormat="false" ht="15" hidden="false" customHeight="true" outlineLevel="0" collapsed="false">
      <c r="A291" s="26"/>
      <c r="B291" s="26"/>
      <c r="C291" s="26"/>
      <c r="D291" s="26"/>
      <c r="E291" s="26"/>
      <c r="F291" s="26"/>
      <c r="G291" s="26"/>
      <c r="H291" s="26"/>
      <c r="I291" s="26"/>
      <c r="J291" s="26"/>
      <c r="K291" s="26"/>
      <c r="L291" s="26"/>
      <c r="M291" s="26"/>
      <c r="N291" s="26"/>
      <c r="O291" s="26"/>
      <c r="P291" s="21"/>
      <c r="Q291" s="21"/>
      <c r="R291" s="21"/>
      <c r="S291" s="26"/>
    </row>
    <row r="292" customFormat="false" ht="15" hidden="false" customHeight="true" outlineLevel="0" collapsed="false">
      <c r="A292" s="26"/>
      <c r="B292" s="26"/>
      <c r="C292" s="26"/>
      <c r="D292" s="26"/>
      <c r="E292" s="26"/>
      <c r="F292" s="26"/>
      <c r="G292" s="26"/>
      <c r="H292" s="26"/>
      <c r="I292" s="26"/>
      <c r="J292" s="26"/>
      <c r="K292" s="26"/>
      <c r="L292" s="26"/>
      <c r="M292" s="26"/>
      <c r="N292" s="26"/>
      <c r="O292" s="26"/>
      <c r="P292" s="21"/>
      <c r="Q292" s="21"/>
      <c r="R292" s="21"/>
      <c r="S292" s="26"/>
    </row>
    <row r="293" customFormat="false" ht="15" hidden="false" customHeight="true" outlineLevel="0" collapsed="false">
      <c r="A293" s="26"/>
      <c r="B293" s="26"/>
      <c r="C293" s="26"/>
      <c r="D293" s="26"/>
      <c r="E293" s="26"/>
      <c r="F293" s="26"/>
      <c r="G293" s="26"/>
      <c r="H293" s="26"/>
      <c r="I293" s="26"/>
      <c r="J293" s="26"/>
      <c r="K293" s="26"/>
      <c r="L293" s="26"/>
      <c r="M293" s="26"/>
      <c r="N293" s="26"/>
      <c r="O293" s="26"/>
      <c r="P293" s="21"/>
      <c r="Q293" s="21"/>
      <c r="R293" s="21"/>
      <c r="S293" s="26"/>
    </row>
    <row r="294" customFormat="false" ht="15" hidden="false" customHeight="true" outlineLevel="0" collapsed="false">
      <c r="A294" s="26"/>
      <c r="B294" s="26"/>
      <c r="C294" s="26"/>
      <c r="D294" s="26"/>
      <c r="E294" s="26"/>
      <c r="F294" s="26"/>
      <c r="G294" s="26"/>
      <c r="H294" s="26"/>
      <c r="I294" s="26"/>
      <c r="J294" s="26"/>
      <c r="K294" s="26"/>
      <c r="L294" s="26"/>
      <c r="M294" s="26"/>
      <c r="N294" s="26"/>
      <c r="O294" s="26"/>
      <c r="P294" s="21"/>
      <c r="Q294" s="21"/>
      <c r="R294" s="21"/>
      <c r="S294" s="26"/>
    </row>
    <row r="295" customFormat="false" ht="15" hidden="false" customHeight="true" outlineLevel="0" collapsed="false">
      <c r="A295" s="26"/>
      <c r="B295" s="26"/>
      <c r="C295" s="26"/>
      <c r="D295" s="26"/>
      <c r="E295" s="26"/>
      <c r="F295" s="26"/>
      <c r="G295" s="26"/>
      <c r="H295" s="26"/>
      <c r="I295" s="26"/>
      <c r="J295" s="26"/>
      <c r="K295" s="26"/>
      <c r="L295" s="26"/>
      <c r="M295" s="26"/>
      <c r="N295" s="26"/>
      <c r="O295" s="26"/>
      <c r="P295" s="21"/>
      <c r="Q295" s="21"/>
      <c r="R295" s="21"/>
      <c r="S295" s="26"/>
    </row>
    <row r="296" customFormat="false" ht="15" hidden="false" customHeight="true" outlineLevel="0" collapsed="false">
      <c r="A296" s="26"/>
      <c r="B296" s="26"/>
      <c r="C296" s="26"/>
      <c r="D296" s="26"/>
      <c r="E296" s="26"/>
      <c r="F296" s="26"/>
      <c r="G296" s="26"/>
      <c r="H296" s="26"/>
      <c r="I296" s="26"/>
      <c r="J296" s="26"/>
      <c r="K296" s="26"/>
      <c r="L296" s="26"/>
      <c r="M296" s="26"/>
      <c r="N296" s="26"/>
      <c r="O296" s="26"/>
      <c r="P296" s="21"/>
      <c r="Q296" s="21"/>
      <c r="R296" s="21"/>
      <c r="S296" s="26"/>
    </row>
    <row r="297" customFormat="false" ht="15" hidden="false" customHeight="true" outlineLevel="0" collapsed="false">
      <c r="A297" s="26"/>
      <c r="B297" s="26"/>
      <c r="C297" s="26"/>
      <c r="D297" s="26"/>
      <c r="E297" s="26"/>
      <c r="F297" s="26"/>
      <c r="G297" s="26"/>
      <c r="H297" s="26"/>
      <c r="I297" s="26"/>
      <c r="J297" s="26"/>
      <c r="K297" s="26"/>
      <c r="L297" s="26"/>
      <c r="M297" s="26"/>
      <c r="N297" s="26"/>
      <c r="O297" s="26"/>
      <c r="P297" s="21"/>
      <c r="Q297" s="21"/>
      <c r="R297" s="21"/>
      <c r="S297" s="26"/>
    </row>
    <row r="298" customFormat="false" ht="15" hidden="false" customHeight="true" outlineLevel="0" collapsed="false">
      <c r="A298" s="26"/>
      <c r="B298" s="26"/>
      <c r="C298" s="26"/>
      <c r="D298" s="26"/>
      <c r="E298" s="26"/>
      <c r="F298" s="26"/>
      <c r="G298" s="26"/>
      <c r="H298" s="26"/>
      <c r="I298" s="26"/>
      <c r="J298" s="26"/>
      <c r="K298" s="26"/>
      <c r="L298" s="26"/>
      <c r="M298" s="26"/>
      <c r="N298" s="26"/>
      <c r="O298" s="26"/>
      <c r="P298" s="21"/>
      <c r="Q298" s="21"/>
      <c r="R298" s="21"/>
      <c r="S298" s="26"/>
    </row>
    <row r="299" customFormat="false" ht="15" hidden="false" customHeight="true" outlineLevel="0" collapsed="false">
      <c r="A299" s="26"/>
      <c r="B299" s="26"/>
      <c r="C299" s="26"/>
      <c r="D299" s="26"/>
      <c r="E299" s="26"/>
      <c r="F299" s="26"/>
      <c r="G299" s="26"/>
      <c r="H299" s="26"/>
      <c r="I299" s="26"/>
      <c r="J299" s="26"/>
      <c r="K299" s="26"/>
      <c r="L299" s="26"/>
      <c r="M299" s="26"/>
      <c r="N299" s="26"/>
      <c r="O299" s="26"/>
      <c r="P299" s="21"/>
      <c r="Q299" s="21"/>
      <c r="R299" s="21"/>
      <c r="S299" s="26"/>
    </row>
    <row r="300" customFormat="false" ht="15" hidden="false" customHeight="true" outlineLevel="0" collapsed="false">
      <c r="A300" s="26"/>
      <c r="B300" s="26"/>
      <c r="C300" s="26"/>
      <c r="D300" s="26"/>
      <c r="E300" s="26"/>
      <c r="F300" s="26"/>
      <c r="G300" s="26"/>
      <c r="H300" s="26"/>
      <c r="I300" s="26"/>
      <c r="J300" s="26"/>
      <c r="K300" s="26"/>
      <c r="L300" s="26"/>
      <c r="M300" s="26"/>
      <c r="N300" s="26"/>
      <c r="O300" s="26"/>
      <c r="P300" s="21"/>
      <c r="Q300" s="21"/>
      <c r="R300" s="21"/>
      <c r="S300" s="26"/>
    </row>
    <row r="301" customFormat="false" ht="15" hidden="false" customHeight="true" outlineLevel="0" collapsed="false">
      <c r="A301" s="26"/>
      <c r="B301" s="26"/>
      <c r="C301" s="26"/>
      <c r="D301" s="26"/>
      <c r="E301" s="26"/>
      <c r="F301" s="26"/>
      <c r="G301" s="26"/>
      <c r="H301" s="26"/>
      <c r="I301" s="26"/>
      <c r="J301" s="26"/>
      <c r="K301" s="26"/>
      <c r="L301" s="26"/>
      <c r="M301" s="26"/>
      <c r="N301" s="26"/>
      <c r="O301" s="26"/>
      <c r="P301" s="21"/>
      <c r="Q301" s="21"/>
      <c r="R301" s="21"/>
      <c r="S301" s="26"/>
    </row>
    <row r="302" customFormat="false" ht="15" hidden="false" customHeight="true" outlineLevel="0" collapsed="false">
      <c r="A302" s="26"/>
      <c r="B302" s="26"/>
      <c r="C302" s="26"/>
      <c r="D302" s="26"/>
      <c r="E302" s="26"/>
      <c r="F302" s="26"/>
      <c r="G302" s="26"/>
      <c r="H302" s="26"/>
      <c r="I302" s="26"/>
      <c r="J302" s="26"/>
      <c r="K302" s="26"/>
      <c r="L302" s="26"/>
      <c r="M302" s="26"/>
      <c r="N302" s="26"/>
      <c r="O302" s="26"/>
      <c r="P302" s="21"/>
      <c r="Q302" s="21"/>
      <c r="R302" s="21"/>
      <c r="S302" s="26"/>
    </row>
    <row r="303" customFormat="false" ht="15" hidden="false" customHeight="true" outlineLevel="0" collapsed="false">
      <c r="A303" s="26"/>
      <c r="B303" s="26"/>
      <c r="C303" s="26"/>
      <c r="D303" s="26"/>
      <c r="E303" s="26"/>
      <c r="F303" s="26"/>
      <c r="G303" s="26"/>
      <c r="H303" s="26"/>
      <c r="I303" s="26"/>
      <c r="J303" s="26"/>
      <c r="K303" s="26"/>
      <c r="L303" s="26"/>
      <c r="M303" s="26"/>
      <c r="N303" s="26"/>
      <c r="O303" s="26"/>
      <c r="P303" s="21"/>
      <c r="Q303" s="21"/>
      <c r="R303" s="21"/>
      <c r="S303" s="26"/>
    </row>
    <row r="304" customFormat="false" ht="15" hidden="false" customHeight="true" outlineLevel="0" collapsed="false">
      <c r="A304" s="26"/>
      <c r="B304" s="26"/>
      <c r="C304" s="26"/>
      <c r="D304" s="26"/>
      <c r="E304" s="26"/>
      <c r="F304" s="26"/>
      <c r="G304" s="26"/>
      <c r="H304" s="26"/>
      <c r="I304" s="26"/>
      <c r="J304" s="26"/>
      <c r="K304" s="26"/>
      <c r="L304" s="26"/>
      <c r="M304" s="26"/>
      <c r="N304" s="26"/>
      <c r="O304" s="26"/>
      <c r="P304" s="21"/>
      <c r="Q304" s="21"/>
      <c r="R304" s="21"/>
      <c r="S304" s="26"/>
    </row>
    <row r="305" customFormat="false" ht="15" hidden="false" customHeight="true" outlineLevel="0" collapsed="false">
      <c r="A305" s="26"/>
      <c r="B305" s="26"/>
      <c r="C305" s="26"/>
      <c r="D305" s="26"/>
      <c r="E305" s="26"/>
      <c r="F305" s="26"/>
      <c r="G305" s="26"/>
      <c r="H305" s="26"/>
      <c r="I305" s="26"/>
      <c r="J305" s="26"/>
      <c r="K305" s="26"/>
      <c r="L305" s="26"/>
      <c r="M305" s="26"/>
      <c r="N305" s="26"/>
      <c r="O305" s="26"/>
      <c r="P305" s="21"/>
      <c r="Q305" s="21"/>
      <c r="R305" s="21"/>
      <c r="S305" s="26"/>
    </row>
    <row r="306" customFormat="false" ht="15" hidden="false" customHeight="true" outlineLevel="0" collapsed="false">
      <c r="A306" s="26"/>
      <c r="B306" s="26"/>
      <c r="C306" s="26"/>
      <c r="D306" s="26"/>
      <c r="E306" s="26"/>
      <c r="F306" s="26"/>
      <c r="G306" s="26"/>
      <c r="H306" s="26"/>
      <c r="I306" s="26"/>
      <c r="J306" s="26"/>
      <c r="K306" s="26"/>
      <c r="L306" s="26"/>
      <c r="M306" s="26"/>
      <c r="N306" s="26"/>
      <c r="O306" s="26"/>
      <c r="P306" s="21"/>
      <c r="Q306" s="21"/>
      <c r="R306" s="21"/>
      <c r="S306" s="26"/>
    </row>
    <row r="307" customFormat="false" ht="15" hidden="false" customHeight="true" outlineLevel="0" collapsed="false">
      <c r="A307" s="26"/>
      <c r="B307" s="26"/>
      <c r="C307" s="26"/>
      <c r="D307" s="26"/>
      <c r="E307" s="26"/>
      <c r="F307" s="26"/>
      <c r="G307" s="26"/>
      <c r="H307" s="26"/>
      <c r="I307" s="26"/>
      <c r="J307" s="26"/>
      <c r="K307" s="26"/>
      <c r="L307" s="26"/>
      <c r="M307" s="26"/>
      <c r="N307" s="26"/>
      <c r="O307" s="26"/>
      <c r="P307" s="21"/>
      <c r="Q307" s="21"/>
      <c r="R307" s="21"/>
      <c r="S307" s="26"/>
    </row>
    <row r="308" customFormat="false" ht="15" hidden="false" customHeight="true" outlineLevel="0" collapsed="false">
      <c r="A308" s="26"/>
      <c r="B308" s="26"/>
      <c r="C308" s="26"/>
      <c r="D308" s="26"/>
      <c r="E308" s="26"/>
      <c r="F308" s="26"/>
      <c r="G308" s="26"/>
      <c r="H308" s="26"/>
      <c r="I308" s="26"/>
      <c r="J308" s="26"/>
      <c r="K308" s="26"/>
      <c r="L308" s="26"/>
      <c r="M308" s="26"/>
      <c r="N308" s="26"/>
      <c r="O308" s="26"/>
      <c r="P308" s="21"/>
      <c r="Q308" s="21"/>
      <c r="R308" s="21"/>
      <c r="S308" s="26"/>
    </row>
    <row r="309" customFormat="false" ht="15" hidden="false" customHeight="true" outlineLevel="0" collapsed="false">
      <c r="A309" s="26"/>
      <c r="B309" s="26"/>
      <c r="C309" s="26"/>
      <c r="D309" s="26"/>
      <c r="E309" s="26"/>
      <c r="F309" s="26"/>
      <c r="G309" s="26"/>
      <c r="H309" s="26"/>
      <c r="I309" s="26"/>
      <c r="J309" s="26"/>
      <c r="K309" s="26"/>
      <c r="L309" s="26"/>
      <c r="M309" s="26"/>
      <c r="N309" s="26"/>
      <c r="O309" s="26"/>
      <c r="P309" s="21"/>
      <c r="Q309" s="21"/>
      <c r="R309" s="21"/>
      <c r="S309" s="26"/>
    </row>
    <row r="310" customFormat="false" ht="15" hidden="false" customHeight="true" outlineLevel="0" collapsed="false">
      <c r="A310" s="26"/>
      <c r="B310" s="26"/>
      <c r="C310" s="26"/>
      <c r="D310" s="26"/>
      <c r="E310" s="26"/>
      <c r="F310" s="26"/>
      <c r="G310" s="26"/>
      <c r="H310" s="26"/>
      <c r="I310" s="26"/>
      <c r="J310" s="26"/>
      <c r="K310" s="26"/>
      <c r="L310" s="26"/>
      <c r="M310" s="26"/>
      <c r="N310" s="26"/>
      <c r="O310" s="26"/>
      <c r="P310" s="21"/>
      <c r="Q310" s="21"/>
      <c r="R310" s="21"/>
      <c r="S310" s="26"/>
    </row>
    <row r="311" customFormat="false" ht="15" hidden="false" customHeight="true" outlineLevel="0" collapsed="false">
      <c r="A311" s="26"/>
      <c r="B311" s="26"/>
      <c r="C311" s="26"/>
      <c r="D311" s="26"/>
      <c r="E311" s="26"/>
      <c r="F311" s="26"/>
      <c r="G311" s="26"/>
      <c r="H311" s="26"/>
      <c r="I311" s="26"/>
      <c r="J311" s="26"/>
      <c r="K311" s="26"/>
      <c r="L311" s="26"/>
      <c r="M311" s="26"/>
      <c r="N311" s="26"/>
      <c r="O311" s="26"/>
      <c r="P311" s="21"/>
      <c r="Q311" s="21"/>
      <c r="R311" s="21"/>
      <c r="S311" s="26"/>
    </row>
    <row r="312" customFormat="false" ht="15" hidden="false" customHeight="true" outlineLevel="0" collapsed="false">
      <c r="A312" s="26"/>
      <c r="B312" s="26"/>
      <c r="C312" s="26"/>
      <c r="D312" s="26"/>
      <c r="E312" s="26"/>
      <c r="F312" s="26"/>
      <c r="G312" s="26"/>
      <c r="H312" s="26"/>
      <c r="I312" s="26"/>
      <c r="J312" s="26"/>
      <c r="K312" s="26"/>
      <c r="L312" s="26"/>
      <c r="M312" s="26"/>
      <c r="N312" s="26"/>
      <c r="O312" s="26"/>
      <c r="P312" s="21"/>
      <c r="Q312" s="21"/>
      <c r="R312" s="21"/>
      <c r="S312" s="26"/>
    </row>
    <row r="313" customFormat="false" ht="15" hidden="false" customHeight="true" outlineLevel="0" collapsed="false">
      <c r="A313" s="26"/>
      <c r="B313" s="26"/>
      <c r="C313" s="26"/>
      <c r="D313" s="26"/>
      <c r="E313" s="26"/>
      <c r="F313" s="26"/>
      <c r="G313" s="26"/>
      <c r="H313" s="26"/>
      <c r="I313" s="26"/>
      <c r="J313" s="26"/>
      <c r="K313" s="26"/>
      <c r="L313" s="26"/>
      <c r="M313" s="26"/>
      <c r="N313" s="26"/>
      <c r="O313" s="26"/>
      <c r="P313" s="21"/>
      <c r="Q313" s="21"/>
      <c r="R313" s="21"/>
      <c r="S313" s="26"/>
    </row>
    <row r="314" customFormat="false" ht="15" hidden="false" customHeight="true" outlineLevel="0" collapsed="false">
      <c r="A314" s="26"/>
      <c r="B314" s="26"/>
      <c r="C314" s="26"/>
      <c r="D314" s="26"/>
      <c r="E314" s="26"/>
      <c r="F314" s="26"/>
      <c r="G314" s="26"/>
      <c r="H314" s="26"/>
      <c r="I314" s="26"/>
      <c r="J314" s="26"/>
      <c r="K314" s="26"/>
      <c r="L314" s="26"/>
      <c r="M314" s="26"/>
      <c r="N314" s="26"/>
      <c r="O314" s="26"/>
      <c r="P314" s="21"/>
      <c r="Q314" s="21"/>
      <c r="R314" s="21"/>
      <c r="S314" s="26"/>
    </row>
    <row r="315" customFormat="false" ht="15" hidden="false" customHeight="true" outlineLevel="0" collapsed="false">
      <c r="A315" s="26"/>
      <c r="B315" s="26"/>
      <c r="C315" s="26"/>
      <c r="D315" s="26"/>
      <c r="E315" s="26"/>
      <c r="F315" s="26"/>
      <c r="G315" s="26"/>
      <c r="H315" s="26"/>
      <c r="I315" s="26"/>
      <c r="J315" s="26"/>
      <c r="K315" s="26"/>
      <c r="L315" s="26"/>
      <c r="M315" s="26"/>
      <c r="N315" s="26"/>
      <c r="O315" s="26"/>
      <c r="P315" s="21"/>
      <c r="Q315" s="21"/>
      <c r="R315" s="21"/>
      <c r="S315" s="26"/>
    </row>
    <row r="316" customFormat="false" ht="15" hidden="false" customHeight="true" outlineLevel="0" collapsed="false">
      <c r="A316" s="26"/>
      <c r="B316" s="26"/>
      <c r="C316" s="26"/>
      <c r="D316" s="26"/>
      <c r="E316" s="26"/>
      <c r="F316" s="26"/>
      <c r="G316" s="26"/>
      <c r="H316" s="26"/>
      <c r="I316" s="26"/>
      <c r="J316" s="26"/>
      <c r="K316" s="26"/>
      <c r="L316" s="26"/>
      <c r="M316" s="26"/>
      <c r="N316" s="26"/>
      <c r="O316" s="26"/>
      <c r="P316" s="21"/>
      <c r="Q316" s="21"/>
      <c r="R316" s="21"/>
      <c r="S316" s="26"/>
    </row>
    <row r="317" customFormat="false" ht="15" hidden="false" customHeight="true" outlineLevel="0" collapsed="false">
      <c r="A317" s="26"/>
      <c r="B317" s="26"/>
      <c r="C317" s="26"/>
      <c r="D317" s="26"/>
      <c r="E317" s="26"/>
      <c r="F317" s="26"/>
      <c r="G317" s="26"/>
      <c r="H317" s="26"/>
      <c r="I317" s="26"/>
      <c r="J317" s="26"/>
      <c r="K317" s="26"/>
      <c r="L317" s="26"/>
      <c r="M317" s="26"/>
      <c r="N317" s="26"/>
      <c r="O317" s="26"/>
      <c r="P317" s="21"/>
      <c r="Q317" s="21"/>
      <c r="R317" s="21"/>
      <c r="S317" s="26"/>
    </row>
    <row r="318" customFormat="false" ht="15" hidden="false" customHeight="true" outlineLevel="0" collapsed="false">
      <c r="A318" s="26"/>
      <c r="B318" s="26"/>
      <c r="C318" s="26"/>
      <c r="D318" s="26"/>
      <c r="E318" s="26"/>
      <c r="F318" s="26"/>
      <c r="G318" s="26"/>
      <c r="H318" s="26"/>
      <c r="I318" s="26"/>
      <c r="J318" s="26"/>
      <c r="K318" s="26"/>
      <c r="L318" s="26"/>
      <c r="M318" s="26"/>
      <c r="N318" s="26"/>
      <c r="O318" s="26"/>
      <c r="P318" s="21"/>
      <c r="Q318" s="21"/>
      <c r="R318" s="21"/>
      <c r="S318" s="26"/>
    </row>
    <row r="319" customFormat="false" ht="15" hidden="false" customHeight="true" outlineLevel="0" collapsed="false">
      <c r="A319" s="26"/>
      <c r="B319" s="26"/>
      <c r="C319" s="26"/>
      <c r="D319" s="26"/>
      <c r="E319" s="26"/>
      <c r="F319" s="26"/>
      <c r="G319" s="26"/>
      <c r="H319" s="26"/>
      <c r="I319" s="26"/>
      <c r="J319" s="26"/>
      <c r="K319" s="26"/>
      <c r="L319" s="26"/>
      <c r="M319" s="26"/>
      <c r="N319" s="26"/>
      <c r="O319" s="26"/>
      <c r="P319" s="21"/>
      <c r="Q319" s="21"/>
      <c r="R319" s="21"/>
      <c r="S319" s="26"/>
    </row>
    <row r="320" customFormat="false" ht="15" hidden="false" customHeight="true" outlineLevel="0" collapsed="false">
      <c r="A320" s="26"/>
      <c r="B320" s="26"/>
      <c r="C320" s="26"/>
      <c r="D320" s="26"/>
      <c r="E320" s="26"/>
      <c r="F320" s="26"/>
      <c r="G320" s="26"/>
      <c r="H320" s="26"/>
      <c r="I320" s="26"/>
      <c r="J320" s="26"/>
      <c r="K320" s="26"/>
      <c r="L320" s="26"/>
      <c r="M320" s="26"/>
      <c r="N320" s="26"/>
      <c r="O320" s="26"/>
      <c r="P320" s="21"/>
      <c r="Q320" s="21"/>
      <c r="R320" s="21"/>
      <c r="S320" s="26"/>
    </row>
    <row r="321" customFormat="false" ht="15" hidden="false" customHeight="true" outlineLevel="0" collapsed="false">
      <c r="A321" s="26"/>
      <c r="B321" s="26"/>
      <c r="C321" s="26"/>
      <c r="D321" s="26"/>
      <c r="E321" s="26"/>
      <c r="F321" s="26"/>
      <c r="G321" s="26"/>
      <c r="H321" s="26"/>
      <c r="I321" s="26"/>
      <c r="J321" s="26"/>
      <c r="K321" s="26"/>
      <c r="L321" s="26"/>
      <c r="M321" s="26"/>
      <c r="N321" s="26"/>
      <c r="O321" s="26"/>
      <c r="P321" s="21"/>
      <c r="Q321" s="21"/>
      <c r="R321" s="21"/>
      <c r="S321" s="26"/>
    </row>
    <row r="322" customFormat="false" ht="15" hidden="false" customHeight="true" outlineLevel="0" collapsed="false">
      <c r="A322" s="26"/>
      <c r="B322" s="26"/>
      <c r="C322" s="26"/>
      <c r="D322" s="26"/>
      <c r="E322" s="26"/>
      <c r="F322" s="26"/>
      <c r="G322" s="26"/>
      <c r="H322" s="26"/>
      <c r="I322" s="26"/>
      <c r="J322" s="26"/>
      <c r="K322" s="26"/>
      <c r="L322" s="26"/>
      <c r="M322" s="26"/>
      <c r="N322" s="26"/>
      <c r="O322" s="26"/>
      <c r="P322" s="21"/>
      <c r="Q322" s="21"/>
      <c r="R322" s="21"/>
      <c r="S322" s="26"/>
    </row>
    <row r="323" customFormat="false" ht="15" hidden="false" customHeight="true" outlineLevel="0" collapsed="false">
      <c r="A323" s="26"/>
      <c r="B323" s="26"/>
      <c r="C323" s="26"/>
      <c r="D323" s="26"/>
      <c r="E323" s="26"/>
      <c r="F323" s="26"/>
      <c r="G323" s="26"/>
      <c r="H323" s="26"/>
      <c r="I323" s="26"/>
      <c r="J323" s="26"/>
      <c r="K323" s="26"/>
      <c r="L323" s="26"/>
      <c r="M323" s="26"/>
      <c r="N323" s="26"/>
      <c r="O323" s="26"/>
      <c r="P323" s="21"/>
      <c r="Q323" s="21"/>
      <c r="R323" s="21"/>
      <c r="S323" s="26"/>
    </row>
    <row r="324" customFormat="false" ht="15" hidden="false" customHeight="true" outlineLevel="0" collapsed="false">
      <c r="A324" s="26"/>
      <c r="B324" s="26"/>
      <c r="C324" s="26"/>
      <c r="D324" s="26"/>
      <c r="E324" s="26"/>
      <c r="F324" s="26"/>
      <c r="G324" s="26"/>
      <c r="H324" s="26"/>
      <c r="I324" s="26"/>
      <c r="J324" s="26"/>
      <c r="K324" s="26"/>
      <c r="L324" s="26"/>
      <c r="M324" s="26"/>
      <c r="N324" s="26"/>
      <c r="O324" s="26"/>
      <c r="P324" s="21"/>
      <c r="Q324" s="21"/>
      <c r="R324" s="21"/>
      <c r="S324" s="26"/>
    </row>
    <row r="325" customFormat="false" ht="15" hidden="false" customHeight="true" outlineLevel="0" collapsed="false">
      <c r="A325" s="26"/>
      <c r="B325" s="26"/>
      <c r="C325" s="26"/>
      <c r="D325" s="26"/>
      <c r="E325" s="26"/>
      <c r="F325" s="26"/>
      <c r="G325" s="26"/>
      <c r="H325" s="26"/>
      <c r="I325" s="26"/>
      <c r="J325" s="26"/>
      <c r="K325" s="26"/>
      <c r="L325" s="26"/>
      <c r="M325" s="26"/>
      <c r="N325" s="26"/>
      <c r="O325" s="26"/>
      <c r="P325" s="21"/>
      <c r="Q325" s="21"/>
      <c r="R325" s="21"/>
      <c r="S325" s="26"/>
    </row>
    <row r="326" customFormat="false" ht="15" hidden="false" customHeight="true" outlineLevel="0" collapsed="false">
      <c r="A326" s="26"/>
      <c r="B326" s="26"/>
      <c r="C326" s="26"/>
      <c r="D326" s="26"/>
      <c r="E326" s="26"/>
      <c r="F326" s="26"/>
      <c r="G326" s="26"/>
      <c r="H326" s="26"/>
      <c r="I326" s="26"/>
      <c r="J326" s="26"/>
      <c r="K326" s="26"/>
      <c r="L326" s="26"/>
      <c r="M326" s="26"/>
      <c r="N326" s="26"/>
      <c r="O326" s="26"/>
      <c r="P326" s="21"/>
      <c r="Q326" s="21"/>
      <c r="R326" s="21"/>
      <c r="S326" s="26"/>
    </row>
    <row r="327" customFormat="false" ht="15" hidden="false" customHeight="true" outlineLevel="0" collapsed="false">
      <c r="A327" s="26"/>
      <c r="B327" s="26"/>
      <c r="C327" s="26"/>
      <c r="D327" s="26"/>
      <c r="E327" s="26"/>
      <c r="F327" s="26"/>
      <c r="G327" s="26"/>
      <c r="H327" s="26"/>
      <c r="I327" s="26"/>
      <c r="J327" s="26"/>
      <c r="K327" s="26"/>
      <c r="L327" s="26"/>
      <c r="M327" s="26"/>
      <c r="N327" s="26"/>
      <c r="O327" s="26"/>
      <c r="P327" s="21"/>
      <c r="Q327" s="21"/>
      <c r="R327" s="21"/>
      <c r="S327" s="26"/>
    </row>
    <row r="328" customFormat="false" ht="15" hidden="false" customHeight="true" outlineLevel="0" collapsed="false">
      <c r="A328" s="26"/>
      <c r="B328" s="26"/>
      <c r="C328" s="26"/>
      <c r="D328" s="26"/>
      <c r="E328" s="26"/>
      <c r="F328" s="26"/>
      <c r="G328" s="26"/>
      <c r="H328" s="26"/>
      <c r="I328" s="26"/>
      <c r="J328" s="26"/>
      <c r="K328" s="26"/>
      <c r="L328" s="26"/>
      <c r="M328" s="26"/>
      <c r="N328" s="26"/>
      <c r="O328" s="26"/>
      <c r="P328" s="21"/>
      <c r="Q328" s="21"/>
      <c r="R328" s="21"/>
      <c r="S328" s="26"/>
    </row>
    <row r="329" customFormat="false" ht="15" hidden="false" customHeight="true" outlineLevel="0" collapsed="false">
      <c r="A329" s="26"/>
      <c r="B329" s="26"/>
      <c r="C329" s="26"/>
      <c r="D329" s="26"/>
      <c r="E329" s="26"/>
      <c r="F329" s="26"/>
      <c r="G329" s="26"/>
      <c r="H329" s="26"/>
      <c r="I329" s="26"/>
      <c r="J329" s="26"/>
      <c r="K329" s="26"/>
      <c r="L329" s="26"/>
      <c r="M329" s="26"/>
      <c r="N329" s="26"/>
      <c r="O329" s="26"/>
      <c r="P329" s="21"/>
      <c r="Q329" s="21"/>
      <c r="R329" s="21"/>
      <c r="S329" s="26"/>
    </row>
    <row r="330" customFormat="false" ht="15" hidden="false" customHeight="true" outlineLevel="0" collapsed="false">
      <c r="A330" s="26"/>
      <c r="B330" s="26"/>
      <c r="C330" s="26"/>
      <c r="D330" s="26"/>
      <c r="E330" s="26"/>
      <c r="F330" s="26"/>
      <c r="G330" s="26"/>
      <c r="H330" s="26"/>
      <c r="I330" s="26"/>
      <c r="J330" s="26"/>
      <c r="K330" s="26"/>
      <c r="L330" s="26"/>
      <c r="M330" s="26"/>
      <c r="N330" s="26"/>
      <c r="O330" s="26"/>
      <c r="P330" s="21"/>
      <c r="Q330" s="21"/>
      <c r="R330" s="21"/>
      <c r="S330" s="26"/>
    </row>
    <row r="331" customFormat="false" ht="15" hidden="false" customHeight="true" outlineLevel="0" collapsed="false">
      <c r="A331" s="26"/>
      <c r="B331" s="26"/>
      <c r="C331" s="26"/>
      <c r="D331" s="26"/>
      <c r="E331" s="26"/>
      <c r="F331" s="26"/>
      <c r="G331" s="26"/>
      <c r="H331" s="26"/>
      <c r="I331" s="26"/>
      <c r="J331" s="26"/>
      <c r="K331" s="26"/>
      <c r="L331" s="26"/>
      <c r="M331" s="26"/>
      <c r="N331" s="26"/>
      <c r="O331" s="26"/>
      <c r="P331" s="21"/>
      <c r="Q331" s="21"/>
      <c r="R331" s="21"/>
      <c r="S331" s="26"/>
    </row>
    <row r="332" customFormat="false" ht="15" hidden="false" customHeight="true" outlineLevel="0" collapsed="false">
      <c r="A332" s="26"/>
      <c r="B332" s="26"/>
      <c r="C332" s="26"/>
      <c r="D332" s="26"/>
      <c r="E332" s="26"/>
      <c r="F332" s="26"/>
      <c r="G332" s="26"/>
      <c r="H332" s="26"/>
      <c r="I332" s="26"/>
      <c r="J332" s="26"/>
      <c r="K332" s="26"/>
      <c r="L332" s="26"/>
      <c r="M332" s="26"/>
      <c r="N332" s="26"/>
      <c r="O332" s="26"/>
      <c r="P332" s="21"/>
      <c r="Q332" s="21"/>
      <c r="R332" s="21"/>
      <c r="S332" s="26"/>
    </row>
    <row r="333" customFormat="false" ht="15" hidden="false" customHeight="true" outlineLevel="0" collapsed="false">
      <c r="A333" s="26"/>
      <c r="B333" s="26"/>
      <c r="C333" s="26"/>
      <c r="D333" s="26"/>
      <c r="E333" s="26"/>
      <c r="F333" s="26"/>
      <c r="G333" s="26"/>
      <c r="H333" s="26"/>
      <c r="I333" s="26"/>
      <c r="J333" s="26"/>
      <c r="K333" s="26"/>
      <c r="L333" s="26"/>
      <c r="M333" s="26"/>
      <c r="N333" s="26"/>
      <c r="O333" s="26"/>
      <c r="P333" s="21"/>
      <c r="Q333" s="21"/>
      <c r="R333" s="21"/>
      <c r="S333" s="26"/>
    </row>
    <row r="334" customFormat="false" ht="15" hidden="false" customHeight="true" outlineLevel="0" collapsed="false">
      <c r="A334" s="26"/>
      <c r="B334" s="26"/>
      <c r="C334" s="26"/>
      <c r="D334" s="26"/>
      <c r="E334" s="26"/>
      <c r="F334" s="26"/>
      <c r="G334" s="26"/>
      <c r="H334" s="26"/>
      <c r="I334" s="26"/>
      <c r="J334" s="26"/>
      <c r="K334" s="26"/>
      <c r="L334" s="26"/>
      <c r="M334" s="26"/>
      <c r="N334" s="26"/>
      <c r="O334" s="26"/>
      <c r="P334" s="21"/>
      <c r="Q334" s="21"/>
      <c r="R334" s="21"/>
      <c r="S334" s="26"/>
    </row>
    <row r="335" customFormat="false" ht="15" hidden="false" customHeight="true" outlineLevel="0" collapsed="false">
      <c r="A335" s="26"/>
      <c r="B335" s="26"/>
      <c r="C335" s="26"/>
      <c r="D335" s="26"/>
      <c r="E335" s="26"/>
      <c r="F335" s="26"/>
      <c r="G335" s="26"/>
      <c r="H335" s="26"/>
      <c r="I335" s="26"/>
      <c r="J335" s="26"/>
      <c r="K335" s="26"/>
      <c r="L335" s="26"/>
      <c r="M335" s="26"/>
      <c r="N335" s="26"/>
      <c r="O335" s="26"/>
      <c r="P335" s="21"/>
      <c r="Q335" s="21"/>
      <c r="R335" s="21"/>
      <c r="S335" s="26"/>
    </row>
    <row r="336" customFormat="false" ht="15" hidden="false" customHeight="true" outlineLevel="0" collapsed="false">
      <c r="A336" s="26"/>
      <c r="B336" s="26"/>
      <c r="C336" s="26"/>
      <c r="D336" s="26"/>
      <c r="E336" s="26"/>
      <c r="F336" s="26"/>
      <c r="G336" s="26"/>
      <c r="H336" s="26"/>
      <c r="I336" s="26"/>
      <c r="J336" s="26"/>
      <c r="K336" s="26"/>
      <c r="L336" s="26"/>
      <c r="M336" s="26"/>
      <c r="N336" s="26"/>
      <c r="O336" s="26"/>
      <c r="P336" s="21"/>
      <c r="Q336" s="21"/>
      <c r="R336" s="21"/>
      <c r="S336" s="26"/>
    </row>
    <row r="337" customFormat="false" ht="15" hidden="false" customHeight="true" outlineLevel="0" collapsed="false">
      <c r="A337" s="26"/>
      <c r="B337" s="26"/>
      <c r="C337" s="26"/>
      <c r="D337" s="26"/>
      <c r="E337" s="26"/>
      <c r="F337" s="26"/>
      <c r="G337" s="26"/>
      <c r="H337" s="26"/>
      <c r="I337" s="26"/>
      <c r="J337" s="26"/>
      <c r="K337" s="26"/>
      <c r="L337" s="26"/>
      <c r="M337" s="26"/>
      <c r="N337" s="26"/>
      <c r="O337" s="26"/>
      <c r="P337" s="21"/>
      <c r="Q337" s="21"/>
      <c r="R337" s="21"/>
      <c r="S337" s="26"/>
    </row>
    <row r="338" customFormat="false" ht="15" hidden="false" customHeight="true" outlineLevel="0" collapsed="false">
      <c r="A338" s="26"/>
      <c r="B338" s="26"/>
      <c r="C338" s="26"/>
      <c r="D338" s="26"/>
      <c r="E338" s="26"/>
      <c r="F338" s="26"/>
      <c r="G338" s="26"/>
      <c r="H338" s="26"/>
      <c r="I338" s="26"/>
      <c r="J338" s="26"/>
      <c r="K338" s="26"/>
      <c r="L338" s="26"/>
      <c r="M338" s="26"/>
      <c r="N338" s="26"/>
      <c r="O338" s="26"/>
      <c r="P338" s="21"/>
      <c r="Q338" s="21"/>
      <c r="R338" s="21"/>
      <c r="S338" s="26"/>
    </row>
    <row r="339" customFormat="false" ht="15" hidden="false" customHeight="true" outlineLevel="0" collapsed="false">
      <c r="A339" s="26"/>
      <c r="B339" s="26"/>
      <c r="C339" s="26"/>
      <c r="D339" s="26"/>
      <c r="E339" s="26"/>
      <c r="F339" s="26"/>
      <c r="G339" s="26"/>
      <c r="H339" s="26"/>
      <c r="I339" s="26"/>
      <c r="J339" s="26"/>
      <c r="K339" s="26"/>
      <c r="L339" s="26"/>
      <c r="M339" s="26"/>
      <c r="N339" s="26"/>
      <c r="O339" s="26"/>
      <c r="P339" s="21"/>
      <c r="Q339" s="21"/>
      <c r="R339" s="21"/>
      <c r="S339" s="26"/>
    </row>
    <row r="340" customFormat="false" ht="15" hidden="false" customHeight="true" outlineLevel="0" collapsed="false">
      <c r="A340" s="26"/>
      <c r="B340" s="26"/>
      <c r="C340" s="26"/>
      <c r="D340" s="26"/>
      <c r="E340" s="26"/>
      <c r="F340" s="26"/>
      <c r="G340" s="26"/>
      <c r="H340" s="26"/>
      <c r="I340" s="26"/>
      <c r="J340" s="26"/>
      <c r="K340" s="26"/>
      <c r="L340" s="26"/>
      <c r="M340" s="26"/>
      <c r="N340" s="26"/>
      <c r="O340" s="26"/>
      <c r="P340" s="21"/>
      <c r="Q340" s="21"/>
      <c r="R340" s="21"/>
      <c r="S340" s="26"/>
    </row>
    <row r="341" customFormat="false" ht="15" hidden="false" customHeight="true" outlineLevel="0" collapsed="false">
      <c r="A341" s="26"/>
      <c r="B341" s="26"/>
      <c r="C341" s="26"/>
      <c r="D341" s="26"/>
      <c r="E341" s="26"/>
      <c r="F341" s="26"/>
      <c r="G341" s="26"/>
      <c r="H341" s="26"/>
      <c r="I341" s="26"/>
      <c r="J341" s="26"/>
      <c r="K341" s="26"/>
      <c r="L341" s="26"/>
      <c r="M341" s="26"/>
      <c r="N341" s="26"/>
      <c r="O341" s="26"/>
      <c r="P341" s="21"/>
      <c r="Q341" s="21"/>
      <c r="R341" s="21"/>
      <c r="S341" s="26"/>
    </row>
    <row r="342" customFormat="false" ht="15" hidden="false" customHeight="true" outlineLevel="0" collapsed="false">
      <c r="A342" s="26"/>
      <c r="B342" s="26"/>
      <c r="C342" s="26"/>
      <c r="D342" s="26"/>
      <c r="E342" s="26"/>
      <c r="F342" s="26"/>
      <c r="G342" s="26"/>
      <c r="H342" s="26"/>
      <c r="I342" s="26"/>
      <c r="J342" s="26"/>
      <c r="K342" s="26"/>
      <c r="L342" s="26"/>
      <c r="M342" s="26"/>
      <c r="N342" s="26"/>
      <c r="O342" s="26"/>
      <c r="P342" s="21"/>
      <c r="Q342" s="21"/>
      <c r="R342" s="21"/>
      <c r="S342" s="26"/>
    </row>
    <row r="343" customFormat="false" ht="15" hidden="false" customHeight="true" outlineLevel="0" collapsed="false">
      <c r="A343" s="26"/>
      <c r="B343" s="26"/>
      <c r="C343" s="26"/>
      <c r="D343" s="26"/>
      <c r="E343" s="26"/>
      <c r="F343" s="26"/>
      <c r="G343" s="26"/>
      <c r="H343" s="26"/>
      <c r="I343" s="26"/>
      <c r="J343" s="26"/>
      <c r="K343" s="26"/>
      <c r="L343" s="26"/>
      <c r="M343" s="26"/>
      <c r="N343" s="26"/>
      <c r="O343" s="26"/>
      <c r="P343" s="21"/>
      <c r="Q343" s="21"/>
      <c r="R343" s="21"/>
      <c r="S343" s="26"/>
    </row>
    <row r="344" customFormat="false" ht="15" hidden="false" customHeight="true" outlineLevel="0" collapsed="false">
      <c r="A344" s="26"/>
      <c r="B344" s="26"/>
      <c r="C344" s="26"/>
      <c r="D344" s="26"/>
      <c r="E344" s="26"/>
      <c r="F344" s="26"/>
      <c r="G344" s="26"/>
      <c r="H344" s="26"/>
      <c r="I344" s="26"/>
      <c r="J344" s="26"/>
      <c r="K344" s="26"/>
      <c r="L344" s="26"/>
      <c r="M344" s="26"/>
      <c r="N344" s="26"/>
      <c r="O344" s="26"/>
      <c r="P344" s="21"/>
      <c r="Q344" s="21"/>
      <c r="R344" s="21"/>
      <c r="S344" s="26"/>
    </row>
    <row r="345" customFormat="false" ht="15" hidden="false" customHeight="true" outlineLevel="0" collapsed="false">
      <c r="A345" s="26"/>
      <c r="B345" s="26"/>
      <c r="C345" s="26"/>
      <c r="D345" s="26"/>
      <c r="E345" s="26"/>
      <c r="F345" s="26"/>
      <c r="G345" s="26"/>
      <c r="H345" s="26"/>
      <c r="I345" s="26"/>
      <c r="J345" s="26"/>
      <c r="K345" s="26"/>
      <c r="L345" s="26"/>
      <c r="M345" s="26"/>
      <c r="N345" s="26"/>
      <c r="O345" s="26"/>
      <c r="P345" s="21"/>
      <c r="Q345" s="21"/>
      <c r="R345" s="21"/>
      <c r="S345" s="26"/>
    </row>
    <row r="346" customFormat="false" ht="15" hidden="false" customHeight="true" outlineLevel="0" collapsed="false">
      <c r="A346" s="26"/>
      <c r="B346" s="26"/>
      <c r="C346" s="26"/>
      <c r="D346" s="26"/>
      <c r="E346" s="26"/>
      <c r="F346" s="26"/>
      <c r="G346" s="26"/>
      <c r="H346" s="26"/>
      <c r="I346" s="26"/>
      <c r="J346" s="26"/>
      <c r="K346" s="26"/>
      <c r="L346" s="26"/>
      <c r="M346" s="26"/>
      <c r="N346" s="26"/>
      <c r="O346" s="26"/>
      <c r="P346" s="21"/>
      <c r="Q346" s="21"/>
      <c r="R346" s="21"/>
      <c r="S346" s="26"/>
    </row>
    <row r="347" customFormat="false" ht="15" hidden="false" customHeight="true" outlineLevel="0" collapsed="false">
      <c r="A347" s="26"/>
      <c r="B347" s="26"/>
      <c r="C347" s="26"/>
      <c r="D347" s="26"/>
      <c r="E347" s="26"/>
      <c r="F347" s="26"/>
      <c r="G347" s="26"/>
      <c r="H347" s="26"/>
      <c r="I347" s="26"/>
      <c r="J347" s="26"/>
      <c r="K347" s="26"/>
      <c r="L347" s="26"/>
      <c r="M347" s="26"/>
      <c r="N347" s="26"/>
      <c r="O347" s="26"/>
      <c r="P347" s="21"/>
      <c r="Q347" s="21"/>
      <c r="R347" s="21"/>
      <c r="S347" s="26"/>
    </row>
    <row r="348" customFormat="false" ht="15" hidden="false" customHeight="true" outlineLevel="0" collapsed="false">
      <c r="A348" s="26"/>
      <c r="B348" s="26"/>
      <c r="C348" s="26"/>
      <c r="D348" s="26"/>
      <c r="E348" s="26"/>
      <c r="F348" s="26"/>
      <c r="G348" s="26"/>
      <c r="H348" s="26"/>
      <c r="I348" s="26"/>
      <c r="J348" s="26"/>
      <c r="K348" s="26"/>
      <c r="L348" s="26"/>
      <c r="M348" s="26"/>
      <c r="N348" s="26"/>
      <c r="O348" s="26"/>
      <c r="P348" s="21"/>
      <c r="Q348" s="21"/>
      <c r="R348" s="21"/>
      <c r="S348" s="26"/>
    </row>
    <row r="349" customFormat="false" ht="15" hidden="false" customHeight="true" outlineLevel="0" collapsed="false">
      <c r="A349" s="26"/>
      <c r="B349" s="26"/>
      <c r="C349" s="26"/>
      <c r="D349" s="26"/>
      <c r="E349" s="26"/>
      <c r="F349" s="26"/>
      <c r="G349" s="26"/>
      <c r="H349" s="26"/>
      <c r="I349" s="26"/>
      <c r="J349" s="26"/>
      <c r="K349" s="26"/>
      <c r="L349" s="26"/>
      <c r="M349" s="26"/>
      <c r="N349" s="26"/>
      <c r="O349" s="26"/>
      <c r="P349" s="21"/>
      <c r="Q349" s="21"/>
      <c r="R349" s="21"/>
      <c r="S349" s="26"/>
    </row>
    <row r="350" customFormat="false" ht="15" hidden="false" customHeight="true" outlineLevel="0" collapsed="false">
      <c r="A350" s="26"/>
      <c r="B350" s="26"/>
      <c r="C350" s="26"/>
      <c r="D350" s="26"/>
      <c r="E350" s="26"/>
      <c r="F350" s="26"/>
      <c r="G350" s="26"/>
      <c r="H350" s="26"/>
      <c r="I350" s="26"/>
      <c r="J350" s="26"/>
      <c r="K350" s="26"/>
      <c r="L350" s="26"/>
      <c r="M350" s="26"/>
      <c r="N350" s="26"/>
      <c r="O350" s="26"/>
      <c r="P350" s="21"/>
      <c r="Q350" s="21"/>
      <c r="R350" s="21"/>
      <c r="S350" s="26"/>
    </row>
    <row r="351" customFormat="false" ht="15" hidden="false" customHeight="true" outlineLevel="0" collapsed="false">
      <c r="A351" s="26"/>
      <c r="B351" s="26"/>
      <c r="C351" s="26"/>
      <c r="D351" s="26"/>
      <c r="E351" s="26"/>
      <c r="F351" s="26"/>
      <c r="G351" s="26"/>
      <c r="H351" s="26"/>
      <c r="I351" s="26"/>
      <c r="J351" s="26"/>
      <c r="K351" s="26"/>
      <c r="L351" s="26"/>
      <c r="M351" s="26"/>
      <c r="N351" s="26"/>
      <c r="O351" s="26"/>
      <c r="P351" s="21"/>
      <c r="Q351" s="21"/>
      <c r="R351" s="21"/>
      <c r="S351" s="26"/>
    </row>
    <row r="352" customFormat="false" ht="15" hidden="false" customHeight="true" outlineLevel="0" collapsed="false">
      <c r="A352" s="26"/>
      <c r="B352" s="26"/>
      <c r="C352" s="26"/>
      <c r="D352" s="26"/>
      <c r="E352" s="26"/>
      <c r="F352" s="26"/>
      <c r="G352" s="26"/>
      <c r="H352" s="26"/>
      <c r="I352" s="26"/>
      <c r="J352" s="26"/>
      <c r="K352" s="26"/>
      <c r="L352" s="26"/>
      <c r="M352" s="26"/>
      <c r="N352" s="26"/>
      <c r="O352" s="26"/>
      <c r="P352" s="21"/>
      <c r="Q352" s="21"/>
      <c r="R352" s="21"/>
      <c r="S352" s="26"/>
    </row>
    <row r="353" customFormat="false" ht="15" hidden="false" customHeight="true" outlineLevel="0" collapsed="false">
      <c r="A353" s="26"/>
      <c r="B353" s="26"/>
      <c r="C353" s="26"/>
      <c r="D353" s="26"/>
      <c r="E353" s="26"/>
      <c r="F353" s="26"/>
      <c r="G353" s="26"/>
      <c r="H353" s="26"/>
      <c r="I353" s="26"/>
      <c r="J353" s="26"/>
      <c r="K353" s="26"/>
      <c r="L353" s="26"/>
      <c r="M353" s="26"/>
      <c r="N353" s="26"/>
      <c r="O353" s="26"/>
      <c r="P353" s="21"/>
      <c r="Q353" s="21"/>
      <c r="R353" s="21"/>
      <c r="S353" s="26"/>
    </row>
    <row r="354" customFormat="false" ht="15" hidden="false" customHeight="true" outlineLevel="0" collapsed="false">
      <c r="A354" s="26"/>
      <c r="B354" s="26"/>
      <c r="C354" s="26"/>
      <c r="D354" s="26"/>
      <c r="E354" s="26"/>
      <c r="F354" s="26"/>
      <c r="G354" s="26"/>
      <c r="H354" s="26"/>
      <c r="I354" s="26"/>
      <c r="J354" s="26"/>
      <c r="K354" s="26"/>
      <c r="L354" s="26"/>
      <c r="M354" s="26"/>
      <c r="N354" s="26"/>
      <c r="O354" s="26"/>
      <c r="P354" s="21"/>
      <c r="Q354" s="21"/>
      <c r="R354" s="21"/>
      <c r="S354" s="26"/>
    </row>
    <row r="355" customFormat="false" ht="15" hidden="false" customHeight="true" outlineLevel="0" collapsed="false">
      <c r="A355" s="26"/>
      <c r="B355" s="26"/>
      <c r="C355" s="26"/>
      <c r="D355" s="26"/>
      <c r="E355" s="26"/>
      <c r="F355" s="26"/>
      <c r="G355" s="26"/>
      <c r="H355" s="26"/>
      <c r="I355" s="26"/>
      <c r="J355" s="26"/>
      <c r="K355" s="26"/>
      <c r="L355" s="26"/>
      <c r="M355" s="26"/>
      <c r="N355" s="26"/>
      <c r="O355" s="26"/>
      <c r="P355" s="21"/>
      <c r="Q355" s="21"/>
      <c r="R355" s="21"/>
      <c r="S355" s="26"/>
    </row>
    <row r="356" customFormat="false" ht="15" hidden="false" customHeight="true" outlineLevel="0" collapsed="false">
      <c r="A356" s="26"/>
      <c r="B356" s="26"/>
      <c r="C356" s="26"/>
      <c r="D356" s="26"/>
      <c r="E356" s="26"/>
      <c r="F356" s="26"/>
      <c r="G356" s="26"/>
      <c r="H356" s="26"/>
      <c r="I356" s="26"/>
      <c r="J356" s="26"/>
      <c r="K356" s="26"/>
      <c r="L356" s="26"/>
      <c r="M356" s="26"/>
      <c r="N356" s="26"/>
      <c r="O356" s="26"/>
      <c r="P356" s="21"/>
      <c r="Q356" s="21"/>
      <c r="R356" s="21"/>
      <c r="S356" s="26"/>
    </row>
    <row r="357" customFormat="false" ht="15" hidden="false" customHeight="true" outlineLevel="0" collapsed="false">
      <c r="A357" s="26"/>
      <c r="B357" s="26"/>
      <c r="C357" s="26"/>
      <c r="D357" s="26"/>
      <c r="E357" s="26"/>
      <c r="F357" s="26"/>
      <c r="G357" s="26"/>
      <c r="H357" s="26"/>
      <c r="I357" s="26"/>
      <c r="J357" s="26"/>
      <c r="K357" s="26"/>
      <c r="L357" s="26"/>
      <c r="M357" s="26"/>
      <c r="N357" s="26"/>
      <c r="O357" s="26"/>
      <c r="P357" s="21"/>
      <c r="Q357" s="21"/>
      <c r="R357" s="21"/>
      <c r="S357" s="26"/>
    </row>
    <row r="358" customFormat="false" ht="15" hidden="false" customHeight="true" outlineLevel="0" collapsed="false">
      <c r="A358" s="26"/>
      <c r="B358" s="26"/>
      <c r="C358" s="26"/>
      <c r="D358" s="26"/>
      <c r="E358" s="26"/>
      <c r="F358" s="26"/>
      <c r="G358" s="26"/>
      <c r="H358" s="26"/>
      <c r="I358" s="26"/>
      <c r="J358" s="26"/>
      <c r="K358" s="26"/>
      <c r="L358" s="26"/>
      <c r="M358" s="26"/>
      <c r="N358" s="26"/>
      <c r="O358" s="26"/>
      <c r="P358" s="21"/>
      <c r="Q358" s="21"/>
      <c r="R358" s="21"/>
      <c r="S358" s="26"/>
    </row>
    <row r="359" customFormat="false" ht="15" hidden="false" customHeight="true" outlineLevel="0" collapsed="false">
      <c r="A359" s="26"/>
      <c r="B359" s="26"/>
      <c r="C359" s="26"/>
      <c r="D359" s="26"/>
      <c r="E359" s="26"/>
      <c r="F359" s="26"/>
      <c r="G359" s="26"/>
      <c r="H359" s="26"/>
      <c r="I359" s="26"/>
      <c r="J359" s="26"/>
      <c r="K359" s="26"/>
      <c r="L359" s="26"/>
      <c r="M359" s="26"/>
      <c r="N359" s="26"/>
      <c r="O359" s="26"/>
      <c r="P359" s="21"/>
      <c r="Q359" s="21"/>
      <c r="R359" s="21"/>
      <c r="S359" s="26"/>
    </row>
    <row r="360" customFormat="false" ht="15" hidden="false" customHeight="true" outlineLevel="0" collapsed="false">
      <c r="A360" s="26"/>
      <c r="B360" s="26"/>
      <c r="C360" s="26"/>
      <c r="D360" s="26"/>
      <c r="E360" s="26"/>
      <c r="F360" s="26"/>
      <c r="G360" s="26"/>
      <c r="H360" s="26"/>
      <c r="I360" s="26"/>
      <c r="J360" s="26"/>
      <c r="K360" s="26"/>
      <c r="L360" s="26"/>
      <c r="M360" s="26"/>
      <c r="N360" s="26"/>
      <c r="O360" s="26"/>
      <c r="P360" s="21"/>
      <c r="Q360" s="21"/>
      <c r="R360" s="21"/>
      <c r="S360" s="26"/>
    </row>
    <row r="361" customFormat="false" ht="15" hidden="false" customHeight="true" outlineLevel="0" collapsed="false">
      <c r="A361" s="26"/>
      <c r="B361" s="26"/>
      <c r="C361" s="26"/>
      <c r="D361" s="26"/>
      <c r="E361" s="26"/>
      <c r="F361" s="26"/>
      <c r="G361" s="26"/>
      <c r="H361" s="26"/>
      <c r="I361" s="26"/>
      <c r="J361" s="26"/>
      <c r="K361" s="26"/>
      <c r="L361" s="26"/>
      <c r="M361" s="26"/>
      <c r="N361" s="26"/>
      <c r="O361" s="26"/>
      <c r="P361" s="21"/>
      <c r="Q361" s="21"/>
      <c r="R361" s="21"/>
      <c r="S361" s="26"/>
    </row>
    <row r="362" customFormat="false" ht="15" hidden="false" customHeight="true" outlineLevel="0" collapsed="false">
      <c r="A362" s="26"/>
      <c r="B362" s="26"/>
      <c r="C362" s="26"/>
      <c r="D362" s="26"/>
      <c r="E362" s="26"/>
      <c r="F362" s="26"/>
      <c r="G362" s="26"/>
      <c r="H362" s="26"/>
      <c r="I362" s="26"/>
      <c r="J362" s="26"/>
      <c r="K362" s="26"/>
      <c r="L362" s="26"/>
      <c r="M362" s="26"/>
      <c r="N362" s="26"/>
      <c r="O362" s="26"/>
      <c r="P362" s="21"/>
      <c r="Q362" s="21"/>
      <c r="R362" s="21"/>
      <c r="S362" s="26"/>
    </row>
    <row r="363" customFormat="false" ht="15" hidden="false" customHeight="true" outlineLevel="0" collapsed="false">
      <c r="A363" s="26"/>
      <c r="B363" s="26"/>
      <c r="C363" s="26"/>
      <c r="D363" s="26"/>
      <c r="E363" s="26"/>
      <c r="F363" s="26"/>
      <c r="G363" s="26"/>
      <c r="H363" s="26"/>
      <c r="I363" s="26"/>
      <c r="J363" s="26"/>
      <c r="K363" s="26"/>
      <c r="L363" s="26"/>
      <c r="M363" s="26"/>
      <c r="N363" s="26"/>
      <c r="O363" s="26"/>
      <c r="P363" s="21"/>
      <c r="Q363" s="21"/>
      <c r="R363" s="21"/>
      <c r="S363" s="26"/>
    </row>
    <row r="364" customFormat="false" ht="15" hidden="false" customHeight="true" outlineLevel="0" collapsed="false">
      <c r="A364" s="26"/>
      <c r="B364" s="26"/>
      <c r="C364" s="26"/>
      <c r="D364" s="26"/>
      <c r="E364" s="26"/>
      <c r="F364" s="26"/>
      <c r="G364" s="26"/>
      <c r="H364" s="26"/>
      <c r="I364" s="26"/>
      <c r="J364" s="26"/>
      <c r="K364" s="26"/>
      <c r="L364" s="26"/>
      <c r="M364" s="26"/>
      <c r="N364" s="26"/>
      <c r="O364" s="26"/>
      <c r="P364" s="21"/>
      <c r="Q364" s="21"/>
      <c r="R364" s="21"/>
      <c r="S364" s="26"/>
    </row>
    <row r="365" customFormat="false" ht="15" hidden="false" customHeight="true" outlineLevel="0" collapsed="false">
      <c r="A365" s="26"/>
      <c r="B365" s="26"/>
      <c r="C365" s="26"/>
      <c r="D365" s="26"/>
      <c r="E365" s="26"/>
      <c r="F365" s="26"/>
      <c r="G365" s="26"/>
      <c r="H365" s="26"/>
      <c r="I365" s="26"/>
      <c r="J365" s="26"/>
      <c r="K365" s="26"/>
      <c r="L365" s="26"/>
      <c r="M365" s="26"/>
      <c r="N365" s="26"/>
      <c r="O365" s="26"/>
      <c r="P365" s="21"/>
      <c r="Q365" s="21"/>
      <c r="R365" s="21"/>
      <c r="S365" s="26"/>
    </row>
    <row r="366" customFormat="false" ht="15" hidden="false" customHeight="true" outlineLevel="0" collapsed="false">
      <c r="A366" s="26"/>
      <c r="B366" s="26"/>
      <c r="C366" s="26"/>
      <c r="D366" s="26"/>
      <c r="E366" s="26"/>
      <c r="F366" s="26"/>
      <c r="G366" s="26"/>
      <c r="H366" s="26"/>
      <c r="I366" s="26"/>
      <c r="J366" s="26"/>
      <c r="K366" s="26"/>
      <c r="L366" s="26"/>
      <c r="M366" s="26"/>
      <c r="N366" s="26"/>
      <c r="O366" s="26"/>
      <c r="P366" s="21"/>
      <c r="Q366" s="21"/>
      <c r="R366" s="21"/>
      <c r="S366" s="26"/>
    </row>
    <row r="367" customFormat="false" ht="15" hidden="false" customHeight="true" outlineLevel="0" collapsed="false">
      <c r="A367" s="26"/>
      <c r="B367" s="26"/>
      <c r="C367" s="26"/>
      <c r="D367" s="26"/>
      <c r="E367" s="26"/>
      <c r="F367" s="26"/>
      <c r="G367" s="26"/>
      <c r="H367" s="26"/>
      <c r="I367" s="26"/>
      <c r="J367" s="26"/>
      <c r="K367" s="26"/>
      <c r="L367" s="26"/>
      <c r="M367" s="26"/>
      <c r="N367" s="26"/>
      <c r="O367" s="26"/>
      <c r="P367" s="21"/>
      <c r="Q367" s="21"/>
      <c r="R367" s="21"/>
      <c r="S367" s="26"/>
    </row>
    <row r="368" customFormat="false" ht="15" hidden="false" customHeight="true" outlineLevel="0" collapsed="false">
      <c r="A368" s="26"/>
      <c r="B368" s="26"/>
      <c r="C368" s="26"/>
      <c r="D368" s="26"/>
      <c r="E368" s="26"/>
      <c r="F368" s="26"/>
      <c r="G368" s="26"/>
      <c r="H368" s="26"/>
      <c r="I368" s="26"/>
      <c r="J368" s="26"/>
      <c r="K368" s="26"/>
      <c r="L368" s="26"/>
      <c r="M368" s="26"/>
      <c r="N368" s="26"/>
      <c r="O368" s="26"/>
      <c r="P368" s="21"/>
      <c r="Q368" s="21"/>
      <c r="R368" s="21"/>
      <c r="S368" s="26"/>
    </row>
    <row r="369" customFormat="false" ht="15" hidden="false" customHeight="true" outlineLevel="0" collapsed="false">
      <c r="A369" s="26"/>
      <c r="B369" s="26"/>
      <c r="C369" s="26"/>
      <c r="D369" s="26"/>
      <c r="E369" s="26"/>
      <c r="F369" s="26"/>
      <c r="G369" s="26"/>
      <c r="H369" s="26"/>
      <c r="I369" s="26"/>
      <c r="J369" s="26"/>
      <c r="K369" s="26"/>
      <c r="L369" s="26"/>
      <c r="M369" s="26"/>
      <c r="N369" s="26"/>
      <c r="O369" s="26"/>
      <c r="P369" s="21"/>
      <c r="Q369" s="21"/>
      <c r="R369" s="21"/>
      <c r="S369" s="26"/>
    </row>
    <row r="370" customFormat="false" ht="15" hidden="false" customHeight="true" outlineLevel="0" collapsed="false">
      <c r="A370" s="26"/>
      <c r="B370" s="26"/>
      <c r="C370" s="26"/>
      <c r="D370" s="26"/>
      <c r="E370" s="26"/>
      <c r="F370" s="26"/>
      <c r="G370" s="26"/>
      <c r="H370" s="26"/>
      <c r="I370" s="26"/>
      <c r="J370" s="26"/>
      <c r="K370" s="26"/>
      <c r="L370" s="26"/>
      <c r="M370" s="26"/>
      <c r="N370" s="26"/>
      <c r="O370" s="26"/>
      <c r="P370" s="21"/>
      <c r="Q370" s="21"/>
      <c r="R370" s="21"/>
      <c r="S370" s="26"/>
    </row>
    <row r="371" customFormat="false" ht="15" hidden="false" customHeight="true" outlineLevel="0" collapsed="false">
      <c r="A371" s="26"/>
      <c r="B371" s="26"/>
      <c r="C371" s="26"/>
      <c r="D371" s="26"/>
      <c r="E371" s="26"/>
      <c r="F371" s="26"/>
      <c r="G371" s="26"/>
      <c r="H371" s="26"/>
      <c r="I371" s="26"/>
      <c r="J371" s="26"/>
      <c r="K371" s="26"/>
      <c r="L371" s="26"/>
      <c r="M371" s="26"/>
      <c r="N371" s="26"/>
      <c r="O371" s="26"/>
      <c r="P371" s="21"/>
      <c r="Q371" s="21"/>
      <c r="R371" s="21"/>
      <c r="S371" s="26"/>
    </row>
    <row r="372" customFormat="false" ht="15" hidden="false" customHeight="true" outlineLevel="0" collapsed="false">
      <c r="A372" s="26"/>
      <c r="B372" s="26"/>
      <c r="C372" s="26"/>
      <c r="D372" s="26"/>
      <c r="E372" s="26"/>
      <c r="F372" s="26"/>
      <c r="G372" s="26"/>
      <c r="H372" s="26"/>
      <c r="I372" s="26"/>
      <c r="J372" s="26"/>
      <c r="K372" s="26"/>
      <c r="L372" s="26"/>
      <c r="M372" s="26"/>
      <c r="N372" s="26"/>
      <c r="O372" s="26"/>
      <c r="P372" s="21"/>
      <c r="Q372" s="21"/>
      <c r="R372" s="21"/>
      <c r="S372" s="26"/>
    </row>
    <row r="373" customFormat="false" ht="15" hidden="false" customHeight="true" outlineLevel="0" collapsed="false">
      <c r="A373" s="26"/>
      <c r="B373" s="26"/>
      <c r="C373" s="26"/>
      <c r="D373" s="26"/>
      <c r="E373" s="26"/>
      <c r="F373" s="26"/>
      <c r="G373" s="26"/>
      <c r="H373" s="26"/>
      <c r="I373" s="26"/>
      <c r="J373" s="26"/>
      <c r="K373" s="26"/>
      <c r="L373" s="26"/>
      <c r="M373" s="26"/>
      <c r="N373" s="26"/>
      <c r="O373" s="26"/>
      <c r="P373" s="21"/>
      <c r="Q373" s="21"/>
      <c r="R373" s="21"/>
      <c r="S373" s="26"/>
    </row>
    <row r="374" customFormat="false" ht="15" hidden="false" customHeight="true" outlineLevel="0" collapsed="false">
      <c r="A374" s="26"/>
      <c r="B374" s="26"/>
      <c r="C374" s="26"/>
      <c r="D374" s="26"/>
      <c r="E374" s="26"/>
      <c r="F374" s="26"/>
      <c r="G374" s="26"/>
      <c r="H374" s="26"/>
      <c r="I374" s="26"/>
      <c r="J374" s="26"/>
      <c r="K374" s="26"/>
      <c r="L374" s="26"/>
      <c r="M374" s="26"/>
      <c r="N374" s="26"/>
      <c r="O374" s="26"/>
      <c r="P374" s="21"/>
      <c r="Q374" s="21"/>
      <c r="R374" s="21"/>
      <c r="S374" s="26"/>
    </row>
    <row r="375" customFormat="false" ht="15" hidden="false" customHeight="true" outlineLevel="0" collapsed="false">
      <c r="A375" s="26"/>
      <c r="B375" s="26"/>
      <c r="C375" s="26"/>
      <c r="D375" s="26"/>
      <c r="E375" s="26"/>
      <c r="F375" s="26"/>
      <c r="G375" s="26"/>
      <c r="H375" s="26"/>
      <c r="I375" s="26"/>
      <c r="J375" s="26"/>
      <c r="K375" s="26"/>
      <c r="L375" s="26"/>
      <c r="M375" s="26"/>
      <c r="N375" s="26"/>
      <c r="O375" s="26"/>
      <c r="P375" s="21"/>
      <c r="Q375" s="21"/>
      <c r="R375" s="21"/>
      <c r="S375" s="26"/>
    </row>
    <row r="376" customFormat="false" ht="15" hidden="false" customHeight="true" outlineLevel="0" collapsed="false">
      <c r="A376" s="26"/>
      <c r="B376" s="26"/>
      <c r="C376" s="26"/>
      <c r="D376" s="26"/>
      <c r="E376" s="26"/>
      <c r="F376" s="26"/>
      <c r="G376" s="26"/>
      <c r="H376" s="26"/>
      <c r="I376" s="26"/>
      <c r="J376" s="26"/>
      <c r="K376" s="26"/>
      <c r="L376" s="26"/>
      <c r="M376" s="26"/>
      <c r="N376" s="26"/>
      <c r="O376" s="26"/>
      <c r="P376" s="21"/>
      <c r="Q376" s="21"/>
      <c r="R376" s="21"/>
      <c r="S376" s="26"/>
    </row>
    <row r="377" customFormat="false" ht="15" hidden="false" customHeight="true" outlineLevel="0" collapsed="false">
      <c r="A377" s="26"/>
      <c r="B377" s="26"/>
      <c r="C377" s="26"/>
      <c r="D377" s="26"/>
      <c r="E377" s="26"/>
      <c r="F377" s="26"/>
      <c r="G377" s="26"/>
      <c r="H377" s="26"/>
      <c r="I377" s="26"/>
      <c r="J377" s="26"/>
      <c r="K377" s="26"/>
      <c r="L377" s="26"/>
      <c r="M377" s="26"/>
      <c r="N377" s="26"/>
      <c r="O377" s="26"/>
      <c r="P377" s="21"/>
      <c r="Q377" s="21"/>
      <c r="R377" s="21"/>
      <c r="S377" s="26"/>
    </row>
    <row r="378" customFormat="false" ht="15" hidden="false" customHeight="true" outlineLevel="0" collapsed="false">
      <c r="A378" s="26"/>
      <c r="B378" s="26"/>
      <c r="C378" s="26"/>
      <c r="D378" s="26"/>
      <c r="E378" s="26"/>
      <c r="F378" s="26"/>
      <c r="G378" s="26"/>
      <c r="H378" s="26"/>
      <c r="I378" s="26"/>
      <c r="J378" s="26"/>
      <c r="K378" s="26"/>
      <c r="L378" s="26"/>
      <c r="M378" s="26"/>
      <c r="N378" s="26"/>
      <c r="O378" s="26"/>
      <c r="P378" s="21"/>
      <c r="Q378" s="21"/>
      <c r="R378" s="21"/>
      <c r="S378" s="26"/>
    </row>
    <row r="379" customFormat="false" ht="15" hidden="false" customHeight="true" outlineLevel="0" collapsed="false">
      <c r="A379" s="26"/>
      <c r="B379" s="26"/>
      <c r="C379" s="26"/>
      <c r="D379" s="26"/>
      <c r="E379" s="26"/>
      <c r="F379" s="26"/>
      <c r="G379" s="26"/>
      <c r="H379" s="26"/>
      <c r="I379" s="26"/>
      <c r="J379" s="26"/>
      <c r="K379" s="26"/>
      <c r="L379" s="26"/>
      <c r="M379" s="26"/>
      <c r="N379" s="26"/>
      <c r="O379" s="26"/>
      <c r="P379" s="21"/>
      <c r="Q379" s="21"/>
      <c r="R379" s="21"/>
      <c r="S379" s="26"/>
    </row>
    <row r="380" customFormat="false" ht="15" hidden="false" customHeight="true" outlineLevel="0" collapsed="false">
      <c r="A380" s="26"/>
      <c r="B380" s="26"/>
      <c r="C380" s="26"/>
      <c r="D380" s="26"/>
      <c r="E380" s="26"/>
      <c r="F380" s="26"/>
      <c r="G380" s="26"/>
      <c r="H380" s="26"/>
      <c r="I380" s="26"/>
      <c r="J380" s="26"/>
      <c r="K380" s="26"/>
      <c r="L380" s="26"/>
      <c r="M380" s="26"/>
      <c r="N380" s="26"/>
      <c r="O380" s="26"/>
      <c r="P380" s="21"/>
      <c r="Q380" s="21"/>
      <c r="R380" s="21"/>
      <c r="S380" s="26"/>
    </row>
    <row r="381" customFormat="false" ht="15" hidden="false" customHeight="true" outlineLevel="0" collapsed="false">
      <c r="A381" s="26"/>
      <c r="B381" s="26"/>
      <c r="C381" s="26"/>
      <c r="D381" s="26"/>
      <c r="E381" s="26"/>
      <c r="F381" s="26"/>
      <c r="G381" s="26"/>
      <c r="H381" s="26"/>
      <c r="I381" s="26"/>
      <c r="J381" s="26"/>
      <c r="K381" s="26"/>
      <c r="L381" s="26"/>
      <c r="M381" s="26"/>
      <c r="N381" s="26"/>
      <c r="O381" s="26"/>
      <c r="P381" s="21"/>
      <c r="Q381" s="21"/>
      <c r="R381" s="21"/>
      <c r="S381" s="26"/>
    </row>
    <row r="382" customFormat="false" ht="15" hidden="false" customHeight="true" outlineLevel="0" collapsed="false">
      <c r="A382" s="26"/>
      <c r="B382" s="26"/>
      <c r="C382" s="26"/>
      <c r="D382" s="26"/>
      <c r="E382" s="26"/>
      <c r="F382" s="26"/>
      <c r="G382" s="26"/>
      <c r="H382" s="26"/>
      <c r="I382" s="26"/>
      <c r="J382" s="26"/>
      <c r="K382" s="26"/>
      <c r="L382" s="26"/>
      <c r="M382" s="26"/>
      <c r="N382" s="26"/>
      <c r="O382" s="26"/>
      <c r="P382" s="21"/>
      <c r="Q382" s="21"/>
      <c r="R382" s="21"/>
      <c r="S382" s="26"/>
    </row>
    <row r="383" customFormat="false" ht="15" hidden="false" customHeight="true" outlineLevel="0" collapsed="false">
      <c r="A383" s="26"/>
      <c r="B383" s="26"/>
      <c r="C383" s="26"/>
      <c r="D383" s="26"/>
      <c r="E383" s="26"/>
      <c r="F383" s="26"/>
      <c r="G383" s="26"/>
      <c r="H383" s="26"/>
      <c r="I383" s="26"/>
      <c r="J383" s="26"/>
      <c r="K383" s="26"/>
      <c r="L383" s="26"/>
      <c r="M383" s="26"/>
      <c r="N383" s="26"/>
      <c r="O383" s="26"/>
      <c r="P383" s="21"/>
      <c r="Q383" s="21"/>
      <c r="R383" s="21"/>
      <c r="S383" s="26"/>
    </row>
    <row r="384" customFormat="false" ht="15" hidden="false" customHeight="true" outlineLevel="0" collapsed="false">
      <c r="A384" s="26"/>
      <c r="B384" s="26"/>
      <c r="C384" s="26"/>
      <c r="D384" s="26"/>
      <c r="E384" s="26"/>
      <c r="F384" s="26"/>
      <c r="G384" s="26"/>
      <c r="H384" s="26"/>
      <c r="I384" s="26"/>
      <c r="J384" s="26"/>
      <c r="K384" s="26"/>
      <c r="L384" s="26"/>
      <c r="M384" s="26"/>
      <c r="N384" s="26"/>
      <c r="O384" s="26"/>
      <c r="P384" s="21"/>
      <c r="Q384" s="21"/>
      <c r="R384" s="21"/>
      <c r="S384" s="26"/>
    </row>
    <row r="385" customFormat="false" ht="15" hidden="false" customHeight="true" outlineLevel="0" collapsed="false">
      <c r="A385" s="26"/>
      <c r="B385" s="26"/>
      <c r="C385" s="26"/>
      <c r="D385" s="26"/>
      <c r="E385" s="26"/>
      <c r="F385" s="26"/>
      <c r="G385" s="26"/>
      <c r="H385" s="26"/>
      <c r="I385" s="26"/>
      <c r="J385" s="26"/>
      <c r="K385" s="26"/>
      <c r="L385" s="26"/>
      <c r="M385" s="26"/>
      <c r="N385" s="26"/>
      <c r="O385" s="26"/>
      <c r="P385" s="21"/>
      <c r="Q385" s="21"/>
      <c r="R385" s="21"/>
      <c r="S385" s="26"/>
    </row>
    <row r="386" customFormat="false" ht="15" hidden="false" customHeight="true" outlineLevel="0" collapsed="false">
      <c r="A386" s="26"/>
      <c r="B386" s="26"/>
      <c r="C386" s="26"/>
      <c r="D386" s="26"/>
      <c r="E386" s="26"/>
      <c r="F386" s="26"/>
      <c r="G386" s="26"/>
      <c r="H386" s="26"/>
      <c r="I386" s="26"/>
      <c r="J386" s="26"/>
      <c r="K386" s="26"/>
      <c r="L386" s="26"/>
      <c r="M386" s="26"/>
      <c r="N386" s="26"/>
      <c r="O386" s="26"/>
      <c r="P386" s="21"/>
      <c r="Q386" s="21"/>
      <c r="R386" s="21"/>
      <c r="S386" s="26"/>
    </row>
    <row r="387" customFormat="false" ht="15" hidden="false" customHeight="true" outlineLevel="0" collapsed="false">
      <c r="A387" s="26"/>
      <c r="B387" s="26"/>
      <c r="C387" s="26"/>
      <c r="D387" s="26"/>
      <c r="E387" s="26"/>
      <c r="F387" s="26"/>
      <c r="G387" s="26"/>
      <c r="H387" s="26"/>
      <c r="I387" s="26"/>
      <c r="J387" s="26"/>
      <c r="K387" s="26"/>
      <c r="L387" s="26"/>
      <c r="M387" s="26"/>
      <c r="N387" s="26"/>
      <c r="O387" s="26"/>
      <c r="P387" s="21"/>
      <c r="Q387" s="21"/>
      <c r="R387" s="21"/>
      <c r="S387" s="26"/>
    </row>
    <row r="388" customFormat="false" ht="15" hidden="false" customHeight="true" outlineLevel="0" collapsed="false">
      <c r="A388" s="26"/>
      <c r="B388" s="26"/>
      <c r="C388" s="26"/>
      <c r="D388" s="26"/>
      <c r="E388" s="26"/>
      <c r="F388" s="26"/>
      <c r="G388" s="26"/>
      <c r="H388" s="26"/>
      <c r="I388" s="26"/>
      <c r="J388" s="26"/>
      <c r="K388" s="26"/>
      <c r="L388" s="26"/>
      <c r="M388" s="26"/>
      <c r="N388" s="26"/>
      <c r="O388" s="26"/>
      <c r="P388" s="21"/>
      <c r="Q388" s="21"/>
      <c r="R388" s="21"/>
      <c r="S388" s="26"/>
    </row>
    <row r="389" customFormat="false" ht="15" hidden="false" customHeight="true" outlineLevel="0" collapsed="false">
      <c r="A389" s="26"/>
      <c r="B389" s="26"/>
      <c r="C389" s="26"/>
      <c r="D389" s="26"/>
      <c r="E389" s="26"/>
      <c r="F389" s="26"/>
      <c r="G389" s="26"/>
      <c r="H389" s="26"/>
      <c r="I389" s="26"/>
      <c r="J389" s="26"/>
      <c r="K389" s="26"/>
      <c r="L389" s="26"/>
      <c r="M389" s="26"/>
      <c r="N389" s="26"/>
      <c r="O389" s="26"/>
      <c r="P389" s="21"/>
      <c r="Q389" s="21"/>
      <c r="R389" s="21"/>
      <c r="S389" s="26"/>
    </row>
    <row r="390" customFormat="false" ht="15" hidden="false" customHeight="true" outlineLevel="0" collapsed="false">
      <c r="A390" s="26"/>
      <c r="B390" s="26"/>
      <c r="C390" s="26"/>
      <c r="D390" s="26"/>
      <c r="E390" s="26"/>
      <c r="F390" s="26"/>
      <c r="G390" s="26"/>
      <c r="H390" s="26"/>
      <c r="I390" s="26"/>
      <c r="J390" s="26"/>
      <c r="K390" s="26"/>
      <c r="L390" s="26"/>
      <c r="M390" s="26"/>
      <c r="N390" s="26"/>
      <c r="O390" s="26"/>
      <c r="P390" s="21"/>
      <c r="Q390" s="21"/>
      <c r="R390" s="21"/>
      <c r="S390" s="26"/>
    </row>
    <row r="391" customFormat="false" ht="15" hidden="false" customHeight="true" outlineLevel="0" collapsed="false">
      <c r="A391" s="26"/>
      <c r="B391" s="26"/>
      <c r="C391" s="26"/>
      <c r="D391" s="26"/>
      <c r="E391" s="26"/>
      <c r="F391" s="26"/>
      <c r="G391" s="26"/>
      <c r="H391" s="26"/>
      <c r="I391" s="26"/>
      <c r="J391" s="26"/>
      <c r="K391" s="26"/>
      <c r="L391" s="26"/>
      <c r="M391" s="26"/>
      <c r="N391" s="26"/>
      <c r="O391" s="26"/>
      <c r="P391" s="21"/>
      <c r="Q391" s="21"/>
      <c r="R391" s="21"/>
      <c r="S391" s="26"/>
    </row>
    <row r="392" customFormat="false" ht="15" hidden="false" customHeight="true" outlineLevel="0" collapsed="false">
      <c r="A392" s="26"/>
      <c r="B392" s="26"/>
      <c r="C392" s="26"/>
      <c r="D392" s="26"/>
      <c r="E392" s="26"/>
      <c r="F392" s="26"/>
      <c r="G392" s="26"/>
      <c r="H392" s="26"/>
      <c r="I392" s="26"/>
      <c r="J392" s="26"/>
      <c r="K392" s="26"/>
      <c r="L392" s="26"/>
      <c r="M392" s="26"/>
      <c r="N392" s="26"/>
      <c r="O392" s="26"/>
      <c r="P392" s="21"/>
      <c r="Q392" s="21"/>
      <c r="R392" s="21"/>
      <c r="S392" s="26"/>
    </row>
    <row r="393" customFormat="false" ht="15" hidden="false" customHeight="true" outlineLevel="0" collapsed="false">
      <c r="A393" s="26"/>
      <c r="B393" s="26"/>
      <c r="C393" s="26"/>
      <c r="D393" s="26"/>
      <c r="E393" s="26"/>
      <c r="F393" s="26"/>
      <c r="G393" s="26"/>
      <c r="H393" s="26"/>
      <c r="I393" s="26"/>
      <c r="J393" s="26"/>
      <c r="K393" s="26"/>
      <c r="L393" s="26"/>
      <c r="M393" s="26"/>
      <c r="N393" s="26"/>
      <c r="O393" s="26"/>
      <c r="P393" s="21"/>
      <c r="Q393" s="21"/>
      <c r="R393" s="21"/>
      <c r="S393" s="26"/>
    </row>
    <row r="394" customFormat="false" ht="15" hidden="false" customHeight="true" outlineLevel="0" collapsed="false">
      <c r="A394" s="26"/>
      <c r="B394" s="26"/>
      <c r="C394" s="26"/>
      <c r="D394" s="26"/>
      <c r="E394" s="26"/>
      <c r="F394" s="26"/>
      <c r="G394" s="26"/>
      <c r="H394" s="26"/>
      <c r="I394" s="26"/>
      <c r="J394" s="26"/>
      <c r="K394" s="26"/>
      <c r="L394" s="26"/>
      <c r="M394" s="26"/>
      <c r="N394" s="26"/>
      <c r="O394" s="26"/>
      <c r="P394" s="21"/>
      <c r="Q394" s="21"/>
      <c r="R394" s="21"/>
      <c r="S394" s="26"/>
    </row>
    <row r="395" customFormat="false" ht="15" hidden="false" customHeight="true" outlineLevel="0" collapsed="false">
      <c r="A395" s="26"/>
      <c r="B395" s="26"/>
      <c r="C395" s="26"/>
      <c r="D395" s="26"/>
      <c r="E395" s="26"/>
      <c r="F395" s="26"/>
      <c r="G395" s="26"/>
      <c r="H395" s="26"/>
      <c r="I395" s="26"/>
      <c r="J395" s="26"/>
      <c r="K395" s="26"/>
      <c r="L395" s="26"/>
      <c r="M395" s="26"/>
      <c r="N395" s="26"/>
      <c r="O395" s="26"/>
      <c r="P395" s="21"/>
      <c r="Q395" s="21"/>
      <c r="R395" s="21"/>
      <c r="S395" s="26"/>
    </row>
    <row r="396" customFormat="false" ht="15" hidden="false" customHeight="true" outlineLevel="0" collapsed="false">
      <c r="A396" s="26"/>
      <c r="B396" s="26"/>
      <c r="C396" s="26"/>
      <c r="D396" s="26"/>
      <c r="E396" s="26"/>
      <c r="F396" s="26"/>
      <c r="G396" s="26"/>
      <c r="H396" s="26"/>
      <c r="I396" s="26"/>
      <c r="J396" s="26"/>
      <c r="K396" s="26"/>
      <c r="L396" s="26"/>
      <c r="M396" s="26"/>
      <c r="N396" s="26"/>
      <c r="O396" s="26"/>
      <c r="P396" s="21"/>
      <c r="Q396" s="21"/>
      <c r="R396" s="21"/>
      <c r="S396" s="26"/>
    </row>
    <row r="397" customFormat="false" ht="15" hidden="false" customHeight="true" outlineLevel="0" collapsed="false">
      <c r="A397" s="26"/>
      <c r="B397" s="26"/>
      <c r="C397" s="26"/>
      <c r="D397" s="26"/>
      <c r="E397" s="26"/>
      <c r="F397" s="26"/>
      <c r="G397" s="26"/>
      <c r="H397" s="26"/>
      <c r="I397" s="26"/>
      <c r="J397" s="26"/>
      <c r="K397" s="26"/>
      <c r="L397" s="26"/>
      <c r="M397" s="26"/>
      <c r="N397" s="26"/>
      <c r="O397" s="26"/>
      <c r="P397" s="21"/>
      <c r="Q397" s="21"/>
      <c r="R397" s="21"/>
      <c r="S397" s="26"/>
    </row>
    <row r="398" customFormat="false" ht="15" hidden="false" customHeight="true" outlineLevel="0" collapsed="false">
      <c r="A398" s="26"/>
      <c r="B398" s="26"/>
      <c r="C398" s="26"/>
      <c r="D398" s="26"/>
      <c r="E398" s="26"/>
      <c r="F398" s="26"/>
      <c r="G398" s="26"/>
      <c r="H398" s="26"/>
      <c r="I398" s="26"/>
      <c r="J398" s="26"/>
      <c r="K398" s="26"/>
      <c r="L398" s="26"/>
      <c r="M398" s="26"/>
      <c r="N398" s="26"/>
      <c r="O398" s="26"/>
      <c r="P398" s="21"/>
      <c r="Q398" s="21"/>
      <c r="R398" s="21"/>
      <c r="S398" s="26"/>
    </row>
    <row r="399" customFormat="false" ht="15" hidden="false" customHeight="true" outlineLevel="0" collapsed="false">
      <c r="A399" s="26"/>
      <c r="B399" s="26"/>
      <c r="C399" s="26"/>
      <c r="D399" s="26"/>
      <c r="E399" s="26"/>
      <c r="F399" s="26"/>
      <c r="G399" s="26"/>
      <c r="H399" s="26"/>
      <c r="I399" s="26"/>
      <c r="J399" s="26"/>
      <c r="K399" s="26"/>
      <c r="L399" s="26"/>
      <c r="M399" s="26"/>
      <c r="N399" s="26"/>
      <c r="O399" s="26"/>
      <c r="P399" s="21"/>
      <c r="Q399" s="21"/>
      <c r="R399" s="21"/>
      <c r="S399" s="26"/>
    </row>
    <row r="400" customFormat="false" ht="15" hidden="false" customHeight="true" outlineLevel="0" collapsed="false">
      <c r="A400" s="26"/>
      <c r="B400" s="26"/>
      <c r="C400" s="26"/>
      <c r="D400" s="26"/>
      <c r="E400" s="26"/>
      <c r="F400" s="26"/>
      <c r="G400" s="26"/>
      <c r="H400" s="26"/>
      <c r="I400" s="26"/>
      <c r="J400" s="26"/>
      <c r="K400" s="26"/>
      <c r="L400" s="26"/>
      <c r="M400" s="26"/>
      <c r="N400" s="26"/>
      <c r="O400" s="26"/>
      <c r="P400" s="21"/>
      <c r="Q400" s="21"/>
      <c r="R400" s="21"/>
      <c r="S400" s="26"/>
    </row>
    <row r="401" customFormat="false" ht="15" hidden="false" customHeight="true" outlineLevel="0" collapsed="false">
      <c r="A401" s="26"/>
      <c r="B401" s="26"/>
      <c r="C401" s="26"/>
      <c r="D401" s="26"/>
      <c r="E401" s="26"/>
      <c r="F401" s="26"/>
      <c r="G401" s="26"/>
      <c r="H401" s="26"/>
      <c r="I401" s="26"/>
      <c r="J401" s="26"/>
      <c r="K401" s="26"/>
      <c r="L401" s="26"/>
      <c r="M401" s="26"/>
      <c r="N401" s="26"/>
      <c r="O401" s="26"/>
      <c r="P401" s="21"/>
      <c r="Q401" s="21"/>
      <c r="R401" s="21"/>
      <c r="S401" s="26"/>
    </row>
    <row r="402" customFormat="false" ht="15" hidden="false" customHeight="true" outlineLevel="0" collapsed="false">
      <c r="A402" s="26"/>
      <c r="B402" s="26"/>
      <c r="C402" s="26"/>
      <c r="D402" s="26"/>
      <c r="E402" s="26"/>
      <c r="F402" s="26"/>
      <c r="G402" s="26"/>
      <c r="H402" s="26"/>
      <c r="I402" s="26"/>
      <c r="J402" s="26"/>
      <c r="K402" s="26"/>
      <c r="L402" s="26"/>
      <c r="M402" s="26"/>
      <c r="N402" s="26"/>
      <c r="O402" s="26"/>
      <c r="P402" s="21"/>
      <c r="Q402" s="21"/>
      <c r="R402" s="21"/>
      <c r="S402" s="26"/>
    </row>
    <row r="403" customFormat="false" ht="15" hidden="false" customHeight="true" outlineLevel="0" collapsed="false">
      <c r="A403" s="26"/>
      <c r="B403" s="26"/>
      <c r="C403" s="26"/>
      <c r="D403" s="26"/>
      <c r="E403" s="26"/>
      <c r="F403" s="26"/>
      <c r="G403" s="26"/>
      <c r="H403" s="26"/>
      <c r="I403" s="26"/>
      <c r="J403" s="26"/>
      <c r="K403" s="26"/>
      <c r="L403" s="26"/>
      <c r="M403" s="26"/>
      <c r="N403" s="26"/>
      <c r="O403" s="26"/>
      <c r="P403" s="21"/>
      <c r="Q403" s="21"/>
      <c r="R403" s="21"/>
      <c r="S403" s="26"/>
    </row>
    <row r="404" customFormat="false" ht="15" hidden="false" customHeight="true" outlineLevel="0" collapsed="false">
      <c r="A404" s="26"/>
      <c r="B404" s="26"/>
      <c r="C404" s="26"/>
      <c r="D404" s="26"/>
      <c r="E404" s="26"/>
      <c r="F404" s="26"/>
      <c r="G404" s="26"/>
      <c r="H404" s="26"/>
      <c r="I404" s="26"/>
      <c r="J404" s="26"/>
      <c r="K404" s="26"/>
      <c r="L404" s="26"/>
      <c r="M404" s="26"/>
      <c r="N404" s="26"/>
      <c r="O404" s="26"/>
      <c r="P404" s="21"/>
      <c r="Q404" s="21"/>
      <c r="R404" s="21"/>
      <c r="S404" s="26"/>
    </row>
    <row r="405" customFormat="false" ht="15" hidden="false" customHeight="true" outlineLevel="0" collapsed="false">
      <c r="A405" s="26"/>
      <c r="B405" s="26"/>
      <c r="C405" s="26"/>
      <c r="D405" s="26"/>
      <c r="E405" s="26"/>
      <c r="F405" s="26"/>
      <c r="G405" s="26"/>
      <c r="H405" s="26"/>
      <c r="I405" s="26"/>
      <c r="J405" s="26"/>
      <c r="K405" s="26"/>
      <c r="L405" s="26"/>
      <c r="M405" s="26"/>
      <c r="N405" s="26"/>
      <c r="O405" s="26"/>
      <c r="P405" s="21"/>
      <c r="Q405" s="21"/>
      <c r="R405" s="21"/>
      <c r="S405" s="26"/>
    </row>
    <row r="406" customFormat="false" ht="15" hidden="false" customHeight="true" outlineLevel="0" collapsed="false">
      <c r="A406" s="26"/>
      <c r="B406" s="26"/>
      <c r="C406" s="26"/>
      <c r="D406" s="26"/>
      <c r="E406" s="26"/>
      <c r="F406" s="26"/>
      <c r="G406" s="26"/>
      <c r="H406" s="26"/>
      <c r="I406" s="26"/>
      <c r="J406" s="26"/>
      <c r="K406" s="26"/>
      <c r="L406" s="26"/>
      <c r="M406" s="26"/>
      <c r="N406" s="26"/>
      <c r="O406" s="26"/>
      <c r="P406" s="21"/>
      <c r="Q406" s="21"/>
      <c r="R406" s="21"/>
      <c r="S406" s="26"/>
    </row>
    <row r="407" customFormat="false" ht="15" hidden="false" customHeight="true" outlineLevel="0" collapsed="false">
      <c r="A407" s="26"/>
      <c r="B407" s="26"/>
      <c r="C407" s="26"/>
      <c r="D407" s="26"/>
      <c r="E407" s="26"/>
      <c r="F407" s="26"/>
      <c r="G407" s="26"/>
      <c r="H407" s="26"/>
      <c r="I407" s="26"/>
      <c r="J407" s="26"/>
      <c r="K407" s="26"/>
      <c r="L407" s="26"/>
      <c r="M407" s="26"/>
      <c r="N407" s="26"/>
      <c r="O407" s="26"/>
      <c r="P407" s="21"/>
      <c r="Q407" s="21"/>
      <c r="R407" s="21"/>
      <c r="S407" s="26"/>
    </row>
    <row r="408" customFormat="false" ht="15" hidden="false" customHeight="true" outlineLevel="0" collapsed="false">
      <c r="A408" s="26"/>
      <c r="B408" s="26"/>
      <c r="C408" s="26"/>
      <c r="D408" s="26"/>
      <c r="E408" s="26"/>
      <c r="F408" s="26"/>
      <c r="G408" s="26"/>
      <c r="H408" s="26"/>
      <c r="I408" s="26"/>
      <c r="J408" s="26"/>
      <c r="K408" s="26"/>
      <c r="L408" s="26"/>
      <c r="M408" s="26"/>
      <c r="N408" s="26"/>
      <c r="O408" s="26"/>
      <c r="P408" s="21"/>
      <c r="Q408" s="21"/>
      <c r="R408" s="21"/>
      <c r="S408" s="26"/>
    </row>
    <row r="409" customFormat="false" ht="15" hidden="false" customHeight="true" outlineLevel="0" collapsed="false">
      <c r="A409" s="26"/>
      <c r="B409" s="26"/>
      <c r="C409" s="26"/>
      <c r="D409" s="26"/>
      <c r="E409" s="26"/>
      <c r="F409" s="26"/>
      <c r="G409" s="26"/>
      <c r="H409" s="26"/>
      <c r="I409" s="26"/>
      <c r="J409" s="26"/>
      <c r="K409" s="26"/>
      <c r="L409" s="26"/>
      <c r="M409" s="26"/>
      <c r="N409" s="26"/>
      <c r="O409" s="26"/>
      <c r="P409" s="21"/>
      <c r="Q409" s="21"/>
      <c r="R409" s="21"/>
      <c r="S409" s="26"/>
    </row>
    <row r="410" customFormat="false" ht="15" hidden="false" customHeight="true" outlineLevel="0" collapsed="false">
      <c r="A410" s="26"/>
      <c r="B410" s="26"/>
      <c r="C410" s="26"/>
      <c r="D410" s="26"/>
      <c r="E410" s="26"/>
      <c r="F410" s="26"/>
      <c r="G410" s="26"/>
      <c r="H410" s="26"/>
      <c r="I410" s="26"/>
      <c r="J410" s="26"/>
      <c r="K410" s="26"/>
      <c r="L410" s="26"/>
      <c r="M410" s="26"/>
      <c r="N410" s="26"/>
      <c r="O410" s="26"/>
      <c r="P410" s="21"/>
      <c r="Q410" s="21"/>
      <c r="R410" s="21"/>
      <c r="S410" s="26"/>
    </row>
    <row r="411" customFormat="false" ht="15" hidden="false" customHeight="true" outlineLevel="0" collapsed="false">
      <c r="A411" s="26"/>
      <c r="B411" s="26"/>
      <c r="C411" s="26"/>
      <c r="D411" s="26"/>
      <c r="E411" s="26"/>
      <c r="F411" s="26"/>
      <c r="G411" s="26"/>
      <c r="H411" s="26"/>
      <c r="I411" s="26"/>
      <c r="J411" s="26"/>
      <c r="K411" s="26"/>
      <c r="L411" s="26"/>
      <c r="M411" s="26"/>
      <c r="N411" s="26"/>
      <c r="O411" s="26"/>
      <c r="P411" s="21"/>
      <c r="Q411" s="21"/>
      <c r="R411" s="21"/>
      <c r="S411" s="26"/>
    </row>
    <row r="412" customFormat="false" ht="15" hidden="false" customHeight="true" outlineLevel="0" collapsed="false">
      <c r="A412" s="26"/>
      <c r="B412" s="26"/>
      <c r="C412" s="26"/>
      <c r="D412" s="26"/>
      <c r="E412" s="26"/>
      <c r="F412" s="26"/>
      <c r="G412" s="26"/>
      <c r="H412" s="26"/>
      <c r="I412" s="26"/>
      <c r="J412" s="26"/>
      <c r="K412" s="26"/>
      <c r="L412" s="26"/>
      <c r="M412" s="26"/>
      <c r="N412" s="26"/>
      <c r="O412" s="26"/>
      <c r="P412" s="21"/>
      <c r="Q412" s="21"/>
      <c r="R412" s="21"/>
      <c r="S412" s="26"/>
    </row>
    <row r="413" customFormat="false" ht="15" hidden="false" customHeight="true" outlineLevel="0" collapsed="false">
      <c r="A413" s="26"/>
      <c r="B413" s="26"/>
      <c r="C413" s="26"/>
      <c r="D413" s="26"/>
      <c r="E413" s="26"/>
      <c r="F413" s="26"/>
      <c r="G413" s="26"/>
      <c r="H413" s="26"/>
      <c r="I413" s="26"/>
      <c r="J413" s="26"/>
      <c r="K413" s="26"/>
      <c r="L413" s="26"/>
      <c r="M413" s="26"/>
      <c r="N413" s="26"/>
      <c r="O413" s="26"/>
      <c r="P413" s="21"/>
      <c r="Q413" s="21"/>
      <c r="R413" s="21"/>
      <c r="S413" s="26"/>
    </row>
    <row r="414" customFormat="false" ht="15" hidden="false" customHeight="true" outlineLevel="0" collapsed="false">
      <c r="A414" s="26"/>
      <c r="B414" s="26"/>
      <c r="C414" s="26"/>
      <c r="D414" s="26"/>
      <c r="E414" s="26"/>
      <c r="F414" s="26"/>
      <c r="G414" s="26"/>
      <c r="H414" s="26"/>
      <c r="I414" s="26"/>
      <c r="J414" s="26"/>
      <c r="K414" s="26"/>
      <c r="L414" s="26"/>
      <c r="M414" s="26"/>
      <c r="N414" s="26"/>
      <c r="O414" s="26"/>
      <c r="P414" s="21"/>
      <c r="Q414" s="21"/>
      <c r="R414" s="21"/>
      <c r="S414" s="26"/>
    </row>
    <row r="415" customFormat="false" ht="15" hidden="false" customHeight="true" outlineLevel="0" collapsed="false">
      <c r="A415" s="26"/>
      <c r="B415" s="26"/>
      <c r="C415" s="26"/>
      <c r="D415" s="26"/>
      <c r="E415" s="26"/>
      <c r="F415" s="26"/>
      <c r="G415" s="26"/>
      <c r="H415" s="26"/>
      <c r="I415" s="26"/>
      <c r="J415" s="26"/>
      <c r="K415" s="26"/>
      <c r="L415" s="26"/>
      <c r="M415" s="26"/>
      <c r="N415" s="26"/>
      <c r="O415" s="26"/>
      <c r="P415" s="21"/>
      <c r="Q415" s="21"/>
      <c r="R415" s="21"/>
      <c r="S415" s="26"/>
    </row>
    <row r="416" customFormat="false" ht="15" hidden="false" customHeight="true" outlineLevel="0" collapsed="false">
      <c r="A416" s="26"/>
      <c r="B416" s="26"/>
      <c r="C416" s="26"/>
      <c r="D416" s="26"/>
      <c r="E416" s="26"/>
      <c r="F416" s="26"/>
      <c r="G416" s="26"/>
      <c r="H416" s="26"/>
      <c r="I416" s="26"/>
      <c r="J416" s="26"/>
      <c r="K416" s="26"/>
      <c r="L416" s="26"/>
      <c r="M416" s="26"/>
      <c r="N416" s="26"/>
      <c r="O416" s="26"/>
      <c r="P416" s="21"/>
      <c r="Q416" s="21"/>
      <c r="R416" s="21"/>
      <c r="S416" s="26"/>
    </row>
    <row r="417" customFormat="false" ht="15" hidden="false" customHeight="true" outlineLevel="0" collapsed="false">
      <c r="A417" s="26"/>
      <c r="B417" s="26"/>
      <c r="C417" s="26"/>
      <c r="D417" s="26"/>
      <c r="E417" s="26"/>
      <c r="F417" s="26"/>
      <c r="G417" s="26"/>
      <c r="H417" s="26"/>
      <c r="I417" s="26"/>
      <c r="J417" s="26"/>
      <c r="K417" s="26"/>
      <c r="L417" s="26"/>
      <c r="M417" s="26"/>
      <c r="N417" s="26"/>
      <c r="O417" s="26"/>
      <c r="P417" s="21"/>
      <c r="Q417" s="21"/>
      <c r="R417" s="21"/>
      <c r="S417" s="26"/>
    </row>
    <row r="418" customFormat="false" ht="15" hidden="false" customHeight="true" outlineLevel="0" collapsed="false">
      <c r="A418" s="26"/>
      <c r="B418" s="26"/>
      <c r="C418" s="26"/>
      <c r="D418" s="26"/>
      <c r="E418" s="26"/>
      <c r="F418" s="26"/>
      <c r="G418" s="26"/>
      <c r="H418" s="26"/>
      <c r="I418" s="26"/>
      <c r="J418" s="26"/>
      <c r="K418" s="26"/>
      <c r="L418" s="26"/>
      <c r="M418" s="26"/>
      <c r="N418" s="26"/>
      <c r="O418" s="26"/>
      <c r="P418" s="21"/>
      <c r="Q418" s="21"/>
      <c r="R418" s="21"/>
      <c r="S418" s="26"/>
    </row>
    <row r="419" customFormat="false" ht="15" hidden="false" customHeight="true" outlineLevel="0" collapsed="false">
      <c r="A419" s="26"/>
      <c r="B419" s="26"/>
      <c r="C419" s="26"/>
      <c r="D419" s="26"/>
      <c r="E419" s="26"/>
      <c r="F419" s="26"/>
      <c r="G419" s="26"/>
      <c r="H419" s="26"/>
      <c r="I419" s="26"/>
      <c r="J419" s="26"/>
      <c r="K419" s="26"/>
      <c r="L419" s="26"/>
      <c r="M419" s="26"/>
      <c r="N419" s="26"/>
      <c r="O419" s="26"/>
      <c r="P419" s="21"/>
      <c r="Q419" s="21"/>
      <c r="R419" s="21"/>
      <c r="S419" s="26"/>
    </row>
    <row r="420" customFormat="false" ht="15" hidden="false" customHeight="true" outlineLevel="0" collapsed="false">
      <c r="A420" s="26"/>
      <c r="B420" s="26"/>
      <c r="C420" s="26"/>
      <c r="D420" s="26"/>
      <c r="E420" s="26"/>
      <c r="F420" s="26"/>
      <c r="G420" s="26"/>
      <c r="H420" s="26"/>
      <c r="I420" s="26"/>
      <c r="J420" s="26"/>
      <c r="K420" s="26"/>
      <c r="L420" s="26"/>
      <c r="M420" s="26"/>
      <c r="N420" s="26"/>
      <c r="O420" s="26"/>
      <c r="P420" s="21"/>
      <c r="Q420" s="21"/>
      <c r="R420" s="21"/>
      <c r="S420" s="26"/>
    </row>
    <row r="421" customFormat="false" ht="15" hidden="false" customHeight="true" outlineLevel="0" collapsed="false">
      <c r="A421" s="26"/>
      <c r="B421" s="26"/>
      <c r="C421" s="26"/>
      <c r="D421" s="26"/>
      <c r="E421" s="26"/>
      <c r="F421" s="26"/>
      <c r="G421" s="26"/>
      <c r="H421" s="26"/>
      <c r="I421" s="26"/>
      <c r="J421" s="26"/>
      <c r="K421" s="26"/>
      <c r="L421" s="26"/>
      <c r="M421" s="26"/>
      <c r="N421" s="26"/>
      <c r="O421" s="26"/>
      <c r="P421" s="21"/>
      <c r="Q421" s="21"/>
      <c r="R421" s="21"/>
      <c r="S421" s="26"/>
    </row>
    <row r="422" customFormat="false" ht="15" hidden="false" customHeight="true" outlineLevel="0" collapsed="false">
      <c r="A422" s="26"/>
      <c r="B422" s="26"/>
      <c r="C422" s="26"/>
      <c r="D422" s="26"/>
      <c r="E422" s="26"/>
      <c r="F422" s="26"/>
      <c r="G422" s="26"/>
      <c r="H422" s="26"/>
      <c r="I422" s="26"/>
      <c r="J422" s="26"/>
      <c r="K422" s="26"/>
      <c r="L422" s="26"/>
      <c r="M422" s="26"/>
      <c r="N422" s="26"/>
      <c r="O422" s="26"/>
      <c r="P422" s="21"/>
      <c r="Q422" s="21"/>
      <c r="R422" s="21"/>
      <c r="S422" s="26"/>
    </row>
    <row r="423" customFormat="false" ht="15" hidden="false" customHeight="true" outlineLevel="0" collapsed="false">
      <c r="A423" s="26"/>
      <c r="B423" s="26"/>
      <c r="C423" s="26"/>
      <c r="D423" s="26"/>
      <c r="E423" s="26"/>
      <c r="F423" s="26"/>
      <c r="G423" s="26"/>
      <c r="H423" s="26"/>
      <c r="I423" s="26"/>
      <c r="J423" s="26"/>
      <c r="K423" s="26"/>
      <c r="L423" s="26"/>
      <c r="M423" s="26"/>
      <c r="N423" s="26"/>
      <c r="O423" s="26"/>
      <c r="P423" s="21"/>
      <c r="Q423" s="21"/>
      <c r="R423" s="21"/>
      <c r="S423" s="26"/>
    </row>
    <row r="424" customFormat="false" ht="15" hidden="false" customHeight="true" outlineLevel="0" collapsed="false">
      <c r="A424" s="26"/>
      <c r="B424" s="26"/>
      <c r="C424" s="26"/>
      <c r="D424" s="26"/>
      <c r="E424" s="26"/>
      <c r="F424" s="26"/>
      <c r="G424" s="26"/>
      <c r="H424" s="26"/>
      <c r="I424" s="26"/>
      <c r="J424" s="26"/>
      <c r="K424" s="26"/>
      <c r="L424" s="26"/>
      <c r="M424" s="26"/>
      <c r="N424" s="26"/>
      <c r="O424" s="26"/>
      <c r="P424" s="21"/>
      <c r="Q424" s="21"/>
      <c r="R424" s="21"/>
      <c r="S424" s="26"/>
    </row>
    <row r="425" customFormat="false" ht="15" hidden="false" customHeight="true" outlineLevel="0" collapsed="false">
      <c r="A425" s="26"/>
      <c r="B425" s="26"/>
      <c r="C425" s="26"/>
      <c r="D425" s="26"/>
      <c r="E425" s="26"/>
      <c r="F425" s="26"/>
      <c r="G425" s="26"/>
      <c r="H425" s="26"/>
      <c r="I425" s="26"/>
      <c r="J425" s="26"/>
      <c r="K425" s="26"/>
      <c r="L425" s="26"/>
      <c r="M425" s="26"/>
      <c r="N425" s="26"/>
      <c r="O425" s="26"/>
      <c r="P425" s="21"/>
      <c r="Q425" s="21"/>
      <c r="R425" s="21"/>
      <c r="S425" s="26"/>
    </row>
    <row r="426" customFormat="false" ht="15" hidden="false" customHeight="true" outlineLevel="0" collapsed="false">
      <c r="A426" s="26"/>
      <c r="B426" s="26"/>
      <c r="C426" s="26"/>
      <c r="D426" s="26"/>
      <c r="E426" s="26"/>
      <c r="F426" s="26"/>
      <c r="G426" s="26"/>
      <c r="H426" s="26"/>
      <c r="I426" s="26"/>
      <c r="J426" s="26"/>
      <c r="K426" s="26"/>
      <c r="L426" s="26"/>
      <c r="M426" s="26"/>
      <c r="N426" s="26"/>
      <c r="O426" s="26"/>
      <c r="P426" s="21"/>
      <c r="Q426" s="21"/>
      <c r="R426" s="21"/>
      <c r="S426" s="26"/>
    </row>
    <row r="427" customFormat="false" ht="15" hidden="false" customHeight="true" outlineLevel="0" collapsed="false">
      <c r="A427" s="26"/>
      <c r="B427" s="26"/>
      <c r="C427" s="26"/>
      <c r="D427" s="26"/>
      <c r="E427" s="26"/>
      <c r="F427" s="26"/>
      <c r="G427" s="26"/>
      <c r="H427" s="26"/>
      <c r="I427" s="26"/>
      <c r="J427" s="26"/>
      <c r="K427" s="26"/>
      <c r="L427" s="26"/>
      <c r="M427" s="26"/>
      <c r="N427" s="26"/>
      <c r="O427" s="26"/>
      <c r="P427" s="21"/>
      <c r="Q427" s="21"/>
      <c r="R427" s="21"/>
      <c r="S427" s="26"/>
    </row>
    <row r="428" customFormat="false" ht="15" hidden="false" customHeight="true" outlineLevel="0" collapsed="false">
      <c r="A428" s="26"/>
      <c r="B428" s="26"/>
      <c r="C428" s="26"/>
      <c r="D428" s="26"/>
      <c r="E428" s="26"/>
      <c r="F428" s="26"/>
      <c r="G428" s="26"/>
      <c r="H428" s="26"/>
      <c r="I428" s="26"/>
      <c r="J428" s="26"/>
      <c r="K428" s="26"/>
      <c r="L428" s="26"/>
      <c r="M428" s="26"/>
      <c r="N428" s="26"/>
      <c r="O428" s="26"/>
      <c r="P428" s="21"/>
      <c r="Q428" s="21"/>
      <c r="R428" s="21"/>
      <c r="S428" s="26"/>
    </row>
    <row r="429" customFormat="false" ht="15" hidden="false" customHeight="true" outlineLevel="0" collapsed="false">
      <c r="A429" s="26"/>
      <c r="B429" s="26"/>
      <c r="C429" s="26"/>
      <c r="D429" s="26"/>
      <c r="E429" s="26"/>
      <c r="F429" s="26"/>
      <c r="G429" s="26"/>
      <c r="H429" s="26"/>
      <c r="I429" s="26"/>
      <c r="J429" s="26"/>
      <c r="K429" s="26"/>
      <c r="L429" s="26"/>
      <c r="M429" s="26"/>
      <c r="N429" s="26"/>
      <c r="O429" s="26"/>
      <c r="P429" s="21"/>
      <c r="Q429" s="21"/>
      <c r="R429" s="21"/>
      <c r="S429" s="26"/>
    </row>
    <row r="430" customFormat="false" ht="15" hidden="false" customHeight="true" outlineLevel="0" collapsed="false">
      <c r="A430" s="26"/>
      <c r="B430" s="26"/>
      <c r="C430" s="26"/>
      <c r="D430" s="26"/>
      <c r="E430" s="26"/>
      <c r="F430" s="26"/>
      <c r="G430" s="26"/>
      <c r="H430" s="26"/>
      <c r="I430" s="26"/>
      <c r="J430" s="26"/>
      <c r="K430" s="26"/>
      <c r="L430" s="26"/>
      <c r="M430" s="26"/>
      <c r="N430" s="26"/>
      <c r="O430" s="26"/>
      <c r="P430" s="21"/>
      <c r="Q430" s="21"/>
      <c r="R430" s="21"/>
      <c r="S430" s="26"/>
    </row>
    <row r="431" customFormat="false" ht="15" hidden="false" customHeight="true" outlineLevel="0" collapsed="false">
      <c r="A431" s="26"/>
      <c r="B431" s="26"/>
      <c r="C431" s="26"/>
      <c r="D431" s="26"/>
      <c r="E431" s="26"/>
      <c r="F431" s="26"/>
      <c r="G431" s="26"/>
      <c r="H431" s="26"/>
      <c r="I431" s="26"/>
      <c r="J431" s="26"/>
      <c r="K431" s="26"/>
      <c r="L431" s="26"/>
      <c r="M431" s="26"/>
      <c r="N431" s="26"/>
      <c r="O431" s="26"/>
      <c r="P431" s="21"/>
      <c r="Q431" s="21"/>
      <c r="R431" s="21"/>
      <c r="S431" s="26"/>
    </row>
    <row r="432" customFormat="false" ht="15" hidden="false" customHeight="true" outlineLevel="0" collapsed="false">
      <c r="A432" s="26"/>
      <c r="B432" s="26"/>
      <c r="C432" s="26"/>
      <c r="D432" s="26"/>
      <c r="E432" s="26"/>
      <c r="F432" s="26"/>
      <c r="G432" s="26"/>
      <c r="H432" s="26"/>
      <c r="I432" s="26"/>
      <c r="J432" s="26"/>
      <c r="K432" s="26"/>
      <c r="L432" s="26"/>
      <c r="M432" s="26"/>
      <c r="N432" s="26"/>
      <c r="O432" s="26"/>
      <c r="P432" s="21"/>
      <c r="Q432" s="21"/>
      <c r="R432" s="21"/>
      <c r="S432" s="26"/>
    </row>
    <row r="433" customFormat="false" ht="15" hidden="false" customHeight="true" outlineLevel="0" collapsed="false">
      <c r="A433" s="26"/>
      <c r="B433" s="26"/>
      <c r="C433" s="26"/>
      <c r="D433" s="26"/>
      <c r="E433" s="26"/>
      <c r="F433" s="26"/>
      <c r="G433" s="26"/>
      <c r="H433" s="26"/>
      <c r="I433" s="26"/>
      <c r="J433" s="26"/>
      <c r="K433" s="26"/>
      <c r="L433" s="26"/>
      <c r="M433" s="26"/>
      <c r="N433" s="26"/>
      <c r="O433" s="26"/>
      <c r="P433" s="21"/>
      <c r="Q433" s="21"/>
      <c r="R433" s="21"/>
      <c r="S433" s="26"/>
    </row>
    <row r="434" customFormat="false" ht="15" hidden="false" customHeight="true" outlineLevel="0" collapsed="false">
      <c r="A434" s="26"/>
      <c r="B434" s="26"/>
      <c r="C434" s="26"/>
      <c r="D434" s="26"/>
      <c r="E434" s="26"/>
      <c r="F434" s="26"/>
      <c r="G434" s="26"/>
      <c r="H434" s="26"/>
      <c r="I434" s="26"/>
      <c r="J434" s="26"/>
      <c r="K434" s="26"/>
      <c r="L434" s="26"/>
      <c r="M434" s="26"/>
      <c r="N434" s="26"/>
      <c r="O434" s="26"/>
      <c r="P434" s="21"/>
      <c r="Q434" s="21"/>
      <c r="R434" s="21"/>
      <c r="S434" s="26"/>
    </row>
    <row r="435" customFormat="false" ht="15" hidden="false" customHeight="true" outlineLevel="0" collapsed="false">
      <c r="A435" s="26"/>
      <c r="B435" s="26"/>
      <c r="C435" s="26"/>
      <c r="D435" s="26"/>
      <c r="E435" s="26"/>
      <c r="F435" s="26"/>
      <c r="G435" s="26"/>
      <c r="H435" s="26"/>
      <c r="I435" s="26"/>
      <c r="J435" s="26"/>
      <c r="K435" s="26"/>
      <c r="L435" s="26"/>
      <c r="M435" s="26"/>
      <c r="N435" s="26"/>
      <c r="O435" s="26"/>
      <c r="P435" s="21"/>
      <c r="Q435" s="21"/>
      <c r="R435" s="21"/>
      <c r="S435" s="26"/>
    </row>
    <row r="436" customFormat="false" ht="15" hidden="false" customHeight="true" outlineLevel="0" collapsed="false">
      <c r="A436" s="26"/>
      <c r="B436" s="26"/>
      <c r="C436" s="26"/>
      <c r="D436" s="26"/>
      <c r="E436" s="26"/>
      <c r="F436" s="26"/>
      <c r="G436" s="26"/>
      <c r="H436" s="26"/>
      <c r="I436" s="26"/>
      <c r="J436" s="26"/>
      <c r="K436" s="26"/>
      <c r="L436" s="26"/>
      <c r="M436" s="26"/>
      <c r="N436" s="26"/>
      <c r="O436" s="26"/>
      <c r="P436" s="21"/>
      <c r="Q436" s="21"/>
      <c r="R436" s="21"/>
      <c r="S436" s="26"/>
    </row>
    <row r="437" customFormat="false" ht="15" hidden="false" customHeight="true" outlineLevel="0" collapsed="false">
      <c r="A437" s="26"/>
      <c r="B437" s="26"/>
      <c r="C437" s="26"/>
      <c r="D437" s="26"/>
      <c r="E437" s="26"/>
      <c r="F437" s="26"/>
      <c r="G437" s="26"/>
      <c r="H437" s="26"/>
      <c r="I437" s="26"/>
      <c r="J437" s="26"/>
      <c r="K437" s="26"/>
      <c r="L437" s="26"/>
      <c r="M437" s="26"/>
      <c r="N437" s="26"/>
      <c r="O437" s="26"/>
      <c r="P437" s="21"/>
      <c r="Q437" s="21"/>
      <c r="R437" s="21"/>
      <c r="S437" s="26"/>
    </row>
    <row r="438" customFormat="false" ht="15" hidden="false" customHeight="true" outlineLevel="0" collapsed="false">
      <c r="A438" s="26"/>
      <c r="B438" s="26"/>
      <c r="C438" s="26"/>
      <c r="D438" s="26"/>
      <c r="E438" s="26"/>
      <c r="F438" s="26"/>
      <c r="G438" s="26"/>
      <c r="H438" s="26"/>
      <c r="I438" s="26"/>
      <c r="J438" s="26"/>
      <c r="K438" s="26"/>
      <c r="L438" s="26"/>
      <c r="M438" s="26"/>
      <c r="N438" s="26"/>
      <c r="O438" s="26"/>
      <c r="P438" s="21"/>
      <c r="Q438" s="21"/>
      <c r="R438" s="21"/>
      <c r="S438" s="26"/>
    </row>
    <row r="439" customFormat="false" ht="15" hidden="false" customHeight="true" outlineLevel="0" collapsed="false">
      <c r="A439" s="26"/>
      <c r="B439" s="26"/>
      <c r="C439" s="26"/>
      <c r="D439" s="26"/>
      <c r="E439" s="26"/>
      <c r="F439" s="26"/>
      <c r="G439" s="26"/>
      <c r="H439" s="26"/>
      <c r="I439" s="26"/>
      <c r="J439" s="26"/>
      <c r="K439" s="26"/>
      <c r="L439" s="26"/>
      <c r="M439" s="26"/>
      <c r="N439" s="26"/>
      <c r="O439" s="26"/>
      <c r="P439" s="21"/>
      <c r="Q439" s="21"/>
      <c r="R439" s="21"/>
      <c r="S439" s="26"/>
    </row>
    <row r="440" customFormat="false" ht="15" hidden="false" customHeight="true" outlineLevel="0" collapsed="false">
      <c r="A440" s="26"/>
      <c r="B440" s="26"/>
      <c r="C440" s="26"/>
      <c r="D440" s="26"/>
      <c r="E440" s="26"/>
      <c r="F440" s="26"/>
      <c r="G440" s="26"/>
      <c r="H440" s="26"/>
      <c r="I440" s="26"/>
      <c r="J440" s="26"/>
      <c r="K440" s="26"/>
      <c r="L440" s="26"/>
      <c r="M440" s="26"/>
      <c r="N440" s="26"/>
      <c r="O440" s="26"/>
      <c r="P440" s="21"/>
      <c r="Q440" s="21"/>
      <c r="R440" s="21"/>
      <c r="S440" s="26"/>
    </row>
    <row r="441" customFormat="false" ht="15" hidden="false" customHeight="true" outlineLevel="0" collapsed="false">
      <c r="A441" s="26"/>
      <c r="B441" s="26"/>
      <c r="C441" s="26"/>
      <c r="D441" s="26"/>
      <c r="E441" s="26"/>
      <c r="F441" s="26"/>
      <c r="G441" s="26"/>
      <c r="H441" s="26"/>
      <c r="I441" s="26"/>
      <c r="J441" s="26"/>
      <c r="K441" s="26"/>
      <c r="L441" s="26"/>
      <c r="M441" s="26"/>
      <c r="N441" s="26"/>
      <c r="O441" s="26"/>
      <c r="P441" s="21"/>
      <c r="Q441" s="21"/>
      <c r="R441" s="21"/>
      <c r="S441" s="26"/>
    </row>
    <row r="442" customFormat="false" ht="15" hidden="false" customHeight="true" outlineLevel="0" collapsed="false">
      <c r="A442" s="26"/>
      <c r="B442" s="26"/>
      <c r="C442" s="26"/>
      <c r="D442" s="26"/>
      <c r="E442" s="26"/>
      <c r="F442" s="26"/>
      <c r="G442" s="26"/>
      <c r="H442" s="26"/>
      <c r="I442" s="26"/>
      <c r="J442" s="26"/>
      <c r="K442" s="26"/>
      <c r="L442" s="26"/>
      <c r="M442" s="26"/>
      <c r="N442" s="26"/>
      <c r="O442" s="26"/>
      <c r="P442" s="21"/>
      <c r="Q442" s="21"/>
      <c r="R442" s="21"/>
      <c r="S442" s="26"/>
    </row>
    <row r="443" customFormat="false" ht="15" hidden="false" customHeight="true" outlineLevel="0" collapsed="false">
      <c r="A443" s="26"/>
      <c r="B443" s="26"/>
      <c r="C443" s="26"/>
      <c r="D443" s="26"/>
      <c r="E443" s="26"/>
      <c r="F443" s="26"/>
      <c r="G443" s="26"/>
      <c r="H443" s="26"/>
      <c r="I443" s="26"/>
      <c r="J443" s="26"/>
      <c r="K443" s="26"/>
      <c r="L443" s="26"/>
      <c r="M443" s="26"/>
      <c r="N443" s="26"/>
      <c r="O443" s="26"/>
      <c r="P443" s="21"/>
      <c r="Q443" s="21"/>
      <c r="R443" s="21"/>
      <c r="S443" s="26"/>
    </row>
    <row r="444" customFormat="false" ht="15" hidden="false" customHeight="true" outlineLevel="0" collapsed="false">
      <c r="A444" s="26"/>
      <c r="B444" s="26"/>
      <c r="C444" s="26"/>
      <c r="D444" s="26"/>
      <c r="E444" s="26"/>
      <c r="F444" s="26"/>
      <c r="G444" s="26"/>
      <c r="H444" s="26"/>
      <c r="I444" s="26"/>
      <c r="J444" s="26"/>
      <c r="K444" s="26"/>
      <c r="L444" s="26"/>
      <c r="M444" s="26"/>
      <c r="N444" s="26"/>
      <c r="O444" s="26"/>
      <c r="P444" s="21"/>
      <c r="Q444" s="21"/>
      <c r="R444" s="21"/>
      <c r="S444" s="26"/>
    </row>
    <row r="445" customFormat="false" ht="15" hidden="false" customHeight="true" outlineLevel="0" collapsed="false">
      <c r="A445" s="26"/>
      <c r="B445" s="26"/>
      <c r="C445" s="26"/>
      <c r="D445" s="26"/>
      <c r="E445" s="26"/>
      <c r="F445" s="26"/>
      <c r="G445" s="26"/>
      <c r="H445" s="26"/>
      <c r="I445" s="26"/>
      <c r="J445" s="26"/>
      <c r="K445" s="26"/>
      <c r="L445" s="26"/>
      <c r="M445" s="26"/>
      <c r="N445" s="26"/>
      <c r="O445" s="26"/>
      <c r="P445" s="21"/>
      <c r="Q445" s="21"/>
      <c r="R445" s="21"/>
      <c r="S445" s="26"/>
    </row>
    <row r="446" customFormat="false" ht="15" hidden="false" customHeight="true" outlineLevel="0" collapsed="false">
      <c r="A446" s="26"/>
      <c r="B446" s="26"/>
      <c r="C446" s="26"/>
      <c r="D446" s="26"/>
      <c r="E446" s="26"/>
      <c r="F446" s="26"/>
      <c r="G446" s="26"/>
      <c r="H446" s="26"/>
      <c r="I446" s="26"/>
      <c r="J446" s="26"/>
      <c r="K446" s="26"/>
      <c r="L446" s="26"/>
      <c r="M446" s="26"/>
      <c r="N446" s="26"/>
      <c r="O446" s="26"/>
      <c r="P446" s="21"/>
      <c r="Q446" s="21"/>
      <c r="R446" s="21"/>
      <c r="S446" s="26"/>
    </row>
    <row r="447" customFormat="false" ht="15" hidden="false" customHeight="true" outlineLevel="0" collapsed="false">
      <c r="A447" s="26"/>
      <c r="B447" s="26"/>
      <c r="C447" s="26"/>
      <c r="D447" s="26"/>
      <c r="E447" s="26"/>
      <c r="F447" s="26"/>
      <c r="G447" s="26"/>
      <c r="H447" s="26"/>
      <c r="I447" s="26"/>
      <c r="J447" s="26"/>
      <c r="K447" s="26"/>
      <c r="L447" s="26"/>
      <c r="M447" s="26"/>
      <c r="N447" s="26"/>
      <c r="O447" s="26"/>
      <c r="P447" s="21"/>
      <c r="Q447" s="21"/>
      <c r="R447" s="21"/>
      <c r="S447" s="26"/>
    </row>
    <row r="448" customFormat="false" ht="15" hidden="false" customHeight="true" outlineLevel="0" collapsed="false">
      <c r="A448" s="26"/>
      <c r="B448" s="26"/>
      <c r="C448" s="26"/>
      <c r="D448" s="26"/>
      <c r="E448" s="26"/>
      <c r="F448" s="26"/>
      <c r="G448" s="26"/>
      <c r="H448" s="26"/>
      <c r="I448" s="26"/>
      <c r="J448" s="26"/>
      <c r="K448" s="26"/>
      <c r="L448" s="26"/>
      <c r="M448" s="26"/>
      <c r="N448" s="26"/>
      <c r="O448" s="26"/>
      <c r="P448" s="21"/>
      <c r="Q448" s="21"/>
      <c r="R448" s="21"/>
      <c r="S448" s="26"/>
    </row>
    <row r="449" customFormat="false" ht="15" hidden="false" customHeight="true" outlineLevel="0" collapsed="false">
      <c r="A449" s="26"/>
      <c r="B449" s="26"/>
      <c r="C449" s="26"/>
      <c r="D449" s="26"/>
      <c r="E449" s="26"/>
      <c r="F449" s="26"/>
      <c r="G449" s="26"/>
      <c r="H449" s="26"/>
      <c r="I449" s="26"/>
      <c r="J449" s="26"/>
      <c r="K449" s="26"/>
      <c r="L449" s="26"/>
      <c r="M449" s="26"/>
      <c r="N449" s="26"/>
      <c r="O449" s="26"/>
      <c r="P449" s="21"/>
      <c r="Q449" s="21"/>
      <c r="R449" s="21"/>
      <c r="S449" s="26"/>
    </row>
    <row r="450" customFormat="false" ht="15" hidden="false" customHeight="true" outlineLevel="0" collapsed="false">
      <c r="A450" s="26"/>
      <c r="B450" s="26"/>
      <c r="C450" s="26"/>
      <c r="D450" s="26"/>
      <c r="E450" s="26"/>
      <c r="F450" s="26"/>
      <c r="G450" s="26"/>
      <c r="H450" s="26"/>
      <c r="I450" s="26"/>
      <c r="J450" s="26"/>
      <c r="K450" s="26"/>
      <c r="L450" s="26"/>
      <c r="M450" s="26"/>
      <c r="N450" s="26"/>
      <c r="O450" s="26"/>
      <c r="P450" s="21"/>
      <c r="Q450" s="21"/>
      <c r="R450" s="21"/>
      <c r="S450" s="26"/>
    </row>
    <row r="451" customFormat="false" ht="15" hidden="false" customHeight="true" outlineLevel="0" collapsed="false">
      <c r="A451" s="26"/>
      <c r="B451" s="26"/>
      <c r="C451" s="26"/>
      <c r="D451" s="26"/>
      <c r="E451" s="26"/>
      <c r="F451" s="26"/>
      <c r="G451" s="26"/>
      <c r="H451" s="26"/>
      <c r="I451" s="26"/>
      <c r="J451" s="26"/>
      <c r="K451" s="26"/>
      <c r="L451" s="26"/>
      <c r="M451" s="26"/>
      <c r="N451" s="26"/>
      <c r="O451" s="26"/>
      <c r="P451" s="21"/>
      <c r="Q451" s="21"/>
      <c r="R451" s="21"/>
      <c r="S451" s="26"/>
    </row>
    <row r="452" customFormat="false" ht="15" hidden="false" customHeight="true" outlineLevel="0" collapsed="false">
      <c r="A452" s="26"/>
      <c r="B452" s="26"/>
      <c r="C452" s="26"/>
      <c r="D452" s="26"/>
      <c r="E452" s="26"/>
      <c r="F452" s="26"/>
      <c r="G452" s="26"/>
      <c r="H452" s="26"/>
      <c r="I452" s="26"/>
      <c r="J452" s="26"/>
      <c r="K452" s="26"/>
      <c r="L452" s="26"/>
      <c r="M452" s="26"/>
      <c r="N452" s="26"/>
      <c r="O452" s="26"/>
      <c r="P452" s="21"/>
      <c r="Q452" s="21"/>
      <c r="R452" s="21"/>
      <c r="S452" s="26"/>
    </row>
    <row r="453" customFormat="false" ht="15" hidden="false" customHeight="true" outlineLevel="0" collapsed="false">
      <c r="A453" s="26"/>
      <c r="B453" s="26"/>
      <c r="C453" s="26"/>
      <c r="D453" s="26"/>
      <c r="E453" s="26"/>
      <c r="F453" s="26"/>
      <c r="G453" s="26"/>
      <c r="H453" s="26"/>
      <c r="I453" s="26"/>
      <c r="J453" s="26"/>
      <c r="K453" s="26"/>
      <c r="L453" s="26"/>
      <c r="M453" s="26"/>
      <c r="N453" s="26"/>
      <c r="O453" s="26"/>
      <c r="P453" s="21"/>
      <c r="Q453" s="21"/>
      <c r="R453" s="21"/>
      <c r="S453" s="26"/>
    </row>
    <row r="454" customFormat="false" ht="15" hidden="false" customHeight="true" outlineLevel="0" collapsed="false">
      <c r="A454" s="26"/>
      <c r="B454" s="26"/>
      <c r="C454" s="26"/>
      <c r="D454" s="26"/>
      <c r="E454" s="26"/>
      <c r="F454" s="26"/>
      <c r="G454" s="26"/>
      <c r="H454" s="26"/>
      <c r="I454" s="26"/>
      <c r="J454" s="26"/>
      <c r="K454" s="26"/>
      <c r="L454" s="26"/>
      <c r="M454" s="26"/>
      <c r="N454" s="26"/>
      <c r="O454" s="26"/>
      <c r="P454" s="21"/>
      <c r="Q454" s="21"/>
      <c r="R454" s="21"/>
      <c r="S454" s="26"/>
    </row>
    <row r="455" customFormat="false" ht="15" hidden="false" customHeight="true" outlineLevel="0" collapsed="false">
      <c r="A455" s="26"/>
      <c r="B455" s="26"/>
      <c r="C455" s="26"/>
      <c r="D455" s="26"/>
      <c r="E455" s="26"/>
      <c r="F455" s="26"/>
      <c r="G455" s="26"/>
      <c r="H455" s="26"/>
      <c r="I455" s="26"/>
      <c r="J455" s="26"/>
      <c r="K455" s="26"/>
      <c r="L455" s="26"/>
      <c r="M455" s="26"/>
      <c r="N455" s="26"/>
      <c r="O455" s="26"/>
      <c r="P455" s="21"/>
      <c r="Q455" s="21"/>
      <c r="R455" s="21"/>
      <c r="S455" s="26"/>
    </row>
    <row r="456" customFormat="false" ht="15" hidden="false" customHeight="true" outlineLevel="0" collapsed="false">
      <c r="A456" s="26"/>
      <c r="B456" s="26"/>
      <c r="C456" s="26"/>
      <c r="D456" s="26"/>
      <c r="E456" s="26"/>
      <c r="F456" s="26"/>
      <c r="G456" s="26"/>
      <c r="H456" s="26"/>
      <c r="I456" s="26"/>
      <c r="J456" s="26"/>
      <c r="K456" s="26"/>
      <c r="L456" s="26"/>
      <c r="M456" s="26"/>
      <c r="N456" s="26"/>
      <c r="O456" s="26"/>
      <c r="P456" s="21"/>
      <c r="Q456" s="21"/>
      <c r="R456" s="21"/>
      <c r="S456" s="26"/>
    </row>
    <row r="457" customFormat="false" ht="15" hidden="false" customHeight="true" outlineLevel="0" collapsed="false">
      <c r="A457" s="26"/>
      <c r="B457" s="26"/>
      <c r="C457" s="26"/>
      <c r="D457" s="26"/>
      <c r="E457" s="26"/>
      <c r="F457" s="26"/>
      <c r="G457" s="26"/>
      <c r="H457" s="26"/>
      <c r="I457" s="26"/>
      <c r="J457" s="26"/>
      <c r="K457" s="26"/>
      <c r="L457" s="26"/>
      <c r="M457" s="26"/>
      <c r="N457" s="26"/>
      <c r="O457" s="26"/>
      <c r="P457" s="21"/>
      <c r="Q457" s="21"/>
      <c r="R457" s="21"/>
      <c r="S457" s="26"/>
    </row>
    <row r="458" customFormat="false" ht="15" hidden="false" customHeight="true" outlineLevel="0" collapsed="false">
      <c r="A458" s="26"/>
      <c r="B458" s="26"/>
      <c r="C458" s="26"/>
      <c r="D458" s="26"/>
      <c r="E458" s="26"/>
      <c r="F458" s="26"/>
      <c r="G458" s="26"/>
      <c r="H458" s="26"/>
      <c r="I458" s="26"/>
      <c r="J458" s="26"/>
      <c r="K458" s="26"/>
      <c r="L458" s="26"/>
      <c r="M458" s="26"/>
      <c r="N458" s="26"/>
      <c r="O458" s="26"/>
      <c r="P458" s="21"/>
      <c r="Q458" s="21"/>
      <c r="R458" s="21"/>
      <c r="S458" s="26"/>
    </row>
    <row r="459" customFormat="false" ht="15" hidden="false" customHeight="true" outlineLevel="0" collapsed="false">
      <c r="A459" s="26"/>
      <c r="B459" s="26"/>
      <c r="C459" s="26"/>
      <c r="D459" s="26"/>
      <c r="E459" s="26"/>
      <c r="F459" s="26"/>
      <c r="G459" s="26"/>
      <c r="H459" s="26"/>
      <c r="I459" s="26"/>
      <c r="J459" s="26"/>
      <c r="K459" s="26"/>
      <c r="L459" s="26"/>
      <c r="M459" s="26"/>
      <c r="N459" s="26"/>
      <c r="O459" s="26"/>
      <c r="P459" s="21"/>
      <c r="Q459" s="21"/>
      <c r="R459" s="21"/>
      <c r="S459" s="26"/>
    </row>
    <row r="460" customFormat="false" ht="15" hidden="false" customHeight="true" outlineLevel="0" collapsed="false">
      <c r="A460" s="26"/>
      <c r="B460" s="26"/>
      <c r="C460" s="26"/>
      <c r="D460" s="26"/>
      <c r="E460" s="26"/>
      <c r="F460" s="26"/>
      <c r="G460" s="26"/>
      <c r="H460" s="26"/>
      <c r="I460" s="26"/>
      <c r="J460" s="26"/>
      <c r="K460" s="26"/>
      <c r="L460" s="26"/>
      <c r="M460" s="26"/>
      <c r="N460" s="26"/>
      <c r="O460" s="26"/>
      <c r="P460" s="21"/>
      <c r="Q460" s="21"/>
      <c r="R460" s="21"/>
      <c r="S460" s="26"/>
    </row>
    <row r="461" customFormat="false" ht="15" hidden="false" customHeight="true" outlineLevel="0" collapsed="false">
      <c r="A461" s="26"/>
      <c r="B461" s="26"/>
      <c r="C461" s="26"/>
      <c r="D461" s="26"/>
      <c r="E461" s="26"/>
      <c r="F461" s="26"/>
      <c r="G461" s="26"/>
      <c r="H461" s="26"/>
      <c r="I461" s="26"/>
      <c r="J461" s="26"/>
      <c r="K461" s="26"/>
      <c r="L461" s="26"/>
      <c r="M461" s="26"/>
      <c r="N461" s="26"/>
      <c r="O461" s="26"/>
      <c r="P461" s="21"/>
      <c r="Q461" s="21"/>
      <c r="R461" s="21"/>
      <c r="S461" s="26"/>
    </row>
    <row r="462" customFormat="false" ht="15" hidden="false" customHeight="true" outlineLevel="0" collapsed="false">
      <c r="A462" s="26"/>
      <c r="B462" s="26"/>
      <c r="C462" s="26"/>
      <c r="D462" s="26"/>
      <c r="E462" s="26"/>
      <c r="F462" s="26"/>
      <c r="G462" s="26"/>
      <c r="H462" s="26"/>
      <c r="I462" s="26"/>
      <c r="J462" s="26"/>
      <c r="K462" s="26"/>
      <c r="L462" s="26"/>
      <c r="M462" s="26"/>
      <c r="N462" s="26"/>
      <c r="O462" s="26"/>
      <c r="P462" s="21"/>
      <c r="Q462" s="21"/>
      <c r="R462" s="21"/>
      <c r="S462" s="26"/>
    </row>
    <row r="463" customFormat="false" ht="15" hidden="false" customHeight="true" outlineLevel="0" collapsed="false">
      <c r="A463" s="26"/>
      <c r="B463" s="26"/>
      <c r="C463" s="26"/>
      <c r="D463" s="26"/>
      <c r="E463" s="26"/>
      <c r="F463" s="26"/>
      <c r="G463" s="26"/>
      <c r="H463" s="26"/>
      <c r="I463" s="26"/>
      <c r="J463" s="26"/>
      <c r="K463" s="26"/>
      <c r="L463" s="26"/>
      <c r="M463" s="26"/>
      <c r="N463" s="26"/>
      <c r="O463" s="26"/>
      <c r="P463" s="21"/>
      <c r="Q463" s="21"/>
      <c r="R463" s="21"/>
      <c r="S463" s="26"/>
    </row>
    <row r="464" customFormat="false" ht="15" hidden="false" customHeight="true" outlineLevel="0" collapsed="false">
      <c r="A464" s="26"/>
      <c r="B464" s="26"/>
      <c r="C464" s="26"/>
      <c r="D464" s="26"/>
      <c r="E464" s="26"/>
      <c r="F464" s="26"/>
      <c r="G464" s="26"/>
      <c r="H464" s="26"/>
      <c r="I464" s="26"/>
      <c r="J464" s="26"/>
      <c r="K464" s="26"/>
      <c r="L464" s="26"/>
      <c r="M464" s="26"/>
      <c r="N464" s="26"/>
      <c r="O464" s="26"/>
      <c r="P464" s="21"/>
      <c r="Q464" s="21"/>
      <c r="R464" s="21"/>
      <c r="S464" s="26"/>
    </row>
    <row r="465" customFormat="false" ht="15" hidden="false" customHeight="true" outlineLevel="0" collapsed="false">
      <c r="A465" s="26"/>
      <c r="B465" s="26"/>
      <c r="C465" s="26"/>
      <c r="D465" s="26"/>
      <c r="E465" s="26"/>
      <c r="F465" s="26"/>
      <c r="G465" s="26"/>
      <c r="H465" s="26"/>
      <c r="I465" s="26"/>
      <c r="J465" s="26"/>
      <c r="K465" s="26"/>
      <c r="L465" s="26"/>
      <c r="M465" s="26"/>
      <c r="N465" s="26"/>
      <c r="O465" s="26"/>
      <c r="P465" s="21"/>
      <c r="Q465" s="21"/>
      <c r="R465" s="21"/>
      <c r="S465" s="26"/>
    </row>
    <row r="466" customFormat="false" ht="15" hidden="false" customHeight="true" outlineLevel="0" collapsed="false">
      <c r="A466" s="26"/>
      <c r="B466" s="26"/>
      <c r="C466" s="26"/>
      <c r="D466" s="26"/>
      <c r="E466" s="26"/>
      <c r="F466" s="26"/>
      <c r="G466" s="26"/>
      <c r="H466" s="26"/>
      <c r="I466" s="26"/>
      <c r="J466" s="26"/>
      <c r="K466" s="26"/>
      <c r="L466" s="26"/>
      <c r="M466" s="26"/>
      <c r="N466" s="26"/>
      <c r="O466" s="26"/>
      <c r="P466" s="21"/>
      <c r="Q466" s="21"/>
      <c r="R466" s="21"/>
      <c r="S466" s="26"/>
    </row>
    <row r="467" customFormat="false" ht="15" hidden="false" customHeight="true" outlineLevel="0" collapsed="false">
      <c r="A467" s="26"/>
      <c r="B467" s="26"/>
      <c r="C467" s="26"/>
      <c r="D467" s="26"/>
      <c r="E467" s="26"/>
      <c r="F467" s="26"/>
      <c r="G467" s="26"/>
      <c r="H467" s="26"/>
      <c r="I467" s="26"/>
      <c r="J467" s="26"/>
      <c r="K467" s="26"/>
      <c r="L467" s="26"/>
      <c r="M467" s="26"/>
      <c r="N467" s="26"/>
      <c r="O467" s="26"/>
      <c r="P467" s="21"/>
      <c r="Q467" s="21"/>
      <c r="R467" s="21"/>
      <c r="S467" s="26"/>
    </row>
    <row r="468" customFormat="false" ht="15" hidden="false" customHeight="true" outlineLevel="0" collapsed="false">
      <c r="A468" s="26"/>
      <c r="B468" s="26"/>
      <c r="C468" s="26"/>
      <c r="D468" s="26"/>
      <c r="E468" s="26"/>
      <c r="F468" s="26"/>
      <c r="G468" s="26"/>
      <c r="H468" s="26"/>
      <c r="I468" s="26"/>
      <c r="J468" s="26"/>
      <c r="K468" s="26"/>
      <c r="L468" s="26"/>
      <c r="M468" s="26"/>
      <c r="N468" s="26"/>
      <c r="O468" s="26"/>
      <c r="P468" s="21"/>
      <c r="Q468" s="21"/>
      <c r="R468" s="21"/>
      <c r="S468" s="26"/>
    </row>
    <row r="469" customFormat="false" ht="15" hidden="false" customHeight="true" outlineLevel="0" collapsed="false">
      <c r="A469" s="26"/>
      <c r="B469" s="26"/>
      <c r="C469" s="26"/>
      <c r="D469" s="26"/>
      <c r="E469" s="26"/>
      <c r="F469" s="26"/>
      <c r="G469" s="26"/>
      <c r="H469" s="26"/>
      <c r="I469" s="26"/>
      <c r="J469" s="26"/>
      <c r="K469" s="26"/>
      <c r="L469" s="26"/>
      <c r="M469" s="26"/>
      <c r="N469" s="26"/>
      <c r="O469" s="26"/>
      <c r="P469" s="21"/>
      <c r="Q469" s="21"/>
      <c r="R469" s="21"/>
      <c r="S469" s="26"/>
    </row>
    <row r="470" customFormat="false" ht="15" hidden="false" customHeight="true" outlineLevel="0" collapsed="false">
      <c r="A470" s="26"/>
      <c r="B470" s="26"/>
      <c r="C470" s="26"/>
      <c r="D470" s="26"/>
      <c r="E470" s="26"/>
      <c r="F470" s="26"/>
      <c r="G470" s="26"/>
      <c r="H470" s="26"/>
      <c r="I470" s="26"/>
      <c r="J470" s="26"/>
      <c r="K470" s="26"/>
      <c r="L470" s="26"/>
      <c r="M470" s="26"/>
      <c r="N470" s="26"/>
      <c r="O470" s="26"/>
      <c r="P470" s="21"/>
      <c r="Q470" s="21"/>
      <c r="R470" s="21"/>
      <c r="S470" s="26"/>
    </row>
    <row r="471" customFormat="false" ht="15" hidden="false" customHeight="true" outlineLevel="0" collapsed="false">
      <c r="A471" s="26"/>
      <c r="B471" s="26"/>
      <c r="C471" s="26"/>
      <c r="D471" s="26"/>
      <c r="E471" s="26"/>
      <c r="F471" s="26"/>
      <c r="G471" s="26"/>
      <c r="H471" s="26"/>
      <c r="I471" s="26"/>
      <c r="J471" s="26"/>
      <c r="K471" s="26"/>
      <c r="L471" s="26"/>
      <c r="M471" s="26"/>
      <c r="N471" s="26"/>
      <c r="O471" s="26"/>
      <c r="P471" s="21"/>
      <c r="Q471" s="21"/>
      <c r="R471" s="21"/>
      <c r="S471" s="26"/>
    </row>
    <row r="472" customFormat="false" ht="15" hidden="false" customHeight="true" outlineLevel="0" collapsed="false">
      <c r="A472" s="26"/>
      <c r="B472" s="26"/>
      <c r="C472" s="26"/>
      <c r="D472" s="26"/>
      <c r="E472" s="26"/>
      <c r="F472" s="26"/>
      <c r="G472" s="26"/>
      <c r="H472" s="26"/>
      <c r="I472" s="26"/>
      <c r="J472" s="26"/>
      <c r="K472" s="26"/>
      <c r="L472" s="26"/>
      <c r="M472" s="26"/>
      <c r="N472" s="26"/>
      <c r="O472" s="26"/>
      <c r="P472" s="21"/>
      <c r="Q472" s="21"/>
      <c r="R472" s="21"/>
      <c r="S472" s="26"/>
    </row>
    <row r="473" customFormat="false" ht="15" hidden="false" customHeight="true" outlineLevel="0" collapsed="false">
      <c r="A473" s="26"/>
      <c r="B473" s="26"/>
      <c r="C473" s="26"/>
      <c r="D473" s="26"/>
      <c r="E473" s="26"/>
      <c r="F473" s="26"/>
      <c r="G473" s="26"/>
      <c r="H473" s="26"/>
      <c r="I473" s="26"/>
      <c r="J473" s="26"/>
      <c r="K473" s="26"/>
      <c r="L473" s="26"/>
      <c r="M473" s="26"/>
      <c r="N473" s="26"/>
      <c r="O473" s="26"/>
      <c r="P473" s="21"/>
      <c r="Q473" s="21"/>
      <c r="R473" s="21"/>
      <c r="S473" s="26"/>
    </row>
    <row r="474" customFormat="false" ht="15" hidden="false" customHeight="true" outlineLevel="0" collapsed="false">
      <c r="A474" s="26"/>
      <c r="B474" s="26"/>
      <c r="C474" s="26"/>
      <c r="D474" s="26"/>
      <c r="E474" s="26"/>
      <c r="F474" s="26"/>
      <c r="G474" s="26"/>
      <c r="H474" s="26"/>
      <c r="I474" s="26"/>
      <c r="J474" s="26"/>
      <c r="K474" s="26"/>
      <c r="L474" s="26"/>
      <c r="M474" s="26"/>
      <c r="N474" s="26"/>
      <c r="O474" s="26"/>
      <c r="P474" s="21"/>
      <c r="Q474" s="21"/>
      <c r="R474" s="21"/>
      <c r="S474" s="26"/>
    </row>
    <row r="475" customFormat="false" ht="15" hidden="false" customHeight="true" outlineLevel="0" collapsed="false">
      <c r="A475" s="26"/>
      <c r="B475" s="26"/>
      <c r="C475" s="26"/>
      <c r="D475" s="26"/>
      <c r="E475" s="26"/>
      <c r="F475" s="26"/>
      <c r="G475" s="26"/>
      <c r="H475" s="26"/>
      <c r="I475" s="26"/>
      <c r="J475" s="26"/>
      <c r="K475" s="26"/>
      <c r="L475" s="26"/>
      <c r="M475" s="26"/>
      <c r="N475" s="26"/>
      <c r="O475" s="26"/>
      <c r="P475" s="21"/>
      <c r="Q475" s="21"/>
      <c r="R475" s="21"/>
      <c r="S475" s="26"/>
    </row>
    <row r="476" customFormat="false" ht="15" hidden="false" customHeight="true" outlineLevel="0" collapsed="false">
      <c r="A476" s="26"/>
      <c r="B476" s="26"/>
      <c r="C476" s="26"/>
      <c r="D476" s="26"/>
      <c r="E476" s="26"/>
      <c r="F476" s="26"/>
      <c r="G476" s="26"/>
      <c r="H476" s="26"/>
      <c r="I476" s="26"/>
      <c r="J476" s="26"/>
      <c r="K476" s="26"/>
      <c r="L476" s="26"/>
      <c r="M476" s="26"/>
      <c r="N476" s="26"/>
      <c r="O476" s="26"/>
      <c r="P476" s="21"/>
      <c r="Q476" s="21"/>
      <c r="R476" s="21"/>
      <c r="S476" s="26"/>
    </row>
    <row r="477" customFormat="false" ht="15" hidden="false" customHeight="true" outlineLevel="0" collapsed="false">
      <c r="A477" s="26"/>
      <c r="B477" s="26"/>
      <c r="C477" s="26"/>
      <c r="D477" s="26"/>
      <c r="E477" s="26"/>
      <c r="F477" s="26"/>
      <c r="G477" s="26"/>
      <c r="H477" s="26"/>
      <c r="I477" s="26"/>
      <c r="J477" s="26"/>
      <c r="K477" s="26"/>
      <c r="L477" s="26"/>
      <c r="M477" s="26"/>
      <c r="N477" s="26"/>
      <c r="O477" s="26"/>
      <c r="P477" s="21"/>
      <c r="Q477" s="21"/>
      <c r="R477" s="21"/>
      <c r="S477" s="26"/>
    </row>
    <row r="478" customFormat="false" ht="15" hidden="false" customHeight="true" outlineLevel="0" collapsed="false">
      <c r="A478" s="26"/>
      <c r="B478" s="26"/>
      <c r="C478" s="26"/>
      <c r="D478" s="26"/>
      <c r="E478" s="26"/>
      <c r="F478" s="26"/>
      <c r="G478" s="26"/>
      <c r="H478" s="26"/>
      <c r="I478" s="26"/>
      <c r="J478" s="26"/>
      <c r="K478" s="26"/>
      <c r="L478" s="26"/>
      <c r="M478" s="26"/>
      <c r="N478" s="26"/>
      <c r="O478" s="26"/>
      <c r="P478" s="21"/>
      <c r="Q478" s="21"/>
      <c r="R478" s="21"/>
      <c r="S478" s="26"/>
    </row>
    <row r="479" customFormat="false" ht="15" hidden="false" customHeight="true" outlineLevel="0" collapsed="false">
      <c r="A479" s="26"/>
      <c r="B479" s="26"/>
      <c r="C479" s="26"/>
      <c r="D479" s="26"/>
      <c r="E479" s="26"/>
      <c r="F479" s="26"/>
      <c r="G479" s="26"/>
      <c r="H479" s="26"/>
      <c r="I479" s="26"/>
      <c r="J479" s="26"/>
      <c r="K479" s="26"/>
      <c r="L479" s="26"/>
      <c r="M479" s="26"/>
      <c r="N479" s="26"/>
      <c r="O479" s="26"/>
      <c r="P479" s="21"/>
      <c r="Q479" s="21"/>
      <c r="R479" s="21"/>
      <c r="S479" s="26"/>
    </row>
    <row r="480" customFormat="false" ht="15" hidden="false" customHeight="true" outlineLevel="0" collapsed="false">
      <c r="A480" s="26"/>
      <c r="B480" s="26"/>
      <c r="C480" s="26"/>
      <c r="D480" s="26"/>
      <c r="E480" s="26"/>
      <c r="F480" s="26"/>
      <c r="G480" s="26"/>
      <c r="H480" s="26"/>
      <c r="I480" s="26"/>
      <c r="J480" s="26"/>
      <c r="K480" s="26"/>
      <c r="L480" s="26"/>
      <c r="M480" s="26"/>
      <c r="N480" s="26"/>
      <c r="O480" s="26"/>
      <c r="P480" s="21"/>
      <c r="Q480" s="21"/>
      <c r="R480" s="21"/>
      <c r="S480" s="26"/>
    </row>
    <row r="481" customFormat="false" ht="15" hidden="false" customHeight="true" outlineLevel="0" collapsed="false">
      <c r="A481" s="26"/>
      <c r="B481" s="26"/>
      <c r="C481" s="26"/>
      <c r="D481" s="26"/>
      <c r="E481" s="26"/>
      <c r="F481" s="26"/>
      <c r="G481" s="26"/>
      <c r="H481" s="26"/>
      <c r="I481" s="26"/>
      <c r="J481" s="26"/>
      <c r="K481" s="26"/>
      <c r="L481" s="26"/>
      <c r="M481" s="26"/>
      <c r="N481" s="26"/>
      <c r="O481" s="26"/>
      <c r="P481" s="21"/>
      <c r="Q481" s="21"/>
      <c r="R481" s="21"/>
      <c r="S481" s="26"/>
    </row>
    <row r="482" customFormat="false" ht="15" hidden="false" customHeight="true" outlineLevel="0" collapsed="false">
      <c r="A482" s="26"/>
      <c r="B482" s="26"/>
      <c r="C482" s="26"/>
      <c r="D482" s="26"/>
      <c r="E482" s="26"/>
      <c r="F482" s="26"/>
      <c r="G482" s="26"/>
      <c r="H482" s="26"/>
      <c r="I482" s="26"/>
      <c r="J482" s="26"/>
      <c r="K482" s="26"/>
      <c r="L482" s="26"/>
      <c r="M482" s="26"/>
      <c r="N482" s="26"/>
      <c r="O482" s="26"/>
      <c r="P482" s="21"/>
      <c r="Q482" s="21"/>
      <c r="R482" s="21"/>
      <c r="S482" s="26"/>
    </row>
    <row r="483" customFormat="false" ht="15" hidden="false" customHeight="true" outlineLevel="0" collapsed="false">
      <c r="A483" s="26"/>
      <c r="B483" s="26"/>
      <c r="C483" s="26"/>
      <c r="D483" s="26"/>
      <c r="E483" s="26"/>
      <c r="F483" s="26"/>
      <c r="G483" s="26"/>
      <c r="H483" s="26"/>
      <c r="I483" s="26"/>
      <c r="J483" s="26"/>
      <c r="K483" s="26"/>
      <c r="L483" s="26"/>
      <c r="M483" s="26"/>
      <c r="N483" s="26"/>
      <c r="O483" s="26"/>
      <c r="P483" s="21"/>
      <c r="Q483" s="21"/>
      <c r="R483" s="21"/>
      <c r="S483" s="26"/>
    </row>
    <row r="484" customFormat="false" ht="15" hidden="false" customHeight="true" outlineLevel="0" collapsed="false">
      <c r="A484" s="26"/>
      <c r="B484" s="26"/>
      <c r="C484" s="26"/>
      <c r="D484" s="26"/>
      <c r="E484" s="26"/>
      <c r="F484" s="26"/>
      <c r="G484" s="26"/>
      <c r="H484" s="26"/>
      <c r="I484" s="26"/>
      <c r="J484" s="26"/>
      <c r="K484" s="26"/>
      <c r="L484" s="26"/>
      <c r="M484" s="26"/>
      <c r="N484" s="26"/>
      <c r="O484" s="26"/>
      <c r="P484" s="21"/>
      <c r="Q484" s="21"/>
      <c r="R484" s="21"/>
      <c r="S484" s="26"/>
    </row>
    <row r="485" customFormat="false" ht="15" hidden="false" customHeight="true" outlineLevel="0" collapsed="false">
      <c r="A485" s="26"/>
      <c r="B485" s="26"/>
      <c r="C485" s="26"/>
      <c r="D485" s="26"/>
      <c r="E485" s="26"/>
      <c r="F485" s="26"/>
      <c r="G485" s="26"/>
      <c r="H485" s="26"/>
      <c r="I485" s="26"/>
      <c r="J485" s="26"/>
      <c r="K485" s="26"/>
      <c r="L485" s="26"/>
      <c r="M485" s="26"/>
      <c r="N485" s="26"/>
      <c r="O485" s="26"/>
      <c r="P485" s="21"/>
      <c r="Q485" s="21"/>
      <c r="R485" s="21"/>
      <c r="S485" s="26"/>
    </row>
    <row r="486" customFormat="false" ht="15" hidden="false" customHeight="true" outlineLevel="0" collapsed="false">
      <c r="A486" s="26"/>
      <c r="B486" s="26"/>
      <c r="C486" s="26"/>
      <c r="D486" s="26"/>
      <c r="E486" s="26"/>
      <c r="F486" s="26"/>
      <c r="G486" s="26"/>
      <c r="H486" s="26"/>
      <c r="I486" s="26"/>
      <c r="J486" s="26"/>
      <c r="K486" s="26"/>
      <c r="L486" s="26"/>
      <c r="M486" s="26"/>
      <c r="N486" s="26"/>
      <c r="O486" s="26"/>
      <c r="P486" s="21"/>
      <c r="Q486" s="21"/>
      <c r="R486" s="21"/>
      <c r="S486" s="26"/>
    </row>
    <row r="487" customFormat="false" ht="15" hidden="false" customHeight="true" outlineLevel="0" collapsed="false">
      <c r="A487" s="26"/>
      <c r="B487" s="26"/>
      <c r="C487" s="26"/>
      <c r="D487" s="26"/>
      <c r="E487" s="26"/>
      <c r="F487" s="26"/>
      <c r="G487" s="26"/>
      <c r="H487" s="26"/>
      <c r="I487" s="26"/>
      <c r="J487" s="26"/>
      <c r="K487" s="26"/>
      <c r="L487" s="26"/>
      <c r="M487" s="26"/>
      <c r="N487" s="26"/>
      <c r="O487" s="26"/>
      <c r="P487" s="21"/>
      <c r="Q487" s="21"/>
      <c r="R487" s="21"/>
      <c r="S487" s="26"/>
    </row>
    <row r="488" customFormat="false" ht="15" hidden="false" customHeight="true" outlineLevel="0" collapsed="false">
      <c r="A488" s="26"/>
      <c r="B488" s="26"/>
      <c r="C488" s="26"/>
      <c r="D488" s="26"/>
      <c r="E488" s="26"/>
      <c r="F488" s="26"/>
      <c r="G488" s="26"/>
      <c r="H488" s="26"/>
      <c r="I488" s="26"/>
      <c r="J488" s="26"/>
      <c r="K488" s="26"/>
      <c r="L488" s="26"/>
      <c r="M488" s="26"/>
      <c r="N488" s="26"/>
      <c r="O488" s="26"/>
      <c r="P488" s="21"/>
      <c r="Q488" s="21"/>
      <c r="R488" s="21"/>
      <c r="S488" s="26"/>
    </row>
    <row r="489" customFormat="false" ht="15" hidden="false" customHeight="true" outlineLevel="0" collapsed="false">
      <c r="A489" s="26"/>
      <c r="B489" s="26"/>
      <c r="C489" s="26"/>
      <c r="D489" s="26"/>
      <c r="E489" s="26"/>
      <c r="F489" s="26"/>
      <c r="G489" s="26"/>
      <c r="H489" s="26"/>
      <c r="I489" s="26"/>
      <c r="J489" s="26"/>
      <c r="K489" s="26"/>
      <c r="L489" s="26"/>
      <c r="M489" s="26"/>
      <c r="N489" s="26"/>
      <c r="O489" s="26"/>
      <c r="P489" s="21"/>
      <c r="Q489" s="21"/>
      <c r="R489" s="21"/>
      <c r="S489" s="26"/>
    </row>
    <row r="490" customFormat="false" ht="15" hidden="false" customHeight="true" outlineLevel="0" collapsed="false">
      <c r="A490" s="26"/>
      <c r="B490" s="26"/>
      <c r="C490" s="26"/>
      <c r="D490" s="26"/>
      <c r="E490" s="26"/>
      <c r="F490" s="26"/>
      <c r="G490" s="26"/>
      <c r="H490" s="26"/>
      <c r="I490" s="26"/>
      <c r="J490" s="26"/>
      <c r="K490" s="26"/>
      <c r="L490" s="26"/>
      <c r="M490" s="26"/>
      <c r="N490" s="26"/>
      <c r="O490" s="26"/>
      <c r="P490" s="21"/>
      <c r="Q490" s="21"/>
      <c r="R490" s="21"/>
      <c r="S490" s="26"/>
    </row>
    <row r="491" customFormat="false" ht="15" hidden="false" customHeight="true" outlineLevel="0" collapsed="false">
      <c r="A491" s="26"/>
      <c r="B491" s="26"/>
      <c r="C491" s="26"/>
      <c r="D491" s="26"/>
      <c r="E491" s="26"/>
      <c r="F491" s="26"/>
      <c r="G491" s="26"/>
      <c r="H491" s="26"/>
      <c r="I491" s="26"/>
      <c r="J491" s="26"/>
      <c r="K491" s="26"/>
      <c r="L491" s="26"/>
      <c r="M491" s="26"/>
      <c r="N491" s="26"/>
      <c r="O491" s="26"/>
      <c r="P491" s="21"/>
      <c r="Q491" s="21"/>
      <c r="R491" s="21"/>
      <c r="S491" s="26"/>
    </row>
    <row r="492" customFormat="false" ht="15" hidden="false" customHeight="true" outlineLevel="0" collapsed="false">
      <c r="A492" s="26"/>
      <c r="B492" s="26"/>
      <c r="C492" s="26"/>
      <c r="D492" s="26"/>
      <c r="E492" s="26"/>
      <c r="F492" s="26"/>
      <c r="G492" s="26"/>
      <c r="H492" s="26"/>
      <c r="I492" s="26"/>
      <c r="J492" s="26"/>
      <c r="K492" s="26"/>
      <c r="L492" s="26"/>
      <c r="M492" s="26"/>
      <c r="N492" s="26"/>
      <c r="O492" s="26"/>
      <c r="P492" s="21"/>
      <c r="Q492" s="21"/>
      <c r="R492" s="21"/>
      <c r="S492" s="26"/>
    </row>
    <row r="493" customFormat="false" ht="15" hidden="false" customHeight="true" outlineLevel="0" collapsed="false">
      <c r="A493" s="26"/>
      <c r="B493" s="26"/>
      <c r="C493" s="26"/>
      <c r="D493" s="26"/>
      <c r="E493" s="26"/>
      <c r="F493" s="26"/>
      <c r="G493" s="26"/>
      <c r="H493" s="26"/>
      <c r="I493" s="26"/>
      <c r="J493" s="26"/>
      <c r="K493" s="26"/>
      <c r="L493" s="26"/>
      <c r="M493" s="26"/>
      <c r="N493" s="26"/>
      <c r="O493" s="26"/>
      <c r="P493" s="21"/>
      <c r="Q493" s="21"/>
      <c r="R493" s="21"/>
      <c r="S493" s="26"/>
    </row>
    <row r="494" customFormat="false" ht="15" hidden="false" customHeight="true" outlineLevel="0" collapsed="false">
      <c r="A494" s="26"/>
      <c r="B494" s="26"/>
      <c r="C494" s="26"/>
      <c r="D494" s="26"/>
      <c r="E494" s="26"/>
      <c r="F494" s="26"/>
      <c r="G494" s="26"/>
      <c r="H494" s="26"/>
      <c r="I494" s="26"/>
      <c r="J494" s="26"/>
      <c r="K494" s="26"/>
      <c r="L494" s="26"/>
      <c r="M494" s="26"/>
      <c r="N494" s="26"/>
      <c r="O494" s="26"/>
      <c r="P494" s="21"/>
      <c r="Q494" s="21"/>
      <c r="R494" s="21"/>
      <c r="S494" s="26"/>
    </row>
    <row r="495" customFormat="false" ht="15" hidden="false" customHeight="true" outlineLevel="0" collapsed="false">
      <c r="A495" s="26"/>
      <c r="B495" s="26"/>
      <c r="C495" s="26"/>
      <c r="D495" s="26"/>
      <c r="E495" s="26"/>
      <c r="F495" s="26"/>
      <c r="G495" s="26"/>
      <c r="H495" s="26"/>
      <c r="I495" s="26"/>
      <c r="J495" s="26"/>
      <c r="K495" s="26"/>
      <c r="L495" s="26"/>
      <c r="M495" s="26"/>
      <c r="N495" s="26"/>
      <c r="O495" s="26"/>
      <c r="P495" s="21"/>
      <c r="Q495" s="21"/>
      <c r="R495" s="21"/>
      <c r="S495" s="26"/>
    </row>
    <row r="496" customFormat="false" ht="15" hidden="false" customHeight="true" outlineLevel="0" collapsed="false">
      <c r="A496" s="26"/>
      <c r="B496" s="26"/>
      <c r="C496" s="26"/>
      <c r="D496" s="26"/>
      <c r="E496" s="26"/>
      <c r="F496" s="26"/>
      <c r="G496" s="26"/>
      <c r="H496" s="26"/>
      <c r="I496" s="26"/>
      <c r="J496" s="26"/>
      <c r="K496" s="26"/>
      <c r="L496" s="26"/>
      <c r="M496" s="26"/>
      <c r="N496" s="26"/>
      <c r="O496" s="26"/>
      <c r="P496" s="21"/>
      <c r="Q496" s="21"/>
      <c r="R496" s="21"/>
      <c r="S496" s="26"/>
    </row>
    <row r="497" customFormat="false" ht="15" hidden="false" customHeight="true" outlineLevel="0" collapsed="false">
      <c r="A497" s="26"/>
      <c r="B497" s="26"/>
      <c r="C497" s="26"/>
      <c r="D497" s="26"/>
      <c r="E497" s="26"/>
      <c r="F497" s="26"/>
      <c r="G497" s="26"/>
      <c r="H497" s="26"/>
      <c r="I497" s="26"/>
      <c r="J497" s="26"/>
      <c r="K497" s="26"/>
      <c r="L497" s="26"/>
      <c r="M497" s="26"/>
      <c r="N497" s="26"/>
      <c r="O497" s="26"/>
      <c r="P497" s="21"/>
      <c r="Q497" s="21"/>
      <c r="R497" s="21"/>
      <c r="S497" s="26"/>
    </row>
    <row r="498" customFormat="false" ht="15" hidden="false" customHeight="true" outlineLevel="0" collapsed="false">
      <c r="A498" s="26"/>
      <c r="B498" s="26"/>
      <c r="C498" s="26"/>
      <c r="D498" s="26"/>
      <c r="E498" s="26"/>
      <c r="F498" s="26"/>
      <c r="G498" s="26"/>
      <c r="H498" s="26"/>
      <c r="I498" s="26"/>
      <c r="J498" s="26"/>
      <c r="K498" s="26"/>
      <c r="L498" s="26"/>
      <c r="M498" s="26"/>
      <c r="N498" s="26"/>
      <c r="O498" s="26"/>
      <c r="P498" s="21"/>
      <c r="Q498" s="21"/>
      <c r="R498" s="21"/>
      <c r="S498" s="26"/>
    </row>
    <row r="499" customFormat="false" ht="15" hidden="false" customHeight="true" outlineLevel="0" collapsed="false">
      <c r="A499" s="26"/>
      <c r="B499" s="26"/>
      <c r="C499" s="26"/>
      <c r="D499" s="26"/>
      <c r="E499" s="26"/>
      <c r="F499" s="26"/>
      <c r="G499" s="26"/>
      <c r="H499" s="26"/>
      <c r="I499" s="26"/>
      <c r="J499" s="26"/>
      <c r="K499" s="26"/>
      <c r="L499" s="26"/>
      <c r="M499" s="26"/>
      <c r="N499" s="26"/>
      <c r="O499" s="26"/>
      <c r="P499" s="21"/>
      <c r="Q499" s="21"/>
      <c r="R499" s="21"/>
      <c r="S499" s="26"/>
    </row>
    <row r="500" customFormat="false" ht="15" hidden="false" customHeight="true" outlineLevel="0" collapsed="false">
      <c r="P500" s="8" t="str">
        <f aca="false">IFERROR(VLOOKUP(B500,'IA(정보구조)'!D:E,2,FALSE()),"")</f>
        <v/>
      </c>
      <c r="Q500" s="8" t="str">
        <f aca="false">IFERROR(VLOOKUP(G500,기능명세서!A:B,2,FALSE()),"")</f>
        <v/>
      </c>
      <c r="R500" s="8" t="str">
        <f aca="false">IFERROR(VLOOKUP(H500,API명세서!A:D,4,FALSE()),"")</f>
        <v/>
      </c>
    </row>
  </sheetData>
  <autoFilter ref="A1:S1"/>
  <dataValidations count="6">
    <dataValidation allowBlank="true" errorStyle="stop" operator="between" promptTitle="화면 ID" showDropDown="false" showErrorMessage="true" showInputMessage="true" sqref="B2:B500" type="list">
      <formula1>"SCR-001,SCR-010,SCR-011,SCR-012,SCR-020,SCR-021,SCR-022,SCR-030,SCR-031,SCR-032,SCR-100,SCR-101"</formula1>
      <formula2>0</formula2>
    </dataValidation>
    <dataValidation allowBlank="true" errorStyle="stop" operator="between" promptTitle="요소 유형" showDropDown="false" showErrorMessage="true" showInputMessage="true" sqref="D2:D500" type="list">
      <formula1>"Button,Input,Textarea,Select,Checkbox,Radio,Toggle,Link,Nav,Tab,Slide,Card,List,Modal,Toast,Tooltip,Image,Icon,Badge,Label,Text,Divider,기타"</formula1>
      <formula2>0</formula2>
    </dataValidation>
    <dataValidation allowBlank="true" errorStyle="stop" operator="between" promptTitle="기능 ID" showDropDown="false" showErrorMessage="true" showInputMessage="true" sqref="G2:G500" type="list">
      <formula1>"FN-001,FN-002,FN-003,FN-004,FN-005"</formula1>
      <formula2>0</formula2>
    </dataValidation>
    <dataValidation allowBlank="true" errorStyle="stop" operator="between" promptTitle="API ID" showDropDown="false" showErrorMessage="true" showInputMessage="true" sqref="H2:H500" type="list">
      <formula1>"API-001,API-002,API-003,API-010,API-020"</formula1>
      <formula2>0</formula2>
    </dataValidation>
    <dataValidation allowBlank="true" errorStyle="stop" operator="between" promptTitle="상태" showDropDown="false" showErrorMessage="true" showInputMessage="true" sqref="N2:N500" type="list">
      <formula1>"설계중,개발중,개발완료,테스트중,완료"</formula1>
      <formula2>0</formula2>
    </dataValidation>
    <dataValidation allowBlank="true" errorStyle="stop" operator="between" promptTitle="담당자" showDropDown="false" showErrorMessage="true" showInputMessage="true" sqref="O2:O500" type="list">
      <formula1>"기획자1,기획자2,디자이너1,개발자1,개발자2,QA담당자1,QA담당자2"</formula1>
      <formula2>0</formula2>
    </dataValidation>
  </dataValidations>
  <hyperlinks>
    <hyperlink ref="A2" r:id="rId1" location="화면설계서!A2" display="▼ SCR-001"/>
    <hyperlink ref="B2" r:id="rId2" location="화면설계서!A2" display="메인 화면"/>
    <hyperlink ref="B3" r:id="rId3" location="화면설계서!A2" display="SCR-001"/>
    <hyperlink ref="B4" r:id="rId4" location="화면설계서!A2" display="SCR-001"/>
    <hyperlink ref="B5" r:id="rId5" location="화면설계서!A2" display="SCR-001"/>
    <hyperlink ref="B6" r:id="rId6" location="화면설계서!A2" display="SCR-001"/>
    <hyperlink ref="G6" r:id="rId7" location="기능명세서!A8" display="FN-004"/>
    <hyperlink ref="B7" r:id="rId8" location="화면설계서!A2" display="SCR-001"/>
    <hyperlink ref="A8" r:id="rId9" location="화면설계서!A3" display="▼ SCR-010"/>
    <hyperlink ref="B8" r:id="rId10" location="화면설계서!A3" display="회원가입"/>
    <hyperlink ref="B9" r:id="rId11" location="화면설계서!A3" display="SCR-010"/>
    <hyperlink ref="G9" r:id="rId12" location="기능명세서!A3" display="FN-001"/>
    <hyperlink ref="H9" r:id="rId13" location="API명세서!A2" display="API-001"/>
    <hyperlink ref="B10" r:id="rId14" location="화면설계서!A3" display="SCR-010"/>
    <hyperlink ref="G10" r:id="rId15" location="기능명세서!A3" display="FN-001"/>
    <hyperlink ref="H10" r:id="rId16" location="API명세서!A2" display="API-001"/>
    <hyperlink ref="B11" r:id="rId17" location="화면설계서!A3" display="SCR-010"/>
    <hyperlink ref="G11" r:id="rId18" location="기능명세서!A3" display="FN-001"/>
    <hyperlink ref="H11" r:id="rId19" location="API명세서!A2" display="API-001"/>
    <hyperlink ref="B12" r:id="rId20" location="화면설계서!A3" display="SCR-010"/>
    <hyperlink ref="G12" r:id="rId21" location="기능명세서!A3" display="FN-001"/>
    <hyperlink ref="B13" r:id="rId22" location="화면설계서!A3" display="SCR-010"/>
    <hyperlink ref="G13" r:id="rId23" location="기능명세서!A4" display="FN-002"/>
    <hyperlink ref="H13" r:id="rId24" location="API명세서!A3" display="API-002"/>
    <hyperlink ref="B14" r:id="rId25" location="화면설계서!A3" display="SCR-010"/>
    <hyperlink ref="G14" r:id="rId26" location="기능명세서!A3" display="FN-001"/>
    <hyperlink ref="H14" r:id="rId27" location="API명세서!A2" display="API-001"/>
    <hyperlink ref="A15" r:id="rId28" location="화면설계서!A4" display="▼ SCR-011"/>
    <hyperlink ref="B15" r:id="rId29" location="화면설계서!A4" display="로그인"/>
    <hyperlink ref="B16" r:id="rId30" location="화면설계서!A4" display="SCR-011"/>
    <hyperlink ref="G16" r:id="rId31" location="기능명세서!A6" display="FN-003"/>
    <hyperlink ref="H16" r:id="rId32" location="API명세서!A4" display="API-003"/>
    <hyperlink ref="B17" r:id="rId33" location="화면설계서!A4" display="SCR-011"/>
    <hyperlink ref="G17" r:id="rId34" location="기능명세서!A6" display="FN-003"/>
    <hyperlink ref="H17" r:id="rId35" location="API명세서!A4" display="API-003"/>
    <hyperlink ref="B18" r:id="rId36" location="화면설계서!A4" display="SCR-011"/>
    <hyperlink ref="G18" r:id="rId37" location="기능명세서!A6" display="FN-003"/>
    <hyperlink ref="H18" r:id="rId38" location="API명세서!A4" display="API-003"/>
    <hyperlink ref="B19" r:id="rId39" location="화면설계서!A4" display="SCR-011"/>
    <hyperlink ref="G19" r:id="rId40" location="기능명세서!A6" display="FN-003"/>
    <hyperlink ref="H19" r:id="rId41" location="API명세서!A4" display="API-003"/>
    <hyperlink ref="B20" r:id="rId42" location="화면설계서!A4" display="SCR-011"/>
    <hyperlink ref="A21" r:id="rId43" location="화면설계서!A5" display="▼ SCR-022"/>
    <hyperlink ref="B21" r:id="rId44" location="화면설계서!A5" display="검색"/>
    <hyperlink ref="B22" r:id="rId45" location="화면설계서!A5" display="SCR-022"/>
    <hyperlink ref="G22" r:id="rId46" location="기능명세서!A8" display="FN-004"/>
    <hyperlink ref="H22" r:id="rId47" location="API명세서!A5" display="API-010"/>
    <hyperlink ref="B23" r:id="rId48" location="화면설계서!A5" display="SCR-022"/>
    <hyperlink ref="G23" r:id="rId49" location="기능명세서!A8" display="FN-004"/>
    <hyperlink ref="H23" r:id="rId50" location="API명세서!A5" display="API-010"/>
    <hyperlink ref="B24" r:id="rId51" location="화면설계서!A5" display="SCR-022"/>
    <hyperlink ref="G24" r:id="rId52" location="기능명세서!A8" display="FN-004"/>
    <hyperlink ref="H24" r:id="rId53" location="API명세서!A5" display="API-010"/>
    <hyperlink ref="B25" r:id="rId54" location="화면설계서!A5" display="SCR-022"/>
    <hyperlink ref="G25" r:id="rId55" location="기능명세서!A8" display="FN-004"/>
    <hyperlink ref="H25" r:id="rId56" location="API명세서!A5" display="API-010"/>
    <hyperlink ref="A26" r:id="rId57" location="화면설계서!A6" display="▼ SCR-030"/>
    <hyperlink ref="B27" r:id="rId58" location="화면설계서!A6" display="SCR-030"/>
    <hyperlink ref="G27" r:id="rId59" location="기능명세서!A10" display="FN-005"/>
    <hyperlink ref="H27" r:id="rId60" location="API명세서!A6" display="API-020"/>
    <hyperlink ref="B28" r:id="rId61" location="화면설계서!A6" display="SCR-030"/>
    <hyperlink ref="G28" r:id="rId62" location="기능명세서!A10" display="FN-005"/>
    <hyperlink ref="H28" r:id="rId63" location="API명세서!A6" display="API-020"/>
    <hyperlink ref="B29" r:id="rId64" location="화면설계서!A6" display="SCR-030"/>
    <hyperlink ref="B30" r:id="rId65" location="화면설계서!A6" display="SCR-030"/>
    <hyperlink ref="G30" r:id="rId66" location="기능명세서!A6" display="FN-003"/>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B3A67"/>
    <pageSetUpPr fitToPage="false"/>
  </sheetPr>
  <dimension ref="A1:X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customHeight="true" zeroHeight="false" outlineLevelRow="1" outlineLevelCol="0"/>
  <cols>
    <col collapsed="false" customWidth="true" hidden="false" outlineLevel="0" max="1" min="1" style="0" width="12"/>
    <col collapsed="false" customWidth="true" hidden="false" outlineLevel="0" max="2" min="2" style="0" width="18"/>
    <col collapsed="false" customWidth="true" hidden="false" outlineLevel="0" max="4" min="3" style="0" width="14"/>
    <col collapsed="false" customWidth="true" hidden="false" outlineLevel="0" max="5" min="5" style="0" width="10"/>
    <col collapsed="false" customWidth="true" hidden="false" outlineLevel="0" max="7" min="6" style="0" width="35"/>
    <col collapsed="false" customWidth="true" hidden="false" outlineLevel="0" max="8" min="8" style="0" width="12"/>
    <col collapsed="false" customWidth="true" hidden="false" outlineLevel="0" max="9" min="9" style="0" width="30"/>
    <col collapsed="false" customWidth="true" hidden="false" outlineLevel="0" max="10" min="10" style="0" width="25"/>
    <col collapsed="false" customWidth="true" hidden="false" outlineLevel="0" max="11" min="11" style="0" width="30"/>
    <col collapsed="false" customWidth="true" hidden="false" outlineLevel="0" max="14" min="12" style="0" width="25"/>
    <col collapsed="false" customWidth="true" hidden="false" outlineLevel="0" max="15" min="15" style="0" width="12"/>
    <col collapsed="false" customWidth="true" hidden="false" outlineLevel="0" max="16" min="16" style="0" width="10"/>
    <col collapsed="false" customWidth="true" hidden="false" outlineLevel="0" max="17" min="17" style="0" width="12"/>
    <col collapsed="false" customWidth="true" hidden="false" outlineLevel="0" max="18" min="18" style="0" width="18"/>
    <col collapsed="false" customWidth="true" hidden="false" outlineLevel="0" max="20" min="19" style="0" width="20"/>
    <col collapsed="false" customWidth="true" hidden="false" outlineLevel="0" max="21" min="21" style="0" width="25"/>
  </cols>
  <sheetData>
    <row r="1" customFormat="false" ht="30" hidden="false" customHeight="true" outlineLevel="0" collapsed="false">
      <c r="A1" s="2" t="s">
        <v>179</v>
      </c>
      <c r="B1" s="2" t="s">
        <v>392</v>
      </c>
      <c r="C1" s="2" t="s">
        <v>393</v>
      </c>
      <c r="D1" s="2" t="s">
        <v>5</v>
      </c>
      <c r="E1" s="2" t="s">
        <v>82</v>
      </c>
      <c r="F1" s="2" t="s">
        <v>394</v>
      </c>
      <c r="G1" s="2" t="s">
        <v>395</v>
      </c>
      <c r="H1" s="2" t="s">
        <v>3</v>
      </c>
      <c r="I1" s="2" t="s">
        <v>396</v>
      </c>
      <c r="J1" s="2" t="s">
        <v>397</v>
      </c>
      <c r="K1" s="2" t="s">
        <v>398</v>
      </c>
      <c r="L1" s="2" t="s">
        <v>399</v>
      </c>
      <c r="M1" s="1" t="s">
        <v>400</v>
      </c>
      <c r="N1" s="1" t="s">
        <v>401</v>
      </c>
      <c r="O1" s="2" t="s">
        <v>402</v>
      </c>
      <c r="P1" s="2" t="s">
        <v>10</v>
      </c>
      <c r="Q1" s="2" t="s">
        <v>84</v>
      </c>
      <c r="R1" s="7" t="s">
        <v>85</v>
      </c>
      <c r="S1" s="7" t="s">
        <v>187</v>
      </c>
      <c r="T1" s="2" t="s">
        <v>11</v>
      </c>
      <c r="U1" s="7" t="s">
        <v>403</v>
      </c>
    </row>
    <row r="2" customFormat="false" ht="27.75" hidden="false" customHeight="true" outlineLevel="0" collapsed="false">
      <c r="A2" s="17" t="s">
        <v>232</v>
      </c>
      <c r="B2" s="18" t="s">
        <v>404</v>
      </c>
      <c r="C2" s="20"/>
      <c r="D2" s="20"/>
      <c r="E2" s="20"/>
      <c r="F2" s="20"/>
      <c r="G2" s="20"/>
      <c r="H2" s="20"/>
      <c r="I2" s="20"/>
      <c r="J2" s="20"/>
      <c r="K2" s="20"/>
      <c r="L2" s="20"/>
      <c r="M2" s="20"/>
      <c r="N2" s="20"/>
      <c r="O2" s="20"/>
      <c r="P2" s="20"/>
      <c r="Q2" s="20"/>
      <c r="R2" s="20"/>
      <c r="S2" s="20"/>
      <c r="T2" s="20"/>
      <c r="U2" s="15" t="str">
        <f aca="false">IFERROR(_xlfn.TEXTJOIN(", ",TRUE(),IF('UI 요소 상세'!G$1:G$500=A2,'UI 요소 상세'!C$1:C$500,"")),"")</f>
        <v/>
      </c>
      <c r="V2" s="26"/>
      <c r="W2" s="26"/>
      <c r="X2" s="26"/>
    </row>
    <row r="3" customFormat="false" ht="99.75" hidden="false" customHeight="true" outlineLevel="1" collapsed="false">
      <c r="A3" s="4" t="s">
        <v>239</v>
      </c>
      <c r="B3" s="3" t="s">
        <v>405</v>
      </c>
      <c r="C3" s="3" t="s">
        <v>21</v>
      </c>
      <c r="D3" s="4" t="s">
        <v>15</v>
      </c>
      <c r="E3" s="4" t="s">
        <v>90</v>
      </c>
      <c r="F3" s="3" t="s">
        <v>406</v>
      </c>
      <c r="G3" s="4" t="s">
        <v>407</v>
      </c>
      <c r="H3" s="10" t="s">
        <v>23</v>
      </c>
      <c r="I3" s="3" t="s">
        <v>408</v>
      </c>
      <c r="J3" s="3" t="s">
        <v>409</v>
      </c>
      <c r="K3" s="4" t="s">
        <v>410</v>
      </c>
      <c r="L3" s="4" t="s">
        <v>411</v>
      </c>
      <c r="M3" s="4" t="s">
        <v>412</v>
      </c>
      <c r="N3" s="4" t="s">
        <v>413</v>
      </c>
      <c r="O3" s="4" t="s">
        <v>240</v>
      </c>
      <c r="P3" s="3" t="s">
        <v>20</v>
      </c>
      <c r="Q3" s="3" t="s">
        <v>92</v>
      </c>
      <c r="R3" s="27" t="str">
        <f aca="false">IFERROR(VLOOKUP(H3,'IA(정보구조)'!D:E,2,FALSE()),"")</f>
        <v>회원가입</v>
      </c>
      <c r="S3" s="27" t="str">
        <f aca="false">IFERROR(VLOOKUP(O3,API명세서!A:D,4,FALSE()),"")</f>
        <v>/api/v1/auth/signup</v>
      </c>
      <c r="T3" s="3"/>
      <c r="U3" s="15" t="str">
        <f aca="false">IFERROR(_xlfn.TEXTJOIN(", ",TRUE(),IF('UI 요소 상세'!G$1:G$500=A3,'UI 요소 상세'!C$1:C$500,"")),"")</f>
        <v/>
      </c>
      <c r="V3" s="26"/>
      <c r="W3" s="26"/>
      <c r="X3" s="26"/>
    </row>
    <row r="4" customFormat="false" ht="99.75" hidden="false" customHeight="true" outlineLevel="1" collapsed="false">
      <c r="A4" s="6" t="s">
        <v>277</v>
      </c>
      <c r="B4" s="5" t="s">
        <v>414</v>
      </c>
      <c r="C4" s="5" t="s">
        <v>21</v>
      </c>
      <c r="D4" s="6" t="s">
        <v>15</v>
      </c>
      <c r="E4" s="6" t="s">
        <v>90</v>
      </c>
      <c r="F4" s="6" t="s">
        <v>415</v>
      </c>
      <c r="G4" s="6" t="s">
        <v>416</v>
      </c>
      <c r="H4" s="13" t="s">
        <v>23</v>
      </c>
      <c r="I4" s="5" t="s">
        <v>417</v>
      </c>
      <c r="J4" s="5" t="s">
        <v>418</v>
      </c>
      <c r="K4" s="6" t="s">
        <v>419</v>
      </c>
      <c r="L4" s="6" t="s">
        <v>420</v>
      </c>
      <c r="M4" s="6" t="s">
        <v>421</v>
      </c>
      <c r="N4" s="6" t="s">
        <v>422</v>
      </c>
      <c r="O4" s="6" t="s">
        <v>278</v>
      </c>
      <c r="P4" s="5" t="s">
        <v>20</v>
      </c>
      <c r="Q4" s="5" t="s">
        <v>92</v>
      </c>
      <c r="R4" s="28" t="str">
        <f aca="false">IFERROR(VLOOKUP(H4,'IA(정보구조)'!D:E,2,FALSE()),"")</f>
        <v>회원가입</v>
      </c>
      <c r="S4" s="28" t="str">
        <f aca="false">IFERROR(VLOOKUP(O4,API명세서!A:D,4,FALSE()),"")</f>
        <v>/api/v1/auth/social</v>
      </c>
      <c r="T4" s="5"/>
      <c r="U4" s="15" t="str">
        <f aca="false">IFERROR(_xlfn.TEXTJOIN(", ",TRUE(),IF('UI 요소 상세'!G$1:G$500=A4,'UI 요소 상세'!C$1:C$500,"")),"")</f>
        <v/>
      </c>
      <c r="V4" s="26"/>
      <c r="W4" s="26"/>
      <c r="X4" s="26"/>
    </row>
    <row r="5" customFormat="false" ht="27.75" hidden="false" customHeight="true" outlineLevel="0" collapsed="false">
      <c r="A5" s="17" t="s">
        <v>292</v>
      </c>
      <c r="B5" s="18" t="s">
        <v>423</v>
      </c>
      <c r="C5" s="20"/>
      <c r="D5" s="20"/>
      <c r="E5" s="20"/>
      <c r="F5" s="20"/>
      <c r="G5" s="20"/>
      <c r="H5" s="20"/>
      <c r="I5" s="20"/>
      <c r="J5" s="20"/>
      <c r="K5" s="20"/>
      <c r="L5" s="20"/>
      <c r="M5" s="20"/>
      <c r="N5" s="20"/>
      <c r="O5" s="20"/>
      <c r="P5" s="20"/>
      <c r="Q5" s="20"/>
      <c r="R5" s="20"/>
      <c r="S5" s="20"/>
      <c r="T5" s="20"/>
      <c r="U5" s="15" t="str">
        <f aca="false">IFERROR(_xlfn.TEXTJOIN(", ",TRUE(),IF('UI 요소 상세'!G$1:G$500=A5,'UI 요소 상세'!C$1:C$500,"")),"")</f>
        <v/>
      </c>
      <c r="V5" s="26"/>
      <c r="W5" s="26"/>
      <c r="X5" s="26"/>
    </row>
    <row r="6" customFormat="false" ht="99.75" hidden="false" customHeight="true" outlineLevel="1" collapsed="false">
      <c r="A6" s="4" t="s">
        <v>296</v>
      </c>
      <c r="B6" s="3" t="s">
        <v>424</v>
      </c>
      <c r="C6" s="3" t="s">
        <v>21</v>
      </c>
      <c r="D6" s="4" t="s">
        <v>15</v>
      </c>
      <c r="E6" s="4" t="s">
        <v>90</v>
      </c>
      <c r="F6" s="3" t="s">
        <v>425</v>
      </c>
      <c r="G6" s="4" t="s">
        <v>426</v>
      </c>
      <c r="H6" s="10" t="s">
        <v>28</v>
      </c>
      <c r="I6" s="3" t="s">
        <v>427</v>
      </c>
      <c r="J6" s="3" t="s">
        <v>428</v>
      </c>
      <c r="K6" s="4" t="s">
        <v>429</v>
      </c>
      <c r="L6" s="4" t="s">
        <v>430</v>
      </c>
      <c r="M6" s="4" t="s">
        <v>431</v>
      </c>
      <c r="N6" s="4" t="s">
        <v>432</v>
      </c>
      <c r="O6" s="4" t="s">
        <v>297</v>
      </c>
      <c r="P6" s="3" t="s">
        <v>20</v>
      </c>
      <c r="Q6" s="3" t="s">
        <v>92</v>
      </c>
      <c r="R6" s="27" t="str">
        <f aca="false">IFERROR(VLOOKUP(H6,'IA(정보구조)'!D:E,2,FALSE()),"")</f>
        <v>로그인</v>
      </c>
      <c r="S6" s="27" t="str">
        <f aca="false">IFERROR(VLOOKUP(O6,API명세서!A:D,4,FALSE()),"")</f>
        <v>/api/v1/auth/login</v>
      </c>
      <c r="T6" s="3"/>
      <c r="U6" s="15" t="str">
        <f aca="false">IFERROR(_xlfn.TEXTJOIN(", ",TRUE(),IF('UI 요소 상세'!G$1:G$500=A6,'UI 요소 상세'!C$1:C$500,"")),"")</f>
        <v/>
      </c>
      <c r="V6" s="26"/>
      <c r="W6" s="26"/>
      <c r="X6" s="26"/>
    </row>
    <row r="7" customFormat="false" ht="27.75" hidden="false" customHeight="true" outlineLevel="0" collapsed="false">
      <c r="A7" s="22" t="s">
        <v>328</v>
      </c>
      <c r="B7" s="23" t="s">
        <v>433</v>
      </c>
      <c r="C7" s="25"/>
      <c r="D7" s="25"/>
      <c r="E7" s="25"/>
      <c r="F7" s="25"/>
      <c r="G7" s="25"/>
      <c r="H7" s="25"/>
      <c r="I7" s="25"/>
      <c r="J7" s="25"/>
      <c r="K7" s="25"/>
      <c r="L7" s="25"/>
      <c r="M7" s="25"/>
      <c r="N7" s="25"/>
      <c r="O7" s="25"/>
      <c r="P7" s="25"/>
      <c r="Q7" s="25"/>
      <c r="R7" s="20"/>
      <c r="S7" s="20"/>
      <c r="T7" s="25"/>
      <c r="U7" s="15" t="str">
        <f aca="false">IFERROR(_xlfn.TEXTJOIN(", ",TRUE(),IF('UI 요소 상세'!G$1:G$500=A7,'UI 요소 상세'!C$1:C$500,"")),"")</f>
        <v/>
      </c>
      <c r="V7" s="26"/>
      <c r="W7" s="26"/>
      <c r="X7" s="26"/>
    </row>
    <row r="8" customFormat="false" ht="99.75" hidden="false" customHeight="true" outlineLevel="1" collapsed="false">
      <c r="A8" s="4" t="s">
        <v>219</v>
      </c>
      <c r="B8" s="3" t="s">
        <v>434</v>
      </c>
      <c r="C8" s="3" t="s">
        <v>47</v>
      </c>
      <c r="D8" s="4" t="s">
        <v>15</v>
      </c>
      <c r="E8" s="4" t="s">
        <v>105</v>
      </c>
      <c r="F8" s="3" t="s">
        <v>435</v>
      </c>
      <c r="G8" s="4" t="s">
        <v>436</v>
      </c>
      <c r="H8" s="10" t="s">
        <v>48</v>
      </c>
      <c r="I8" s="3" t="s">
        <v>437</v>
      </c>
      <c r="J8" s="3" t="s">
        <v>438</v>
      </c>
      <c r="K8" s="4" t="s">
        <v>439</v>
      </c>
      <c r="L8" s="4" t="s">
        <v>440</v>
      </c>
      <c r="M8" s="4" t="s">
        <v>441</v>
      </c>
      <c r="N8" s="4" t="s">
        <v>442</v>
      </c>
      <c r="O8" s="4" t="s">
        <v>334</v>
      </c>
      <c r="P8" s="3" t="s">
        <v>41</v>
      </c>
      <c r="Q8" s="3" t="s">
        <v>106</v>
      </c>
      <c r="R8" s="27" t="str">
        <f aca="false">IFERROR(VLOOKUP(H8,'IA(정보구조)'!D:E,2,FALSE()),"")</f>
        <v>검색</v>
      </c>
      <c r="S8" s="27" t="str">
        <f aca="false">IFERROR(VLOOKUP(O8,API명세서!A:D,4,FALSE()),"")</f>
        <v>/api/v1/search</v>
      </c>
      <c r="T8" s="3"/>
      <c r="U8" s="15" t="str">
        <f aca="false">IFERROR(_xlfn.TEXTJOIN(", ",TRUE(),IF('UI 요소 상세'!G$1:G$500=A8,'UI 요소 상세'!C$1:C$500,"")),"")</f>
        <v/>
      </c>
      <c r="V8" s="26"/>
      <c r="W8" s="26"/>
      <c r="X8" s="26"/>
    </row>
    <row r="9" customFormat="false" ht="27.75" hidden="false" customHeight="true" outlineLevel="0" collapsed="false">
      <c r="A9" s="22" t="s">
        <v>361</v>
      </c>
      <c r="B9" s="23" t="s">
        <v>443</v>
      </c>
      <c r="C9" s="25"/>
      <c r="D9" s="25"/>
      <c r="E9" s="25"/>
      <c r="F9" s="25"/>
      <c r="G9" s="25"/>
      <c r="H9" s="25"/>
      <c r="I9" s="25"/>
      <c r="J9" s="25"/>
      <c r="K9" s="25"/>
      <c r="L9" s="25"/>
      <c r="M9" s="25"/>
      <c r="N9" s="25"/>
      <c r="O9" s="25"/>
      <c r="P9" s="25"/>
      <c r="Q9" s="25"/>
      <c r="R9" s="20"/>
      <c r="S9" s="20"/>
      <c r="T9" s="25"/>
      <c r="U9" s="15" t="str">
        <f aca="false">IFERROR(_xlfn.TEXTJOIN(", ",TRUE(),IF('UI 요소 상세'!G$1:G$500=A9,'UI 요소 상세'!C$1:C$500,"")),"")</f>
        <v/>
      </c>
      <c r="V9" s="26"/>
      <c r="W9" s="26"/>
      <c r="X9" s="26"/>
    </row>
    <row r="10" customFormat="false" ht="99.75" hidden="false" customHeight="true" outlineLevel="1" collapsed="false">
      <c r="A10" s="4" t="s">
        <v>367</v>
      </c>
      <c r="B10" s="3" t="s">
        <v>444</v>
      </c>
      <c r="C10" s="3" t="s">
        <v>51</v>
      </c>
      <c r="D10" s="4" t="s">
        <v>15</v>
      </c>
      <c r="E10" s="4" t="s">
        <v>111</v>
      </c>
      <c r="F10" s="3" t="s">
        <v>445</v>
      </c>
      <c r="G10" s="4" t="s">
        <v>446</v>
      </c>
      <c r="H10" s="10" t="s">
        <v>53</v>
      </c>
      <c r="I10" s="3" t="s">
        <v>447</v>
      </c>
      <c r="J10" s="3" t="s">
        <v>448</v>
      </c>
      <c r="K10" s="4" t="s">
        <v>449</v>
      </c>
      <c r="L10" s="4" t="s">
        <v>450</v>
      </c>
      <c r="M10" s="4" t="s">
        <v>451</v>
      </c>
      <c r="N10" s="4" t="s">
        <v>452</v>
      </c>
      <c r="O10" s="4" t="s">
        <v>368</v>
      </c>
      <c r="P10" s="3" t="s">
        <v>41</v>
      </c>
      <c r="Q10" s="3" t="s">
        <v>106</v>
      </c>
      <c r="R10" s="27" t="str">
        <f aca="false">IFERROR(VLOOKUP(H10,'IA(정보구조)'!D:E,2,FALSE()),"")</f>
        <v>마이페이지</v>
      </c>
      <c r="S10" s="27" t="str">
        <f aca="false">IFERROR(VLOOKUP(O10,API명세서!A:D,4,FALSE()),"")</f>
        <v>/api/v1/users/me</v>
      </c>
      <c r="T10" s="3"/>
      <c r="U10" s="15" t="str">
        <f aca="false">IFERROR(_xlfn.TEXTJOIN(", ",TRUE(),IF('UI 요소 상세'!G$1:G$500=A10,'UI 요소 상세'!C$1:C$500,"")),"")</f>
        <v/>
      </c>
      <c r="V10" s="26"/>
      <c r="W10" s="26"/>
      <c r="X10" s="26"/>
    </row>
    <row r="11" customFormat="false" ht="15" hidden="false" customHeight="true" outlineLevel="0" collapsed="false">
      <c r="A11" s="26"/>
      <c r="B11" s="26"/>
      <c r="C11" s="26"/>
      <c r="D11" s="26"/>
      <c r="E11" s="26"/>
      <c r="F11" s="26"/>
      <c r="G11" s="26"/>
      <c r="H11" s="26"/>
      <c r="I11" s="26"/>
      <c r="J11" s="26"/>
      <c r="K11" s="26"/>
      <c r="L11" s="26"/>
      <c r="M11" s="26"/>
      <c r="N11" s="26"/>
      <c r="O11" s="26"/>
      <c r="P11" s="26"/>
      <c r="Q11" s="26"/>
      <c r="R11" s="21"/>
      <c r="S11" s="21"/>
      <c r="T11" s="26"/>
      <c r="U11" s="15" t="str">
        <f aca="false">IFERROR(_xlfn.TEXTJOIN(", ",TRUE(),IF('UI 요소 상세'!G$1:G$500=A11,'UI 요소 상세'!C$1:C$500,"")),"")</f>
        <v/>
      </c>
      <c r="V11" s="26"/>
      <c r="W11" s="26"/>
      <c r="X11" s="26"/>
    </row>
    <row r="12" customFormat="false" ht="15" hidden="false" customHeight="true" outlineLevel="0" collapsed="false">
      <c r="A12" s="26"/>
      <c r="B12" s="26"/>
      <c r="C12" s="26"/>
      <c r="D12" s="26"/>
      <c r="E12" s="26"/>
      <c r="F12" s="26"/>
      <c r="G12" s="26"/>
      <c r="H12" s="26"/>
      <c r="I12" s="26"/>
      <c r="J12" s="26"/>
      <c r="K12" s="26"/>
      <c r="L12" s="26"/>
      <c r="M12" s="26"/>
      <c r="N12" s="26"/>
      <c r="O12" s="26"/>
      <c r="P12" s="26"/>
      <c r="Q12" s="26"/>
      <c r="R12" s="21"/>
      <c r="S12" s="21"/>
      <c r="T12" s="26"/>
      <c r="U12" s="15" t="str">
        <f aca="false">IFERROR(_xlfn.TEXTJOIN(", ",TRUE(),IF('UI 요소 상세'!G$1:G$500=A12,'UI 요소 상세'!C$1:C$500,"")),"")</f>
        <v/>
      </c>
      <c r="V12" s="26"/>
      <c r="W12" s="26"/>
      <c r="X12" s="26"/>
    </row>
    <row r="13" customFormat="false" ht="15" hidden="false" customHeight="true" outlineLevel="0" collapsed="false">
      <c r="A13" s="26"/>
      <c r="B13" s="26"/>
      <c r="C13" s="26"/>
      <c r="D13" s="26"/>
      <c r="E13" s="26"/>
      <c r="F13" s="26"/>
      <c r="G13" s="26"/>
      <c r="H13" s="26"/>
      <c r="I13" s="26"/>
      <c r="J13" s="26"/>
      <c r="K13" s="26"/>
      <c r="L13" s="26"/>
      <c r="M13" s="26"/>
      <c r="N13" s="26"/>
      <c r="O13" s="26"/>
      <c r="P13" s="26"/>
      <c r="Q13" s="26"/>
      <c r="R13" s="21"/>
      <c r="S13" s="21"/>
      <c r="T13" s="26"/>
      <c r="U13" s="15" t="str">
        <f aca="false">IFERROR(_xlfn.TEXTJOIN(", ",TRUE(),IF('UI 요소 상세'!G$1:G$500=A13,'UI 요소 상세'!C$1:C$500,"")),"")</f>
        <v/>
      </c>
      <c r="V13" s="26"/>
      <c r="W13" s="26"/>
      <c r="X13" s="26"/>
    </row>
    <row r="14" customFormat="false" ht="15" hidden="false" customHeight="true" outlineLevel="0" collapsed="false">
      <c r="A14" s="26"/>
      <c r="B14" s="26"/>
      <c r="C14" s="26"/>
      <c r="D14" s="26"/>
      <c r="E14" s="26"/>
      <c r="F14" s="26"/>
      <c r="G14" s="26"/>
      <c r="H14" s="26"/>
      <c r="I14" s="26"/>
      <c r="J14" s="26"/>
      <c r="K14" s="26"/>
      <c r="L14" s="26"/>
      <c r="M14" s="26"/>
      <c r="N14" s="26"/>
      <c r="O14" s="26"/>
      <c r="P14" s="26"/>
      <c r="Q14" s="26"/>
      <c r="R14" s="21"/>
      <c r="S14" s="21"/>
      <c r="T14" s="26"/>
      <c r="U14" s="15" t="str">
        <f aca="false">IFERROR(_xlfn.TEXTJOIN(", ",TRUE(),IF('UI 요소 상세'!G$1:G$500=A14,'UI 요소 상세'!C$1:C$500,"")),"")</f>
        <v/>
      </c>
      <c r="V14" s="26"/>
      <c r="W14" s="26"/>
      <c r="X14" s="26"/>
    </row>
    <row r="15" customFormat="false" ht="15" hidden="false" customHeight="true" outlineLevel="0" collapsed="false">
      <c r="A15" s="26"/>
      <c r="B15" s="26"/>
      <c r="C15" s="26"/>
      <c r="D15" s="26"/>
      <c r="E15" s="26"/>
      <c r="F15" s="26"/>
      <c r="G15" s="26"/>
      <c r="H15" s="26"/>
      <c r="I15" s="26"/>
      <c r="J15" s="26"/>
      <c r="K15" s="26"/>
      <c r="L15" s="26"/>
      <c r="M15" s="26"/>
      <c r="N15" s="26"/>
      <c r="O15" s="26"/>
      <c r="P15" s="26"/>
      <c r="Q15" s="26"/>
      <c r="R15" s="21"/>
      <c r="S15" s="21"/>
      <c r="T15" s="26"/>
      <c r="U15" s="15" t="str">
        <f aca="false">IFERROR(_xlfn.TEXTJOIN(", ",TRUE(),IF('UI 요소 상세'!G$1:G$500=A15,'UI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5" s="26"/>
      <c r="W15" s="26"/>
      <c r="X15" s="26"/>
    </row>
    <row r="16" customFormat="false" ht="15" hidden="false" customHeight="true" outlineLevel="0" collapsed="false">
      <c r="A16" s="26"/>
      <c r="B16" s="26"/>
      <c r="C16" s="26"/>
      <c r="D16" s="26"/>
      <c r="E16" s="26"/>
      <c r="F16" s="26"/>
      <c r="G16" s="26"/>
      <c r="H16" s="26"/>
      <c r="I16" s="26"/>
      <c r="J16" s="26"/>
      <c r="K16" s="26"/>
      <c r="L16" s="26"/>
      <c r="M16" s="26"/>
      <c r="N16" s="26"/>
      <c r="O16" s="26"/>
      <c r="P16" s="26"/>
      <c r="Q16" s="26"/>
      <c r="R16" s="21"/>
      <c r="S16" s="21"/>
      <c r="T16" s="26"/>
      <c r="U16" s="15" t="str">
        <f aca="false">IFERROR(_xlfn.TEXTJOIN(", ",TRUE(),IF('UI 요소 상세'!G$1:G$500=A16,'UI 요소 상세'!C$1:C$500,"")),"")</f>
        <v/>
      </c>
      <c r="V16" s="26"/>
      <c r="W16" s="26"/>
      <c r="X16" s="26"/>
    </row>
    <row r="17" customFormat="false" ht="15" hidden="false" customHeight="true" outlineLevel="0" collapsed="false">
      <c r="A17" s="26"/>
      <c r="B17" s="26"/>
      <c r="C17" s="26"/>
      <c r="D17" s="26"/>
      <c r="E17" s="26"/>
      <c r="F17" s="26"/>
      <c r="G17" s="26"/>
      <c r="H17" s="26"/>
      <c r="I17" s="26"/>
      <c r="J17" s="26"/>
      <c r="K17" s="26"/>
      <c r="L17" s="26"/>
      <c r="M17" s="26"/>
      <c r="N17" s="26"/>
      <c r="O17" s="26"/>
      <c r="P17" s="26"/>
      <c r="Q17" s="26"/>
      <c r="R17" s="21"/>
      <c r="S17" s="21"/>
      <c r="T17" s="26"/>
      <c r="U17" s="15" t="str">
        <f aca="false">IFERROR(_xlfn.TEXTJOIN(", ",TRUE(),IF('UI 요소 상세'!G$1:G$500=A17,'UI 요소 상세'!C$1:C$500,"")),"")</f>
        <v/>
      </c>
      <c r="V17" s="26"/>
      <c r="W17" s="26"/>
      <c r="X17" s="26"/>
    </row>
    <row r="18" customFormat="false" ht="15" hidden="false" customHeight="true" outlineLevel="0" collapsed="false">
      <c r="A18" s="26"/>
      <c r="B18" s="26"/>
      <c r="C18" s="26"/>
      <c r="D18" s="26"/>
      <c r="E18" s="26"/>
      <c r="F18" s="26"/>
      <c r="G18" s="26"/>
      <c r="H18" s="26"/>
      <c r="I18" s="26"/>
      <c r="J18" s="26"/>
      <c r="K18" s="26"/>
      <c r="L18" s="26"/>
      <c r="M18" s="26"/>
      <c r="N18" s="26"/>
      <c r="O18" s="26"/>
      <c r="P18" s="26"/>
      <c r="Q18" s="26"/>
      <c r="R18" s="21"/>
      <c r="S18" s="21"/>
      <c r="T18" s="26"/>
      <c r="U18" s="15" t="str">
        <f aca="false">IFERROR(_xlfn.TEXTJOIN(", ",TRUE(),IF('UI 요소 상세'!G$1:G$500=A18,'UI 요소 상세'!C$1:C$500,"")),"")</f>
        <v/>
      </c>
      <c r="V18" s="26"/>
      <c r="W18" s="26"/>
      <c r="X18" s="26"/>
    </row>
    <row r="19" customFormat="false" ht="15" hidden="false" customHeight="true" outlineLevel="0" collapsed="false">
      <c r="A19" s="26"/>
      <c r="B19" s="26"/>
      <c r="C19" s="26"/>
      <c r="D19" s="26"/>
      <c r="E19" s="26"/>
      <c r="F19" s="26"/>
      <c r="G19" s="26"/>
      <c r="H19" s="26"/>
      <c r="I19" s="26"/>
      <c r="J19" s="26"/>
      <c r="K19" s="26"/>
      <c r="L19" s="26"/>
      <c r="M19" s="26"/>
      <c r="N19" s="26"/>
      <c r="O19" s="26"/>
      <c r="P19" s="26"/>
      <c r="Q19" s="26"/>
      <c r="R19" s="21"/>
      <c r="S19" s="21"/>
      <c r="T19" s="26"/>
      <c r="U19" s="15" t="str">
        <f aca="false">IFERROR(_xlfn.TEXTJOIN(", ",TRUE(),IF('UI 요소 상세'!G$1:G$500=A19,'UI 요소 상세'!C$1:C$500,"")),"")</f>
        <v/>
      </c>
      <c r="V19" s="26"/>
      <c r="W19" s="26"/>
      <c r="X19" s="26"/>
    </row>
    <row r="20" customFormat="false" ht="15" hidden="false" customHeight="true" outlineLevel="0" collapsed="false">
      <c r="A20" s="26"/>
      <c r="B20" s="26"/>
      <c r="C20" s="26"/>
      <c r="D20" s="26"/>
      <c r="E20" s="26"/>
      <c r="F20" s="26"/>
      <c r="G20" s="26"/>
      <c r="H20" s="26"/>
      <c r="I20" s="26"/>
      <c r="J20" s="26"/>
      <c r="K20" s="26"/>
      <c r="L20" s="26"/>
      <c r="M20" s="26"/>
      <c r="N20" s="26"/>
      <c r="O20" s="26"/>
      <c r="P20" s="26"/>
      <c r="Q20" s="26"/>
      <c r="R20" s="21"/>
      <c r="S20" s="21"/>
      <c r="T20" s="26"/>
      <c r="U20" s="15" t="str">
        <f aca="false">IFERROR(_xlfn.TEXTJOIN(", ",TRUE(),IF('UI 요소 상세'!G$1:G$500=A20,'UI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20" s="26"/>
      <c r="W20" s="26"/>
      <c r="X20" s="26"/>
    </row>
    <row r="21" customFormat="false" ht="15" hidden="false" customHeight="true" outlineLevel="0" collapsed="false">
      <c r="A21" s="26"/>
      <c r="B21" s="26"/>
      <c r="C21" s="26"/>
      <c r="D21" s="26"/>
      <c r="E21" s="26"/>
      <c r="F21" s="26"/>
      <c r="G21" s="26"/>
      <c r="H21" s="26"/>
      <c r="I21" s="26"/>
      <c r="J21" s="26"/>
      <c r="K21" s="26"/>
      <c r="L21" s="26"/>
      <c r="M21" s="26"/>
      <c r="N21" s="26"/>
      <c r="O21" s="26"/>
      <c r="P21" s="26"/>
      <c r="Q21" s="26"/>
      <c r="R21" s="21"/>
      <c r="S21" s="21"/>
      <c r="T21" s="26"/>
      <c r="U21" s="15" t="str">
        <f aca="false">IFERROR(_xlfn.TEXTJOIN(", ",TRUE(),IF('UI 요소 상세'!G$1:G$500=A21,'UI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21" s="26"/>
      <c r="W21" s="26"/>
      <c r="X21" s="26"/>
    </row>
    <row r="22" customFormat="false" ht="15" hidden="false" customHeight="true" outlineLevel="0" collapsed="false">
      <c r="A22" s="26"/>
      <c r="B22" s="26"/>
      <c r="C22" s="26"/>
      <c r="D22" s="26"/>
      <c r="E22" s="26"/>
      <c r="F22" s="26"/>
      <c r="G22" s="26"/>
      <c r="H22" s="26"/>
      <c r="I22" s="26"/>
      <c r="J22" s="26"/>
      <c r="K22" s="26"/>
      <c r="L22" s="26"/>
      <c r="M22" s="26"/>
      <c r="N22" s="26"/>
      <c r="O22" s="26"/>
      <c r="P22" s="26"/>
      <c r="Q22" s="26"/>
      <c r="R22" s="21"/>
      <c r="S22" s="21"/>
      <c r="T22" s="26"/>
      <c r="U22" s="15" t="str">
        <f aca="false">IFERROR(_xlfn.TEXTJOIN(", ",TRUE(),IF('UI 요소 상세'!G$1:G$500=A22,'UI 요소 상세'!C$1:C$500,"")),"")</f>
        <v/>
      </c>
      <c r="V22" s="26"/>
      <c r="W22" s="26"/>
      <c r="X22" s="26"/>
    </row>
    <row r="23" customFormat="false" ht="15" hidden="false" customHeight="true" outlineLevel="0" collapsed="false">
      <c r="A23" s="26"/>
      <c r="B23" s="26"/>
      <c r="C23" s="26"/>
      <c r="D23" s="26"/>
      <c r="E23" s="26"/>
      <c r="F23" s="26"/>
      <c r="G23" s="26"/>
      <c r="H23" s="26"/>
      <c r="I23" s="26"/>
      <c r="J23" s="26"/>
      <c r="K23" s="26"/>
      <c r="L23" s="26"/>
      <c r="M23" s="26"/>
      <c r="N23" s="26"/>
      <c r="O23" s="26"/>
      <c r="P23" s="26"/>
      <c r="Q23" s="26"/>
      <c r="R23" s="21"/>
      <c r="S23" s="21"/>
      <c r="T23" s="26"/>
      <c r="U23" s="15" t="str">
        <f aca="false">IFERROR(_xlfn.TEXTJOIN(", ",TRUE(),IF('UI 요소 상세'!G$1:G$500=A23,'UI 요소 상세'!C$1:C$500,"")),"")</f>
        <v/>
      </c>
      <c r="V23" s="26"/>
      <c r="W23" s="26"/>
      <c r="X23" s="26"/>
    </row>
    <row r="24" customFormat="false" ht="15" hidden="false" customHeight="true" outlineLevel="0" collapsed="false">
      <c r="A24" s="26"/>
      <c r="B24" s="26"/>
      <c r="C24" s="26"/>
      <c r="D24" s="26"/>
      <c r="E24" s="26"/>
      <c r="F24" s="26"/>
      <c r="G24" s="26"/>
      <c r="H24" s="26"/>
      <c r="I24" s="26"/>
      <c r="J24" s="26"/>
      <c r="K24" s="26"/>
      <c r="L24" s="26"/>
      <c r="M24" s="26"/>
      <c r="N24" s="26"/>
      <c r="O24" s="26"/>
      <c r="P24" s="26"/>
      <c r="Q24" s="26"/>
      <c r="R24" s="21"/>
      <c r="S24" s="21"/>
      <c r="T24" s="26"/>
      <c r="U24" s="15" t="str">
        <f aca="false">IFERROR(_xlfn.TEXTJOIN(", ",TRUE(),IF('UI 요소 상세'!G$1:G$500=A24,'UI 요소 상세'!C$1:C$500,"")),"")</f>
        <v/>
      </c>
      <c r="V24" s="26"/>
      <c r="W24" s="26"/>
      <c r="X24" s="26"/>
    </row>
    <row r="25" customFormat="false" ht="15" hidden="false" customHeight="true" outlineLevel="0" collapsed="false">
      <c r="A25" s="26"/>
      <c r="B25" s="26"/>
      <c r="C25" s="26"/>
      <c r="D25" s="26"/>
      <c r="E25" s="26"/>
      <c r="F25" s="26"/>
      <c r="G25" s="26"/>
      <c r="H25" s="26"/>
      <c r="I25" s="26"/>
      <c r="J25" s="26"/>
      <c r="K25" s="26"/>
      <c r="L25" s="26"/>
      <c r="M25" s="26"/>
      <c r="N25" s="26"/>
      <c r="O25" s="26"/>
      <c r="P25" s="26"/>
      <c r="Q25" s="26"/>
      <c r="R25" s="21"/>
      <c r="S25" s="21"/>
      <c r="T25" s="26"/>
      <c r="U25" s="15" t="str">
        <f aca="false">IFERROR(_xlfn.TEXTJOIN(", ",TRUE(),IF('UI 요소 상세'!G$1:G$500=A25,'UI 요소 상세'!C$1:C$500,"")),"")</f>
        <v/>
      </c>
      <c r="V25" s="26"/>
      <c r="W25" s="26"/>
      <c r="X25" s="26"/>
    </row>
    <row r="26" customFormat="false" ht="15" hidden="false" customHeight="true" outlineLevel="0" collapsed="false">
      <c r="A26" s="26"/>
      <c r="B26" s="26"/>
      <c r="C26" s="26"/>
      <c r="D26" s="26"/>
      <c r="E26" s="26"/>
      <c r="F26" s="26"/>
      <c r="G26" s="26"/>
      <c r="H26" s="26"/>
      <c r="I26" s="26"/>
      <c r="J26" s="26"/>
      <c r="K26" s="26"/>
      <c r="L26" s="26"/>
      <c r="M26" s="26"/>
      <c r="N26" s="26"/>
      <c r="O26" s="26"/>
      <c r="P26" s="26"/>
      <c r="Q26" s="26"/>
      <c r="R26" s="21"/>
      <c r="S26" s="21"/>
      <c r="T26" s="26"/>
      <c r="U26" s="15" t="str">
        <f aca="false">IFERROR(_xlfn.TEXTJOIN(", ",TRUE(),IF('UI 요소 상세'!G$1:G$500=A26,'UI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26" s="26"/>
      <c r="W26" s="26"/>
      <c r="X26" s="26"/>
    </row>
    <row r="27" customFormat="false" ht="15" hidden="false" customHeight="true" outlineLevel="0" collapsed="false">
      <c r="A27" s="26"/>
      <c r="B27" s="26"/>
      <c r="C27" s="26"/>
      <c r="D27" s="26"/>
      <c r="E27" s="26"/>
      <c r="F27" s="26"/>
      <c r="G27" s="26"/>
      <c r="H27" s="26"/>
      <c r="I27" s="26"/>
      <c r="J27" s="26"/>
      <c r="K27" s="26"/>
      <c r="L27" s="26"/>
      <c r="M27" s="26"/>
      <c r="N27" s="26"/>
      <c r="O27" s="26"/>
      <c r="P27" s="26"/>
      <c r="Q27" s="26"/>
      <c r="R27" s="21"/>
      <c r="S27" s="21"/>
      <c r="T27" s="26"/>
      <c r="U27" s="15" t="str">
        <f aca="false">IFERROR(_xlfn.TEXTJOIN(", ",TRUE(),IF('UI 요소 상세'!G$1:G$500=A27,'UI 요소 상세'!C$1:C$500,"")),"")</f>
        <v/>
      </c>
      <c r="V27" s="26"/>
      <c r="W27" s="26"/>
      <c r="X27" s="26"/>
    </row>
    <row r="28" customFormat="false" ht="15" hidden="false" customHeight="true" outlineLevel="0" collapsed="false">
      <c r="A28" s="26"/>
      <c r="B28" s="26"/>
      <c r="C28" s="26"/>
      <c r="D28" s="26"/>
      <c r="E28" s="26"/>
      <c r="F28" s="26"/>
      <c r="G28" s="26"/>
      <c r="H28" s="26"/>
      <c r="I28" s="26"/>
      <c r="J28" s="26"/>
      <c r="K28" s="26"/>
      <c r="L28" s="26"/>
      <c r="M28" s="26"/>
      <c r="N28" s="26"/>
      <c r="O28" s="26"/>
      <c r="P28" s="26"/>
      <c r="Q28" s="26"/>
      <c r="R28" s="21"/>
      <c r="S28" s="21"/>
      <c r="T28" s="26"/>
      <c r="U28" s="15" t="str">
        <f aca="false">IFERROR(_xlfn.TEXTJOIN(", ",TRUE(),IF('UI 요소 상세'!G$1:G$500=A28,'UI 요소 상세'!C$1:C$500,"")),"")</f>
        <v/>
      </c>
      <c r="V28" s="26"/>
      <c r="W28" s="26"/>
      <c r="X28" s="26"/>
    </row>
    <row r="29" customFormat="false" ht="15" hidden="false" customHeight="true" outlineLevel="0" collapsed="false">
      <c r="A29" s="26"/>
      <c r="B29" s="26"/>
      <c r="C29" s="26"/>
      <c r="D29" s="26"/>
      <c r="E29" s="26"/>
      <c r="F29" s="26"/>
      <c r="G29" s="26"/>
      <c r="H29" s="26"/>
      <c r="I29" s="26"/>
      <c r="J29" s="26"/>
      <c r="K29" s="26"/>
      <c r="L29" s="26"/>
      <c r="M29" s="26"/>
      <c r="N29" s="26"/>
      <c r="O29" s="26"/>
      <c r="P29" s="26"/>
      <c r="Q29" s="26"/>
      <c r="R29" s="21"/>
      <c r="S29" s="21"/>
      <c r="T29" s="26"/>
      <c r="U29" s="15" t="str">
        <f aca="false">IFERROR(_xlfn.TEXTJOIN(", ",TRUE(),IF('UI 요소 상세'!G$1:G$500=A29,'UI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29" s="26"/>
      <c r="W29" s="26"/>
      <c r="X29" s="26"/>
    </row>
    <row r="30" customFormat="false" ht="15" hidden="false" customHeight="true" outlineLevel="0" collapsed="false">
      <c r="A30" s="26"/>
      <c r="B30" s="26"/>
      <c r="C30" s="26"/>
      <c r="D30" s="26"/>
      <c r="E30" s="26"/>
      <c r="F30" s="26"/>
      <c r="G30" s="26"/>
      <c r="H30" s="26"/>
      <c r="I30" s="26"/>
      <c r="J30" s="26"/>
      <c r="K30" s="26"/>
      <c r="L30" s="26"/>
      <c r="M30" s="26"/>
      <c r="N30" s="26"/>
      <c r="O30" s="26"/>
      <c r="P30" s="26"/>
      <c r="Q30" s="26"/>
      <c r="R30" s="21"/>
      <c r="S30" s="21"/>
      <c r="T30" s="26"/>
      <c r="U30" s="15" t="str">
        <f aca="false">IFERROR(_xlfn.TEXTJOIN(", ",TRUE(),IF('UI 요소 상세'!G$1:G$500=A30,'UI 요소 상세'!C$1:C$500,"")),"")</f>
        <v/>
      </c>
      <c r="V30" s="26"/>
      <c r="W30" s="26"/>
      <c r="X30" s="26"/>
    </row>
    <row r="31" customFormat="false" ht="15" hidden="false" customHeight="true" outlineLevel="0" collapsed="false">
      <c r="A31" s="26"/>
      <c r="B31" s="26"/>
      <c r="C31" s="26"/>
      <c r="D31" s="26"/>
      <c r="E31" s="26"/>
      <c r="F31" s="26"/>
      <c r="G31" s="26"/>
      <c r="H31" s="26"/>
      <c r="I31" s="26"/>
      <c r="J31" s="26"/>
      <c r="K31" s="26"/>
      <c r="L31" s="26"/>
      <c r="M31" s="26"/>
      <c r="N31" s="26"/>
      <c r="O31" s="26"/>
      <c r="P31" s="26"/>
      <c r="Q31" s="26"/>
      <c r="R31" s="21"/>
      <c r="S31" s="21"/>
      <c r="T31" s="26"/>
      <c r="U31" s="15" t="str">
        <f aca="false">IFERROR(_xlfn.TEXTJOIN(", ",TRUE(),IF('UI 요소 상세'!G$1:G$500=A31,'UI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31" s="26"/>
      <c r="W31" s="26"/>
      <c r="X31" s="26"/>
    </row>
    <row r="32" customFormat="false" ht="15" hidden="false" customHeight="true" outlineLevel="0" collapsed="false">
      <c r="A32" s="26"/>
      <c r="B32" s="26"/>
      <c r="C32" s="26"/>
      <c r="D32" s="26"/>
      <c r="E32" s="26"/>
      <c r="F32" s="26"/>
      <c r="G32" s="26"/>
      <c r="H32" s="26"/>
      <c r="I32" s="26"/>
      <c r="J32" s="26"/>
      <c r="K32" s="26"/>
      <c r="L32" s="26"/>
      <c r="M32" s="26"/>
      <c r="N32" s="26"/>
      <c r="O32" s="26"/>
      <c r="P32" s="26"/>
      <c r="Q32" s="26"/>
      <c r="R32" s="21"/>
      <c r="S32" s="21"/>
      <c r="T32" s="26"/>
      <c r="U32" s="15" t="str">
        <f aca="false">IFERROR(_xlfn.TEXTJOIN(", ",TRUE(),IF('UI 요소 상세'!G$1:G$500=A32,'UI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32" s="26"/>
      <c r="W32" s="26"/>
      <c r="X32" s="26"/>
    </row>
    <row r="33" customFormat="false" ht="15" hidden="false" customHeight="true" outlineLevel="0" collapsed="false">
      <c r="A33" s="26"/>
      <c r="B33" s="26"/>
      <c r="C33" s="26"/>
      <c r="D33" s="26"/>
      <c r="E33" s="26"/>
      <c r="F33" s="26"/>
      <c r="G33" s="26"/>
      <c r="H33" s="26"/>
      <c r="I33" s="26"/>
      <c r="J33" s="26"/>
      <c r="K33" s="26"/>
      <c r="L33" s="26"/>
      <c r="M33" s="26"/>
      <c r="N33" s="26"/>
      <c r="O33" s="26"/>
      <c r="P33" s="26"/>
      <c r="Q33" s="26"/>
      <c r="R33" s="21"/>
      <c r="S33" s="21"/>
      <c r="T33" s="26"/>
      <c r="U33" s="15" t="str">
        <f aca="false">IFERROR(_xlfn.TEXTJOIN(", ",TRUE(),IF('UI 요소 상세'!G$1:G$500=A33,'UI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33" s="26"/>
      <c r="W33" s="26"/>
      <c r="X33" s="26"/>
    </row>
    <row r="34" customFormat="false" ht="15" hidden="false" customHeight="true" outlineLevel="0" collapsed="false">
      <c r="A34" s="26"/>
      <c r="B34" s="26"/>
      <c r="C34" s="26"/>
      <c r="D34" s="26"/>
      <c r="E34" s="26"/>
      <c r="F34" s="26"/>
      <c r="G34" s="26"/>
      <c r="H34" s="26"/>
      <c r="I34" s="26"/>
      <c r="J34" s="26"/>
      <c r="K34" s="26"/>
      <c r="L34" s="26"/>
      <c r="M34" s="26"/>
      <c r="N34" s="26"/>
      <c r="O34" s="26"/>
      <c r="P34" s="26"/>
      <c r="Q34" s="26"/>
      <c r="R34" s="21"/>
      <c r="S34" s="21"/>
      <c r="T34" s="26"/>
      <c r="U34" s="15" t="str">
        <f aca="false">IFERROR(_xlfn.TEXTJOIN(", ",TRUE(),IF('UI 요소 상세'!G$1:G$500=A34,'UI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34" s="26"/>
      <c r="W34" s="26"/>
      <c r="X34" s="26"/>
    </row>
    <row r="35" customFormat="false" ht="15" hidden="false" customHeight="true" outlineLevel="0" collapsed="false">
      <c r="A35" s="26"/>
      <c r="B35" s="26"/>
      <c r="C35" s="26"/>
      <c r="D35" s="26"/>
      <c r="E35" s="26"/>
      <c r="F35" s="26"/>
      <c r="G35" s="26"/>
      <c r="H35" s="26"/>
      <c r="I35" s="26"/>
      <c r="J35" s="26"/>
      <c r="K35" s="26"/>
      <c r="L35" s="26"/>
      <c r="M35" s="26"/>
      <c r="N35" s="26"/>
      <c r="O35" s="26"/>
      <c r="P35" s="26"/>
      <c r="Q35" s="26"/>
      <c r="R35" s="21"/>
      <c r="S35" s="21"/>
      <c r="T35" s="26"/>
      <c r="U35" s="15" t="str">
        <f aca="false">IFERROR(_xlfn.TEXTJOIN(", ",TRUE(),IF('UI 요소 상세'!G$1:G$500=A35,'UI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35" s="26"/>
      <c r="W35" s="26"/>
      <c r="X35" s="26"/>
    </row>
    <row r="36" customFormat="false" ht="15" hidden="false" customHeight="true" outlineLevel="0" collapsed="false">
      <c r="A36" s="26"/>
      <c r="B36" s="26"/>
      <c r="C36" s="26"/>
      <c r="D36" s="26"/>
      <c r="E36" s="26"/>
      <c r="F36" s="26"/>
      <c r="G36" s="26"/>
      <c r="H36" s="26"/>
      <c r="I36" s="26"/>
      <c r="J36" s="26"/>
      <c r="K36" s="26"/>
      <c r="L36" s="26"/>
      <c r="M36" s="26"/>
      <c r="N36" s="26"/>
      <c r="O36" s="26"/>
      <c r="P36" s="26"/>
      <c r="Q36" s="26"/>
      <c r="R36" s="21"/>
      <c r="S36" s="21"/>
      <c r="T36" s="26"/>
      <c r="U36" s="15" t="str">
        <f aca="false">IFERROR(_xlfn.TEXTJOIN(", ",TRUE(),IF('UI 요소 상세'!G$1:G$500=A36,'UI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36" s="26"/>
      <c r="W36" s="26"/>
      <c r="X36" s="26"/>
    </row>
    <row r="37" customFormat="false" ht="15" hidden="false" customHeight="true" outlineLevel="0" collapsed="false">
      <c r="A37" s="26"/>
      <c r="B37" s="26"/>
      <c r="C37" s="26"/>
      <c r="D37" s="26"/>
      <c r="E37" s="26"/>
      <c r="F37" s="26"/>
      <c r="G37" s="26"/>
      <c r="H37" s="26"/>
      <c r="I37" s="26"/>
      <c r="J37" s="26"/>
      <c r="K37" s="26"/>
      <c r="L37" s="26"/>
      <c r="M37" s="26"/>
      <c r="N37" s="26"/>
      <c r="O37" s="26"/>
      <c r="P37" s="26"/>
      <c r="Q37" s="26"/>
      <c r="R37" s="21"/>
      <c r="S37" s="21"/>
      <c r="T37" s="26"/>
      <c r="U37" s="15" t="str">
        <f aca="false">IFERROR(_xlfn.TEXTJOIN(", ",TRUE(),IF('UI 요소 상세'!G$1:G$500=A37,'UI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37" s="26"/>
      <c r="W37" s="26"/>
      <c r="X37" s="26"/>
    </row>
    <row r="38" customFormat="false" ht="15" hidden="false" customHeight="true" outlineLevel="0" collapsed="false">
      <c r="A38" s="26"/>
      <c r="B38" s="26"/>
      <c r="C38" s="26"/>
      <c r="D38" s="26"/>
      <c r="E38" s="26"/>
      <c r="F38" s="26"/>
      <c r="G38" s="26"/>
      <c r="H38" s="26"/>
      <c r="I38" s="26"/>
      <c r="J38" s="26"/>
      <c r="K38" s="26"/>
      <c r="L38" s="26"/>
      <c r="M38" s="26"/>
      <c r="N38" s="26"/>
      <c r="O38" s="26"/>
      <c r="P38" s="26"/>
      <c r="Q38" s="26"/>
      <c r="R38" s="21"/>
      <c r="S38" s="21"/>
      <c r="T38" s="26"/>
      <c r="U38" s="15" t="str">
        <f aca="false">IFERROR(_xlfn.TEXTJOIN(", ",TRUE(),IF('UI 요소 상세'!G$1:G$500=A38,'UI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38" s="26"/>
      <c r="W38" s="26"/>
      <c r="X38" s="26"/>
    </row>
    <row r="39" customFormat="false" ht="15" hidden="false" customHeight="true" outlineLevel="0" collapsed="false">
      <c r="A39" s="26"/>
      <c r="B39" s="26"/>
      <c r="C39" s="26"/>
      <c r="D39" s="26"/>
      <c r="E39" s="26"/>
      <c r="F39" s="26"/>
      <c r="G39" s="26"/>
      <c r="H39" s="26"/>
      <c r="I39" s="26"/>
      <c r="J39" s="26"/>
      <c r="K39" s="26"/>
      <c r="L39" s="26"/>
      <c r="M39" s="26"/>
      <c r="N39" s="26"/>
      <c r="O39" s="26"/>
      <c r="P39" s="26"/>
      <c r="Q39" s="26"/>
      <c r="R39" s="21"/>
      <c r="S39" s="21"/>
      <c r="T39" s="26"/>
      <c r="U39" s="15" t="str">
        <f aca="false">IFERROR(_xlfn.TEXTJOIN(", ",TRUE(),IF('UI 요소 상세'!G$1:G$500=A39,'UI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39" s="26"/>
      <c r="W39" s="26"/>
      <c r="X39" s="26"/>
    </row>
    <row r="40" customFormat="false" ht="15" hidden="false" customHeight="true" outlineLevel="0" collapsed="false">
      <c r="A40" s="26"/>
      <c r="B40" s="26"/>
      <c r="C40" s="26"/>
      <c r="D40" s="26"/>
      <c r="E40" s="26"/>
      <c r="F40" s="26"/>
      <c r="G40" s="26"/>
      <c r="H40" s="26"/>
      <c r="I40" s="26"/>
      <c r="J40" s="26"/>
      <c r="K40" s="26"/>
      <c r="L40" s="26"/>
      <c r="M40" s="26"/>
      <c r="N40" s="26"/>
      <c r="O40" s="26"/>
      <c r="P40" s="26"/>
      <c r="Q40" s="26"/>
      <c r="R40" s="21"/>
      <c r="S40" s="21"/>
      <c r="T40" s="26"/>
      <c r="U40" s="15" t="str">
        <f aca="false">IFERROR(_xlfn.TEXTJOIN(", ",TRUE(),IF('UI 요소 상세'!G$1:G$500=A40,'UI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40" s="26"/>
      <c r="W40" s="26"/>
      <c r="X40" s="26"/>
    </row>
    <row r="41" customFormat="false" ht="15" hidden="false" customHeight="true" outlineLevel="0" collapsed="false">
      <c r="A41" s="26"/>
      <c r="B41" s="26"/>
      <c r="C41" s="26"/>
      <c r="D41" s="26"/>
      <c r="E41" s="26"/>
      <c r="F41" s="26"/>
      <c r="G41" s="26"/>
      <c r="H41" s="26"/>
      <c r="I41" s="26"/>
      <c r="J41" s="26"/>
      <c r="K41" s="26"/>
      <c r="L41" s="26"/>
      <c r="M41" s="26"/>
      <c r="N41" s="26"/>
      <c r="O41" s="26"/>
      <c r="P41" s="26"/>
      <c r="Q41" s="26"/>
      <c r="R41" s="21"/>
      <c r="S41" s="21"/>
      <c r="T41" s="26"/>
      <c r="U41" s="15" t="str">
        <f aca="false">IFERROR(_xlfn.TEXTJOIN(", ",TRUE(),IF('UI 요소 상세'!G$1:G$500=A41,'UI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41" s="26"/>
      <c r="W41" s="26"/>
      <c r="X41" s="26"/>
    </row>
    <row r="42" customFormat="false" ht="15" hidden="false" customHeight="true" outlineLevel="0" collapsed="false">
      <c r="A42" s="26"/>
      <c r="B42" s="26"/>
      <c r="C42" s="26"/>
      <c r="D42" s="26"/>
      <c r="E42" s="26"/>
      <c r="F42" s="26"/>
      <c r="G42" s="26"/>
      <c r="H42" s="26"/>
      <c r="I42" s="26"/>
      <c r="J42" s="26"/>
      <c r="K42" s="26"/>
      <c r="L42" s="26"/>
      <c r="M42" s="26"/>
      <c r="N42" s="26"/>
      <c r="O42" s="26"/>
      <c r="P42" s="26"/>
      <c r="Q42" s="26"/>
      <c r="R42" s="21"/>
      <c r="S42" s="21"/>
      <c r="T42" s="26"/>
      <c r="U42" s="15" t="str">
        <f aca="false">IFERROR(_xlfn.TEXTJOIN(", ",TRUE(),IF('UI 요소 상세'!G$1:G$500=A42,'UI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42" s="26"/>
      <c r="W42" s="26"/>
      <c r="X42" s="26"/>
    </row>
    <row r="43" customFormat="false" ht="15" hidden="false" customHeight="true" outlineLevel="0" collapsed="false">
      <c r="A43" s="26"/>
      <c r="B43" s="26"/>
      <c r="C43" s="26"/>
      <c r="D43" s="26"/>
      <c r="E43" s="26"/>
      <c r="F43" s="26"/>
      <c r="G43" s="26"/>
      <c r="H43" s="26"/>
      <c r="I43" s="26"/>
      <c r="J43" s="26"/>
      <c r="K43" s="26"/>
      <c r="L43" s="26"/>
      <c r="M43" s="26"/>
      <c r="N43" s="26"/>
      <c r="O43" s="26"/>
      <c r="P43" s="26"/>
      <c r="Q43" s="26"/>
      <c r="R43" s="21"/>
      <c r="S43" s="21"/>
      <c r="T43" s="26"/>
      <c r="U43" s="15" t="str">
        <f aca="false">IFERROR(_xlfn.TEXTJOIN(", ",TRUE(),IF('UI 요소 상세'!G$1:G$500=A43,'UI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43" s="26"/>
      <c r="W43" s="26"/>
      <c r="X43" s="26"/>
    </row>
    <row r="44" customFormat="false" ht="15" hidden="false" customHeight="true" outlineLevel="0" collapsed="false">
      <c r="A44" s="26"/>
      <c r="B44" s="26"/>
      <c r="C44" s="26"/>
      <c r="D44" s="26"/>
      <c r="E44" s="26"/>
      <c r="F44" s="26"/>
      <c r="G44" s="26"/>
      <c r="H44" s="26"/>
      <c r="I44" s="26"/>
      <c r="J44" s="26"/>
      <c r="K44" s="26"/>
      <c r="L44" s="26"/>
      <c r="M44" s="26"/>
      <c r="N44" s="26"/>
      <c r="O44" s="26"/>
      <c r="P44" s="26"/>
      <c r="Q44" s="26"/>
      <c r="R44" s="21"/>
      <c r="S44" s="21"/>
      <c r="T44" s="26"/>
      <c r="U44" s="15" t="str">
        <f aca="false">IFERROR(_xlfn.TEXTJOIN(", ",TRUE(),IF('UI 요소 상세'!G$1:G$500=A44,'UI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44" s="26"/>
      <c r="W44" s="26"/>
      <c r="X44" s="26"/>
    </row>
    <row r="45" customFormat="false" ht="15" hidden="false" customHeight="true" outlineLevel="0" collapsed="false">
      <c r="A45" s="26"/>
      <c r="B45" s="26"/>
      <c r="C45" s="26"/>
      <c r="D45" s="26"/>
      <c r="E45" s="26"/>
      <c r="F45" s="26"/>
      <c r="G45" s="26"/>
      <c r="H45" s="26"/>
      <c r="I45" s="26"/>
      <c r="J45" s="26"/>
      <c r="K45" s="26"/>
      <c r="L45" s="26"/>
      <c r="M45" s="26"/>
      <c r="N45" s="26"/>
      <c r="O45" s="26"/>
      <c r="P45" s="26"/>
      <c r="Q45" s="26"/>
      <c r="R45" s="21"/>
      <c r="S45" s="21"/>
      <c r="T45" s="26"/>
      <c r="U45" s="15" t="str">
        <f aca="false">IFERROR(_xlfn.TEXTJOIN(", ",TRUE(),IF('UI 요소 상세'!G$1:G$500=A45,'UI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45" s="26"/>
      <c r="W45" s="26"/>
      <c r="X45" s="26"/>
    </row>
    <row r="46" customFormat="false" ht="15" hidden="false" customHeight="true" outlineLevel="0" collapsed="false">
      <c r="A46" s="26"/>
      <c r="B46" s="26"/>
      <c r="C46" s="26"/>
      <c r="D46" s="26"/>
      <c r="E46" s="26"/>
      <c r="F46" s="26"/>
      <c r="G46" s="26"/>
      <c r="H46" s="26"/>
      <c r="I46" s="26"/>
      <c r="J46" s="26"/>
      <c r="K46" s="26"/>
      <c r="L46" s="26"/>
      <c r="M46" s="26"/>
      <c r="N46" s="26"/>
      <c r="O46" s="26"/>
      <c r="P46" s="26"/>
      <c r="Q46" s="26"/>
      <c r="R46" s="21"/>
      <c r="S46" s="21"/>
      <c r="T46" s="26"/>
      <c r="U46" s="15" t="str">
        <f aca="false">IFERROR(_xlfn.TEXTJOIN(", ",TRUE(),IF('UI 요소 상세'!G$1:G$500=A46,'UI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46" s="26"/>
      <c r="W46" s="26"/>
      <c r="X46" s="26"/>
    </row>
    <row r="47" customFormat="false" ht="15" hidden="false" customHeight="true" outlineLevel="0" collapsed="false">
      <c r="A47" s="26"/>
      <c r="B47" s="26"/>
      <c r="C47" s="26"/>
      <c r="D47" s="26"/>
      <c r="E47" s="26"/>
      <c r="F47" s="26"/>
      <c r="G47" s="26"/>
      <c r="H47" s="26"/>
      <c r="I47" s="26"/>
      <c r="J47" s="26"/>
      <c r="K47" s="26"/>
      <c r="L47" s="26"/>
      <c r="M47" s="26"/>
      <c r="N47" s="26"/>
      <c r="O47" s="26"/>
      <c r="P47" s="26"/>
      <c r="Q47" s="26"/>
      <c r="R47" s="21"/>
      <c r="S47" s="21"/>
      <c r="T47" s="26"/>
      <c r="U47" s="15" t="str">
        <f aca="false">IFERROR(_xlfn.TEXTJOIN(", ",TRUE(),IF('UI 요소 상세'!G$1:G$500=A47,'UI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47" s="26"/>
      <c r="W47" s="26"/>
      <c r="X47" s="26"/>
    </row>
    <row r="48" customFormat="false" ht="15" hidden="false" customHeight="true" outlineLevel="0" collapsed="false">
      <c r="A48" s="26"/>
      <c r="B48" s="26"/>
      <c r="C48" s="26"/>
      <c r="D48" s="26"/>
      <c r="E48" s="26"/>
      <c r="F48" s="26"/>
      <c r="G48" s="26"/>
      <c r="H48" s="26"/>
      <c r="I48" s="26"/>
      <c r="J48" s="26"/>
      <c r="K48" s="26"/>
      <c r="L48" s="26"/>
      <c r="M48" s="26"/>
      <c r="N48" s="26"/>
      <c r="O48" s="26"/>
      <c r="P48" s="26"/>
      <c r="Q48" s="26"/>
      <c r="R48" s="21"/>
      <c r="S48" s="21"/>
      <c r="T48" s="26"/>
      <c r="U48" s="15" t="str">
        <f aca="false">IFERROR(_xlfn.TEXTJOIN(", ",TRUE(),IF('UI 요소 상세'!G$1:G$500=A48,'UI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48" s="26"/>
      <c r="W48" s="26"/>
      <c r="X48" s="26"/>
    </row>
    <row r="49" customFormat="false" ht="15" hidden="false" customHeight="true" outlineLevel="0" collapsed="false">
      <c r="A49" s="26"/>
      <c r="B49" s="26"/>
      <c r="C49" s="26"/>
      <c r="D49" s="26"/>
      <c r="E49" s="26"/>
      <c r="F49" s="26"/>
      <c r="G49" s="26"/>
      <c r="H49" s="26"/>
      <c r="I49" s="26"/>
      <c r="J49" s="26"/>
      <c r="K49" s="26"/>
      <c r="L49" s="26"/>
      <c r="M49" s="26"/>
      <c r="N49" s="26"/>
      <c r="O49" s="26"/>
      <c r="P49" s="26"/>
      <c r="Q49" s="26"/>
      <c r="R49" s="21"/>
      <c r="S49" s="21"/>
      <c r="T49" s="26"/>
      <c r="U49" s="15" t="str">
        <f aca="false">IFERROR(_xlfn.TEXTJOIN(", ",TRUE(),IF('UI 요소 상세'!G$1:G$500=A49,'UI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49" s="26"/>
      <c r="W49" s="26"/>
      <c r="X49" s="26"/>
    </row>
    <row r="50" customFormat="false" ht="15" hidden="false" customHeight="true" outlineLevel="0" collapsed="false">
      <c r="A50" s="26"/>
      <c r="B50" s="26"/>
      <c r="C50" s="26"/>
      <c r="D50" s="26"/>
      <c r="E50" s="26"/>
      <c r="F50" s="26"/>
      <c r="G50" s="26"/>
      <c r="H50" s="26"/>
      <c r="I50" s="26"/>
      <c r="J50" s="26"/>
      <c r="K50" s="26"/>
      <c r="L50" s="26"/>
      <c r="M50" s="26"/>
      <c r="N50" s="26"/>
      <c r="O50" s="26"/>
      <c r="P50" s="26"/>
      <c r="Q50" s="26"/>
      <c r="R50" s="21"/>
      <c r="S50" s="21"/>
      <c r="T50" s="26"/>
      <c r="U50" s="15" t="str">
        <f aca="false">IFERROR(_xlfn.TEXTJOIN(", ",TRUE(),IF('UI 요소 상세'!G$1:G$500=A50,'UI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50" s="26"/>
      <c r="W50" s="26"/>
      <c r="X50" s="26"/>
    </row>
    <row r="51" customFormat="false" ht="15" hidden="false" customHeight="true" outlineLevel="0" collapsed="false">
      <c r="A51" s="26"/>
      <c r="B51" s="26"/>
      <c r="C51" s="26"/>
      <c r="D51" s="26"/>
      <c r="E51" s="26"/>
      <c r="F51" s="26"/>
      <c r="G51" s="26"/>
      <c r="H51" s="26"/>
      <c r="I51" s="26"/>
      <c r="J51" s="26"/>
      <c r="K51" s="26"/>
      <c r="L51" s="26"/>
      <c r="M51" s="26"/>
      <c r="N51" s="26"/>
      <c r="O51" s="26"/>
      <c r="P51" s="26"/>
      <c r="Q51" s="26"/>
      <c r="R51" s="21"/>
      <c r="S51" s="21"/>
      <c r="T51" s="26"/>
      <c r="U51" s="15" t="str">
        <f aca="false">IFERROR(_xlfn.TEXTJOIN(", ",TRUE(),IF('UI 요소 상세'!G$1:G$500=A51,'UI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51" s="26"/>
      <c r="W51" s="26"/>
      <c r="X51" s="26"/>
    </row>
    <row r="52" customFormat="false" ht="15" hidden="false" customHeight="true" outlineLevel="0" collapsed="false">
      <c r="A52" s="26"/>
      <c r="B52" s="26"/>
      <c r="C52" s="26"/>
      <c r="D52" s="26"/>
      <c r="E52" s="26"/>
      <c r="F52" s="26"/>
      <c r="G52" s="26"/>
      <c r="H52" s="26"/>
      <c r="I52" s="26"/>
      <c r="J52" s="26"/>
      <c r="K52" s="26"/>
      <c r="L52" s="26"/>
      <c r="M52" s="26"/>
      <c r="N52" s="26"/>
      <c r="O52" s="26"/>
      <c r="P52" s="26"/>
      <c r="Q52" s="26"/>
      <c r="R52" s="21"/>
      <c r="S52" s="21"/>
      <c r="T52" s="26"/>
      <c r="U52" s="15" t="str">
        <f aca="false">IFERROR(_xlfn.TEXTJOIN(", ",TRUE(),IF('UI 요소 상세'!G$1:G$500=A52,'UI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52" s="26"/>
      <c r="W52" s="26"/>
      <c r="X52" s="26"/>
    </row>
    <row r="53" customFormat="false" ht="15" hidden="false" customHeight="true" outlineLevel="0" collapsed="false">
      <c r="A53" s="26"/>
      <c r="B53" s="26"/>
      <c r="C53" s="26"/>
      <c r="D53" s="26"/>
      <c r="E53" s="26"/>
      <c r="F53" s="26"/>
      <c r="G53" s="26"/>
      <c r="H53" s="26"/>
      <c r="I53" s="26"/>
      <c r="J53" s="26"/>
      <c r="K53" s="26"/>
      <c r="L53" s="26"/>
      <c r="M53" s="26"/>
      <c r="N53" s="26"/>
      <c r="O53" s="26"/>
      <c r="P53" s="26"/>
      <c r="Q53" s="26"/>
      <c r="R53" s="21"/>
      <c r="S53" s="21"/>
      <c r="T53" s="26"/>
      <c r="U53" s="15" t="str">
        <f aca="false">IFERROR(_xlfn.TEXTJOIN(", ",TRUE(),IF('UI 요소 상세'!G$1:G$500=A53,'UI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53" s="26"/>
      <c r="W53" s="26"/>
      <c r="X53" s="26"/>
    </row>
    <row r="54" customFormat="false" ht="15" hidden="false" customHeight="true" outlineLevel="0" collapsed="false">
      <c r="A54" s="26"/>
      <c r="B54" s="26"/>
      <c r="C54" s="26"/>
      <c r="D54" s="26"/>
      <c r="E54" s="26"/>
      <c r="F54" s="26"/>
      <c r="G54" s="26"/>
      <c r="H54" s="26"/>
      <c r="I54" s="26"/>
      <c r="J54" s="26"/>
      <c r="K54" s="26"/>
      <c r="L54" s="26"/>
      <c r="M54" s="26"/>
      <c r="N54" s="26"/>
      <c r="O54" s="26"/>
      <c r="P54" s="26"/>
      <c r="Q54" s="26"/>
      <c r="R54" s="21"/>
      <c r="S54" s="21"/>
      <c r="T54" s="26"/>
      <c r="U54" s="15" t="str">
        <f aca="false">IFERROR(_xlfn.TEXTJOIN(", ",TRUE(),IF('UI 요소 상세'!G$1:G$500=A54,'UI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54" s="26"/>
      <c r="W54" s="26"/>
      <c r="X54" s="26"/>
    </row>
    <row r="55" customFormat="false" ht="15" hidden="false" customHeight="true" outlineLevel="0" collapsed="false">
      <c r="A55" s="26"/>
      <c r="B55" s="26"/>
      <c r="C55" s="26"/>
      <c r="D55" s="26"/>
      <c r="E55" s="26"/>
      <c r="F55" s="26"/>
      <c r="G55" s="26"/>
      <c r="H55" s="26"/>
      <c r="I55" s="26"/>
      <c r="J55" s="26"/>
      <c r="K55" s="26"/>
      <c r="L55" s="26"/>
      <c r="M55" s="26"/>
      <c r="N55" s="26"/>
      <c r="O55" s="26"/>
      <c r="P55" s="26"/>
      <c r="Q55" s="26"/>
      <c r="R55" s="21"/>
      <c r="S55" s="21"/>
      <c r="T55" s="26"/>
      <c r="U55" s="15" t="str">
        <f aca="false">IFERROR(_xlfn.TEXTJOIN(", ",TRUE(),IF('UI 요소 상세'!G$1:G$500=A55,'UI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55" s="26"/>
      <c r="W55" s="26"/>
      <c r="X55" s="26"/>
    </row>
    <row r="56" customFormat="false" ht="15" hidden="false" customHeight="true" outlineLevel="0" collapsed="false">
      <c r="A56" s="26"/>
      <c r="B56" s="26"/>
      <c r="C56" s="26"/>
      <c r="D56" s="26"/>
      <c r="E56" s="26"/>
      <c r="F56" s="26"/>
      <c r="G56" s="26"/>
      <c r="H56" s="26"/>
      <c r="I56" s="26"/>
      <c r="J56" s="26"/>
      <c r="K56" s="26"/>
      <c r="L56" s="26"/>
      <c r="M56" s="26"/>
      <c r="N56" s="26"/>
      <c r="O56" s="26"/>
      <c r="P56" s="26"/>
      <c r="Q56" s="26"/>
      <c r="R56" s="21"/>
      <c r="S56" s="21"/>
      <c r="T56" s="26"/>
      <c r="U56" s="15" t="str">
        <f aca="false">IFERROR(_xlfn.TEXTJOIN(", ",TRUE(),IF('UI 요소 상세'!G$1:G$500=A56,'UI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56" s="26"/>
      <c r="W56" s="26"/>
      <c r="X56" s="26"/>
    </row>
    <row r="57" customFormat="false" ht="15" hidden="false" customHeight="true" outlineLevel="0" collapsed="false">
      <c r="A57" s="26"/>
      <c r="B57" s="26"/>
      <c r="C57" s="26"/>
      <c r="D57" s="26"/>
      <c r="E57" s="26"/>
      <c r="F57" s="26"/>
      <c r="G57" s="26"/>
      <c r="H57" s="26"/>
      <c r="I57" s="26"/>
      <c r="J57" s="26"/>
      <c r="K57" s="26"/>
      <c r="L57" s="26"/>
      <c r="M57" s="26"/>
      <c r="N57" s="26"/>
      <c r="O57" s="26"/>
      <c r="P57" s="26"/>
      <c r="Q57" s="26"/>
      <c r="R57" s="21"/>
      <c r="S57" s="21"/>
      <c r="T57" s="26"/>
      <c r="U57" s="15" t="str">
        <f aca="false">IFERROR(_xlfn.TEXTJOIN(", ",TRUE(),IF('UI 요소 상세'!G$1:G$500=A57,'UI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57" s="26"/>
      <c r="W57" s="26"/>
      <c r="X57" s="26"/>
    </row>
    <row r="58" customFormat="false" ht="15" hidden="false" customHeight="true" outlineLevel="0" collapsed="false">
      <c r="A58" s="26"/>
      <c r="B58" s="26"/>
      <c r="C58" s="26"/>
      <c r="D58" s="26"/>
      <c r="E58" s="26"/>
      <c r="F58" s="26"/>
      <c r="G58" s="26"/>
      <c r="H58" s="26"/>
      <c r="I58" s="26"/>
      <c r="J58" s="26"/>
      <c r="K58" s="26"/>
      <c r="L58" s="26"/>
      <c r="M58" s="26"/>
      <c r="N58" s="26"/>
      <c r="O58" s="26"/>
      <c r="P58" s="26"/>
      <c r="Q58" s="26"/>
      <c r="R58" s="21"/>
      <c r="S58" s="21"/>
      <c r="T58" s="26"/>
      <c r="U58" s="15" t="str">
        <f aca="false">IFERROR(_xlfn.TEXTJOIN(", ",TRUE(),IF('UI 요소 상세'!G$1:G$500=A58,'UI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58" s="26"/>
      <c r="W58" s="26"/>
      <c r="X58" s="26"/>
    </row>
    <row r="59" customFormat="false" ht="15" hidden="false" customHeight="true" outlineLevel="0" collapsed="false">
      <c r="A59" s="26"/>
      <c r="B59" s="26"/>
      <c r="C59" s="26"/>
      <c r="D59" s="26"/>
      <c r="E59" s="26"/>
      <c r="F59" s="26"/>
      <c r="G59" s="26"/>
      <c r="H59" s="26"/>
      <c r="I59" s="26"/>
      <c r="J59" s="26"/>
      <c r="K59" s="26"/>
      <c r="L59" s="26"/>
      <c r="M59" s="26"/>
      <c r="N59" s="26"/>
      <c r="O59" s="26"/>
      <c r="P59" s="26"/>
      <c r="Q59" s="26"/>
      <c r="R59" s="21"/>
      <c r="S59" s="21"/>
      <c r="T59" s="26"/>
      <c r="U59" s="15" t="str">
        <f aca="false">IFERROR(_xlfn.TEXTJOIN(", ",TRUE(),IF('UI 요소 상세'!G$1:G$500=A59,'UI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59" s="26"/>
      <c r="W59" s="26"/>
      <c r="X59" s="26"/>
    </row>
    <row r="60" customFormat="false" ht="15" hidden="false" customHeight="true" outlineLevel="0" collapsed="false">
      <c r="A60" s="26"/>
      <c r="B60" s="26"/>
      <c r="C60" s="26"/>
      <c r="D60" s="26"/>
      <c r="E60" s="26"/>
      <c r="F60" s="26"/>
      <c r="G60" s="26"/>
      <c r="H60" s="26"/>
      <c r="I60" s="26"/>
      <c r="J60" s="26"/>
      <c r="K60" s="26"/>
      <c r="L60" s="26"/>
      <c r="M60" s="26"/>
      <c r="N60" s="26"/>
      <c r="O60" s="26"/>
      <c r="P60" s="26"/>
      <c r="Q60" s="26"/>
      <c r="R60" s="21"/>
      <c r="S60" s="21"/>
      <c r="T60" s="26"/>
      <c r="U60" s="15" t="str">
        <f aca="false">IFERROR(_xlfn.TEXTJOIN(", ",TRUE(),IF('UI 요소 상세'!G$1:G$500=A60,'UI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60" s="26"/>
      <c r="W60" s="26"/>
      <c r="X60" s="26"/>
    </row>
    <row r="61" customFormat="false" ht="15" hidden="false" customHeight="true" outlineLevel="0" collapsed="false">
      <c r="A61" s="26"/>
      <c r="B61" s="26"/>
      <c r="C61" s="26"/>
      <c r="D61" s="26"/>
      <c r="E61" s="26"/>
      <c r="F61" s="26"/>
      <c r="G61" s="26"/>
      <c r="H61" s="26"/>
      <c r="I61" s="26"/>
      <c r="J61" s="26"/>
      <c r="K61" s="26"/>
      <c r="L61" s="26"/>
      <c r="M61" s="26"/>
      <c r="N61" s="26"/>
      <c r="O61" s="26"/>
      <c r="P61" s="26"/>
      <c r="Q61" s="26"/>
      <c r="R61" s="21"/>
      <c r="S61" s="21"/>
      <c r="T61" s="26"/>
      <c r="U61" s="15" t="str">
        <f aca="false">IFERROR(_xlfn.TEXTJOIN(", ",TRUE(),IF('UI 요소 상세'!G$1:G$500=A61,'UI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61" s="26"/>
      <c r="W61" s="26"/>
      <c r="X61" s="26"/>
    </row>
    <row r="62" customFormat="false" ht="15" hidden="false" customHeight="true" outlineLevel="0" collapsed="false">
      <c r="A62" s="26"/>
      <c r="B62" s="26"/>
      <c r="C62" s="26"/>
      <c r="D62" s="26"/>
      <c r="E62" s="26"/>
      <c r="F62" s="26"/>
      <c r="G62" s="26"/>
      <c r="H62" s="26"/>
      <c r="I62" s="26"/>
      <c r="J62" s="26"/>
      <c r="K62" s="26"/>
      <c r="L62" s="26"/>
      <c r="M62" s="26"/>
      <c r="N62" s="26"/>
      <c r="O62" s="26"/>
      <c r="P62" s="26"/>
      <c r="Q62" s="26"/>
      <c r="R62" s="21"/>
      <c r="S62" s="21"/>
      <c r="T62" s="26"/>
      <c r="U62" s="15" t="str">
        <f aca="false">IFERROR(_xlfn.TEXTJOIN(", ",TRUE(),IF('UI 요소 상세'!G$1:G$500=A62,'UI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62" s="26"/>
      <c r="W62" s="26"/>
      <c r="X62" s="26"/>
    </row>
    <row r="63" customFormat="false" ht="15" hidden="false" customHeight="true" outlineLevel="0" collapsed="false">
      <c r="A63" s="26"/>
      <c r="B63" s="26"/>
      <c r="C63" s="26"/>
      <c r="D63" s="26"/>
      <c r="E63" s="26"/>
      <c r="F63" s="26"/>
      <c r="G63" s="26"/>
      <c r="H63" s="26"/>
      <c r="I63" s="26"/>
      <c r="J63" s="26"/>
      <c r="K63" s="26"/>
      <c r="L63" s="26"/>
      <c r="M63" s="26"/>
      <c r="N63" s="26"/>
      <c r="O63" s="26"/>
      <c r="P63" s="26"/>
      <c r="Q63" s="26"/>
      <c r="R63" s="21"/>
      <c r="S63" s="21"/>
      <c r="T63" s="26"/>
      <c r="U63" s="15" t="str">
        <f aca="false">IFERROR(_xlfn.TEXTJOIN(", ",TRUE(),IF('UI 요소 상세'!G$1:G$500=A63,'UI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63" s="26"/>
      <c r="W63" s="26"/>
      <c r="X63" s="26"/>
    </row>
    <row r="64" customFormat="false" ht="15" hidden="false" customHeight="true" outlineLevel="0" collapsed="false">
      <c r="A64" s="26"/>
      <c r="B64" s="26"/>
      <c r="C64" s="26"/>
      <c r="D64" s="26"/>
      <c r="E64" s="26"/>
      <c r="F64" s="26"/>
      <c r="G64" s="26"/>
      <c r="H64" s="26"/>
      <c r="I64" s="26"/>
      <c r="J64" s="26"/>
      <c r="K64" s="26"/>
      <c r="L64" s="26"/>
      <c r="M64" s="26"/>
      <c r="N64" s="26"/>
      <c r="O64" s="26"/>
      <c r="P64" s="26"/>
      <c r="Q64" s="26"/>
      <c r="R64" s="21"/>
      <c r="S64" s="21"/>
      <c r="T64" s="26"/>
      <c r="U64" s="15" t="str">
        <f aca="false">IFERROR(_xlfn.TEXTJOIN(", ",TRUE(),IF('UI 요소 상세'!G$1:G$500=A64,'UI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64" s="26"/>
      <c r="W64" s="26"/>
      <c r="X64" s="26"/>
    </row>
    <row r="65" customFormat="false" ht="15" hidden="false" customHeight="true" outlineLevel="0" collapsed="false">
      <c r="A65" s="26"/>
      <c r="B65" s="26"/>
      <c r="C65" s="26"/>
      <c r="D65" s="26"/>
      <c r="E65" s="26"/>
      <c r="F65" s="26"/>
      <c r="G65" s="26"/>
      <c r="H65" s="26"/>
      <c r="I65" s="26"/>
      <c r="J65" s="26"/>
      <c r="K65" s="26"/>
      <c r="L65" s="26"/>
      <c r="M65" s="26"/>
      <c r="N65" s="26"/>
      <c r="O65" s="26"/>
      <c r="P65" s="26"/>
      <c r="Q65" s="26"/>
      <c r="R65" s="21"/>
      <c r="S65" s="21"/>
      <c r="T65" s="26"/>
      <c r="U65" s="15" t="str">
        <f aca="false">IFERROR(_xlfn.TEXTJOIN(", ",TRUE(),IF('UI 요소 상세'!G$1:G$500=A65,'UI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65" s="26"/>
      <c r="W65" s="26"/>
      <c r="X65" s="26"/>
    </row>
    <row r="66" customFormat="false" ht="15" hidden="false" customHeight="true" outlineLevel="0" collapsed="false">
      <c r="A66" s="26"/>
      <c r="B66" s="26"/>
      <c r="C66" s="26"/>
      <c r="D66" s="26"/>
      <c r="E66" s="26"/>
      <c r="F66" s="26"/>
      <c r="G66" s="26"/>
      <c r="H66" s="26"/>
      <c r="I66" s="26"/>
      <c r="J66" s="26"/>
      <c r="K66" s="26"/>
      <c r="L66" s="26"/>
      <c r="M66" s="26"/>
      <c r="N66" s="26"/>
      <c r="O66" s="26"/>
      <c r="P66" s="26"/>
      <c r="Q66" s="26"/>
      <c r="R66" s="21"/>
      <c r="S66" s="21"/>
      <c r="T66" s="26"/>
      <c r="U66" s="15" t="str">
        <f aca="false">IFERROR(_xlfn.TEXTJOIN(", ",TRUE(),IF('UI 요소 상세'!G$1:G$500=A66,'UI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66" s="26"/>
      <c r="W66" s="26"/>
      <c r="X66" s="26"/>
    </row>
    <row r="67" customFormat="false" ht="15" hidden="false" customHeight="true" outlineLevel="0" collapsed="false">
      <c r="A67" s="26"/>
      <c r="B67" s="26"/>
      <c r="C67" s="26"/>
      <c r="D67" s="26"/>
      <c r="E67" s="26"/>
      <c r="F67" s="26"/>
      <c r="G67" s="26"/>
      <c r="H67" s="26"/>
      <c r="I67" s="26"/>
      <c r="J67" s="26"/>
      <c r="K67" s="26"/>
      <c r="L67" s="26"/>
      <c r="M67" s="26"/>
      <c r="N67" s="26"/>
      <c r="O67" s="26"/>
      <c r="P67" s="26"/>
      <c r="Q67" s="26"/>
      <c r="R67" s="21"/>
      <c r="S67" s="21"/>
      <c r="T67" s="26"/>
      <c r="U67" s="15" t="str">
        <f aca="false">IFERROR(_xlfn.TEXTJOIN(", ",TRUE(),IF('UI 요소 상세'!G$1:G$500=A67,'UI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67" s="26"/>
      <c r="W67" s="26"/>
      <c r="X67" s="26"/>
    </row>
    <row r="68" customFormat="false" ht="15" hidden="false" customHeight="true" outlineLevel="0" collapsed="false">
      <c r="A68" s="26"/>
      <c r="B68" s="26"/>
      <c r="C68" s="26"/>
      <c r="D68" s="26"/>
      <c r="E68" s="26"/>
      <c r="F68" s="26"/>
      <c r="G68" s="26"/>
      <c r="H68" s="26"/>
      <c r="I68" s="26"/>
      <c r="J68" s="26"/>
      <c r="K68" s="26"/>
      <c r="L68" s="26"/>
      <c r="M68" s="26"/>
      <c r="N68" s="26"/>
      <c r="O68" s="26"/>
      <c r="P68" s="26"/>
      <c r="Q68" s="26"/>
      <c r="R68" s="21"/>
      <c r="S68" s="21"/>
      <c r="T68" s="26"/>
      <c r="U68" s="15" t="str">
        <f aca="false">IFERROR(_xlfn.TEXTJOIN(", ",TRUE(),IF('UI 요소 상세'!G$1:G$500=A68,'UI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68" s="26"/>
      <c r="W68" s="26"/>
      <c r="X68" s="26"/>
    </row>
    <row r="69" customFormat="false" ht="15" hidden="false" customHeight="true" outlineLevel="0" collapsed="false">
      <c r="A69" s="26"/>
      <c r="B69" s="26"/>
      <c r="C69" s="26"/>
      <c r="D69" s="26"/>
      <c r="E69" s="26"/>
      <c r="F69" s="26"/>
      <c r="G69" s="26"/>
      <c r="H69" s="26"/>
      <c r="I69" s="26"/>
      <c r="J69" s="26"/>
      <c r="K69" s="26"/>
      <c r="L69" s="26"/>
      <c r="M69" s="26"/>
      <c r="N69" s="26"/>
      <c r="O69" s="26"/>
      <c r="P69" s="26"/>
      <c r="Q69" s="26"/>
      <c r="R69" s="21"/>
      <c r="S69" s="21"/>
      <c r="T69" s="26"/>
      <c r="U69" s="15" t="str">
        <f aca="false">IFERROR(_xlfn.TEXTJOIN(", ",TRUE(),IF('UI 요소 상세'!G$1:G$500=A69,'UI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69" s="26"/>
      <c r="W69" s="26"/>
      <c r="X69" s="26"/>
    </row>
    <row r="70" customFormat="false" ht="15" hidden="false" customHeight="true" outlineLevel="0" collapsed="false">
      <c r="A70" s="26"/>
      <c r="B70" s="26"/>
      <c r="C70" s="26"/>
      <c r="D70" s="26"/>
      <c r="E70" s="26"/>
      <c r="F70" s="26"/>
      <c r="G70" s="26"/>
      <c r="H70" s="26"/>
      <c r="I70" s="26"/>
      <c r="J70" s="26"/>
      <c r="K70" s="26"/>
      <c r="L70" s="26"/>
      <c r="M70" s="26"/>
      <c r="N70" s="26"/>
      <c r="O70" s="26"/>
      <c r="P70" s="26"/>
      <c r="Q70" s="26"/>
      <c r="R70" s="21"/>
      <c r="S70" s="21"/>
      <c r="T70" s="26"/>
      <c r="U70" s="15" t="str">
        <f aca="false">IFERROR(_xlfn.TEXTJOIN(", ",TRUE(),IF('UI 요소 상세'!G$1:G$500=A70,'UI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70" s="26"/>
      <c r="W70" s="26"/>
      <c r="X70" s="26"/>
    </row>
    <row r="71" customFormat="false" ht="15" hidden="false" customHeight="true" outlineLevel="0" collapsed="false">
      <c r="A71" s="26"/>
      <c r="B71" s="26"/>
      <c r="C71" s="26"/>
      <c r="D71" s="26"/>
      <c r="E71" s="26"/>
      <c r="F71" s="26"/>
      <c r="G71" s="26"/>
      <c r="H71" s="26"/>
      <c r="I71" s="26"/>
      <c r="J71" s="26"/>
      <c r="K71" s="26"/>
      <c r="L71" s="26"/>
      <c r="M71" s="26"/>
      <c r="N71" s="26"/>
      <c r="O71" s="26"/>
      <c r="P71" s="26"/>
      <c r="Q71" s="26"/>
      <c r="R71" s="21"/>
      <c r="S71" s="21"/>
      <c r="T71" s="26"/>
      <c r="U71" s="15" t="str">
        <f aca="false">IFERROR(_xlfn.TEXTJOIN(", ",TRUE(),IF('UI 요소 상세'!G$1:G$500=A71,'UI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71" s="26"/>
      <c r="W71" s="26"/>
      <c r="X71" s="26"/>
    </row>
    <row r="72" customFormat="false" ht="15" hidden="false" customHeight="true" outlineLevel="0" collapsed="false">
      <c r="A72" s="26"/>
      <c r="B72" s="26"/>
      <c r="C72" s="26"/>
      <c r="D72" s="26"/>
      <c r="E72" s="26"/>
      <c r="F72" s="26"/>
      <c r="G72" s="26"/>
      <c r="H72" s="26"/>
      <c r="I72" s="26"/>
      <c r="J72" s="26"/>
      <c r="K72" s="26"/>
      <c r="L72" s="26"/>
      <c r="M72" s="26"/>
      <c r="N72" s="26"/>
      <c r="O72" s="26"/>
      <c r="P72" s="26"/>
      <c r="Q72" s="26"/>
      <c r="R72" s="21"/>
      <c r="S72" s="21"/>
      <c r="T72" s="26"/>
      <c r="U72" s="15" t="str">
        <f aca="false">IFERROR(_xlfn.TEXTJOIN(", ",TRUE(),IF('UI 요소 상세'!G$1:G$500=A72,'UI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72" s="26"/>
      <c r="W72" s="26"/>
      <c r="X72" s="26"/>
    </row>
    <row r="73" customFormat="false" ht="15" hidden="false" customHeight="true" outlineLevel="0" collapsed="false">
      <c r="A73" s="26"/>
      <c r="B73" s="26"/>
      <c r="C73" s="26"/>
      <c r="D73" s="26"/>
      <c r="E73" s="26"/>
      <c r="F73" s="26"/>
      <c r="G73" s="26"/>
      <c r="H73" s="26"/>
      <c r="I73" s="26"/>
      <c r="J73" s="26"/>
      <c r="K73" s="26"/>
      <c r="L73" s="26"/>
      <c r="M73" s="26"/>
      <c r="N73" s="26"/>
      <c r="O73" s="26"/>
      <c r="P73" s="26"/>
      <c r="Q73" s="26"/>
      <c r="R73" s="21"/>
      <c r="S73" s="21"/>
      <c r="T73" s="26"/>
      <c r="U73" s="15" t="str">
        <f aca="false">IFERROR(_xlfn.TEXTJOIN(", ",TRUE(),IF('UI 요소 상세'!G$1:G$500=A73,'UI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73" s="26"/>
      <c r="W73" s="26"/>
      <c r="X73" s="26"/>
    </row>
    <row r="74" customFormat="false" ht="15" hidden="false" customHeight="true" outlineLevel="0" collapsed="false">
      <c r="A74" s="26"/>
      <c r="B74" s="26"/>
      <c r="C74" s="26"/>
      <c r="D74" s="26"/>
      <c r="E74" s="26"/>
      <c r="F74" s="26"/>
      <c r="G74" s="26"/>
      <c r="H74" s="26"/>
      <c r="I74" s="26"/>
      <c r="J74" s="26"/>
      <c r="K74" s="26"/>
      <c r="L74" s="26"/>
      <c r="M74" s="26"/>
      <c r="N74" s="26"/>
      <c r="O74" s="26"/>
      <c r="P74" s="26"/>
      <c r="Q74" s="26"/>
      <c r="R74" s="21"/>
      <c r="S74" s="21"/>
      <c r="T74" s="26"/>
      <c r="U74" s="15" t="str">
        <f aca="false">IFERROR(_xlfn.TEXTJOIN(", ",TRUE(),IF('UI 요소 상세'!G$1:G$500=A74,'UI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74" s="26"/>
      <c r="W74" s="26"/>
      <c r="X74" s="26"/>
    </row>
    <row r="75" customFormat="false" ht="15" hidden="false" customHeight="true" outlineLevel="0" collapsed="false">
      <c r="A75" s="26"/>
      <c r="B75" s="26"/>
      <c r="C75" s="26"/>
      <c r="D75" s="26"/>
      <c r="E75" s="26"/>
      <c r="F75" s="26"/>
      <c r="G75" s="26"/>
      <c r="H75" s="26"/>
      <c r="I75" s="26"/>
      <c r="J75" s="26"/>
      <c r="K75" s="26"/>
      <c r="L75" s="26"/>
      <c r="M75" s="26"/>
      <c r="N75" s="26"/>
      <c r="O75" s="26"/>
      <c r="P75" s="26"/>
      <c r="Q75" s="26"/>
      <c r="R75" s="21"/>
      <c r="S75" s="21"/>
      <c r="T75" s="26"/>
      <c r="U75" s="15" t="str">
        <f aca="false">IFERROR(_xlfn.TEXTJOIN(", ",TRUE(),IF('UI 요소 상세'!G$1:G$500=A75,'UI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75" s="26"/>
      <c r="W75" s="26"/>
      <c r="X75" s="26"/>
    </row>
    <row r="76" customFormat="false" ht="15" hidden="false" customHeight="true" outlineLevel="0" collapsed="false">
      <c r="A76" s="26"/>
      <c r="B76" s="26"/>
      <c r="C76" s="26"/>
      <c r="D76" s="26"/>
      <c r="E76" s="26"/>
      <c r="F76" s="26"/>
      <c r="G76" s="26"/>
      <c r="H76" s="26"/>
      <c r="I76" s="26"/>
      <c r="J76" s="26"/>
      <c r="K76" s="26"/>
      <c r="L76" s="26"/>
      <c r="M76" s="26"/>
      <c r="N76" s="26"/>
      <c r="O76" s="26"/>
      <c r="P76" s="26"/>
      <c r="Q76" s="26"/>
      <c r="R76" s="21"/>
      <c r="S76" s="21"/>
      <c r="T76" s="26"/>
      <c r="U76" s="15" t="str">
        <f aca="false">IFERROR(_xlfn.TEXTJOIN(", ",TRUE(),IF('UI 요소 상세'!G$1:G$500=A76,'UI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76" s="26"/>
      <c r="W76" s="26"/>
      <c r="X76" s="26"/>
    </row>
    <row r="77" customFormat="false" ht="15" hidden="false" customHeight="true" outlineLevel="0" collapsed="false">
      <c r="A77" s="26"/>
      <c r="B77" s="26"/>
      <c r="C77" s="26"/>
      <c r="D77" s="26"/>
      <c r="E77" s="26"/>
      <c r="F77" s="26"/>
      <c r="G77" s="26"/>
      <c r="H77" s="26"/>
      <c r="I77" s="26"/>
      <c r="J77" s="26"/>
      <c r="K77" s="26"/>
      <c r="L77" s="26"/>
      <c r="M77" s="26"/>
      <c r="N77" s="26"/>
      <c r="O77" s="26"/>
      <c r="P77" s="26"/>
      <c r="Q77" s="26"/>
      <c r="R77" s="21"/>
      <c r="S77" s="21"/>
      <c r="T77" s="26"/>
      <c r="U77" s="15" t="str">
        <f aca="false">IFERROR(_xlfn.TEXTJOIN(", ",TRUE(),IF('UI 요소 상세'!G$1:G$500=A77,'UI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77" s="26"/>
      <c r="W77" s="26"/>
      <c r="X77" s="26"/>
    </row>
    <row r="78" customFormat="false" ht="15" hidden="false" customHeight="true" outlineLevel="0" collapsed="false">
      <c r="A78" s="26"/>
      <c r="B78" s="26"/>
      <c r="C78" s="26"/>
      <c r="D78" s="26"/>
      <c r="E78" s="26"/>
      <c r="F78" s="26"/>
      <c r="G78" s="26"/>
      <c r="H78" s="26"/>
      <c r="I78" s="26"/>
      <c r="J78" s="26"/>
      <c r="K78" s="26"/>
      <c r="L78" s="26"/>
      <c r="M78" s="26"/>
      <c r="N78" s="26"/>
      <c r="O78" s="26"/>
      <c r="P78" s="26"/>
      <c r="Q78" s="26"/>
      <c r="R78" s="21"/>
      <c r="S78" s="21"/>
      <c r="T78" s="26"/>
      <c r="U78" s="15" t="str">
        <f aca="false">IFERROR(_xlfn.TEXTJOIN(", ",TRUE(),IF('UI 요소 상세'!G$1:G$500=A78,'UI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78" s="26"/>
      <c r="W78" s="26"/>
      <c r="X78" s="26"/>
    </row>
    <row r="79" customFormat="false" ht="15" hidden="false" customHeight="true" outlineLevel="0" collapsed="false">
      <c r="A79" s="26"/>
      <c r="B79" s="26"/>
      <c r="C79" s="26"/>
      <c r="D79" s="26"/>
      <c r="E79" s="26"/>
      <c r="F79" s="26"/>
      <c r="G79" s="26"/>
      <c r="H79" s="26"/>
      <c r="I79" s="26"/>
      <c r="J79" s="26"/>
      <c r="K79" s="26"/>
      <c r="L79" s="26"/>
      <c r="M79" s="26"/>
      <c r="N79" s="26"/>
      <c r="O79" s="26"/>
      <c r="P79" s="26"/>
      <c r="Q79" s="26"/>
      <c r="R79" s="21"/>
      <c r="S79" s="21"/>
      <c r="T79" s="26"/>
      <c r="U79" s="15" t="str">
        <f aca="false">IFERROR(_xlfn.TEXTJOIN(", ",TRUE(),IF('UI 요소 상세'!G$1:G$500=A79,'UI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79" s="26"/>
      <c r="W79" s="26"/>
      <c r="X79" s="26"/>
    </row>
    <row r="80" customFormat="false" ht="15" hidden="false" customHeight="true" outlineLevel="0" collapsed="false">
      <c r="A80" s="26"/>
      <c r="B80" s="26"/>
      <c r="C80" s="26"/>
      <c r="D80" s="26"/>
      <c r="E80" s="26"/>
      <c r="F80" s="26"/>
      <c r="G80" s="26"/>
      <c r="H80" s="26"/>
      <c r="I80" s="26"/>
      <c r="J80" s="26"/>
      <c r="K80" s="26"/>
      <c r="L80" s="26"/>
      <c r="M80" s="26"/>
      <c r="N80" s="26"/>
      <c r="O80" s="26"/>
      <c r="P80" s="26"/>
      <c r="Q80" s="26"/>
      <c r="R80" s="21"/>
      <c r="S80" s="21"/>
      <c r="T80" s="26"/>
      <c r="U80" s="15" t="str">
        <f aca="false">IFERROR(_xlfn.TEXTJOIN(", ",TRUE(),IF('UI 요소 상세'!G$1:G$500=A80,'UI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80" s="26"/>
      <c r="W80" s="26"/>
      <c r="X80" s="26"/>
    </row>
    <row r="81" customFormat="false" ht="15" hidden="false" customHeight="true" outlineLevel="0" collapsed="false">
      <c r="A81" s="26"/>
      <c r="B81" s="26"/>
      <c r="C81" s="26"/>
      <c r="D81" s="26"/>
      <c r="E81" s="26"/>
      <c r="F81" s="26"/>
      <c r="G81" s="26"/>
      <c r="H81" s="26"/>
      <c r="I81" s="26"/>
      <c r="J81" s="26"/>
      <c r="K81" s="26"/>
      <c r="L81" s="26"/>
      <c r="M81" s="26"/>
      <c r="N81" s="26"/>
      <c r="O81" s="26"/>
      <c r="P81" s="26"/>
      <c r="Q81" s="26"/>
      <c r="R81" s="21"/>
      <c r="S81" s="21"/>
      <c r="T81" s="26"/>
      <c r="U81" s="15" t="str">
        <f aca="false">IFERROR(_xlfn.TEXTJOIN(", ",TRUE(),IF('UI 요소 상세'!G$1:G$500=A81,'UI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81" s="26"/>
      <c r="W81" s="26"/>
      <c r="X81" s="26"/>
    </row>
    <row r="82" customFormat="false" ht="15" hidden="false" customHeight="true" outlineLevel="0" collapsed="false">
      <c r="A82" s="26"/>
      <c r="B82" s="26"/>
      <c r="C82" s="26"/>
      <c r="D82" s="26"/>
      <c r="E82" s="26"/>
      <c r="F82" s="26"/>
      <c r="G82" s="26"/>
      <c r="H82" s="26"/>
      <c r="I82" s="26"/>
      <c r="J82" s="26"/>
      <c r="K82" s="26"/>
      <c r="L82" s="26"/>
      <c r="M82" s="26"/>
      <c r="N82" s="26"/>
      <c r="O82" s="26"/>
      <c r="P82" s="26"/>
      <c r="Q82" s="26"/>
      <c r="R82" s="21"/>
      <c r="S82" s="21"/>
      <c r="T82" s="26"/>
      <c r="U82" s="15" t="str">
        <f aca="false">IFERROR(_xlfn.TEXTJOIN(", ",TRUE(),IF('UI 요소 상세'!G$1:G$500=A82,'UI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82" s="26"/>
      <c r="W82" s="26"/>
      <c r="X82" s="26"/>
    </row>
    <row r="83" customFormat="false" ht="15" hidden="false" customHeight="true" outlineLevel="0" collapsed="false">
      <c r="A83" s="26"/>
      <c r="B83" s="26"/>
      <c r="C83" s="26"/>
      <c r="D83" s="26"/>
      <c r="E83" s="26"/>
      <c r="F83" s="26"/>
      <c r="G83" s="26"/>
      <c r="H83" s="26"/>
      <c r="I83" s="26"/>
      <c r="J83" s="26"/>
      <c r="K83" s="26"/>
      <c r="L83" s="26"/>
      <c r="M83" s="26"/>
      <c r="N83" s="26"/>
      <c r="O83" s="26"/>
      <c r="P83" s="26"/>
      <c r="Q83" s="26"/>
      <c r="R83" s="21"/>
      <c r="S83" s="21"/>
      <c r="T83" s="26"/>
      <c r="U83" s="15" t="str">
        <f aca="false">IFERROR(_xlfn.TEXTJOIN(", ",TRUE(),IF('UI 요소 상세'!G$1:G$500=A83,'UI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83" s="26"/>
      <c r="W83" s="26"/>
      <c r="X83" s="26"/>
    </row>
    <row r="84" customFormat="false" ht="15" hidden="false" customHeight="true" outlineLevel="0" collapsed="false">
      <c r="A84" s="26"/>
      <c r="B84" s="26"/>
      <c r="C84" s="26"/>
      <c r="D84" s="26"/>
      <c r="E84" s="26"/>
      <c r="F84" s="26"/>
      <c r="G84" s="26"/>
      <c r="H84" s="26"/>
      <c r="I84" s="26"/>
      <c r="J84" s="26"/>
      <c r="K84" s="26"/>
      <c r="L84" s="26"/>
      <c r="M84" s="26"/>
      <c r="N84" s="26"/>
      <c r="O84" s="26"/>
      <c r="P84" s="26"/>
      <c r="Q84" s="26"/>
      <c r="R84" s="21"/>
      <c r="S84" s="21"/>
      <c r="T84" s="26"/>
      <c r="U84" s="15" t="str">
        <f aca="false">IFERROR(_xlfn.TEXTJOIN(", ",TRUE(),IF('UI 요소 상세'!G$1:G$500=A84,'UI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84" s="26"/>
      <c r="W84" s="26"/>
      <c r="X84" s="26"/>
    </row>
    <row r="85" customFormat="false" ht="15" hidden="false" customHeight="true" outlineLevel="0" collapsed="false">
      <c r="A85" s="26"/>
      <c r="B85" s="26"/>
      <c r="C85" s="26"/>
      <c r="D85" s="26"/>
      <c r="E85" s="26"/>
      <c r="F85" s="26"/>
      <c r="G85" s="26"/>
      <c r="H85" s="26"/>
      <c r="I85" s="26"/>
      <c r="J85" s="26"/>
      <c r="K85" s="26"/>
      <c r="L85" s="26"/>
      <c r="M85" s="26"/>
      <c r="N85" s="26"/>
      <c r="O85" s="26"/>
      <c r="P85" s="26"/>
      <c r="Q85" s="26"/>
      <c r="R85" s="21"/>
      <c r="S85" s="21"/>
      <c r="T85" s="26"/>
      <c r="U85" s="15" t="str">
        <f aca="false">IFERROR(_xlfn.TEXTJOIN(", ",TRUE(),IF('UI 요소 상세'!G$1:G$500=A85,'UI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85" s="26"/>
      <c r="W85" s="26"/>
      <c r="X85" s="26"/>
    </row>
    <row r="86" customFormat="false" ht="15" hidden="false" customHeight="true" outlineLevel="0" collapsed="false">
      <c r="A86" s="26"/>
      <c r="B86" s="26"/>
      <c r="C86" s="26"/>
      <c r="D86" s="26"/>
      <c r="E86" s="26"/>
      <c r="F86" s="26"/>
      <c r="G86" s="26"/>
      <c r="H86" s="26"/>
      <c r="I86" s="26"/>
      <c r="J86" s="26"/>
      <c r="K86" s="26"/>
      <c r="L86" s="26"/>
      <c r="M86" s="26"/>
      <c r="N86" s="26"/>
      <c r="O86" s="26"/>
      <c r="P86" s="26"/>
      <c r="Q86" s="26"/>
      <c r="R86" s="21"/>
      <c r="S86" s="21"/>
      <c r="T86" s="26"/>
      <c r="U86" s="15" t="str">
        <f aca="false">IFERROR(_xlfn.TEXTJOIN(", ",TRUE(),IF('UI 요소 상세'!G$1:G$500=A86,'UI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86" s="26"/>
      <c r="W86" s="26"/>
      <c r="X86" s="26"/>
    </row>
    <row r="87" customFormat="false" ht="15" hidden="false" customHeight="true" outlineLevel="0" collapsed="false">
      <c r="A87" s="26"/>
      <c r="B87" s="26"/>
      <c r="C87" s="26"/>
      <c r="D87" s="26"/>
      <c r="E87" s="26"/>
      <c r="F87" s="26"/>
      <c r="G87" s="26"/>
      <c r="H87" s="26"/>
      <c r="I87" s="26"/>
      <c r="J87" s="26"/>
      <c r="K87" s="26"/>
      <c r="L87" s="26"/>
      <c r="M87" s="26"/>
      <c r="N87" s="26"/>
      <c r="O87" s="26"/>
      <c r="P87" s="26"/>
      <c r="Q87" s="26"/>
      <c r="R87" s="21"/>
      <c r="S87" s="21"/>
      <c r="T87" s="26"/>
      <c r="U87" s="15" t="str">
        <f aca="false">IFERROR(_xlfn.TEXTJOIN(", ",TRUE(),IF('UI 요소 상세'!G$1:G$500=A87,'UI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87" s="26"/>
      <c r="W87" s="26"/>
      <c r="X87" s="26"/>
    </row>
    <row r="88" customFormat="false" ht="15" hidden="false" customHeight="true" outlineLevel="0" collapsed="false">
      <c r="A88" s="26"/>
      <c r="B88" s="26"/>
      <c r="C88" s="26"/>
      <c r="D88" s="26"/>
      <c r="E88" s="26"/>
      <c r="F88" s="26"/>
      <c r="G88" s="26"/>
      <c r="H88" s="26"/>
      <c r="I88" s="26"/>
      <c r="J88" s="26"/>
      <c r="K88" s="26"/>
      <c r="L88" s="26"/>
      <c r="M88" s="26"/>
      <c r="N88" s="26"/>
      <c r="O88" s="26"/>
      <c r="P88" s="26"/>
      <c r="Q88" s="26"/>
      <c r="R88" s="21"/>
      <c r="S88" s="21"/>
      <c r="T88" s="26"/>
      <c r="U88" s="15" t="str">
        <f aca="false">IFERROR(_xlfn.TEXTJOIN(", ",TRUE(),IF('UI 요소 상세'!G$1:G$500=A88,'UI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88" s="26"/>
      <c r="W88" s="26"/>
      <c r="X88" s="26"/>
    </row>
    <row r="89" customFormat="false" ht="15" hidden="false" customHeight="true" outlineLevel="0" collapsed="false">
      <c r="A89" s="26"/>
      <c r="B89" s="26"/>
      <c r="C89" s="26"/>
      <c r="D89" s="26"/>
      <c r="E89" s="26"/>
      <c r="F89" s="26"/>
      <c r="G89" s="26"/>
      <c r="H89" s="26"/>
      <c r="I89" s="26"/>
      <c r="J89" s="26"/>
      <c r="K89" s="26"/>
      <c r="L89" s="26"/>
      <c r="M89" s="26"/>
      <c r="N89" s="26"/>
      <c r="O89" s="26"/>
      <c r="P89" s="26"/>
      <c r="Q89" s="26"/>
      <c r="R89" s="21"/>
      <c r="S89" s="21"/>
      <c r="T89" s="26"/>
      <c r="U89" s="15" t="str">
        <f aca="false">IFERROR(_xlfn.TEXTJOIN(", ",TRUE(),IF('UI 요소 상세'!G$1:G$500=A89,'UI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89" s="26"/>
      <c r="W89" s="26"/>
      <c r="X89" s="26"/>
    </row>
    <row r="90" customFormat="false" ht="15" hidden="false" customHeight="true" outlineLevel="0" collapsed="false">
      <c r="A90" s="26"/>
      <c r="B90" s="26"/>
      <c r="C90" s="26"/>
      <c r="D90" s="26"/>
      <c r="E90" s="26"/>
      <c r="F90" s="26"/>
      <c r="G90" s="26"/>
      <c r="H90" s="26"/>
      <c r="I90" s="26"/>
      <c r="J90" s="26"/>
      <c r="K90" s="26"/>
      <c r="L90" s="26"/>
      <c r="M90" s="26"/>
      <c r="N90" s="26"/>
      <c r="O90" s="26"/>
      <c r="P90" s="26"/>
      <c r="Q90" s="26"/>
      <c r="R90" s="21"/>
      <c r="S90" s="21"/>
      <c r="T90" s="26"/>
      <c r="U90" s="15" t="str">
        <f aca="false">IFERROR(_xlfn.TEXTJOIN(", ",TRUE(),IF('UI 요소 상세'!G$1:G$500=A90,'UI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90" s="26"/>
      <c r="W90" s="26"/>
      <c r="X90" s="26"/>
    </row>
    <row r="91" customFormat="false" ht="15" hidden="false" customHeight="true" outlineLevel="0" collapsed="false">
      <c r="A91" s="26"/>
      <c r="B91" s="26"/>
      <c r="C91" s="26"/>
      <c r="D91" s="26"/>
      <c r="E91" s="26"/>
      <c r="F91" s="26"/>
      <c r="G91" s="26"/>
      <c r="H91" s="26"/>
      <c r="I91" s="26"/>
      <c r="J91" s="26"/>
      <c r="K91" s="26"/>
      <c r="L91" s="26"/>
      <c r="M91" s="26"/>
      <c r="N91" s="26"/>
      <c r="O91" s="26"/>
      <c r="P91" s="26"/>
      <c r="Q91" s="26"/>
      <c r="R91" s="21"/>
      <c r="S91" s="21"/>
      <c r="T91" s="26"/>
      <c r="U91" s="15" t="str">
        <f aca="false">IFERROR(_xlfn.TEXTJOIN(", ",TRUE(),IF('UI 요소 상세'!G$1:G$500=A91,'UI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91" s="26"/>
      <c r="W91" s="26"/>
      <c r="X91" s="26"/>
    </row>
    <row r="92" customFormat="false" ht="15" hidden="false" customHeight="true" outlineLevel="0" collapsed="false">
      <c r="A92" s="26"/>
      <c r="B92" s="26"/>
      <c r="C92" s="26"/>
      <c r="D92" s="26"/>
      <c r="E92" s="26"/>
      <c r="F92" s="26"/>
      <c r="G92" s="26"/>
      <c r="H92" s="26"/>
      <c r="I92" s="26"/>
      <c r="J92" s="26"/>
      <c r="K92" s="26"/>
      <c r="L92" s="26"/>
      <c r="M92" s="26"/>
      <c r="N92" s="26"/>
      <c r="O92" s="26"/>
      <c r="P92" s="26"/>
      <c r="Q92" s="26"/>
      <c r="R92" s="21"/>
      <c r="S92" s="21"/>
      <c r="T92" s="26"/>
      <c r="U92" s="15" t="str">
        <f aca="false">IFERROR(_xlfn.TEXTJOIN(", ",TRUE(),IF('UI 요소 상세'!G$1:G$500=A92,'UI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92" s="26"/>
      <c r="W92" s="26"/>
      <c r="X92" s="26"/>
    </row>
    <row r="93" customFormat="false" ht="15" hidden="false" customHeight="true" outlineLevel="0" collapsed="false">
      <c r="A93" s="26"/>
      <c r="B93" s="26"/>
      <c r="C93" s="26"/>
      <c r="D93" s="26"/>
      <c r="E93" s="26"/>
      <c r="F93" s="26"/>
      <c r="G93" s="26"/>
      <c r="H93" s="26"/>
      <c r="I93" s="26"/>
      <c r="J93" s="26"/>
      <c r="K93" s="26"/>
      <c r="L93" s="26"/>
      <c r="M93" s="26"/>
      <c r="N93" s="26"/>
      <c r="O93" s="26"/>
      <c r="P93" s="26"/>
      <c r="Q93" s="26"/>
      <c r="R93" s="21"/>
      <c r="S93" s="21"/>
      <c r="T93" s="26"/>
      <c r="U93" s="15" t="str">
        <f aca="false">IFERROR(_xlfn.TEXTJOIN(", ",TRUE(),IF('UI 요소 상세'!G$1:G$500=A93,'UI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93" s="26"/>
      <c r="W93" s="26"/>
      <c r="X93" s="26"/>
    </row>
    <row r="94" customFormat="false" ht="15" hidden="false" customHeight="true" outlineLevel="0" collapsed="false">
      <c r="A94" s="26"/>
      <c r="B94" s="26"/>
      <c r="C94" s="26"/>
      <c r="D94" s="26"/>
      <c r="E94" s="26"/>
      <c r="F94" s="26"/>
      <c r="G94" s="26"/>
      <c r="H94" s="26"/>
      <c r="I94" s="26"/>
      <c r="J94" s="26"/>
      <c r="K94" s="26"/>
      <c r="L94" s="26"/>
      <c r="M94" s="26"/>
      <c r="N94" s="26"/>
      <c r="O94" s="26"/>
      <c r="P94" s="26"/>
      <c r="Q94" s="26"/>
      <c r="R94" s="21"/>
      <c r="S94" s="21"/>
      <c r="T94" s="26"/>
      <c r="U94" s="15" t="str">
        <f aca="false">IFERROR(_xlfn.TEXTJOIN(", ",TRUE(),IF('UI 요소 상세'!G$1:G$500=A94,'UI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94" s="26"/>
      <c r="W94" s="26"/>
      <c r="X94" s="26"/>
    </row>
    <row r="95" customFormat="false" ht="15" hidden="false" customHeight="true" outlineLevel="0" collapsed="false">
      <c r="A95" s="26"/>
      <c r="B95" s="26"/>
      <c r="C95" s="26"/>
      <c r="D95" s="26"/>
      <c r="E95" s="26"/>
      <c r="F95" s="26"/>
      <c r="G95" s="26"/>
      <c r="H95" s="26"/>
      <c r="I95" s="26"/>
      <c r="J95" s="26"/>
      <c r="K95" s="26"/>
      <c r="L95" s="26"/>
      <c r="M95" s="26"/>
      <c r="N95" s="26"/>
      <c r="O95" s="26"/>
      <c r="P95" s="26"/>
      <c r="Q95" s="26"/>
      <c r="R95" s="21"/>
      <c r="S95" s="21"/>
      <c r="T95" s="26"/>
      <c r="U95" s="15" t="str">
        <f aca="false">IFERROR(_xlfn.TEXTJOIN(", ",TRUE(),IF('UI 요소 상세'!G$1:G$500=A95,'UI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95" s="26"/>
      <c r="W95" s="26"/>
      <c r="X95" s="26"/>
    </row>
    <row r="96" customFormat="false" ht="15" hidden="false" customHeight="true" outlineLevel="0" collapsed="false">
      <c r="A96" s="26"/>
      <c r="B96" s="26"/>
      <c r="C96" s="26"/>
      <c r="D96" s="26"/>
      <c r="E96" s="26"/>
      <c r="F96" s="26"/>
      <c r="G96" s="26"/>
      <c r="H96" s="26"/>
      <c r="I96" s="26"/>
      <c r="J96" s="26"/>
      <c r="K96" s="26"/>
      <c r="L96" s="26"/>
      <c r="M96" s="26"/>
      <c r="N96" s="26"/>
      <c r="O96" s="26"/>
      <c r="P96" s="26"/>
      <c r="Q96" s="26"/>
      <c r="R96" s="21"/>
      <c r="S96" s="21"/>
      <c r="T96" s="26"/>
      <c r="U96" s="15" t="str">
        <f aca="false">IFERROR(_xlfn.TEXTJOIN(", ",TRUE(),IF('UI 요소 상세'!G$1:G$500=A96,'UI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96" s="26"/>
      <c r="W96" s="26"/>
      <c r="X96" s="26"/>
    </row>
    <row r="97" customFormat="false" ht="15" hidden="false" customHeight="true" outlineLevel="0" collapsed="false">
      <c r="A97" s="26"/>
      <c r="B97" s="26"/>
      <c r="C97" s="26"/>
      <c r="D97" s="26"/>
      <c r="E97" s="26"/>
      <c r="F97" s="26"/>
      <c r="G97" s="26"/>
      <c r="H97" s="26"/>
      <c r="I97" s="26"/>
      <c r="J97" s="26"/>
      <c r="K97" s="26"/>
      <c r="L97" s="26"/>
      <c r="M97" s="26"/>
      <c r="N97" s="26"/>
      <c r="O97" s="26"/>
      <c r="P97" s="26"/>
      <c r="Q97" s="26"/>
      <c r="R97" s="21"/>
      <c r="S97" s="21"/>
      <c r="T97" s="26"/>
      <c r="U97" s="15" t="str">
        <f aca="false">IFERROR(_xlfn.TEXTJOIN(", ",TRUE(),IF('UI 요소 상세'!G$1:G$500=A97,'UI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97" s="26"/>
      <c r="W97" s="26"/>
      <c r="X97" s="26"/>
    </row>
    <row r="98" customFormat="false" ht="15" hidden="false" customHeight="true" outlineLevel="0" collapsed="false">
      <c r="A98" s="26"/>
      <c r="B98" s="26"/>
      <c r="C98" s="26"/>
      <c r="D98" s="26"/>
      <c r="E98" s="26"/>
      <c r="F98" s="26"/>
      <c r="G98" s="26"/>
      <c r="H98" s="26"/>
      <c r="I98" s="26"/>
      <c r="J98" s="26"/>
      <c r="K98" s="26"/>
      <c r="L98" s="26"/>
      <c r="M98" s="26"/>
      <c r="N98" s="26"/>
      <c r="O98" s="26"/>
      <c r="P98" s="26"/>
      <c r="Q98" s="26"/>
      <c r="R98" s="21"/>
      <c r="S98" s="21"/>
      <c r="T98" s="26"/>
      <c r="U98" s="15" t="str">
        <f aca="false">IFERROR(_xlfn.TEXTJOIN(", ",TRUE(),IF('UI 요소 상세'!G$1:G$500=A98,'UI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98" s="26"/>
      <c r="W98" s="26"/>
      <c r="X98" s="26"/>
    </row>
    <row r="99" customFormat="false" ht="15" hidden="false" customHeight="true" outlineLevel="0" collapsed="false">
      <c r="A99" s="26"/>
      <c r="B99" s="26"/>
      <c r="C99" s="26"/>
      <c r="D99" s="26"/>
      <c r="E99" s="26"/>
      <c r="F99" s="26"/>
      <c r="G99" s="26"/>
      <c r="H99" s="26"/>
      <c r="I99" s="26"/>
      <c r="J99" s="26"/>
      <c r="K99" s="26"/>
      <c r="L99" s="26"/>
      <c r="M99" s="26"/>
      <c r="N99" s="26"/>
      <c r="O99" s="26"/>
      <c r="P99" s="26"/>
      <c r="Q99" s="26"/>
      <c r="R99" s="21"/>
      <c r="S99" s="21"/>
      <c r="T99" s="26"/>
      <c r="U99" s="15" t="str">
        <f aca="false">IFERROR(_xlfn.TEXTJOIN(", ",TRUE(),IF('UI 요소 상세'!G$1:G$500=A99,'UI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99" s="26"/>
      <c r="W99" s="26"/>
      <c r="X99" s="26"/>
    </row>
    <row r="100" customFormat="false" ht="15" hidden="false" customHeight="true" outlineLevel="0" collapsed="false">
      <c r="A100" s="26"/>
      <c r="B100" s="26"/>
      <c r="C100" s="26"/>
      <c r="D100" s="26"/>
      <c r="E100" s="26"/>
      <c r="F100" s="26"/>
      <c r="G100" s="26"/>
      <c r="H100" s="26"/>
      <c r="I100" s="26"/>
      <c r="J100" s="26"/>
      <c r="K100" s="26"/>
      <c r="L100" s="26"/>
      <c r="M100" s="26"/>
      <c r="N100" s="26"/>
      <c r="O100" s="26"/>
      <c r="P100" s="26"/>
      <c r="Q100" s="26"/>
      <c r="R100" s="21"/>
      <c r="S100" s="21"/>
      <c r="T100" s="26"/>
      <c r="U100" s="15" t="str">
        <f aca="false">IFERROR(_xlfn.TEXTJOIN(", ",TRUE(),IF('UI 요소 상세'!G$1:G$500=A100,'UI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00" s="26"/>
      <c r="W100" s="26"/>
      <c r="X100" s="26"/>
    </row>
    <row r="101" customFormat="false" ht="15" hidden="false" customHeight="true" outlineLevel="0" collapsed="false">
      <c r="A101" s="26"/>
      <c r="B101" s="26"/>
      <c r="C101" s="26"/>
      <c r="D101" s="26"/>
      <c r="E101" s="26"/>
      <c r="F101" s="26"/>
      <c r="G101" s="26"/>
      <c r="H101" s="26"/>
      <c r="I101" s="26"/>
      <c r="J101" s="26"/>
      <c r="K101" s="26"/>
      <c r="L101" s="26"/>
      <c r="M101" s="26"/>
      <c r="N101" s="26"/>
      <c r="O101" s="26"/>
      <c r="P101" s="26"/>
      <c r="Q101" s="26"/>
      <c r="R101" s="21"/>
      <c r="S101" s="21"/>
      <c r="T101" s="26"/>
      <c r="U101" s="15" t="str">
        <f aca="false">IFERROR(_xlfn.TEXTJOIN(", ",TRUE(),IF('UI 요소 상세'!G$1:G$500=A101,'UI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01" s="26"/>
      <c r="W101" s="26"/>
      <c r="X101" s="26"/>
    </row>
    <row r="102" customFormat="false" ht="15" hidden="false" customHeight="true" outlineLevel="0" collapsed="false">
      <c r="A102" s="26"/>
      <c r="B102" s="26"/>
      <c r="C102" s="26"/>
      <c r="D102" s="26"/>
      <c r="E102" s="26"/>
      <c r="F102" s="26"/>
      <c r="G102" s="26"/>
      <c r="H102" s="26"/>
      <c r="I102" s="26"/>
      <c r="J102" s="26"/>
      <c r="K102" s="26"/>
      <c r="L102" s="26"/>
      <c r="M102" s="26"/>
      <c r="N102" s="26"/>
      <c r="O102" s="26"/>
      <c r="P102" s="26"/>
      <c r="Q102" s="26"/>
      <c r="R102" s="21"/>
      <c r="S102" s="21"/>
      <c r="T102" s="26"/>
      <c r="U102" s="15" t="str">
        <f aca="false">IFERROR(_xlfn.TEXTJOIN(", ",TRUE(),IF('UI 요소 상세'!G$1:G$500=A102,'UI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02" s="26"/>
      <c r="W102" s="26"/>
      <c r="X102" s="26"/>
    </row>
    <row r="103" customFormat="false" ht="15" hidden="false" customHeight="true" outlineLevel="0" collapsed="false">
      <c r="A103" s="26"/>
      <c r="B103" s="26"/>
      <c r="C103" s="26"/>
      <c r="D103" s="26"/>
      <c r="E103" s="26"/>
      <c r="F103" s="26"/>
      <c r="G103" s="26"/>
      <c r="H103" s="26"/>
      <c r="I103" s="26"/>
      <c r="J103" s="26"/>
      <c r="K103" s="26"/>
      <c r="L103" s="26"/>
      <c r="M103" s="26"/>
      <c r="N103" s="26"/>
      <c r="O103" s="26"/>
      <c r="P103" s="26"/>
      <c r="Q103" s="26"/>
      <c r="R103" s="21"/>
      <c r="S103" s="21"/>
      <c r="T103" s="26"/>
      <c r="U103" s="15" t="str">
        <f aca="false">IFERROR(_xlfn.TEXTJOIN(", ",TRUE(),IF('UI 요소 상세'!G$1:G$500=A103,'UI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03" s="26"/>
      <c r="W103" s="26"/>
      <c r="X103" s="26"/>
    </row>
    <row r="104" customFormat="false" ht="15" hidden="false" customHeight="true" outlineLevel="0" collapsed="false">
      <c r="A104" s="26"/>
      <c r="B104" s="26"/>
      <c r="C104" s="26"/>
      <c r="D104" s="26"/>
      <c r="E104" s="26"/>
      <c r="F104" s="26"/>
      <c r="G104" s="26"/>
      <c r="H104" s="26"/>
      <c r="I104" s="26"/>
      <c r="J104" s="26"/>
      <c r="K104" s="26"/>
      <c r="L104" s="26"/>
      <c r="M104" s="26"/>
      <c r="N104" s="26"/>
      <c r="O104" s="26"/>
      <c r="P104" s="26"/>
      <c r="Q104" s="26"/>
      <c r="R104" s="21"/>
      <c r="S104" s="21"/>
      <c r="T104" s="26"/>
      <c r="U104" s="15" t="str">
        <f aca="false">IFERROR(_xlfn.TEXTJOIN(", ",TRUE(),IF('UI 요소 상세'!G$1:G$500=A104,'UI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04" s="26"/>
      <c r="W104" s="26"/>
      <c r="X104" s="26"/>
    </row>
    <row r="105" customFormat="false" ht="15" hidden="false" customHeight="true" outlineLevel="0" collapsed="false">
      <c r="A105" s="26"/>
      <c r="B105" s="26"/>
      <c r="C105" s="26"/>
      <c r="D105" s="26"/>
      <c r="E105" s="26"/>
      <c r="F105" s="26"/>
      <c r="G105" s="26"/>
      <c r="H105" s="26"/>
      <c r="I105" s="26"/>
      <c r="J105" s="26"/>
      <c r="K105" s="26"/>
      <c r="L105" s="26"/>
      <c r="M105" s="26"/>
      <c r="N105" s="26"/>
      <c r="O105" s="26"/>
      <c r="P105" s="26"/>
      <c r="Q105" s="26"/>
      <c r="R105" s="21"/>
      <c r="S105" s="21"/>
      <c r="T105" s="26"/>
      <c r="U105" s="15" t="str">
        <f aca="false">IFERROR(_xlfn.TEXTJOIN(", ",TRUE(),IF('UI 요소 상세'!G$1:G$500=A105,'UI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05" s="26"/>
      <c r="W105" s="26"/>
      <c r="X105" s="26"/>
    </row>
    <row r="106" customFormat="false" ht="15" hidden="false" customHeight="true" outlineLevel="0" collapsed="false">
      <c r="A106" s="26"/>
      <c r="B106" s="26"/>
      <c r="C106" s="26"/>
      <c r="D106" s="26"/>
      <c r="E106" s="26"/>
      <c r="F106" s="26"/>
      <c r="G106" s="26"/>
      <c r="H106" s="26"/>
      <c r="I106" s="26"/>
      <c r="J106" s="26"/>
      <c r="K106" s="26"/>
      <c r="L106" s="26"/>
      <c r="M106" s="26"/>
      <c r="N106" s="26"/>
      <c r="O106" s="26"/>
      <c r="P106" s="26"/>
      <c r="Q106" s="26"/>
      <c r="R106" s="21"/>
      <c r="S106" s="21"/>
      <c r="T106" s="26"/>
      <c r="U106" s="15" t="str">
        <f aca="false">IFERROR(_xlfn.TEXTJOIN(", ",TRUE(),IF('UI 요소 상세'!G$1:G$500=A106,'UI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06" s="26"/>
      <c r="W106" s="26"/>
      <c r="X106" s="26"/>
    </row>
    <row r="107" customFormat="false" ht="15" hidden="false" customHeight="true" outlineLevel="0" collapsed="false">
      <c r="A107" s="26"/>
      <c r="B107" s="26"/>
      <c r="C107" s="26"/>
      <c r="D107" s="26"/>
      <c r="E107" s="26"/>
      <c r="F107" s="26"/>
      <c r="G107" s="26"/>
      <c r="H107" s="26"/>
      <c r="I107" s="26"/>
      <c r="J107" s="26"/>
      <c r="K107" s="26"/>
      <c r="L107" s="26"/>
      <c r="M107" s="26"/>
      <c r="N107" s="26"/>
      <c r="O107" s="26"/>
      <c r="P107" s="26"/>
      <c r="Q107" s="26"/>
      <c r="R107" s="21"/>
      <c r="S107" s="21"/>
      <c r="T107" s="26"/>
      <c r="U107" s="15" t="str">
        <f aca="false">IFERROR(_xlfn.TEXTJOIN(", ",TRUE(),IF('UI 요소 상세'!G$1:G$500=A107,'UI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07" s="26"/>
      <c r="W107" s="26"/>
      <c r="X107" s="26"/>
    </row>
    <row r="108" customFormat="false" ht="15" hidden="false" customHeight="true" outlineLevel="0" collapsed="false">
      <c r="A108" s="26"/>
      <c r="B108" s="26"/>
      <c r="C108" s="26"/>
      <c r="D108" s="26"/>
      <c r="E108" s="26"/>
      <c r="F108" s="26"/>
      <c r="G108" s="26"/>
      <c r="H108" s="26"/>
      <c r="I108" s="26"/>
      <c r="J108" s="26"/>
      <c r="K108" s="26"/>
      <c r="L108" s="26"/>
      <c r="M108" s="26"/>
      <c r="N108" s="26"/>
      <c r="O108" s="26"/>
      <c r="P108" s="26"/>
      <c r="Q108" s="26"/>
      <c r="R108" s="21"/>
      <c r="S108" s="21"/>
      <c r="T108" s="26"/>
      <c r="U108" s="15" t="str">
        <f aca="false">IFERROR(_xlfn.TEXTJOIN(", ",TRUE(),IF('UI 요소 상세'!G$1:G$500=A108,'UI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08" s="26"/>
      <c r="W108" s="26"/>
      <c r="X108" s="26"/>
    </row>
    <row r="109" customFormat="false" ht="15" hidden="false" customHeight="true" outlineLevel="0" collapsed="false">
      <c r="A109" s="26"/>
      <c r="B109" s="26"/>
      <c r="C109" s="26"/>
      <c r="D109" s="26"/>
      <c r="E109" s="26"/>
      <c r="F109" s="26"/>
      <c r="G109" s="26"/>
      <c r="H109" s="26"/>
      <c r="I109" s="26"/>
      <c r="J109" s="26"/>
      <c r="K109" s="26"/>
      <c r="L109" s="26"/>
      <c r="M109" s="26"/>
      <c r="N109" s="26"/>
      <c r="O109" s="26"/>
      <c r="P109" s="26"/>
      <c r="Q109" s="26"/>
      <c r="R109" s="21"/>
      <c r="S109" s="21"/>
      <c r="T109" s="26"/>
      <c r="U109" s="15" t="str">
        <f aca="false">IFERROR(_xlfn.TEXTJOIN(", ",TRUE(),IF('UI 요소 상세'!G$1:G$500=A109,'UI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09" s="26"/>
      <c r="W109" s="26"/>
      <c r="X109" s="26"/>
    </row>
    <row r="110" customFormat="false" ht="15" hidden="false" customHeight="true" outlineLevel="0" collapsed="false">
      <c r="A110" s="26"/>
      <c r="B110" s="26"/>
      <c r="C110" s="26"/>
      <c r="D110" s="26"/>
      <c r="E110" s="26"/>
      <c r="F110" s="26"/>
      <c r="G110" s="26"/>
      <c r="H110" s="26"/>
      <c r="I110" s="26"/>
      <c r="J110" s="26"/>
      <c r="K110" s="26"/>
      <c r="L110" s="26"/>
      <c r="M110" s="26"/>
      <c r="N110" s="26"/>
      <c r="O110" s="26"/>
      <c r="P110" s="26"/>
      <c r="Q110" s="26"/>
      <c r="R110" s="21"/>
      <c r="S110" s="21"/>
      <c r="T110" s="26"/>
      <c r="U110" s="15" t="str">
        <f aca="false">IFERROR(_xlfn.TEXTJOIN(", ",TRUE(),IF('UI 요소 상세'!G$1:G$500=A110,'UI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10" s="26"/>
      <c r="W110" s="26"/>
      <c r="X110" s="26"/>
    </row>
    <row r="111" customFormat="false" ht="15" hidden="false" customHeight="true" outlineLevel="0" collapsed="false">
      <c r="A111" s="26"/>
      <c r="B111" s="26"/>
      <c r="C111" s="26"/>
      <c r="D111" s="26"/>
      <c r="E111" s="26"/>
      <c r="F111" s="26"/>
      <c r="G111" s="26"/>
      <c r="H111" s="26"/>
      <c r="I111" s="26"/>
      <c r="J111" s="26"/>
      <c r="K111" s="26"/>
      <c r="L111" s="26"/>
      <c r="M111" s="26"/>
      <c r="N111" s="26"/>
      <c r="O111" s="26"/>
      <c r="P111" s="26"/>
      <c r="Q111" s="26"/>
      <c r="R111" s="21"/>
      <c r="S111" s="21"/>
      <c r="T111" s="26"/>
      <c r="U111" s="15" t="str">
        <f aca="false">IFERROR(_xlfn.TEXTJOIN(", ",TRUE(),IF('UI 요소 상세'!G$1:G$500=A111,'UI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11" s="26"/>
      <c r="W111" s="26"/>
      <c r="X111" s="26"/>
    </row>
    <row r="112" customFormat="false" ht="15" hidden="false" customHeight="true" outlineLevel="0" collapsed="false">
      <c r="A112" s="26"/>
      <c r="B112" s="26"/>
      <c r="C112" s="26"/>
      <c r="D112" s="26"/>
      <c r="E112" s="26"/>
      <c r="F112" s="26"/>
      <c r="G112" s="26"/>
      <c r="H112" s="26"/>
      <c r="I112" s="26"/>
      <c r="J112" s="26"/>
      <c r="K112" s="26"/>
      <c r="L112" s="26"/>
      <c r="M112" s="26"/>
      <c r="N112" s="26"/>
      <c r="O112" s="26"/>
      <c r="P112" s="26"/>
      <c r="Q112" s="26"/>
      <c r="R112" s="21"/>
      <c r="S112" s="21"/>
      <c r="T112" s="26"/>
      <c r="U112" s="15" t="str">
        <f aca="false">IFERROR(_xlfn.TEXTJOIN(", ",TRUE(),IF('UI 요소 상세'!G$1:G$500=A112,'UI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12" s="26"/>
      <c r="W112" s="26"/>
      <c r="X112" s="26"/>
    </row>
    <row r="113" customFormat="false" ht="15" hidden="false" customHeight="true" outlineLevel="0" collapsed="false">
      <c r="A113" s="26"/>
      <c r="B113" s="26"/>
      <c r="C113" s="26"/>
      <c r="D113" s="26"/>
      <c r="E113" s="26"/>
      <c r="F113" s="26"/>
      <c r="G113" s="26"/>
      <c r="H113" s="26"/>
      <c r="I113" s="26"/>
      <c r="J113" s="26"/>
      <c r="K113" s="26"/>
      <c r="L113" s="26"/>
      <c r="M113" s="26"/>
      <c r="N113" s="26"/>
      <c r="O113" s="26"/>
      <c r="P113" s="26"/>
      <c r="Q113" s="26"/>
      <c r="R113" s="21"/>
      <c r="S113" s="21"/>
      <c r="T113" s="26"/>
      <c r="U113" s="15" t="str">
        <f aca="false">IFERROR(_xlfn.TEXTJOIN(", ",TRUE(),IF('UI 요소 상세'!G$1:G$500=A113,'UI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13" s="26"/>
      <c r="W113" s="26"/>
      <c r="X113" s="26"/>
    </row>
    <row r="114" customFormat="false" ht="15" hidden="false" customHeight="true" outlineLevel="0" collapsed="false">
      <c r="A114" s="26"/>
      <c r="B114" s="26"/>
      <c r="C114" s="26"/>
      <c r="D114" s="26"/>
      <c r="E114" s="26"/>
      <c r="F114" s="26"/>
      <c r="G114" s="26"/>
      <c r="H114" s="26"/>
      <c r="I114" s="26"/>
      <c r="J114" s="26"/>
      <c r="K114" s="26"/>
      <c r="L114" s="26"/>
      <c r="M114" s="26"/>
      <c r="N114" s="26"/>
      <c r="O114" s="26"/>
      <c r="P114" s="26"/>
      <c r="Q114" s="26"/>
      <c r="R114" s="21"/>
      <c r="S114" s="21"/>
      <c r="T114" s="26"/>
      <c r="U114" s="15" t="str">
        <f aca="false">IFERROR(_xlfn.TEXTJOIN(", ",TRUE(),IF('UI 요소 상세'!G$1:G$500=A114,'UI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14" s="26"/>
      <c r="W114" s="26"/>
      <c r="X114" s="26"/>
    </row>
    <row r="115" customFormat="false" ht="15" hidden="false" customHeight="true" outlineLevel="0" collapsed="false">
      <c r="A115" s="26"/>
      <c r="B115" s="26"/>
      <c r="C115" s="26"/>
      <c r="D115" s="26"/>
      <c r="E115" s="26"/>
      <c r="F115" s="26"/>
      <c r="G115" s="26"/>
      <c r="H115" s="26"/>
      <c r="I115" s="26"/>
      <c r="J115" s="26"/>
      <c r="K115" s="26"/>
      <c r="L115" s="26"/>
      <c r="M115" s="26"/>
      <c r="N115" s="26"/>
      <c r="O115" s="26"/>
      <c r="P115" s="26"/>
      <c r="Q115" s="26"/>
      <c r="R115" s="21"/>
      <c r="S115" s="21"/>
      <c r="T115" s="26"/>
      <c r="U115" s="15" t="str">
        <f aca="false">IFERROR(_xlfn.TEXTJOIN(", ",TRUE(),IF('UI 요소 상세'!G$1:G$500=A115,'UI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15" s="26"/>
      <c r="W115" s="26"/>
      <c r="X115" s="26"/>
    </row>
    <row r="116" customFormat="false" ht="15" hidden="false" customHeight="true" outlineLevel="0" collapsed="false">
      <c r="A116" s="26"/>
      <c r="B116" s="26"/>
      <c r="C116" s="26"/>
      <c r="D116" s="26"/>
      <c r="E116" s="26"/>
      <c r="F116" s="26"/>
      <c r="G116" s="26"/>
      <c r="H116" s="26"/>
      <c r="I116" s="26"/>
      <c r="J116" s="26"/>
      <c r="K116" s="26"/>
      <c r="L116" s="26"/>
      <c r="M116" s="26"/>
      <c r="N116" s="26"/>
      <c r="O116" s="26"/>
      <c r="P116" s="26"/>
      <c r="Q116" s="26"/>
      <c r="R116" s="21"/>
      <c r="S116" s="21"/>
      <c r="T116" s="26"/>
      <c r="U116" s="15" t="str">
        <f aca="false">IFERROR(_xlfn.TEXTJOIN(", ",TRUE(),IF('UI 요소 상세'!G$1:G$500=A116,'UI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16" s="26"/>
      <c r="W116" s="26"/>
      <c r="X116" s="26"/>
    </row>
    <row r="117" customFormat="false" ht="15" hidden="false" customHeight="true" outlineLevel="0" collapsed="false">
      <c r="A117" s="26"/>
      <c r="B117" s="26"/>
      <c r="C117" s="26"/>
      <c r="D117" s="26"/>
      <c r="E117" s="26"/>
      <c r="F117" s="26"/>
      <c r="G117" s="26"/>
      <c r="H117" s="26"/>
      <c r="I117" s="26"/>
      <c r="J117" s="26"/>
      <c r="K117" s="26"/>
      <c r="L117" s="26"/>
      <c r="M117" s="26"/>
      <c r="N117" s="26"/>
      <c r="O117" s="26"/>
      <c r="P117" s="26"/>
      <c r="Q117" s="26"/>
      <c r="R117" s="21"/>
      <c r="S117" s="21"/>
      <c r="T117" s="26"/>
      <c r="U117" s="15" t="str">
        <f aca="false">IFERROR(_xlfn.TEXTJOIN(", ",TRUE(),IF('UI 요소 상세'!G$1:G$500=A117,'UI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17" s="26"/>
      <c r="W117" s="26"/>
      <c r="X117" s="26"/>
    </row>
    <row r="118" customFormat="false" ht="15" hidden="false" customHeight="true" outlineLevel="0" collapsed="false">
      <c r="A118" s="26"/>
      <c r="B118" s="26"/>
      <c r="C118" s="26"/>
      <c r="D118" s="26"/>
      <c r="E118" s="26"/>
      <c r="F118" s="26"/>
      <c r="G118" s="26"/>
      <c r="H118" s="26"/>
      <c r="I118" s="26"/>
      <c r="J118" s="26"/>
      <c r="K118" s="26"/>
      <c r="L118" s="26"/>
      <c r="M118" s="26"/>
      <c r="N118" s="26"/>
      <c r="O118" s="26"/>
      <c r="P118" s="26"/>
      <c r="Q118" s="26"/>
      <c r="R118" s="21"/>
      <c r="S118" s="21"/>
      <c r="T118" s="26"/>
      <c r="U118" s="15" t="str">
        <f aca="false">IFERROR(_xlfn.TEXTJOIN(", ",TRUE(),IF('UI 요소 상세'!G$1:G$500=A118,'UI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18" s="26"/>
      <c r="W118" s="26"/>
      <c r="X118" s="26"/>
    </row>
    <row r="119" customFormat="false" ht="15" hidden="false" customHeight="true" outlineLevel="0" collapsed="false">
      <c r="A119" s="26"/>
      <c r="B119" s="26"/>
      <c r="C119" s="26"/>
      <c r="D119" s="26"/>
      <c r="E119" s="26"/>
      <c r="F119" s="26"/>
      <c r="G119" s="26"/>
      <c r="H119" s="26"/>
      <c r="I119" s="26"/>
      <c r="J119" s="26"/>
      <c r="K119" s="26"/>
      <c r="L119" s="26"/>
      <c r="M119" s="26"/>
      <c r="N119" s="26"/>
      <c r="O119" s="26"/>
      <c r="P119" s="26"/>
      <c r="Q119" s="26"/>
      <c r="R119" s="21"/>
      <c r="S119" s="21"/>
      <c r="T119" s="26"/>
      <c r="U119" s="15" t="str">
        <f aca="false">IFERROR(_xlfn.TEXTJOIN(", ",TRUE(),IF('UI 요소 상세'!G$1:G$500=A119,'UI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19" s="26"/>
      <c r="W119" s="26"/>
      <c r="X119" s="26"/>
    </row>
    <row r="120" customFormat="false" ht="15" hidden="false" customHeight="true" outlineLevel="0" collapsed="false">
      <c r="A120" s="26"/>
      <c r="B120" s="26"/>
      <c r="C120" s="26"/>
      <c r="D120" s="26"/>
      <c r="E120" s="26"/>
      <c r="F120" s="26"/>
      <c r="G120" s="26"/>
      <c r="H120" s="26"/>
      <c r="I120" s="26"/>
      <c r="J120" s="26"/>
      <c r="K120" s="26"/>
      <c r="L120" s="26"/>
      <c r="M120" s="26"/>
      <c r="N120" s="26"/>
      <c r="O120" s="26"/>
      <c r="P120" s="26"/>
      <c r="Q120" s="26"/>
      <c r="R120" s="21"/>
      <c r="S120" s="21"/>
      <c r="T120" s="26"/>
      <c r="U120" s="15" t="str">
        <f aca="false">IFERROR(_xlfn.TEXTJOIN(", ",TRUE(),IF('UI 요소 상세'!G$1:G$500=A120,'UI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20" s="26"/>
      <c r="W120" s="26"/>
      <c r="X120" s="26"/>
    </row>
    <row r="121" customFormat="false" ht="15" hidden="false" customHeight="true" outlineLevel="0" collapsed="false">
      <c r="A121" s="26"/>
      <c r="B121" s="26"/>
      <c r="C121" s="26"/>
      <c r="D121" s="26"/>
      <c r="E121" s="26"/>
      <c r="F121" s="26"/>
      <c r="G121" s="26"/>
      <c r="H121" s="26"/>
      <c r="I121" s="26"/>
      <c r="J121" s="26"/>
      <c r="K121" s="26"/>
      <c r="L121" s="26"/>
      <c r="M121" s="26"/>
      <c r="N121" s="26"/>
      <c r="O121" s="26"/>
      <c r="P121" s="26"/>
      <c r="Q121" s="26"/>
      <c r="R121" s="21"/>
      <c r="S121" s="21"/>
      <c r="T121" s="26"/>
      <c r="U121" s="15" t="str">
        <f aca="false">IFERROR(_xlfn.TEXTJOIN(", ",TRUE(),IF('UI 요소 상세'!G$1:G$500=A121,'UI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21" s="26"/>
      <c r="W121" s="26"/>
      <c r="X121" s="26"/>
    </row>
    <row r="122" customFormat="false" ht="15" hidden="false" customHeight="true" outlineLevel="0" collapsed="false">
      <c r="A122" s="26"/>
      <c r="B122" s="26"/>
      <c r="C122" s="26"/>
      <c r="D122" s="26"/>
      <c r="E122" s="26"/>
      <c r="F122" s="26"/>
      <c r="G122" s="26"/>
      <c r="H122" s="26"/>
      <c r="I122" s="26"/>
      <c r="J122" s="26"/>
      <c r="K122" s="26"/>
      <c r="L122" s="26"/>
      <c r="M122" s="26"/>
      <c r="N122" s="26"/>
      <c r="O122" s="26"/>
      <c r="P122" s="26"/>
      <c r="Q122" s="26"/>
      <c r="R122" s="21"/>
      <c r="S122" s="21"/>
      <c r="T122" s="26"/>
      <c r="U122" s="15" t="str">
        <f aca="false">IFERROR(_xlfn.TEXTJOIN(", ",TRUE(),IF('UI 요소 상세'!G$1:G$500=A122,'UI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22" s="26"/>
      <c r="W122" s="26"/>
      <c r="X122" s="26"/>
    </row>
    <row r="123" customFormat="false" ht="15" hidden="false" customHeight="true" outlineLevel="0" collapsed="false">
      <c r="A123" s="26"/>
      <c r="B123" s="26"/>
      <c r="C123" s="26"/>
      <c r="D123" s="26"/>
      <c r="E123" s="26"/>
      <c r="F123" s="26"/>
      <c r="G123" s="26"/>
      <c r="H123" s="26"/>
      <c r="I123" s="26"/>
      <c r="J123" s="26"/>
      <c r="K123" s="26"/>
      <c r="L123" s="26"/>
      <c r="M123" s="26"/>
      <c r="N123" s="26"/>
      <c r="O123" s="26"/>
      <c r="P123" s="26"/>
      <c r="Q123" s="26"/>
      <c r="R123" s="21"/>
      <c r="S123" s="21"/>
      <c r="T123" s="26"/>
      <c r="U123" s="15" t="str">
        <f aca="false">IFERROR(_xlfn.TEXTJOIN(", ",TRUE(),IF('UI 요소 상세'!G$1:G$500=A123,'UI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23" s="26"/>
      <c r="W123" s="26"/>
      <c r="X123" s="26"/>
    </row>
    <row r="124" customFormat="false" ht="15" hidden="false" customHeight="true" outlineLevel="0" collapsed="false">
      <c r="A124" s="26"/>
      <c r="B124" s="26"/>
      <c r="C124" s="26"/>
      <c r="D124" s="26"/>
      <c r="E124" s="26"/>
      <c r="F124" s="26"/>
      <c r="G124" s="26"/>
      <c r="H124" s="26"/>
      <c r="I124" s="26"/>
      <c r="J124" s="26"/>
      <c r="K124" s="26"/>
      <c r="L124" s="26"/>
      <c r="M124" s="26"/>
      <c r="N124" s="26"/>
      <c r="O124" s="26"/>
      <c r="P124" s="26"/>
      <c r="Q124" s="26"/>
      <c r="R124" s="21"/>
      <c r="S124" s="21"/>
      <c r="T124" s="26"/>
      <c r="U124" s="15" t="str">
        <f aca="false">IFERROR(_xlfn.TEXTJOIN(", ",TRUE(),IF('UI 요소 상세'!G$1:G$500=A124,'UI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24" s="26"/>
      <c r="W124" s="26"/>
      <c r="X124" s="26"/>
    </row>
    <row r="125" customFormat="false" ht="15" hidden="false" customHeight="true" outlineLevel="0" collapsed="false">
      <c r="A125" s="26"/>
      <c r="B125" s="26"/>
      <c r="C125" s="26"/>
      <c r="D125" s="26"/>
      <c r="E125" s="26"/>
      <c r="F125" s="26"/>
      <c r="G125" s="26"/>
      <c r="H125" s="26"/>
      <c r="I125" s="26"/>
      <c r="J125" s="26"/>
      <c r="K125" s="26"/>
      <c r="L125" s="26"/>
      <c r="M125" s="26"/>
      <c r="N125" s="26"/>
      <c r="O125" s="26"/>
      <c r="P125" s="26"/>
      <c r="Q125" s="26"/>
      <c r="R125" s="21"/>
      <c r="S125" s="21"/>
      <c r="T125" s="26"/>
      <c r="U125" s="15" t="str">
        <f aca="false">IFERROR(_xlfn.TEXTJOIN(", ",TRUE(),IF('UI 요소 상세'!G$1:G$500=A125,'UI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25" s="26"/>
      <c r="W125" s="26"/>
      <c r="X125" s="26"/>
    </row>
    <row r="126" customFormat="false" ht="15" hidden="false" customHeight="true" outlineLevel="0" collapsed="false">
      <c r="A126" s="26"/>
      <c r="B126" s="26"/>
      <c r="C126" s="26"/>
      <c r="D126" s="26"/>
      <c r="E126" s="26"/>
      <c r="F126" s="26"/>
      <c r="G126" s="26"/>
      <c r="H126" s="26"/>
      <c r="I126" s="26"/>
      <c r="J126" s="26"/>
      <c r="K126" s="26"/>
      <c r="L126" s="26"/>
      <c r="M126" s="26"/>
      <c r="N126" s="26"/>
      <c r="O126" s="26"/>
      <c r="P126" s="26"/>
      <c r="Q126" s="26"/>
      <c r="R126" s="21"/>
      <c r="S126" s="21"/>
      <c r="T126" s="26"/>
      <c r="U126" s="15" t="str">
        <f aca="false">IFERROR(_xlfn.TEXTJOIN(", ",TRUE(),IF('UI 요소 상세'!G$1:G$500=A126,'UI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26" s="26"/>
      <c r="W126" s="26"/>
      <c r="X126" s="26"/>
    </row>
    <row r="127" customFormat="false" ht="15" hidden="false" customHeight="true" outlineLevel="0" collapsed="false">
      <c r="A127" s="26"/>
      <c r="B127" s="26"/>
      <c r="C127" s="26"/>
      <c r="D127" s="26"/>
      <c r="E127" s="26"/>
      <c r="F127" s="26"/>
      <c r="G127" s="26"/>
      <c r="H127" s="26"/>
      <c r="I127" s="26"/>
      <c r="J127" s="26"/>
      <c r="K127" s="26"/>
      <c r="L127" s="26"/>
      <c r="M127" s="26"/>
      <c r="N127" s="26"/>
      <c r="O127" s="26"/>
      <c r="P127" s="26"/>
      <c r="Q127" s="26"/>
      <c r="R127" s="21"/>
      <c r="S127" s="21"/>
      <c r="T127" s="26"/>
      <c r="U127" s="15" t="str">
        <f aca="false">IFERROR(_xlfn.TEXTJOIN(", ",TRUE(),IF('UI 요소 상세'!G$1:G$500=A127,'UI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27" s="26"/>
      <c r="W127" s="26"/>
      <c r="X127" s="26"/>
    </row>
    <row r="128" customFormat="false" ht="15" hidden="false" customHeight="true" outlineLevel="0" collapsed="false">
      <c r="A128" s="26"/>
      <c r="B128" s="26"/>
      <c r="C128" s="26"/>
      <c r="D128" s="26"/>
      <c r="E128" s="26"/>
      <c r="F128" s="26"/>
      <c r="G128" s="26"/>
      <c r="H128" s="26"/>
      <c r="I128" s="26"/>
      <c r="J128" s="26"/>
      <c r="K128" s="26"/>
      <c r="L128" s="26"/>
      <c r="M128" s="26"/>
      <c r="N128" s="26"/>
      <c r="O128" s="26"/>
      <c r="P128" s="26"/>
      <c r="Q128" s="26"/>
      <c r="R128" s="21"/>
      <c r="S128" s="21"/>
      <c r="T128" s="26"/>
      <c r="U128" s="15" t="str">
        <f aca="false">IFERROR(_xlfn.TEXTJOIN(", ",TRUE(),IF('UI 요소 상세'!G$1:G$500=A128,'UI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28" s="26"/>
      <c r="W128" s="26"/>
      <c r="X128" s="26"/>
    </row>
    <row r="129" customFormat="false" ht="15" hidden="false" customHeight="true" outlineLevel="0" collapsed="false">
      <c r="A129" s="26"/>
      <c r="B129" s="26"/>
      <c r="C129" s="26"/>
      <c r="D129" s="26"/>
      <c r="E129" s="26"/>
      <c r="F129" s="26"/>
      <c r="G129" s="26"/>
      <c r="H129" s="26"/>
      <c r="I129" s="26"/>
      <c r="J129" s="26"/>
      <c r="K129" s="26"/>
      <c r="L129" s="26"/>
      <c r="M129" s="26"/>
      <c r="N129" s="26"/>
      <c r="O129" s="26"/>
      <c r="P129" s="26"/>
      <c r="Q129" s="26"/>
      <c r="R129" s="21"/>
      <c r="S129" s="21"/>
      <c r="T129" s="26"/>
      <c r="U129" s="15" t="str">
        <f aca="false">IFERROR(_xlfn.TEXTJOIN(", ",TRUE(),IF('UI 요소 상세'!G$1:G$500=A129,'UI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29" s="26"/>
      <c r="W129" s="26"/>
      <c r="X129" s="26"/>
    </row>
    <row r="130" customFormat="false" ht="15" hidden="false" customHeight="true" outlineLevel="0" collapsed="false">
      <c r="A130" s="26"/>
      <c r="B130" s="26"/>
      <c r="C130" s="26"/>
      <c r="D130" s="26"/>
      <c r="E130" s="26"/>
      <c r="F130" s="26"/>
      <c r="G130" s="26"/>
      <c r="H130" s="26"/>
      <c r="I130" s="26"/>
      <c r="J130" s="26"/>
      <c r="K130" s="26"/>
      <c r="L130" s="26"/>
      <c r="M130" s="26"/>
      <c r="N130" s="26"/>
      <c r="O130" s="26"/>
      <c r="P130" s="26"/>
      <c r="Q130" s="26"/>
      <c r="R130" s="21"/>
      <c r="S130" s="21"/>
      <c r="T130" s="26"/>
      <c r="U130" s="15" t="str">
        <f aca="false">IFERROR(_xlfn.TEXTJOIN(", ",TRUE(),IF('UI 요소 상세'!G$1:G$500=A130,'UI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30" s="26"/>
      <c r="W130" s="26"/>
      <c r="X130" s="26"/>
    </row>
    <row r="131" customFormat="false" ht="15" hidden="false" customHeight="true" outlineLevel="0" collapsed="false">
      <c r="A131" s="26"/>
      <c r="B131" s="26"/>
      <c r="C131" s="26"/>
      <c r="D131" s="26"/>
      <c r="E131" s="26"/>
      <c r="F131" s="26"/>
      <c r="G131" s="26"/>
      <c r="H131" s="26"/>
      <c r="I131" s="26"/>
      <c r="J131" s="26"/>
      <c r="K131" s="26"/>
      <c r="L131" s="26"/>
      <c r="M131" s="26"/>
      <c r="N131" s="26"/>
      <c r="O131" s="26"/>
      <c r="P131" s="26"/>
      <c r="Q131" s="26"/>
      <c r="R131" s="21"/>
      <c r="S131" s="21"/>
      <c r="T131" s="26"/>
      <c r="U131" s="15" t="str">
        <f aca="false">IFERROR(_xlfn.TEXTJOIN(", ",TRUE(),IF('UI 요소 상세'!G$1:G$500=A131,'UI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31" s="26"/>
      <c r="W131" s="26"/>
      <c r="X131" s="26"/>
    </row>
    <row r="132" customFormat="false" ht="15" hidden="false" customHeight="true" outlineLevel="0" collapsed="false">
      <c r="A132" s="26"/>
      <c r="B132" s="26"/>
      <c r="C132" s="26"/>
      <c r="D132" s="26"/>
      <c r="E132" s="26"/>
      <c r="F132" s="26"/>
      <c r="G132" s="26"/>
      <c r="H132" s="26"/>
      <c r="I132" s="26"/>
      <c r="J132" s="26"/>
      <c r="K132" s="26"/>
      <c r="L132" s="26"/>
      <c r="M132" s="26"/>
      <c r="N132" s="26"/>
      <c r="O132" s="26"/>
      <c r="P132" s="26"/>
      <c r="Q132" s="26"/>
      <c r="R132" s="21"/>
      <c r="S132" s="21"/>
      <c r="T132" s="26"/>
      <c r="U132" s="15" t="str">
        <f aca="false">IFERROR(_xlfn.TEXTJOIN(", ",TRUE(),IF('UI 요소 상세'!G$1:G$500=A132,'UI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32" s="26"/>
      <c r="W132" s="26"/>
      <c r="X132" s="26"/>
    </row>
    <row r="133" customFormat="false" ht="15" hidden="false" customHeight="true" outlineLevel="0" collapsed="false">
      <c r="A133" s="26"/>
      <c r="B133" s="26"/>
      <c r="C133" s="26"/>
      <c r="D133" s="26"/>
      <c r="E133" s="26"/>
      <c r="F133" s="26"/>
      <c r="G133" s="26"/>
      <c r="H133" s="26"/>
      <c r="I133" s="26"/>
      <c r="J133" s="26"/>
      <c r="K133" s="26"/>
      <c r="L133" s="26"/>
      <c r="M133" s="26"/>
      <c r="N133" s="26"/>
      <c r="O133" s="26"/>
      <c r="P133" s="26"/>
      <c r="Q133" s="26"/>
      <c r="R133" s="21"/>
      <c r="S133" s="21"/>
      <c r="T133" s="26"/>
      <c r="U133" s="15" t="str">
        <f aca="false">IFERROR(_xlfn.TEXTJOIN(", ",TRUE(),IF('UI 요소 상세'!G$1:G$500=A133,'UI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33" s="26"/>
      <c r="W133" s="26"/>
      <c r="X133" s="26"/>
    </row>
    <row r="134" customFormat="false" ht="15" hidden="false" customHeight="true" outlineLevel="0" collapsed="false">
      <c r="A134" s="26"/>
      <c r="B134" s="26"/>
      <c r="C134" s="26"/>
      <c r="D134" s="26"/>
      <c r="E134" s="26"/>
      <c r="F134" s="26"/>
      <c r="G134" s="26"/>
      <c r="H134" s="26"/>
      <c r="I134" s="26"/>
      <c r="J134" s="26"/>
      <c r="K134" s="26"/>
      <c r="L134" s="26"/>
      <c r="M134" s="26"/>
      <c r="N134" s="26"/>
      <c r="O134" s="26"/>
      <c r="P134" s="26"/>
      <c r="Q134" s="26"/>
      <c r="R134" s="21"/>
      <c r="S134" s="21"/>
      <c r="T134" s="26"/>
      <c r="U134" s="15" t="str">
        <f aca="false">IFERROR(_xlfn.TEXTJOIN(", ",TRUE(),IF('UI 요소 상세'!G$1:G$500=A134,'UI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34" s="26"/>
      <c r="W134" s="26"/>
      <c r="X134" s="26"/>
    </row>
    <row r="135" customFormat="false" ht="15" hidden="false" customHeight="true" outlineLevel="0" collapsed="false">
      <c r="A135" s="26"/>
      <c r="B135" s="26"/>
      <c r="C135" s="26"/>
      <c r="D135" s="26"/>
      <c r="E135" s="26"/>
      <c r="F135" s="26"/>
      <c r="G135" s="26"/>
      <c r="H135" s="26"/>
      <c r="I135" s="26"/>
      <c r="J135" s="26"/>
      <c r="K135" s="26"/>
      <c r="L135" s="26"/>
      <c r="M135" s="26"/>
      <c r="N135" s="26"/>
      <c r="O135" s="26"/>
      <c r="P135" s="26"/>
      <c r="Q135" s="26"/>
      <c r="R135" s="21"/>
      <c r="S135" s="21"/>
      <c r="T135" s="26"/>
      <c r="U135" s="15" t="str">
        <f aca="false">IFERROR(_xlfn.TEXTJOIN(", ",TRUE(),IF('UI 요소 상세'!G$1:G$500=A135,'UI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35" s="26"/>
      <c r="W135" s="26"/>
      <c r="X135" s="26"/>
    </row>
    <row r="136" customFormat="false" ht="15" hidden="false" customHeight="true" outlineLevel="0" collapsed="false">
      <c r="A136" s="26"/>
      <c r="B136" s="26"/>
      <c r="C136" s="26"/>
      <c r="D136" s="26"/>
      <c r="E136" s="26"/>
      <c r="F136" s="26"/>
      <c r="G136" s="26"/>
      <c r="H136" s="26"/>
      <c r="I136" s="26"/>
      <c r="J136" s="26"/>
      <c r="K136" s="26"/>
      <c r="L136" s="26"/>
      <c r="M136" s="26"/>
      <c r="N136" s="26"/>
      <c r="O136" s="26"/>
      <c r="P136" s="26"/>
      <c r="Q136" s="26"/>
      <c r="R136" s="21"/>
      <c r="S136" s="21"/>
      <c r="T136" s="26"/>
      <c r="U136" s="15" t="str">
        <f aca="false">IFERROR(_xlfn.TEXTJOIN(", ",TRUE(),IF('UI 요소 상세'!G$1:G$500=A136,'UI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36" s="26"/>
      <c r="W136" s="26"/>
      <c r="X136" s="26"/>
    </row>
    <row r="137" customFormat="false" ht="15" hidden="false" customHeight="true" outlineLevel="0" collapsed="false">
      <c r="A137" s="26"/>
      <c r="B137" s="26"/>
      <c r="C137" s="26"/>
      <c r="D137" s="26"/>
      <c r="E137" s="26"/>
      <c r="F137" s="26"/>
      <c r="G137" s="26"/>
      <c r="H137" s="26"/>
      <c r="I137" s="26"/>
      <c r="J137" s="26"/>
      <c r="K137" s="26"/>
      <c r="L137" s="26"/>
      <c r="M137" s="26"/>
      <c r="N137" s="26"/>
      <c r="O137" s="26"/>
      <c r="P137" s="26"/>
      <c r="Q137" s="26"/>
      <c r="R137" s="21"/>
      <c r="S137" s="21"/>
      <c r="T137" s="26"/>
      <c r="U137" s="15" t="str">
        <f aca="false">IFERROR(_xlfn.TEXTJOIN(", ",TRUE(),IF('UI 요소 상세'!G$1:G$500=A137,'UI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37" s="26"/>
      <c r="W137" s="26"/>
      <c r="X137" s="26"/>
    </row>
    <row r="138" customFormat="false" ht="15" hidden="false" customHeight="true" outlineLevel="0" collapsed="false">
      <c r="A138" s="26"/>
      <c r="B138" s="26"/>
      <c r="C138" s="26"/>
      <c r="D138" s="26"/>
      <c r="E138" s="26"/>
      <c r="F138" s="26"/>
      <c r="G138" s="26"/>
      <c r="H138" s="26"/>
      <c r="I138" s="26"/>
      <c r="J138" s="26"/>
      <c r="K138" s="26"/>
      <c r="L138" s="26"/>
      <c r="M138" s="26"/>
      <c r="N138" s="26"/>
      <c r="O138" s="26"/>
      <c r="P138" s="26"/>
      <c r="Q138" s="26"/>
      <c r="R138" s="21"/>
      <c r="S138" s="21"/>
      <c r="T138" s="26"/>
      <c r="U138" s="15" t="str">
        <f aca="false">IFERROR(_xlfn.TEXTJOIN(", ",TRUE(),IF('UI 요소 상세'!G$1:G$500=A138,'UI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38" s="26"/>
      <c r="W138" s="26"/>
      <c r="X138" s="26"/>
    </row>
    <row r="139" customFormat="false" ht="15" hidden="false" customHeight="true" outlineLevel="0" collapsed="false">
      <c r="A139" s="26"/>
      <c r="B139" s="26"/>
      <c r="C139" s="26"/>
      <c r="D139" s="26"/>
      <c r="E139" s="26"/>
      <c r="F139" s="26"/>
      <c r="G139" s="26"/>
      <c r="H139" s="26"/>
      <c r="I139" s="26"/>
      <c r="J139" s="26"/>
      <c r="K139" s="26"/>
      <c r="L139" s="26"/>
      <c r="M139" s="26"/>
      <c r="N139" s="26"/>
      <c r="O139" s="26"/>
      <c r="P139" s="26"/>
      <c r="Q139" s="26"/>
      <c r="R139" s="21"/>
      <c r="S139" s="21"/>
      <c r="T139" s="26"/>
      <c r="U139" s="15" t="str">
        <f aca="false">IFERROR(_xlfn.TEXTJOIN(", ",TRUE(),IF('UI 요소 상세'!G$1:G$500=A139,'UI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39" s="26"/>
      <c r="W139" s="26"/>
      <c r="X139" s="26"/>
    </row>
    <row r="140" customFormat="false" ht="15" hidden="false" customHeight="true" outlineLevel="0" collapsed="false">
      <c r="A140" s="26"/>
      <c r="B140" s="26"/>
      <c r="C140" s="26"/>
      <c r="D140" s="26"/>
      <c r="E140" s="26"/>
      <c r="F140" s="26"/>
      <c r="G140" s="26"/>
      <c r="H140" s="26"/>
      <c r="I140" s="26"/>
      <c r="J140" s="26"/>
      <c r="K140" s="26"/>
      <c r="L140" s="26"/>
      <c r="M140" s="26"/>
      <c r="N140" s="26"/>
      <c r="O140" s="26"/>
      <c r="P140" s="26"/>
      <c r="Q140" s="26"/>
      <c r="R140" s="21"/>
      <c r="S140" s="21"/>
      <c r="T140" s="26"/>
      <c r="U140" s="15" t="str">
        <f aca="false">IFERROR(_xlfn.TEXTJOIN(", ",TRUE(),IF('UI 요소 상세'!G$1:G$500=A140,'UI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40" s="26"/>
      <c r="W140" s="26"/>
      <c r="X140" s="26"/>
    </row>
    <row r="141" customFormat="false" ht="15" hidden="false" customHeight="true" outlineLevel="0" collapsed="false">
      <c r="A141" s="26"/>
      <c r="B141" s="26"/>
      <c r="C141" s="26"/>
      <c r="D141" s="26"/>
      <c r="E141" s="26"/>
      <c r="F141" s="26"/>
      <c r="G141" s="26"/>
      <c r="H141" s="26"/>
      <c r="I141" s="26"/>
      <c r="J141" s="26"/>
      <c r="K141" s="26"/>
      <c r="L141" s="26"/>
      <c r="M141" s="26"/>
      <c r="N141" s="26"/>
      <c r="O141" s="26"/>
      <c r="P141" s="26"/>
      <c r="Q141" s="26"/>
      <c r="R141" s="21"/>
      <c r="S141" s="21"/>
      <c r="T141" s="26"/>
      <c r="U141" s="15" t="str">
        <f aca="false">IFERROR(_xlfn.TEXTJOIN(", ",TRUE(),IF('UI 요소 상세'!G$1:G$500=A141,'UI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41" s="26"/>
      <c r="W141" s="26"/>
      <c r="X141" s="26"/>
    </row>
    <row r="142" customFormat="false" ht="15" hidden="false" customHeight="true" outlineLevel="0" collapsed="false">
      <c r="A142" s="26"/>
      <c r="B142" s="26"/>
      <c r="C142" s="26"/>
      <c r="D142" s="26"/>
      <c r="E142" s="26"/>
      <c r="F142" s="26"/>
      <c r="G142" s="26"/>
      <c r="H142" s="26"/>
      <c r="I142" s="26"/>
      <c r="J142" s="26"/>
      <c r="K142" s="26"/>
      <c r="L142" s="26"/>
      <c r="M142" s="26"/>
      <c r="N142" s="26"/>
      <c r="O142" s="26"/>
      <c r="P142" s="26"/>
      <c r="Q142" s="26"/>
      <c r="R142" s="21"/>
      <c r="S142" s="21"/>
      <c r="T142" s="26"/>
      <c r="U142" s="15" t="str">
        <f aca="false">IFERROR(_xlfn.TEXTJOIN(", ",TRUE(),IF('UI 요소 상세'!G$1:G$500=A142,'UI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42" s="26"/>
      <c r="W142" s="26"/>
      <c r="X142" s="26"/>
    </row>
    <row r="143" customFormat="false" ht="15" hidden="false" customHeight="true" outlineLevel="0" collapsed="false">
      <c r="A143" s="26"/>
      <c r="B143" s="26"/>
      <c r="C143" s="26"/>
      <c r="D143" s="26"/>
      <c r="E143" s="26"/>
      <c r="F143" s="26"/>
      <c r="G143" s="26"/>
      <c r="H143" s="26"/>
      <c r="I143" s="26"/>
      <c r="J143" s="26"/>
      <c r="K143" s="26"/>
      <c r="L143" s="26"/>
      <c r="M143" s="26"/>
      <c r="N143" s="26"/>
      <c r="O143" s="26"/>
      <c r="P143" s="26"/>
      <c r="Q143" s="26"/>
      <c r="R143" s="21"/>
      <c r="S143" s="21"/>
      <c r="T143" s="26"/>
      <c r="U143" s="15" t="str">
        <f aca="false">IFERROR(_xlfn.TEXTJOIN(", ",TRUE(),IF('UI 요소 상세'!G$1:G$500=A143,'UI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43" s="26"/>
      <c r="W143" s="26"/>
      <c r="X143" s="26"/>
    </row>
    <row r="144" customFormat="false" ht="15" hidden="false" customHeight="true" outlineLevel="0" collapsed="false">
      <c r="A144" s="26"/>
      <c r="B144" s="26"/>
      <c r="C144" s="26"/>
      <c r="D144" s="26"/>
      <c r="E144" s="26"/>
      <c r="F144" s="26"/>
      <c r="G144" s="26"/>
      <c r="H144" s="26"/>
      <c r="I144" s="26"/>
      <c r="J144" s="26"/>
      <c r="K144" s="26"/>
      <c r="L144" s="26"/>
      <c r="M144" s="26"/>
      <c r="N144" s="26"/>
      <c r="O144" s="26"/>
      <c r="P144" s="26"/>
      <c r="Q144" s="26"/>
      <c r="R144" s="21"/>
      <c r="S144" s="21"/>
      <c r="T144" s="26"/>
      <c r="U144" s="15" t="str">
        <f aca="false">IFERROR(_xlfn.TEXTJOIN(", ",TRUE(),IF('UI 요소 상세'!G$1:G$500=A144,'UI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44" s="26"/>
      <c r="W144" s="26"/>
      <c r="X144" s="26"/>
    </row>
    <row r="145" customFormat="false" ht="15" hidden="false" customHeight="true" outlineLevel="0" collapsed="false">
      <c r="A145" s="26"/>
      <c r="B145" s="26"/>
      <c r="C145" s="26"/>
      <c r="D145" s="26"/>
      <c r="E145" s="26"/>
      <c r="F145" s="26"/>
      <c r="G145" s="26"/>
      <c r="H145" s="26"/>
      <c r="I145" s="26"/>
      <c r="J145" s="26"/>
      <c r="K145" s="26"/>
      <c r="L145" s="26"/>
      <c r="M145" s="26"/>
      <c r="N145" s="26"/>
      <c r="O145" s="26"/>
      <c r="P145" s="26"/>
      <c r="Q145" s="26"/>
      <c r="R145" s="21"/>
      <c r="S145" s="21"/>
      <c r="T145" s="26"/>
      <c r="U145" s="15" t="str">
        <f aca="false">IFERROR(_xlfn.TEXTJOIN(", ",TRUE(),IF('UI 요소 상세'!G$1:G$500=A145,'UI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45" s="26"/>
      <c r="W145" s="26"/>
      <c r="X145" s="26"/>
    </row>
    <row r="146" customFormat="false" ht="15" hidden="false" customHeight="true" outlineLevel="0" collapsed="false">
      <c r="A146" s="26"/>
      <c r="B146" s="26"/>
      <c r="C146" s="26"/>
      <c r="D146" s="26"/>
      <c r="E146" s="26"/>
      <c r="F146" s="26"/>
      <c r="G146" s="26"/>
      <c r="H146" s="26"/>
      <c r="I146" s="26"/>
      <c r="J146" s="26"/>
      <c r="K146" s="26"/>
      <c r="L146" s="26"/>
      <c r="M146" s="26"/>
      <c r="N146" s="26"/>
      <c r="O146" s="26"/>
      <c r="P146" s="26"/>
      <c r="Q146" s="26"/>
      <c r="R146" s="21"/>
      <c r="S146" s="21"/>
      <c r="T146" s="26"/>
      <c r="U146" s="15" t="str">
        <f aca="false">IFERROR(_xlfn.TEXTJOIN(", ",TRUE(),IF('UI 요소 상세'!G$1:G$500=A146,'UI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46" s="26"/>
      <c r="W146" s="26"/>
      <c r="X146" s="26"/>
    </row>
    <row r="147" customFormat="false" ht="15" hidden="false" customHeight="true" outlineLevel="0" collapsed="false">
      <c r="A147" s="26"/>
      <c r="B147" s="26"/>
      <c r="C147" s="26"/>
      <c r="D147" s="26"/>
      <c r="E147" s="26"/>
      <c r="F147" s="26"/>
      <c r="G147" s="26"/>
      <c r="H147" s="26"/>
      <c r="I147" s="26"/>
      <c r="J147" s="26"/>
      <c r="K147" s="26"/>
      <c r="L147" s="26"/>
      <c r="M147" s="26"/>
      <c r="N147" s="26"/>
      <c r="O147" s="26"/>
      <c r="P147" s="26"/>
      <c r="Q147" s="26"/>
      <c r="R147" s="21"/>
      <c r="S147" s="21"/>
      <c r="T147" s="26"/>
      <c r="U147" s="15" t="str">
        <f aca="false">IFERROR(_xlfn.TEXTJOIN(", ",TRUE(),IF('UI 요소 상세'!G$1:G$500=A147,'UI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47" s="26"/>
      <c r="W147" s="26"/>
      <c r="X147" s="26"/>
    </row>
    <row r="148" customFormat="false" ht="15" hidden="false" customHeight="true" outlineLevel="0" collapsed="false">
      <c r="A148" s="26"/>
      <c r="B148" s="26"/>
      <c r="C148" s="26"/>
      <c r="D148" s="26"/>
      <c r="E148" s="26"/>
      <c r="F148" s="26"/>
      <c r="G148" s="26"/>
      <c r="H148" s="26"/>
      <c r="I148" s="26"/>
      <c r="J148" s="26"/>
      <c r="K148" s="26"/>
      <c r="L148" s="26"/>
      <c r="M148" s="26"/>
      <c r="N148" s="26"/>
      <c r="O148" s="26"/>
      <c r="P148" s="26"/>
      <c r="Q148" s="26"/>
      <c r="R148" s="21"/>
      <c r="S148" s="21"/>
      <c r="T148" s="26"/>
      <c r="U148" s="15" t="str">
        <f aca="false">IFERROR(_xlfn.TEXTJOIN(", ",TRUE(),IF('UI 요소 상세'!G$1:G$500=A148,'UI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48" s="26"/>
      <c r="W148" s="26"/>
      <c r="X148" s="26"/>
    </row>
    <row r="149" customFormat="false" ht="15" hidden="false" customHeight="true" outlineLevel="0" collapsed="false">
      <c r="A149" s="26"/>
      <c r="B149" s="26"/>
      <c r="C149" s="26"/>
      <c r="D149" s="26"/>
      <c r="E149" s="26"/>
      <c r="F149" s="26"/>
      <c r="G149" s="26"/>
      <c r="H149" s="26"/>
      <c r="I149" s="26"/>
      <c r="J149" s="26"/>
      <c r="K149" s="26"/>
      <c r="L149" s="26"/>
      <c r="M149" s="26"/>
      <c r="N149" s="26"/>
      <c r="O149" s="26"/>
      <c r="P149" s="26"/>
      <c r="Q149" s="26"/>
      <c r="R149" s="21"/>
      <c r="S149" s="21"/>
      <c r="T149" s="26"/>
      <c r="U149" s="15" t="str">
        <f aca="false">IFERROR(_xlfn.TEXTJOIN(", ",TRUE(),IF('UI 요소 상세'!G$1:G$500=A149,'UI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49" s="26"/>
      <c r="W149" s="26"/>
      <c r="X149" s="26"/>
    </row>
    <row r="150" customFormat="false" ht="15" hidden="false" customHeight="true" outlineLevel="0" collapsed="false">
      <c r="A150" s="26"/>
      <c r="B150" s="26"/>
      <c r="C150" s="26"/>
      <c r="D150" s="26"/>
      <c r="E150" s="26"/>
      <c r="F150" s="26"/>
      <c r="G150" s="26"/>
      <c r="H150" s="26"/>
      <c r="I150" s="26"/>
      <c r="J150" s="26"/>
      <c r="K150" s="26"/>
      <c r="L150" s="26"/>
      <c r="M150" s="26"/>
      <c r="N150" s="26"/>
      <c r="O150" s="26"/>
      <c r="P150" s="26"/>
      <c r="Q150" s="26"/>
      <c r="R150" s="21"/>
      <c r="S150" s="21"/>
      <c r="T150" s="26"/>
      <c r="U150" s="15" t="str">
        <f aca="false">IFERROR(_xlfn.TEXTJOIN(", ",TRUE(),IF('UI 요소 상세'!G$1:G$500=A150,'UI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50" s="26"/>
      <c r="W150" s="26"/>
      <c r="X150" s="26"/>
    </row>
    <row r="151" customFormat="false" ht="15" hidden="false" customHeight="true" outlineLevel="0" collapsed="false">
      <c r="A151" s="26"/>
      <c r="B151" s="26"/>
      <c r="C151" s="26"/>
      <c r="D151" s="26"/>
      <c r="E151" s="26"/>
      <c r="F151" s="26"/>
      <c r="G151" s="26"/>
      <c r="H151" s="26"/>
      <c r="I151" s="26"/>
      <c r="J151" s="26"/>
      <c r="K151" s="26"/>
      <c r="L151" s="26"/>
      <c r="M151" s="26"/>
      <c r="N151" s="26"/>
      <c r="O151" s="26"/>
      <c r="P151" s="26"/>
      <c r="Q151" s="26"/>
      <c r="R151" s="21"/>
      <c r="S151" s="21"/>
      <c r="T151" s="26"/>
      <c r="U151" s="15" t="str">
        <f aca="false">IFERROR(_xlfn.TEXTJOIN(", ",TRUE(),IF('UI 요소 상세'!G$1:G$500=A151,'UI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51" s="26"/>
      <c r="W151" s="26"/>
      <c r="X151" s="26"/>
    </row>
    <row r="152" customFormat="false" ht="15" hidden="false" customHeight="true" outlineLevel="0" collapsed="false">
      <c r="A152" s="26"/>
      <c r="B152" s="26"/>
      <c r="C152" s="26"/>
      <c r="D152" s="26"/>
      <c r="E152" s="26"/>
      <c r="F152" s="26"/>
      <c r="G152" s="26"/>
      <c r="H152" s="26"/>
      <c r="I152" s="26"/>
      <c r="J152" s="26"/>
      <c r="K152" s="26"/>
      <c r="L152" s="26"/>
      <c r="M152" s="26"/>
      <c r="N152" s="26"/>
      <c r="O152" s="26"/>
      <c r="P152" s="26"/>
      <c r="Q152" s="26"/>
      <c r="R152" s="21"/>
      <c r="S152" s="21"/>
      <c r="T152" s="26"/>
      <c r="U152" s="15" t="str">
        <f aca="false">IFERROR(_xlfn.TEXTJOIN(", ",TRUE(),IF('UI 요소 상세'!G$1:G$500=A152,'UI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52" s="26"/>
      <c r="W152" s="26"/>
      <c r="X152" s="26"/>
    </row>
    <row r="153" customFormat="false" ht="15" hidden="false" customHeight="true" outlineLevel="0" collapsed="false">
      <c r="A153" s="26"/>
      <c r="B153" s="26"/>
      <c r="C153" s="26"/>
      <c r="D153" s="26"/>
      <c r="E153" s="26"/>
      <c r="F153" s="26"/>
      <c r="G153" s="26"/>
      <c r="H153" s="26"/>
      <c r="I153" s="26"/>
      <c r="J153" s="26"/>
      <c r="K153" s="26"/>
      <c r="L153" s="26"/>
      <c r="M153" s="26"/>
      <c r="N153" s="26"/>
      <c r="O153" s="26"/>
      <c r="P153" s="26"/>
      <c r="Q153" s="26"/>
      <c r="R153" s="21"/>
      <c r="S153" s="21"/>
      <c r="T153" s="26"/>
      <c r="U153" s="15" t="str">
        <f aca="false">IFERROR(_xlfn.TEXTJOIN(", ",TRUE(),IF('UI 요소 상세'!G$1:G$500=A153,'UI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53" s="26"/>
      <c r="W153" s="26"/>
      <c r="X153" s="26"/>
    </row>
    <row r="154" customFormat="false" ht="15" hidden="false" customHeight="true" outlineLevel="0" collapsed="false">
      <c r="A154" s="26"/>
      <c r="B154" s="26"/>
      <c r="C154" s="26"/>
      <c r="D154" s="26"/>
      <c r="E154" s="26"/>
      <c r="F154" s="26"/>
      <c r="G154" s="26"/>
      <c r="H154" s="26"/>
      <c r="I154" s="26"/>
      <c r="J154" s="26"/>
      <c r="K154" s="26"/>
      <c r="L154" s="26"/>
      <c r="M154" s="26"/>
      <c r="N154" s="26"/>
      <c r="O154" s="26"/>
      <c r="P154" s="26"/>
      <c r="Q154" s="26"/>
      <c r="R154" s="21"/>
      <c r="S154" s="21"/>
      <c r="T154" s="26"/>
      <c r="U154" s="15" t="str">
        <f aca="false">IFERROR(_xlfn.TEXTJOIN(", ",TRUE(),IF('UI 요소 상세'!G$1:G$500=A154,'UI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54" s="26"/>
      <c r="W154" s="26"/>
      <c r="X154" s="26"/>
    </row>
    <row r="155" customFormat="false" ht="15" hidden="false" customHeight="true" outlineLevel="0" collapsed="false">
      <c r="A155" s="26"/>
      <c r="B155" s="26"/>
      <c r="C155" s="26"/>
      <c r="D155" s="26"/>
      <c r="E155" s="26"/>
      <c r="F155" s="26"/>
      <c r="G155" s="26"/>
      <c r="H155" s="26"/>
      <c r="I155" s="26"/>
      <c r="J155" s="26"/>
      <c r="K155" s="26"/>
      <c r="L155" s="26"/>
      <c r="M155" s="26"/>
      <c r="N155" s="26"/>
      <c r="O155" s="26"/>
      <c r="P155" s="26"/>
      <c r="Q155" s="26"/>
      <c r="R155" s="21"/>
      <c r="S155" s="21"/>
      <c r="T155" s="26"/>
      <c r="U155" s="15" t="str">
        <f aca="false">IFERROR(_xlfn.TEXTJOIN(", ",TRUE(),IF('UI 요소 상세'!G$1:G$500=A155,'UI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55" s="26"/>
      <c r="W155" s="26"/>
      <c r="X155" s="26"/>
    </row>
    <row r="156" customFormat="false" ht="15" hidden="false" customHeight="true" outlineLevel="0" collapsed="false">
      <c r="A156" s="26"/>
      <c r="B156" s="26"/>
      <c r="C156" s="26"/>
      <c r="D156" s="26"/>
      <c r="E156" s="26"/>
      <c r="F156" s="26"/>
      <c r="G156" s="26"/>
      <c r="H156" s="26"/>
      <c r="I156" s="26"/>
      <c r="J156" s="26"/>
      <c r="K156" s="26"/>
      <c r="L156" s="26"/>
      <c r="M156" s="26"/>
      <c r="N156" s="26"/>
      <c r="O156" s="26"/>
      <c r="P156" s="26"/>
      <c r="Q156" s="26"/>
      <c r="R156" s="21"/>
      <c r="S156" s="21"/>
      <c r="T156" s="26"/>
      <c r="U156" s="15" t="str">
        <f aca="false">IFERROR(_xlfn.TEXTJOIN(", ",TRUE(),IF('UI 요소 상세'!G$1:G$500=A156,'UI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56" s="26"/>
      <c r="W156" s="26"/>
      <c r="X156" s="26"/>
    </row>
    <row r="157" customFormat="false" ht="15" hidden="false" customHeight="true" outlineLevel="0" collapsed="false">
      <c r="A157" s="26"/>
      <c r="B157" s="26"/>
      <c r="C157" s="26"/>
      <c r="D157" s="26"/>
      <c r="E157" s="26"/>
      <c r="F157" s="26"/>
      <c r="G157" s="26"/>
      <c r="H157" s="26"/>
      <c r="I157" s="26"/>
      <c r="J157" s="26"/>
      <c r="K157" s="26"/>
      <c r="L157" s="26"/>
      <c r="M157" s="26"/>
      <c r="N157" s="26"/>
      <c r="O157" s="26"/>
      <c r="P157" s="26"/>
      <c r="Q157" s="26"/>
      <c r="R157" s="21"/>
      <c r="S157" s="21"/>
      <c r="T157" s="26"/>
      <c r="U157" s="15" t="str">
        <f aca="false">IFERROR(_xlfn.TEXTJOIN(", ",TRUE(),IF('UI 요소 상세'!G$1:G$500=A157,'UI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57" s="26"/>
      <c r="W157" s="26"/>
      <c r="X157" s="26"/>
    </row>
    <row r="158" customFormat="false" ht="15" hidden="false" customHeight="true" outlineLevel="0" collapsed="false">
      <c r="A158" s="26"/>
      <c r="B158" s="26"/>
      <c r="C158" s="26"/>
      <c r="D158" s="26"/>
      <c r="E158" s="26"/>
      <c r="F158" s="26"/>
      <c r="G158" s="26"/>
      <c r="H158" s="26"/>
      <c r="I158" s="26"/>
      <c r="J158" s="26"/>
      <c r="K158" s="26"/>
      <c r="L158" s="26"/>
      <c r="M158" s="26"/>
      <c r="N158" s="26"/>
      <c r="O158" s="26"/>
      <c r="P158" s="26"/>
      <c r="Q158" s="26"/>
      <c r="R158" s="21"/>
      <c r="S158" s="21"/>
      <c r="T158" s="26"/>
      <c r="U158" s="15" t="str">
        <f aca="false">IFERROR(_xlfn.TEXTJOIN(", ",TRUE(),IF('UI 요소 상세'!G$1:G$500=A158,'UI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58" s="26"/>
      <c r="W158" s="26"/>
      <c r="X158" s="26"/>
    </row>
    <row r="159" customFormat="false" ht="15" hidden="false" customHeight="true" outlineLevel="0" collapsed="false">
      <c r="A159" s="26"/>
      <c r="B159" s="26"/>
      <c r="C159" s="26"/>
      <c r="D159" s="26"/>
      <c r="E159" s="26"/>
      <c r="F159" s="26"/>
      <c r="G159" s="26"/>
      <c r="H159" s="26"/>
      <c r="I159" s="26"/>
      <c r="J159" s="26"/>
      <c r="K159" s="26"/>
      <c r="L159" s="26"/>
      <c r="M159" s="26"/>
      <c r="N159" s="26"/>
      <c r="O159" s="26"/>
      <c r="P159" s="26"/>
      <c r="Q159" s="26"/>
      <c r="R159" s="21"/>
      <c r="S159" s="21"/>
      <c r="T159" s="26"/>
      <c r="U159" s="15" t="str">
        <f aca="false">IFERROR(_xlfn.TEXTJOIN(", ",TRUE(),IF('UI 요소 상세'!G$1:G$500=A159,'UI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59" s="26"/>
      <c r="W159" s="26"/>
      <c r="X159" s="26"/>
    </row>
    <row r="160" customFormat="false" ht="15" hidden="false" customHeight="true" outlineLevel="0" collapsed="false">
      <c r="A160" s="26"/>
      <c r="B160" s="26"/>
      <c r="C160" s="26"/>
      <c r="D160" s="26"/>
      <c r="E160" s="26"/>
      <c r="F160" s="26"/>
      <c r="G160" s="26"/>
      <c r="H160" s="26"/>
      <c r="I160" s="26"/>
      <c r="J160" s="26"/>
      <c r="K160" s="26"/>
      <c r="L160" s="26"/>
      <c r="M160" s="26"/>
      <c r="N160" s="26"/>
      <c r="O160" s="26"/>
      <c r="P160" s="26"/>
      <c r="Q160" s="26"/>
      <c r="R160" s="21"/>
      <c r="S160" s="21"/>
      <c r="T160" s="26"/>
      <c r="U160" s="15" t="str">
        <f aca="false">IFERROR(_xlfn.TEXTJOIN(", ",TRUE(),IF('UI 요소 상세'!G$1:G$500=A160,'UI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60" s="26"/>
      <c r="W160" s="26"/>
      <c r="X160" s="26"/>
    </row>
    <row r="161" customFormat="false" ht="15" hidden="false" customHeight="true" outlineLevel="0" collapsed="false">
      <c r="A161" s="26"/>
      <c r="B161" s="26"/>
      <c r="C161" s="26"/>
      <c r="D161" s="26"/>
      <c r="E161" s="26"/>
      <c r="F161" s="26"/>
      <c r="G161" s="26"/>
      <c r="H161" s="26"/>
      <c r="I161" s="26"/>
      <c r="J161" s="26"/>
      <c r="K161" s="26"/>
      <c r="L161" s="26"/>
      <c r="M161" s="26"/>
      <c r="N161" s="26"/>
      <c r="O161" s="26"/>
      <c r="P161" s="26"/>
      <c r="Q161" s="26"/>
      <c r="R161" s="21"/>
      <c r="S161" s="21"/>
      <c r="T161" s="26"/>
      <c r="U161" s="15" t="str">
        <f aca="false">IFERROR(_xlfn.TEXTJOIN(", ",TRUE(),IF('UI 요소 상세'!G$1:G$500=A161,'UI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61" s="26"/>
      <c r="W161" s="26"/>
      <c r="X161" s="26"/>
    </row>
    <row r="162" customFormat="false" ht="15" hidden="false" customHeight="true" outlineLevel="0" collapsed="false">
      <c r="A162" s="26"/>
      <c r="B162" s="26"/>
      <c r="C162" s="26"/>
      <c r="D162" s="26"/>
      <c r="E162" s="26"/>
      <c r="F162" s="26"/>
      <c r="G162" s="26"/>
      <c r="H162" s="26"/>
      <c r="I162" s="26"/>
      <c r="J162" s="26"/>
      <c r="K162" s="26"/>
      <c r="L162" s="26"/>
      <c r="M162" s="26"/>
      <c r="N162" s="26"/>
      <c r="O162" s="26"/>
      <c r="P162" s="26"/>
      <c r="Q162" s="26"/>
      <c r="R162" s="21"/>
      <c r="S162" s="21"/>
      <c r="T162" s="26"/>
      <c r="U162" s="15" t="str">
        <f aca="false">IFERROR(_xlfn.TEXTJOIN(", ",TRUE(),IF('UI 요소 상세'!G$1:G$500=A162,'UI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62" s="26"/>
      <c r="W162" s="26"/>
      <c r="X162" s="26"/>
    </row>
    <row r="163" customFormat="false" ht="15" hidden="false" customHeight="true" outlineLevel="0" collapsed="false">
      <c r="A163" s="26"/>
      <c r="B163" s="26"/>
      <c r="C163" s="26"/>
      <c r="D163" s="26"/>
      <c r="E163" s="26"/>
      <c r="F163" s="26"/>
      <c r="G163" s="26"/>
      <c r="H163" s="26"/>
      <c r="I163" s="26"/>
      <c r="J163" s="26"/>
      <c r="K163" s="26"/>
      <c r="L163" s="26"/>
      <c r="M163" s="26"/>
      <c r="N163" s="26"/>
      <c r="O163" s="26"/>
      <c r="P163" s="26"/>
      <c r="Q163" s="26"/>
      <c r="R163" s="21"/>
      <c r="S163" s="21"/>
      <c r="T163" s="26"/>
      <c r="U163" s="15" t="str">
        <f aca="false">IFERROR(_xlfn.TEXTJOIN(", ",TRUE(),IF('UI 요소 상세'!G$1:G$500=A163,'UI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63" s="26"/>
      <c r="W163" s="26"/>
      <c r="X163" s="26"/>
    </row>
    <row r="164" customFormat="false" ht="15" hidden="false" customHeight="true" outlineLevel="0" collapsed="false">
      <c r="A164" s="26"/>
      <c r="B164" s="26"/>
      <c r="C164" s="26"/>
      <c r="D164" s="26"/>
      <c r="E164" s="26"/>
      <c r="F164" s="26"/>
      <c r="G164" s="26"/>
      <c r="H164" s="26"/>
      <c r="I164" s="26"/>
      <c r="J164" s="26"/>
      <c r="K164" s="26"/>
      <c r="L164" s="26"/>
      <c r="M164" s="26"/>
      <c r="N164" s="26"/>
      <c r="O164" s="26"/>
      <c r="P164" s="26"/>
      <c r="Q164" s="26"/>
      <c r="R164" s="21"/>
      <c r="S164" s="21"/>
      <c r="T164" s="26"/>
      <c r="U164" s="15" t="str">
        <f aca="false">IFERROR(_xlfn.TEXTJOIN(", ",TRUE(),IF('UI 요소 상세'!G$1:G$500=A164,'UI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64" s="26"/>
      <c r="W164" s="26"/>
      <c r="X164" s="26"/>
    </row>
    <row r="165" customFormat="false" ht="15" hidden="false" customHeight="true" outlineLevel="0" collapsed="false">
      <c r="A165" s="26"/>
      <c r="B165" s="26"/>
      <c r="C165" s="26"/>
      <c r="D165" s="26"/>
      <c r="E165" s="26"/>
      <c r="F165" s="26"/>
      <c r="G165" s="26"/>
      <c r="H165" s="26"/>
      <c r="I165" s="26"/>
      <c r="J165" s="26"/>
      <c r="K165" s="26"/>
      <c r="L165" s="26"/>
      <c r="M165" s="26"/>
      <c r="N165" s="26"/>
      <c r="O165" s="26"/>
      <c r="P165" s="26"/>
      <c r="Q165" s="26"/>
      <c r="R165" s="21"/>
      <c r="S165" s="21"/>
      <c r="T165" s="26"/>
      <c r="U165" s="15" t="str">
        <f aca="false">IFERROR(_xlfn.TEXTJOIN(", ",TRUE(),IF('UI 요소 상세'!G$1:G$500=A165,'UI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65" s="26"/>
      <c r="W165" s="26"/>
      <c r="X165" s="26"/>
    </row>
    <row r="166" customFormat="false" ht="15" hidden="false" customHeight="true" outlineLevel="0" collapsed="false">
      <c r="A166" s="26"/>
      <c r="B166" s="26"/>
      <c r="C166" s="26"/>
      <c r="D166" s="26"/>
      <c r="E166" s="26"/>
      <c r="F166" s="26"/>
      <c r="G166" s="26"/>
      <c r="H166" s="26"/>
      <c r="I166" s="26"/>
      <c r="J166" s="26"/>
      <c r="K166" s="26"/>
      <c r="L166" s="26"/>
      <c r="M166" s="26"/>
      <c r="N166" s="26"/>
      <c r="O166" s="26"/>
      <c r="P166" s="26"/>
      <c r="Q166" s="26"/>
      <c r="R166" s="21"/>
      <c r="S166" s="21"/>
      <c r="T166" s="26"/>
      <c r="U166" s="15" t="str">
        <f aca="false">IFERROR(_xlfn.TEXTJOIN(", ",TRUE(),IF('UI 요소 상세'!G$1:G$500=A166,'UI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66" s="26"/>
      <c r="W166" s="26"/>
      <c r="X166" s="26"/>
    </row>
    <row r="167" customFormat="false" ht="15" hidden="false" customHeight="true" outlineLevel="0" collapsed="false">
      <c r="A167" s="26"/>
      <c r="B167" s="26"/>
      <c r="C167" s="26"/>
      <c r="D167" s="26"/>
      <c r="E167" s="26"/>
      <c r="F167" s="26"/>
      <c r="G167" s="26"/>
      <c r="H167" s="26"/>
      <c r="I167" s="26"/>
      <c r="J167" s="26"/>
      <c r="K167" s="26"/>
      <c r="L167" s="26"/>
      <c r="M167" s="26"/>
      <c r="N167" s="26"/>
      <c r="O167" s="26"/>
      <c r="P167" s="26"/>
      <c r="Q167" s="26"/>
      <c r="R167" s="21"/>
      <c r="S167" s="21"/>
      <c r="T167" s="26"/>
      <c r="U167" s="15" t="str">
        <f aca="false">IFERROR(_xlfn.TEXTJOIN(", ",TRUE(),IF('UI 요소 상세'!G$1:G$500=A167,'UI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67" s="26"/>
      <c r="W167" s="26"/>
      <c r="X167" s="26"/>
    </row>
    <row r="168" customFormat="false" ht="15" hidden="false" customHeight="true" outlineLevel="0" collapsed="false">
      <c r="A168" s="26"/>
      <c r="B168" s="26"/>
      <c r="C168" s="26"/>
      <c r="D168" s="26"/>
      <c r="E168" s="26"/>
      <c r="F168" s="26"/>
      <c r="G168" s="26"/>
      <c r="H168" s="26"/>
      <c r="I168" s="26"/>
      <c r="J168" s="26"/>
      <c r="K168" s="26"/>
      <c r="L168" s="26"/>
      <c r="M168" s="26"/>
      <c r="N168" s="26"/>
      <c r="O168" s="26"/>
      <c r="P168" s="26"/>
      <c r="Q168" s="26"/>
      <c r="R168" s="21"/>
      <c r="S168" s="21"/>
      <c r="T168" s="26"/>
      <c r="U168" s="15" t="str">
        <f aca="false">IFERROR(_xlfn.TEXTJOIN(", ",TRUE(),IF('UI 요소 상세'!G$1:G$500=A168,'UI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68" s="26"/>
      <c r="W168" s="26"/>
      <c r="X168" s="26"/>
    </row>
    <row r="169" customFormat="false" ht="15" hidden="false" customHeight="true" outlineLevel="0" collapsed="false">
      <c r="A169" s="26"/>
      <c r="B169" s="26"/>
      <c r="C169" s="26"/>
      <c r="D169" s="26"/>
      <c r="E169" s="26"/>
      <c r="F169" s="26"/>
      <c r="G169" s="26"/>
      <c r="H169" s="26"/>
      <c r="I169" s="26"/>
      <c r="J169" s="26"/>
      <c r="K169" s="26"/>
      <c r="L169" s="26"/>
      <c r="M169" s="26"/>
      <c r="N169" s="26"/>
      <c r="O169" s="26"/>
      <c r="P169" s="26"/>
      <c r="Q169" s="26"/>
      <c r="R169" s="21"/>
      <c r="S169" s="21"/>
      <c r="T169" s="26"/>
      <c r="U169" s="15" t="str">
        <f aca="false">IFERROR(_xlfn.TEXTJOIN(", ",TRUE(),IF('UI 요소 상세'!G$1:G$500=A169,'UI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69" s="26"/>
      <c r="W169" s="26"/>
      <c r="X169" s="26"/>
    </row>
    <row r="170" customFormat="false" ht="15" hidden="false" customHeight="true" outlineLevel="0" collapsed="false">
      <c r="A170" s="26"/>
      <c r="B170" s="26"/>
      <c r="C170" s="26"/>
      <c r="D170" s="26"/>
      <c r="E170" s="26"/>
      <c r="F170" s="26"/>
      <c r="G170" s="26"/>
      <c r="H170" s="26"/>
      <c r="I170" s="26"/>
      <c r="J170" s="26"/>
      <c r="K170" s="26"/>
      <c r="L170" s="26"/>
      <c r="M170" s="26"/>
      <c r="N170" s="26"/>
      <c r="O170" s="26"/>
      <c r="P170" s="26"/>
      <c r="Q170" s="26"/>
      <c r="R170" s="21"/>
      <c r="S170" s="21"/>
      <c r="T170" s="26"/>
      <c r="U170" s="15" t="str">
        <f aca="false">IFERROR(_xlfn.TEXTJOIN(", ",TRUE(),IF('UI 요소 상세'!G$1:G$500=A170,'UI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70" s="26"/>
      <c r="W170" s="26"/>
      <c r="X170" s="26"/>
    </row>
    <row r="171" customFormat="false" ht="15" hidden="false" customHeight="true" outlineLevel="0" collapsed="false">
      <c r="A171" s="26"/>
      <c r="B171" s="26"/>
      <c r="C171" s="26"/>
      <c r="D171" s="26"/>
      <c r="E171" s="26"/>
      <c r="F171" s="26"/>
      <c r="G171" s="26"/>
      <c r="H171" s="26"/>
      <c r="I171" s="26"/>
      <c r="J171" s="26"/>
      <c r="K171" s="26"/>
      <c r="L171" s="26"/>
      <c r="M171" s="26"/>
      <c r="N171" s="26"/>
      <c r="O171" s="26"/>
      <c r="P171" s="26"/>
      <c r="Q171" s="26"/>
      <c r="R171" s="21"/>
      <c r="S171" s="21"/>
      <c r="T171" s="26"/>
      <c r="U171" s="15" t="str">
        <f aca="false">IFERROR(_xlfn.TEXTJOIN(", ",TRUE(),IF('UI 요소 상세'!G$1:G$500=A171,'UI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71" s="26"/>
      <c r="W171" s="26"/>
      <c r="X171" s="26"/>
    </row>
    <row r="172" customFormat="false" ht="15" hidden="false" customHeight="true" outlineLevel="0" collapsed="false">
      <c r="A172" s="26"/>
      <c r="B172" s="26"/>
      <c r="C172" s="26"/>
      <c r="D172" s="26"/>
      <c r="E172" s="26"/>
      <c r="F172" s="26"/>
      <c r="G172" s="26"/>
      <c r="H172" s="26"/>
      <c r="I172" s="26"/>
      <c r="J172" s="26"/>
      <c r="K172" s="26"/>
      <c r="L172" s="26"/>
      <c r="M172" s="26"/>
      <c r="N172" s="26"/>
      <c r="O172" s="26"/>
      <c r="P172" s="26"/>
      <c r="Q172" s="26"/>
      <c r="R172" s="21"/>
      <c r="S172" s="21"/>
      <c r="T172" s="26"/>
      <c r="U172" s="15" t="str">
        <f aca="false">IFERROR(_xlfn.TEXTJOIN(", ",TRUE(),IF('UI 요소 상세'!G$1:G$500=A172,'UI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72" s="26"/>
      <c r="W172" s="26"/>
      <c r="X172" s="26"/>
    </row>
    <row r="173" customFormat="false" ht="15" hidden="false" customHeight="true" outlineLevel="0" collapsed="false">
      <c r="A173" s="26"/>
      <c r="B173" s="26"/>
      <c r="C173" s="26"/>
      <c r="D173" s="26"/>
      <c r="E173" s="26"/>
      <c r="F173" s="26"/>
      <c r="G173" s="26"/>
      <c r="H173" s="26"/>
      <c r="I173" s="26"/>
      <c r="J173" s="26"/>
      <c r="K173" s="26"/>
      <c r="L173" s="26"/>
      <c r="M173" s="26"/>
      <c r="N173" s="26"/>
      <c r="O173" s="26"/>
      <c r="P173" s="26"/>
      <c r="Q173" s="26"/>
      <c r="R173" s="21"/>
      <c r="S173" s="21"/>
      <c r="T173" s="26"/>
      <c r="U173" s="15" t="str">
        <f aca="false">IFERROR(_xlfn.TEXTJOIN(", ",TRUE(),IF('UI 요소 상세'!G$1:G$500=A173,'UI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73" s="26"/>
      <c r="W173" s="26"/>
      <c r="X173" s="26"/>
    </row>
    <row r="174" customFormat="false" ht="15" hidden="false" customHeight="true" outlineLevel="0" collapsed="false">
      <c r="A174" s="26"/>
      <c r="B174" s="26"/>
      <c r="C174" s="26"/>
      <c r="D174" s="26"/>
      <c r="E174" s="26"/>
      <c r="F174" s="26"/>
      <c r="G174" s="26"/>
      <c r="H174" s="26"/>
      <c r="I174" s="26"/>
      <c r="J174" s="26"/>
      <c r="K174" s="26"/>
      <c r="L174" s="26"/>
      <c r="M174" s="26"/>
      <c r="N174" s="26"/>
      <c r="O174" s="26"/>
      <c r="P174" s="26"/>
      <c r="Q174" s="26"/>
      <c r="R174" s="21"/>
      <c r="S174" s="21"/>
      <c r="T174" s="26"/>
      <c r="U174" s="15" t="str">
        <f aca="false">IFERROR(_xlfn.TEXTJOIN(", ",TRUE(),IF('UI 요소 상세'!G$1:G$500=A174,'UI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74" s="26"/>
      <c r="W174" s="26"/>
      <c r="X174" s="26"/>
    </row>
    <row r="175" customFormat="false" ht="15" hidden="false" customHeight="true" outlineLevel="0" collapsed="false">
      <c r="A175" s="26"/>
      <c r="B175" s="26"/>
      <c r="C175" s="26"/>
      <c r="D175" s="26"/>
      <c r="E175" s="26"/>
      <c r="F175" s="26"/>
      <c r="G175" s="26"/>
      <c r="H175" s="26"/>
      <c r="I175" s="26"/>
      <c r="J175" s="26"/>
      <c r="K175" s="26"/>
      <c r="L175" s="26"/>
      <c r="M175" s="26"/>
      <c r="N175" s="26"/>
      <c r="O175" s="26"/>
      <c r="P175" s="26"/>
      <c r="Q175" s="26"/>
      <c r="R175" s="21"/>
      <c r="S175" s="21"/>
      <c r="T175" s="26"/>
      <c r="U175" s="15" t="str">
        <f aca="false">IFERROR(_xlfn.TEXTJOIN(", ",TRUE(),IF('UI 요소 상세'!G$1:G$500=A175,'UI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75" s="26"/>
      <c r="W175" s="26"/>
      <c r="X175" s="26"/>
    </row>
    <row r="176" customFormat="false" ht="15" hidden="false" customHeight="true" outlineLevel="0" collapsed="false">
      <c r="A176" s="26"/>
      <c r="B176" s="26"/>
      <c r="C176" s="26"/>
      <c r="D176" s="26"/>
      <c r="E176" s="26"/>
      <c r="F176" s="26"/>
      <c r="G176" s="26"/>
      <c r="H176" s="26"/>
      <c r="I176" s="26"/>
      <c r="J176" s="26"/>
      <c r="K176" s="26"/>
      <c r="L176" s="26"/>
      <c r="M176" s="26"/>
      <c r="N176" s="26"/>
      <c r="O176" s="26"/>
      <c r="P176" s="26"/>
      <c r="Q176" s="26"/>
      <c r="R176" s="21"/>
      <c r="S176" s="21"/>
      <c r="T176" s="26"/>
      <c r="U176" s="15" t="str">
        <f aca="false">IFERROR(_xlfn.TEXTJOIN(", ",TRUE(),IF('UI 요소 상세'!G$1:G$500=A176,'UI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76" s="26"/>
      <c r="W176" s="26"/>
      <c r="X176" s="26"/>
    </row>
    <row r="177" customFormat="false" ht="15" hidden="false" customHeight="true" outlineLevel="0" collapsed="false">
      <c r="A177" s="26"/>
      <c r="B177" s="26"/>
      <c r="C177" s="26"/>
      <c r="D177" s="26"/>
      <c r="E177" s="26"/>
      <c r="F177" s="26"/>
      <c r="G177" s="26"/>
      <c r="H177" s="26"/>
      <c r="I177" s="26"/>
      <c r="J177" s="26"/>
      <c r="K177" s="26"/>
      <c r="L177" s="26"/>
      <c r="M177" s="26"/>
      <c r="N177" s="26"/>
      <c r="O177" s="26"/>
      <c r="P177" s="26"/>
      <c r="Q177" s="26"/>
      <c r="R177" s="21"/>
      <c r="S177" s="21"/>
      <c r="T177" s="26"/>
      <c r="U177" s="15" t="str">
        <f aca="false">IFERROR(_xlfn.TEXTJOIN(", ",TRUE(),IF('UI 요소 상세'!G$1:G$500=A177,'UI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77" s="26"/>
      <c r="W177" s="26"/>
      <c r="X177" s="26"/>
    </row>
    <row r="178" customFormat="false" ht="15" hidden="false" customHeight="true" outlineLevel="0" collapsed="false">
      <c r="A178" s="26"/>
      <c r="B178" s="26"/>
      <c r="C178" s="26"/>
      <c r="D178" s="26"/>
      <c r="E178" s="26"/>
      <c r="F178" s="26"/>
      <c r="G178" s="26"/>
      <c r="H178" s="26"/>
      <c r="I178" s="26"/>
      <c r="J178" s="26"/>
      <c r="K178" s="26"/>
      <c r="L178" s="26"/>
      <c r="M178" s="26"/>
      <c r="N178" s="26"/>
      <c r="O178" s="26"/>
      <c r="P178" s="26"/>
      <c r="Q178" s="26"/>
      <c r="R178" s="21"/>
      <c r="S178" s="21"/>
      <c r="T178" s="26"/>
      <c r="U178" s="15" t="str">
        <f aca="false">IFERROR(_xlfn.TEXTJOIN(", ",TRUE(),IF('UI 요소 상세'!G$1:G$500=A178,'UI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78" s="26"/>
      <c r="W178" s="26"/>
      <c r="X178" s="26"/>
    </row>
    <row r="179" customFormat="false" ht="15" hidden="false" customHeight="true" outlineLevel="0" collapsed="false">
      <c r="A179" s="26"/>
      <c r="B179" s="26"/>
      <c r="C179" s="26"/>
      <c r="D179" s="26"/>
      <c r="E179" s="26"/>
      <c r="F179" s="26"/>
      <c r="G179" s="26"/>
      <c r="H179" s="26"/>
      <c r="I179" s="26"/>
      <c r="J179" s="26"/>
      <c r="K179" s="26"/>
      <c r="L179" s="26"/>
      <c r="M179" s="26"/>
      <c r="N179" s="26"/>
      <c r="O179" s="26"/>
      <c r="P179" s="26"/>
      <c r="Q179" s="26"/>
      <c r="R179" s="21"/>
      <c r="S179" s="21"/>
      <c r="T179" s="26"/>
      <c r="U179" s="15" t="str">
        <f aca="false">IFERROR(_xlfn.TEXTJOIN(", ",TRUE(),IF('UI 요소 상세'!G$1:G$500=A179,'UI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79" s="26"/>
      <c r="W179" s="26"/>
      <c r="X179" s="26"/>
    </row>
    <row r="180" customFormat="false" ht="15" hidden="false" customHeight="true" outlineLevel="0" collapsed="false">
      <c r="A180" s="26"/>
      <c r="B180" s="26"/>
      <c r="C180" s="26"/>
      <c r="D180" s="26"/>
      <c r="E180" s="26"/>
      <c r="F180" s="26"/>
      <c r="G180" s="26"/>
      <c r="H180" s="26"/>
      <c r="I180" s="26"/>
      <c r="J180" s="26"/>
      <c r="K180" s="26"/>
      <c r="L180" s="26"/>
      <c r="M180" s="26"/>
      <c r="N180" s="26"/>
      <c r="O180" s="26"/>
      <c r="P180" s="26"/>
      <c r="Q180" s="26"/>
      <c r="R180" s="21"/>
      <c r="S180" s="21"/>
      <c r="T180" s="26"/>
      <c r="U180" s="15" t="str">
        <f aca="false">IFERROR(_xlfn.TEXTJOIN(", ",TRUE(),IF('UI 요소 상세'!G$1:G$500=A180,'UI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80" s="26"/>
      <c r="W180" s="26"/>
      <c r="X180" s="26"/>
    </row>
    <row r="181" customFormat="false" ht="15" hidden="false" customHeight="true" outlineLevel="0" collapsed="false">
      <c r="A181" s="26"/>
      <c r="B181" s="26"/>
      <c r="C181" s="26"/>
      <c r="D181" s="26"/>
      <c r="E181" s="26"/>
      <c r="F181" s="26"/>
      <c r="G181" s="26"/>
      <c r="H181" s="26"/>
      <c r="I181" s="26"/>
      <c r="J181" s="26"/>
      <c r="K181" s="26"/>
      <c r="L181" s="26"/>
      <c r="M181" s="26"/>
      <c r="N181" s="26"/>
      <c r="O181" s="26"/>
      <c r="P181" s="26"/>
      <c r="Q181" s="26"/>
      <c r="R181" s="21"/>
      <c r="S181" s="21"/>
      <c r="T181" s="26"/>
      <c r="U181" s="15" t="str">
        <f aca="false">IFERROR(_xlfn.TEXTJOIN(", ",TRUE(),IF('UI 요소 상세'!G$1:G$500=A181,'UI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81" s="26"/>
      <c r="W181" s="26"/>
      <c r="X181" s="26"/>
    </row>
    <row r="182" customFormat="false" ht="15" hidden="false" customHeight="true" outlineLevel="0" collapsed="false">
      <c r="A182" s="26"/>
      <c r="B182" s="26"/>
      <c r="C182" s="26"/>
      <c r="D182" s="26"/>
      <c r="E182" s="26"/>
      <c r="F182" s="26"/>
      <c r="G182" s="26"/>
      <c r="H182" s="26"/>
      <c r="I182" s="26"/>
      <c r="J182" s="26"/>
      <c r="K182" s="26"/>
      <c r="L182" s="26"/>
      <c r="M182" s="26"/>
      <c r="N182" s="26"/>
      <c r="O182" s="26"/>
      <c r="P182" s="26"/>
      <c r="Q182" s="26"/>
      <c r="R182" s="21"/>
      <c r="S182" s="21"/>
      <c r="T182" s="26"/>
      <c r="U182" s="15" t="str">
        <f aca="false">IFERROR(_xlfn.TEXTJOIN(", ",TRUE(),IF('UI 요소 상세'!G$1:G$500=A182,'UI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82" s="26"/>
      <c r="W182" s="26"/>
      <c r="X182" s="26"/>
    </row>
    <row r="183" customFormat="false" ht="15" hidden="false" customHeight="true" outlineLevel="0" collapsed="false">
      <c r="A183" s="26"/>
      <c r="B183" s="26"/>
      <c r="C183" s="26"/>
      <c r="D183" s="26"/>
      <c r="E183" s="26"/>
      <c r="F183" s="26"/>
      <c r="G183" s="26"/>
      <c r="H183" s="26"/>
      <c r="I183" s="26"/>
      <c r="J183" s="26"/>
      <c r="K183" s="26"/>
      <c r="L183" s="26"/>
      <c r="M183" s="26"/>
      <c r="N183" s="26"/>
      <c r="O183" s="26"/>
      <c r="P183" s="26"/>
      <c r="Q183" s="26"/>
      <c r="R183" s="21"/>
      <c r="S183" s="21"/>
      <c r="T183" s="26"/>
      <c r="U183" s="15" t="str">
        <f aca="false">IFERROR(_xlfn.TEXTJOIN(", ",TRUE(),IF('UI 요소 상세'!G$1:G$500=A183,'UI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83" s="26"/>
      <c r="W183" s="26"/>
      <c r="X183" s="26"/>
    </row>
    <row r="184" customFormat="false" ht="15" hidden="false" customHeight="true" outlineLevel="0" collapsed="false">
      <c r="A184" s="26"/>
      <c r="B184" s="26"/>
      <c r="C184" s="26"/>
      <c r="D184" s="26"/>
      <c r="E184" s="26"/>
      <c r="F184" s="26"/>
      <c r="G184" s="26"/>
      <c r="H184" s="26"/>
      <c r="I184" s="26"/>
      <c r="J184" s="26"/>
      <c r="K184" s="26"/>
      <c r="L184" s="26"/>
      <c r="M184" s="26"/>
      <c r="N184" s="26"/>
      <c r="O184" s="26"/>
      <c r="P184" s="26"/>
      <c r="Q184" s="26"/>
      <c r="R184" s="21"/>
      <c r="S184" s="21"/>
      <c r="T184" s="26"/>
      <c r="U184" s="15" t="str">
        <f aca="false">IFERROR(_xlfn.TEXTJOIN(", ",TRUE(),IF('UI 요소 상세'!G$1:G$500=A184,'UI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84" s="26"/>
      <c r="W184" s="26"/>
      <c r="X184" s="26"/>
    </row>
    <row r="185" customFormat="false" ht="15" hidden="false" customHeight="true" outlineLevel="0" collapsed="false">
      <c r="A185" s="26"/>
      <c r="B185" s="26"/>
      <c r="C185" s="26"/>
      <c r="D185" s="26"/>
      <c r="E185" s="26"/>
      <c r="F185" s="26"/>
      <c r="G185" s="26"/>
      <c r="H185" s="26"/>
      <c r="I185" s="26"/>
      <c r="J185" s="26"/>
      <c r="K185" s="26"/>
      <c r="L185" s="26"/>
      <c r="M185" s="26"/>
      <c r="N185" s="26"/>
      <c r="O185" s="26"/>
      <c r="P185" s="26"/>
      <c r="Q185" s="26"/>
      <c r="R185" s="21"/>
      <c r="S185" s="21"/>
      <c r="T185" s="26"/>
      <c r="U185" s="15" t="str">
        <f aca="false">IFERROR(_xlfn.TEXTJOIN(", ",TRUE(),IF('UI 요소 상세'!G$1:G$500=A185,'UI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85" s="26"/>
      <c r="W185" s="26"/>
      <c r="X185" s="26"/>
    </row>
    <row r="186" customFormat="false" ht="15" hidden="false" customHeight="true" outlineLevel="0" collapsed="false">
      <c r="A186" s="26"/>
      <c r="B186" s="26"/>
      <c r="C186" s="26"/>
      <c r="D186" s="26"/>
      <c r="E186" s="26"/>
      <c r="F186" s="26"/>
      <c r="G186" s="26"/>
      <c r="H186" s="26"/>
      <c r="I186" s="26"/>
      <c r="J186" s="26"/>
      <c r="K186" s="26"/>
      <c r="L186" s="26"/>
      <c r="M186" s="26"/>
      <c r="N186" s="26"/>
      <c r="O186" s="26"/>
      <c r="P186" s="26"/>
      <c r="Q186" s="26"/>
      <c r="R186" s="21"/>
      <c r="S186" s="21"/>
      <c r="T186" s="26"/>
      <c r="U186" s="15" t="str">
        <f aca="false">IFERROR(_xlfn.TEXTJOIN(", ",TRUE(),IF('UI 요소 상세'!G$1:G$500=A186,'UI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86" s="26"/>
      <c r="W186" s="26"/>
      <c r="X186" s="26"/>
    </row>
    <row r="187" customFormat="false" ht="15" hidden="false" customHeight="true" outlineLevel="0" collapsed="false">
      <c r="A187" s="26"/>
      <c r="B187" s="26"/>
      <c r="C187" s="26"/>
      <c r="D187" s="26"/>
      <c r="E187" s="26"/>
      <c r="F187" s="26"/>
      <c r="G187" s="26"/>
      <c r="H187" s="26"/>
      <c r="I187" s="26"/>
      <c r="J187" s="26"/>
      <c r="K187" s="26"/>
      <c r="L187" s="26"/>
      <c r="M187" s="26"/>
      <c r="N187" s="26"/>
      <c r="O187" s="26"/>
      <c r="P187" s="26"/>
      <c r="Q187" s="26"/>
      <c r="R187" s="21"/>
      <c r="S187" s="21"/>
      <c r="T187" s="26"/>
      <c r="U187" s="15" t="str">
        <f aca="false">IFERROR(_xlfn.TEXTJOIN(", ",TRUE(),IF('UI 요소 상세'!G$1:G$500=A187,'UI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87" s="26"/>
      <c r="W187" s="26"/>
      <c r="X187" s="26"/>
    </row>
    <row r="188" customFormat="false" ht="15" hidden="false" customHeight="true" outlineLevel="0" collapsed="false">
      <c r="A188" s="26"/>
      <c r="B188" s="26"/>
      <c r="C188" s="26"/>
      <c r="D188" s="26"/>
      <c r="E188" s="26"/>
      <c r="F188" s="26"/>
      <c r="G188" s="26"/>
      <c r="H188" s="26"/>
      <c r="I188" s="26"/>
      <c r="J188" s="26"/>
      <c r="K188" s="26"/>
      <c r="L188" s="26"/>
      <c r="M188" s="26"/>
      <c r="N188" s="26"/>
      <c r="O188" s="26"/>
      <c r="P188" s="26"/>
      <c r="Q188" s="26"/>
      <c r="R188" s="21"/>
      <c r="S188" s="21"/>
      <c r="T188" s="26"/>
      <c r="U188" s="15" t="str">
        <f aca="false">IFERROR(_xlfn.TEXTJOIN(", ",TRUE(),IF('UI 요소 상세'!G$1:G$500=A188,'UI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88" s="26"/>
      <c r="W188" s="26"/>
      <c r="X188" s="26"/>
    </row>
    <row r="189" customFormat="false" ht="15" hidden="false" customHeight="true" outlineLevel="0" collapsed="false">
      <c r="A189" s="26"/>
      <c r="B189" s="26"/>
      <c r="C189" s="26"/>
      <c r="D189" s="26"/>
      <c r="E189" s="26"/>
      <c r="F189" s="26"/>
      <c r="G189" s="26"/>
      <c r="H189" s="26"/>
      <c r="I189" s="26"/>
      <c r="J189" s="26"/>
      <c r="K189" s="26"/>
      <c r="L189" s="26"/>
      <c r="M189" s="26"/>
      <c r="N189" s="26"/>
      <c r="O189" s="26"/>
      <c r="P189" s="26"/>
      <c r="Q189" s="26"/>
      <c r="R189" s="21"/>
      <c r="S189" s="21"/>
      <c r="T189" s="26"/>
      <c r="U189" s="15" t="str">
        <f aca="false">IFERROR(_xlfn.TEXTJOIN(", ",TRUE(),IF('UI 요소 상세'!G$1:G$500=A189,'UI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89" s="26"/>
      <c r="W189" s="26"/>
      <c r="X189" s="26"/>
    </row>
    <row r="190" customFormat="false" ht="15" hidden="false" customHeight="true" outlineLevel="0" collapsed="false">
      <c r="A190" s="26"/>
      <c r="B190" s="26"/>
      <c r="C190" s="26"/>
      <c r="D190" s="26"/>
      <c r="E190" s="26"/>
      <c r="F190" s="26"/>
      <c r="G190" s="26"/>
      <c r="H190" s="26"/>
      <c r="I190" s="26"/>
      <c r="J190" s="26"/>
      <c r="K190" s="26"/>
      <c r="L190" s="26"/>
      <c r="M190" s="26"/>
      <c r="N190" s="26"/>
      <c r="O190" s="26"/>
      <c r="P190" s="26"/>
      <c r="Q190" s="26"/>
      <c r="R190" s="21"/>
      <c r="S190" s="21"/>
      <c r="T190" s="26"/>
      <c r="U190" s="15" t="str">
        <f aca="false">IFERROR(_xlfn.TEXTJOIN(", ",TRUE(),IF('UI 요소 상세'!G$1:G$500=A190,'UI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90" s="26"/>
      <c r="W190" s="26"/>
      <c r="X190" s="26"/>
    </row>
    <row r="191" customFormat="false" ht="15" hidden="false" customHeight="true" outlineLevel="0" collapsed="false">
      <c r="A191" s="26"/>
      <c r="B191" s="26"/>
      <c r="C191" s="26"/>
      <c r="D191" s="26"/>
      <c r="E191" s="26"/>
      <c r="F191" s="26"/>
      <c r="G191" s="26"/>
      <c r="H191" s="26"/>
      <c r="I191" s="26"/>
      <c r="J191" s="26"/>
      <c r="K191" s="26"/>
      <c r="L191" s="26"/>
      <c r="M191" s="26"/>
      <c r="N191" s="26"/>
      <c r="O191" s="26"/>
      <c r="P191" s="26"/>
      <c r="Q191" s="26"/>
      <c r="R191" s="21"/>
      <c r="S191" s="21"/>
      <c r="T191" s="26"/>
      <c r="U191" s="15" t="str">
        <f aca="false">IFERROR(_xlfn.TEXTJOIN(", ",TRUE(),IF('UI 요소 상세'!G$1:G$500=A191,'UI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91" s="26"/>
      <c r="W191" s="26"/>
      <c r="X191" s="26"/>
    </row>
    <row r="192" customFormat="false" ht="15" hidden="false" customHeight="true" outlineLevel="0" collapsed="false">
      <c r="A192" s="26"/>
      <c r="B192" s="26"/>
      <c r="C192" s="26"/>
      <c r="D192" s="26"/>
      <c r="E192" s="26"/>
      <c r="F192" s="26"/>
      <c r="G192" s="26"/>
      <c r="H192" s="26"/>
      <c r="I192" s="26"/>
      <c r="J192" s="26"/>
      <c r="K192" s="26"/>
      <c r="L192" s="26"/>
      <c r="M192" s="26"/>
      <c r="N192" s="26"/>
      <c r="O192" s="26"/>
      <c r="P192" s="26"/>
      <c r="Q192" s="26"/>
      <c r="R192" s="21"/>
      <c r="S192" s="21"/>
      <c r="T192" s="26"/>
      <c r="U192" s="15" t="str">
        <f aca="false">IFERROR(_xlfn.TEXTJOIN(", ",TRUE(),IF('UI 요소 상세'!G$1:G$500=A192,'UI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92" s="26"/>
      <c r="W192" s="26"/>
      <c r="X192" s="26"/>
    </row>
    <row r="193" customFormat="false" ht="15" hidden="false" customHeight="true" outlineLevel="0" collapsed="false">
      <c r="A193" s="26"/>
      <c r="B193" s="26"/>
      <c r="C193" s="26"/>
      <c r="D193" s="26"/>
      <c r="E193" s="26"/>
      <c r="F193" s="26"/>
      <c r="G193" s="26"/>
      <c r="H193" s="26"/>
      <c r="I193" s="26"/>
      <c r="J193" s="26"/>
      <c r="K193" s="26"/>
      <c r="L193" s="26"/>
      <c r="M193" s="26"/>
      <c r="N193" s="26"/>
      <c r="O193" s="26"/>
      <c r="P193" s="26"/>
      <c r="Q193" s="26"/>
      <c r="R193" s="21"/>
      <c r="S193" s="21"/>
      <c r="T193" s="26"/>
      <c r="U193" s="15" t="str">
        <f aca="false">IFERROR(_xlfn.TEXTJOIN(", ",TRUE(),IF('UI 요소 상세'!G$1:G$500=A193,'UI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93" s="26"/>
      <c r="W193" s="26"/>
      <c r="X193" s="26"/>
    </row>
    <row r="194" customFormat="false" ht="15" hidden="false" customHeight="true" outlineLevel="0" collapsed="false">
      <c r="A194" s="26"/>
      <c r="B194" s="26"/>
      <c r="C194" s="26"/>
      <c r="D194" s="26"/>
      <c r="E194" s="26"/>
      <c r="F194" s="26"/>
      <c r="G194" s="26"/>
      <c r="H194" s="26"/>
      <c r="I194" s="26"/>
      <c r="J194" s="26"/>
      <c r="K194" s="26"/>
      <c r="L194" s="26"/>
      <c r="M194" s="26"/>
      <c r="N194" s="26"/>
      <c r="O194" s="26"/>
      <c r="P194" s="26"/>
      <c r="Q194" s="26"/>
      <c r="R194" s="21"/>
      <c r="S194" s="21"/>
      <c r="T194" s="26"/>
      <c r="U194" s="15" t="str">
        <f aca="false">IFERROR(_xlfn.TEXTJOIN(", ",TRUE(),IF('UI 요소 상세'!G$1:G$500=A194,'UI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94" s="26"/>
      <c r="W194" s="26"/>
      <c r="X194" s="26"/>
    </row>
    <row r="195" customFormat="false" ht="15" hidden="false" customHeight="true" outlineLevel="0" collapsed="false">
      <c r="A195" s="26"/>
      <c r="B195" s="26"/>
      <c r="C195" s="26"/>
      <c r="D195" s="26"/>
      <c r="E195" s="26"/>
      <c r="F195" s="26"/>
      <c r="G195" s="26"/>
      <c r="H195" s="26"/>
      <c r="I195" s="26"/>
      <c r="J195" s="26"/>
      <c r="K195" s="26"/>
      <c r="L195" s="26"/>
      <c r="M195" s="26"/>
      <c r="N195" s="26"/>
      <c r="O195" s="26"/>
      <c r="P195" s="26"/>
      <c r="Q195" s="26"/>
      <c r="R195" s="21"/>
      <c r="S195" s="21"/>
      <c r="T195" s="26"/>
      <c r="U195" s="15" t="str">
        <f aca="false">IFERROR(_xlfn.TEXTJOIN(", ",TRUE(),IF('UI 요소 상세'!G$1:G$500=A195,'UI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95" s="26"/>
      <c r="W195" s="26"/>
      <c r="X195" s="26"/>
    </row>
    <row r="196" customFormat="false" ht="15" hidden="false" customHeight="true" outlineLevel="0" collapsed="false">
      <c r="A196" s="26"/>
      <c r="B196" s="26"/>
      <c r="C196" s="26"/>
      <c r="D196" s="26"/>
      <c r="E196" s="26"/>
      <c r="F196" s="26"/>
      <c r="G196" s="26"/>
      <c r="H196" s="26"/>
      <c r="I196" s="26"/>
      <c r="J196" s="26"/>
      <c r="K196" s="26"/>
      <c r="L196" s="26"/>
      <c r="M196" s="26"/>
      <c r="N196" s="26"/>
      <c r="O196" s="26"/>
      <c r="P196" s="26"/>
      <c r="Q196" s="26"/>
      <c r="R196" s="21"/>
      <c r="S196" s="21"/>
      <c r="T196" s="26"/>
      <c r="U196" s="15" t="str">
        <f aca="false">IFERROR(_xlfn.TEXTJOIN(", ",TRUE(),IF('UI 요소 상세'!G$1:G$500=A196,'UI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96" s="26"/>
      <c r="W196" s="26"/>
      <c r="X196" s="26"/>
    </row>
    <row r="197" customFormat="false" ht="15" hidden="false" customHeight="true" outlineLevel="0" collapsed="false">
      <c r="A197" s="26"/>
      <c r="B197" s="26"/>
      <c r="C197" s="26"/>
      <c r="D197" s="26"/>
      <c r="E197" s="26"/>
      <c r="F197" s="26"/>
      <c r="G197" s="26"/>
      <c r="H197" s="26"/>
      <c r="I197" s="26"/>
      <c r="J197" s="26"/>
      <c r="K197" s="26"/>
      <c r="L197" s="26"/>
      <c r="M197" s="26"/>
      <c r="N197" s="26"/>
      <c r="O197" s="26"/>
      <c r="P197" s="26"/>
      <c r="Q197" s="26"/>
      <c r="R197" s="21"/>
      <c r="S197" s="21"/>
      <c r="T197" s="26"/>
      <c r="U197" s="15" t="str">
        <f aca="false">IFERROR(_xlfn.TEXTJOIN(", ",TRUE(),IF('UI 요소 상세'!G$1:G$500=A197,'UI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97" s="26"/>
      <c r="W197" s="26"/>
      <c r="X197" s="26"/>
    </row>
    <row r="198" customFormat="false" ht="15" hidden="false" customHeight="true" outlineLevel="0" collapsed="false">
      <c r="A198" s="26"/>
      <c r="B198" s="26"/>
      <c r="C198" s="26"/>
      <c r="D198" s="26"/>
      <c r="E198" s="26"/>
      <c r="F198" s="26"/>
      <c r="G198" s="26"/>
      <c r="H198" s="26"/>
      <c r="I198" s="26"/>
      <c r="J198" s="26"/>
      <c r="K198" s="26"/>
      <c r="L198" s="26"/>
      <c r="M198" s="26"/>
      <c r="N198" s="26"/>
      <c r="O198" s="26"/>
      <c r="P198" s="26"/>
      <c r="Q198" s="26"/>
      <c r="R198" s="21"/>
      <c r="S198" s="21"/>
      <c r="T198" s="26"/>
      <c r="U198" s="15" t="str">
        <f aca="false">IFERROR(_xlfn.TEXTJOIN(", ",TRUE(),IF('UI 요소 상세'!G$1:G$500=A198,'UI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98" s="26"/>
      <c r="W198" s="26"/>
      <c r="X198" s="26"/>
    </row>
    <row r="199" customFormat="false" ht="15" hidden="false" customHeight="true" outlineLevel="0" collapsed="false">
      <c r="A199" s="26"/>
      <c r="B199" s="26"/>
      <c r="C199" s="26"/>
      <c r="D199" s="26"/>
      <c r="E199" s="26"/>
      <c r="F199" s="26"/>
      <c r="G199" s="26"/>
      <c r="H199" s="26"/>
      <c r="I199" s="26"/>
      <c r="J199" s="26"/>
      <c r="K199" s="26"/>
      <c r="L199" s="26"/>
      <c r="M199" s="26"/>
      <c r="N199" s="26"/>
      <c r="O199" s="26"/>
      <c r="P199" s="26"/>
      <c r="Q199" s="26"/>
      <c r="R199" s="21"/>
      <c r="S199" s="21"/>
      <c r="T199" s="26"/>
      <c r="U199" s="15" t="str">
        <f aca="false">IFERROR(_xlfn.TEXTJOIN(", ",TRUE(),IF('UI 요소 상세'!G$1:G$500=A199,'UI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c r="V199" s="26"/>
      <c r="W199" s="26"/>
      <c r="X199" s="26"/>
    </row>
    <row r="200" customFormat="false" ht="15" hidden="false" customHeight="true" outlineLevel="0" collapsed="false">
      <c r="R200" s="8" t="str">
        <f aca="false">IFERROR(VLOOKUP(H200,'IA(정보구조)'!D:E,2,FALSE()),"")</f>
        <v/>
      </c>
      <c r="S200" s="8" t="str">
        <f aca="false">IFERROR(VLOOKUP(O200,API명세서!A:D,4,FALSE()),"")</f>
        <v/>
      </c>
    </row>
  </sheetData>
  <autoFilter ref="A1:T1"/>
  <dataValidations count="5">
    <dataValidation allowBlank="true" error="드롭다운 목록에서 선택해주세요." errorStyle="stop" errorTitle="잘못된 입력" operator="between" promptTitle="플랫폼" showDropDown="false" showErrorMessage="true" showInputMessage="true" sqref="D2:D200" type="list">
      <formula1>"Web,App (iOS),App (Android),Web + App,공통"</formula1>
      <formula2>0</formula2>
    </dataValidation>
    <dataValidation allowBlank="true" error="드롭다운 목록에서 선택해주세요." errorStyle="stop" errorTitle="잘못된 입력" operator="between" promptTitle="우선순위" showDropDown="false" showErrorMessage="true" showInputMessage="true" sqref="E2:E200" type="list">
      <formula1>"Critical,High,Medium,Low"</formula1>
      <formula2>0</formula2>
    </dataValidation>
    <dataValidation allowBlank="true" error="드롭다운 목록에서 선택해주세요." errorStyle="stop" errorTitle="잘못된 입력" operator="between" promptTitle="화면 ID" showDropDown="false" showErrorMessage="true" showInputMessage="true" sqref="H2:H200" type="list">
      <formula1>"SCR-001,SCR-010,SCR-011,SCR-012,SCR-020,SCR-021,SCR-022,SCR-030,SCR-031,SCR-032,SCR-100,SCR-101"</formula1>
      <formula2>0</formula2>
    </dataValidation>
    <dataValidation allowBlank="true" error="드롭다운 목록에서 선택해주세요." errorStyle="stop" errorTitle="잘못된 입력" operator="between" promptTitle="상태" showDropDown="false" showErrorMessage="true" showInputMessage="true" sqref="P2:P200" type="list">
      <formula1>"작성중,검토중,확정,변경필요,삭제"</formula1>
      <formula2>0</formula2>
    </dataValidation>
    <dataValidation allowBlank="true" error="드롭다운 목록에서 선택해주세요." errorStyle="stop" errorTitle="잘못된 입력" operator="between" promptTitle="담당자" showDropDown="false" showErrorMessage="true" showInputMessage="true" sqref="Q2:Q200" type="list">
      <formula1>"기획자1,기획자2,디자이너1,개발자1,개발자2,QA담당자1,QA담당자2"</formula1>
      <formula2>0</formula2>
    </dataValidation>
  </dataValidations>
  <hyperlinks>
    <hyperlink ref="A2" r:id="rId1" location="화면설계서!A3" display="▼ SCR-010"/>
    <hyperlink ref="H3" r:id="rId2" location="화면설계서!A3" display="SCR-010"/>
    <hyperlink ref="H4" r:id="rId3" location="화면설계서!A3" display="SCR-010"/>
    <hyperlink ref="A5" r:id="rId4" location="화면설계서!A4" display="▼ SCR-011"/>
    <hyperlink ref="H6" r:id="rId5" location="화면설계서!A4" display="SCR-011"/>
    <hyperlink ref="A7" r:id="rId6" location="화면설계서!A5" display="▼ SCR-022"/>
    <hyperlink ref="H8" r:id="rId7" location="화면설계서!A5" display="SCR-022"/>
    <hyperlink ref="A9" r:id="rId8" location="화면설계서!A6" display="▼ SCR-030"/>
    <hyperlink ref="H10" r:id="rId9" location="화면설계서!A6" display="SCR-03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D7E14"/>
    <pageSetUpPr fitToPage="false"/>
  </sheetPr>
  <dimension ref="A1:R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customHeight="true"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8"/>
    <col collapsed="false" customWidth="true" hidden="false" outlineLevel="0" max="4" min="4" style="0" width="25"/>
    <col collapsed="false" customWidth="true" hidden="false" outlineLevel="0" max="5" min="5" style="0" width="30"/>
    <col collapsed="false" customWidth="true" hidden="false" outlineLevel="0" max="6" min="6" style="0" width="25"/>
    <col collapsed="false" customWidth="true" hidden="false" outlineLevel="0" max="8" min="7" style="0" width="35"/>
    <col collapsed="false" customWidth="true" hidden="false" outlineLevel="0" max="9" min="9" style="0" width="30"/>
    <col collapsed="false" customWidth="true" hidden="false" outlineLevel="0" max="10" min="10" style="0" width="10"/>
    <col collapsed="false" customWidth="true" hidden="false" outlineLevel="0" max="12" min="11" style="0" width="12"/>
    <col collapsed="false" customWidth="true" hidden="false" outlineLevel="0" max="13" min="13" style="0" width="10"/>
    <col collapsed="false" customWidth="true" hidden="false" outlineLevel="0" max="14" min="14" style="0" width="12"/>
    <col collapsed="false" customWidth="true" hidden="false" outlineLevel="0" max="16" min="15" style="0" width="18"/>
    <col collapsed="false" customWidth="true" hidden="false" outlineLevel="0" max="17" min="17" style="0" width="20"/>
    <col collapsed="false" customWidth="true" hidden="false" outlineLevel="0" max="18" min="18" style="0" width="25"/>
  </cols>
  <sheetData>
    <row r="1" customFormat="false" ht="30" hidden="false" customHeight="true" outlineLevel="0" collapsed="false">
      <c r="A1" s="1" t="s">
        <v>180</v>
      </c>
      <c r="B1" s="1" t="s">
        <v>453</v>
      </c>
      <c r="C1" s="1" t="s">
        <v>454</v>
      </c>
      <c r="D1" s="2" t="s">
        <v>455</v>
      </c>
      <c r="E1" s="2" t="s">
        <v>9</v>
      </c>
      <c r="F1" s="1" t="s">
        <v>456</v>
      </c>
      <c r="G1" s="1" t="s">
        <v>457</v>
      </c>
      <c r="H1" s="1" t="s">
        <v>458</v>
      </c>
      <c r="I1" s="1" t="s">
        <v>459</v>
      </c>
      <c r="J1" s="2" t="s">
        <v>460</v>
      </c>
      <c r="K1" s="2" t="s">
        <v>3</v>
      </c>
      <c r="L1" s="2" t="s">
        <v>179</v>
      </c>
      <c r="M1" s="2" t="s">
        <v>10</v>
      </c>
      <c r="N1" s="2" t="s">
        <v>84</v>
      </c>
      <c r="O1" s="7" t="s">
        <v>85</v>
      </c>
      <c r="P1" s="7" t="s">
        <v>186</v>
      </c>
      <c r="Q1" s="2" t="s">
        <v>11</v>
      </c>
      <c r="R1" s="7" t="s">
        <v>403</v>
      </c>
    </row>
    <row r="2" customFormat="false" ht="120" hidden="false" customHeight="true" outlineLevel="0" collapsed="false">
      <c r="A2" s="4" t="s">
        <v>240</v>
      </c>
      <c r="B2" s="3" t="s">
        <v>405</v>
      </c>
      <c r="C2" s="4" t="s">
        <v>461</v>
      </c>
      <c r="D2" s="4" t="s">
        <v>462</v>
      </c>
      <c r="E2" s="3" t="s">
        <v>463</v>
      </c>
      <c r="F2" s="4" t="s">
        <v>464</v>
      </c>
      <c r="G2" s="4" t="s">
        <v>465</v>
      </c>
      <c r="H2" s="4" t="s">
        <v>466</v>
      </c>
      <c r="I2" s="4" t="s">
        <v>467</v>
      </c>
      <c r="J2" s="4" t="s">
        <v>17</v>
      </c>
      <c r="K2" s="4" t="s">
        <v>23</v>
      </c>
      <c r="L2" s="4" t="s">
        <v>239</v>
      </c>
      <c r="M2" s="3" t="s">
        <v>468</v>
      </c>
      <c r="N2" s="3" t="s">
        <v>469</v>
      </c>
      <c r="O2" s="3"/>
      <c r="P2" s="3"/>
      <c r="Q2" s="3"/>
      <c r="R2" s="15" t="str">
        <f aca="false">IFERROR(_xlfn.TEXTJOIN(", ",TRUE(),IF('UI 요소 상세'!H$1:H$500=A2,'UI 요소 상세'!C$1:C$500,"")),"")</f>
        <v/>
      </c>
    </row>
    <row r="3" customFormat="false" ht="120" hidden="false" customHeight="true" outlineLevel="0" collapsed="false">
      <c r="A3" s="6" t="s">
        <v>278</v>
      </c>
      <c r="B3" s="5" t="s">
        <v>414</v>
      </c>
      <c r="C3" s="6" t="s">
        <v>461</v>
      </c>
      <c r="D3" s="6" t="s">
        <v>470</v>
      </c>
      <c r="E3" s="5" t="s">
        <v>471</v>
      </c>
      <c r="F3" s="6" t="s">
        <v>464</v>
      </c>
      <c r="G3" s="6" t="s">
        <v>472</v>
      </c>
      <c r="H3" s="6" t="s">
        <v>473</v>
      </c>
      <c r="I3" s="6" t="s">
        <v>474</v>
      </c>
      <c r="J3" s="6" t="s">
        <v>17</v>
      </c>
      <c r="K3" s="6" t="s">
        <v>23</v>
      </c>
      <c r="L3" s="6" t="s">
        <v>277</v>
      </c>
      <c r="M3" s="5" t="s">
        <v>468</v>
      </c>
      <c r="N3" s="5" t="s">
        <v>469</v>
      </c>
      <c r="O3" s="5"/>
      <c r="P3" s="5"/>
      <c r="Q3" s="5"/>
      <c r="R3" s="15" t="str">
        <f aca="false">IFERROR(_xlfn.TEXTJOIN(", ",TRUE(),IF('UI 요소 상세'!H$1:H$500=A3,'UI 요소 상세'!C$1:C$500,"")),"")</f>
        <v/>
      </c>
    </row>
    <row r="4" customFormat="false" ht="120" hidden="false" customHeight="true" outlineLevel="0" collapsed="false">
      <c r="A4" s="4" t="s">
        <v>297</v>
      </c>
      <c r="B4" s="3" t="s">
        <v>475</v>
      </c>
      <c r="C4" s="4" t="s">
        <v>461</v>
      </c>
      <c r="D4" s="4" t="s">
        <v>476</v>
      </c>
      <c r="E4" s="3" t="s">
        <v>477</v>
      </c>
      <c r="F4" s="4" t="s">
        <v>464</v>
      </c>
      <c r="G4" s="4" t="s">
        <v>478</v>
      </c>
      <c r="H4" s="4" t="s">
        <v>473</v>
      </c>
      <c r="I4" s="4" t="s">
        <v>479</v>
      </c>
      <c r="J4" s="4" t="s">
        <v>17</v>
      </c>
      <c r="K4" s="4" t="s">
        <v>28</v>
      </c>
      <c r="L4" s="4" t="s">
        <v>296</v>
      </c>
      <c r="M4" s="3" t="s">
        <v>468</v>
      </c>
      <c r="N4" s="3" t="s">
        <v>469</v>
      </c>
      <c r="O4" s="3"/>
      <c r="P4" s="3"/>
      <c r="Q4" s="3"/>
      <c r="R4" s="15" t="str">
        <f aca="false">IFERROR(_xlfn.TEXTJOIN(", ",TRUE(),IF('UI 요소 상세'!H$1:H$500=A4,'UI 요소 상세'!C$1:C$500,"")),"")</f>
        <v/>
      </c>
    </row>
    <row r="5" customFormat="false" ht="120" hidden="false" customHeight="true" outlineLevel="0" collapsed="false">
      <c r="A5" s="6" t="s">
        <v>334</v>
      </c>
      <c r="B5" s="5" t="s">
        <v>47</v>
      </c>
      <c r="C5" s="6" t="s">
        <v>480</v>
      </c>
      <c r="D5" s="6" t="s">
        <v>481</v>
      </c>
      <c r="E5" s="5" t="s">
        <v>435</v>
      </c>
      <c r="F5" s="6" t="s">
        <v>482</v>
      </c>
      <c r="G5" s="6" t="s">
        <v>483</v>
      </c>
      <c r="H5" s="6" t="s">
        <v>484</v>
      </c>
      <c r="I5" s="6" t="s">
        <v>485</v>
      </c>
      <c r="J5" s="6" t="s">
        <v>17</v>
      </c>
      <c r="K5" s="6" t="s">
        <v>48</v>
      </c>
      <c r="L5" s="6" t="s">
        <v>219</v>
      </c>
      <c r="M5" s="5" t="s">
        <v>486</v>
      </c>
      <c r="N5" s="5" t="s">
        <v>487</v>
      </c>
      <c r="O5" s="5"/>
      <c r="P5" s="5"/>
      <c r="Q5" s="5"/>
      <c r="R5" s="15" t="str">
        <f aca="false">IFERROR(_xlfn.TEXTJOIN(", ",TRUE(),IF('UI 요소 상세'!H$1:H$500=A5,'UI 요소 상세'!C$1:C$500,"")),"")</f>
        <v/>
      </c>
    </row>
    <row r="6" customFormat="false" ht="120" hidden="false" customHeight="true" outlineLevel="0" collapsed="false">
      <c r="A6" s="4" t="s">
        <v>368</v>
      </c>
      <c r="B6" s="3" t="s">
        <v>444</v>
      </c>
      <c r="C6" s="4" t="s">
        <v>488</v>
      </c>
      <c r="D6" s="4" t="s">
        <v>489</v>
      </c>
      <c r="E6" s="3" t="s">
        <v>445</v>
      </c>
      <c r="F6" s="4" t="s">
        <v>490</v>
      </c>
      <c r="G6" s="4" t="s">
        <v>491</v>
      </c>
      <c r="H6" s="4" t="s">
        <v>492</v>
      </c>
      <c r="I6" s="4" t="s">
        <v>493</v>
      </c>
      <c r="J6" s="4" t="s">
        <v>55</v>
      </c>
      <c r="K6" s="4" t="s">
        <v>53</v>
      </c>
      <c r="L6" s="4" t="s">
        <v>367</v>
      </c>
      <c r="M6" s="3" t="s">
        <v>223</v>
      </c>
      <c r="N6" s="3" t="s">
        <v>487</v>
      </c>
      <c r="O6" s="3"/>
      <c r="P6" s="3"/>
      <c r="Q6" s="3"/>
      <c r="R6" s="15" t="str">
        <f aca="false">IFERROR(_xlfn.TEXTJOIN(", ",TRUE(),IF('UI 요소 상세'!H$1:H$500=A6,'UI 요소 상세'!C$1:C$500,"")),"")</f>
        <v/>
      </c>
    </row>
    <row r="7" customFormat="false" ht="15" hidden="false" customHeight="true" outlineLevel="0" collapsed="false">
      <c r="O7" s="8" t="str">
        <f aca="false">IFERROR(VLOOKUP(K7,'IA(정보구조)'!D:E,2,FALSE()),"")</f>
        <v/>
      </c>
      <c r="P7" s="8" t="str">
        <f aca="false">IFERROR(VLOOKUP(L7,기능명세서!A:B,2,FALSE()),"")</f>
        <v/>
      </c>
      <c r="R7" s="15" t="str">
        <f aca="false">IFERROR(_xlfn.TEXTJOIN(", ",TRUE(),IF('UI 요소 상세'!H$1:H$500=A7,'UI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8" customFormat="false" ht="15" hidden="false" customHeight="true" outlineLevel="0" collapsed="false">
      <c r="O8" s="8" t="str">
        <f aca="false">IFERROR(VLOOKUP(K8,'IA(정보구조)'!D:E,2,FALSE()),"")</f>
        <v/>
      </c>
      <c r="P8" s="8" t="str">
        <f aca="false">IFERROR(VLOOKUP(L8,기능명세서!A:B,2,FALSE()),"")</f>
        <v/>
      </c>
      <c r="R8" s="15" t="str">
        <f aca="false">IFERROR(_xlfn.TEXTJOIN(", ",TRUE(),IF('UI 요소 상세'!H$1:H$500=A8,'UI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9" customFormat="false" ht="15" hidden="false" customHeight="true" outlineLevel="0" collapsed="false">
      <c r="O9" s="8" t="str">
        <f aca="false">IFERROR(VLOOKUP(K9,'IA(정보구조)'!D:E,2,FALSE()),"")</f>
        <v/>
      </c>
      <c r="P9" s="8" t="str">
        <f aca="false">IFERROR(VLOOKUP(L9,기능명세서!A:B,2,FALSE()),"")</f>
        <v/>
      </c>
      <c r="R9" s="15" t="str">
        <f aca="false">IFERROR(_xlfn.TEXTJOIN(", ",TRUE(),IF('UI 요소 상세'!H$1:H$500=A9,'UI 요소 상세'!C$1:C$500,"")),"")</f>
        <v/>
      </c>
    </row>
    <row r="10" customFormat="false" ht="15" hidden="false" customHeight="true" outlineLevel="0" collapsed="false">
      <c r="O10" s="8" t="str">
        <f aca="false">IFERROR(VLOOKUP(K10,'IA(정보구조)'!D:E,2,FALSE()),"")</f>
        <v/>
      </c>
      <c r="P10" s="8" t="str">
        <f aca="false">IFERROR(VLOOKUP(L10,기능명세서!A:B,2,FALSE()),"")</f>
        <v/>
      </c>
      <c r="R10" s="15" t="str">
        <f aca="false">IFERROR(_xlfn.TEXTJOIN(", ",TRUE(),IF('UI 요소 상세'!H$1:H$500=A10,'UI 요소 상세'!C$1:C$500,"")),"")</f>
        <v/>
      </c>
    </row>
    <row r="11" customFormat="false" ht="15" hidden="false" customHeight="true" outlineLevel="0" collapsed="false">
      <c r="O11" s="8" t="str">
        <f aca="false">IFERROR(VLOOKUP(K11,'IA(정보구조)'!D:E,2,FALSE()),"")</f>
        <v/>
      </c>
      <c r="P11" s="8" t="str">
        <f aca="false">IFERROR(VLOOKUP(L11,기능명세서!A:B,2,FALSE()),"")</f>
        <v/>
      </c>
      <c r="R11" s="15" t="str">
        <f aca="false">IFERROR(_xlfn.TEXTJOIN(", ",TRUE(),IF('UI 요소 상세'!H$1:H$500=A11,'UI 요소 상세'!C$1:C$500,"")),"")</f>
        <v/>
      </c>
    </row>
    <row r="12" customFormat="false" ht="15" hidden="false" customHeight="true" outlineLevel="0" collapsed="false">
      <c r="O12" s="8" t="str">
        <f aca="false">IFERROR(VLOOKUP(K12,'IA(정보구조)'!D:E,2,FALSE()),"")</f>
        <v/>
      </c>
      <c r="P12" s="8" t="str">
        <f aca="false">IFERROR(VLOOKUP(L12,기능명세서!A:B,2,FALSE()),"")</f>
        <v/>
      </c>
      <c r="R12" s="15" t="str">
        <f aca="false">IFERROR(_xlfn.TEXTJOIN(", ",TRUE(),IF('UI 요소 상세'!H$1:H$500=A12,'UI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3" customFormat="false" ht="15" hidden="false" customHeight="true" outlineLevel="0" collapsed="false">
      <c r="O13" s="8" t="str">
        <f aca="false">IFERROR(VLOOKUP(K13,'IA(정보구조)'!D:E,2,FALSE()),"")</f>
        <v/>
      </c>
      <c r="P13" s="8" t="str">
        <f aca="false">IFERROR(VLOOKUP(L13,기능명세서!A:B,2,FALSE()),"")</f>
        <v/>
      </c>
      <c r="R13" s="15" t="str">
        <f aca="false">IFERROR(_xlfn.TEXTJOIN(", ",TRUE(),IF('UI 요소 상세'!H$1:H$500=A13,'UI 요소 상세'!C$1:C$500,"")),"")</f>
        <v/>
      </c>
    </row>
    <row r="14" customFormat="false" ht="15" hidden="false" customHeight="true" outlineLevel="0" collapsed="false">
      <c r="O14" s="8" t="str">
        <f aca="false">IFERROR(VLOOKUP(K14,'IA(정보구조)'!D:E,2,FALSE()),"")</f>
        <v/>
      </c>
      <c r="P14" s="8" t="str">
        <f aca="false">IFERROR(VLOOKUP(L14,기능명세서!A:B,2,FALSE()),"")</f>
        <v/>
      </c>
      <c r="R14" s="15" t="str">
        <f aca="false">IFERROR(_xlfn.TEXTJOIN(", ",TRUE(),IF('UI 요소 상세'!H$1:H$500=A14,'UI 요소 상세'!C$1:C$500,"")),"")</f>
        <v/>
      </c>
    </row>
    <row r="15" customFormat="false" ht="15" hidden="false" customHeight="true" outlineLevel="0" collapsed="false">
      <c r="O15" s="8" t="str">
        <f aca="false">IFERROR(VLOOKUP(K15,'IA(정보구조)'!D:E,2,FALSE()),"")</f>
        <v/>
      </c>
      <c r="P15" s="8" t="str">
        <f aca="false">IFERROR(VLOOKUP(L15,기능명세서!A:B,2,FALSE()),"")</f>
        <v/>
      </c>
      <c r="R15" s="15" t="str">
        <f aca="false">IFERROR(_xlfn.TEXTJOIN(", ",TRUE(),IF('UI 요소 상세'!H$1:H$500=A15,'UI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6" customFormat="false" ht="15" hidden="false" customHeight="true" outlineLevel="0" collapsed="false">
      <c r="O16" s="8" t="str">
        <f aca="false">IFERROR(VLOOKUP(K16,'IA(정보구조)'!D:E,2,FALSE()),"")</f>
        <v/>
      </c>
      <c r="P16" s="8" t="str">
        <f aca="false">IFERROR(VLOOKUP(L16,기능명세서!A:B,2,FALSE()),"")</f>
        <v/>
      </c>
      <c r="R16" s="15" t="str">
        <f aca="false">IFERROR(_xlfn.TEXTJOIN(", ",TRUE(),IF('UI 요소 상세'!H$1:H$500=A16,'UI 요소 상세'!C$1:C$500,"")),"")</f>
        <v/>
      </c>
    </row>
    <row r="17" customFormat="false" ht="15" hidden="false" customHeight="true" outlineLevel="0" collapsed="false">
      <c r="O17" s="8" t="str">
        <f aca="false">IFERROR(VLOOKUP(K17,'IA(정보구조)'!D:E,2,FALSE()),"")</f>
        <v/>
      </c>
      <c r="P17" s="8" t="str">
        <f aca="false">IFERROR(VLOOKUP(L17,기능명세서!A:B,2,FALSE()),"")</f>
        <v/>
      </c>
      <c r="R17" s="15" t="str">
        <f aca="false">IFERROR(_xlfn.TEXTJOIN(", ",TRUE(),IF('UI 요소 상세'!H$1:H$500=A17,'UI 요소 상세'!C$1:C$500,"")),"")</f>
        <v/>
      </c>
    </row>
    <row r="18" customFormat="false" ht="15" hidden="false" customHeight="true" outlineLevel="0" collapsed="false">
      <c r="O18" s="8" t="str">
        <f aca="false">IFERROR(VLOOKUP(K18,'IA(정보구조)'!D:E,2,FALSE()),"")</f>
        <v/>
      </c>
      <c r="P18" s="8" t="str">
        <f aca="false">IFERROR(VLOOKUP(L18,기능명세서!A:B,2,FALSE()),"")</f>
        <v/>
      </c>
      <c r="R18" s="15" t="str">
        <f aca="false">IFERROR(_xlfn.TEXTJOIN(", ",TRUE(),IF('UI 요소 상세'!H$1:H$500=A18,'UI 요소 상세'!C$1:C$500,"")),"")</f>
        <v/>
      </c>
    </row>
    <row r="19" customFormat="false" ht="15" hidden="false" customHeight="true" outlineLevel="0" collapsed="false">
      <c r="O19" s="8" t="str">
        <f aca="false">IFERROR(VLOOKUP(K19,'IA(정보구조)'!D:E,2,FALSE()),"")</f>
        <v/>
      </c>
      <c r="P19" s="8" t="str">
        <f aca="false">IFERROR(VLOOKUP(L19,기능명세서!A:B,2,FALSE()),"")</f>
        <v/>
      </c>
      <c r="R19" s="15" t="str">
        <f aca="false">IFERROR(_xlfn.TEXTJOIN(", ",TRUE(),IF('UI 요소 상세'!H$1:H$500=A19,'UI 요소 상세'!C$1:C$500,"")),"")</f>
        <v/>
      </c>
    </row>
    <row r="20" customFormat="false" ht="15" hidden="false" customHeight="true" outlineLevel="0" collapsed="false">
      <c r="O20" s="8" t="str">
        <f aca="false">IFERROR(VLOOKUP(K20,'IA(정보구조)'!D:E,2,FALSE()),"")</f>
        <v/>
      </c>
      <c r="P20" s="8" t="str">
        <f aca="false">IFERROR(VLOOKUP(L20,기능명세서!A:B,2,FALSE()),"")</f>
        <v/>
      </c>
      <c r="R20" s="15" t="str">
        <f aca="false">IFERROR(_xlfn.TEXTJOIN(", ",TRUE(),IF('UI 요소 상세'!H$1:H$500=A20,'UI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21" customFormat="false" ht="15" hidden="false" customHeight="true" outlineLevel="0" collapsed="false">
      <c r="O21" s="8" t="str">
        <f aca="false">IFERROR(VLOOKUP(K21,'IA(정보구조)'!D:E,2,FALSE()),"")</f>
        <v/>
      </c>
      <c r="P21" s="8" t="str">
        <f aca="false">IFERROR(VLOOKUP(L21,기능명세서!A:B,2,FALSE()),"")</f>
        <v/>
      </c>
      <c r="R21" s="15" t="str">
        <f aca="false">IFERROR(_xlfn.TEXTJOIN(", ",TRUE(),IF('UI 요소 상세'!H$1:H$500=A21,'UI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22" customFormat="false" ht="15" hidden="false" customHeight="true" outlineLevel="0" collapsed="false">
      <c r="O22" s="8" t="str">
        <f aca="false">IFERROR(VLOOKUP(K22,'IA(정보구조)'!D:E,2,FALSE()),"")</f>
        <v/>
      </c>
      <c r="P22" s="8" t="str">
        <f aca="false">IFERROR(VLOOKUP(L22,기능명세서!A:B,2,FALSE()),"")</f>
        <v/>
      </c>
      <c r="R22" s="15" t="str">
        <f aca="false">IFERROR(_xlfn.TEXTJOIN(", ",TRUE(),IF('UI 요소 상세'!H$1:H$500=A22,'UI 요소 상세'!C$1:C$500,"")),"")</f>
        <v/>
      </c>
    </row>
    <row r="23" customFormat="false" ht="15" hidden="false" customHeight="true" outlineLevel="0" collapsed="false">
      <c r="O23" s="8" t="str">
        <f aca="false">IFERROR(VLOOKUP(K23,'IA(정보구조)'!D:E,2,FALSE()),"")</f>
        <v/>
      </c>
      <c r="P23" s="8" t="str">
        <f aca="false">IFERROR(VLOOKUP(L23,기능명세서!A:B,2,FALSE()),"")</f>
        <v/>
      </c>
      <c r="R23" s="15" t="str">
        <f aca="false">IFERROR(_xlfn.TEXTJOIN(", ",TRUE(),IF('UI 요소 상세'!H$1:H$500=A23,'UI 요소 상세'!C$1:C$500,"")),"")</f>
        <v/>
      </c>
    </row>
    <row r="24" customFormat="false" ht="15" hidden="false" customHeight="true" outlineLevel="0" collapsed="false">
      <c r="O24" s="8" t="str">
        <f aca="false">IFERROR(VLOOKUP(K24,'IA(정보구조)'!D:E,2,FALSE()),"")</f>
        <v/>
      </c>
      <c r="P24" s="8" t="str">
        <f aca="false">IFERROR(VLOOKUP(L24,기능명세서!A:B,2,FALSE()),"")</f>
        <v/>
      </c>
      <c r="R24" s="15" t="str">
        <f aca="false">IFERROR(_xlfn.TEXTJOIN(", ",TRUE(),IF('UI 요소 상세'!H$1:H$500=A24,'UI 요소 상세'!C$1:C$500,"")),"")</f>
        <v/>
      </c>
    </row>
    <row r="25" customFormat="false" ht="15" hidden="false" customHeight="true" outlineLevel="0" collapsed="false">
      <c r="O25" s="8" t="str">
        <f aca="false">IFERROR(VLOOKUP(K25,'IA(정보구조)'!D:E,2,FALSE()),"")</f>
        <v/>
      </c>
      <c r="P25" s="8" t="str">
        <f aca="false">IFERROR(VLOOKUP(L25,기능명세서!A:B,2,FALSE()),"")</f>
        <v/>
      </c>
      <c r="R25" s="15" t="str">
        <f aca="false">IFERROR(_xlfn.TEXTJOIN(", ",TRUE(),IF('UI 요소 상세'!H$1:H$500=A25,'UI 요소 상세'!C$1:C$500,"")),"")</f>
        <v/>
      </c>
    </row>
    <row r="26" customFormat="false" ht="15" hidden="false" customHeight="true" outlineLevel="0" collapsed="false">
      <c r="O26" s="8" t="str">
        <f aca="false">IFERROR(VLOOKUP(K26,'IA(정보구조)'!D:E,2,FALSE()),"")</f>
        <v/>
      </c>
      <c r="P26" s="8" t="str">
        <f aca="false">IFERROR(VLOOKUP(L26,기능명세서!A:B,2,FALSE()),"")</f>
        <v/>
      </c>
      <c r="R26" s="15" t="str">
        <f aca="false">IFERROR(_xlfn.TEXTJOIN(", ",TRUE(),IF('UI 요소 상세'!H$1:H$500=A26,'UI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27" customFormat="false" ht="15" hidden="false" customHeight="true" outlineLevel="0" collapsed="false">
      <c r="O27" s="8" t="str">
        <f aca="false">IFERROR(VLOOKUP(K27,'IA(정보구조)'!D:E,2,FALSE()),"")</f>
        <v/>
      </c>
      <c r="P27" s="8" t="str">
        <f aca="false">IFERROR(VLOOKUP(L27,기능명세서!A:B,2,FALSE()),"")</f>
        <v/>
      </c>
      <c r="R27" s="15" t="str">
        <f aca="false">IFERROR(_xlfn.TEXTJOIN(", ",TRUE(),IF('UI 요소 상세'!H$1:H$500=A27,'UI 요소 상세'!C$1:C$500,"")),"")</f>
        <v/>
      </c>
    </row>
    <row r="28" customFormat="false" ht="15" hidden="false" customHeight="true" outlineLevel="0" collapsed="false">
      <c r="O28" s="8" t="str">
        <f aca="false">IFERROR(VLOOKUP(K28,'IA(정보구조)'!D:E,2,FALSE()),"")</f>
        <v/>
      </c>
      <c r="P28" s="8" t="str">
        <f aca="false">IFERROR(VLOOKUP(L28,기능명세서!A:B,2,FALSE()),"")</f>
        <v/>
      </c>
      <c r="R28" s="15" t="str">
        <f aca="false">IFERROR(_xlfn.TEXTJOIN(", ",TRUE(),IF('UI 요소 상세'!H$1:H$500=A28,'UI 요소 상세'!C$1:C$500,"")),"")</f>
        <v/>
      </c>
    </row>
    <row r="29" customFormat="false" ht="15" hidden="false" customHeight="true" outlineLevel="0" collapsed="false">
      <c r="O29" s="8" t="str">
        <f aca="false">IFERROR(VLOOKUP(K29,'IA(정보구조)'!D:E,2,FALSE()),"")</f>
        <v/>
      </c>
      <c r="P29" s="8" t="str">
        <f aca="false">IFERROR(VLOOKUP(L29,기능명세서!A:B,2,FALSE()),"")</f>
        <v/>
      </c>
      <c r="R29" s="15" t="str">
        <f aca="false">IFERROR(_xlfn.TEXTJOIN(", ",TRUE(),IF('UI 요소 상세'!H$1:H$500=A29,'UI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30" customFormat="false" ht="15" hidden="false" customHeight="true" outlineLevel="0" collapsed="false">
      <c r="O30" s="8" t="str">
        <f aca="false">IFERROR(VLOOKUP(K30,'IA(정보구조)'!D:E,2,FALSE()),"")</f>
        <v/>
      </c>
      <c r="P30" s="8" t="str">
        <f aca="false">IFERROR(VLOOKUP(L30,기능명세서!A:B,2,FALSE()),"")</f>
        <v/>
      </c>
      <c r="R30" s="15" t="str">
        <f aca="false">IFERROR(_xlfn.TEXTJOIN(", ",TRUE(),IF('UI 요소 상세'!H$1:H$500=A30,'UI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31" customFormat="false" ht="15" hidden="false" customHeight="true" outlineLevel="0" collapsed="false">
      <c r="O31" s="8" t="str">
        <f aca="false">IFERROR(VLOOKUP(K31,'IA(정보구조)'!D:E,2,FALSE()),"")</f>
        <v/>
      </c>
      <c r="P31" s="8" t="str">
        <f aca="false">IFERROR(VLOOKUP(L31,기능명세서!A:B,2,FALSE()),"")</f>
        <v/>
      </c>
      <c r="R31" s="15" t="str">
        <f aca="false">IFERROR(_xlfn.TEXTJOIN(", ",TRUE(),IF('UI 요소 상세'!H$1:H$500=A31,'UI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32" customFormat="false" ht="15" hidden="false" customHeight="true" outlineLevel="0" collapsed="false">
      <c r="O32" s="8" t="str">
        <f aca="false">IFERROR(VLOOKUP(K32,'IA(정보구조)'!D:E,2,FALSE()),"")</f>
        <v/>
      </c>
      <c r="P32" s="8" t="str">
        <f aca="false">IFERROR(VLOOKUP(L32,기능명세서!A:B,2,FALSE()),"")</f>
        <v/>
      </c>
      <c r="R32" s="15" t="str">
        <f aca="false">IFERROR(_xlfn.TEXTJOIN(", ",TRUE(),IF('UI 요소 상세'!H$1:H$500=A32,'UI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33" customFormat="false" ht="15" hidden="false" customHeight="true" outlineLevel="0" collapsed="false">
      <c r="O33" s="8" t="str">
        <f aca="false">IFERROR(VLOOKUP(K33,'IA(정보구조)'!D:E,2,FALSE()),"")</f>
        <v/>
      </c>
      <c r="P33" s="8" t="str">
        <f aca="false">IFERROR(VLOOKUP(L33,기능명세서!A:B,2,FALSE()),"")</f>
        <v/>
      </c>
      <c r="R33" s="15" t="str">
        <f aca="false">IFERROR(_xlfn.TEXTJOIN(", ",TRUE(),IF('UI 요소 상세'!H$1:H$500=A33,'UI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34" customFormat="false" ht="15" hidden="false" customHeight="true" outlineLevel="0" collapsed="false">
      <c r="O34" s="8" t="str">
        <f aca="false">IFERROR(VLOOKUP(K34,'IA(정보구조)'!D:E,2,FALSE()),"")</f>
        <v/>
      </c>
      <c r="P34" s="8" t="str">
        <f aca="false">IFERROR(VLOOKUP(L34,기능명세서!A:B,2,FALSE()),"")</f>
        <v/>
      </c>
      <c r="R34" s="15" t="str">
        <f aca="false">IFERROR(_xlfn.TEXTJOIN(", ",TRUE(),IF('UI 요소 상세'!H$1:H$500=A34,'UI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35" customFormat="false" ht="15" hidden="false" customHeight="true" outlineLevel="0" collapsed="false">
      <c r="O35" s="8" t="str">
        <f aca="false">IFERROR(VLOOKUP(K35,'IA(정보구조)'!D:E,2,FALSE()),"")</f>
        <v/>
      </c>
      <c r="P35" s="8" t="str">
        <f aca="false">IFERROR(VLOOKUP(L35,기능명세서!A:B,2,FALSE()),"")</f>
        <v/>
      </c>
      <c r="R35" s="15" t="str">
        <f aca="false">IFERROR(_xlfn.TEXTJOIN(", ",TRUE(),IF('UI 요소 상세'!H$1:H$500=A35,'UI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36" customFormat="false" ht="15" hidden="false" customHeight="true" outlineLevel="0" collapsed="false">
      <c r="O36" s="8" t="str">
        <f aca="false">IFERROR(VLOOKUP(K36,'IA(정보구조)'!D:E,2,FALSE()),"")</f>
        <v/>
      </c>
      <c r="P36" s="8" t="str">
        <f aca="false">IFERROR(VLOOKUP(L36,기능명세서!A:B,2,FALSE()),"")</f>
        <v/>
      </c>
      <c r="R36" s="15" t="str">
        <f aca="false">IFERROR(_xlfn.TEXTJOIN(", ",TRUE(),IF('UI 요소 상세'!H$1:H$500=A36,'UI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37" customFormat="false" ht="15" hidden="false" customHeight="true" outlineLevel="0" collapsed="false">
      <c r="O37" s="8" t="str">
        <f aca="false">IFERROR(VLOOKUP(K37,'IA(정보구조)'!D:E,2,FALSE()),"")</f>
        <v/>
      </c>
      <c r="P37" s="8" t="str">
        <f aca="false">IFERROR(VLOOKUP(L37,기능명세서!A:B,2,FALSE()),"")</f>
        <v/>
      </c>
      <c r="R37" s="15" t="str">
        <f aca="false">IFERROR(_xlfn.TEXTJOIN(", ",TRUE(),IF('UI 요소 상세'!H$1:H$500=A37,'UI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38" customFormat="false" ht="15" hidden="false" customHeight="true" outlineLevel="0" collapsed="false">
      <c r="O38" s="8" t="str">
        <f aca="false">IFERROR(VLOOKUP(K38,'IA(정보구조)'!D:E,2,FALSE()),"")</f>
        <v/>
      </c>
      <c r="P38" s="8" t="str">
        <f aca="false">IFERROR(VLOOKUP(L38,기능명세서!A:B,2,FALSE()),"")</f>
        <v/>
      </c>
      <c r="R38" s="15" t="str">
        <f aca="false">IFERROR(_xlfn.TEXTJOIN(", ",TRUE(),IF('UI 요소 상세'!H$1:H$500=A38,'UI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39" customFormat="false" ht="15" hidden="false" customHeight="true" outlineLevel="0" collapsed="false">
      <c r="O39" s="8" t="str">
        <f aca="false">IFERROR(VLOOKUP(K39,'IA(정보구조)'!D:E,2,FALSE()),"")</f>
        <v/>
      </c>
      <c r="P39" s="8" t="str">
        <f aca="false">IFERROR(VLOOKUP(L39,기능명세서!A:B,2,FALSE()),"")</f>
        <v/>
      </c>
      <c r="R39" s="15" t="str">
        <f aca="false">IFERROR(_xlfn.TEXTJOIN(", ",TRUE(),IF('UI 요소 상세'!H$1:H$500=A39,'UI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40" customFormat="false" ht="15" hidden="false" customHeight="true" outlineLevel="0" collapsed="false">
      <c r="O40" s="8" t="str">
        <f aca="false">IFERROR(VLOOKUP(K40,'IA(정보구조)'!D:E,2,FALSE()),"")</f>
        <v/>
      </c>
      <c r="P40" s="8" t="str">
        <f aca="false">IFERROR(VLOOKUP(L40,기능명세서!A:B,2,FALSE()),"")</f>
        <v/>
      </c>
      <c r="R40" s="15" t="str">
        <f aca="false">IFERROR(_xlfn.TEXTJOIN(", ",TRUE(),IF('UI 요소 상세'!H$1:H$500=A40,'UI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41" customFormat="false" ht="15" hidden="false" customHeight="true" outlineLevel="0" collapsed="false">
      <c r="O41" s="8" t="str">
        <f aca="false">IFERROR(VLOOKUP(K41,'IA(정보구조)'!D:E,2,FALSE()),"")</f>
        <v/>
      </c>
      <c r="P41" s="8" t="str">
        <f aca="false">IFERROR(VLOOKUP(L41,기능명세서!A:B,2,FALSE()),"")</f>
        <v/>
      </c>
      <c r="R41" s="15" t="str">
        <f aca="false">IFERROR(_xlfn.TEXTJOIN(", ",TRUE(),IF('UI 요소 상세'!H$1:H$500=A41,'UI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42" customFormat="false" ht="15" hidden="false" customHeight="true" outlineLevel="0" collapsed="false">
      <c r="O42" s="8" t="str">
        <f aca="false">IFERROR(VLOOKUP(K42,'IA(정보구조)'!D:E,2,FALSE()),"")</f>
        <v/>
      </c>
      <c r="P42" s="8" t="str">
        <f aca="false">IFERROR(VLOOKUP(L42,기능명세서!A:B,2,FALSE()),"")</f>
        <v/>
      </c>
      <c r="R42" s="15" t="str">
        <f aca="false">IFERROR(_xlfn.TEXTJOIN(", ",TRUE(),IF('UI 요소 상세'!H$1:H$500=A42,'UI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43" customFormat="false" ht="15" hidden="false" customHeight="true" outlineLevel="0" collapsed="false">
      <c r="O43" s="8" t="str">
        <f aca="false">IFERROR(VLOOKUP(K43,'IA(정보구조)'!D:E,2,FALSE()),"")</f>
        <v/>
      </c>
      <c r="P43" s="8" t="str">
        <f aca="false">IFERROR(VLOOKUP(L43,기능명세서!A:B,2,FALSE()),"")</f>
        <v/>
      </c>
      <c r="R43" s="15" t="str">
        <f aca="false">IFERROR(_xlfn.TEXTJOIN(", ",TRUE(),IF('UI 요소 상세'!H$1:H$500=A43,'UI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44" customFormat="false" ht="15" hidden="false" customHeight="true" outlineLevel="0" collapsed="false">
      <c r="O44" s="8" t="str">
        <f aca="false">IFERROR(VLOOKUP(K44,'IA(정보구조)'!D:E,2,FALSE()),"")</f>
        <v/>
      </c>
      <c r="P44" s="8" t="str">
        <f aca="false">IFERROR(VLOOKUP(L44,기능명세서!A:B,2,FALSE()),"")</f>
        <v/>
      </c>
      <c r="R44" s="15" t="str">
        <f aca="false">IFERROR(_xlfn.TEXTJOIN(", ",TRUE(),IF('UI 요소 상세'!H$1:H$500=A44,'UI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45" customFormat="false" ht="15" hidden="false" customHeight="true" outlineLevel="0" collapsed="false">
      <c r="O45" s="8" t="str">
        <f aca="false">IFERROR(VLOOKUP(K45,'IA(정보구조)'!D:E,2,FALSE()),"")</f>
        <v/>
      </c>
      <c r="P45" s="8" t="str">
        <f aca="false">IFERROR(VLOOKUP(L45,기능명세서!A:B,2,FALSE()),"")</f>
        <v/>
      </c>
      <c r="R45" s="15" t="str">
        <f aca="false">IFERROR(_xlfn.TEXTJOIN(", ",TRUE(),IF('UI 요소 상세'!H$1:H$500=A45,'UI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46" customFormat="false" ht="15" hidden="false" customHeight="true" outlineLevel="0" collapsed="false">
      <c r="O46" s="8" t="str">
        <f aca="false">IFERROR(VLOOKUP(K46,'IA(정보구조)'!D:E,2,FALSE()),"")</f>
        <v/>
      </c>
      <c r="P46" s="8" t="str">
        <f aca="false">IFERROR(VLOOKUP(L46,기능명세서!A:B,2,FALSE()),"")</f>
        <v/>
      </c>
      <c r="R46" s="15" t="str">
        <f aca="false">IFERROR(_xlfn.TEXTJOIN(", ",TRUE(),IF('UI 요소 상세'!H$1:H$500=A46,'UI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47" customFormat="false" ht="15" hidden="false" customHeight="true" outlineLevel="0" collapsed="false">
      <c r="O47" s="8" t="str">
        <f aca="false">IFERROR(VLOOKUP(K47,'IA(정보구조)'!D:E,2,FALSE()),"")</f>
        <v/>
      </c>
      <c r="P47" s="8" t="str">
        <f aca="false">IFERROR(VLOOKUP(L47,기능명세서!A:B,2,FALSE()),"")</f>
        <v/>
      </c>
      <c r="R47" s="15" t="str">
        <f aca="false">IFERROR(_xlfn.TEXTJOIN(", ",TRUE(),IF('UI 요소 상세'!H$1:H$500=A47,'UI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48" customFormat="false" ht="15" hidden="false" customHeight="true" outlineLevel="0" collapsed="false">
      <c r="O48" s="8" t="str">
        <f aca="false">IFERROR(VLOOKUP(K48,'IA(정보구조)'!D:E,2,FALSE()),"")</f>
        <v/>
      </c>
      <c r="P48" s="8" t="str">
        <f aca="false">IFERROR(VLOOKUP(L48,기능명세서!A:B,2,FALSE()),"")</f>
        <v/>
      </c>
      <c r="R48" s="15" t="str">
        <f aca="false">IFERROR(_xlfn.TEXTJOIN(", ",TRUE(),IF('UI 요소 상세'!H$1:H$500=A48,'UI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49" customFormat="false" ht="15" hidden="false" customHeight="true" outlineLevel="0" collapsed="false">
      <c r="O49" s="8" t="str">
        <f aca="false">IFERROR(VLOOKUP(K49,'IA(정보구조)'!D:E,2,FALSE()),"")</f>
        <v/>
      </c>
      <c r="P49" s="8" t="str">
        <f aca="false">IFERROR(VLOOKUP(L49,기능명세서!A:B,2,FALSE()),"")</f>
        <v/>
      </c>
      <c r="R49" s="15" t="str">
        <f aca="false">IFERROR(_xlfn.TEXTJOIN(", ",TRUE(),IF('UI 요소 상세'!H$1:H$500=A49,'UI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50" customFormat="false" ht="15" hidden="false" customHeight="true" outlineLevel="0" collapsed="false">
      <c r="O50" s="8" t="str">
        <f aca="false">IFERROR(VLOOKUP(K50,'IA(정보구조)'!D:E,2,FALSE()),"")</f>
        <v/>
      </c>
      <c r="P50" s="8" t="str">
        <f aca="false">IFERROR(VLOOKUP(L50,기능명세서!A:B,2,FALSE()),"")</f>
        <v/>
      </c>
      <c r="R50" s="15" t="str">
        <f aca="false">IFERROR(_xlfn.TEXTJOIN(", ",TRUE(),IF('UI 요소 상세'!H$1:H$500=A50,'UI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51" customFormat="false" ht="15" hidden="false" customHeight="true" outlineLevel="0" collapsed="false">
      <c r="O51" s="8" t="str">
        <f aca="false">IFERROR(VLOOKUP(K51,'IA(정보구조)'!D:E,2,FALSE()),"")</f>
        <v/>
      </c>
      <c r="P51" s="8" t="str">
        <f aca="false">IFERROR(VLOOKUP(L51,기능명세서!A:B,2,FALSE()),"")</f>
        <v/>
      </c>
      <c r="R51" s="15" t="str">
        <f aca="false">IFERROR(_xlfn.TEXTJOIN(", ",TRUE(),IF('UI 요소 상세'!H$1:H$500=A51,'UI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52" customFormat="false" ht="15" hidden="false" customHeight="true" outlineLevel="0" collapsed="false">
      <c r="O52" s="8" t="str">
        <f aca="false">IFERROR(VLOOKUP(K52,'IA(정보구조)'!D:E,2,FALSE()),"")</f>
        <v/>
      </c>
      <c r="P52" s="8" t="str">
        <f aca="false">IFERROR(VLOOKUP(L52,기능명세서!A:B,2,FALSE()),"")</f>
        <v/>
      </c>
      <c r="R52" s="15" t="str">
        <f aca="false">IFERROR(_xlfn.TEXTJOIN(", ",TRUE(),IF('UI 요소 상세'!H$1:H$500=A52,'UI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53" customFormat="false" ht="15" hidden="false" customHeight="true" outlineLevel="0" collapsed="false">
      <c r="O53" s="8" t="str">
        <f aca="false">IFERROR(VLOOKUP(K53,'IA(정보구조)'!D:E,2,FALSE()),"")</f>
        <v/>
      </c>
      <c r="P53" s="8" t="str">
        <f aca="false">IFERROR(VLOOKUP(L53,기능명세서!A:B,2,FALSE()),"")</f>
        <v/>
      </c>
      <c r="R53" s="15" t="str">
        <f aca="false">IFERROR(_xlfn.TEXTJOIN(", ",TRUE(),IF('UI 요소 상세'!H$1:H$500=A53,'UI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54" customFormat="false" ht="15" hidden="false" customHeight="true" outlineLevel="0" collapsed="false">
      <c r="O54" s="8" t="str">
        <f aca="false">IFERROR(VLOOKUP(K54,'IA(정보구조)'!D:E,2,FALSE()),"")</f>
        <v/>
      </c>
      <c r="P54" s="8" t="str">
        <f aca="false">IFERROR(VLOOKUP(L54,기능명세서!A:B,2,FALSE()),"")</f>
        <v/>
      </c>
      <c r="R54" s="15" t="str">
        <f aca="false">IFERROR(_xlfn.TEXTJOIN(", ",TRUE(),IF('UI 요소 상세'!H$1:H$500=A54,'UI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55" customFormat="false" ht="15" hidden="false" customHeight="true" outlineLevel="0" collapsed="false">
      <c r="O55" s="8" t="str">
        <f aca="false">IFERROR(VLOOKUP(K55,'IA(정보구조)'!D:E,2,FALSE()),"")</f>
        <v/>
      </c>
      <c r="P55" s="8" t="str">
        <f aca="false">IFERROR(VLOOKUP(L55,기능명세서!A:B,2,FALSE()),"")</f>
        <v/>
      </c>
      <c r="R55" s="15" t="str">
        <f aca="false">IFERROR(_xlfn.TEXTJOIN(", ",TRUE(),IF('UI 요소 상세'!H$1:H$500=A55,'UI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56" customFormat="false" ht="15" hidden="false" customHeight="true" outlineLevel="0" collapsed="false">
      <c r="O56" s="8" t="str">
        <f aca="false">IFERROR(VLOOKUP(K56,'IA(정보구조)'!D:E,2,FALSE()),"")</f>
        <v/>
      </c>
      <c r="P56" s="8" t="str">
        <f aca="false">IFERROR(VLOOKUP(L56,기능명세서!A:B,2,FALSE()),"")</f>
        <v/>
      </c>
      <c r="R56" s="15" t="str">
        <f aca="false">IFERROR(_xlfn.TEXTJOIN(", ",TRUE(),IF('UI 요소 상세'!H$1:H$500=A56,'UI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57" customFormat="false" ht="15" hidden="false" customHeight="true" outlineLevel="0" collapsed="false">
      <c r="O57" s="8" t="str">
        <f aca="false">IFERROR(VLOOKUP(K57,'IA(정보구조)'!D:E,2,FALSE()),"")</f>
        <v/>
      </c>
      <c r="P57" s="8" t="str">
        <f aca="false">IFERROR(VLOOKUP(L57,기능명세서!A:B,2,FALSE()),"")</f>
        <v/>
      </c>
      <c r="R57" s="15" t="str">
        <f aca="false">IFERROR(_xlfn.TEXTJOIN(", ",TRUE(),IF('UI 요소 상세'!H$1:H$500=A57,'UI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58" customFormat="false" ht="15" hidden="false" customHeight="true" outlineLevel="0" collapsed="false">
      <c r="O58" s="8" t="str">
        <f aca="false">IFERROR(VLOOKUP(K58,'IA(정보구조)'!D:E,2,FALSE()),"")</f>
        <v/>
      </c>
      <c r="P58" s="8" t="str">
        <f aca="false">IFERROR(VLOOKUP(L58,기능명세서!A:B,2,FALSE()),"")</f>
        <v/>
      </c>
      <c r="R58" s="15" t="str">
        <f aca="false">IFERROR(_xlfn.TEXTJOIN(", ",TRUE(),IF('UI 요소 상세'!H$1:H$500=A58,'UI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59" customFormat="false" ht="15" hidden="false" customHeight="true" outlineLevel="0" collapsed="false">
      <c r="O59" s="8" t="str">
        <f aca="false">IFERROR(VLOOKUP(K59,'IA(정보구조)'!D:E,2,FALSE()),"")</f>
        <v/>
      </c>
      <c r="P59" s="8" t="str">
        <f aca="false">IFERROR(VLOOKUP(L59,기능명세서!A:B,2,FALSE()),"")</f>
        <v/>
      </c>
      <c r="R59" s="15" t="str">
        <f aca="false">IFERROR(_xlfn.TEXTJOIN(", ",TRUE(),IF('UI 요소 상세'!H$1:H$500=A59,'UI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60" customFormat="false" ht="15" hidden="false" customHeight="true" outlineLevel="0" collapsed="false">
      <c r="O60" s="8" t="str">
        <f aca="false">IFERROR(VLOOKUP(K60,'IA(정보구조)'!D:E,2,FALSE()),"")</f>
        <v/>
      </c>
      <c r="P60" s="8" t="str">
        <f aca="false">IFERROR(VLOOKUP(L60,기능명세서!A:B,2,FALSE()),"")</f>
        <v/>
      </c>
      <c r="R60" s="15" t="str">
        <f aca="false">IFERROR(_xlfn.TEXTJOIN(", ",TRUE(),IF('UI 요소 상세'!H$1:H$500=A60,'UI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61" customFormat="false" ht="15" hidden="false" customHeight="true" outlineLevel="0" collapsed="false">
      <c r="O61" s="8" t="str">
        <f aca="false">IFERROR(VLOOKUP(K61,'IA(정보구조)'!D:E,2,FALSE()),"")</f>
        <v/>
      </c>
      <c r="P61" s="8" t="str">
        <f aca="false">IFERROR(VLOOKUP(L61,기능명세서!A:B,2,FALSE()),"")</f>
        <v/>
      </c>
      <c r="R61" s="15" t="str">
        <f aca="false">IFERROR(_xlfn.TEXTJOIN(", ",TRUE(),IF('UI 요소 상세'!H$1:H$500=A61,'UI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62" customFormat="false" ht="15" hidden="false" customHeight="true" outlineLevel="0" collapsed="false">
      <c r="O62" s="8" t="str">
        <f aca="false">IFERROR(VLOOKUP(K62,'IA(정보구조)'!D:E,2,FALSE()),"")</f>
        <v/>
      </c>
      <c r="P62" s="8" t="str">
        <f aca="false">IFERROR(VLOOKUP(L62,기능명세서!A:B,2,FALSE()),"")</f>
        <v/>
      </c>
      <c r="R62" s="15" t="str">
        <f aca="false">IFERROR(_xlfn.TEXTJOIN(", ",TRUE(),IF('UI 요소 상세'!H$1:H$500=A62,'UI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63" customFormat="false" ht="15" hidden="false" customHeight="true" outlineLevel="0" collapsed="false">
      <c r="O63" s="8" t="str">
        <f aca="false">IFERROR(VLOOKUP(K63,'IA(정보구조)'!D:E,2,FALSE()),"")</f>
        <v/>
      </c>
      <c r="P63" s="8" t="str">
        <f aca="false">IFERROR(VLOOKUP(L63,기능명세서!A:B,2,FALSE()),"")</f>
        <v/>
      </c>
      <c r="R63" s="15" t="str">
        <f aca="false">IFERROR(_xlfn.TEXTJOIN(", ",TRUE(),IF('UI 요소 상세'!H$1:H$500=A63,'UI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64" customFormat="false" ht="15" hidden="false" customHeight="true" outlineLevel="0" collapsed="false">
      <c r="O64" s="8" t="str">
        <f aca="false">IFERROR(VLOOKUP(K64,'IA(정보구조)'!D:E,2,FALSE()),"")</f>
        <v/>
      </c>
      <c r="P64" s="8" t="str">
        <f aca="false">IFERROR(VLOOKUP(L64,기능명세서!A:B,2,FALSE()),"")</f>
        <v/>
      </c>
      <c r="R64" s="15" t="str">
        <f aca="false">IFERROR(_xlfn.TEXTJOIN(", ",TRUE(),IF('UI 요소 상세'!H$1:H$500=A64,'UI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65" customFormat="false" ht="15" hidden="false" customHeight="true" outlineLevel="0" collapsed="false">
      <c r="O65" s="8" t="str">
        <f aca="false">IFERROR(VLOOKUP(K65,'IA(정보구조)'!D:E,2,FALSE()),"")</f>
        <v/>
      </c>
      <c r="P65" s="8" t="str">
        <f aca="false">IFERROR(VLOOKUP(L65,기능명세서!A:B,2,FALSE()),"")</f>
        <v/>
      </c>
      <c r="R65" s="15" t="str">
        <f aca="false">IFERROR(_xlfn.TEXTJOIN(", ",TRUE(),IF('UI 요소 상세'!H$1:H$500=A65,'UI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66" customFormat="false" ht="15" hidden="false" customHeight="true" outlineLevel="0" collapsed="false">
      <c r="O66" s="8" t="str">
        <f aca="false">IFERROR(VLOOKUP(K66,'IA(정보구조)'!D:E,2,FALSE()),"")</f>
        <v/>
      </c>
      <c r="P66" s="8" t="str">
        <f aca="false">IFERROR(VLOOKUP(L66,기능명세서!A:B,2,FALSE()),"")</f>
        <v/>
      </c>
      <c r="R66" s="15" t="str">
        <f aca="false">IFERROR(_xlfn.TEXTJOIN(", ",TRUE(),IF('UI 요소 상세'!H$1:H$500=A66,'UI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67" customFormat="false" ht="15" hidden="false" customHeight="true" outlineLevel="0" collapsed="false">
      <c r="O67" s="8" t="str">
        <f aca="false">IFERROR(VLOOKUP(K67,'IA(정보구조)'!D:E,2,FALSE()),"")</f>
        <v/>
      </c>
      <c r="P67" s="8" t="str">
        <f aca="false">IFERROR(VLOOKUP(L67,기능명세서!A:B,2,FALSE()),"")</f>
        <v/>
      </c>
      <c r="R67" s="15" t="str">
        <f aca="false">IFERROR(_xlfn.TEXTJOIN(", ",TRUE(),IF('UI 요소 상세'!H$1:H$500=A67,'UI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68" customFormat="false" ht="15" hidden="false" customHeight="true" outlineLevel="0" collapsed="false">
      <c r="O68" s="8" t="str">
        <f aca="false">IFERROR(VLOOKUP(K68,'IA(정보구조)'!D:E,2,FALSE()),"")</f>
        <v/>
      </c>
      <c r="P68" s="8" t="str">
        <f aca="false">IFERROR(VLOOKUP(L68,기능명세서!A:B,2,FALSE()),"")</f>
        <v/>
      </c>
      <c r="R68" s="15" t="str">
        <f aca="false">IFERROR(_xlfn.TEXTJOIN(", ",TRUE(),IF('UI 요소 상세'!H$1:H$500=A68,'UI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69" customFormat="false" ht="15" hidden="false" customHeight="true" outlineLevel="0" collapsed="false">
      <c r="O69" s="8" t="str">
        <f aca="false">IFERROR(VLOOKUP(K69,'IA(정보구조)'!D:E,2,FALSE()),"")</f>
        <v/>
      </c>
      <c r="P69" s="8" t="str">
        <f aca="false">IFERROR(VLOOKUP(L69,기능명세서!A:B,2,FALSE()),"")</f>
        <v/>
      </c>
      <c r="R69" s="15" t="str">
        <f aca="false">IFERROR(_xlfn.TEXTJOIN(", ",TRUE(),IF('UI 요소 상세'!H$1:H$500=A69,'UI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70" customFormat="false" ht="15" hidden="false" customHeight="true" outlineLevel="0" collapsed="false">
      <c r="O70" s="8" t="str">
        <f aca="false">IFERROR(VLOOKUP(K70,'IA(정보구조)'!D:E,2,FALSE()),"")</f>
        <v/>
      </c>
      <c r="P70" s="8" t="str">
        <f aca="false">IFERROR(VLOOKUP(L70,기능명세서!A:B,2,FALSE()),"")</f>
        <v/>
      </c>
      <c r="R70" s="15" t="str">
        <f aca="false">IFERROR(_xlfn.TEXTJOIN(", ",TRUE(),IF('UI 요소 상세'!H$1:H$500=A70,'UI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71" customFormat="false" ht="15" hidden="false" customHeight="true" outlineLevel="0" collapsed="false">
      <c r="O71" s="8" t="str">
        <f aca="false">IFERROR(VLOOKUP(K71,'IA(정보구조)'!D:E,2,FALSE()),"")</f>
        <v/>
      </c>
      <c r="P71" s="8" t="str">
        <f aca="false">IFERROR(VLOOKUP(L71,기능명세서!A:B,2,FALSE()),"")</f>
        <v/>
      </c>
      <c r="R71" s="15" t="str">
        <f aca="false">IFERROR(_xlfn.TEXTJOIN(", ",TRUE(),IF('UI 요소 상세'!H$1:H$500=A71,'UI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72" customFormat="false" ht="15" hidden="false" customHeight="true" outlineLevel="0" collapsed="false">
      <c r="O72" s="8" t="str">
        <f aca="false">IFERROR(VLOOKUP(K72,'IA(정보구조)'!D:E,2,FALSE()),"")</f>
        <v/>
      </c>
      <c r="P72" s="8" t="str">
        <f aca="false">IFERROR(VLOOKUP(L72,기능명세서!A:B,2,FALSE()),"")</f>
        <v/>
      </c>
      <c r="R72" s="15" t="str">
        <f aca="false">IFERROR(_xlfn.TEXTJOIN(", ",TRUE(),IF('UI 요소 상세'!H$1:H$500=A72,'UI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73" customFormat="false" ht="15" hidden="false" customHeight="true" outlineLevel="0" collapsed="false">
      <c r="O73" s="8" t="str">
        <f aca="false">IFERROR(VLOOKUP(K73,'IA(정보구조)'!D:E,2,FALSE()),"")</f>
        <v/>
      </c>
      <c r="P73" s="8" t="str">
        <f aca="false">IFERROR(VLOOKUP(L73,기능명세서!A:B,2,FALSE()),"")</f>
        <v/>
      </c>
      <c r="R73" s="15" t="str">
        <f aca="false">IFERROR(_xlfn.TEXTJOIN(", ",TRUE(),IF('UI 요소 상세'!H$1:H$500=A73,'UI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74" customFormat="false" ht="15" hidden="false" customHeight="true" outlineLevel="0" collapsed="false">
      <c r="O74" s="8" t="str">
        <f aca="false">IFERROR(VLOOKUP(K74,'IA(정보구조)'!D:E,2,FALSE()),"")</f>
        <v/>
      </c>
      <c r="P74" s="8" t="str">
        <f aca="false">IFERROR(VLOOKUP(L74,기능명세서!A:B,2,FALSE()),"")</f>
        <v/>
      </c>
      <c r="R74" s="15" t="str">
        <f aca="false">IFERROR(_xlfn.TEXTJOIN(", ",TRUE(),IF('UI 요소 상세'!H$1:H$500=A74,'UI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75" customFormat="false" ht="15" hidden="false" customHeight="true" outlineLevel="0" collapsed="false">
      <c r="O75" s="8" t="str">
        <f aca="false">IFERROR(VLOOKUP(K75,'IA(정보구조)'!D:E,2,FALSE()),"")</f>
        <v/>
      </c>
      <c r="P75" s="8" t="str">
        <f aca="false">IFERROR(VLOOKUP(L75,기능명세서!A:B,2,FALSE()),"")</f>
        <v/>
      </c>
      <c r="R75" s="15" t="str">
        <f aca="false">IFERROR(_xlfn.TEXTJOIN(", ",TRUE(),IF('UI 요소 상세'!H$1:H$500=A75,'UI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76" customFormat="false" ht="15" hidden="false" customHeight="true" outlineLevel="0" collapsed="false">
      <c r="O76" s="8" t="str">
        <f aca="false">IFERROR(VLOOKUP(K76,'IA(정보구조)'!D:E,2,FALSE()),"")</f>
        <v/>
      </c>
      <c r="P76" s="8" t="str">
        <f aca="false">IFERROR(VLOOKUP(L76,기능명세서!A:B,2,FALSE()),"")</f>
        <v/>
      </c>
      <c r="R76" s="15" t="str">
        <f aca="false">IFERROR(_xlfn.TEXTJOIN(", ",TRUE(),IF('UI 요소 상세'!H$1:H$500=A76,'UI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77" customFormat="false" ht="15" hidden="false" customHeight="true" outlineLevel="0" collapsed="false">
      <c r="O77" s="8" t="str">
        <f aca="false">IFERROR(VLOOKUP(K77,'IA(정보구조)'!D:E,2,FALSE()),"")</f>
        <v/>
      </c>
      <c r="P77" s="8" t="str">
        <f aca="false">IFERROR(VLOOKUP(L77,기능명세서!A:B,2,FALSE()),"")</f>
        <v/>
      </c>
      <c r="R77" s="15" t="str">
        <f aca="false">IFERROR(_xlfn.TEXTJOIN(", ",TRUE(),IF('UI 요소 상세'!H$1:H$500=A77,'UI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78" customFormat="false" ht="15" hidden="false" customHeight="true" outlineLevel="0" collapsed="false">
      <c r="O78" s="8" t="str">
        <f aca="false">IFERROR(VLOOKUP(K78,'IA(정보구조)'!D:E,2,FALSE()),"")</f>
        <v/>
      </c>
      <c r="P78" s="8" t="str">
        <f aca="false">IFERROR(VLOOKUP(L78,기능명세서!A:B,2,FALSE()),"")</f>
        <v/>
      </c>
      <c r="R78" s="15" t="str">
        <f aca="false">IFERROR(_xlfn.TEXTJOIN(", ",TRUE(),IF('UI 요소 상세'!H$1:H$500=A78,'UI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79" customFormat="false" ht="15" hidden="false" customHeight="true" outlineLevel="0" collapsed="false">
      <c r="O79" s="8" t="str">
        <f aca="false">IFERROR(VLOOKUP(K79,'IA(정보구조)'!D:E,2,FALSE()),"")</f>
        <v/>
      </c>
      <c r="P79" s="8" t="str">
        <f aca="false">IFERROR(VLOOKUP(L79,기능명세서!A:B,2,FALSE()),"")</f>
        <v/>
      </c>
      <c r="R79" s="15" t="str">
        <f aca="false">IFERROR(_xlfn.TEXTJOIN(", ",TRUE(),IF('UI 요소 상세'!H$1:H$500=A79,'UI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80" customFormat="false" ht="15" hidden="false" customHeight="true" outlineLevel="0" collapsed="false">
      <c r="O80" s="8" t="str">
        <f aca="false">IFERROR(VLOOKUP(K80,'IA(정보구조)'!D:E,2,FALSE()),"")</f>
        <v/>
      </c>
      <c r="P80" s="8" t="str">
        <f aca="false">IFERROR(VLOOKUP(L80,기능명세서!A:B,2,FALSE()),"")</f>
        <v/>
      </c>
      <c r="R80" s="15" t="str">
        <f aca="false">IFERROR(_xlfn.TEXTJOIN(", ",TRUE(),IF('UI 요소 상세'!H$1:H$500=A80,'UI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81" customFormat="false" ht="15" hidden="false" customHeight="true" outlineLevel="0" collapsed="false">
      <c r="O81" s="8" t="str">
        <f aca="false">IFERROR(VLOOKUP(K81,'IA(정보구조)'!D:E,2,FALSE()),"")</f>
        <v/>
      </c>
      <c r="P81" s="8" t="str">
        <f aca="false">IFERROR(VLOOKUP(L81,기능명세서!A:B,2,FALSE()),"")</f>
        <v/>
      </c>
      <c r="R81" s="15" t="str">
        <f aca="false">IFERROR(_xlfn.TEXTJOIN(", ",TRUE(),IF('UI 요소 상세'!H$1:H$500=A81,'UI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82" customFormat="false" ht="15" hidden="false" customHeight="true" outlineLevel="0" collapsed="false">
      <c r="O82" s="8" t="str">
        <f aca="false">IFERROR(VLOOKUP(K82,'IA(정보구조)'!D:E,2,FALSE()),"")</f>
        <v/>
      </c>
      <c r="P82" s="8" t="str">
        <f aca="false">IFERROR(VLOOKUP(L82,기능명세서!A:B,2,FALSE()),"")</f>
        <v/>
      </c>
      <c r="R82" s="15" t="str">
        <f aca="false">IFERROR(_xlfn.TEXTJOIN(", ",TRUE(),IF('UI 요소 상세'!H$1:H$500=A82,'UI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83" customFormat="false" ht="15" hidden="false" customHeight="true" outlineLevel="0" collapsed="false">
      <c r="O83" s="8" t="str">
        <f aca="false">IFERROR(VLOOKUP(K83,'IA(정보구조)'!D:E,2,FALSE()),"")</f>
        <v/>
      </c>
      <c r="P83" s="8" t="str">
        <f aca="false">IFERROR(VLOOKUP(L83,기능명세서!A:B,2,FALSE()),"")</f>
        <v/>
      </c>
      <c r="R83" s="15" t="str">
        <f aca="false">IFERROR(_xlfn.TEXTJOIN(", ",TRUE(),IF('UI 요소 상세'!H$1:H$500=A83,'UI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84" customFormat="false" ht="15" hidden="false" customHeight="true" outlineLevel="0" collapsed="false">
      <c r="O84" s="8" t="str">
        <f aca="false">IFERROR(VLOOKUP(K84,'IA(정보구조)'!D:E,2,FALSE()),"")</f>
        <v/>
      </c>
      <c r="P84" s="8" t="str">
        <f aca="false">IFERROR(VLOOKUP(L84,기능명세서!A:B,2,FALSE()),"")</f>
        <v/>
      </c>
      <c r="R84" s="15" t="str">
        <f aca="false">IFERROR(_xlfn.TEXTJOIN(", ",TRUE(),IF('UI 요소 상세'!H$1:H$500=A84,'UI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85" customFormat="false" ht="15" hidden="false" customHeight="true" outlineLevel="0" collapsed="false">
      <c r="O85" s="8" t="str">
        <f aca="false">IFERROR(VLOOKUP(K85,'IA(정보구조)'!D:E,2,FALSE()),"")</f>
        <v/>
      </c>
      <c r="P85" s="8" t="str">
        <f aca="false">IFERROR(VLOOKUP(L85,기능명세서!A:B,2,FALSE()),"")</f>
        <v/>
      </c>
      <c r="R85" s="15" t="str">
        <f aca="false">IFERROR(_xlfn.TEXTJOIN(", ",TRUE(),IF('UI 요소 상세'!H$1:H$500=A85,'UI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86" customFormat="false" ht="15" hidden="false" customHeight="true" outlineLevel="0" collapsed="false">
      <c r="O86" s="8" t="str">
        <f aca="false">IFERROR(VLOOKUP(K86,'IA(정보구조)'!D:E,2,FALSE()),"")</f>
        <v/>
      </c>
      <c r="P86" s="8" t="str">
        <f aca="false">IFERROR(VLOOKUP(L86,기능명세서!A:B,2,FALSE()),"")</f>
        <v/>
      </c>
      <c r="R86" s="15" t="str">
        <f aca="false">IFERROR(_xlfn.TEXTJOIN(", ",TRUE(),IF('UI 요소 상세'!H$1:H$500=A86,'UI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87" customFormat="false" ht="15" hidden="false" customHeight="true" outlineLevel="0" collapsed="false">
      <c r="O87" s="8" t="str">
        <f aca="false">IFERROR(VLOOKUP(K87,'IA(정보구조)'!D:E,2,FALSE()),"")</f>
        <v/>
      </c>
      <c r="P87" s="8" t="str">
        <f aca="false">IFERROR(VLOOKUP(L87,기능명세서!A:B,2,FALSE()),"")</f>
        <v/>
      </c>
      <c r="R87" s="15" t="str">
        <f aca="false">IFERROR(_xlfn.TEXTJOIN(", ",TRUE(),IF('UI 요소 상세'!H$1:H$500=A87,'UI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88" customFormat="false" ht="15" hidden="false" customHeight="true" outlineLevel="0" collapsed="false">
      <c r="O88" s="8" t="str">
        <f aca="false">IFERROR(VLOOKUP(K88,'IA(정보구조)'!D:E,2,FALSE()),"")</f>
        <v/>
      </c>
      <c r="P88" s="8" t="str">
        <f aca="false">IFERROR(VLOOKUP(L88,기능명세서!A:B,2,FALSE()),"")</f>
        <v/>
      </c>
      <c r="R88" s="15" t="str">
        <f aca="false">IFERROR(_xlfn.TEXTJOIN(", ",TRUE(),IF('UI 요소 상세'!H$1:H$500=A88,'UI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89" customFormat="false" ht="15" hidden="false" customHeight="true" outlineLevel="0" collapsed="false">
      <c r="O89" s="8" t="str">
        <f aca="false">IFERROR(VLOOKUP(K89,'IA(정보구조)'!D:E,2,FALSE()),"")</f>
        <v/>
      </c>
      <c r="P89" s="8" t="str">
        <f aca="false">IFERROR(VLOOKUP(L89,기능명세서!A:B,2,FALSE()),"")</f>
        <v/>
      </c>
      <c r="R89" s="15" t="str">
        <f aca="false">IFERROR(_xlfn.TEXTJOIN(", ",TRUE(),IF('UI 요소 상세'!H$1:H$500=A89,'UI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90" customFormat="false" ht="15" hidden="false" customHeight="true" outlineLevel="0" collapsed="false">
      <c r="O90" s="8" t="str">
        <f aca="false">IFERROR(VLOOKUP(K90,'IA(정보구조)'!D:E,2,FALSE()),"")</f>
        <v/>
      </c>
      <c r="P90" s="8" t="str">
        <f aca="false">IFERROR(VLOOKUP(L90,기능명세서!A:B,2,FALSE()),"")</f>
        <v/>
      </c>
      <c r="R90" s="15" t="str">
        <f aca="false">IFERROR(_xlfn.TEXTJOIN(", ",TRUE(),IF('UI 요소 상세'!H$1:H$500=A90,'UI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91" customFormat="false" ht="15" hidden="false" customHeight="true" outlineLevel="0" collapsed="false">
      <c r="O91" s="8" t="str">
        <f aca="false">IFERROR(VLOOKUP(K91,'IA(정보구조)'!D:E,2,FALSE()),"")</f>
        <v/>
      </c>
      <c r="P91" s="8" t="str">
        <f aca="false">IFERROR(VLOOKUP(L91,기능명세서!A:B,2,FALSE()),"")</f>
        <v/>
      </c>
      <c r="R91" s="15" t="str">
        <f aca="false">IFERROR(_xlfn.TEXTJOIN(", ",TRUE(),IF('UI 요소 상세'!H$1:H$500=A91,'UI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92" customFormat="false" ht="15" hidden="false" customHeight="true" outlineLevel="0" collapsed="false">
      <c r="O92" s="8" t="str">
        <f aca="false">IFERROR(VLOOKUP(K92,'IA(정보구조)'!D:E,2,FALSE()),"")</f>
        <v/>
      </c>
      <c r="P92" s="8" t="str">
        <f aca="false">IFERROR(VLOOKUP(L92,기능명세서!A:B,2,FALSE()),"")</f>
        <v/>
      </c>
      <c r="R92" s="15" t="str">
        <f aca="false">IFERROR(_xlfn.TEXTJOIN(", ",TRUE(),IF('UI 요소 상세'!H$1:H$500=A92,'UI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93" customFormat="false" ht="15" hidden="false" customHeight="true" outlineLevel="0" collapsed="false">
      <c r="O93" s="8" t="str">
        <f aca="false">IFERROR(VLOOKUP(K93,'IA(정보구조)'!D:E,2,FALSE()),"")</f>
        <v/>
      </c>
      <c r="P93" s="8" t="str">
        <f aca="false">IFERROR(VLOOKUP(L93,기능명세서!A:B,2,FALSE()),"")</f>
        <v/>
      </c>
      <c r="R93" s="15" t="str">
        <f aca="false">IFERROR(_xlfn.TEXTJOIN(", ",TRUE(),IF('UI 요소 상세'!H$1:H$500=A93,'UI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94" customFormat="false" ht="15" hidden="false" customHeight="true" outlineLevel="0" collapsed="false">
      <c r="O94" s="8" t="str">
        <f aca="false">IFERROR(VLOOKUP(K94,'IA(정보구조)'!D:E,2,FALSE()),"")</f>
        <v/>
      </c>
      <c r="P94" s="8" t="str">
        <f aca="false">IFERROR(VLOOKUP(L94,기능명세서!A:B,2,FALSE()),"")</f>
        <v/>
      </c>
      <c r="R94" s="15" t="str">
        <f aca="false">IFERROR(_xlfn.TEXTJOIN(", ",TRUE(),IF('UI 요소 상세'!H$1:H$500=A94,'UI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95" customFormat="false" ht="15" hidden="false" customHeight="true" outlineLevel="0" collapsed="false">
      <c r="O95" s="8" t="str">
        <f aca="false">IFERROR(VLOOKUP(K95,'IA(정보구조)'!D:E,2,FALSE()),"")</f>
        <v/>
      </c>
      <c r="P95" s="8" t="str">
        <f aca="false">IFERROR(VLOOKUP(L95,기능명세서!A:B,2,FALSE()),"")</f>
        <v/>
      </c>
      <c r="R95" s="15" t="str">
        <f aca="false">IFERROR(_xlfn.TEXTJOIN(", ",TRUE(),IF('UI 요소 상세'!H$1:H$500=A95,'UI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96" customFormat="false" ht="15" hidden="false" customHeight="true" outlineLevel="0" collapsed="false">
      <c r="O96" s="8" t="str">
        <f aca="false">IFERROR(VLOOKUP(K96,'IA(정보구조)'!D:E,2,FALSE()),"")</f>
        <v/>
      </c>
      <c r="P96" s="8" t="str">
        <f aca="false">IFERROR(VLOOKUP(L96,기능명세서!A:B,2,FALSE()),"")</f>
        <v/>
      </c>
      <c r="R96" s="15" t="str">
        <f aca="false">IFERROR(_xlfn.TEXTJOIN(", ",TRUE(),IF('UI 요소 상세'!H$1:H$500=A96,'UI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97" customFormat="false" ht="15" hidden="false" customHeight="true" outlineLevel="0" collapsed="false">
      <c r="O97" s="8" t="str">
        <f aca="false">IFERROR(VLOOKUP(K97,'IA(정보구조)'!D:E,2,FALSE()),"")</f>
        <v/>
      </c>
      <c r="P97" s="8" t="str">
        <f aca="false">IFERROR(VLOOKUP(L97,기능명세서!A:B,2,FALSE()),"")</f>
        <v/>
      </c>
      <c r="R97" s="15" t="str">
        <f aca="false">IFERROR(_xlfn.TEXTJOIN(", ",TRUE(),IF('UI 요소 상세'!H$1:H$500=A97,'UI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98" customFormat="false" ht="15" hidden="false" customHeight="true" outlineLevel="0" collapsed="false">
      <c r="O98" s="8" t="str">
        <f aca="false">IFERROR(VLOOKUP(K98,'IA(정보구조)'!D:E,2,FALSE()),"")</f>
        <v/>
      </c>
      <c r="P98" s="8" t="str">
        <f aca="false">IFERROR(VLOOKUP(L98,기능명세서!A:B,2,FALSE()),"")</f>
        <v/>
      </c>
      <c r="R98" s="15" t="str">
        <f aca="false">IFERROR(_xlfn.TEXTJOIN(", ",TRUE(),IF('UI 요소 상세'!H$1:H$500=A98,'UI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99" customFormat="false" ht="15" hidden="false" customHeight="true" outlineLevel="0" collapsed="false">
      <c r="O99" s="8" t="str">
        <f aca="false">IFERROR(VLOOKUP(K99,'IA(정보구조)'!D:E,2,FALSE()),"")</f>
        <v/>
      </c>
      <c r="P99" s="8" t="str">
        <f aca="false">IFERROR(VLOOKUP(L99,기능명세서!A:B,2,FALSE()),"")</f>
        <v/>
      </c>
      <c r="R99" s="15" t="str">
        <f aca="false">IFERROR(_xlfn.TEXTJOIN(", ",TRUE(),IF('UI 요소 상세'!H$1:H$500=A99,'UI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00" customFormat="false" ht="15" hidden="false" customHeight="true" outlineLevel="0" collapsed="false">
      <c r="O100" s="8" t="str">
        <f aca="false">IFERROR(VLOOKUP(K100,'IA(정보구조)'!D:E,2,FALSE()),"")</f>
        <v/>
      </c>
      <c r="P100" s="8" t="str">
        <f aca="false">IFERROR(VLOOKUP(L100,기능명세서!A:B,2,FALSE()),"")</f>
        <v/>
      </c>
      <c r="R100" s="15" t="str">
        <f aca="false">IFERROR(_xlfn.TEXTJOIN(", ",TRUE(),IF('UI 요소 상세'!H$1:H$500=A100,'UI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01" customFormat="false" ht="15" hidden="false" customHeight="true" outlineLevel="0" collapsed="false">
      <c r="O101" s="8" t="str">
        <f aca="false">IFERROR(VLOOKUP(K101,'IA(정보구조)'!D:E,2,FALSE()),"")</f>
        <v/>
      </c>
      <c r="P101" s="8" t="str">
        <f aca="false">IFERROR(VLOOKUP(L101,기능명세서!A:B,2,FALSE()),"")</f>
        <v/>
      </c>
      <c r="R101" s="15" t="str">
        <f aca="false">IFERROR(_xlfn.TEXTJOIN(", ",TRUE(),IF('UI 요소 상세'!H$1:H$500=A101,'UI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02" customFormat="false" ht="15" hidden="false" customHeight="true" outlineLevel="0" collapsed="false">
      <c r="O102" s="8" t="str">
        <f aca="false">IFERROR(VLOOKUP(K102,'IA(정보구조)'!D:E,2,FALSE()),"")</f>
        <v/>
      </c>
      <c r="P102" s="8" t="str">
        <f aca="false">IFERROR(VLOOKUP(L102,기능명세서!A:B,2,FALSE()),"")</f>
        <v/>
      </c>
      <c r="R102" s="15" t="str">
        <f aca="false">IFERROR(_xlfn.TEXTJOIN(", ",TRUE(),IF('UI 요소 상세'!H$1:H$500=A102,'UI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03" customFormat="false" ht="15" hidden="false" customHeight="true" outlineLevel="0" collapsed="false">
      <c r="O103" s="8" t="str">
        <f aca="false">IFERROR(VLOOKUP(K103,'IA(정보구조)'!D:E,2,FALSE()),"")</f>
        <v/>
      </c>
      <c r="P103" s="8" t="str">
        <f aca="false">IFERROR(VLOOKUP(L103,기능명세서!A:B,2,FALSE()),"")</f>
        <v/>
      </c>
      <c r="R103" s="15" t="str">
        <f aca="false">IFERROR(_xlfn.TEXTJOIN(", ",TRUE(),IF('UI 요소 상세'!H$1:H$500=A103,'UI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04" customFormat="false" ht="15" hidden="false" customHeight="true" outlineLevel="0" collapsed="false">
      <c r="O104" s="8" t="str">
        <f aca="false">IFERROR(VLOOKUP(K104,'IA(정보구조)'!D:E,2,FALSE()),"")</f>
        <v/>
      </c>
      <c r="P104" s="8" t="str">
        <f aca="false">IFERROR(VLOOKUP(L104,기능명세서!A:B,2,FALSE()),"")</f>
        <v/>
      </c>
      <c r="R104" s="15" t="str">
        <f aca="false">IFERROR(_xlfn.TEXTJOIN(", ",TRUE(),IF('UI 요소 상세'!H$1:H$500=A104,'UI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05" customFormat="false" ht="15" hidden="false" customHeight="true" outlineLevel="0" collapsed="false">
      <c r="O105" s="8" t="str">
        <f aca="false">IFERROR(VLOOKUP(K105,'IA(정보구조)'!D:E,2,FALSE()),"")</f>
        <v/>
      </c>
      <c r="P105" s="8" t="str">
        <f aca="false">IFERROR(VLOOKUP(L105,기능명세서!A:B,2,FALSE()),"")</f>
        <v/>
      </c>
      <c r="R105" s="15" t="str">
        <f aca="false">IFERROR(_xlfn.TEXTJOIN(", ",TRUE(),IF('UI 요소 상세'!H$1:H$500=A105,'UI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06" customFormat="false" ht="15" hidden="false" customHeight="true" outlineLevel="0" collapsed="false">
      <c r="O106" s="8" t="str">
        <f aca="false">IFERROR(VLOOKUP(K106,'IA(정보구조)'!D:E,2,FALSE()),"")</f>
        <v/>
      </c>
      <c r="P106" s="8" t="str">
        <f aca="false">IFERROR(VLOOKUP(L106,기능명세서!A:B,2,FALSE()),"")</f>
        <v/>
      </c>
      <c r="R106" s="15" t="str">
        <f aca="false">IFERROR(_xlfn.TEXTJOIN(", ",TRUE(),IF('UI 요소 상세'!H$1:H$500=A106,'UI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07" customFormat="false" ht="15" hidden="false" customHeight="true" outlineLevel="0" collapsed="false">
      <c r="O107" s="8" t="str">
        <f aca="false">IFERROR(VLOOKUP(K107,'IA(정보구조)'!D:E,2,FALSE()),"")</f>
        <v/>
      </c>
      <c r="P107" s="8" t="str">
        <f aca="false">IFERROR(VLOOKUP(L107,기능명세서!A:B,2,FALSE()),"")</f>
        <v/>
      </c>
      <c r="R107" s="15" t="str">
        <f aca="false">IFERROR(_xlfn.TEXTJOIN(", ",TRUE(),IF('UI 요소 상세'!H$1:H$500=A107,'UI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08" customFormat="false" ht="15" hidden="false" customHeight="true" outlineLevel="0" collapsed="false">
      <c r="O108" s="8" t="str">
        <f aca="false">IFERROR(VLOOKUP(K108,'IA(정보구조)'!D:E,2,FALSE()),"")</f>
        <v/>
      </c>
      <c r="P108" s="8" t="str">
        <f aca="false">IFERROR(VLOOKUP(L108,기능명세서!A:B,2,FALSE()),"")</f>
        <v/>
      </c>
      <c r="R108" s="15" t="str">
        <f aca="false">IFERROR(_xlfn.TEXTJOIN(", ",TRUE(),IF('UI 요소 상세'!H$1:H$500=A108,'UI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09" customFormat="false" ht="15" hidden="false" customHeight="true" outlineLevel="0" collapsed="false">
      <c r="O109" s="8" t="str">
        <f aca="false">IFERROR(VLOOKUP(K109,'IA(정보구조)'!D:E,2,FALSE()),"")</f>
        <v/>
      </c>
      <c r="P109" s="8" t="str">
        <f aca="false">IFERROR(VLOOKUP(L109,기능명세서!A:B,2,FALSE()),"")</f>
        <v/>
      </c>
      <c r="R109" s="15" t="str">
        <f aca="false">IFERROR(_xlfn.TEXTJOIN(", ",TRUE(),IF('UI 요소 상세'!H$1:H$500=A109,'UI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10" customFormat="false" ht="15" hidden="false" customHeight="true" outlineLevel="0" collapsed="false">
      <c r="O110" s="8" t="str">
        <f aca="false">IFERROR(VLOOKUP(K110,'IA(정보구조)'!D:E,2,FALSE()),"")</f>
        <v/>
      </c>
      <c r="P110" s="8" t="str">
        <f aca="false">IFERROR(VLOOKUP(L110,기능명세서!A:B,2,FALSE()),"")</f>
        <v/>
      </c>
      <c r="R110" s="15" t="str">
        <f aca="false">IFERROR(_xlfn.TEXTJOIN(", ",TRUE(),IF('UI 요소 상세'!H$1:H$500=A110,'UI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11" customFormat="false" ht="15" hidden="false" customHeight="true" outlineLevel="0" collapsed="false">
      <c r="O111" s="8" t="str">
        <f aca="false">IFERROR(VLOOKUP(K111,'IA(정보구조)'!D:E,2,FALSE()),"")</f>
        <v/>
      </c>
      <c r="P111" s="8" t="str">
        <f aca="false">IFERROR(VLOOKUP(L111,기능명세서!A:B,2,FALSE()),"")</f>
        <v/>
      </c>
      <c r="R111" s="15" t="str">
        <f aca="false">IFERROR(_xlfn.TEXTJOIN(", ",TRUE(),IF('UI 요소 상세'!H$1:H$500=A111,'UI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12" customFormat="false" ht="15" hidden="false" customHeight="true" outlineLevel="0" collapsed="false">
      <c r="O112" s="8" t="str">
        <f aca="false">IFERROR(VLOOKUP(K112,'IA(정보구조)'!D:E,2,FALSE()),"")</f>
        <v/>
      </c>
      <c r="P112" s="8" t="str">
        <f aca="false">IFERROR(VLOOKUP(L112,기능명세서!A:B,2,FALSE()),"")</f>
        <v/>
      </c>
      <c r="R112" s="15" t="str">
        <f aca="false">IFERROR(_xlfn.TEXTJOIN(", ",TRUE(),IF('UI 요소 상세'!H$1:H$500=A112,'UI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13" customFormat="false" ht="15" hidden="false" customHeight="true" outlineLevel="0" collapsed="false">
      <c r="O113" s="8" t="str">
        <f aca="false">IFERROR(VLOOKUP(K113,'IA(정보구조)'!D:E,2,FALSE()),"")</f>
        <v/>
      </c>
      <c r="P113" s="8" t="str">
        <f aca="false">IFERROR(VLOOKUP(L113,기능명세서!A:B,2,FALSE()),"")</f>
        <v/>
      </c>
      <c r="R113" s="15" t="str">
        <f aca="false">IFERROR(_xlfn.TEXTJOIN(", ",TRUE(),IF('UI 요소 상세'!H$1:H$500=A113,'UI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14" customFormat="false" ht="15" hidden="false" customHeight="true" outlineLevel="0" collapsed="false">
      <c r="O114" s="8" t="str">
        <f aca="false">IFERROR(VLOOKUP(K114,'IA(정보구조)'!D:E,2,FALSE()),"")</f>
        <v/>
      </c>
      <c r="P114" s="8" t="str">
        <f aca="false">IFERROR(VLOOKUP(L114,기능명세서!A:B,2,FALSE()),"")</f>
        <v/>
      </c>
      <c r="R114" s="15" t="str">
        <f aca="false">IFERROR(_xlfn.TEXTJOIN(", ",TRUE(),IF('UI 요소 상세'!H$1:H$500=A114,'UI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15" customFormat="false" ht="15" hidden="false" customHeight="true" outlineLevel="0" collapsed="false">
      <c r="O115" s="8" t="str">
        <f aca="false">IFERROR(VLOOKUP(K115,'IA(정보구조)'!D:E,2,FALSE()),"")</f>
        <v/>
      </c>
      <c r="P115" s="8" t="str">
        <f aca="false">IFERROR(VLOOKUP(L115,기능명세서!A:B,2,FALSE()),"")</f>
        <v/>
      </c>
      <c r="R115" s="15" t="str">
        <f aca="false">IFERROR(_xlfn.TEXTJOIN(", ",TRUE(),IF('UI 요소 상세'!H$1:H$500=A115,'UI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16" customFormat="false" ht="15" hidden="false" customHeight="true" outlineLevel="0" collapsed="false">
      <c r="O116" s="8" t="str">
        <f aca="false">IFERROR(VLOOKUP(K116,'IA(정보구조)'!D:E,2,FALSE()),"")</f>
        <v/>
      </c>
      <c r="P116" s="8" t="str">
        <f aca="false">IFERROR(VLOOKUP(L116,기능명세서!A:B,2,FALSE()),"")</f>
        <v/>
      </c>
      <c r="R116" s="15" t="str">
        <f aca="false">IFERROR(_xlfn.TEXTJOIN(", ",TRUE(),IF('UI 요소 상세'!H$1:H$500=A116,'UI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17" customFormat="false" ht="15" hidden="false" customHeight="true" outlineLevel="0" collapsed="false">
      <c r="O117" s="8" t="str">
        <f aca="false">IFERROR(VLOOKUP(K117,'IA(정보구조)'!D:E,2,FALSE()),"")</f>
        <v/>
      </c>
      <c r="P117" s="8" t="str">
        <f aca="false">IFERROR(VLOOKUP(L117,기능명세서!A:B,2,FALSE()),"")</f>
        <v/>
      </c>
      <c r="R117" s="15" t="str">
        <f aca="false">IFERROR(_xlfn.TEXTJOIN(", ",TRUE(),IF('UI 요소 상세'!H$1:H$500=A117,'UI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18" customFormat="false" ht="15" hidden="false" customHeight="true" outlineLevel="0" collapsed="false">
      <c r="O118" s="8" t="str">
        <f aca="false">IFERROR(VLOOKUP(K118,'IA(정보구조)'!D:E,2,FALSE()),"")</f>
        <v/>
      </c>
      <c r="P118" s="8" t="str">
        <f aca="false">IFERROR(VLOOKUP(L118,기능명세서!A:B,2,FALSE()),"")</f>
        <v/>
      </c>
      <c r="R118" s="15" t="str">
        <f aca="false">IFERROR(_xlfn.TEXTJOIN(", ",TRUE(),IF('UI 요소 상세'!H$1:H$500=A118,'UI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19" customFormat="false" ht="15" hidden="false" customHeight="true" outlineLevel="0" collapsed="false">
      <c r="O119" s="8" t="str">
        <f aca="false">IFERROR(VLOOKUP(K119,'IA(정보구조)'!D:E,2,FALSE()),"")</f>
        <v/>
      </c>
      <c r="P119" s="8" t="str">
        <f aca="false">IFERROR(VLOOKUP(L119,기능명세서!A:B,2,FALSE()),"")</f>
        <v/>
      </c>
      <c r="R119" s="15" t="str">
        <f aca="false">IFERROR(_xlfn.TEXTJOIN(", ",TRUE(),IF('UI 요소 상세'!H$1:H$500=A119,'UI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20" customFormat="false" ht="15" hidden="false" customHeight="true" outlineLevel="0" collapsed="false">
      <c r="O120" s="8" t="str">
        <f aca="false">IFERROR(VLOOKUP(K120,'IA(정보구조)'!D:E,2,FALSE()),"")</f>
        <v/>
      </c>
      <c r="P120" s="8" t="str">
        <f aca="false">IFERROR(VLOOKUP(L120,기능명세서!A:B,2,FALSE()),"")</f>
        <v/>
      </c>
      <c r="R120" s="15" t="str">
        <f aca="false">IFERROR(_xlfn.TEXTJOIN(", ",TRUE(),IF('UI 요소 상세'!H$1:H$500=A120,'UI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21" customFormat="false" ht="15" hidden="false" customHeight="true" outlineLevel="0" collapsed="false">
      <c r="O121" s="8" t="str">
        <f aca="false">IFERROR(VLOOKUP(K121,'IA(정보구조)'!D:E,2,FALSE()),"")</f>
        <v/>
      </c>
      <c r="P121" s="8" t="str">
        <f aca="false">IFERROR(VLOOKUP(L121,기능명세서!A:B,2,FALSE()),"")</f>
        <v/>
      </c>
      <c r="R121" s="15" t="str">
        <f aca="false">IFERROR(_xlfn.TEXTJOIN(", ",TRUE(),IF('UI 요소 상세'!H$1:H$500=A121,'UI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22" customFormat="false" ht="15" hidden="false" customHeight="true" outlineLevel="0" collapsed="false">
      <c r="O122" s="8" t="str">
        <f aca="false">IFERROR(VLOOKUP(K122,'IA(정보구조)'!D:E,2,FALSE()),"")</f>
        <v/>
      </c>
      <c r="P122" s="8" t="str">
        <f aca="false">IFERROR(VLOOKUP(L122,기능명세서!A:B,2,FALSE()),"")</f>
        <v/>
      </c>
      <c r="R122" s="15" t="str">
        <f aca="false">IFERROR(_xlfn.TEXTJOIN(", ",TRUE(),IF('UI 요소 상세'!H$1:H$500=A122,'UI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23" customFormat="false" ht="15" hidden="false" customHeight="true" outlineLevel="0" collapsed="false">
      <c r="O123" s="8" t="str">
        <f aca="false">IFERROR(VLOOKUP(K123,'IA(정보구조)'!D:E,2,FALSE()),"")</f>
        <v/>
      </c>
      <c r="P123" s="8" t="str">
        <f aca="false">IFERROR(VLOOKUP(L123,기능명세서!A:B,2,FALSE()),"")</f>
        <v/>
      </c>
      <c r="R123" s="15" t="str">
        <f aca="false">IFERROR(_xlfn.TEXTJOIN(", ",TRUE(),IF('UI 요소 상세'!H$1:H$500=A123,'UI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24" customFormat="false" ht="15" hidden="false" customHeight="true" outlineLevel="0" collapsed="false">
      <c r="O124" s="8" t="str">
        <f aca="false">IFERROR(VLOOKUP(K124,'IA(정보구조)'!D:E,2,FALSE()),"")</f>
        <v/>
      </c>
      <c r="P124" s="8" t="str">
        <f aca="false">IFERROR(VLOOKUP(L124,기능명세서!A:B,2,FALSE()),"")</f>
        <v/>
      </c>
      <c r="R124" s="15" t="str">
        <f aca="false">IFERROR(_xlfn.TEXTJOIN(", ",TRUE(),IF('UI 요소 상세'!H$1:H$500=A124,'UI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25" customFormat="false" ht="15" hidden="false" customHeight="true" outlineLevel="0" collapsed="false">
      <c r="O125" s="8" t="str">
        <f aca="false">IFERROR(VLOOKUP(K125,'IA(정보구조)'!D:E,2,FALSE()),"")</f>
        <v/>
      </c>
      <c r="P125" s="8" t="str">
        <f aca="false">IFERROR(VLOOKUP(L125,기능명세서!A:B,2,FALSE()),"")</f>
        <v/>
      </c>
      <c r="R125" s="15" t="str">
        <f aca="false">IFERROR(_xlfn.TEXTJOIN(", ",TRUE(),IF('UI 요소 상세'!H$1:H$500=A125,'UI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26" customFormat="false" ht="15" hidden="false" customHeight="true" outlineLevel="0" collapsed="false">
      <c r="O126" s="8" t="str">
        <f aca="false">IFERROR(VLOOKUP(K126,'IA(정보구조)'!D:E,2,FALSE()),"")</f>
        <v/>
      </c>
      <c r="P126" s="8" t="str">
        <f aca="false">IFERROR(VLOOKUP(L126,기능명세서!A:B,2,FALSE()),"")</f>
        <v/>
      </c>
      <c r="R126" s="15" t="str">
        <f aca="false">IFERROR(_xlfn.TEXTJOIN(", ",TRUE(),IF('UI 요소 상세'!H$1:H$500=A126,'UI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27" customFormat="false" ht="15" hidden="false" customHeight="true" outlineLevel="0" collapsed="false">
      <c r="O127" s="8" t="str">
        <f aca="false">IFERROR(VLOOKUP(K127,'IA(정보구조)'!D:E,2,FALSE()),"")</f>
        <v/>
      </c>
      <c r="P127" s="8" t="str">
        <f aca="false">IFERROR(VLOOKUP(L127,기능명세서!A:B,2,FALSE()),"")</f>
        <v/>
      </c>
      <c r="R127" s="15" t="str">
        <f aca="false">IFERROR(_xlfn.TEXTJOIN(", ",TRUE(),IF('UI 요소 상세'!H$1:H$500=A127,'UI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28" customFormat="false" ht="15" hidden="false" customHeight="true" outlineLevel="0" collapsed="false">
      <c r="O128" s="8" t="str">
        <f aca="false">IFERROR(VLOOKUP(K128,'IA(정보구조)'!D:E,2,FALSE()),"")</f>
        <v/>
      </c>
      <c r="P128" s="8" t="str">
        <f aca="false">IFERROR(VLOOKUP(L128,기능명세서!A:B,2,FALSE()),"")</f>
        <v/>
      </c>
      <c r="R128" s="15" t="str">
        <f aca="false">IFERROR(_xlfn.TEXTJOIN(", ",TRUE(),IF('UI 요소 상세'!H$1:H$500=A128,'UI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29" customFormat="false" ht="15" hidden="false" customHeight="true" outlineLevel="0" collapsed="false">
      <c r="O129" s="8" t="str">
        <f aca="false">IFERROR(VLOOKUP(K129,'IA(정보구조)'!D:E,2,FALSE()),"")</f>
        <v/>
      </c>
      <c r="P129" s="8" t="str">
        <f aca="false">IFERROR(VLOOKUP(L129,기능명세서!A:B,2,FALSE()),"")</f>
        <v/>
      </c>
      <c r="R129" s="15" t="str">
        <f aca="false">IFERROR(_xlfn.TEXTJOIN(", ",TRUE(),IF('UI 요소 상세'!H$1:H$500=A129,'UI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30" customFormat="false" ht="15" hidden="false" customHeight="true" outlineLevel="0" collapsed="false">
      <c r="O130" s="8" t="str">
        <f aca="false">IFERROR(VLOOKUP(K130,'IA(정보구조)'!D:E,2,FALSE()),"")</f>
        <v/>
      </c>
      <c r="P130" s="8" t="str">
        <f aca="false">IFERROR(VLOOKUP(L130,기능명세서!A:B,2,FALSE()),"")</f>
        <v/>
      </c>
      <c r="R130" s="15" t="str">
        <f aca="false">IFERROR(_xlfn.TEXTJOIN(", ",TRUE(),IF('UI 요소 상세'!H$1:H$500=A130,'UI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31" customFormat="false" ht="15" hidden="false" customHeight="true" outlineLevel="0" collapsed="false">
      <c r="O131" s="8" t="str">
        <f aca="false">IFERROR(VLOOKUP(K131,'IA(정보구조)'!D:E,2,FALSE()),"")</f>
        <v/>
      </c>
      <c r="P131" s="8" t="str">
        <f aca="false">IFERROR(VLOOKUP(L131,기능명세서!A:B,2,FALSE()),"")</f>
        <v/>
      </c>
      <c r="R131" s="15" t="str">
        <f aca="false">IFERROR(_xlfn.TEXTJOIN(", ",TRUE(),IF('UI 요소 상세'!H$1:H$500=A131,'UI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32" customFormat="false" ht="15" hidden="false" customHeight="true" outlineLevel="0" collapsed="false">
      <c r="O132" s="8" t="str">
        <f aca="false">IFERROR(VLOOKUP(K132,'IA(정보구조)'!D:E,2,FALSE()),"")</f>
        <v/>
      </c>
      <c r="P132" s="8" t="str">
        <f aca="false">IFERROR(VLOOKUP(L132,기능명세서!A:B,2,FALSE()),"")</f>
        <v/>
      </c>
      <c r="R132" s="15" t="str">
        <f aca="false">IFERROR(_xlfn.TEXTJOIN(", ",TRUE(),IF('UI 요소 상세'!H$1:H$500=A132,'UI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33" customFormat="false" ht="15" hidden="false" customHeight="true" outlineLevel="0" collapsed="false">
      <c r="O133" s="8" t="str">
        <f aca="false">IFERROR(VLOOKUP(K133,'IA(정보구조)'!D:E,2,FALSE()),"")</f>
        <v/>
      </c>
      <c r="P133" s="8" t="str">
        <f aca="false">IFERROR(VLOOKUP(L133,기능명세서!A:B,2,FALSE()),"")</f>
        <v/>
      </c>
      <c r="R133" s="15" t="str">
        <f aca="false">IFERROR(_xlfn.TEXTJOIN(", ",TRUE(),IF('UI 요소 상세'!H$1:H$500=A133,'UI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34" customFormat="false" ht="15" hidden="false" customHeight="true" outlineLevel="0" collapsed="false">
      <c r="O134" s="8" t="str">
        <f aca="false">IFERROR(VLOOKUP(K134,'IA(정보구조)'!D:E,2,FALSE()),"")</f>
        <v/>
      </c>
      <c r="P134" s="8" t="str">
        <f aca="false">IFERROR(VLOOKUP(L134,기능명세서!A:B,2,FALSE()),"")</f>
        <v/>
      </c>
      <c r="R134" s="15" t="str">
        <f aca="false">IFERROR(_xlfn.TEXTJOIN(", ",TRUE(),IF('UI 요소 상세'!H$1:H$500=A134,'UI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35" customFormat="false" ht="15" hidden="false" customHeight="true" outlineLevel="0" collapsed="false">
      <c r="O135" s="8" t="str">
        <f aca="false">IFERROR(VLOOKUP(K135,'IA(정보구조)'!D:E,2,FALSE()),"")</f>
        <v/>
      </c>
      <c r="P135" s="8" t="str">
        <f aca="false">IFERROR(VLOOKUP(L135,기능명세서!A:B,2,FALSE()),"")</f>
        <v/>
      </c>
      <c r="R135" s="15" t="str">
        <f aca="false">IFERROR(_xlfn.TEXTJOIN(", ",TRUE(),IF('UI 요소 상세'!H$1:H$500=A135,'UI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36" customFormat="false" ht="15" hidden="false" customHeight="true" outlineLevel="0" collapsed="false">
      <c r="O136" s="8" t="str">
        <f aca="false">IFERROR(VLOOKUP(K136,'IA(정보구조)'!D:E,2,FALSE()),"")</f>
        <v/>
      </c>
      <c r="P136" s="8" t="str">
        <f aca="false">IFERROR(VLOOKUP(L136,기능명세서!A:B,2,FALSE()),"")</f>
        <v/>
      </c>
      <c r="R136" s="15" t="str">
        <f aca="false">IFERROR(_xlfn.TEXTJOIN(", ",TRUE(),IF('UI 요소 상세'!H$1:H$500=A136,'UI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37" customFormat="false" ht="15" hidden="false" customHeight="true" outlineLevel="0" collapsed="false">
      <c r="O137" s="8" t="str">
        <f aca="false">IFERROR(VLOOKUP(K137,'IA(정보구조)'!D:E,2,FALSE()),"")</f>
        <v/>
      </c>
      <c r="P137" s="8" t="str">
        <f aca="false">IFERROR(VLOOKUP(L137,기능명세서!A:B,2,FALSE()),"")</f>
        <v/>
      </c>
      <c r="R137" s="15" t="str">
        <f aca="false">IFERROR(_xlfn.TEXTJOIN(", ",TRUE(),IF('UI 요소 상세'!H$1:H$500=A137,'UI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38" customFormat="false" ht="15" hidden="false" customHeight="true" outlineLevel="0" collapsed="false">
      <c r="O138" s="8" t="str">
        <f aca="false">IFERROR(VLOOKUP(K138,'IA(정보구조)'!D:E,2,FALSE()),"")</f>
        <v/>
      </c>
      <c r="P138" s="8" t="str">
        <f aca="false">IFERROR(VLOOKUP(L138,기능명세서!A:B,2,FALSE()),"")</f>
        <v/>
      </c>
      <c r="R138" s="15" t="str">
        <f aca="false">IFERROR(_xlfn.TEXTJOIN(", ",TRUE(),IF('UI 요소 상세'!H$1:H$500=A138,'UI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39" customFormat="false" ht="15" hidden="false" customHeight="true" outlineLevel="0" collapsed="false">
      <c r="O139" s="8" t="str">
        <f aca="false">IFERROR(VLOOKUP(K139,'IA(정보구조)'!D:E,2,FALSE()),"")</f>
        <v/>
      </c>
      <c r="P139" s="8" t="str">
        <f aca="false">IFERROR(VLOOKUP(L139,기능명세서!A:B,2,FALSE()),"")</f>
        <v/>
      </c>
      <c r="R139" s="15" t="str">
        <f aca="false">IFERROR(_xlfn.TEXTJOIN(", ",TRUE(),IF('UI 요소 상세'!H$1:H$500=A139,'UI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40" customFormat="false" ht="15" hidden="false" customHeight="true" outlineLevel="0" collapsed="false">
      <c r="O140" s="8" t="str">
        <f aca="false">IFERROR(VLOOKUP(K140,'IA(정보구조)'!D:E,2,FALSE()),"")</f>
        <v/>
      </c>
      <c r="P140" s="8" t="str">
        <f aca="false">IFERROR(VLOOKUP(L140,기능명세서!A:B,2,FALSE()),"")</f>
        <v/>
      </c>
      <c r="R140" s="15" t="str">
        <f aca="false">IFERROR(_xlfn.TEXTJOIN(", ",TRUE(),IF('UI 요소 상세'!H$1:H$500=A140,'UI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41" customFormat="false" ht="15" hidden="false" customHeight="true" outlineLevel="0" collapsed="false">
      <c r="O141" s="8" t="str">
        <f aca="false">IFERROR(VLOOKUP(K141,'IA(정보구조)'!D:E,2,FALSE()),"")</f>
        <v/>
      </c>
      <c r="P141" s="8" t="str">
        <f aca="false">IFERROR(VLOOKUP(L141,기능명세서!A:B,2,FALSE()),"")</f>
        <v/>
      </c>
      <c r="R141" s="15" t="str">
        <f aca="false">IFERROR(_xlfn.TEXTJOIN(", ",TRUE(),IF('UI 요소 상세'!H$1:H$500=A141,'UI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42" customFormat="false" ht="15" hidden="false" customHeight="true" outlineLevel="0" collapsed="false">
      <c r="O142" s="8" t="str">
        <f aca="false">IFERROR(VLOOKUP(K142,'IA(정보구조)'!D:E,2,FALSE()),"")</f>
        <v/>
      </c>
      <c r="P142" s="8" t="str">
        <f aca="false">IFERROR(VLOOKUP(L142,기능명세서!A:B,2,FALSE()),"")</f>
        <v/>
      </c>
      <c r="R142" s="15" t="str">
        <f aca="false">IFERROR(_xlfn.TEXTJOIN(", ",TRUE(),IF('UI 요소 상세'!H$1:H$500=A142,'UI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43" customFormat="false" ht="15" hidden="false" customHeight="true" outlineLevel="0" collapsed="false">
      <c r="O143" s="8" t="str">
        <f aca="false">IFERROR(VLOOKUP(K143,'IA(정보구조)'!D:E,2,FALSE()),"")</f>
        <v/>
      </c>
      <c r="P143" s="8" t="str">
        <f aca="false">IFERROR(VLOOKUP(L143,기능명세서!A:B,2,FALSE()),"")</f>
        <v/>
      </c>
      <c r="R143" s="15" t="str">
        <f aca="false">IFERROR(_xlfn.TEXTJOIN(", ",TRUE(),IF('UI 요소 상세'!H$1:H$500=A143,'UI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44" customFormat="false" ht="15" hidden="false" customHeight="true" outlineLevel="0" collapsed="false">
      <c r="O144" s="8" t="str">
        <f aca="false">IFERROR(VLOOKUP(K144,'IA(정보구조)'!D:E,2,FALSE()),"")</f>
        <v/>
      </c>
      <c r="P144" s="8" t="str">
        <f aca="false">IFERROR(VLOOKUP(L144,기능명세서!A:B,2,FALSE()),"")</f>
        <v/>
      </c>
      <c r="R144" s="15" t="str">
        <f aca="false">IFERROR(_xlfn.TEXTJOIN(", ",TRUE(),IF('UI 요소 상세'!H$1:H$500=A144,'UI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45" customFormat="false" ht="15" hidden="false" customHeight="true" outlineLevel="0" collapsed="false">
      <c r="O145" s="8" t="str">
        <f aca="false">IFERROR(VLOOKUP(K145,'IA(정보구조)'!D:E,2,FALSE()),"")</f>
        <v/>
      </c>
      <c r="P145" s="8" t="str">
        <f aca="false">IFERROR(VLOOKUP(L145,기능명세서!A:B,2,FALSE()),"")</f>
        <v/>
      </c>
      <c r="R145" s="15" t="str">
        <f aca="false">IFERROR(_xlfn.TEXTJOIN(", ",TRUE(),IF('UI 요소 상세'!H$1:H$500=A145,'UI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46" customFormat="false" ht="15" hidden="false" customHeight="true" outlineLevel="0" collapsed="false">
      <c r="O146" s="8" t="str">
        <f aca="false">IFERROR(VLOOKUP(K146,'IA(정보구조)'!D:E,2,FALSE()),"")</f>
        <v/>
      </c>
      <c r="P146" s="8" t="str">
        <f aca="false">IFERROR(VLOOKUP(L146,기능명세서!A:B,2,FALSE()),"")</f>
        <v/>
      </c>
      <c r="R146" s="15" t="str">
        <f aca="false">IFERROR(_xlfn.TEXTJOIN(", ",TRUE(),IF('UI 요소 상세'!H$1:H$500=A146,'UI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47" customFormat="false" ht="15" hidden="false" customHeight="true" outlineLevel="0" collapsed="false">
      <c r="O147" s="8" t="str">
        <f aca="false">IFERROR(VLOOKUP(K147,'IA(정보구조)'!D:E,2,FALSE()),"")</f>
        <v/>
      </c>
      <c r="P147" s="8" t="str">
        <f aca="false">IFERROR(VLOOKUP(L147,기능명세서!A:B,2,FALSE()),"")</f>
        <v/>
      </c>
      <c r="R147" s="15" t="str">
        <f aca="false">IFERROR(_xlfn.TEXTJOIN(", ",TRUE(),IF('UI 요소 상세'!H$1:H$500=A147,'UI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48" customFormat="false" ht="15" hidden="false" customHeight="true" outlineLevel="0" collapsed="false">
      <c r="O148" s="8" t="str">
        <f aca="false">IFERROR(VLOOKUP(K148,'IA(정보구조)'!D:E,2,FALSE()),"")</f>
        <v/>
      </c>
      <c r="P148" s="8" t="str">
        <f aca="false">IFERROR(VLOOKUP(L148,기능명세서!A:B,2,FALSE()),"")</f>
        <v/>
      </c>
      <c r="R148" s="15" t="str">
        <f aca="false">IFERROR(_xlfn.TEXTJOIN(", ",TRUE(),IF('UI 요소 상세'!H$1:H$500=A148,'UI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49" customFormat="false" ht="15" hidden="false" customHeight="true" outlineLevel="0" collapsed="false">
      <c r="O149" s="8" t="str">
        <f aca="false">IFERROR(VLOOKUP(K149,'IA(정보구조)'!D:E,2,FALSE()),"")</f>
        <v/>
      </c>
      <c r="P149" s="8" t="str">
        <f aca="false">IFERROR(VLOOKUP(L149,기능명세서!A:B,2,FALSE()),"")</f>
        <v/>
      </c>
      <c r="R149" s="15" t="str">
        <f aca="false">IFERROR(_xlfn.TEXTJOIN(", ",TRUE(),IF('UI 요소 상세'!H$1:H$500=A149,'UI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50" customFormat="false" ht="15" hidden="false" customHeight="true" outlineLevel="0" collapsed="false">
      <c r="O150" s="8" t="str">
        <f aca="false">IFERROR(VLOOKUP(K150,'IA(정보구조)'!D:E,2,FALSE()),"")</f>
        <v/>
      </c>
      <c r="P150" s="8" t="str">
        <f aca="false">IFERROR(VLOOKUP(L150,기능명세서!A:B,2,FALSE()),"")</f>
        <v/>
      </c>
      <c r="R150" s="15" t="str">
        <f aca="false">IFERROR(_xlfn.TEXTJOIN(", ",TRUE(),IF('UI 요소 상세'!H$1:H$500=A150,'UI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51" customFormat="false" ht="15" hidden="false" customHeight="true" outlineLevel="0" collapsed="false">
      <c r="O151" s="8" t="str">
        <f aca="false">IFERROR(VLOOKUP(K151,'IA(정보구조)'!D:E,2,FALSE()),"")</f>
        <v/>
      </c>
      <c r="P151" s="8" t="str">
        <f aca="false">IFERROR(VLOOKUP(L151,기능명세서!A:B,2,FALSE()),"")</f>
        <v/>
      </c>
      <c r="R151" s="15" t="str">
        <f aca="false">IFERROR(_xlfn.TEXTJOIN(", ",TRUE(),IF('UI 요소 상세'!H$1:H$500=A151,'UI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52" customFormat="false" ht="15" hidden="false" customHeight="true" outlineLevel="0" collapsed="false">
      <c r="O152" s="8" t="str">
        <f aca="false">IFERROR(VLOOKUP(K152,'IA(정보구조)'!D:E,2,FALSE()),"")</f>
        <v/>
      </c>
      <c r="P152" s="8" t="str">
        <f aca="false">IFERROR(VLOOKUP(L152,기능명세서!A:B,2,FALSE()),"")</f>
        <v/>
      </c>
      <c r="R152" s="15" t="str">
        <f aca="false">IFERROR(_xlfn.TEXTJOIN(", ",TRUE(),IF('UI 요소 상세'!H$1:H$500=A152,'UI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53" customFormat="false" ht="15" hidden="false" customHeight="true" outlineLevel="0" collapsed="false">
      <c r="O153" s="8" t="str">
        <f aca="false">IFERROR(VLOOKUP(K153,'IA(정보구조)'!D:E,2,FALSE()),"")</f>
        <v/>
      </c>
      <c r="P153" s="8" t="str">
        <f aca="false">IFERROR(VLOOKUP(L153,기능명세서!A:B,2,FALSE()),"")</f>
        <v/>
      </c>
      <c r="R153" s="15" t="str">
        <f aca="false">IFERROR(_xlfn.TEXTJOIN(", ",TRUE(),IF('UI 요소 상세'!H$1:H$500=A153,'UI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54" customFormat="false" ht="15" hidden="false" customHeight="true" outlineLevel="0" collapsed="false">
      <c r="O154" s="8" t="str">
        <f aca="false">IFERROR(VLOOKUP(K154,'IA(정보구조)'!D:E,2,FALSE()),"")</f>
        <v/>
      </c>
      <c r="P154" s="8" t="str">
        <f aca="false">IFERROR(VLOOKUP(L154,기능명세서!A:B,2,FALSE()),"")</f>
        <v/>
      </c>
      <c r="R154" s="15" t="str">
        <f aca="false">IFERROR(_xlfn.TEXTJOIN(", ",TRUE(),IF('UI 요소 상세'!H$1:H$500=A154,'UI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55" customFormat="false" ht="15" hidden="false" customHeight="true" outlineLevel="0" collapsed="false">
      <c r="O155" s="8" t="str">
        <f aca="false">IFERROR(VLOOKUP(K155,'IA(정보구조)'!D:E,2,FALSE()),"")</f>
        <v/>
      </c>
      <c r="P155" s="8" t="str">
        <f aca="false">IFERROR(VLOOKUP(L155,기능명세서!A:B,2,FALSE()),"")</f>
        <v/>
      </c>
      <c r="R155" s="15" t="str">
        <f aca="false">IFERROR(_xlfn.TEXTJOIN(", ",TRUE(),IF('UI 요소 상세'!H$1:H$500=A155,'UI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56" customFormat="false" ht="15" hidden="false" customHeight="true" outlineLevel="0" collapsed="false">
      <c r="O156" s="8" t="str">
        <f aca="false">IFERROR(VLOOKUP(K156,'IA(정보구조)'!D:E,2,FALSE()),"")</f>
        <v/>
      </c>
      <c r="P156" s="8" t="str">
        <f aca="false">IFERROR(VLOOKUP(L156,기능명세서!A:B,2,FALSE()),"")</f>
        <v/>
      </c>
      <c r="R156" s="15" t="str">
        <f aca="false">IFERROR(_xlfn.TEXTJOIN(", ",TRUE(),IF('UI 요소 상세'!H$1:H$500=A156,'UI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57" customFormat="false" ht="15" hidden="false" customHeight="true" outlineLevel="0" collapsed="false">
      <c r="O157" s="8" t="str">
        <f aca="false">IFERROR(VLOOKUP(K157,'IA(정보구조)'!D:E,2,FALSE()),"")</f>
        <v/>
      </c>
      <c r="P157" s="8" t="str">
        <f aca="false">IFERROR(VLOOKUP(L157,기능명세서!A:B,2,FALSE()),"")</f>
        <v/>
      </c>
      <c r="R157" s="15" t="str">
        <f aca="false">IFERROR(_xlfn.TEXTJOIN(", ",TRUE(),IF('UI 요소 상세'!H$1:H$500=A157,'UI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58" customFormat="false" ht="15" hidden="false" customHeight="true" outlineLevel="0" collapsed="false">
      <c r="O158" s="8" t="str">
        <f aca="false">IFERROR(VLOOKUP(K158,'IA(정보구조)'!D:E,2,FALSE()),"")</f>
        <v/>
      </c>
      <c r="P158" s="8" t="str">
        <f aca="false">IFERROR(VLOOKUP(L158,기능명세서!A:B,2,FALSE()),"")</f>
        <v/>
      </c>
      <c r="R158" s="15" t="str">
        <f aca="false">IFERROR(_xlfn.TEXTJOIN(", ",TRUE(),IF('UI 요소 상세'!H$1:H$500=A158,'UI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59" customFormat="false" ht="15" hidden="false" customHeight="true" outlineLevel="0" collapsed="false">
      <c r="O159" s="8" t="str">
        <f aca="false">IFERROR(VLOOKUP(K159,'IA(정보구조)'!D:E,2,FALSE()),"")</f>
        <v/>
      </c>
      <c r="P159" s="8" t="str">
        <f aca="false">IFERROR(VLOOKUP(L159,기능명세서!A:B,2,FALSE()),"")</f>
        <v/>
      </c>
      <c r="R159" s="15" t="str">
        <f aca="false">IFERROR(_xlfn.TEXTJOIN(", ",TRUE(),IF('UI 요소 상세'!H$1:H$500=A159,'UI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60" customFormat="false" ht="15" hidden="false" customHeight="true" outlineLevel="0" collapsed="false">
      <c r="O160" s="8" t="str">
        <f aca="false">IFERROR(VLOOKUP(K160,'IA(정보구조)'!D:E,2,FALSE()),"")</f>
        <v/>
      </c>
      <c r="P160" s="8" t="str">
        <f aca="false">IFERROR(VLOOKUP(L160,기능명세서!A:B,2,FALSE()),"")</f>
        <v/>
      </c>
      <c r="R160" s="15" t="str">
        <f aca="false">IFERROR(_xlfn.TEXTJOIN(", ",TRUE(),IF('UI 요소 상세'!H$1:H$500=A160,'UI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61" customFormat="false" ht="15" hidden="false" customHeight="true" outlineLevel="0" collapsed="false">
      <c r="O161" s="8" t="str">
        <f aca="false">IFERROR(VLOOKUP(K161,'IA(정보구조)'!D:E,2,FALSE()),"")</f>
        <v/>
      </c>
      <c r="P161" s="8" t="str">
        <f aca="false">IFERROR(VLOOKUP(L161,기능명세서!A:B,2,FALSE()),"")</f>
        <v/>
      </c>
      <c r="R161" s="15" t="str">
        <f aca="false">IFERROR(_xlfn.TEXTJOIN(", ",TRUE(),IF('UI 요소 상세'!H$1:H$500=A161,'UI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62" customFormat="false" ht="15" hidden="false" customHeight="true" outlineLevel="0" collapsed="false">
      <c r="O162" s="8" t="str">
        <f aca="false">IFERROR(VLOOKUP(K162,'IA(정보구조)'!D:E,2,FALSE()),"")</f>
        <v/>
      </c>
      <c r="P162" s="8" t="str">
        <f aca="false">IFERROR(VLOOKUP(L162,기능명세서!A:B,2,FALSE()),"")</f>
        <v/>
      </c>
      <c r="R162" s="15" t="str">
        <f aca="false">IFERROR(_xlfn.TEXTJOIN(", ",TRUE(),IF('UI 요소 상세'!H$1:H$500=A162,'UI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63" customFormat="false" ht="15" hidden="false" customHeight="true" outlineLevel="0" collapsed="false">
      <c r="O163" s="8" t="str">
        <f aca="false">IFERROR(VLOOKUP(K163,'IA(정보구조)'!D:E,2,FALSE()),"")</f>
        <v/>
      </c>
      <c r="P163" s="8" t="str">
        <f aca="false">IFERROR(VLOOKUP(L163,기능명세서!A:B,2,FALSE()),"")</f>
        <v/>
      </c>
      <c r="R163" s="15" t="str">
        <f aca="false">IFERROR(_xlfn.TEXTJOIN(", ",TRUE(),IF('UI 요소 상세'!H$1:H$500=A163,'UI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64" customFormat="false" ht="15" hidden="false" customHeight="true" outlineLevel="0" collapsed="false">
      <c r="O164" s="8" t="str">
        <f aca="false">IFERROR(VLOOKUP(K164,'IA(정보구조)'!D:E,2,FALSE()),"")</f>
        <v/>
      </c>
      <c r="P164" s="8" t="str">
        <f aca="false">IFERROR(VLOOKUP(L164,기능명세서!A:B,2,FALSE()),"")</f>
        <v/>
      </c>
      <c r="R164" s="15" t="str">
        <f aca="false">IFERROR(_xlfn.TEXTJOIN(", ",TRUE(),IF('UI 요소 상세'!H$1:H$500=A164,'UI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65" customFormat="false" ht="15" hidden="false" customHeight="true" outlineLevel="0" collapsed="false">
      <c r="O165" s="8" t="str">
        <f aca="false">IFERROR(VLOOKUP(K165,'IA(정보구조)'!D:E,2,FALSE()),"")</f>
        <v/>
      </c>
      <c r="P165" s="8" t="str">
        <f aca="false">IFERROR(VLOOKUP(L165,기능명세서!A:B,2,FALSE()),"")</f>
        <v/>
      </c>
      <c r="R165" s="15" t="str">
        <f aca="false">IFERROR(_xlfn.TEXTJOIN(", ",TRUE(),IF('UI 요소 상세'!H$1:H$500=A165,'UI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66" customFormat="false" ht="15" hidden="false" customHeight="true" outlineLevel="0" collapsed="false">
      <c r="O166" s="8" t="str">
        <f aca="false">IFERROR(VLOOKUP(K166,'IA(정보구조)'!D:E,2,FALSE()),"")</f>
        <v/>
      </c>
      <c r="P166" s="8" t="str">
        <f aca="false">IFERROR(VLOOKUP(L166,기능명세서!A:B,2,FALSE()),"")</f>
        <v/>
      </c>
      <c r="R166" s="15" t="str">
        <f aca="false">IFERROR(_xlfn.TEXTJOIN(", ",TRUE(),IF('UI 요소 상세'!H$1:H$500=A166,'UI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67" customFormat="false" ht="15" hidden="false" customHeight="true" outlineLevel="0" collapsed="false">
      <c r="O167" s="8" t="str">
        <f aca="false">IFERROR(VLOOKUP(K167,'IA(정보구조)'!D:E,2,FALSE()),"")</f>
        <v/>
      </c>
      <c r="P167" s="8" t="str">
        <f aca="false">IFERROR(VLOOKUP(L167,기능명세서!A:B,2,FALSE()),"")</f>
        <v/>
      </c>
      <c r="R167" s="15" t="str">
        <f aca="false">IFERROR(_xlfn.TEXTJOIN(", ",TRUE(),IF('UI 요소 상세'!H$1:H$500=A167,'UI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68" customFormat="false" ht="15" hidden="false" customHeight="true" outlineLevel="0" collapsed="false">
      <c r="O168" s="8" t="str">
        <f aca="false">IFERROR(VLOOKUP(K168,'IA(정보구조)'!D:E,2,FALSE()),"")</f>
        <v/>
      </c>
      <c r="P168" s="8" t="str">
        <f aca="false">IFERROR(VLOOKUP(L168,기능명세서!A:B,2,FALSE()),"")</f>
        <v/>
      </c>
      <c r="R168" s="15" t="str">
        <f aca="false">IFERROR(_xlfn.TEXTJOIN(", ",TRUE(),IF('UI 요소 상세'!H$1:H$500=A168,'UI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69" customFormat="false" ht="15" hidden="false" customHeight="true" outlineLevel="0" collapsed="false">
      <c r="O169" s="8" t="str">
        <f aca="false">IFERROR(VLOOKUP(K169,'IA(정보구조)'!D:E,2,FALSE()),"")</f>
        <v/>
      </c>
      <c r="P169" s="8" t="str">
        <f aca="false">IFERROR(VLOOKUP(L169,기능명세서!A:B,2,FALSE()),"")</f>
        <v/>
      </c>
      <c r="R169" s="15" t="str">
        <f aca="false">IFERROR(_xlfn.TEXTJOIN(", ",TRUE(),IF('UI 요소 상세'!H$1:H$500=A169,'UI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70" customFormat="false" ht="15" hidden="false" customHeight="true" outlineLevel="0" collapsed="false">
      <c r="O170" s="8" t="str">
        <f aca="false">IFERROR(VLOOKUP(K170,'IA(정보구조)'!D:E,2,FALSE()),"")</f>
        <v/>
      </c>
      <c r="P170" s="8" t="str">
        <f aca="false">IFERROR(VLOOKUP(L170,기능명세서!A:B,2,FALSE()),"")</f>
        <v/>
      </c>
      <c r="R170" s="15" t="str">
        <f aca="false">IFERROR(_xlfn.TEXTJOIN(", ",TRUE(),IF('UI 요소 상세'!H$1:H$500=A170,'UI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71" customFormat="false" ht="15" hidden="false" customHeight="true" outlineLevel="0" collapsed="false">
      <c r="O171" s="8" t="str">
        <f aca="false">IFERROR(VLOOKUP(K171,'IA(정보구조)'!D:E,2,FALSE()),"")</f>
        <v/>
      </c>
      <c r="P171" s="8" t="str">
        <f aca="false">IFERROR(VLOOKUP(L171,기능명세서!A:B,2,FALSE()),"")</f>
        <v/>
      </c>
      <c r="R171" s="15" t="str">
        <f aca="false">IFERROR(_xlfn.TEXTJOIN(", ",TRUE(),IF('UI 요소 상세'!H$1:H$500=A171,'UI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72" customFormat="false" ht="15" hidden="false" customHeight="true" outlineLevel="0" collapsed="false">
      <c r="O172" s="8" t="str">
        <f aca="false">IFERROR(VLOOKUP(K172,'IA(정보구조)'!D:E,2,FALSE()),"")</f>
        <v/>
      </c>
      <c r="P172" s="8" t="str">
        <f aca="false">IFERROR(VLOOKUP(L172,기능명세서!A:B,2,FALSE()),"")</f>
        <v/>
      </c>
      <c r="R172" s="15" t="str">
        <f aca="false">IFERROR(_xlfn.TEXTJOIN(", ",TRUE(),IF('UI 요소 상세'!H$1:H$500=A172,'UI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73" customFormat="false" ht="15" hidden="false" customHeight="true" outlineLevel="0" collapsed="false">
      <c r="O173" s="8" t="str">
        <f aca="false">IFERROR(VLOOKUP(K173,'IA(정보구조)'!D:E,2,FALSE()),"")</f>
        <v/>
      </c>
      <c r="P173" s="8" t="str">
        <f aca="false">IFERROR(VLOOKUP(L173,기능명세서!A:B,2,FALSE()),"")</f>
        <v/>
      </c>
      <c r="R173" s="15" t="str">
        <f aca="false">IFERROR(_xlfn.TEXTJOIN(", ",TRUE(),IF('UI 요소 상세'!H$1:H$500=A173,'UI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74" customFormat="false" ht="15" hidden="false" customHeight="true" outlineLevel="0" collapsed="false">
      <c r="O174" s="8" t="str">
        <f aca="false">IFERROR(VLOOKUP(K174,'IA(정보구조)'!D:E,2,FALSE()),"")</f>
        <v/>
      </c>
      <c r="P174" s="8" t="str">
        <f aca="false">IFERROR(VLOOKUP(L174,기능명세서!A:B,2,FALSE()),"")</f>
        <v/>
      </c>
      <c r="R174" s="15" t="str">
        <f aca="false">IFERROR(_xlfn.TEXTJOIN(", ",TRUE(),IF('UI 요소 상세'!H$1:H$500=A174,'UI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75" customFormat="false" ht="15" hidden="false" customHeight="true" outlineLevel="0" collapsed="false">
      <c r="O175" s="8" t="str">
        <f aca="false">IFERROR(VLOOKUP(K175,'IA(정보구조)'!D:E,2,FALSE()),"")</f>
        <v/>
      </c>
      <c r="P175" s="8" t="str">
        <f aca="false">IFERROR(VLOOKUP(L175,기능명세서!A:B,2,FALSE()),"")</f>
        <v/>
      </c>
      <c r="R175" s="15" t="str">
        <f aca="false">IFERROR(_xlfn.TEXTJOIN(", ",TRUE(),IF('UI 요소 상세'!H$1:H$500=A175,'UI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76" customFormat="false" ht="15" hidden="false" customHeight="true" outlineLevel="0" collapsed="false">
      <c r="O176" s="8" t="str">
        <f aca="false">IFERROR(VLOOKUP(K176,'IA(정보구조)'!D:E,2,FALSE()),"")</f>
        <v/>
      </c>
      <c r="P176" s="8" t="str">
        <f aca="false">IFERROR(VLOOKUP(L176,기능명세서!A:B,2,FALSE()),"")</f>
        <v/>
      </c>
      <c r="R176" s="15" t="str">
        <f aca="false">IFERROR(_xlfn.TEXTJOIN(", ",TRUE(),IF('UI 요소 상세'!H$1:H$500=A176,'UI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77" customFormat="false" ht="15" hidden="false" customHeight="true" outlineLevel="0" collapsed="false">
      <c r="O177" s="8" t="str">
        <f aca="false">IFERROR(VLOOKUP(K177,'IA(정보구조)'!D:E,2,FALSE()),"")</f>
        <v/>
      </c>
      <c r="P177" s="8" t="str">
        <f aca="false">IFERROR(VLOOKUP(L177,기능명세서!A:B,2,FALSE()),"")</f>
        <v/>
      </c>
      <c r="R177" s="15" t="str">
        <f aca="false">IFERROR(_xlfn.TEXTJOIN(", ",TRUE(),IF('UI 요소 상세'!H$1:H$500=A177,'UI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78" customFormat="false" ht="15" hidden="false" customHeight="true" outlineLevel="0" collapsed="false">
      <c r="O178" s="8" t="str">
        <f aca="false">IFERROR(VLOOKUP(K178,'IA(정보구조)'!D:E,2,FALSE()),"")</f>
        <v/>
      </c>
      <c r="P178" s="8" t="str">
        <f aca="false">IFERROR(VLOOKUP(L178,기능명세서!A:B,2,FALSE()),"")</f>
        <v/>
      </c>
      <c r="R178" s="15" t="str">
        <f aca="false">IFERROR(_xlfn.TEXTJOIN(", ",TRUE(),IF('UI 요소 상세'!H$1:H$500=A178,'UI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79" customFormat="false" ht="15" hidden="false" customHeight="true" outlineLevel="0" collapsed="false">
      <c r="O179" s="8" t="str">
        <f aca="false">IFERROR(VLOOKUP(K179,'IA(정보구조)'!D:E,2,FALSE()),"")</f>
        <v/>
      </c>
      <c r="P179" s="8" t="str">
        <f aca="false">IFERROR(VLOOKUP(L179,기능명세서!A:B,2,FALSE()),"")</f>
        <v/>
      </c>
      <c r="R179" s="15" t="str">
        <f aca="false">IFERROR(_xlfn.TEXTJOIN(", ",TRUE(),IF('UI 요소 상세'!H$1:H$500=A179,'UI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80" customFormat="false" ht="15" hidden="false" customHeight="true" outlineLevel="0" collapsed="false">
      <c r="O180" s="8" t="str">
        <f aca="false">IFERROR(VLOOKUP(K180,'IA(정보구조)'!D:E,2,FALSE()),"")</f>
        <v/>
      </c>
      <c r="P180" s="8" t="str">
        <f aca="false">IFERROR(VLOOKUP(L180,기능명세서!A:B,2,FALSE()),"")</f>
        <v/>
      </c>
      <c r="R180" s="15" t="str">
        <f aca="false">IFERROR(_xlfn.TEXTJOIN(", ",TRUE(),IF('UI 요소 상세'!H$1:H$500=A180,'UI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81" customFormat="false" ht="15" hidden="false" customHeight="true" outlineLevel="0" collapsed="false">
      <c r="O181" s="8" t="str">
        <f aca="false">IFERROR(VLOOKUP(K181,'IA(정보구조)'!D:E,2,FALSE()),"")</f>
        <v/>
      </c>
      <c r="P181" s="8" t="str">
        <f aca="false">IFERROR(VLOOKUP(L181,기능명세서!A:B,2,FALSE()),"")</f>
        <v/>
      </c>
      <c r="R181" s="15" t="str">
        <f aca="false">IFERROR(_xlfn.TEXTJOIN(", ",TRUE(),IF('UI 요소 상세'!H$1:H$500=A181,'UI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82" customFormat="false" ht="15" hidden="false" customHeight="true" outlineLevel="0" collapsed="false">
      <c r="O182" s="8" t="str">
        <f aca="false">IFERROR(VLOOKUP(K182,'IA(정보구조)'!D:E,2,FALSE()),"")</f>
        <v/>
      </c>
      <c r="P182" s="8" t="str">
        <f aca="false">IFERROR(VLOOKUP(L182,기능명세서!A:B,2,FALSE()),"")</f>
        <v/>
      </c>
      <c r="R182" s="15" t="str">
        <f aca="false">IFERROR(_xlfn.TEXTJOIN(", ",TRUE(),IF('UI 요소 상세'!H$1:H$500=A182,'UI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83" customFormat="false" ht="15" hidden="false" customHeight="true" outlineLevel="0" collapsed="false">
      <c r="O183" s="8" t="str">
        <f aca="false">IFERROR(VLOOKUP(K183,'IA(정보구조)'!D:E,2,FALSE()),"")</f>
        <v/>
      </c>
      <c r="P183" s="8" t="str">
        <f aca="false">IFERROR(VLOOKUP(L183,기능명세서!A:B,2,FALSE()),"")</f>
        <v/>
      </c>
      <c r="R183" s="15" t="str">
        <f aca="false">IFERROR(_xlfn.TEXTJOIN(", ",TRUE(),IF('UI 요소 상세'!H$1:H$500=A183,'UI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84" customFormat="false" ht="15" hidden="false" customHeight="true" outlineLevel="0" collapsed="false">
      <c r="O184" s="8" t="str">
        <f aca="false">IFERROR(VLOOKUP(K184,'IA(정보구조)'!D:E,2,FALSE()),"")</f>
        <v/>
      </c>
      <c r="P184" s="8" t="str">
        <f aca="false">IFERROR(VLOOKUP(L184,기능명세서!A:B,2,FALSE()),"")</f>
        <v/>
      </c>
      <c r="R184" s="15" t="str">
        <f aca="false">IFERROR(_xlfn.TEXTJOIN(", ",TRUE(),IF('UI 요소 상세'!H$1:H$500=A184,'UI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85" customFormat="false" ht="15" hidden="false" customHeight="true" outlineLevel="0" collapsed="false">
      <c r="O185" s="8" t="str">
        <f aca="false">IFERROR(VLOOKUP(K185,'IA(정보구조)'!D:E,2,FALSE()),"")</f>
        <v/>
      </c>
      <c r="P185" s="8" t="str">
        <f aca="false">IFERROR(VLOOKUP(L185,기능명세서!A:B,2,FALSE()),"")</f>
        <v/>
      </c>
      <c r="R185" s="15" t="str">
        <f aca="false">IFERROR(_xlfn.TEXTJOIN(", ",TRUE(),IF('UI 요소 상세'!H$1:H$500=A185,'UI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86" customFormat="false" ht="15" hidden="false" customHeight="true" outlineLevel="0" collapsed="false">
      <c r="O186" s="8" t="str">
        <f aca="false">IFERROR(VLOOKUP(K186,'IA(정보구조)'!D:E,2,FALSE()),"")</f>
        <v/>
      </c>
      <c r="P186" s="8" t="str">
        <f aca="false">IFERROR(VLOOKUP(L186,기능명세서!A:B,2,FALSE()),"")</f>
        <v/>
      </c>
      <c r="R186" s="15" t="str">
        <f aca="false">IFERROR(_xlfn.TEXTJOIN(", ",TRUE(),IF('UI 요소 상세'!H$1:H$500=A186,'UI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87" customFormat="false" ht="15" hidden="false" customHeight="true" outlineLevel="0" collapsed="false">
      <c r="O187" s="8" t="str">
        <f aca="false">IFERROR(VLOOKUP(K187,'IA(정보구조)'!D:E,2,FALSE()),"")</f>
        <v/>
      </c>
      <c r="P187" s="8" t="str">
        <f aca="false">IFERROR(VLOOKUP(L187,기능명세서!A:B,2,FALSE()),"")</f>
        <v/>
      </c>
      <c r="R187" s="15" t="str">
        <f aca="false">IFERROR(_xlfn.TEXTJOIN(", ",TRUE(),IF('UI 요소 상세'!H$1:H$500=A187,'UI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88" customFormat="false" ht="15" hidden="false" customHeight="true" outlineLevel="0" collapsed="false">
      <c r="O188" s="8" t="str">
        <f aca="false">IFERROR(VLOOKUP(K188,'IA(정보구조)'!D:E,2,FALSE()),"")</f>
        <v/>
      </c>
      <c r="P188" s="8" t="str">
        <f aca="false">IFERROR(VLOOKUP(L188,기능명세서!A:B,2,FALSE()),"")</f>
        <v/>
      </c>
      <c r="R188" s="15" t="str">
        <f aca="false">IFERROR(_xlfn.TEXTJOIN(", ",TRUE(),IF('UI 요소 상세'!H$1:H$500=A188,'UI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89" customFormat="false" ht="15" hidden="false" customHeight="true" outlineLevel="0" collapsed="false">
      <c r="O189" s="8" t="str">
        <f aca="false">IFERROR(VLOOKUP(K189,'IA(정보구조)'!D:E,2,FALSE()),"")</f>
        <v/>
      </c>
      <c r="P189" s="8" t="str">
        <f aca="false">IFERROR(VLOOKUP(L189,기능명세서!A:B,2,FALSE()),"")</f>
        <v/>
      </c>
      <c r="R189" s="15" t="str">
        <f aca="false">IFERROR(_xlfn.TEXTJOIN(", ",TRUE(),IF('UI 요소 상세'!H$1:H$500=A189,'UI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90" customFormat="false" ht="15" hidden="false" customHeight="true" outlineLevel="0" collapsed="false">
      <c r="O190" s="8" t="str">
        <f aca="false">IFERROR(VLOOKUP(K190,'IA(정보구조)'!D:E,2,FALSE()),"")</f>
        <v/>
      </c>
      <c r="P190" s="8" t="str">
        <f aca="false">IFERROR(VLOOKUP(L190,기능명세서!A:B,2,FALSE()),"")</f>
        <v/>
      </c>
      <c r="R190" s="15" t="str">
        <f aca="false">IFERROR(_xlfn.TEXTJOIN(", ",TRUE(),IF('UI 요소 상세'!H$1:H$500=A190,'UI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91" customFormat="false" ht="15" hidden="false" customHeight="true" outlineLevel="0" collapsed="false">
      <c r="O191" s="8" t="str">
        <f aca="false">IFERROR(VLOOKUP(K191,'IA(정보구조)'!D:E,2,FALSE()),"")</f>
        <v/>
      </c>
      <c r="P191" s="8" t="str">
        <f aca="false">IFERROR(VLOOKUP(L191,기능명세서!A:B,2,FALSE()),"")</f>
        <v/>
      </c>
      <c r="R191" s="15" t="str">
        <f aca="false">IFERROR(_xlfn.TEXTJOIN(", ",TRUE(),IF('UI 요소 상세'!H$1:H$500=A191,'UI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92" customFormat="false" ht="15" hidden="false" customHeight="true" outlineLevel="0" collapsed="false">
      <c r="O192" s="8" t="str">
        <f aca="false">IFERROR(VLOOKUP(K192,'IA(정보구조)'!D:E,2,FALSE()),"")</f>
        <v/>
      </c>
      <c r="P192" s="8" t="str">
        <f aca="false">IFERROR(VLOOKUP(L192,기능명세서!A:B,2,FALSE()),"")</f>
        <v/>
      </c>
      <c r="R192" s="15" t="str">
        <f aca="false">IFERROR(_xlfn.TEXTJOIN(", ",TRUE(),IF('UI 요소 상세'!H$1:H$500=A192,'UI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93" customFormat="false" ht="15" hidden="false" customHeight="true" outlineLevel="0" collapsed="false">
      <c r="O193" s="8" t="str">
        <f aca="false">IFERROR(VLOOKUP(K193,'IA(정보구조)'!D:E,2,FALSE()),"")</f>
        <v/>
      </c>
      <c r="P193" s="8" t="str">
        <f aca="false">IFERROR(VLOOKUP(L193,기능명세서!A:B,2,FALSE()),"")</f>
        <v/>
      </c>
      <c r="R193" s="15" t="str">
        <f aca="false">IFERROR(_xlfn.TEXTJOIN(", ",TRUE(),IF('UI 요소 상세'!H$1:H$500=A193,'UI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94" customFormat="false" ht="15" hidden="false" customHeight="true" outlineLevel="0" collapsed="false">
      <c r="O194" s="8" t="str">
        <f aca="false">IFERROR(VLOOKUP(K194,'IA(정보구조)'!D:E,2,FALSE()),"")</f>
        <v/>
      </c>
      <c r="P194" s="8" t="str">
        <f aca="false">IFERROR(VLOOKUP(L194,기능명세서!A:B,2,FALSE()),"")</f>
        <v/>
      </c>
      <c r="R194" s="15" t="str">
        <f aca="false">IFERROR(_xlfn.TEXTJOIN(", ",TRUE(),IF('UI 요소 상세'!H$1:H$500=A194,'UI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95" customFormat="false" ht="15" hidden="false" customHeight="true" outlineLevel="0" collapsed="false">
      <c r="O195" s="8" t="str">
        <f aca="false">IFERROR(VLOOKUP(K195,'IA(정보구조)'!D:E,2,FALSE()),"")</f>
        <v/>
      </c>
      <c r="P195" s="8" t="str">
        <f aca="false">IFERROR(VLOOKUP(L195,기능명세서!A:B,2,FALSE()),"")</f>
        <v/>
      </c>
      <c r="R195" s="15" t="str">
        <f aca="false">IFERROR(_xlfn.TEXTJOIN(", ",TRUE(),IF('UI 요소 상세'!H$1:H$500=A195,'UI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96" customFormat="false" ht="15" hidden="false" customHeight="true" outlineLevel="0" collapsed="false">
      <c r="O196" s="8" t="str">
        <f aca="false">IFERROR(VLOOKUP(K196,'IA(정보구조)'!D:E,2,FALSE()),"")</f>
        <v/>
      </c>
      <c r="P196" s="8" t="str">
        <f aca="false">IFERROR(VLOOKUP(L196,기능명세서!A:B,2,FALSE()),"")</f>
        <v/>
      </c>
      <c r="R196" s="15" t="str">
        <f aca="false">IFERROR(_xlfn.TEXTJOIN(", ",TRUE(),IF('UI 요소 상세'!H$1:H$500=A196,'UI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97" customFormat="false" ht="15" hidden="false" customHeight="true" outlineLevel="0" collapsed="false">
      <c r="O197" s="8" t="str">
        <f aca="false">IFERROR(VLOOKUP(K197,'IA(정보구조)'!D:E,2,FALSE()),"")</f>
        <v/>
      </c>
      <c r="P197" s="8" t="str">
        <f aca="false">IFERROR(VLOOKUP(L197,기능명세서!A:B,2,FALSE()),"")</f>
        <v/>
      </c>
      <c r="R197" s="15" t="str">
        <f aca="false">IFERROR(_xlfn.TEXTJOIN(", ",TRUE(),IF('UI 요소 상세'!H$1:H$500=A197,'UI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98" customFormat="false" ht="15" hidden="false" customHeight="true" outlineLevel="0" collapsed="false">
      <c r="O198" s="8" t="str">
        <f aca="false">IFERROR(VLOOKUP(K198,'IA(정보구조)'!D:E,2,FALSE()),"")</f>
        <v/>
      </c>
      <c r="P198" s="8" t="str">
        <f aca="false">IFERROR(VLOOKUP(L198,기능명세서!A:B,2,FALSE()),"")</f>
        <v/>
      </c>
      <c r="R198" s="15" t="str">
        <f aca="false">IFERROR(_xlfn.TEXTJOIN(", ",TRUE(),IF('UI 요소 상세'!H$1:H$500=A198,'UI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199" customFormat="false" ht="15" hidden="false" customHeight="true" outlineLevel="0" collapsed="false">
      <c r="O199" s="8" t="str">
        <f aca="false">IFERROR(VLOOKUP(K199,'IA(정보구조)'!D:E,2,FALSE()),"")</f>
        <v/>
      </c>
      <c r="P199" s="8" t="str">
        <f aca="false">IFERROR(VLOOKUP(L199,기능명세서!A:B,2,FALSE()),"")</f>
        <v/>
      </c>
      <c r="R199" s="15" t="str">
        <f aca="false">IFERROR(_xlfn.TEXTJOIN(", ",TRUE(),IF('UI 요소 상세'!H$1:H$500=A199,'UI 요소 상세'!C$1:C$500,"")),"")</f>
        <v>요소명, 5개 요소, 상단 GNB, 메인 배너 슬라이드, 카테고리 메뉴, 추천 콘텐츠 섹션, 하단 탭바, 6개 요소, 이메일 입력 필드, 비밀번호 입력 필드, 비밀번호 확인 필드, 약관 동의 체크박스, 소셜 로그인 버튼 그룹, 가입하기 버튼, 5개 요소, 이메일 입력 필드, 비밀번호 입력 필드, 자동 로그인 체크박스, 로그인 버튼, 비밀번호 찾기 링크, 4개 요소, 검색 입력 필드, 최근 검색어 목록, 필터 패널, 검색 결과 목록, 4개 요소, 프로필 이미지, 닉네임 편집, 메뉴 목록, 로그아웃 버튼</v>
      </c>
    </row>
    <row r="200" customFormat="false" ht="15" hidden="false" customHeight="true" outlineLevel="0" collapsed="false">
      <c r="O200" s="8" t="str">
        <f aca="false">IFERROR(VLOOKUP(K200,'IA(정보구조)'!D:E,2,FALSE()),"")</f>
        <v/>
      </c>
      <c r="P200" s="8" t="str">
        <f aca="false">IFERROR(VLOOKUP(L200,기능명세서!A:B,2,FALSE()),"")</f>
        <v/>
      </c>
    </row>
  </sheetData>
  <autoFilter ref="A1:Q1"/>
  <dataValidations count="6">
    <dataValidation allowBlank="true" error="드롭다운 목록에서 선택해주세요." errorStyle="stop" errorTitle="잘못된 입력" operator="between" promptTitle="Method" showDropDown="false" showErrorMessage="true" showInputMessage="true" sqref="C2:C200" type="list">
      <formula1>"GET,POST,PUT,PATCH,DELETE"</formula1>
      <formula2>0</formula2>
    </dataValidation>
    <dataValidation allowBlank="true" error="드롭다운 목록에서 선택해주세요." errorStyle="stop" errorTitle="잘못된 입력" operator="between" promptTitle="인증 필요" showDropDown="false" showErrorMessage="true" showInputMessage="true" sqref="J2:J200" type="list">
      <formula1>"Y,N"</formula1>
      <formula2>0</formula2>
    </dataValidation>
    <dataValidation allowBlank="true" error="드롭다운 목록에서 선택해주세요." errorStyle="stop" errorTitle="잘못된 입력" operator="between" promptTitle="화면 ID" showDropDown="false" showErrorMessage="true" showInputMessage="true" sqref="K2:K200" type="list">
      <formula1>"SCR-001,SCR-010,SCR-011,SCR-012,SCR-020,SCR-021,SCR-022,SCR-030,SCR-031,SCR-032,SCR-100,SCR-101"</formula1>
      <formula2>0</formula2>
    </dataValidation>
    <dataValidation allowBlank="true" error="드롭다운 목록에서 선택해주세요." errorStyle="stop" errorTitle="잘못된 입력" operator="between" promptTitle="상태" showDropDown="false" showErrorMessage="true" showInputMessage="true" sqref="M2:M200" type="list">
      <formula1>"설계중,개발중,개발완료,테스트중,배포완료"</formula1>
      <formula2>0</formula2>
    </dataValidation>
    <dataValidation allowBlank="true" error="드롭다운 목록에서 선택해주세요." errorStyle="stop" errorTitle="잘못된 입력" operator="between" promptTitle="담당자" showDropDown="false" showErrorMessage="true" showInputMessage="true" sqref="N2:N200" type="list">
      <formula1>"기획자1,기획자2,디자이너1,개발자1,개발자2,QA담당자1,QA담당자2"</formula1>
      <formula2>0</formula2>
    </dataValidation>
    <dataValidation allowBlank="true" error="드롭다운 목록에서 선택해주세요." errorStyle="stop" errorTitle="잘못된 입력" operator="between" promptTitle="기능 ID" showDropDown="false" showErrorMessage="true" showInputMessage="true" sqref="L2:L200" type="list">
      <formula1>"FN-001,FN-002,FN-003,FN-004,FN-005"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3545"/>
    <pageSetUpPr fitToPage="fals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customHeight="true"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4"/>
    <col collapsed="false" customWidth="true" hidden="false" outlineLevel="0" max="4" min="4" style="0" width="8"/>
    <col collapsed="false" customWidth="true" hidden="false" outlineLevel="0" max="5" min="5" style="0" width="10"/>
    <col collapsed="false" customWidth="true" hidden="false" outlineLevel="0" max="6" min="6" style="0" width="12"/>
    <col collapsed="false" customWidth="true" hidden="false" outlineLevel="0" max="7" min="7" style="0" width="6"/>
    <col collapsed="false" customWidth="true" hidden="false" outlineLevel="0" max="8" min="8" style="0" width="16"/>
    <col collapsed="false" customWidth="true" hidden="false" outlineLevel="0" max="9" min="9" style="0" width="10"/>
    <col collapsed="false" customWidth="true" hidden="false" outlineLevel="0" max="10" min="10" style="0" width="30"/>
    <col collapsed="false" customWidth="true" hidden="false" outlineLevel="0" max="11" min="11" style="0" width="12"/>
    <col collapsed="false" customWidth="true" hidden="false" outlineLevel="0" max="12" min="12" style="0" width="10"/>
    <col collapsed="false" customWidth="true" hidden="false" outlineLevel="0" max="13" min="13" style="0" width="20"/>
  </cols>
  <sheetData>
    <row r="1" customFormat="false" ht="30" hidden="false" customHeight="true" outlineLevel="0" collapsed="false">
      <c r="A1" s="2" t="s">
        <v>494</v>
      </c>
      <c r="B1" s="2" t="s">
        <v>495</v>
      </c>
      <c r="C1" s="2" t="s">
        <v>496</v>
      </c>
      <c r="D1" s="2" t="s">
        <v>497</v>
      </c>
      <c r="E1" s="1" t="s">
        <v>498</v>
      </c>
      <c r="F1" s="2" t="s">
        <v>499</v>
      </c>
      <c r="G1" s="1" t="s">
        <v>500</v>
      </c>
      <c r="H1" s="1" t="s">
        <v>501</v>
      </c>
      <c r="I1" s="2" t="s">
        <v>502</v>
      </c>
      <c r="J1" s="2" t="s">
        <v>9</v>
      </c>
      <c r="K1" s="2" t="s">
        <v>402</v>
      </c>
      <c r="L1" s="2" t="s">
        <v>10</v>
      </c>
      <c r="M1" s="2" t="s">
        <v>11</v>
      </c>
    </row>
    <row r="2" customFormat="false" ht="27.75" hidden="false" customHeight="true" outlineLevel="0" collapsed="false">
      <c r="A2" s="4" t="s">
        <v>503</v>
      </c>
      <c r="B2" s="4" t="s">
        <v>504</v>
      </c>
      <c r="C2" s="4" t="s">
        <v>505</v>
      </c>
      <c r="D2" s="3"/>
      <c r="E2" s="4" t="s">
        <v>17</v>
      </c>
      <c r="F2" s="4" t="s">
        <v>506</v>
      </c>
      <c r="G2" s="4" t="s">
        <v>55</v>
      </c>
      <c r="H2" s="3"/>
      <c r="I2" s="4" t="s">
        <v>55</v>
      </c>
      <c r="J2" s="3" t="s">
        <v>507</v>
      </c>
      <c r="K2" s="4" t="s">
        <v>240</v>
      </c>
      <c r="L2" s="3" t="s">
        <v>20</v>
      </c>
      <c r="M2" s="3"/>
    </row>
    <row r="3" customFormat="false" ht="27.75" hidden="false" customHeight="true" outlineLevel="0" collapsed="false">
      <c r="A3" s="6" t="s">
        <v>503</v>
      </c>
      <c r="B3" s="6" t="s">
        <v>508</v>
      </c>
      <c r="C3" s="6" t="s">
        <v>509</v>
      </c>
      <c r="D3" s="6" t="s">
        <v>510</v>
      </c>
      <c r="E3" s="6" t="s">
        <v>17</v>
      </c>
      <c r="F3" s="5"/>
      <c r="G3" s="6" t="s">
        <v>17</v>
      </c>
      <c r="H3" s="5"/>
      <c r="I3" s="6" t="s">
        <v>511</v>
      </c>
      <c r="J3" s="5" t="s">
        <v>512</v>
      </c>
      <c r="K3" s="6" t="s">
        <v>240</v>
      </c>
      <c r="L3" s="5" t="s">
        <v>20</v>
      </c>
      <c r="M3" s="5"/>
    </row>
    <row r="4" customFormat="false" ht="27.75" hidden="false" customHeight="true" outlineLevel="0" collapsed="false">
      <c r="A4" s="4" t="s">
        <v>503</v>
      </c>
      <c r="B4" s="4" t="s">
        <v>513</v>
      </c>
      <c r="C4" s="4" t="s">
        <v>509</v>
      </c>
      <c r="D4" s="4" t="s">
        <v>510</v>
      </c>
      <c r="E4" s="4" t="s">
        <v>55</v>
      </c>
      <c r="F4" s="4" t="s">
        <v>514</v>
      </c>
      <c r="G4" s="4" t="s">
        <v>17</v>
      </c>
      <c r="H4" s="3"/>
      <c r="I4" s="4" t="s">
        <v>17</v>
      </c>
      <c r="J4" s="3" t="s">
        <v>515</v>
      </c>
      <c r="K4" s="4" t="s">
        <v>297</v>
      </c>
      <c r="L4" s="3" t="s">
        <v>20</v>
      </c>
      <c r="M4" s="3"/>
    </row>
    <row r="5" customFormat="false" ht="27.75" hidden="false" customHeight="true" outlineLevel="0" collapsed="false">
      <c r="A5" s="6" t="s">
        <v>503</v>
      </c>
      <c r="B5" s="6" t="s">
        <v>516</v>
      </c>
      <c r="C5" s="6" t="s">
        <v>509</v>
      </c>
      <c r="D5" s="6" t="s">
        <v>517</v>
      </c>
      <c r="E5" s="6" t="s">
        <v>17</v>
      </c>
      <c r="F5" s="5"/>
      <c r="G5" s="6" t="s">
        <v>17</v>
      </c>
      <c r="H5" s="5"/>
      <c r="I5" s="6" t="s">
        <v>511</v>
      </c>
      <c r="J5" s="5" t="s">
        <v>518</v>
      </c>
      <c r="K5" s="6" t="s">
        <v>368</v>
      </c>
      <c r="L5" s="5" t="s">
        <v>20</v>
      </c>
      <c r="M5" s="5"/>
    </row>
    <row r="6" customFormat="false" ht="27.75" hidden="false" customHeight="true" outlineLevel="0" collapsed="false">
      <c r="A6" s="4" t="s">
        <v>503</v>
      </c>
      <c r="B6" s="4" t="s">
        <v>519</v>
      </c>
      <c r="C6" s="4" t="s">
        <v>509</v>
      </c>
      <c r="D6" s="4" t="s">
        <v>520</v>
      </c>
      <c r="E6" s="4" t="s">
        <v>55</v>
      </c>
      <c r="F6" s="4" t="s">
        <v>514</v>
      </c>
      <c r="G6" s="4" t="s">
        <v>17</v>
      </c>
      <c r="H6" s="3"/>
      <c r="I6" s="4" t="s">
        <v>17</v>
      </c>
      <c r="J6" s="3" t="s">
        <v>521</v>
      </c>
      <c r="K6" s="4" t="s">
        <v>368</v>
      </c>
      <c r="L6" s="3" t="s">
        <v>20</v>
      </c>
      <c r="M6" s="3"/>
    </row>
    <row r="7" customFormat="false" ht="27.75" hidden="false" customHeight="true" outlineLevel="0" collapsed="false">
      <c r="A7" s="6" t="s">
        <v>503</v>
      </c>
      <c r="B7" s="6" t="s">
        <v>522</v>
      </c>
      <c r="C7" s="6" t="s">
        <v>523</v>
      </c>
      <c r="D7" s="5"/>
      <c r="E7" s="6" t="s">
        <v>17</v>
      </c>
      <c r="F7" s="6" t="s">
        <v>524</v>
      </c>
      <c r="G7" s="6" t="s">
        <v>17</v>
      </c>
      <c r="H7" s="5"/>
      <c r="I7" s="6" t="s">
        <v>55</v>
      </c>
      <c r="J7" s="5" t="s">
        <v>525</v>
      </c>
      <c r="K7" s="6" t="s">
        <v>278</v>
      </c>
      <c r="L7" s="5" t="s">
        <v>20</v>
      </c>
      <c r="M7" s="5"/>
    </row>
    <row r="8" customFormat="false" ht="27.75" hidden="false" customHeight="true" outlineLevel="0" collapsed="false">
      <c r="A8" s="4" t="s">
        <v>503</v>
      </c>
      <c r="B8" s="4" t="s">
        <v>526</v>
      </c>
      <c r="C8" s="4" t="s">
        <v>523</v>
      </c>
      <c r="D8" s="3"/>
      <c r="E8" s="4" t="s">
        <v>17</v>
      </c>
      <c r="F8" s="4" t="s">
        <v>527</v>
      </c>
      <c r="G8" s="4" t="s">
        <v>17</v>
      </c>
      <c r="H8" s="3"/>
      <c r="I8" s="4" t="s">
        <v>55</v>
      </c>
      <c r="J8" s="3" t="s">
        <v>528</v>
      </c>
      <c r="K8" s="3"/>
      <c r="L8" s="3" t="s">
        <v>20</v>
      </c>
      <c r="M8" s="3"/>
    </row>
    <row r="9" customFormat="false" ht="27.75" hidden="false" customHeight="true" outlineLevel="0" collapsed="false">
      <c r="A9" s="6" t="s">
        <v>503</v>
      </c>
      <c r="B9" s="6" t="s">
        <v>529</v>
      </c>
      <c r="C9" s="6" t="s">
        <v>530</v>
      </c>
      <c r="D9" s="5"/>
      <c r="E9" s="6" t="s">
        <v>17</v>
      </c>
      <c r="F9" s="6" t="s">
        <v>531</v>
      </c>
      <c r="G9" s="6" t="s">
        <v>17</v>
      </c>
      <c r="H9" s="5"/>
      <c r="I9" s="6" t="s">
        <v>17</v>
      </c>
      <c r="J9" s="5" t="s">
        <v>532</v>
      </c>
      <c r="K9" s="6" t="s">
        <v>297</v>
      </c>
      <c r="L9" s="5" t="s">
        <v>20</v>
      </c>
      <c r="M9" s="5"/>
    </row>
    <row r="10" customFormat="false" ht="27.75" hidden="false" customHeight="true" outlineLevel="0" collapsed="false">
      <c r="A10" s="4" t="s">
        <v>503</v>
      </c>
      <c r="B10" s="4" t="s">
        <v>533</v>
      </c>
      <c r="C10" s="4" t="s">
        <v>534</v>
      </c>
      <c r="D10" s="3"/>
      <c r="E10" s="4" t="s">
        <v>55</v>
      </c>
      <c r="F10" s="4" t="s">
        <v>514</v>
      </c>
      <c r="G10" s="4" t="s">
        <v>17</v>
      </c>
      <c r="H10" s="3"/>
      <c r="I10" s="4" t="s">
        <v>17</v>
      </c>
      <c r="J10" s="3" t="s">
        <v>535</v>
      </c>
      <c r="K10" s="4" t="s">
        <v>297</v>
      </c>
      <c r="L10" s="3" t="s">
        <v>20</v>
      </c>
      <c r="M10" s="3"/>
    </row>
    <row r="11" customFormat="false" ht="27.75" hidden="false" customHeight="true" outlineLevel="0" collapsed="false">
      <c r="A11" s="6" t="s">
        <v>503</v>
      </c>
      <c r="B11" s="6" t="s">
        <v>536</v>
      </c>
      <c r="C11" s="6" t="s">
        <v>534</v>
      </c>
      <c r="D11" s="5"/>
      <c r="E11" s="6" t="s">
        <v>17</v>
      </c>
      <c r="F11" s="6" t="s">
        <v>537</v>
      </c>
      <c r="G11" s="6" t="s">
        <v>17</v>
      </c>
      <c r="H11" s="5"/>
      <c r="I11" s="6" t="s">
        <v>55</v>
      </c>
      <c r="J11" s="5" t="s">
        <v>538</v>
      </c>
      <c r="K11" s="5"/>
      <c r="L11" s="5" t="s">
        <v>20</v>
      </c>
      <c r="M11" s="5"/>
    </row>
    <row r="12" customFormat="false" ht="27.75" hidden="false" customHeight="true" outlineLevel="0" collapsed="false">
      <c r="A12" s="4" t="s">
        <v>503</v>
      </c>
      <c r="B12" s="4" t="s">
        <v>539</v>
      </c>
      <c r="C12" s="4" t="s">
        <v>534</v>
      </c>
      <c r="D12" s="3"/>
      <c r="E12" s="4" t="s">
        <v>17</v>
      </c>
      <c r="F12" s="4" t="s">
        <v>537</v>
      </c>
      <c r="G12" s="4" t="s">
        <v>17</v>
      </c>
      <c r="H12" s="3"/>
      <c r="I12" s="4" t="s">
        <v>17</v>
      </c>
      <c r="J12" s="3" t="s">
        <v>540</v>
      </c>
      <c r="K12" s="3"/>
      <c r="L12" s="3" t="s">
        <v>20</v>
      </c>
      <c r="M12" s="3"/>
    </row>
    <row r="13" customFormat="false" ht="27.75" hidden="false" customHeight="true" outlineLevel="0" collapsed="false">
      <c r="A13" s="5"/>
      <c r="B13" s="5"/>
      <c r="C13" s="6"/>
      <c r="D13" s="5"/>
      <c r="E13" s="6"/>
      <c r="F13" s="5"/>
      <c r="G13" s="6"/>
      <c r="H13" s="5"/>
      <c r="I13" s="6"/>
      <c r="J13" s="5"/>
      <c r="K13" s="5"/>
      <c r="L13" s="5"/>
      <c r="M13" s="5"/>
    </row>
    <row r="14" customFormat="false" ht="27.75" hidden="false" customHeight="true" outlineLevel="0" collapsed="false">
      <c r="A14" s="4" t="s">
        <v>541</v>
      </c>
      <c r="B14" s="4" t="s">
        <v>504</v>
      </c>
      <c r="C14" s="4" t="s">
        <v>505</v>
      </c>
      <c r="D14" s="3"/>
      <c r="E14" s="4" t="s">
        <v>17</v>
      </c>
      <c r="F14" s="4" t="s">
        <v>506</v>
      </c>
      <c r="G14" s="4" t="s">
        <v>55</v>
      </c>
      <c r="H14" s="3"/>
      <c r="I14" s="4" t="s">
        <v>55</v>
      </c>
      <c r="J14" s="3" t="s">
        <v>542</v>
      </c>
      <c r="K14" s="3"/>
      <c r="L14" s="3" t="s">
        <v>20</v>
      </c>
      <c r="M14" s="3"/>
    </row>
    <row r="15" customFormat="false" ht="27.75" hidden="false" customHeight="true" outlineLevel="0" collapsed="false">
      <c r="A15" s="6" t="s">
        <v>541</v>
      </c>
      <c r="B15" s="6" t="s">
        <v>543</v>
      </c>
      <c r="C15" s="6" t="s">
        <v>505</v>
      </c>
      <c r="D15" s="5"/>
      <c r="E15" s="6" t="s">
        <v>17</v>
      </c>
      <c r="F15" s="5"/>
      <c r="G15" s="6" t="s">
        <v>17</v>
      </c>
      <c r="H15" s="6" t="s">
        <v>544</v>
      </c>
      <c r="I15" s="6" t="s">
        <v>55</v>
      </c>
      <c r="J15" s="5" t="s">
        <v>545</v>
      </c>
      <c r="K15" s="6" t="s">
        <v>297</v>
      </c>
      <c r="L15" s="5" t="s">
        <v>20</v>
      </c>
      <c r="M15" s="5"/>
    </row>
    <row r="16" customFormat="false" ht="27.75" hidden="false" customHeight="true" outlineLevel="0" collapsed="false">
      <c r="A16" s="4" t="s">
        <v>541</v>
      </c>
      <c r="B16" s="4" t="s">
        <v>546</v>
      </c>
      <c r="C16" s="4" t="s">
        <v>509</v>
      </c>
      <c r="D16" s="4" t="s">
        <v>520</v>
      </c>
      <c r="E16" s="4" t="s">
        <v>17</v>
      </c>
      <c r="F16" s="3"/>
      <c r="G16" s="4" t="s">
        <v>17</v>
      </c>
      <c r="H16" s="3"/>
      <c r="I16" s="4" t="s">
        <v>511</v>
      </c>
      <c r="J16" s="3" t="s">
        <v>547</v>
      </c>
      <c r="K16" s="4" t="s">
        <v>297</v>
      </c>
      <c r="L16" s="3" t="s">
        <v>20</v>
      </c>
      <c r="M16" s="3"/>
    </row>
    <row r="17" customFormat="false" ht="27.75" hidden="false" customHeight="true" outlineLevel="0" collapsed="false">
      <c r="A17" s="6" t="s">
        <v>541</v>
      </c>
      <c r="B17" s="6" t="s">
        <v>548</v>
      </c>
      <c r="C17" s="6" t="s">
        <v>534</v>
      </c>
      <c r="D17" s="5"/>
      <c r="E17" s="6" t="s">
        <v>17</v>
      </c>
      <c r="F17" s="5"/>
      <c r="G17" s="6" t="s">
        <v>17</v>
      </c>
      <c r="H17" s="5"/>
      <c r="I17" s="6" t="s">
        <v>55</v>
      </c>
      <c r="J17" s="5" t="s">
        <v>549</v>
      </c>
      <c r="K17" s="5"/>
      <c r="L17" s="5" t="s">
        <v>20</v>
      </c>
      <c r="M17" s="5"/>
    </row>
    <row r="18" customFormat="false" ht="27.75" hidden="false" customHeight="true" outlineLevel="0" collapsed="false">
      <c r="A18" s="4" t="s">
        <v>541</v>
      </c>
      <c r="B18" s="4" t="s">
        <v>550</v>
      </c>
      <c r="C18" s="4" t="s">
        <v>551</v>
      </c>
      <c r="D18" s="3"/>
      <c r="E18" s="4" t="s">
        <v>55</v>
      </c>
      <c r="F18" s="4" t="s">
        <v>514</v>
      </c>
      <c r="G18" s="4" t="s">
        <v>17</v>
      </c>
      <c r="H18" s="3"/>
      <c r="I18" s="4" t="s">
        <v>17</v>
      </c>
      <c r="J18" s="3" t="s">
        <v>552</v>
      </c>
      <c r="K18" s="4" t="s">
        <v>278</v>
      </c>
      <c r="L18" s="3" t="s">
        <v>20</v>
      </c>
      <c r="M18" s="3"/>
    </row>
    <row r="19" customFormat="false" ht="27.75" hidden="false" customHeight="true" outlineLevel="0" collapsed="false">
      <c r="A19" s="5"/>
      <c r="B19" s="5"/>
      <c r="C19" s="6"/>
      <c r="D19" s="5"/>
      <c r="E19" s="6"/>
      <c r="F19" s="5"/>
      <c r="G19" s="6"/>
      <c r="H19" s="5"/>
      <c r="I19" s="6"/>
      <c r="J19" s="5"/>
      <c r="K19" s="5"/>
      <c r="L19" s="5"/>
      <c r="M19" s="5"/>
    </row>
    <row r="20" customFormat="false" ht="27.75" hidden="false" customHeight="true" outlineLevel="0" collapsed="false">
      <c r="A20" s="4" t="s">
        <v>553</v>
      </c>
      <c r="B20" s="4" t="s">
        <v>504</v>
      </c>
      <c r="C20" s="4" t="s">
        <v>505</v>
      </c>
      <c r="D20" s="3"/>
      <c r="E20" s="4" t="s">
        <v>17</v>
      </c>
      <c r="F20" s="4" t="s">
        <v>506</v>
      </c>
      <c r="G20" s="4" t="s">
        <v>55</v>
      </c>
      <c r="H20" s="3"/>
      <c r="I20" s="4" t="s">
        <v>55</v>
      </c>
      <c r="J20" s="3" t="s">
        <v>554</v>
      </c>
      <c r="K20" s="3"/>
      <c r="L20" s="3" t="s">
        <v>41</v>
      </c>
      <c r="M20" s="3"/>
    </row>
    <row r="21" customFormat="false" ht="27.75" hidden="false" customHeight="true" outlineLevel="0" collapsed="false">
      <c r="A21" s="6" t="s">
        <v>553</v>
      </c>
      <c r="B21" s="6" t="s">
        <v>543</v>
      </c>
      <c r="C21" s="6" t="s">
        <v>505</v>
      </c>
      <c r="D21" s="5"/>
      <c r="E21" s="6" t="s">
        <v>17</v>
      </c>
      <c r="F21" s="5"/>
      <c r="G21" s="6" t="s">
        <v>17</v>
      </c>
      <c r="H21" s="6" t="s">
        <v>544</v>
      </c>
      <c r="I21" s="6" t="s">
        <v>55</v>
      </c>
      <c r="J21" s="5" t="s">
        <v>545</v>
      </c>
      <c r="K21" s="6" t="s">
        <v>334</v>
      </c>
      <c r="L21" s="5" t="s">
        <v>41</v>
      </c>
      <c r="M21" s="5"/>
    </row>
    <row r="22" customFormat="false" ht="27.75" hidden="false" customHeight="true" outlineLevel="0" collapsed="false">
      <c r="A22" s="4" t="s">
        <v>553</v>
      </c>
      <c r="B22" s="4" t="s">
        <v>555</v>
      </c>
      <c r="C22" s="4" t="s">
        <v>509</v>
      </c>
      <c r="D22" s="4" t="s">
        <v>556</v>
      </c>
      <c r="E22" s="4" t="s">
        <v>17</v>
      </c>
      <c r="F22" s="3"/>
      <c r="G22" s="4" t="s">
        <v>17</v>
      </c>
      <c r="H22" s="3"/>
      <c r="I22" s="4" t="s">
        <v>55</v>
      </c>
      <c r="J22" s="3" t="s">
        <v>557</v>
      </c>
      <c r="K22" s="4" t="s">
        <v>334</v>
      </c>
      <c r="L22" s="3" t="s">
        <v>41</v>
      </c>
      <c r="M22" s="3"/>
    </row>
    <row r="23" customFormat="false" ht="27.75" hidden="false" customHeight="true" outlineLevel="0" collapsed="false">
      <c r="A23" s="6" t="s">
        <v>553</v>
      </c>
      <c r="B23" s="6" t="s">
        <v>558</v>
      </c>
      <c r="C23" s="6" t="s">
        <v>534</v>
      </c>
      <c r="D23" s="5"/>
      <c r="E23" s="6" t="s">
        <v>17</v>
      </c>
      <c r="F23" s="6" t="s">
        <v>537</v>
      </c>
      <c r="G23" s="6" t="s">
        <v>17</v>
      </c>
      <c r="H23" s="5"/>
      <c r="I23" s="6" t="s">
        <v>55</v>
      </c>
      <c r="J23" s="5" t="s">
        <v>559</v>
      </c>
      <c r="K23" s="5"/>
      <c r="L23" s="5" t="s">
        <v>41</v>
      </c>
      <c r="M23" s="5"/>
    </row>
  </sheetData>
  <autoFilter ref="A1:M1"/>
  <dataValidations count="5">
    <dataValidation allowBlank="true" error="드롭다운 목록에서 선택해주세요." errorStyle="stop" errorTitle="잘못된 입력" operator="between" promptTitle="데이터 타입" showDropDown="false" showErrorMessage="true" showInputMessage="true" sqref="C2:C200" type="list">
      <formula1>"VARCHAR,INT,BIGINT,BOOLEAN,TEXT,JSON,DATETIME,FLOAT,DECIMAL,ENUM,BLOB"</formula1>
      <formula2>0</formula2>
    </dataValidation>
    <dataValidation allowBlank="true" error="드롭다운 목록에서 선택해주세요." errorStyle="stop" errorTitle="잘못된 입력" operator="between" promptTitle="NULL 허용" showDropDown="false" showErrorMessage="true" showInputMessage="true" sqref="E2:E200" type="list">
      <formula1>"Y,N"</formula1>
      <formula2>0</formula2>
    </dataValidation>
    <dataValidation allowBlank="true" error="드롭다운 목록에서 선택해주세요." errorStyle="stop" errorTitle="잘못된 입력" operator="between" promptTitle="PK" showDropDown="false" showErrorMessage="true" showInputMessage="true" sqref="G2:G200" type="list">
      <formula1>"Y,N"</formula1>
      <formula2>0</formula2>
    </dataValidation>
    <dataValidation allowBlank="true" error="드롭다운 목록에서 선택해주세요." errorStyle="stop" errorTitle="잘못된 입력" operator="between" promptTitle="인덱스" showDropDown="false" showErrorMessage="true" showInputMessage="true" sqref="I2:I200" type="list">
      <formula1>"Y,N,UNIQUE"</formula1>
      <formula2>0</formula2>
    </dataValidation>
    <dataValidation allowBlank="true" error="드롭다운 목록에서 선택해주세요." errorStyle="stop" errorTitle="잘못된 입력" operator="between" promptTitle="상태" showDropDown="false" showErrorMessage="true" showInputMessage="true" sqref="L2:L200" type="list">
      <formula1>"작성중,검토중,확정,변경필요,삭제"</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A745"/>
    <pageSetUpPr fitToPage="false"/>
  </sheetPr>
  <dimension ref="A1:AC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customHeight="true" zeroHeight="false" outlineLevelRow="0" outlineLevelCol="0"/>
  <cols>
    <col collapsed="false" customWidth="true" hidden="false" outlineLevel="0" max="1" min="1" style="0" width="12"/>
    <col collapsed="false" customWidth="true" hidden="false" outlineLevel="0" max="5" min="2" style="0" width="14"/>
    <col collapsed="false" customWidth="true" hidden="false" outlineLevel="0" max="6" min="6" style="0" width="30"/>
    <col collapsed="false" customWidth="true" hidden="false" outlineLevel="0" max="7" min="7" style="0" width="25"/>
    <col collapsed="false" customWidth="true" hidden="false" outlineLevel="0" max="8" min="8" style="0" width="40"/>
    <col collapsed="false" customWidth="true" hidden="false" outlineLevel="0" max="10" min="9" style="0" width="30"/>
    <col collapsed="false" customWidth="true" hidden="false" outlineLevel="0" max="13" min="11" style="0" width="10"/>
    <col collapsed="false" customWidth="true" hidden="false" outlineLevel="0" max="14" min="14" style="0" width="12"/>
    <col collapsed="false" customWidth="true" hidden="false" outlineLevel="0" max="15" min="15" style="0" width="10"/>
    <col collapsed="false" customWidth="true" hidden="false" outlineLevel="0" max="18" min="16" style="0" width="14"/>
    <col collapsed="false" customWidth="true" hidden="false" outlineLevel="0" max="19" min="19" style="0" width="10"/>
    <col collapsed="false" customWidth="true" hidden="false" outlineLevel="0" max="23" min="20" style="0" width="12"/>
    <col collapsed="false" customWidth="true" hidden="false" outlineLevel="0" max="24" min="24" style="0" width="14"/>
    <col collapsed="false" customWidth="true" hidden="false" outlineLevel="0" max="27" min="25" style="0" width="18"/>
    <col collapsed="false" customWidth="true" hidden="false" outlineLevel="0" max="29" min="28" style="0" width="20"/>
  </cols>
  <sheetData>
    <row r="1" customFormat="false" ht="30" hidden="false" customHeight="true" outlineLevel="0" collapsed="false">
      <c r="A1" s="1" t="s">
        <v>560</v>
      </c>
      <c r="B1" s="2" t="s">
        <v>5</v>
      </c>
      <c r="C1" s="2" t="s">
        <v>561</v>
      </c>
      <c r="D1" s="2" t="s">
        <v>562</v>
      </c>
      <c r="E1" s="2" t="s">
        <v>563</v>
      </c>
      <c r="F1" s="2" t="s">
        <v>564</v>
      </c>
      <c r="G1" s="2" t="s">
        <v>565</v>
      </c>
      <c r="H1" s="2" t="s">
        <v>566</v>
      </c>
      <c r="I1" s="2" t="s">
        <v>567</v>
      </c>
      <c r="J1" s="2" t="s">
        <v>568</v>
      </c>
      <c r="K1" s="2" t="s">
        <v>569</v>
      </c>
      <c r="L1" s="2" t="s">
        <v>82</v>
      </c>
      <c r="M1" s="2" t="s">
        <v>570</v>
      </c>
      <c r="N1" s="2" t="s">
        <v>84</v>
      </c>
      <c r="O1" s="2" t="s">
        <v>571</v>
      </c>
      <c r="P1" s="2" t="s">
        <v>572</v>
      </c>
      <c r="Q1" s="2" t="s">
        <v>573</v>
      </c>
      <c r="R1" s="1" t="s">
        <v>574</v>
      </c>
      <c r="S1" s="2" t="s">
        <v>575</v>
      </c>
      <c r="T1" s="2" t="s">
        <v>576</v>
      </c>
      <c r="U1" s="2" t="s">
        <v>3</v>
      </c>
      <c r="V1" s="2" t="s">
        <v>179</v>
      </c>
      <c r="W1" s="1" t="s">
        <v>180</v>
      </c>
      <c r="X1" s="2" t="s">
        <v>577</v>
      </c>
      <c r="Y1" s="2" t="s">
        <v>578</v>
      </c>
      <c r="Z1" s="7" t="s">
        <v>85</v>
      </c>
      <c r="AA1" s="7" t="s">
        <v>186</v>
      </c>
      <c r="AB1" s="7" t="s">
        <v>187</v>
      </c>
      <c r="AC1" s="2" t="s">
        <v>11</v>
      </c>
    </row>
    <row r="2" customFormat="false" ht="79.5" hidden="false" customHeight="true" outlineLevel="0" collapsed="false">
      <c r="A2" s="4" t="s">
        <v>579</v>
      </c>
      <c r="B2" s="4" t="s">
        <v>70</v>
      </c>
      <c r="C2" s="3" t="s">
        <v>22</v>
      </c>
      <c r="D2" s="3" t="s">
        <v>580</v>
      </c>
      <c r="E2" s="3" t="s">
        <v>581</v>
      </c>
      <c r="F2" s="3" t="s">
        <v>582</v>
      </c>
      <c r="G2" s="3" t="s">
        <v>583</v>
      </c>
      <c r="H2" s="4" t="s">
        <v>584</v>
      </c>
      <c r="I2" s="3" t="s">
        <v>585</v>
      </c>
      <c r="J2" s="3"/>
      <c r="K2" s="3" t="s">
        <v>586</v>
      </c>
      <c r="L2" s="4" t="s">
        <v>90</v>
      </c>
      <c r="M2" s="4" t="s">
        <v>90</v>
      </c>
      <c r="N2" s="4" t="s">
        <v>587</v>
      </c>
      <c r="O2" s="4" t="s">
        <v>588</v>
      </c>
      <c r="P2" s="4" t="s">
        <v>589</v>
      </c>
      <c r="Q2" s="4" t="s">
        <v>590</v>
      </c>
      <c r="R2" s="4" t="s">
        <v>591</v>
      </c>
      <c r="S2" s="4" t="s">
        <v>592</v>
      </c>
      <c r="T2" s="3" t="s">
        <v>593</v>
      </c>
      <c r="U2" s="10" t="s">
        <v>23</v>
      </c>
      <c r="V2" s="10" t="s">
        <v>239</v>
      </c>
      <c r="W2" s="10" t="s">
        <v>240</v>
      </c>
      <c r="X2" s="3"/>
      <c r="Y2" s="3"/>
      <c r="Z2" s="3"/>
      <c r="AA2" s="3"/>
      <c r="AB2" s="3"/>
      <c r="AC2" s="3"/>
    </row>
    <row r="3" customFormat="false" ht="79.5" hidden="false" customHeight="true" outlineLevel="0" collapsed="false">
      <c r="A3" s="6" t="s">
        <v>594</v>
      </c>
      <c r="B3" s="6" t="s">
        <v>595</v>
      </c>
      <c r="C3" s="5" t="s">
        <v>22</v>
      </c>
      <c r="D3" s="5" t="s">
        <v>414</v>
      </c>
      <c r="E3" s="5" t="s">
        <v>581</v>
      </c>
      <c r="F3" s="6" t="s">
        <v>596</v>
      </c>
      <c r="G3" s="6" t="s">
        <v>597</v>
      </c>
      <c r="H3" s="6" t="s">
        <v>598</v>
      </c>
      <c r="I3" s="5" t="s">
        <v>599</v>
      </c>
      <c r="J3" s="5"/>
      <c r="K3" s="5" t="s">
        <v>586</v>
      </c>
      <c r="L3" s="6" t="s">
        <v>90</v>
      </c>
      <c r="M3" s="6" t="s">
        <v>90</v>
      </c>
      <c r="N3" s="6" t="s">
        <v>587</v>
      </c>
      <c r="O3" s="6" t="s">
        <v>588</v>
      </c>
      <c r="P3" s="5" t="s">
        <v>600</v>
      </c>
      <c r="Q3" s="6" t="s">
        <v>601</v>
      </c>
      <c r="R3" s="6" t="s">
        <v>602</v>
      </c>
      <c r="S3" s="6" t="s">
        <v>592</v>
      </c>
      <c r="T3" s="5" t="s">
        <v>593</v>
      </c>
      <c r="U3" s="13" t="s">
        <v>23</v>
      </c>
      <c r="V3" s="13" t="s">
        <v>277</v>
      </c>
      <c r="W3" s="13" t="s">
        <v>278</v>
      </c>
      <c r="X3" s="5"/>
      <c r="Y3" s="5"/>
      <c r="Z3" s="5"/>
      <c r="AA3" s="5"/>
      <c r="AB3" s="5"/>
      <c r="AC3" s="5"/>
    </row>
    <row r="4" customFormat="false" ht="79.5" hidden="false" customHeight="true" outlineLevel="0" collapsed="false">
      <c r="A4" s="4" t="s">
        <v>603</v>
      </c>
      <c r="B4" s="4" t="s">
        <v>604</v>
      </c>
      <c r="C4" s="3" t="s">
        <v>22</v>
      </c>
      <c r="D4" s="3" t="s">
        <v>414</v>
      </c>
      <c r="E4" s="3" t="s">
        <v>581</v>
      </c>
      <c r="F4" s="4" t="s">
        <v>605</v>
      </c>
      <c r="G4" s="4" t="s">
        <v>606</v>
      </c>
      <c r="H4" s="4" t="s">
        <v>607</v>
      </c>
      <c r="I4" s="3" t="s">
        <v>599</v>
      </c>
      <c r="J4" s="3"/>
      <c r="K4" s="3" t="s">
        <v>586</v>
      </c>
      <c r="L4" s="4" t="s">
        <v>90</v>
      </c>
      <c r="M4" s="4" t="s">
        <v>90</v>
      </c>
      <c r="N4" s="4" t="s">
        <v>608</v>
      </c>
      <c r="O4" s="4" t="s">
        <v>588</v>
      </c>
      <c r="P4" s="3" t="s">
        <v>600</v>
      </c>
      <c r="Q4" s="4" t="s">
        <v>609</v>
      </c>
      <c r="R4" s="4" t="s">
        <v>610</v>
      </c>
      <c r="S4" s="4" t="s">
        <v>592</v>
      </c>
      <c r="T4" s="3" t="s">
        <v>593</v>
      </c>
      <c r="U4" s="10" t="s">
        <v>23</v>
      </c>
      <c r="V4" s="10" t="s">
        <v>277</v>
      </c>
      <c r="W4" s="10" t="s">
        <v>278</v>
      </c>
      <c r="X4" s="3"/>
      <c r="Y4" s="3"/>
      <c r="Z4" s="3"/>
      <c r="AA4" s="3"/>
      <c r="AB4" s="3"/>
      <c r="AC4" s="3"/>
    </row>
    <row r="5" customFormat="false" ht="79.5" hidden="false" customHeight="true" outlineLevel="0" collapsed="false">
      <c r="A5" s="6" t="s">
        <v>611</v>
      </c>
      <c r="B5" s="6" t="s">
        <v>70</v>
      </c>
      <c r="C5" s="5" t="s">
        <v>27</v>
      </c>
      <c r="D5" s="5" t="s">
        <v>475</v>
      </c>
      <c r="E5" s="5" t="s">
        <v>581</v>
      </c>
      <c r="F5" s="5" t="s">
        <v>612</v>
      </c>
      <c r="G5" s="5" t="s">
        <v>613</v>
      </c>
      <c r="H5" s="6" t="s">
        <v>614</v>
      </c>
      <c r="I5" s="5" t="s">
        <v>615</v>
      </c>
      <c r="J5" s="5"/>
      <c r="K5" s="5" t="s">
        <v>586</v>
      </c>
      <c r="L5" s="6" t="s">
        <v>90</v>
      </c>
      <c r="M5" s="6" t="s">
        <v>90</v>
      </c>
      <c r="N5" s="6" t="s">
        <v>587</v>
      </c>
      <c r="O5" s="6" t="s">
        <v>588</v>
      </c>
      <c r="P5" s="6" t="s">
        <v>589</v>
      </c>
      <c r="Q5" s="6" t="s">
        <v>590</v>
      </c>
      <c r="R5" s="6" t="s">
        <v>591</v>
      </c>
      <c r="S5" s="6" t="s">
        <v>592</v>
      </c>
      <c r="T5" s="5" t="s">
        <v>593</v>
      </c>
      <c r="U5" s="13" t="s">
        <v>28</v>
      </c>
      <c r="V5" s="13" t="s">
        <v>296</v>
      </c>
      <c r="W5" s="13" t="s">
        <v>297</v>
      </c>
      <c r="X5" s="5"/>
      <c r="Y5" s="5"/>
      <c r="Z5" s="5"/>
      <c r="AA5" s="5"/>
      <c r="AB5" s="5"/>
      <c r="AC5" s="5"/>
    </row>
    <row r="6" customFormat="false" ht="79.5" hidden="false" customHeight="true" outlineLevel="0" collapsed="false">
      <c r="A6" s="4" t="s">
        <v>616</v>
      </c>
      <c r="B6" s="4" t="s">
        <v>70</v>
      </c>
      <c r="C6" s="3" t="s">
        <v>27</v>
      </c>
      <c r="D6" s="4" t="s">
        <v>617</v>
      </c>
      <c r="E6" s="3" t="s">
        <v>581</v>
      </c>
      <c r="F6" s="4" t="s">
        <v>618</v>
      </c>
      <c r="G6" s="3" t="s">
        <v>613</v>
      </c>
      <c r="H6" s="4" t="s">
        <v>619</v>
      </c>
      <c r="I6" s="4" t="s">
        <v>620</v>
      </c>
      <c r="J6" s="3"/>
      <c r="K6" s="3" t="s">
        <v>586</v>
      </c>
      <c r="L6" s="4" t="s">
        <v>105</v>
      </c>
      <c r="M6" s="4" t="s">
        <v>621</v>
      </c>
      <c r="N6" s="4" t="s">
        <v>587</v>
      </c>
      <c r="O6" s="4" t="s">
        <v>588</v>
      </c>
      <c r="P6" s="4" t="s">
        <v>589</v>
      </c>
      <c r="Q6" s="4" t="s">
        <v>590</v>
      </c>
      <c r="R6" s="4" t="s">
        <v>591</v>
      </c>
      <c r="S6" s="4" t="s">
        <v>592</v>
      </c>
      <c r="T6" s="3" t="s">
        <v>593</v>
      </c>
      <c r="U6" s="10" t="s">
        <v>28</v>
      </c>
      <c r="V6" s="10" t="s">
        <v>296</v>
      </c>
      <c r="W6" s="10" t="s">
        <v>297</v>
      </c>
      <c r="X6" s="3"/>
      <c r="Y6" s="3"/>
      <c r="Z6" s="3"/>
      <c r="AA6" s="3"/>
      <c r="AB6" s="3"/>
      <c r="AC6" s="3"/>
    </row>
    <row r="7" customFormat="false" ht="79.5" hidden="false" customHeight="true" outlineLevel="0" collapsed="false">
      <c r="A7" s="6" t="s">
        <v>622</v>
      </c>
      <c r="B7" s="5" t="s">
        <v>623</v>
      </c>
      <c r="C7" s="5" t="s">
        <v>47</v>
      </c>
      <c r="D7" s="5" t="s">
        <v>434</v>
      </c>
      <c r="E7" s="5" t="s">
        <v>581</v>
      </c>
      <c r="F7" s="5" t="s">
        <v>624</v>
      </c>
      <c r="G7" s="5" t="s">
        <v>625</v>
      </c>
      <c r="H7" s="6" t="s">
        <v>626</v>
      </c>
      <c r="I7" s="5" t="s">
        <v>627</v>
      </c>
      <c r="J7" s="5"/>
      <c r="K7" s="5" t="s">
        <v>586</v>
      </c>
      <c r="L7" s="6" t="s">
        <v>105</v>
      </c>
      <c r="M7" s="6" t="s">
        <v>621</v>
      </c>
      <c r="N7" s="6" t="s">
        <v>587</v>
      </c>
      <c r="O7" s="6" t="s">
        <v>588</v>
      </c>
      <c r="P7" s="6" t="s">
        <v>589</v>
      </c>
      <c r="Q7" s="6" t="s">
        <v>590</v>
      </c>
      <c r="R7" s="6" t="s">
        <v>591</v>
      </c>
      <c r="S7" s="6" t="s">
        <v>592</v>
      </c>
      <c r="T7" s="5" t="s">
        <v>628</v>
      </c>
      <c r="U7" s="13" t="s">
        <v>48</v>
      </c>
      <c r="V7" s="13" t="s">
        <v>219</v>
      </c>
      <c r="W7" s="13" t="s">
        <v>334</v>
      </c>
      <c r="X7" s="5"/>
      <c r="Y7" s="5"/>
      <c r="Z7" s="5"/>
      <c r="AA7" s="5"/>
      <c r="AB7" s="5"/>
      <c r="AC7" s="5"/>
    </row>
    <row r="8" customFormat="false" ht="79.5" hidden="false" customHeight="true" outlineLevel="0" collapsed="false">
      <c r="A8" s="4" t="s">
        <v>629</v>
      </c>
      <c r="B8" s="4" t="s">
        <v>595</v>
      </c>
      <c r="C8" s="3" t="s">
        <v>51</v>
      </c>
      <c r="D8" s="3" t="s">
        <v>630</v>
      </c>
      <c r="E8" s="3" t="s">
        <v>581</v>
      </c>
      <c r="F8" s="3" t="s">
        <v>631</v>
      </c>
      <c r="G8" s="3" t="s">
        <v>632</v>
      </c>
      <c r="H8" s="4" t="s">
        <v>633</v>
      </c>
      <c r="I8" s="3" t="s">
        <v>634</v>
      </c>
      <c r="J8" s="3"/>
      <c r="K8" s="3" t="s">
        <v>586</v>
      </c>
      <c r="L8" s="4" t="s">
        <v>111</v>
      </c>
      <c r="M8" s="4" t="s">
        <v>635</v>
      </c>
      <c r="N8" s="4" t="s">
        <v>608</v>
      </c>
      <c r="O8" s="4" t="s">
        <v>588</v>
      </c>
      <c r="P8" s="3" t="s">
        <v>600</v>
      </c>
      <c r="Q8" s="4" t="s">
        <v>601</v>
      </c>
      <c r="R8" s="4" t="s">
        <v>602</v>
      </c>
      <c r="S8" s="4" t="s">
        <v>592</v>
      </c>
      <c r="T8" s="3" t="s">
        <v>593</v>
      </c>
      <c r="U8" s="10" t="s">
        <v>53</v>
      </c>
      <c r="V8" s="10" t="s">
        <v>367</v>
      </c>
      <c r="W8" s="10" t="s">
        <v>368</v>
      </c>
      <c r="X8" s="3"/>
      <c r="Y8" s="3"/>
      <c r="Z8" s="3"/>
      <c r="AA8" s="3"/>
      <c r="AB8" s="3"/>
      <c r="AC8" s="3"/>
    </row>
    <row r="9" customFormat="false" ht="79.5" hidden="false" customHeight="true" outlineLevel="0" collapsed="false">
      <c r="A9" s="6" t="s">
        <v>636</v>
      </c>
      <c r="B9" s="6" t="s">
        <v>70</v>
      </c>
      <c r="C9" s="5" t="s">
        <v>14</v>
      </c>
      <c r="D9" s="5" t="s">
        <v>637</v>
      </c>
      <c r="E9" s="6" t="s">
        <v>638</v>
      </c>
      <c r="F9" s="5" t="s">
        <v>639</v>
      </c>
      <c r="G9" s="5" t="s">
        <v>640</v>
      </c>
      <c r="H9" s="6" t="s">
        <v>641</v>
      </c>
      <c r="I9" s="5" t="s">
        <v>642</v>
      </c>
      <c r="J9" s="5"/>
      <c r="K9" s="5" t="s">
        <v>586</v>
      </c>
      <c r="L9" s="6" t="s">
        <v>111</v>
      </c>
      <c r="M9" s="6" t="s">
        <v>635</v>
      </c>
      <c r="N9" s="6" t="s">
        <v>608</v>
      </c>
      <c r="O9" s="6" t="s">
        <v>588</v>
      </c>
      <c r="P9" s="6" t="s">
        <v>589</v>
      </c>
      <c r="Q9" s="6" t="s">
        <v>590</v>
      </c>
      <c r="R9" s="6" t="s">
        <v>643</v>
      </c>
      <c r="S9" s="6" t="s">
        <v>592</v>
      </c>
      <c r="T9" s="5" t="s">
        <v>593</v>
      </c>
      <c r="U9" s="13" t="s">
        <v>13</v>
      </c>
      <c r="V9" s="6"/>
      <c r="W9" s="6"/>
      <c r="X9" s="5"/>
      <c r="Y9" s="5"/>
      <c r="Z9" s="5"/>
      <c r="AA9" s="5"/>
      <c r="AB9" s="5"/>
      <c r="AC9" s="5"/>
    </row>
    <row r="10" customFormat="false" ht="79.5" hidden="false" customHeight="true" outlineLevel="0" collapsed="false">
      <c r="A10" s="4" t="s">
        <v>644</v>
      </c>
      <c r="B10" s="3" t="s">
        <v>623</v>
      </c>
      <c r="C10" s="4" t="s">
        <v>645</v>
      </c>
      <c r="D10" s="3" t="s">
        <v>646</v>
      </c>
      <c r="E10" s="4" t="s">
        <v>647</v>
      </c>
      <c r="F10" s="3" t="s">
        <v>648</v>
      </c>
      <c r="G10" s="3" t="s">
        <v>649</v>
      </c>
      <c r="H10" s="4" t="s">
        <v>650</v>
      </c>
      <c r="I10" s="4" t="s">
        <v>651</v>
      </c>
      <c r="J10" s="3"/>
      <c r="K10" s="3" t="s">
        <v>586</v>
      </c>
      <c r="L10" s="4" t="s">
        <v>90</v>
      </c>
      <c r="M10" s="4" t="s">
        <v>652</v>
      </c>
      <c r="N10" s="4" t="s">
        <v>587</v>
      </c>
      <c r="O10" s="4" t="s">
        <v>588</v>
      </c>
      <c r="P10" s="4" t="s">
        <v>589</v>
      </c>
      <c r="Q10" s="4" t="s">
        <v>590</v>
      </c>
      <c r="R10" s="4" t="s">
        <v>591</v>
      </c>
      <c r="S10" s="4" t="s">
        <v>592</v>
      </c>
      <c r="T10" s="3" t="s">
        <v>653</v>
      </c>
      <c r="U10" s="4"/>
      <c r="V10" s="4"/>
      <c r="W10" s="10" t="s">
        <v>297</v>
      </c>
      <c r="X10" s="3"/>
      <c r="Y10" s="3"/>
      <c r="Z10" s="3"/>
      <c r="AA10" s="3"/>
      <c r="AB10" s="3"/>
      <c r="AC10" s="3"/>
    </row>
    <row r="11" customFormat="false" ht="79.5" hidden="false" customHeight="true" outlineLevel="0" collapsed="false">
      <c r="A11" s="6" t="s">
        <v>654</v>
      </c>
      <c r="B11" s="6" t="s">
        <v>70</v>
      </c>
      <c r="C11" s="5" t="s">
        <v>655</v>
      </c>
      <c r="D11" s="5" t="s">
        <v>656</v>
      </c>
      <c r="E11" s="5" t="s">
        <v>657</v>
      </c>
      <c r="F11" s="5" t="s">
        <v>658</v>
      </c>
      <c r="G11" s="6" t="s">
        <v>659</v>
      </c>
      <c r="H11" s="6" t="s">
        <v>660</v>
      </c>
      <c r="I11" s="6" t="s">
        <v>661</v>
      </c>
      <c r="J11" s="5"/>
      <c r="K11" s="5" t="s">
        <v>586</v>
      </c>
      <c r="L11" s="6" t="s">
        <v>105</v>
      </c>
      <c r="M11" s="6" t="s">
        <v>621</v>
      </c>
      <c r="N11" s="6" t="s">
        <v>587</v>
      </c>
      <c r="O11" s="6" t="s">
        <v>588</v>
      </c>
      <c r="P11" s="6" t="s">
        <v>589</v>
      </c>
      <c r="Q11" s="6" t="s">
        <v>590</v>
      </c>
      <c r="R11" s="6" t="s">
        <v>591</v>
      </c>
      <c r="S11" s="6" t="s">
        <v>592</v>
      </c>
      <c r="T11" s="5" t="s">
        <v>628</v>
      </c>
      <c r="U11" s="13" t="s">
        <v>13</v>
      </c>
      <c r="V11" s="6"/>
      <c r="W11" s="6"/>
      <c r="X11" s="5"/>
      <c r="Y11" s="5"/>
      <c r="Z11" s="5"/>
      <c r="AA11" s="5"/>
      <c r="AB11" s="5"/>
      <c r="AC11" s="5"/>
    </row>
    <row r="12" customFormat="false" ht="15" hidden="false" customHeight="true" outlineLevel="0" collapsed="false">
      <c r="Z12" s="8" t="str">
        <f aca="false">IFERROR(VLOOKUP(U12,'IA(정보구조)'!D:E,2,FALSE()),"")</f>
        <v/>
      </c>
      <c r="AA12" s="8" t="str">
        <f aca="false">IFERROR(VLOOKUP(V12,기능명세서!A:B,2,FALSE()),"")</f>
        <v/>
      </c>
      <c r="AB12" s="8" t="str">
        <f aca="false">IFERROR(VLOOKUP(W12,API명세서!A:D,4,FALSE()),"")</f>
        <v/>
      </c>
    </row>
    <row r="13" customFormat="false" ht="15" hidden="false" customHeight="true" outlineLevel="0" collapsed="false">
      <c r="Z13" s="8" t="str">
        <f aca="false">IFERROR(VLOOKUP(U13,'IA(정보구조)'!D:E,2,FALSE()),"")</f>
        <v/>
      </c>
      <c r="AA13" s="8" t="str">
        <f aca="false">IFERROR(VLOOKUP(V13,기능명세서!A:B,2,FALSE()),"")</f>
        <v/>
      </c>
      <c r="AB13" s="8" t="str">
        <f aca="false">IFERROR(VLOOKUP(W13,API명세서!A:D,4,FALSE()),"")</f>
        <v/>
      </c>
    </row>
    <row r="14" customFormat="false" ht="15" hidden="false" customHeight="true" outlineLevel="0" collapsed="false">
      <c r="Z14" s="8" t="str">
        <f aca="false">IFERROR(VLOOKUP(U14,'IA(정보구조)'!D:E,2,FALSE()),"")</f>
        <v/>
      </c>
      <c r="AA14" s="8" t="str">
        <f aca="false">IFERROR(VLOOKUP(V14,기능명세서!A:B,2,FALSE()),"")</f>
        <v/>
      </c>
      <c r="AB14" s="8" t="str">
        <f aca="false">IFERROR(VLOOKUP(W14,API명세서!A:D,4,FALSE()),"")</f>
        <v/>
      </c>
    </row>
    <row r="15" customFormat="false" ht="15" hidden="false" customHeight="true" outlineLevel="0" collapsed="false">
      <c r="Z15" s="8" t="str">
        <f aca="false">IFERROR(VLOOKUP(U15,'IA(정보구조)'!D:E,2,FALSE()),"")</f>
        <v/>
      </c>
      <c r="AA15" s="8" t="str">
        <f aca="false">IFERROR(VLOOKUP(V15,기능명세서!A:B,2,FALSE()),"")</f>
        <v/>
      </c>
      <c r="AB15" s="8" t="str">
        <f aca="false">IFERROR(VLOOKUP(W15,API명세서!A:D,4,FALSE()),"")</f>
        <v/>
      </c>
    </row>
    <row r="16" customFormat="false" ht="15" hidden="false" customHeight="true" outlineLevel="0" collapsed="false">
      <c r="Z16" s="8" t="str">
        <f aca="false">IFERROR(VLOOKUP(U16,'IA(정보구조)'!D:E,2,FALSE()),"")</f>
        <v/>
      </c>
      <c r="AA16" s="8" t="str">
        <f aca="false">IFERROR(VLOOKUP(V16,기능명세서!A:B,2,FALSE()),"")</f>
        <v/>
      </c>
      <c r="AB16" s="8" t="str">
        <f aca="false">IFERROR(VLOOKUP(W16,API명세서!A:D,4,FALSE()),"")</f>
        <v/>
      </c>
    </row>
    <row r="17" customFormat="false" ht="15" hidden="false" customHeight="true" outlineLevel="0" collapsed="false">
      <c r="Z17" s="8" t="str">
        <f aca="false">IFERROR(VLOOKUP(U17,'IA(정보구조)'!D:E,2,FALSE()),"")</f>
        <v/>
      </c>
      <c r="AA17" s="8" t="str">
        <f aca="false">IFERROR(VLOOKUP(V17,기능명세서!A:B,2,FALSE()),"")</f>
        <v/>
      </c>
      <c r="AB17" s="8" t="str">
        <f aca="false">IFERROR(VLOOKUP(W17,API명세서!A:D,4,FALSE()),"")</f>
        <v/>
      </c>
    </row>
    <row r="18" customFormat="false" ht="15" hidden="false" customHeight="true" outlineLevel="0" collapsed="false">
      <c r="Z18" s="8" t="str">
        <f aca="false">IFERROR(VLOOKUP(U18,'IA(정보구조)'!D:E,2,FALSE()),"")</f>
        <v/>
      </c>
      <c r="AA18" s="8" t="str">
        <f aca="false">IFERROR(VLOOKUP(V18,기능명세서!A:B,2,FALSE()),"")</f>
        <v/>
      </c>
      <c r="AB18" s="8" t="str">
        <f aca="false">IFERROR(VLOOKUP(W18,API명세서!A:D,4,FALSE()),"")</f>
        <v/>
      </c>
    </row>
    <row r="19" customFormat="false" ht="15" hidden="false" customHeight="true" outlineLevel="0" collapsed="false">
      <c r="Z19" s="8" t="str">
        <f aca="false">IFERROR(VLOOKUP(U19,'IA(정보구조)'!D:E,2,FALSE()),"")</f>
        <v/>
      </c>
      <c r="AA19" s="8" t="str">
        <f aca="false">IFERROR(VLOOKUP(V19,기능명세서!A:B,2,FALSE()),"")</f>
        <v/>
      </c>
      <c r="AB19" s="8" t="str">
        <f aca="false">IFERROR(VLOOKUP(W19,API명세서!A:D,4,FALSE()),"")</f>
        <v/>
      </c>
    </row>
    <row r="20" customFormat="false" ht="15" hidden="false" customHeight="true" outlineLevel="0" collapsed="false">
      <c r="Z20" s="8" t="str">
        <f aca="false">IFERROR(VLOOKUP(U20,'IA(정보구조)'!D:E,2,FALSE()),"")</f>
        <v/>
      </c>
      <c r="AA20" s="8" t="str">
        <f aca="false">IFERROR(VLOOKUP(V20,기능명세서!A:B,2,FALSE()),"")</f>
        <v/>
      </c>
      <c r="AB20" s="8" t="str">
        <f aca="false">IFERROR(VLOOKUP(W20,API명세서!A:D,4,FALSE()),"")</f>
        <v/>
      </c>
    </row>
    <row r="21" customFormat="false" ht="15" hidden="false" customHeight="true" outlineLevel="0" collapsed="false">
      <c r="Z21" s="8" t="str">
        <f aca="false">IFERROR(VLOOKUP(U21,'IA(정보구조)'!D:E,2,FALSE()),"")</f>
        <v/>
      </c>
      <c r="AA21" s="8" t="str">
        <f aca="false">IFERROR(VLOOKUP(V21,기능명세서!A:B,2,FALSE()),"")</f>
        <v/>
      </c>
      <c r="AB21" s="8" t="str">
        <f aca="false">IFERROR(VLOOKUP(W21,API명세서!A:D,4,FALSE()),"")</f>
        <v/>
      </c>
    </row>
    <row r="22" customFormat="false" ht="15" hidden="false" customHeight="true" outlineLevel="0" collapsed="false">
      <c r="Z22" s="8" t="str">
        <f aca="false">IFERROR(VLOOKUP(U22,'IA(정보구조)'!D:E,2,FALSE()),"")</f>
        <v/>
      </c>
      <c r="AA22" s="8" t="str">
        <f aca="false">IFERROR(VLOOKUP(V22,기능명세서!A:B,2,FALSE()),"")</f>
        <v/>
      </c>
      <c r="AB22" s="8" t="str">
        <f aca="false">IFERROR(VLOOKUP(W22,API명세서!A:D,4,FALSE()),"")</f>
        <v/>
      </c>
    </row>
    <row r="23" customFormat="false" ht="15" hidden="false" customHeight="true" outlineLevel="0" collapsed="false">
      <c r="Z23" s="8" t="str">
        <f aca="false">IFERROR(VLOOKUP(U23,'IA(정보구조)'!D:E,2,FALSE()),"")</f>
        <v/>
      </c>
      <c r="AA23" s="8" t="str">
        <f aca="false">IFERROR(VLOOKUP(V23,기능명세서!A:B,2,FALSE()),"")</f>
        <v/>
      </c>
      <c r="AB23" s="8" t="str">
        <f aca="false">IFERROR(VLOOKUP(W23,API명세서!A:D,4,FALSE()),"")</f>
        <v/>
      </c>
    </row>
    <row r="24" customFormat="false" ht="15" hidden="false" customHeight="true" outlineLevel="0" collapsed="false">
      <c r="Z24" s="8" t="str">
        <f aca="false">IFERROR(VLOOKUP(U24,'IA(정보구조)'!D:E,2,FALSE()),"")</f>
        <v/>
      </c>
      <c r="AA24" s="8" t="str">
        <f aca="false">IFERROR(VLOOKUP(V24,기능명세서!A:B,2,FALSE()),"")</f>
        <v/>
      </c>
      <c r="AB24" s="8" t="str">
        <f aca="false">IFERROR(VLOOKUP(W24,API명세서!A:D,4,FALSE()),"")</f>
        <v/>
      </c>
    </row>
    <row r="25" customFormat="false" ht="15" hidden="false" customHeight="true" outlineLevel="0" collapsed="false">
      <c r="Z25" s="8" t="str">
        <f aca="false">IFERROR(VLOOKUP(U25,'IA(정보구조)'!D:E,2,FALSE()),"")</f>
        <v/>
      </c>
      <c r="AA25" s="8" t="str">
        <f aca="false">IFERROR(VLOOKUP(V25,기능명세서!A:B,2,FALSE()),"")</f>
        <v/>
      </c>
      <c r="AB25" s="8" t="str">
        <f aca="false">IFERROR(VLOOKUP(W25,API명세서!A:D,4,FALSE()),"")</f>
        <v/>
      </c>
    </row>
    <row r="26" customFormat="false" ht="15" hidden="false" customHeight="true" outlineLevel="0" collapsed="false">
      <c r="Z26" s="8" t="str">
        <f aca="false">IFERROR(VLOOKUP(U26,'IA(정보구조)'!D:E,2,FALSE()),"")</f>
        <v/>
      </c>
      <c r="AA26" s="8" t="str">
        <f aca="false">IFERROR(VLOOKUP(V26,기능명세서!A:B,2,FALSE()),"")</f>
        <v/>
      </c>
      <c r="AB26" s="8" t="str">
        <f aca="false">IFERROR(VLOOKUP(W26,API명세서!A:D,4,FALSE()),"")</f>
        <v/>
      </c>
    </row>
    <row r="27" customFormat="false" ht="15" hidden="false" customHeight="true" outlineLevel="0" collapsed="false">
      <c r="Z27" s="8" t="str">
        <f aca="false">IFERROR(VLOOKUP(U27,'IA(정보구조)'!D:E,2,FALSE()),"")</f>
        <v/>
      </c>
      <c r="AA27" s="8" t="str">
        <f aca="false">IFERROR(VLOOKUP(V27,기능명세서!A:B,2,FALSE()),"")</f>
        <v/>
      </c>
      <c r="AB27" s="8" t="str">
        <f aca="false">IFERROR(VLOOKUP(W27,API명세서!A:D,4,FALSE()),"")</f>
        <v/>
      </c>
    </row>
    <row r="28" customFormat="false" ht="15" hidden="false" customHeight="true" outlineLevel="0" collapsed="false">
      <c r="Z28" s="8" t="str">
        <f aca="false">IFERROR(VLOOKUP(U28,'IA(정보구조)'!D:E,2,FALSE()),"")</f>
        <v/>
      </c>
      <c r="AA28" s="8" t="str">
        <f aca="false">IFERROR(VLOOKUP(V28,기능명세서!A:B,2,FALSE()),"")</f>
        <v/>
      </c>
      <c r="AB28" s="8" t="str">
        <f aca="false">IFERROR(VLOOKUP(W28,API명세서!A:D,4,FALSE()),"")</f>
        <v/>
      </c>
    </row>
    <row r="29" customFormat="false" ht="15" hidden="false" customHeight="true" outlineLevel="0" collapsed="false">
      <c r="Z29" s="8" t="str">
        <f aca="false">IFERROR(VLOOKUP(U29,'IA(정보구조)'!D:E,2,FALSE()),"")</f>
        <v/>
      </c>
      <c r="AA29" s="8" t="str">
        <f aca="false">IFERROR(VLOOKUP(V29,기능명세서!A:B,2,FALSE()),"")</f>
        <v/>
      </c>
      <c r="AB29" s="8" t="str">
        <f aca="false">IFERROR(VLOOKUP(W29,API명세서!A:D,4,FALSE()),"")</f>
        <v/>
      </c>
    </row>
    <row r="30" customFormat="false" ht="15" hidden="false" customHeight="true" outlineLevel="0" collapsed="false">
      <c r="Z30" s="8" t="str">
        <f aca="false">IFERROR(VLOOKUP(U30,'IA(정보구조)'!D:E,2,FALSE()),"")</f>
        <v/>
      </c>
      <c r="AA30" s="8" t="str">
        <f aca="false">IFERROR(VLOOKUP(V30,기능명세서!A:B,2,FALSE()),"")</f>
        <v/>
      </c>
      <c r="AB30" s="8" t="str">
        <f aca="false">IFERROR(VLOOKUP(W30,API명세서!A:D,4,FALSE()),"")</f>
        <v/>
      </c>
    </row>
    <row r="31" customFormat="false" ht="15" hidden="false" customHeight="true" outlineLevel="0" collapsed="false">
      <c r="Z31" s="8" t="str">
        <f aca="false">IFERROR(VLOOKUP(U31,'IA(정보구조)'!D:E,2,FALSE()),"")</f>
        <v/>
      </c>
      <c r="AA31" s="8" t="str">
        <f aca="false">IFERROR(VLOOKUP(V31,기능명세서!A:B,2,FALSE()),"")</f>
        <v/>
      </c>
      <c r="AB31" s="8" t="str">
        <f aca="false">IFERROR(VLOOKUP(W31,API명세서!A:D,4,FALSE()),"")</f>
        <v/>
      </c>
    </row>
    <row r="32" customFormat="false" ht="15" hidden="false" customHeight="true" outlineLevel="0" collapsed="false">
      <c r="Z32" s="8" t="str">
        <f aca="false">IFERROR(VLOOKUP(U32,'IA(정보구조)'!D:E,2,FALSE()),"")</f>
        <v/>
      </c>
      <c r="AA32" s="8" t="str">
        <f aca="false">IFERROR(VLOOKUP(V32,기능명세서!A:B,2,FALSE()),"")</f>
        <v/>
      </c>
      <c r="AB32" s="8" t="str">
        <f aca="false">IFERROR(VLOOKUP(W32,API명세서!A:D,4,FALSE()),"")</f>
        <v/>
      </c>
    </row>
    <row r="33" customFormat="false" ht="15" hidden="false" customHeight="true" outlineLevel="0" collapsed="false">
      <c r="Z33" s="8" t="str">
        <f aca="false">IFERROR(VLOOKUP(U33,'IA(정보구조)'!D:E,2,FALSE()),"")</f>
        <v/>
      </c>
      <c r="AA33" s="8" t="str">
        <f aca="false">IFERROR(VLOOKUP(V33,기능명세서!A:B,2,FALSE()),"")</f>
        <v/>
      </c>
      <c r="AB33" s="8" t="str">
        <f aca="false">IFERROR(VLOOKUP(W33,API명세서!A:D,4,FALSE()),"")</f>
        <v/>
      </c>
    </row>
    <row r="34" customFormat="false" ht="15" hidden="false" customHeight="true" outlineLevel="0" collapsed="false">
      <c r="Z34" s="8" t="str">
        <f aca="false">IFERROR(VLOOKUP(U34,'IA(정보구조)'!D:E,2,FALSE()),"")</f>
        <v/>
      </c>
      <c r="AA34" s="8" t="str">
        <f aca="false">IFERROR(VLOOKUP(V34,기능명세서!A:B,2,FALSE()),"")</f>
        <v/>
      </c>
      <c r="AB34" s="8" t="str">
        <f aca="false">IFERROR(VLOOKUP(W34,API명세서!A:D,4,FALSE()),"")</f>
        <v/>
      </c>
    </row>
    <row r="35" customFormat="false" ht="15" hidden="false" customHeight="true" outlineLevel="0" collapsed="false">
      <c r="Z35" s="8" t="str">
        <f aca="false">IFERROR(VLOOKUP(U35,'IA(정보구조)'!D:E,2,FALSE()),"")</f>
        <v/>
      </c>
      <c r="AA35" s="8" t="str">
        <f aca="false">IFERROR(VLOOKUP(V35,기능명세서!A:B,2,FALSE()),"")</f>
        <v/>
      </c>
      <c r="AB35" s="8" t="str">
        <f aca="false">IFERROR(VLOOKUP(W35,API명세서!A:D,4,FALSE()),"")</f>
        <v/>
      </c>
    </row>
    <row r="36" customFormat="false" ht="15" hidden="false" customHeight="true" outlineLevel="0" collapsed="false">
      <c r="Z36" s="8" t="str">
        <f aca="false">IFERROR(VLOOKUP(U36,'IA(정보구조)'!D:E,2,FALSE()),"")</f>
        <v/>
      </c>
      <c r="AA36" s="8" t="str">
        <f aca="false">IFERROR(VLOOKUP(V36,기능명세서!A:B,2,FALSE()),"")</f>
        <v/>
      </c>
      <c r="AB36" s="8" t="str">
        <f aca="false">IFERROR(VLOOKUP(W36,API명세서!A:D,4,FALSE()),"")</f>
        <v/>
      </c>
    </row>
    <row r="37" customFormat="false" ht="15" hidden="false" customHeight="true" outlineLevel="0" collapsed="false">
      <c r="Z37" s="8" t="str">
        <f aca="false">IFERROR(VLOOKUP(U37,'IA(정보구조)'!D:E,2,FALSE()),"")</f>
        <v/>
      </c>
      <c r="AA37" s="8" t="str">
        <f aca="false">IFERROR(VLOOKUP(V37,기능명세서!A:B,2,FALSE()),"")</f>
        <v/>
      </c>
      <c r="AB37" s="8" t="str">
        <f aca="false">IFERROR(VLOOKUP(W37,API명세서!A:D,4,FALSE()),"")</f>
        <v/>
      </c>
    </row>
    <row r="38" customFormat="false" ht="15" hidden="false" customHeight="true" outlineLevel="0" collapsed="false">
      <c r="Z38" s="8" t="str">
        <f aca="false">IFERROR(VLOOKUP(U38,'IA(정보구조)'!D:E,2,FALSE()),"")</f>
        <v/>
      </c>
      <c r="AA38" s="8" t="str">
        <f aca="false">IFERROR(VLOOKUP(V38,기능명세서!A:B,2,FALSE()),"")</f>
        <v/>
      </c>
      <c r="AB38" s="8" t="str">
        <f aca="false">IFERROR(VLOOKUP(W38,API명세서!A:D,4,FALSE()),"")</f>
        <v/>
      </c>
    </row>
    <row r="39" customFormat="false" ht="15" hidden="false" customHeight="true" outlineLevel="0" collapsed="false">
      <c r="Z39" s="8" t="str">
        <f aca="false">IFERROR(VLOOKUP(U39,'IA(정보구조)'!D:E,2,FALSE()),"")</f>
        <v/>
      </c>
      <c r="AA39" s="8" t="str">
        <f aca="false">IFERROR(VLOOKUP(V39,기능명세서!A:B,2,FALSE()),"")</f>
        <v/>
      </c>
      <c r="AB39" s="8" t="str">
        <f aca="false">IFERROR(VLOOKUP(W39,API명세서!A:D,4,FALSE()),"")</f>
        <v/>
      </c>
    </row>
    <row r="40" customFormat="false" ht="15" hidden="false" customHeight="true" outlineLevel="0" collapsed="false">
      <c r="Z40" s="8" t="str">
        <f aca="false">IFERROR(VLOOKUP(U40,'IA(정보구조)'!D:E,2,FALSE()),"")</f>
        <v/>
      </c>
      <c r="AA40" s="8" t="str">
        <f aca="false">IFERROR(VLOOKUP(V40,기능명세서!A:B,2,FALSE()),"")</f>
        <v/>
      </c>
      <c r="AB40" s="8" t="str">
        <f aca="false">IFERROR(VLOOKUP(W40,API명세서!A:D,4,FALSE()),"")</f>
        <v/>
      </c>
    </row>
    <row r="41" customFormat="false" ht="15" hidden="false" customHeight="true" outlineLevel="0" collapsed="false">
      <c r="Z41" s="8" t="str">
        <f aca="false">IFERROR(VLOOKUP(U41,'IA(정보구조)'!D:E,2,FALSE()),"")</f>
        <v/>
      </c>
      <c r="AA41" s="8" t="str">
        <f aca="false">IFERROR(VLOOKUP(V41,기능명세서!A:B,2,FALSE()),"")</f>
        <v/>
      </c>
      <c r="AB41" s="8" t="str">
        <f aca="false">IFERROR(VLOOKUP(W41,API명세서!A:D,4,FALSE()),"")</f>
        <v/>
      </c>
    </row>
    <row r="42" customFormat="false" ht="15" hidden="false" customHeight="true" outlineLevel="0" collapsed="false">
      <c r="Z42" s="8" t="str">
        <f aca="false">IFERROR(VLOOKUP(U42,'IA(정보구조)'!D:E,2,FALSE()),"")</f>
        <v/>
      </c>
      <c r="AA42" s="8" t="str">
        <f aca="false">IFERROR(VLOOKUP(V42,기능명세서!A:B,2,FALSE()),"")</f>
        <v/>
      </c>
      <c r="AB42" s="8" t="str">
        <f aca="false">IFERROR(VLOOKUP(W42,API명세서!A:D,4,FALSE()),"")</f>
        <v/>
      </c>
    </row>
    <row r="43" customFormat="false" ht="15" hidden="false" customHeight="true" outlineLevel="0" collapsed="false">
      <c r="Z43" s="8" t="str">
        <f aca="false">IFERROR(VLOOKUP(U43,'IA(정보구조)'!D:E,2,FALSE()),"")</f>
        <v/>
      </c>
      <c r="AA43" s="8" t="str">
        <f aca="false">IFERROR(VLOOKUP(V43,기능명세서!A:B,2,FALSE()),"")</f>
        <v/>
      </c>
      <c r="AB43" s="8" t="str">
        <f aca="false">IFERROR(VLOOKUP(W43,API명세서!A:D,4,FALSE()),"")</f>
        <v/>
      </c>
    </row>
    <row r="44" customFormat="false" ht="15" hidden="false" customHeight="true" outlineLevel="0" collapsed="false">
      <c r="Z44" s="8" t="str">
        <f aca="false">IFERROR(VLOOKUP(U44,'IA(정보구조)'!D:E,2,FALSE()),"")</f>
        <v/>
      </c>
      <c r="AA44" s="8" t="str">
        <f aca="false">IFERROR(VLOOKUP(V44,기능명세서!A:B,2,FALSE()),"")</f>
        <v/>
      </c>
      <c r="AB44" s="8" t="str">
        <f aca="false">IFERROR(VLOOKUP(W44,API명세서!A:D,4,FALSE()),"")</f>
        <v/>
      </c>
    </row>
    <row r="45" customFormat="false" ht="15" hidden="false" customHeight="true" outlineLevel="0" collapsed="false">
      <c r="Z45" s="8" t="str">
        <f aca="false">IFERROR(VLOOKUP(U45,'IA(정보구조)'!D:E,2,FALSE()),"")</f>
        <v/>
      </c>
      <c r="AA45" s="8" t="str">
        <f aca="false">IFERROR(VLOOKUP(V45,기능명세서!A:B,2,FALSE()),"")</f>
        <v/>
      </c>
      <c r="AB45" s="8" t="str">
        <f aca="false">IFERROR(VLOOKUP(W45,API명세서!A:D,4,FALSE()),"")</f>
        <v/>
      </c>
    </row>
    <row r="46" customFormat="false" ht="15" hidden="false" customHeight="true" outlineLevel="0" collapsed="false">
      <c r="Z46" s="8" t="str">
        <f aca="false">IFERROR(VLOOKUP(U46,'IA(정보구조)'!D:E,2,FALSE()),"")</f>
        <v/>
      </c>
      <c r="AA46" s="8" t="str">
        <f aca="false">IFERROR(VLOOKUP(V46,기능명세서!A:B,2,FALSE()),"")</f>
        <v/>
      </c>
      <c r="AB46" s="8" t="str">
        <f aca="false">IFERROR(VLOOKUP(W46,API명세서!A:D,4,FALSE()),"")</f>
        <v/>
      </c>
    </row>
    <row r="47" customFormat="false" ht="15" hidden="false" customHeight="true" outlineLevel="0" collapsed="false">
      <c r="Z47" s="8" t="str">
        <f aca="false">IFERROR(VLOOKUP(U47,'IA(정보구조)'!D:E,2,FALSE()),"")</f>
        <v/>
      </c>
      <c r="AA47" s="8" t="str">
        <f aca="false">IFERROR(VLOOKUP(V47,기능명세서!A:B,2,FALSE()),"")</f>
        <v/>
      </c>
      <c r="AB47" s="8" t="str">
        <f aca="false">IFERROR(VLOOKUP(W47,API명세서!A:D,4,FALSE()),"")</f>
        <v/>
      </c>
    </row>
    <row r="48" customFormat="false" ht="15" hidden="false" customHeight="true" outlineLevel="0" collapsed="false">
      <c r="Z48" s="8" t="str">
        <f aca="false">IFERROR(VLOOKUP(U48,'IA(정보구조)'!D:E,2,FALSE()),"")</f>
        <v/>
      </c>
      <c r="AA48" s="8" t="str">
        <f aca="false">IFERROR(VLOOKUP(V48,기능명세서!A:B,2,FALSE()),"")</f>
        <v/>
      </c>
      <c r="AB48" s="8" t="str">
        <f aca="false">IFERROR(VLOOKUP(W48,API명세서!A:D,4,FALSE()),"")</f>
        <v/>
      </c>
    </row>
    <row r="49" customFormat="false" ht="15" hidden="false" customHeight="true" outlineLevel="0" collapsed="false">
      <c r="Z49" s="8" t="str">
        <f aca="false">IFERROR(VLOOKUP(U49,'IA(정보구조)'!D:E,2,FALSE()),"")</f>
        <v/>
      </c>
      <c r="AA49" s="8" t="str">
        <f aca="false">IFERROR(VLOOKUP(V49,기능명세서!A:B,2,FALSE()),"")</f>
        <v/>
      </c>
      <c r="AB49" s="8" t="str">
        <f aca="false">IFERROR(VLOOKUP(W49,API명세서!A:D,4,FALSE()),"")</f>
        <v/>
      </c>
    </row>
    <row r="50" customFormat="false" ht="15" hidden="false" customHeight="true" outlineLevel="0" collapsed="false">
      <c r="Z50" s="8" t="str">
        <f aca="false">IFERROR(VLOOKUP(U50,'IA(정보구조)'!D:E,2,FALSE()),"")</f>
        <v/>
      </c>
      <c r="AA50" s="8" t="str">
        <f aca="false">IFERROR(VLOOKUP(V50,기능명세서!A:B,2,FALSE()),"")</f>
        <v/>
      </c>
      <c r="AB50" s="8" t="str">
        <f aca="false">IFERROR(VLOOKUP(W50,API명세서!A:D,4,FALSE()),"")</f>
        <v/>
      </c>
    </row>
    <row r="51" customFormat="false" ht="15" hidden="false" customHeight="true" outlineLevel="0" collapsed="false">
      <c r="Z51" s="8" t="str">
        <f aca="false">IFERROR(VLOOKUP(U51,'IA(정보구조)'!D:E,2,FALSE()),"")</f>
        <v/>
      </c>
      <c r="AA51" s="8" t="str">
        <f aca="false">IFERROR(VLOOKUP(V51,기능명세서!A:B,2,FALSE()),"")</f>
        <v/>
      </c>
      <c r="AB51" s="8" t="str">
        <f aca="false">IFERROR(VLOOKUP(W51,API명세서!A:D,4,FALSE()),"")</f>
        <v/>
      </c>
    </row>
    <row r="52" customFormat="false" ht="15" hidden="false" customHeight="true" outlineLevel="0" collapsed="false">
      <c r="Z52" s="8" t="str">
        <f aca="false">IFERROR(VLOOKUP(U52,'IA(정보구조)'!D:E,2,FALSE()),"")</f>
        <v/>
      </c>
      <c r="AA52" s="8" t="str">
        <f aca="false">IFERROR(VLOOKUP(V52,기능명세서!A:B,2,FALSE()),"")</f>
        <v/>
      </c>
      <c r="AB52" s="8" t="str">
        <f aca="false">IFERROR(VLOOKUP(W52,API명세서!A:D,4,FALSE()),"")</f>
        <v/>
      </c>
    </row>
    <row r="53" customFormat="false" ht="15" hidden="false" customHeight="true" outlineLevel="0" collapsed="false">
      <c r="Z53" s="8" t="str">
        <f aca="false">IFERROR(VLOOKUP(U53,'IA(정보구조)'!D:E,2,FALSE()),"")</f>
        <v/>
      </c>
      <c r="AA53" s="8" t="str">
        <f aca="false">IFERROR(VLOOKUP(V53,기능명세서!A:B,2,FALSE()),"")</f>
        <v/>
      </c>
      <c r="AB53" s="8" t="str">
        <f aca="false">IFERROR(VLOOKUP(W53,API명세서!A:D,4,FALSE()),"")</f>
        <v/>
      </c>
    </row>
    <row r="54" customFormat="false" ht="15" hidden="false" customHeight="true" outlineLevel="0" collapsed="false">
      <c r="Z54" s="8" t="str">
        <f aca="false">IFERROR(VLOOKUP(U54,'IA(정보구조)'!D:E,2,FALSE()),"")</f>
        <v/>
      </c>
      <c r="AA54" s="8" t="str">
        <f aca="false">IFERROR(VLOOKUP(V54,기능명세서!A:B,2,FALSE()),"")</f>
        <v/>
      </c>
      <c r="AB54" s="8" t="str">
        <f aca="false">IFERROR(VLOOKUP(W54,API명세서!A:D,4,FALSE()),"")</f>
        <v/>
      </c>
    </row>
    <row r="55" customFormat="false" ht="15" hidden="false" customHeight="true" outlineLevel="0" collapsed="false">
      <c r="Z55" s="8" t="str">
        <f aca="false">IFERROR(VLOOKUP(U55,'IA(정보구조)'!D:E,2,FALSE()),"")</f>
        <v/>
      </c>
      <c r="AA55" s="8" t="str">
        <f aca="false">IFERROR(VLOOKUP(V55,기능명세서!A:B,2,FALSE()),"")</f>
        <v/>
      </c>
      <c r="AB55" s="8" t="str">
        <f aca="false">IFERROR(VLOOKUP(W55,API명세서!A:D,4,FALSE()),"")</f>
        <v/>
      </c>
    </row>
    <row r="56" customFormat="false" ht="15" hidden="false" customHeight="true" outlineLevel="0" collapsed="false">
      <c r="Z56" s="8" t="str">
        <f aca="false">IFERROR(VLOOKUP(U56,'IA(정보구조)'!D:E,2,FALSE()),"")</f>
        <v/>
      </c>
      <c r="AA56" s="8" t="str">
        <f aca="false">IFERROR(VLOOKUP(V56,기능명세서!A:B,2,FALSE()),"")</f>
        <v/>
      </c>
      <c r="AB56" s="8" t="str">
        <f aca="false">IFERROR(VLOOKUP(W56,API명세서!A:D,4,FALSE()),"")</f>
        <v/>
      </c>
    </row>
    <row r="57" customFormat="false" ht="15" hidden="false" customHeight="true" outlineLevel="0" collapsed="false">
      <c r="Z57" s="8" t="str">
        <f aca="false">IFERROR(VLOOKUP(U57,'IA(정보구조)'!D:E,2,FALSE()),"")</f>
        <v/>
      </c>
      <c r="AA57" s="8" t="str">
        <f aca="false">IFERROR(VLOOKUP(V57,기능명세서!A:B,2,FALSE()),"")</f>
        <v/>
      </c>
      <c r="AB57" s="8" t="str">
        <f aca="false">IFERROR(VLOOKUP(W57,API명세서!A:D,4,FALSE()),"")</f>
        <v/>
      </c>
    </row>
    <row r="58" customFormat="false" ht="15" hidden="false" customHeight="true" outlineLevel="0" collapsed="false">
      <c r="Z58" s="8" t="str">
        <f aca="false">IFERROR(VLOOKUP(U58,'IA(정보구조)'!D:E,2,FALSE()),"")</f>
        <v/>
      </c>
      <c r="AA58" s="8" t="str">
        <f aca="false">IFERROR(VLOOKUP(V58,기능명세서!A:B,2,FALSE()),"")</f>
        <v/>
      </c>
      <c r="AB58" s="8" t="str">
        <f aca="false">IFERROR(VLOOKUP(W58,API명세서!A:D,4,FALSE()),"")</f>
        <v/>
      </c>
    </row>
    <row r="59" customFormat="false" ht="15" hidden="false" customHeight="true" outlineLevel="0" collapsed="false">
      <c r="Z59" s="8" t="str">
        <f aca="false">IFERROR(VLOOKUP(U59,'IA(정보구조)'!D:E,2,FALSE()),"")</f>
        <v/>
      </c>
      <c r="AA59" s="8" t="str">
        <f aca="false">IFERROR(VLOOKUP(V59,기능명세서!A:B,2,FALSE()),"")</f>
        <v/>
      </c>
      <c r="AB59" s="8" t="str">
        <f aca="false">IFERROR(VLOOKUP(W59,API명세서!A:D,4,FALSE()),"")</f>
        <v/>
      </c>
    </row>
    <row r="60" customFormat="false" ht="15" hidden="false" customHeight="true" outlineLevel="0" collapsed="false">
      <c r="Z60" s="8" t="str">
        <f aca="false">IFERROR(VLOOKUP(U60,'IA(정보구조)'!D:E,2,FALSE()),"")</f>
        <v/>
      </c>
      <c r="AA60" s="8" t="str">
        <f aca="false">IFERROR(VLOOKUP(V60,기능명세서!A:B,2,FALSE()),"")</f>
        <v/>
      </c>
      <c r="AB60" s="8" t="str">
        <f aca="false">IFERROR(VLOOKUP(W60,API명세서!A:D,4,FALSE()),"")</f>
        <v/>
      </c>
    </row>
    <row r="61" customFormat="false" ht="15" hidden="false" customHeight="true" outlineLevel="0" collapsed="false">
      <c r="Z61" s="8" t="str">
        <f aca="false">IFERROR(VLOOKUP(U61,'IA(정보구조)'!D:E,2,FALSE()),"")</f>
        <v/>
      </c>
      <c r="AA61" s="8" t="str">
        <f aca="false">IFERROR(VLOOKUP(V61,기능명세서!A:B,2,FALSE()),"")</f>
        <v/>
      </c>
      <c r="AB61" s="8" t="str">
        <f aca="false">IFERROR(VLOOKUP(W61,API명세서!A:D,4,FALSE()),"")</f>
        <v/>
      </c>
    </row>
    <row r="62" customFormat="false" ht="15" hidden="false" customHeight="true" outlineLevel="0" collapsed="false">
      <c r="Z62" s="8" t="str">
        <f aca="false">IFERROR(VLOOKUP(U62,'IA(정보구조)'!D:E,2,FALSE()),"")</f>
        <v/>
      </c>
      <c r="AA62" s="8" t="str">
        <f aca="false">IFERROR(VLOOKUP(V62,기능명세서!A:B,2,FALSE()),"")</f>
        <v/>
      </c>
      <c r="AB62" s="8" t="str">
        <f aca="false">IFERROR(VLOOKUP(W62,API명세서!A:D,4,FALSE()),"")</f>
        <v/>
      </c>
    </row>
    <row r="63" customFormat="false" ht="15" hidden="false" customHeight="true" outlineLevel="0" collapsed="false">
      <c r="Z63" s="8" t="str">
        <f aca="false">IFERROR(VLOOKUP(U63,'IA(정보구조)'!D:E,2,FALSE()),"")</f>
        <v/>
      </c>
      <c r="AA63" s="8" t="str">
        <f aca="false">IFERROR(VLOOKUP(V63,기능명세서!A:B,2,FALSE()),"")</f>
        <v/>
      </c>
      <c r="AB63" s="8" t="str">
        <f aca="false">IFERROR(VLOOKUP(W63,API명세서!A:D,4,FALSE()),"")</f>
        <v/>
      </c>
    </row>
    <row r="64" customFormat="false" ht="15" hidden="false" customHeight="true" outlineLevel="0" collapsed="false">
      <c r="Z64" s="8" t="str">
        <f aca="false">IFERROR(VLOOKUP(U64,'IA(정보구조)'!D:E,2,FALSE()),"")</f>
        <v/>
      </c>
      <c r="AA64" s="8" t="str">
        <f aca="false">IFERROR(VLOOKUP(V64,기능명세서!A:B,2,FALSE()),"")</f>
        <v/>
      </c>
      <c r="AB64" s="8" t="str">
        <f aca="false">IFERROR(VLOOKUP(W64,API명세서!A:D,4,FALSE()),"")</f>
        <v/>
      </c>
    </row>
    <row r="65" customFormat="false" ht="15" hidden="false" customHeight="true" outlineLevel="0" collapsed="false">
      <c r="Z65" s="8" t="str">
        <f aca="false">IFERROR(VLOOKUP(U65,'IA(정보구조)'!D:E,2,FALSE()),"")</f>
        <v/>
      </c>
      <c r="AA65" s="8" t="str">
        <f aca="false">IFERROR(VLOOKUP(V65,기능명세서!A:B,2,FALSE()),"")</f>
        <v/>
      </c>
      <c r="AB65" s="8" t="str">
        <f aca="false">IFERROR(VLOOKUP(W65,API명세서!A:D,4,FALSE()),"")</f>
        <v/>
      </c>
    </row>
    <row r="66" customFormat="false" ht="15" hidden="false" customHeight="true" outlineLevel="0" collapsed="false">
      <c r="Z66" s="8" t="str">
        <f aca="false">IFERROR(VLOOKUP(U66,'IA(정보구조)'!D:E,2,FALSE()),"")</f>
        <v/>
      </c>
      <c r="AA66" s="8" t="str">
        <f aca="false">IFERROR(VLOOKUP(V66,기능명세서!A:B,2,FALSE()),"")</f>
        <v/>
      </c>
      <c r="AB66" s="8" t="str">
        <f aca="false">IFERROR(VLOOKUP(W66,API명세서!A:D,4,FALSE()),"")</f>
        <v/>
      </c>
    </row>
    <row r="67" customFormat="false" ht="15" hidden="false" customHeight="true" outlineLevel="0" collapsed="false">
      <c r="Z67" s="8" t="str">
        <f aca="false">IFERROR(VLOOKUP(U67,'IA(정보구조)'!D:E,2,FALSE()),"")</f>
        <v/>
      </c>
      <c r="AA67" s="8" t="str">
        <f aca="false">IFERROR(VLOOKUP(V67,기능명세서!A:B,2,FALSE()),"")</f>
        <v/>
      </c>
      <c r="AB67" s="8" t="str">
        <f aca="false">IFERROR(VLOOKUP(W67,API명세서!A:D,4,FALSE()),"")</f>
        <v/>
      </c>
    </row>
    <row r="68" customFormat="false" ht="15" hidden="false" customHeight="true" outlineLevel="0" collapsed="false">
      <c r="Z68" s="8" t="str">
        <f aca="false">IFERROR(VLOOKUP(U68,'IA(정보구조)'!D:E,2,FALSE()),"")</f>
        <v/>
      </c>
      <c r="AA68" s="8" t="str">
        <f aca="false">IFERROR(VLOOKUP(V68,기능명세서!A:B,2,FALSE()),"")</f>
        <v/>
      </c>
      <c r="AB68" s="8" t="str">
        <f aca="false">IFERROR(VLOOKUP(W68,API명세서!A:D,4,FALSE()),"")</f>
        <v/>
      </c>
    </row>
    <row r="69" customFormat="false" ht="15" hidden="false" customHeight="true" outlineLevel="0" collapsed="false">
      <c r="Z69" s="8" t="str">
        <f aca="false">IFERROR(VLOOKUP(U69,'IA(정보구조)'!D:E,2,FALSE()),"")</f>
        <v/>
      </c>
      <c r="AA69" s="8" t="str">
        <f aca="false">IFERROR(VLOOKUP(V69,기능명세서!A:B,2,FALSE()),"")</f>
        <v/>
      </c>
      <c r="AB69" s="8" t="str">
        <f aca="false">IFERROR(VLOOKUP(W69,API명세서!A:D,4,FALSE()),"")</f>
        <v/>
      </c>
    </row>
    <row r="70" customFormat="false" ht="15" hidden="false" customHeight="true" outlineLevel="0" collapsed="false">
      <c r="Z70" s="8" t="str">
        <f aca="false">IFERROR(VLOOKUP(U70,'IA(정보구조)'!D:E,2,FALSE()),"")</f>
        <v/>
      </c>
      <c r="AA70" s="8" t="str">
        <f aca="false">IFERROR(VLOOKUP(V70,기능명세서!A:B,2,FALSE()),"")</f>
        <v/>
      </c>
      <c r="AB70" s="8" t="str">
        <f aca="false">IFERROR(VLOOKUP(W70,API명세서!A:D,4,FALSE()),"")</f>
        <v/>
      </c>
    </row>
    <row r="71" customFormat="false" ht="15" hidden="false" customHeight="true" outlineLevel="0" collapsed="false">
      <c r="Z71" s="8" t="str">
        <f aca="false">IFERROR(VLOOKUP(U71,'IA(정보구조)'!D:E,2,FALSE()),"")</f>
        <v/>
      </c>
      <c r="AA71" s="8" t="str">
        <f aca="false">IFERROR(VLOOKUP(V71,기능명세서!A:B,2,FALSE()),"")</f>
        <v/>
      </c>
      <c r="AB71" s="8" t="str">
        <f aca="false">IFERROR(VLOOKUP(W71,API명세서!A:D,4,FALSE()),"")</f>
        <v/>
      </c>
    </row>
    <row r="72" customFormat="false" ht="15" hidden="false" customHeight="true" outlineLevel="0" collapsed="false">
      <c r="Z72" s="8" t="str">
        <f aca="false">IFERROR(VLOOKUP(U72,'IA(정보구조)'!D:E,2,FALSE()),"")</f>
        <v/>
      </c>
      <c r="AA72" s="8" t="str">
        <f aca="false">IFERROR(VLOOKUP(V72,기능명세서!A:B,2,FALSE()),"")</f>
        <v/>
      </c>
      <c r="AB72" s="8" t="str">
        <f aca="false">IFERROR(VLOOKUP(W72,API명세서!A:D,4,FALSE()),"")</f>
        <v/>
      </c>
    </row>
    <row r="73" customFormat="false" ht="15" hidden="false" customHeight="true" outlineLevel="0" collapsed="false">
      <c r="Z73" s="8" t="str">
        <f aca="false">IFERROR(VLOOKUP(U73,'IA(정보구조)'!D:E,2,FALSE()),"")</f>
        <v/>
      </c>
      <c r="AA73" s="8" t="str">
        <f aca="false">IFERROR(VLOOKUP(V73,기능명세서!A:B,2,FALSE()),"")</f>
        <v/>
      </c>
      <c r="AB73" s="8" t="str">
        <f aca="false">IFERROR(VLOOKUP(W73,API명세서!A:D,4,FALSE()),"")</f>
        <v/>
      </c>
    </row>
    <row r="74" customFormat="false" ht="15" hidden="false" customHeight="true" outlineLevel="0" collapsed="false">
      <c r="Z74" s="8" t="str">
        <f aca="false">IFERROR(VLOOKUP(U74,'IA(정보구조)'!D:E,2,FALSE()),"")</f>
        <v/>
      </c>
      <c r="AA74" s="8" t="str">
        <f aca="false">IFERROR(VLOOKUP(V74,기능명세서!A:B,2,FALSE()),"")</f>
        <v/>
      </c>
      <c r="AB74" s="8" t="str">
        <f aca="false">IFERROR(VLOOKUP(W74,API명세서!A:D,4,FALSE()),"")</f>
        <v/>
      </c>
    </row>
    <row r="75" customFormat="false" ht="15" hidden="false" customHeight="true" outlineLevel="0" collapsed="false">
      <c r="Z75" s="8" t="str">
        <f aca="false">IFERROR(VLOOKUP(U75,'IA(정보구조)'!D:E,2,FALSE()),"")</f>
        <v/>
      </c>
      <c r="AA75" s="8" t="str">
        <f aca="false">IFERROR(VLOOKUP(V75,기능명세서!A:B,2,FALSE()),"")</f>
        <v/>
      </c>
      <c r="AB75" s="8" t="str">
        <f aca="false">IFERROR(VLOOKUP(W75,API명세서!A:D,4,FALSE()),"")</f>
        <v/>
      </c>
    </row>
    <row r="76" customFormat="false" ht="15" hidden="false" customHeight="true" outlineLevel="0" collapsed="false">
      <c r="Z76" s="8" t="str">
        <f aca="false">IFERROR(VLOOKUP(U76,'IA(정보구조)'!D:E,2,FALSE()),"")</f>
        <v/>
      </c>
      <c r="AA76" s="8" t="str">
        <f aca="false">IFERROR(VLOOKUP(V76,기능명세서!A:B,2,FALSE()),"")</f>
        <v/>
      </c>
      <c r="AB76" s="8" t="str">
        <f aca="false">IFERROR(VLOOKUP(W76,API명세서!A:D,4,FALSE()),"")</f>
        <v/>
      </c>
    </row>
    <row r="77" customFormat="false" ht="15" hidden="false" customHeight="true" outlineLevel="0" collapsed="false">
      <c r="Z77" s="8" t="str">
        <f aca="false">IFERROR(VLOOKUP(U77,'IA(정보구조)'!D:E,2,FALSE()),"")</f>
        <v/>
      </c>
      <c r="AA77" s="8" t="str">
        <f aca="false">IFERROR(VLOOKUP(V77,기능명세서!A:B,2,FALSE()),"")</f>
        <v/>
      </c>
      <c r="AB77" s="8" t="str">
        <f aca="false">IFERROR(VLOOKUP(W77,API명세서!A:D,4,FALSE()),"")</f>
        <v/>
      </c>
    </row>
    <row r="78" customFormat="false" ht="15" hidden="false" customHeight="true" outlineLevel="0" collapsed="false">
      <c r="Z78" s="8" t="str">
        <f aca="false">IFERROR(VLOOKUP(U78,'IA(정보구조)'!D:E,2,FALSE()),"")</f>
        <v/>
      </c>
      <c r="AA78" s="8" t="str">
        <f aca="false">IFERROR(VLOOKUP(V78,기능명세서!A:B,2,FALSE()),"")</f>
        <v/>
      </c>
      <c r="AB78" s="8" t="str">
        <f aca="false">IFERROR(VLOOKUP(W78,API명세서!A:D,4,FALSE()),"")</f>
        <v/>
      </c>
    </row>
    <row r="79" customFormat="false" ht="15" hidden="false" customHeight="true" outlineLevel="0" collapsed="false">
      <c r="Z79" s="8" t="str">
        <f aca="false">IFERROR(VLOOKUP(U79,'IA(정보구조)'!D:E,2,FALSE()),"")</f>
        <v/>
      </c>
      <c r="AA79" s="8" t="str">
        <f aca="false">IFERROR(VLOOKUP(V79,기능명세서!A:B,2,FALSE()),"")</f>
        <v/>
      </c>
      <c r="AB79" s="8" t="str">
        <f aca="false">IFERROR(VLOOKUP(W79,API명세서!A:D,4,FALSE()),"")</f>
        <v/>
      </c>
    </row>
    <row r="80" customFormat="false" ht="15" hidden="false" customHeight="true" outlineLevel="0" collapsed="false">
      <c r="Z80" s="8" t="str">
        <f aca="false">IFERROR(VLOOKUP(U80,'IA(정보구조)'!D:E,2,FALSE()),"")</f>
        <v/>
      </c>
      <c r="AA80" s="8" t="str">
        <f aca="false">IFERROR(VLOOKUP(V80,기능명세서!A:B,2,FALSE()),"")</f>
        <v/>
      </c>
      <c r="AB80" s="8" t="str">
        <f aca="false">IFERROR(VLOOKUP(W80,API명세서!A:D,4,FALSE()),"")</f>
        <v/>
      </c>
    </row>
    <row r="81" customFormat="false" ht="15" hidden="false" customHeight="true" outlineLevel="0" collapsed="false">
      <c r="Z81" s="8" t="str">
        <f aca="false">IFERROR(VLOOKUP(U81,'IA(정보구조)'!D:E,2,FALSE()),"")</f>
        <v/>
      </c>
      <c r="AA81" s="8" t="str">
        <f aca="false">IFERROR(VLOOKUP(V81,기능명세서!A:B,2,FALSE()),"")</f>
        <v/>
      </c>
      <c r="AB81" s="8" t="str">
        <f aca="false">IFERROR(VLOOKUP(W81,API명세서!A:D,4,FALSE()),"")</f>
        <v/>
      </c>
    </row>
    <row r="82" customFormat="false" ht="15" hidden="false" customHeight="true" outlineLevel="0" collapsed="false">
      <c r="Z82" s="8" t="str">
        <f aca="false">IFERROR(VLOOKUP(U82,'IA(정보구조)'!D:E,2,FALSE()),"")</f>
        <v/>
      </c>
      <c r="AA82" s="8" t="str">
        <f aca="false">IFERROR(VLOOKUP(V82,기능명세서!A:B,2,FALSE()),"")</f>
        <v/>
      </c>
      <c r="AB82" s="8" t="str">
        <f aca="false">IFERROR(VLOOKUP(W82,API명세서!A:D,4,FALSE()),"")</f>
        <v/>
      </c>
    </row>
    <row r="83" customFormat="false" ht="15" hidden="false" customHeight="true" outlineLevel="0" collapsed="false">
      <c r="Z83" s="8" t="str">
        <f aca="false">IFERROR(VLOOKUP(U83,'IA(정보구조)'!D:E,2,FALSE()),"")</f>
        <v/>
      </c>
      <c r="AA83" s="8" t="str">
        <f aca="false">IFERROR(VLOOKUP(V83,기능명세서!A:B,2,FALSE()),"")</f>
        <v/>
      </c>
      <c r="AB83" s="8" t="str">
        <f aca="false">IFERROR(VLOOKUP(W83,API명세서!A:D,4,FALSE()),"")</f>
        <v/>
      </c>
    </row>
    <row r="84" customFormat="false" ht="15" hidden="false" customHeight="true" outlineLevel="0" collapsed="false">
      <c r="Z84" s="8" t="str">
        <f aca="false">IFERROR(VLOOKUP(U84,'IA(정보구조)'!D:E,2,FALSE()),"")</f>
        <v/>
      </c>
      <c r="AA84" s="8" t="str">
        <f aca="false">IFERROR(VLOOKUP(V84,기능명세서!A:B,2,FALSE()),"")</f>
        <v/>
      </c>
      <c r="AB84" s="8" t="str">
        <f aca="false">IFERROR(VLOOKUP(W84,API명세서!A:D,4,FALSE()),"")</f>
        <v/>
      </c>
    </row>
    <row r="85" customFormat="false" ht="15" hidden="false" customHeight="true" outlineLevel="0" collapsed="false">
      <c r="Z85" s="8" t="str">
        <f aca="false">IFERROR(VLOOKUP(U85,'IA(정보구조)'!D:E,2,FALSE()),"")</f>
        <v/>
      </c>
      <c r="AA85" s="8" t="str">
        <f aca="false">IFERROR(VLOOKUP(V85,기능명세서!A:B,2,FALSE()),"")</f>
        <v/>
      </c>
      <c r="AB85" s="8" t="str">
        <f aca="false">IFERROR(VLOOKUP(W85,API명세서!A:D,4,FALSE()),"")</f>
        <v/>
      </c>
    </row>
    <row r="86" customFormat="false" ht="15" hidden="false" customHeight="true" outlineLevel="0" collapsed="false">
      <c r="Z86" s="8" t="str">
        <f aca="false">IFERROR(VLOOKUP(U86,'IA(정보구조)'!D:E,2,FALSE()),"")</f>
        <v/>
      </c>
      <c r="AA86" s="8" t="str">
        <f aca="false">IFERROR(VLOOKUP(V86,기능명세서!A:B,2,FALSE()),"")</f>
        <v/>
      </c>
      <c r="AB86" s="8" t="str">
        <f aca="false">IFERROR(VLOOKUP(W86,API명세서!A:D,4,FALSE()),"")</f>
        <v/>
      </c>
    </row>
    <row r="87" customFormat="false" ht="15" hidden="false" customHeight="true" outlineLevel="0" collapsed="false">
      <c r="Z87" s="8" t="str">
        <f aca="false">IFERROR(VLOOKUP(U87,'IA(정보구조)'!D:E,2,FALSE()),"")</f>
        <v/>
      </c>
      <c r="AA87" s="8" t="str">
        <f aca="false">IFERROR(VLOOKUP(V87,기능명세서!A:B,2,FALSE()),"")</f>
        <v/>
      </c>
      <c r="AB87" s="8" t="str">
        <f aca="false">IFERROR(VLOOKUP(W87,API명세서!A:D,4,FALSE()),"")</f>
        <v/>
      </c>
    </row>
    <row r="88" customFormat="false" ht="15" hidden="false" customHeight="true" outlineLevel="0" collapsed="false">
      <c r="Z88" s="8" t="str">
        <f aca="false">IFERROR(VLOOKUP(U88,'IA(정보구조)'!D:E,2,FALSE()),"")</f>
        <v/>
      </c>
      <c r="AA88" s="8" t="str">
        <f aca="false">IFERROR(VLOOKUP(V88,기능명세서!A:B,2,FALSE()),"")</f>
        <v/>
      </c>
      <c r="AB88" s="8" t="str">
        <f aca="false">IFERROR(VLOOKUP(W88,API명세서!A:D,4,FALSE()),"")</f>
        <v/>
      </c>
    </row>
    <row r="89" customFormat="false" ht="15" hidden="false" customHeight="true" outlineLevel="0" collapsed="false">
      <c r="Z89" s="8" t="str">
        <f aca="false">IFERROR(VLOOKUP(U89,'IA(정보구조)'!D:E,2,FALSE()),"")</f>
        <v/>
      </c>
      <c r="AA89" s="8" t="str">
        <f aca="false">IFERROR(VLOOKUP(V89,기능명세서!A:B,2,FALSE()),"")</f>
        <v/>
      </c>
      <c r="AB89" s="8" t="str">
        <f aca="false">IFERROR(VLOOKUP(W89,API명세서!A:D,4,FALSE()),"")</f>
        <v/>
      </c>
    </row>
    <row r="90" customFormat="false" ht="15" hidden="false" customHeight="true" outlineLevel="0" collapsed="false">
      <c r="Z90" s="8" t="str">
        <f aca="false">IFERROR(VLOOKUP(U90,'IA(정보구조)'!D:E,2,FALSE()),"")</f>
        <v/>
      </c>
      <c r="AA90" s="8" t="str">
        <f aca="false">IFERROR(VLOOKUP(V90,기능명세서!A:B,2,FALSE()),"")</f>
        <v/>
      </c>
      <c r="AB90" s="8" t="str">
        <f aca="false">IFERROR(VLOOKUP(W90,API명세서!A:D,4,FALSE()),"")</f>
        <v/>
      </c>
    </row>
    <row r="91" customFormat="false" ht="15" hidden="false" customHeight="true" outlineLevel="0" collapsed="false">
      <c r="Z91" s="8" t="str">
        <f aca="false">IFERROR(VLOOKUP(U91,'IA(정보구조)'!D:E,2,FALSE()),"")</f>
        <v/>
      </c>
      <c r="AA91" s="8" t="str">
        <f aca="false">IFERROR(VLOOKUP(V91,기능명세서!A:B,2,FALSE()),"")</f>
        <v/>
      </c>
      <c r="AB91" s="8" t="str">
        <f aca="false">IFERROR(VLOOKUP(W91,API명세서!A:D,4,FALSE()),"")</f>
        <v/>
      </c>
    </row>
    <row r="92" customFormat="false" ht="15" hidden="false" customHeight="true" outlineLevel="0" collapsed="false">
      <c r="Z92" s="8" t="str">
        <f aca="false">IFERROR(VLOOKUP(U92,'IA(정보구조)'!D:E,2,FALSE()),"")</f>
        <v/>
      </c>
      <c r="AA92" s="8" t="str">
        <f aca="false">IFERROR(VLOOKUP(V92,기능명세서!A:B,2,FALSE()),"")</f>
        <v/>
      </c>
      <c r="AB92" s="8" t="str">
        <f aca="false">IFERROR(VLOOKUP(W92,API명세서!A:D,4,FALSE()),"")</f>
        <v/>
      </c>
    </row>
    <row r="93" customFormat="false" ht="15" hidden="false" customHeight="true" outlineLevel="0" collapsed="false">
      <c r="Z93" s="8" t="str">
        <f aca="false">IFERROR(VLOOKUP(U93,'IA(정보구조)'!D:E,2,FALSE()),"")</f>
        <v/>
      </c>
      <c r="AA93" s="8" t="str">
        <f aca="false">IFERROR(VLOOKUP(V93,기능명세서!A:B,2,FALSE()),"")</f>
        <v/>
      </c>
      <c r="AB93" s="8" t="str">
        <f aca="false">IFERROR(VLOOKUP(W93,API명세서!A:D,4,FALSE()),"")</f>
        <v/>
      </c>
    </row>
    <row r="94" customFormat="false" ht="15" hidden="false" customHeight="true" outlineLevel="0" collapsed="false">
      <c r="Z94" s="8" t="str">
        <f aca="false">IFERROR(VLOOKUP(U94,'IA(정보구조)'!D:E,2,FALSE()),"")</f>
        <v/>
      </c>
      <c r="AA94" s="8" t="str">
        <f aca="false">IFERROR(VLOOKUP(V94,기능명세서!A:B,2,FALSE()),"")</f>
        <v/>
      </c>
      <c r="AB94" s="8" t="str">
        <f aca="false">IFERROR(VLOOKUP(W94,API명세서!A:D,4,FALSE()),"")</f>
        <v/>
      </c>
    </row>
    <row r="95" customFormat="false" ht="15" hidden="false" customHeight="true" outlineLevel="0" collapsed="false">
      <c r="Z95" s="8" t="str">
        <f aca="false">IFERROR(VLOOKUP(U95,'IA(정보구조)'!D:E,2,FALSE()),"")</f>
        <v/>
      </c>
      <c r="AA95" s="8" t="str">
        <f aca="false">IFERROR(VLOOKUP(V95,기능명세서!A:B,2,FALSE()),"")</f>
        <v/>
      </c>
      <c r="AB95" s="8" t="str">
        <f aca="false">IFERROR(VLOOKUP(W95,API명세서!A:D,4,FALSE()),"")</f>
        <v/>
      </c>
    </row>
    <row r="96" customFormat="false" ht="15" hidden="false" customHeight="true" outlineLevel="0" collapsed="false">
      <c r="Z96" s="8" t="str">
        <f aca="false">IFERROR(VLOOKUP(U96,'IA(정보구조)'!D:E,2,FALSE()),"")</f>
        <v/>
      </c>
      <c r="AA96" s="8" t="str">
        <f aca="false">IFERROR(VLOOKUP(V96,기능명세서!A:B,2,FALSE()),"")</f>
        <v/>
      </c>
      <c r="AB96" s="8" t="str">
        <f aca="false">IFERROR(VLOOKUP(W96,API명세서!A:D,4,FALSE()),"")</f>
        <v/>
      </c>
    </row>
    <row r="97" customFormat="false" ht="15" hidden="false" customHeight="true" outlineLevel="0" collapsed="false">
      <c r="Z97" s="8" t="str">
        <f aca="false">IFERROR(VLOOKUP(U97,'IA(정보구조)'!D:E,2,FALSE()),"")</f>
        <v/>
      </c>
      <c r="AA97" s="8" t="str">
        <f aca="false">IFERROR(VLOOKUP(V97,기능명세서!A:B,2,FALSE()),"")</f>
        <v/>
      </c>
      <c r="AB97" s="8" t="str">
        <f aca="false">IFERROR(VLOOKUP(W97,API명세서!A:D,4,FALSE()),"")</f>
        <v/>
      </c>
    </row>
    <row r="98" customFormat="false" ht="15" hidden="false" customHeight="true" outlineLevel="0" collapsed="false">
      <c r="Z98" s="8" t="str">
        <f aca="false">IFERROR(VLOOKUP(U98,'IA(정보구조)'!D:E,2,FALSE()),"")</f>
        <v/>
      </c>
      <c r="AA98" s="8" t="str">
        <f aca="false">IFERROR(VLOOKUP(V98,기능명세서!A:B,2,FALSE()),"")</f>
        <v/>
      </c>
      <c r="AB98" s="8" t="str">
        <f aca="false">IFERROR(VLOOKUP(W98,API명세서!A:D,4,FALSE()),"")</f>
        <v/>
      </c>
    </row>
    <row r="99" customFormat="false" ht="15" hidden="false" customHeight="true" outlineLevel="0" collapsed="false">
      <c r="Z99" s="8" t="str">
        <f aca="false">IFERROR(VLOOKUP(U99,'IA(정보구조)'!D:E,2,FALSE()),"")</f>
        <v/>
      </c>
      <c r="AA99" s="8" t="str">
        <f aca="false">IFERROR(VLOOKUP(V99,기능명세서!A:B,2,FALSE()),"")</f>
        <v/>
      </c>
      <c r="AB99" s="8" t="str">
        <f aca="false">IFERROR(VLOOKUP(W99,API명세서!A:D,4,FALSE()),"")</f>
        <v/>
      </c>
    </row>
    <row r="100" customFormat="false" ht="15" hidden="false" customHeight="true" outlineLevel="0" collapsed="false">
      <c r="Z100" s="8" t="str">
        <f aca="false">IFERROR(VLOOKUP(U100,'IA(정보구조)'!D:E,2,FALSE()),"")</f>
        <v/>
      </c>
      <c r="AA100" s="8" t="str">
        <f aca="false">IFERROR(VLOOKUP(V100,기능명세서!A:B,2,FALSE()),"")</f>
        <v/>
      </c>
      <c r="AB100" s="8" t="str">
        <f aca="false">IFERROR(VLOOKUP(W100,API명세서!A:D,4,FALSE()),"")</f>
        <v/>
      </c>
    </row>
    <row r="101" customFormat="false" ht="15" hidden="false" customHeight="true" outlineLevel="0" collapsed="false">
      <c r="Z101" s="8" t="str">
        <f aca="false">IFERROR(VLOOKUP(U101,'IA(정보구조)'!D:E,2,FALSE()),"")</f>
        <v/>
      </c>
      <c r="AA101" s="8" t="str">
        <f aca="false">IFERROR(VLOOKUP(V101,기능명세서!A:B,2,FALSE()),"")</f>
        <v/>
      </c>
      <c r="AB101" s="8" t="str">
        <f aca="false">IFERROR(VLOOKUP(W101,API명세서!A:D,4,FALSE()),"")</f>
        <v/>
      </c>
    </row>
    <row r="102" customFormat="false" ht="15" hidden="false" customHeight="true" outlineLevel="0" collapsed="false">
      <c r="Z102" s="8" t="str">
        <f aca="false">IFERROR(VLOOKUP(U102,'IA(정보구조)'!D:E,2,FALSE()),"")</f>
        <v/>
      </c>
      <c r="AA102" s="8" t="str">
        <f aca="false">IFERROR(VLOOKUP(V102,기능명세서!A:B,2,FALSE()),"")</f>
        <v/>
      </c>
      <c r="AB102" s="8" t="str">
        <f aca="false">IFERROR(VLOOKUP(W102,API명세서!A:D,4,FALSE()),"")</f>
        <v/>
      </c>
    </row>
    <row r="103" customFormat="false" ht="15" hidden="false" customHeight="true" outlineLevel="0" collapsed="false">
      <c r="Z103" s="8" t="str">
        <f aca="false">IFERROR(VLOOKUP(U103,'IA(정보구조)'!D:E,2,FALSE()),"")</f>
        <v/>
      </c>
      <c r="AA103" s="8" t="str">
        <f aca="false">IFERROR(VLOOKUP(V103,기능명세서!A:B,2,FALSE()),"")</f>
        <v/>
      </c>
      <c r="AB103" s="8" t="str">
        <f aca="false">IFERROR(VLOOKUP(W103,API명세서!A:D,4,FALSE()),"")</f>
        <v/>
      </c>
    </row>
    <row r="104" customFormat="false" ht="15" hidden="false" customHeight="true" outlineLevel="0" collapsed="false">
      <c r="Z104" s="8" t="str">
        <f aca="false">IFERROR(VLOOKUP(U104,'IA(정보구조)'!D:E,2,FALSE()),"")</f>
        <v/>
      </c>
      <c r="AA104" s="8" t="str">
        <f aca="false">IFERROR(VLOOKUP(V104,기능명세서!A:B,2,FALSE()),"")</f>
        <v/>
      </c>
      <c r="AB104" s="8" t="str">
        <f aca="false">IFERROR(VLOOKUP(W104,API명세서!A:D,4,FALSE()),"")</f>
        <v/>
      </c>
    </row>
    <row r="105" customFormat="false" ht="15" hidden="false" customHeight="true" outlineLevel="0" collapsed="false">
      <c r="Z105" s="8" t="str">
        <f aca="false">IFERROR(VLOOKUP(U105,'IA(정보구조)'!D:E,2,FALSE()),"")</f>
        <v/>
      </c>
      <c r="AA105" s="8" t="str">
        <f aca="false">IFERROR(VLOOKUP(V105,기능명세서!A:B,2,FALSE()),"")</f>
        <v/>
      </c>
      <c r="AB105" s="8" t="str">
        <f aca="false">IFERROR(VLOOKUP(W105,API명세서!A:D,4,FALSE()),"")</f>
        <v/>
      </c>
    </row>
    <row r="106" customFormat="false" ht="15" hidden="false" customHeight="true" outlineLevel="0" collapsed="false">
      <c r="Z106" s="8" t="str">
        <f aca="false">IFERROR(VLOOKUP(U106,'IA(정보구조)'!D:E,2,FALSE()),"")</f>
        <v/>
      </c>
      <c r="AA106" s="8" t="str">
        <f aca="false">IFERROR(VLOOKUP(V106,기능명세서!A:B,2,FALSE()),"")</f>
        <v/>
      </c>
      <c r="AB106" s="8" t="str">
        <f aca="false">IFERROR(VLOOKUP(W106,API명세서!A:D,4,FALSE()),"")</f>
        <v/>
      </c>
    </row>
    <row r="107" customFormat="false" ht="15" hidden="false" customHeight="true" outlineLevel="0" collapsed="false">
      <c r="Z107" s="8" t="str">
        <f aca="false">IFERROR(VLOOKUP(U107,'IA(정보구조)'!D:E,2,FALSE()),"")</f>
        <v/>
      </c>
      <c r="AA107" s="8" t="str">
        <f aca="false">IFERROR(VLOOKUP(V107,기능명세서!A:B,2,FALSE()),"")</f>
        <v/>
      </c>
      <c r="AB107" s="8" t="str">
        <f aca="false">IFERROR(VLOOKUP(W107,API명세서!A:D,4,FALSE()),"")</f>
        <v/>
      </c>
    </row>
    <row r="108" customFormat="false" ht="15" hidden="false" customHeight="true" outlineLevel="0" collapsed="false">
      <c r="Z108" s="8" t="str">
        <f aca="false">IFERROR(VLOOKUP(U108,'IA(정보구조)'!D:E,2,FALSE()),"")</f>
        <v/>
      </c>
      <c r="AA108" s="8" t="str">
        <f aca="false">IFERROR(VLOOKUP(V108,기능명세서!A:B,2,FALSE()),"")</f>
        <v/>
      </c>
      <c r="AB108" s="8" t="str">
        <f aca="false">IFERROR(VLOOKUP(W108,API명세서!A:D,4,FALSE()),"")</f>
        <v/>
      </c>
    </row>
    <row r="109" customFormat="false" ht="15" hidden="false" customHeight="true" outlineLevel="0" collapsed="false">
      <c r="Z109" s="8" t="str">
        <f aca="false">IFERROR(VLOOKUP(U109,'IA(정보구조)'!D:E,2,FALSE()),"")</f>
        <v/>
      </c>
      <c r="AA109" s="8" t="str">
        <f aca="false">IFERROR(VLOOKUP(V109,기능명세서!A:B,2,FALSE()),"")</f>
        <v/>
      </c>
      <c r="AB109" s="8" t="str">
        <f aca="false">IFERROR(VLOOKUP(W109,API명세서!A:D,4,FALSE()),"")</f>
        <v/>
      </c>
    </row>
    <row r="110" customFormat="false" ht="15" hidden="false" customHeight="true" outlineLevel="0" collapsed="false">
      <c r="Z110" s="8" t="str">
        <f aca="false">IFERROR(VLOOKUP(U110,'IA(정보구조)'!D:E,2,FALSE()),"")</f>
        <v/>
      </c>
      <c r="AA110" s="8" t="str">
        <f aca="false">IFERROR(VLOOKUP(V110,기능명세서!A:B,2,FALSE()),"")</f>
        <v/>
      </c>
      <c r="AB110" s="8" t="str">
        <f aca="false">IFERROR(VLOOKUP(W110,API명세서!A:D,4,FALSE()),"")</f>
        <v/>
      </c>
    </row>
    <row r="111" customFormat="false" ht="15" hidden="false" customHeight="true" outlineLevel="0" collapsed="false">
      <c r="Z111" s="8" t="str">
        <f aca="false">IFERROR(VLOOKUP(U111,'IA(정보구조)'!D:E,2,FALSE()),"")</f>
        <v/>
      </c>
      <c r="AA111" s="8" t="str">
        <f aca="false">IFERROR(VLOOKUP(V111,기능명세서!A:B,2,FALSE()),"")</f>
        <v/>
      </c>
      <c r="AB111" s="8" t="str">
        <f aca="false">IFERROR(VLOOKUP(W111,API명세서!A:D,4,FALSE()),"")</f>
        <v/>
      </c>
    </row>
    <row r="112" customFormat="false" ht="15" hidden="false" customHeight="true" outlineLevel="0" collapsed="false">
      <c r="Z112" s="8" t="str">
        <f aca="false">IFERROR(VLOOKUP(U112,'IA(정보구조)'!D:E,2,FALSE()),"")</f>
        <v/>
      </c>
      <c r="AA112" s="8" t="str">
        <f aca="false">IFERROR(VLOOKUP(V112,기능명세서!A:B,2,FALSE()),"")</f>
        <v/>
      </c>
      <c r="AB112" s="8" t="str">
        <f aca="false">IFERROR(VLOOKUP(W112,API명세서!A:D,4,FALSE()),"")</f>
        <v/>
      </c>
    </row>
    <row r="113" customFormat="false" ht="15" hidden="false" customHeight="true" outlineLevel="0" collapsed="false">
      <c r="Z113" s="8" t="str">
        <f aca="false">IFERROR(VLOOKUP(U113,'IA(정보구조)'!D:E,2,FALSE()),"")</f>
        <v/>
      </c>
      <c r="AA113" s="8" t="str">
        <f aca="false">IFERROR(VLOOKUP(V113,기능명세서!A:B,2,FALSE()),"")</f>
        <v/>
      </c>
      <c r="AB113" s="8" t="str">
        <f aca="false">IFERROR(VLOOKUP(W113,API명세서!A:D,4,FALSE()),"")</f>
        <v/>
      </c>
    </row>
    <row r="114" customFormat="false" ht="15" hidden="false" customHeight="true" outlineLevel="0" collapsed="false">
      <c r="Z114" s="8" t="str">
        <f aca="false">IFERROR(VLOOKUP(U114,'IA(정보구조)'!D:E,2,FALSE()),"")</f>
        <v/>
      </c>
      <c r="AA114" s="8" t="str">
        <f aca="false">IFERROR(VLOOKUP(V114,기능명세서!A:B,2,FALSE()),"")</f>
        <v/>
      </c>
      <c r="AB114" s="8" t="str">
        <f aca="false">IFERROR(VLOOKUP(W114,API명세서!A:D,4,FALSE()),"")</f>
        <v/>
      </c>
    </row>
    <row r="115" customFormat="false" ht="15" hidden="false" customHeight="true" outlineLevel="0" collapsed="false">
      <c r="Z115" s="8" t="str">
        <f aca="false">IFERROR(VLOOKUP(U115,'IA(정보구조)'!D:E,2,FALSE()),"")</f>
        <v/>
      </c>
      <c r="AA115" s="8" t="str">
        <f aca="false">IFERROR(VLOOKUP(V115,기능명세서!A:B,2,FALSE()),"")</f>
        <v/>
      </c>
      <c r="AB115" s="8" t="str">
        <f aca="false">IFERROR(VLOOKUP(W115,API명세서!A:D,4,FALSE()),"")</f>
        <v/>
      </c>
    </row>
    <row r="116" customFormat="false" ht="15" hidden="false" customHeight="true" outlineLevel="0" collapsed="false">
      <c r="Z116" s="8" t="str">
        <f aca="false">IFERROR(VLOOKUP(U116,'IA(정보구조)'!D:E,2,FALSE()),"")</f>
        <v/>
      </c>
      <c r="AA116" s="8" t="str">
        <f aca="false">IFERROR(VLOOKUP(V116,기능명세서!A:B,2,FALSE()),"")</f>
        <v/>
      </c>
      <c r="AB116" s="8" t="str">
        <f aca="false">IFERROR(VLOOKUP(W116,API명세서!A:D,4,FALSE()),"")</f>
        <v/>
      </c>
    </row>
    <row r="117" customFormat="false" ht="15" hidden="false" customHeight="true" outlineLevel="0" collapsed="false">
      <c r="Z117" s="8" t="str">
        <f aca="false">IFERROR(VLOOKUP(U117,'IA(정보구조)'!D:E,2,FALSE()),"")</f>
        <v/>
      </c>
      <c r="AA117" s="8" t="str">
        <f aca="false">IFERROR(VLOOKUP(V117,기능명세서!A:B,2,FALSE()),"")</f>
        <v/>
      </c>
      <c r="AB117" s="8" t="str">
        <f aca="false">IFERROR(VLOOKUP(W117,API명세서!A:D,4,FALSE()),"")</f>
        <v/>
      </c>
    </row>
    <row r="118" customFormat="false" ht="15" hidden="false" customHeight="true" outlineLevel="0" collapsed="false">
      <c r="Z118" s="8" t="str">
        <f aca="false">IFERROR(VLOOKUP(U118,'IA(정보구조)'!D:E,2,FALSE()),"")</f>
        <v/>
      </c>
      <c r="AA118" s="8" t="str">
        <f aca="false">IFERROR(VLOOKUP(V118,기능명세서!A:B,2,FALSE()),"")</f>
        <v/>
      </c>
      <c r="AB118" s="8" t="str">
        <f aca="false">IFERROR(VLOOKUP(W118,API명세서!A:D,4,FALSE()),"")</f>
        <v/>
      </c>
    </row>
    <row r="119" customFormat="false" ht="15" hidden="false" customHeight="true" outlineLevel="0" collapsed="false">
      <c r="Z119" s="8" t="str">
        <f aca="false">IFERROR(VLOOKUP(U119,'IA(정보구조)'!D:E,2,FALSE()),"")</f>
        <v/>
      </c>
      <c r="AA119" s="8" t="str">
        <f aca="false">IFERROR(VLOOKUP(V119,기능명세서!A:B,2,FALSE()),"")</f>
        <v/>
      </c>
      <c r="AB119" s="8" t="str">
        <f aca="false">IFERROR(VLOOKUP(W119,API명세서!A:D,4,FALSE()),"")</f>
        <v/>
      </c>
    </row>
    <row r="120" customFormat="false" ht="15" hidden="false" customHeight="true" outlineLevel="0" collapsed="false">
      <c r="Z120" s="8" t="str">
        <f aca="false">IFERROR(VLOOKUP(U120,'IA(정보구조)'!D:E,2,FALSE()),"")</f>
        <v/>
      </c>
      <c r="AA120" s="8" t="str">
        <f aca="false">IFERROR(VLOOKUP(V120,기능명세서!A:B,2,FALSE()),"")</f>
        <v/>
      </c>
      <c r="AB120" s="8" t="str">
        <f aca="false">IFERROR(VLOOKUP(W120,API명세서!A:D,4,FALSE()),"")</f>
        <v/>
      </c>
    </row>
    <row r="121" customFormat="false" ht="15" hidden="false" customHeight="true" outlineLevel="0" collapsed="false">
      <c r="Z121" s="8" t="str">
        <f aca="false">IFERROR(VLOOKUP(U121,'IA(정보구조)'!D:E,2,FALSE()),"")</f>
        <v/>
      </c>
      <c r="AA121" s="8" t="str">
        <f aca="false">IFERROR(VLOOKUP(V121,기능명세서!A:B,2,FALSE()),"")</f>
        <v/>
      </c>
      <c r="AB121" s="8" t="str">
        <f aca="false">IFERROR(VLOOKUP(W121,API명세서!A:D,4,FALSE()),"")</f>
        <v/>
      </c>
    </row>
    <row r="122" customFormat="false" ht="15" hidden="false" customHeight="true" outlineLevel="0" collapsed="false">
      <c r="Z122" s="8" t="str">
        <f aca="false">IFERROR(VLOOKUP(U122,'IA(정보구조)'!D:E,2,FALSE()),"")</f>
        <v/>
      </c>
      <c r="AA122" s="8" t="str">
        <f aca="false">IFERROR(VLOOKUP(V122,기능명세서!A:B,2,FALSE()),"")</f>
        <v/>
      </c>
      <c r="AB122" s="8" t="str">
        <f aca="false">IFERROR(VLOOKUP(W122,API명세서!A:D,4,FALSE()),"")</f>
        <v/>
      </c>
    </row>
    <row r="123" customFormat="false" ht="15" hidden="false" customHeight="true" outlineLevel="0" collapsed="false">
      <c r="Z123" s="8" t="str">
        <f aca="false">IFERROR(VLOOKUP(U123,'IA(정보구조)'!D:E,2,FALSE()),"")</f>
        <v/>
      </c>
      <c r="AA123" s="8" t="str">
        <f aca="false">IFERROR(VLOOKUP(V123,기능명세서!A:B,2,FALSE()),"")</f>
        <v/>
      </c>
      <c r="AB123" s="8" t="str">
        <f aca="false">IFERROR(VLOOKUP(W123,API명세서!A:D,4,FALSE()),"")</f>
        <v/>
      </c>
    </row>
    <row r="124" customFormat="false" ht="15" hidden="false" customHeight="true" outlineLevel="0" collapsed="false">
      <c r="Z124" s="8" t="str">
        <f aca="false">IFERROR(VLOOKUP(U124,'IA(정보구조)'!D:E,2,FALSE()),"")</f>
        <v/>
      </c>
      <c r="AA124" s="8" t="str">
        <f aca="false">IFERROR(VLOOKUP(V124,기능명세서!A:B,2,FALSE()),"")</f>
        <v/>
      </c>
      <c r="AB124" s="8" t="str">
        <f aca="false">IFERROR(VLOOKUP(W124,API명세서!A:D,4,FALSE()),"")</f>
        <v/>
      </c>
    </row>
    <row r="125" customFormat="false" ht="15" hidden="false" customHeight="true" outlineLevel="0" collapsed="false">
      <c r="Z125" s="8" t="str">
        <f aca="false">IFERROR(VLOOKUP(U125,'IA(정보구조)'!D:E,2,FALSE()),"")</f>
        <v/>
      </c>
      <c r="AA125" s="8" t="str">
        <f aca="false">IFERROR(VLOOKUP(V125,기능명세서!A:B,2,FALSE()),"")</f>
        <v/>
      </c>
      <c r="AB125" s="8" t="str">
        <f aca="false">IFERROR(VLOOKUP(W125,API명세서!A:D,4,FALSE()),"")</f>
        <v/>
      </c>
    </row>
    <row r="126" customFormat="false" ht="15" hidden="false" customHeight="true" outlineLevel="0" collapsed="false">
      <c r="Z126" s="8" t="str">
        <f aca="false">IFERROR(VLOOKUP(U126,'IA(정보구조)'!D:E,2,FALSE()),"")</f>
        <v/>
      </c>
      <c r="AA126" s="8" t="str">
        <f aca="false">IFERROR(VLOOKUP(V126,기능명세서!A:B,2,FALSE()),"")</f>
        <v/>
      </c>
      <c r="AB126" s="8" t="str">
        <f aca="false">IFERROR(VLOOKUP(W126,API명세서!A:D,4,FALSE()),"")</f>
        <v/>
      </c>
    </row>
    <row r="127" customFormat="false" ht="15" hidden="false" customHeight="true" outlineLevel="0" collapsed="false">
      <c r="Z127" s="8" t="str">
        <f aca="false">IFERROR(VLOOKUP(U127,'IA(정보구조)'!D:E,2,FALSE()),"")</f>
        <v/>
      </c>
      <c r="AA127" s="8" t="str">
        <f aca="false">IFERROR(VLOOKUP(V127,기능명세서!A:B,2,FALSE()),"")</f>
        <v/>
      </c>
      <c r="AB127" s="8" t="str">
        <f aca="false">IFERROR(VLOOKUP(W127,API명세서!A:D,4,FALSE()),"")</f>
        <v/>
      </c>
    </row>
    <row r="128" customFormat="false" ht="15" hidden="false" customHeight="true" outlineLevel="0" collapsed="false">
      <c r="Z128" s="8" t="str">
        <f aca="false">IFERROR(VLOOKUP(U128,'IA(정보구조)'!D:E,2,FALSE()),"")</f>
        <v/>
      </c>
      <c r="AA128" s="8" t="str">
        <f aca="false">IFERROR(VLOOKUP(V128,기능명세서!A:B,2,FALSE()),"")</f>
        <v/>
      </c>
      <c r="AB128" s="8" t="str">
        <f aca="false">IFERROR(VLOOKUP(W128,API명세서!A:D,4,FALSE()),"")</f>
        <v/>
      </c>
    </row>
    <row r="129" customFormat="false" ht="15" hidden="false" customHeight="true" outlineLevel="0" collapsed="false">
      <c r="Z129" s="8" t="str">
        <f aca="false">IFERROR(VLOOKUP(U129,'IA(정보구조)'!D:E,2,FALSE()),"")</f>
        <v/>
      </c>
      <c r="AA129" s="8" t="str">
        <f aca="false">IFERROR(VLOOKUP(V129,기능명세서!A:B,2,FALSE()),"")</f>
        <v/>
      </c>
      <c r="AB129" s="8" t="str">
        <f aca="false">IFERROR(VLOOKUP(W129,API명세서!A:D,4,FALSE()),"")</f>
        <v/>
      </c>
    </row>
    <row r="130" customFormat="false" ht="15" hidden="false" customHeight="true" outlineLevel="0" collapsed="false">
      <c r="Z130" s="8" t="str">
        <f aca="false">IFERROR(VLOOKUP(U130,'IA(정보구조)'!D:E,2,FALSE()),"")</f>
        <v/>
      </c>
      <c r="AA130" s="8" t="str">
        <f aca="false">IFERROR(VLOOKUP(V130,기능명세서!A:B,2,FALSE()),"")</f>
        <v/>
      </c>
      <c r="AB130" s="8" t="str">
        <f aca="false">IFERROR(VLOOKUP(W130,API명세서!A:D,4,FALSE()),"")</f>
        <v/>
      </c>
    </row>
    <row r="131" customFormat="false" ht="15" hidden="false" customHeight="true" outlineLevel="0" collapsed="false">
      <c r="Z131" s="8" t="str">
        <f aca="false">IFERROR(VLOOKUP(U131,'IA(정보구조)'!D:E,2,FALSE()),"")</f>
        <v/>
      </c>
      <c r="AA131" s="8" t="str">
        <f aca="false">IFERROR(VLOOKUP(V131,기능명세서!A:B,2,FALSE()),"")</f>
        <v/>
      </c>
      <c r="AB131" s="8" t="str">
        <f aca="false">IFERROR(VLOOKUP(W131,API명세서!A:D,4,FALSE()),"")</f>
        <v/>
      </c>
    </row>
    <row r="132" customFormat="false" ht="15" hidden="false" customHeight="true" outlineLevel="0" collapsed="false">
      <c r="Z132" s="8" t="str">
        <f aca="false">IFERROR(VLOOKUP(U132,'IA(정보구조)'!D:E,2,FALSE()),"")</f>
        <v/>
      </c>
      <c r="AA132" s="8" t="str">
        <f aca="false">IFERROR(VLOOKUP(V132,기능명세서!A:B,2,FALSE()),"")</f>
        <v/>
      </c>
      <c r="AB132" s="8" t="str">
        <f aca="false">IFERROR(VLOOKUP(W132,API명세서!A:D,4,FALSE()),"")</f>
        <v/>
      </c>
    </row>
    <row r="133" customFormat="false" ht="15" hidden="false" customHeight="true" outlineLevel="0" collapsed="false">
      <c r="Z133" s="8" t="str">
        <f aca="false">IFERROR(VLOOKUP(U133,'IA(정보구조)'!D:E,2,FALSE()),"")</f>
        <v/>
      </c>
      <c r="AA133" s="8" t="str">
        <f aca="false">IFERROR(VLOOKUP(V133,기능명세서!A:B,2,FALSE()),"")</f>
        <v/>
      </c>
      <c r="AB133" s="8" t="str">
        <f aca="false">IFERROR(VLOOKUP(W133,API명세서!A:D,4,FALSE()),"")</f>
        <v/>
      </c>
    </row>
    <row r="134" customFormat="false" ht="15" hidden="false" customHeight="true" outlineLevel="0" collapsed="false">
      <c r="Z134" s="8" t="str">
        <f aca="false">IFERROR(VLOOKUP(U134,'IA(정보구조)'!D:E,2,FALSE()),"")</f>
        <v/>
      </c>
      <c r="AA134" s="8" t="str">
        <f aca="false">IFERROR(VLOOKUP(V134,기능명세서!A:B,2,FALSE()),"")</f>
        <v/>
      </c>
      <c r="AB134" s="8" t="str">
        <f aca="false">IFERROR(VLOOKUP(W134,API명세서!A:D,4,FALSE()),"")</f>
        <v/>
      </c>
    </row>
    <row r="135" customFormat="false" ht="15" hidden="false" customHeight="true" outlineLevel="0" collapsed="false">
      <c r="Z135" s="8" t="str">
        <f aca="false">IFERROR(VLOOKUP(U135,'IA(정보구조)'!D:E,2,FALSE()),"")</f>
        <v/>
      </c>
      <c r="AA135" s="8" t="str">
        <f aca="false">IFERROR(VLOOKUP(V135,기능명세서!A:B,2,FALSE()),"")</f>
        <v/>
      </c>
      <c r="AB135" s="8" t="str">
        <f aca="false">IFERROR(VLOOKUP(W135,API명세서!A:D,4,FALSE()),"")</f>
        <v/>
      </c>
    </row>
    <row r="136" customFormat="false" ht="15" hidden="false" customHeight="true" outlineLevel="0" collapsed="false">
      <c r="Z136" s="8" t="str">
        <f aca="false">IFERROR(VLOOKUP(U136,'IA(정보구조)'!D:E,2,FALSE()),"")</f>
        <v/>
      </c>
      <c r="AA136" s="8" t="str">
        <f aca="false">IFERROR(VLOOKUP(V136,기능명세서!A:B,2,FALSE()),"")</f>
        <v/>
      </c>
      <c r="AB136" s="8" t="str">
        <f aca="false">IFERROR(VLOOKUP(W136,API명세서!A:D,4,FALSE()),"")</f>
        <v/>
      </c>
    </row>
    <row r="137" customFormat="false" ht="15" hidden="false" customHeight="true" outlineLevel="0" collapsed="false">
      <c r="Z137" s="8" t="str">
        <f aca="false">IFERROR(VLOOKUP(U137,'IA(정보구조)'!D:E,2,FALSE()),"")</f>
        <v/>
      </c>
      <c r="AA137" s="8" t="str">
        <f aca="false">IFERROR(VLOOKUP(V137,기능명세서!A:B,2,FALSE()),"")</f>
        <v/>
      </c>
      <c r="AB137" s="8" t="str">
        <f aca="false">IFERROR(VLOOKUP(W137,API명세서!A:D,4,FALSE()),"")</f>
        <v/>
      </c>
    </row>
    <row r="138" customFormat="false" ht="15" hidden="false" customHeight="true" outlineLevel="0" collapsed="false">
      <c r="Z138" s="8" t="str">
        <f aca="false">IFERROR(VLOOKUP(U138,'IA(정보구조)'!D:E,2,FALSE()),"")</f>
        <v/>
      </c>
      <c r="AA138" s="8" t="str">
        <f aca="false">IFERROR(VLOOKUP(V138,기능명세서!A:B,2,FALSE()),"")</f>
        <v/>
      </c>
      <c r="AB138" s="8" t="str">
        <f aca="false">IFERROR(VLOOKUP(W138,API명세서!A:D,4,FALSE()),"")</f>
        <v/>
      </c>
    </row>
    <row r="139" customFormat="false" ht="15" hidden="false" customHeight="true" outlineLevel="0" collapsed="false">
      <c r="Z139" s="8" t="str">
        <f aca="false">IFERROR(VLOOKUP(U139,'IA(정보구조)'!D:E,2,FALSE()),"")</f>
        <v/>
      </c>
      <c r="AA139" s="8" t="str">
        <f aca="false">IFERROR(VLOOKUP(V139,기능명세서!A:B,2,FALSE()),"")</f>
        <v/>
      </c>
      <c r="AB139" s="8" t="str">
        <f aca="false">IFERROR(VLOOKUP(W139,API명세서!A:D,4,FALSE()),"")</f>
        <v/>
      </c>
    </row>
    <row r="140" customFormat="false" ht="15" hidden="false" customHeight="true" outlineLevel="0" collapsed="false">
      <c r="Z140" s="8" t="str">
        <f aca="false">IFERROR(VLOOKUP(U140,'IA(정보구조)'!D:E,2,FALSE()),"")</f>
        <v/>
      </c>
      <c r="AA140" s="8" t="str">
        <f aca="false">IFERROR(VLOOKUP(V140,기능명세서!A:B,2,FALSE()),"")</f>
        <v/>
      </c>
      <c r="AB140" s="8" t="str">
        <f aca="false">IFERROR(VLOOKUP(W140,API명세서!A:D,4,FALSE()),"")</f>
        <v/>
      </c>
    </row>
    <row r="141" customFormat="false" ht="15" hidden="false" customHeight="true" outlineLevel="0" collapsed="false">
      <c r="Z141" s="8" t="str">
        <f aca="false">IFERROR(VLOOKUP(U141,'IA(정보구조)'!D:E,2,FALSE()),"")</f>
        <v/>
      </c>
      <c r="AA141" s="8" t="str">
        <f aca="false">IFERROR(VLOOKUP(V141,기능명세서!A:B,2,FALSE()),"")</f>
        <v/>
      </c>
      <c r="AB141" s="8" t="str">
        <f aca="false">IFERROR(VLOOKUP(W141,API명세서!A:D,4,FALSE()),"")</f>
        <v/>
      </c>
    </row>
    <row r="142" customFormat="false" ht="15" hidden="false" customHeight="true" outlineLevel="0" collapsed="false">
      <c r="Z142" s="8" t="str">
        <f aca="false">IFERROR(VLOOKUP(U142,'IA(정보구조)'!D:E,2,FALSE()),"")</f>
        <v/>
      </c>
      <c r="AA142" s="8" t="str">
        <f aca="false">IFERROR(VLOOKUP(V142,기능명세서!A:B,2,FALSE()),"")</f>
        <v/>
      </c>
      <c r="AB142" s="8" t="str">
        <f aca="false">IFERROR(VLOOKUP(W142,API명세서!A:D,4,FALSE()),"")</f>
        <v/>
      </c>
    </row>
    <row r="143" customFormat="false" ht="15" hidden="false" customHeight="true" outlineLevel="0" collapsed="false">
      <c r="Z143" s="8" t="str">
        <f aca="false">IFERROR(VLOOKUP(U143,'IA(정보구조)'!D:E,2,FALSE()),"")</f>
        <v/>
      </c>
      <c r="AA143" s="8" t="str">
        <f aca="false">IFERROR(VLOOKUP(V143,기능명세서!A:B,2,FALSE()),"")</f>
        <v/>
      </c>
      <c r="AB143" s="8" t="str">
        <f aca="false">IFERROR(VLOOKUP(W143,API명세서!A:D,4,FALSE()),"")</f>
        <v/>
      </c>
    </row>
    <row r="144" customFormat="false" ht="15" hidden="false" customHeight="true" outlineLevel="0" collapsed="false">
      <c r="Z144" s="8" t="str">
        <f aca="false">IFERROR(VLOOKUP(U144,'IA(정보구조)'!D:E,2,FALSE()),"")</f>
        <v/>
      </c>
      <c r="AA144" s="8" t="str">
        <f aca="false">IFERROR(VLOOKUP(V144,기능명세서!A:B,2,FALSE()),"")</f>
        <v/>
      </c>
      <c r="AB144" s="8" t="str">
        <f aca="false">IFERROR(VLOOKUP(W144,API명세서!A:D,4,FALSE()),"")</f>
        <v/>
      </c>
    </row>
    <row r="145" customFormat="false" ht="15" hidden="false" customHeight="true" outlineLevel="0" collapsed="false">
      <c r="Z145" s="8" t="str">
        <f aca="false">IFERROR(VLOOKUP(U145,'IA(정보구조)'!D:E,2,FALSE()),"")</f>
        <v/>
      </c>
      <c r="AA145" s="8" t="str">
        <f aca="false">IFERROR(VLOOKUP(V145,기능명세서!A:B,2,FALSE()),"")</f>
        <v/>
      </c>
      <c r="AB145" s="8" t="str">
        <f aca="false">IFERROR(VLOOKUP(W145,API명세서!A:D,4,FALSE()),"")</f>
        <v/>
      </c>
    </row>
    <row r="146" customFormat="false" ht="15" hidden="false" customHeight="true" outlineLevel="0" collapsed="false">
      <c r="Z146" s="8" t="str">
        <f aca="false">IFERROR(VLOOKUP(U146,'IA(정보구조)'!D:E,2,FALSE()),"")</f>
        <v/>
      </c>
      <c r="AA146" s="8" t="str">
        <f aca="false">IFERROR(VLOOKUP(V146,기능명세서!A:B,2,FALSE()),"")</f>
        <v/>
      </c>
      <c r="AB146" s="8" t="str">
        <f aca="false">IFERROR(VLOOKUP(W146,API명세서!A:D,4,FALSE()),"")</f>
        <v/>
      </c>
    </row>
    <row r="147" customFormat="false" ht="15" hidden="false" customHeight="true" outlineLevel="0" collapsed="false">
      <c r="Z147" s="8" t="str">
        <f aca="false">IFERROR(VLOOKUP(U147,'IA(정보구조)'!D:E,2,FALSE()),"")</f>
        <v/>
      </c>
      <c r="AA147" s="8" t="str">
        <f aca="false">IFERROR(VLOOKUP(V147,기능명세서!A:B,2,FALSE()),"")</f>
        <v/>
      </c>
      <c r="AB147" s="8" t="str">
        <f aca="false">IFERROR(VLOOKUP(W147,API명세서!A:D,4,FALSE()),"")</f>
        <v/>
      </c>
    </row>
    <row r="148" customFormat="false" ht="15" hidden="false" customHeight="true" outlineLevel="0" collapsed="false">
      <c r="Z148" s="8" t="str">
        <f aca="false">IFERROR(VLOOKUP(U148,'IA(정보구조)'!D:E,2,FALSE()),"")</f>
        <v/>
      </c>
      <c r="AA148" s="8" t="str">
        <f aca="false">IFERROR(VLOOKUP(V148,기능명세서!A:B,2,FALSE()),"")</f>
        <v/>
      </c>
      <c r="AB148" s="8" t="str">
        <f aca="false">IFERROR(VLOOKUP(W148,API명세서!A:D,4,FALSE()),"")</f>
        <v/>
      </c>
    </row>
    <row r="149" customFormat="false" ht="15" hidden="false" customHeight="true" outlineLevel="0" collapsed="false">
      <c r="Z149" s="8" t="str">
        <f aca="false">IFERROR(VLOOKUP(U149,'IA(정보구조)'!D:E,2,FALSE()),"")</f>
        <v/>
      </c>
      <c r="AA149" s="8" t="str">
        <f aca="false">IFERROR(VLOOKUP(V149,기능명세서!A:B,2,FALSE()),"")</f>
        <v/>
      </c>
      <c r="AB149" s="8" t="str">
        <f aca="false">IFERROR(VLOOKUP(W149,API명세서!A:D,4,FALSE()),"")</f>
        <v/>
      </c>
    </row>
    <row r="150" customFormat="false" ht="15" hidden="false" customHeight="true" outlineLevel="0" collapsed="false">
      <c r="Z150" s="8" t="str">
        <f aca="false">IFERROR(VLOOKUP(U150,'IA(정보구조)'!D:E,2,FALSE()),"")</f>
        <v/>
      </c>
      <c r="AA150" s="8" t="str">
        <f aca="false">IFERROR(VLOOKUP(V150,기능명세서!A:B,2,FALSE()),"")</f>
        <v/>
      </c>
      <c r="AB150" s="8" t="str">
        <f aca="false">IFERROR(VLOOKUP(W150,API명세서!A:D,4,FALSE()),"")</f>
        <v/>
      </c>
    </row>
    <row r="151" customFormat="false" ht="15" hidden="false" customHeight="true" outlineLevel="0" collapsed="false">
      <c r="Z151" s="8" t="str">
        <f aca="false">IFERROR(VLOOKUP(U151,'IA(정보구조)'!D:E,2,FALSE()),"")</f>
        <v/>
      </c>
      <c r="AA151" s="8" t="str">
        <f aca="false">IFERROR(VLOOKUP(V151,기능명세서!A:B,2,FALSE()),"")</f>
        <v/>
      </c>
      <c r="AB151" s="8" t="str">
        <f aca="false">IFERROR(VLOOKUP(W151,API명세서!A:D,4,FALSE()),"")</f>
        <v/>
      </c>
    </row>
    <row r="152" customFormat="false" ht="15" hidden="false" customHeight="true" outlineLevel="0" collapsed="false">
      <c r="Z152" s="8" t="str">
        <f aca="false">IFERROR(VLOOKUP(U152,'IA(정보구조)'!D:E,2,FALSE()),"")</f>
        <v/>
      </c>
      <c r="AA152" s="8" t="str">
        <f aca="false">IFERROR(VLOOKUP(V152,기능명세서!A:B,2,FALSE()),"")</f>
        <v/>
      </c>
      <c r="AB152" s="8" t="str">
        <f aca="false">IFERROR(VLOOKUP(W152,API명세서!A:D,4,FALSE()),"")</f>
        <v/>
      </c>
    </row>
    <row r="153" customFormat="false" ht="15" hidden="false" customHeight="true" outlineLevel="0" collapsed="false">
      <c r="Z153" s="8" t="str">
        <f aca="false">IFERROR(VLOOKUP(U153,'IA(정보구조)'!D:E,2,FALSE()),"")</f>
        <v/>
      </c>
      <c r="AA153" s="8" t="str">
        <f aca="false">IFERROR(VLOOKUP(V153,기능명세서!A:B,2,FALSE()),"")</f>
        <v/>
      </c>
      <c r="AB153" s="8" t="str">
        <f aca="false">IFERROR(VLOOKUP(W153,API명세서!A:D,4,FALSE()),"")</f>
        <v/>
      </c>
    </row>
    <row r="154" customFormat="false" ht="15" hidden="false" customHeight="true" outlineLevel="0" collapsed="false">
      <c r="Z154" s="8" t="str">
        <f aca="false">IFERROR(VLOOKUP(U154,'IA(정보구조)'!D:E,2,FALSE()),"")</f>
        <v/>
      </c>
      <c r="AA154" s="8" t="str">
        <f aca="false">IFERROR(VLOOKUP(V154,기능명세서!A:B,2,FALSE()),"")</f>
        <v/>
      </c>
      <c r="AB154" s="8" t="str">
        <f aca="false">IFERROR(VLOOKUP(W154,API명세서!A:D,4,FALSE()),"")</f>
        <v/>
      </c>
    </row>
    <row r="155" customFormat="false" ht="15" hidden="false" customHeight="true" outlineLevel="0" collapsed="false">
      <c r="Z155" s="8" t="str">
        <f aca="false">IFERROR(VLOOKUP(U155,'IA(정보구조)'!D:E,2,FALSE()),"")</f>
        <v/>
      </c>
      <c r="AA155" s="8" t="str">
        <f aca="false">IFERROR(VLOOKUP(V155,기능명세서!A:B,2,FALSE()),"")</f>
        <v/>
      </c>
      <c r="AB155" s="8" t="str">
        <f aca="false">IFERROR(VLOOKUP(W155,API명세서!A:D,4,FALSE()),"")</f>
        <v/>
      </c>
    </row>
    <row r="156" customFormat="false" ht="15" hidden="false" customHeight="true" outlineLevel="0" collapsed="false">
      <c r="Z156" s="8" t="str">
        <f aca="false">IFERROR(VLOOKUP(U156,'IA(정보구조)'!D:E,2,FALSE()),"")</f>
        <v/>
      </c>
      <c r="AA156" s="8" t="str">
        <f aca="false">IFERROR(VLOOKUP(V156,기능명세서!A:B,2,FALSE()),"")</f>
        <v/>
      </c>
      <c r="AB156" s="8" t="str">
        <f aca="false">IFERROR(VLOOKUP(W156,API명세서!A:D,4,FALSE()),"")</f>
        <v/>
      </c>
    </row>
    <row r="157" customFormat="false" ht="15" hidden="false" customHeight="true" outlineLevel="0" collapsed="false">
      <c r="Z157" s="8" t="str">
        <f aca="false">IFERROR(VLOOKUP(U157,'IA(정보구조)'!D:E,2,FALSE()),"")</f>
        <v/>
      </c>
      <c r="AA157" s="8" t="str">
        <f aca="false">IFERROR(VLOOKUP(V157,기능명세서!A:B,2,FALSE()),"")</f>
        <v/>
      </c>
      <c r="AB157" s="8" t="str">
        <f aca="false">IFERROR(VLOOKUP(W157,API명세서!A:D,4,FALSE()),"")</f>
        <v/>
      </c>
    </row>
    <row r="158" customFormat="false" ht="15" hidden="false" customHeight="true" outlineLevel="0" collapsed="false">
      <c r="Z158" s="8" t="str">
        <f aca="false">IFERROR(VLOOKUP(U158,'IA(정보구조)'!D:E,2,FALSE()),"")</f>
        <v/>
      </c>
      <c r="AA158" s="8" t="str">
        <f aca="false">IFERROR(VLOOKUP(V158,기능명세서!A:B,2,FALSE()),"")</f>
        <v/>
      </c>
      <c r="AB158" s="8" t="str">
        <f aca="false">IFERROR(VLOOKUP(W158,API명세서!A:D,4,FALSE()),"")</f>
        <v/>
      </c>
    </row>
    <row r="159" customFormat="false" ht="15" hidden="false" customHeight="true" outlineLevel="0" collapsed="false">
      <c r="Z159" s="8" t="str">
        <f aca="false">IFERROR(VLOOKUP(U159,'IA(정보구조)'!D:E,2,FALSE()),"")</f>
        <v/>
      </c>
      <c r="AA159" s="8" t="str">
        <f aca="false">IFERROR(VLOOKUP(V159,기능명세서!A:B,2,FALSE()),"")</f>
        <v/>
      </c>
      <c r="AB159" s="8" t="str">
        <f aca="false">IFERROR(VLOOKUP(W159,API명세서!A:D,4,FALSE()),"")</f>
        <v/>
      </c>
    </row>
    <row r="160" customFormat="false" ht="15" hidden="false" customHeight="true" outlineLevel="0" collapsed="false">
      <c r="Z160" s="8" t="str">
        <f aca="false">IFERROR(VLOOKUP(U160,'IA(정보구조)'!D:E,2,FALSE()),"")</f>
        <v/>
      </c>
      <c r="AA160" s="8" t="str">
        <f aca="false">IFERROR(VLOOKUP(V160,기능명세서!A:B,2,FALSE()),"")</f>
        <v/>
      </c>
      <c r="AB160" s="8" t="str">
        <f aca="false">IFERROR(VLOOKUP(W160,API명세서!A:D,4,FALSE()),"")</f>
        <v/>
      </c>
    </row>
    <row r="161" customFormat="false" ht="15" hidden="false" customHeight="true" outlineLevel="0" collapsed="false">
      <c r="Z161" s="8" t="str">
        <f aca="false">IFERROR(VLOOKUP(U161,'IA(정보구조)'!D:E,2,FALSE()),"")</f>
        <v/>
      </c>
      <c r="AA161" s="8" t="str">
        <f aca="false">IFERROR(VLOOKUP(V161,기능명세서!A:B,2,FALSE()),"")</f>
        <v/>
      </c>
      <c r="AB161" s="8" t="str">
        <f aca="false">IFERROR(VLOOKUP(W161,API명세서!A:D,4,FALSE()),"")</f>
        <v/>
      </c>
    </row>
    <row r="162" customFormat="false" ht="15" hidden="false" customHeight="true" outlineLevel="0" collapsed="false">
      <c r="Z162" s="8" t="str">
        <f aca="false">IFERROR(VLOOKUP(U162,'IA(정보구조)'!D:E,2,FALSE()),"")</f>
        <v/>
      </c>
      <c r="AA162" s="8" t="str">
        <f aca="false">IFERROR(VLOOKUP(V162,기능명세서!A:B,2,FALSE()),"")</f>
        <v/>
      </c>
      <c r="AB162" s="8" t="str">
        <f aca="false">IFERROR(VLOOKUP(W162,API명세서!A:D,4,FALSE()),"")</f>
        <v/>
      </c>
    </row>
    <row r="163" customFormat="false" ht="15" hidden="false" customHeight="true" outlineLevel="0" collapsed="false">
      <c r="Z163" s="8" t="str">
        <f aca="false">IFERROR(VLOOKUP(U163,'IA(정보구조)'!D:E,2,FALSE()),"")</f>
        <v/>
      </c>
      <c r="AA163" s="8" t="str">
        <f aca="false">IFERROR(VLOOKUP(V163,기능명세서!A:B,2,FALSE()),"")</f>
        <v/>
      </c>
      <c r="AB163" s="8" t="str">
        <f aca="false">IFERROR(VLOOKUP(W163,API명세서!A:D,4,FALSE()),"")</f>
        <v/>
      </c>
    </row>
    <row r="164" customFormat="false" ht="15" hidden="false" customHeight="true" outlineLevel="0" collapsed="false">
      <c r="Z164" s="8" t="str">
        <f aca="false">IFERROR(VLOOKUP(U164,'IA(정보구조)'!D:E,2,FALSE()),"")</f>
        <v/>
      </c>
      <c r="AA164" s="8" t="str">
        <f aca="false">IFERROR(VLOOKUP(V164,기능명세서!A:B,2,FALSE()),"")</f>
        <v/>
      </c>
      <c r="AB164" s="8" t="str">
        <f aca="false">IFERROR(VLOOKUP(W164,API명세서!A:D,4,FALSE()),"")</f>
        <v/>
      </c>
    </row>
    <row r="165" customFormat="false" ht="15" hidden="false" customHeight="true" outlineLevel="0" collapsed="false">
      <c r="Z165" s="8" t="str">
        <f aca="false">IFERROR(VLOOKUP(U165,'IA(정보구조)'!D:E,2,FALSE()),"")</f>
        <v/>
      </c>
      <c r="AA165" s="8" t="str">
        <f aca="false">IFERROR(VLOOKUP(V165,기능명세서!A:B,2,FALSE()),"")</f>
        <v/>
      </c>
      <c r="AB165" s="8" t="str">
        <f aca="false">IFERROR(VLOOKUP(W165,API명세서!A:D,4,FALSE()),"")</f>
        <v/>
      </c>
    </row>
    <row r="166" customFormat="false" ht="15" hidden="false" customHeight="true" outlineLevel="0" collapsed="false">
      <c r="Z166" s="8" t="str">
        <f aca="false">IFERROR(VLOOKUP(U166,'IA(정보구조)'!D:E,2,FALSE()),"")</f>
        <v/>
      </c>
      <c r="AA166" s="8" t="str">
        <f aca="false">IFERROR(VLOOKUP(V166,기능명세서!A:B,2,FALSE()),"")</f>
        <v/>
      </c>
      <c r="AB166" s="8" t="str">
        <f aca="false">IFERROR(VLOOKUP(W166,API명세서!A:D,4,FALSE()),"")</f>
        <v/>
      </c>
    </row>
    <row r="167" customFormat="false" ht="15" hidden="false" customHeight="true" outlineLevel="0" collapsed="false">
      <c r="Z167" s="8" t="str">
        <f aca="false">IFERROR(VLOOKUP(U167,'IA(정보구조)'!D:E,2,FALSE()),"")</f>
        <v/>
      </c>
      <c r="AA167" s="8" t="str">
        <f aca="false">IFERROR(VLOOKUP(V167,기능명세서!A:B,2,FALSE()),"")</f>
        <v/>
      </c>
      <c r="AB167" s="8" t="str">
        <f aca="false">IFERROR(VLOOKUP(W167,API명세서!A:D,4,FALSE()),"")</f>
        <v/>
      </c>
    </row>
    <row r="168" customFormat="false" ht="15" hidden="false" customHeight="true" outlineLevel="0" collapsed="false">
      <c r="Z168" s="8" t="str">
        <f aca="false">IFERROR(VLOOKUP(U168,'IA(정보구조)'!D:E,2,FALSE()),"")</f>
        <v/>
      </c>
      <c r="AA168" s="8" t="str">
        <f aca="false">IFERROR(VLOOKUP(V168,기능명세서!A:B,2,FALSE()),"")</f>
        <v/>
      </c>
      <c r="AB168" s="8" t="str">
        <f aca="false">IFERROR(VLOOKUP(W168,API명세서!A:D,4,FALSE()),"")</f>
        <v/>
      </c>
    </row>
    <row r="169" customFormat="false" ht="15" hidden="false" customHeight="true" outlineLevel="0" collapsed="false">
      <c r="Z169" s="8" t="str">
        <f aca="false">IFERROR(VLOOKUP(U169,'IA(정보구조)'!D:E,2,FALSE()),"")</f>
        <v/>
      </c>
      <c r="AA169" s="8" t="str">
        <f aca="false">IFERROR(VLOOKUP(V169,기능명세서!A:B,2,FALSE()),"")</f>
        <v/>
      </c>
      <c r="AB169" s="8" t="str">
        <f aca="false">IFERROR(VLOOKUP(W169,API명세서!A:D,4,FALSE()),"")</f>
        <v/>
      </c>
    </row>
    <row r="170" customFormat="false" ht="15" hidden="false" customHeight="true" outlineLevel="0" collapsed="false">
      <c r="Z170" s="8" t="str">
        <f aca="false">IFERROR(VLOOKUP(U170,'IA(정보구조)'!D:E,2,FALSE()),"")</f>
        <v/>
      </c>
      <c r="AA170" s="8" t="str">
        <f aca="false">IFERROR(VLOOKUP(V170,기능명세서!A:B,2,FALSE()),"")</f>
        <v/>
      </c>
      <c r="AB170" s="8" t="str">
        <f aca="false">IFERROR(VLOOKUP(W170,API명세서!A:D,4,FALSE()),"")</f>
        <v/>
      </c>
    </row>
    <row r="171" customFormat="false" ht="15" hidden="false" customHeight="true" outlineLevel="0" collapsed="false">
      <c r="Z171" s="8" t="str">
        <f aca="false">IFERROR(VLOOKUP(U171,'IA(정보구조)'!D:E,2,FALSE()),"")</f>
        <v/>
      </c>
      <c r="AA171" s="8" t="str">
        <f aca="false">IFERROR(VLOOKUP(V171,기능명세서!A:B,2,FALSE()),"")</f>
        <v/>
      </c>
      <c r="AB171" s="8" t="str">
        <f aca="false">IFERROR(VLOOKUP(W171,API명세서!A:D,4,FALSE()),"")</f>
        <v/>
      </c>
    </row>
    <row r="172" customFormat="false" ht="15" hidden="false" customHeight="true" outlineLevel="0" collapsed="false">
      <c r="Z172" s="8" t="str">
        <f aca="false">IFERROR(VLOOKUP(U172,'IA(정보구조)'!D:E,2,FALSE()),"")</f>
        <v/>
      </c>
      <c r="AA172" s="8" t="str">
        <f aca="false">IFERROR(VLOOKUP(V172,기능명세서!A:B,2,FALSE()),"")</f>
        <v/>
      </c>
      <c r="AB172" s="8" t="str">
        <f aca="false">IFERROR(VLOOKUP(W172,API명세서!A:D,4,FALSE()),"")</f>
        <v/>
      </c>
    </row>
    <row r="173" customFormat="false" ht="15" hidden="false" customHeight="true" outlineLevel="0" collapsed="false">
      <c r="Z173" s="8" t="str">
        <f aca="false">IFERROR(VLOOKUP(U173,'IA(정보구조)'!D:E,2,FALSE()),"")</f>
        <v/>
      </c>
      <c r="AA173" s="8" t="str">
        <f aca="false">IFERROR(VLOOKUP(V173,기능명세서!A:B,2,FALSE()),"")</f>
        <v/>
      </c>
      <c r="AB173" s="8" t="str">
        <f aca="false">IFERROR(VLOOKUP(W173,API명세서!A:D,4,FALSE()),"")</f>
        <v/>
      </c>
    </row>
    <row r="174" customFormat="false" ht="15" hidden="false" customHeight="true" outlineLevel="0" collapsed="false">
      <c r="Z174" s="8" t="str">
        <f aca="false">IFERROR(VLOOKUP(U174,'IA(정보구조)'!D:E,2,FALSE()),"")</f>
        <v/>
      </c>
      <c r="AA174" s="8" t="str">
        <f aca="false">IFERROR(VLOOKUP(V174,기능명세서!A:B,2,FALSE()),"")</f>
        <v/>
      </c>
      <c r="AB174" s="8" t="str">
        <f aca="false">IFERROR(VLOOKUP(W174,API명세서!A:D,4,FALSE()),"")</f>
        <v/>
      </c>
    </row>
    <row r="175" customFormat="false" ht="15" hidden="false" customHeight="true" outlineLevel="0" collapsed="false">
      <c r="Z175" s="8" t="str">
        <f aca="false">IFERROR(VLOOKUP(U175,'IA(정보구조)'!D:E,2,FALSE()),"")</f>
        <v/>
      </c>
      <c r="AA175" s="8" t="str">
        <f aca="false">IFERROR(VLOOKUP(V175,기능명세서!A:B,2,FALSE()),"")</f>
        <v/>
      </c>
      <c r="AB175" s="8" t="str">
        <f aca="false">IFERROR(VLOOKUP(W175,API명세서!A:D,4,FALSE()),"")</f>
        <v/>
      </c>
    </row>
    <row r="176" customFormat="false" ht="15" hidden="false" customHeight="true" outlineLevel="0" collapsed="false">
      <c r="Z176" s="8" t="str">
        <f aca="false">IFERROR(VLOOKUP(U176,'IA(정보구조)'!D:E,2,FALSE()),"")</f>
        <v/>
      </c>
      <c r="AA176" s="8" t="str">
        <f aca="false">IFERROR(VLOOKUP(V176,기능명세서!A:B,2,FALSE()),"")</f>
        <v/>
      </c>
      <c r="AB176" s="8" t="str">
        <f aca="false">IFERROR(VLOOKUP(W176,API명세서!A:D,4,FALSE()),"")</f>
        <v/>
      </c>
    </row>
    <row r="177" customFormat="false" ht="15" hidden="false" customHeight="true" outlineLevel="0" collapsed="false">
      <c r="Z177" s="8" t="str">
        <f aca="false">IFERROR(VLOOKUP(U177,'IA(정보구조)'!D:E,2,FALSE()),"")</f>
        <v/>
      </c>
      <c r="AA177" s="8" t="str">
        <f aca="false">IFERROR(VLOOKUP(V177,기능명세서!A:B,2,FALSE()),"")</f>
        <v/>
      </c>
      <c r="AB177" s="8" t="str">
        <f aca="false">IFERROR(VLOOKUP(W177,API명세서!A:D,4,FALSE()),"")</f>
        <v/>
      </c>
    </row>
    <row r="178" customFormat="false" ht="15" hidden="false" customHeight="true" outlineLevel="0" collapsed="false">
      <c r="Z178" s="8" t="str">
        <f aca="false">IFERROR(VLOOKUP(U178,'IA(정보구조)'!D:E,2,FALSE()),"")</f>
        <v/>
      </c>
      <c r="AA178" s="8" t="str">
        <f aca="false">IFERROR(VLOOKUP(V178,기능명세서!A:B,2,FALSE()),"")</f>
        <v/>
      </c>
      <c r="AB178" s="8" t="str">
        <f aca="false">IFERROR(VLOOKUP(W178,API명세서!A:D,4,FALSE()),"")</f>
        <v/>
      </c>
    </row>
    <row r="179" customFormat="false" ht="15" hidden="false" customHeight="true" outlineLevel="0" collapsed="false">
      <c r="Z179" s="8" t="str">
        <f aca="false">IFERROR(VLOOKUP(U179,'IA(정보구조)'!D:E,2,FALSE()),"")</f>
        <v/>
      </c>
      <c r="AA179" s="8" t="str">
        <f aca="false">IFERROR(VLOOKUP(V179,기능명세서!A:B,2,FALSE()),"")</f>
        <v/>
      </c>
      <c r="AB179" s="8" t="str">
        <f aca="false">IFERROR(VLOOKUP(W179,API명세서!A:D,4,FALSE()),"")</f>
        <v/>
      </c>
    </row>
    <row r="180" customFormat="false" ht="15" hidden="false" customHeight="true" outlineLevel="0" collapsed="false">
      <c r="Z180" s="8" t="str">
        <f aca="false">IFERROR(VLOOKUP(U180,'IA(정보구조)'!D:E,2,FALSE()),"")</f>
        <v/>
      </c>
      <c r="AA180" s="8" t="str">
        <f aca="false">IFERROR(VLOOKUP(V180,기능명세서!A:B,2,FALSE()),"")</f>
        <v/>
      </c>
      <c r="AB180" s="8" t="str">
        <f aca="false">IFERROR(VLOOKUP(W180,API명세서!A:D,4,FALSE()),"")</f>
        <v/>
      </c>
    </row>
    <row r="181" customFormat="false" ht="15" hidden="false" customHeight="true" outlineLevel="0" collapsed="false">
      <c r="Z181" s="8" t="str">
        <f aca="false">IFERROR(VLOOKUP(U181,'IA(정보구조)'!D:E,2,FALSE()),"")</f>
        <v/>
      </c>
      <c r="AA181" s="8" t="str">
        <f aca="false">IFERROR(VLOOKUP(V181,기능명세서!A:B,2,FALSE()),"")</f>
        <v/>
      </c>
      <c r="AB181" s="8" t="str">
        <f aca="false">IFERROR(VLOOKUP(W181,API명세서!A:D,4,FALSE()),"")</f>
        <v/>
      </c>
    </row>
    <row r="182" customFormat="false" ht="15" hidden="false" customHeight="true" outlineLevel="0" collapsed="false">
      <c r="Z182" s="8" t="str">
        <f aca="false">IFERROR(VLOOKUP(U182,'IA(정보구조)'!D:E,2,FALSE()),"")</f>
        <v/>
      </c>
      <c r="AA182" s="8" t="str">
        <f aca="false">IFERROR(VLOOKUP(V182,기능명세서!A:B,2,FALSE()),"")</f>
        <v/>
      </c>
      <c r="AB182" s="8" t="str">
        <f aca="false">IFERROR(VLOOKUP(W182,API명세서!A:D,4,FALSE()),"")</f>
        <v/>
      </c>
    </row>
    <row r="183" customFormat="false" ht="15" hidden="false" customHeight="true" outlineLevel="0" collapsed="false">
      <c r="Z183" s="8" t="str">
        <f aca="false">IFERROR(VLOOKUP(U183,'IA(정보구조)'!D:E,2,FALSE()),"")</f>
        <v/>
      </c>
      <c r="AA183" s="8" t="str">
        <f aca="false">IFERROR(VLOOKUP(V183,기능명세서!A:B,2,FALSE()),"")</f>
        <v/>
      </c>
      <c r="AB183" s="8" t="str">
        <f aca="false">IFERROR(VLOOKUP(W183,API명세서!A:D,4,FALSE()),"")</f>
        <v/>
      </c>
    </row>
    <row r="184" customFormat="false" ht="15" hidden="false" customHeight="true" outlineLevel="0" collapsed="false">
      <c r="Z184" s="8" t="str">
        <f aca="false">IFERROR(VLOOKUP(U184,'IA(정보구조)'!D:E,2,FALSE()),"")</f>
        <v/>
      </c>
      <c r="AA184" s="8" t="str">
        <f aca="false">IFERROR(VLOOKUP(V184,기능명세서!A:B,2,FALSE()),"")</f>
        <v/>
      </c>
      <c r="AB184" s="8" t="str">
        <f aca="false">IFERROR(VLOOKUP(W184,API명세서!A:D,4,FALSE()),"")</f>
        <v/>
      </c>
    </row>
    <row r="185" customFormat="false" ht="15" hidden="false" customHeight="true" outlineLevel="0" collapsed="false">
      <c r="Z185" s="8" t="str">
        <f aca="false">IFERROR(VLOOKUP(U185,'IA(정보구조)'!D:E,2,FALSE()),"")</f>
        <v/>
      </c>
      <c r="AA185" s="8" t="str">
        <f aca="false">IFERROR(VLOOKUP(V185,기능명세서!A:B,2,FALSE()),"")</f>
        <v/>
      </c>
      <c r="AB185" s="8" t="str">
        <f aca="false">IFERROR(VLOOKUP(W185,API명세서!A:D,4,FALSE()),"")</f>
        <v/>
      </c>
    </row>
    <row r="186" customFormat="false" ht="15" hidden="false" customHeight="true" outlineLevel="0" collapsed="false">
      <c r="Z186" s="8" t="str">
        <f aca="false">IFERROR(VLOOKUP(U186,'IA(정보구조)'!D:E,2,FALSE()),"")</f>
        <v/>
      </c>
      <c r="AA186" s="8" t="str">
        <f aca="false">IFERROR(VLOOKUP(V186,기능명세서!A:B,2,FALSE()),"")</f>
        <v/>
      </c>
      <c r="AB186" s="8" t="str">
        <f aca="false">IFERROR(VLOOKUP(W186,API명세서!A:D,4,FALSE()),"")</f>
        <v/>
      </c>
    </row>
    <row r="187" customFormat="false" ht="15" hidden="false" customHeight="true" outlineLevel="0" collapsed="false">
      <c r="Z187" s="8" t="str">
        <f aca="false">IFERROR(VLOOKUP(U187,'IA(정보구조)'!D:E,2,FALSE()),"")</f>
        <v/>
      </c>
      <c r="AA187" s="8" t="str">
        <f aca="false">IFERROR(VLOOKUP(V187,기능명세서!A:B,2,FALSE()),"")</f>
        <v/>
      </c>
      <c r="AB187" s="8" t="str">
        <f aca="false">IFERROR(VLOOKUP(W187,API명세서!A:D,4,FALSE()),"")</f>
        <v/>
      </c>
    </row>
    <row r="188" customFormat="false" ht="15" hidden="false" customHeight="true" outlineLevel="0" collapsed="false">
      <c r="Z188" s="8" t="str">
        <f aca="false">IFERROR(VLOOKUP(U188,'IA(정보구조)'!D:E,2,FALSE()),"")</f>
        <v/>
      </c>
      <c r="AA188" s="8" t="str">
        <f aca="false">IFERROR(VLOOKUP(V188,기능명세서!A:B,2,FALSE()),"")</f>
        <v/>
      </c>
      <c r="AB188" s="8" t="str">
        <f aca="false">IFERROR(VLOOKUP(W188,API명세서!A:D,4,FALSE()),"")</f>
        <v/>
      </c>
    </row>
    <row r="189" customFormat="false" ht="15" hidden="false" customHeight="true" outlineLevel="0" collapsed="false">
      <c r="Z189" s="8" t="str">
        <f aca="false">IFERROR(VLOOKUP(U189,'IA(정보구조)'!D:E,2,FALSE()),"")</f>
        <v/>
      </c>
      <c r="AA189" s="8" t="str">
        <f aca="false">IFERROR(VLOOKUP(V189,기능명세서!A:B,2,FALSE()),"")</f>
        <v/>
      </c>
      <c r="AB189" s="8" t="str">
        <f aca="false">IFERROR(VLOOKUP(W189,API명세서!A:D,4,FALSE()),"")</f>
        <v/>
      </c>
    </row>
    <row r="190" customFormat="false" ht="15" hidden="false" customHeight="true" outlineLevel="0" collapsed="false">
      <c r="Z190" s="8" t="str">
        <f aca="false">IFERROR(VLOOKUP(U190,'IA(정보구조)'!D:E,2,FALSE()),"")</f>
        <v/>
      </c>
      <c r="AA190" s="8" t="str">
        <f aca="false">IFERROR(VLOOKUP(V190,기능명세서!A:B,2,FALSE()),"")</f>
        <v/>
      </c>
      <c r="AB190" s="8" t="str">
        <f aca="false">IFERROR(VLOOKUP(W190,API명세서!A:D,4,FALSE()),"")</f>
        <v/>
      </c>
    </row>
    <row r="191" customFormat="false" ht="15" hidden="false" customHeight="true" outlineLevel="0" collapsed="false">
      <c r="Z191" s="8" t="str">
        <f aca="false">IFERROR(VLOOKUP(U191,'IA(정보구조)'!D:E,2,FALSE()),"")</f>
        <v/>
      </c>
      <c r="AA191" s="8" t="str">
        <f aca="false">IFERROR(VLOOKUP(V191,기능명세서!A:B,2,FALSE()),"")</f>
        <v/>
      </c>
      <c r="AB191" s="8" t="str">
        <f aca="false">IFERROR(VLOOKUP(W191,API명세서!A:D,4,FALSE()),"")</f>
        <v/>
      </c>
    </row>
    <row r="192" customFormat="false" ht="15" hidden="false" customHeight="true" outlineLevel="0" collapsed="false">
      <c r="Z192" s="8" t="str">
        <f aca="false">IFERROR(VLOOKUP(U192,'IA(정보구조)'!D:E,2,FALSE()),"")</f>
        <v/>
      </c>
      <c r="AA192" s="8" t="str">
        <f aca="false">IFERROR(VLOOKUP(V192,기능명세서!A:B,2,FALSE()),"")</f>
        <v/>
      </c>
      <c r="AB192" s="8" t="str">
        <f aca="false">IFERROR(VLOOKUP(W192,API명세서!A:D,4,FALSE()),"")</f>
        <v/>
      </c>
    </row>
    <row r="193" customFormat="false" ht="15" hidden="false" customHeight="true" outlineLevel="0" collapsed="false">
      <c r="Z193" s="8" t="str">
        <f aca="false">IFERROR(VLOOKUP(U193,'IA(정보구조)'!D:E,2,FALSE()),"")</f>
        <v/>
      </c>
      <c r="AA193" s="8" t="str">
        <f aca="false">IFERROR(VLOOKUP(V193,기능명세서!A:B,2,FALSE()),"")</f>
        <v/>
      </c>
      <c r="AB193" s="8" t="str">
        <f aca="false">IFERROR(VLOOKUP(W193,API명세서!A:D,4,FALSE()),"")</f>
        <v/>
      </c>
    </row>
    <row r="194" customFormat="false" ht="15" hidden="false" customHeight="true" outlineLevel="0" collapsed="false">
      <c r="Z194" s="8" t="str">
        <f aca="false">IFERROR(VLOOKUP(U194,'IA(정보구조)'!D:E,2,FALSE()),"")</f>
        <v/>
      </c>
      <c r="AA194" s="8" t="str">
        <f aca="false">IFERROR(VLOOKUP(V194,기능명세서!A:B,2,FALSE()),"")</f>
        <v/>
      </c>
      <c r="AB194" s="8" t="str">
        <f aca="false">IFERROR(VLOOKUP(W194,API명세서!A:D,4,FALSE()),"")</f>
        <v/>
      </c>
    </row>
    <row r="195" customFormat="false" ht="15" hidden="false" customHeight="true" outlineLevel="0" collapsed="false">
      <c r="Z195" s="8" t="str">
        <f aca="false">IFERROR(VLOOKUP(U195,'IA(정보구조)'!D:E,2,FALSE()),"")</f>
        <v/>
      </c>
      <c r="AA195" s="8" t="str">
        <f aca="false">IFERROR(VLOOKUP(V195,기능명세서!A:B,2,FALSE()),"")</f>
        <v/>
      </c>
      <c r="AB195" s="8" t="str">
        <f aca="false">IFERROR(VLOOKUP(W195,API명세서!A:D,4,FALSE()),"")</f>
        <v/>
      </c>
    </row>
    <row r="196" customFormat="false" ht="15" hidden="false" customHeight="true" outlineLevel="0" collapsed="false">
      <c r="Z196" s="8" t="str">
        <f aca="false">IFERROR(VLOOKUP(U196,'IA(정보구조)'!D:E,2,FALSE()),"")</f>
        <v/>
      </c>
      <c r="AA196" s="8" t="str">
        <f aca="false">IFERROR(VLOOKUP(V196,기능명세서!A:B,2,FALSE()),"")</f>
        <v/>
      </c>
      <c r="AB196" s="8" t="str">
        <f aca="false">IFERROR(VLOOKUP(W196,API명세서!A:D,4,FALSE()),"")</f>
        <v/>
      </c>
    </row>
    <row r="197" customFormat="false" ht="15" hidden="false" customHeight="true" outlineLevel="0" collapsed="false">
      <c r="Z197" s="8" t="str">
        <f aca="false">IFERROR(VLOOKUP(U197,'IA(정보구조)'!D:E,2,FALSE()),"")</f>
        <v/>
      </c>
      <c r="AA197" s="8" t="str">
        <f aca="false">IFERROR(VLOOKUP(V197,기능명세서!A:B,2,FALSE()),"")</f>
        <v/>
      </c>
      <c r="AB197" s="8" t="str">
        <f aca="false">IFERROR(VLOOKUP(W197,API명세서!A:D,4,FALSE()),"")</f>
        <v/>
      </c>
    </row>
    <row r="198" customFormat="false" ht="15" hidden="false" customHeight="true" outlineLevel="0" collapsed="false">
      <c r="Z198" s="8" t="str">
        <f aca="false">IFERROR(VLOOKUP(U198,'IA(정보구조)'!D:E,2,FALSE()),"")</f>
        <v/>
      </c>
      <c r="AA198" s="8" t="str">
        <f aca="false">IFERROR(VLOOKUP(V198,기능명세서!A:B,2,FALSE()),"")</f>
        <v/>
      </c>
      <c r="AB198" s="8" t="str">
        <f aca="false">IFERROR(VLOOKUP(W198,API명세서!A:D,4,FALSE()),"")</f>
        <v/>
      </c>
    </row>
    <row r="199" customFormat="false" ht="15" hidden="false" customHeight="true" outlineLevel="0" collapsed="false">
      <c r="Z199" s="8" t="str">
        <f aca="false">IFERROR(VLOOKUP(U199,'IA(정보구조)'!D:E,2,FALSE()),"")</f>
        <v/>
      </c>
      <c r="AA199" s="8" t="str">
        <f aca="false">IFERROR(VLOOKUP(V199,기능명세서!A:B,2,FALSE()),"")</f>
        <v/>
      </c>
      <c r="AB199" s="8" t="str">
        <f aca="false">IFERROR(VLOOKUP(W199,API명세서!A:D,4,FALSE()),"")</f>
        <v/>
      </c>
    </row>
    <row r="200" customFormat="false" ht="15" hidden="false" customHeight="true" outlineLevel="0" collapsed="false">
      <c r="Z200" s="8" t="str">
        <f aca="false">IFERROR(VLOOKUP(U200,'IA(정보구조)'!D:E,2,FALSE()),"")</f>
        <v/>
      </c>
      <c r="AA200" s="8" t="str">
        <f aca="false">IFERROR(VLOOKUP(V200,기능명세서!A:B,2,FALSE()),"")</f>
        <v/>
      </c>
      <c r="AB200" s="8" t="str">
        <f aca="false">IFERROR(VLOOKUP(W200,API명세서!A:D,4,FALSE()),"")</f>
        <v/>
      </c>
    </row>
  </sheetData>
  <autoFilter ref="A1:AC1"/>
  <dataValidations count="15">
    <dataValidation allowBlank="true" error="드롭다운 목록에서 선택해주세요." errorStyle="stop" errorTitle="잘못된 입력" operator="between" promptTitle="플랫폼" showDropDown="false" showErrorMessage="true" showInputMessage="true" sqref="B2:B200" type="list">
      <formula1>"Web,App (iOS),App (Android),Web + App,공통"</formula1>
      <formula2>0</formula2>
    </dataValidation>
    <dataValidation allowBlank="true" error="드롭다운 목록에서 선택해주세요." errorStyle="stop" errorTitle="잘못된 입력" operator="between" promptTitle="테스트 유형" showDropDown="false" showErrorMessage="true" showInputMessage="true" sqref="E2:E200" type="list">
      <formula1>"기능 테스트,UI/UX 테스트,API 테스트,성능 테스트,보안 테스트,호환성 테스트,회귀 테스트,탐색적 테스트"</formula1>
      <formula2>0</formula2>
    </dataValidation>
    <dataValidation allowBlank="true" error="드롭다운 목록에서 선택해주세요." errorStyle="stop" errorTitle="잘못된 입력" operator="between" promptTitle="테스트 상태" showDropDown="false" showErrorMessage="true" showInputMessage="true" sqref="K2:K200" type="list">
      <formula1>"미실행,Pass,Fail,Block,N/A,보류"</formula1>
      <formula2>0</formula2>
    </dataValidation>
    <dataValidation allowBlank="true" error="드롭다운 목록에서 선택해주세요." errorStyle="stop" errorTitle="잘못된 입력" operator="between" promptTitle="우선순위" showDropDown="false" showErrorMessage="true" showInputMessage="true" sqref="L2:L200" type="list">
      <formula1>"Critical,High,Medium,Low"</formula1>
      <formula2>0</formula2>
    </dataValidation>
    <dataValidation allowBlank="true" error="드롭다운 목록에서 선택해주세요." errorStyle="stop" errorTitle="잘못된 입력" operator="between" promptTitle="심각도" showDropDown="false" showErrorMessage="true" showInputMessage="true" sqref="M2:M200" type="list">
      <formula1>"Blocker,Critical,Major,Minor,Trivial"</formula1>
      <formula2>0</formula2>
    </dataValidation>
    <dataValidation allowBlank="true" error="드롭다운 목록에서 선택해주세요." errorStyle="stop" errorTitle="잘못된 입력" operator="between" promptTitle="담당자" showDropDown="false" showErrorMessage="true" showInputMessage="true" sqref="N2:N200" type="list">
      <formula1>"기획자1,기획자2,디자이너1,개발자1,개발자2,QA담당자1,QA담당자2"</formula1>
      <formula2>0</formula2>
    </dataValidation>
    <dataValidation allowBlank="true" error="드롭다운 목록에서 선택해주세요." errorStyle="stop" errorTitle="잘못된 입력" operator="between" promptTitle="환경" showDropDown="false" showErrorMessage="true" showInputMessage="true" sqref="O2:O200" type="list">
      <formula1>"Production,Staging,Dev,QA"</formula1>
      <formula2>0</formula2>
    </dataValidation>
    <dataValidation allowBlank="true" error="드롭다운 목록에서 선택해주세요." errorStyle="stop" errorTitle="잘못된 입력" operator="between" promptTitle="브라우저" showDropDown="false" showErrorMessage="true" showInputMessage="true" sqref="P2:P200" type="list">
      <formula1>"Chrome,Safari,Firefox,Edge,Samsung Internet,인앱브라우저"</formula1>
      <formula2>0</formula2>
    </dataValidation>
    <dataValidation allowBlank="true" error="드롭다운 목록에서 선택해주세요." errorStyle="stop" errorTitle="잘못된 입력" operator="between" promptTitle="디바이스" showDropDown="false" showErrorMessage="true" showInputMessage="true" sqref="Q2:Q200" type="list">
      <formula1>"Desktop,iPhone 15,iPhone 14,Galaxy S24,Galaxy S23,iPad,Galaxy Tab,기타"</formula1>
      <formula2>0</formula2>
    </dataValidation>
    <dataValidation allowBlank="true" error="드롭다운 목록에서 선택해주세요." errorStyle="stop" errorTitle="잘못된 입력" operator="between" promptTitle="OS" showDropDown="false" showErrorMessage="true" showInputMessage="true" sqref="R2:R200" type="list">
      <formula1>"Windows 11,Windows 10,macOS,iOS 17,iOS 16,Android 14,Android 13"</formula1>
      <formula2>0</formula2>
    </dataValidation>
    <dataValidation allowBlank="true" error="드롭다운 목록에서 선택해주세요." errorStyle="stop" errorTitle="잘못된 입력" operator="between" promptTitle="사이클" showDropDown="false" showErrorMessage="true" showInputMessage="true" sqref="S2:S200" type="list">
      <formula1>"1차,2차,3차,리그레션,핫픽스"</formula1>
      <formula2>0</formula2>
    </dataValidation>
    <dataValidation allowBlank="true" error="드롭다운 목록에서 선택해주세요." errorStyle="stop" errorTitle="잘못된 입력" operator="between" promptTitle="자동화" showDropDown="false" showErrorMessage="true" showInputMessage="true" sqref="T2:T200" type="list">
      <formula1>"수동,자동화 완료,자동화 예정,자동화 불가"</formula1>
      <formula2>0</formula2>
    </dataValidation>
    <dataValidation allowBlank="true" error="드롭다운 목록에서 선택해주세요." errorStyle="stop" errorTitle="잘못된 입력" operator="between" promptTitle="화면 ID" showDropDown="false" showErrorMessage="true" showInputMessage="true" sqref="U2:U200" type="list">
      <formula1>"SCR-001,SCR-010,SCR-011,SCR-012,SCR-020,SCR-021,SCR-022,SCR-030,SCR-031,SCR-032,SCR-100,SCR-101"</formula1>
      <formula2>0</formula2>
    </dataValidation>
    <dataValidation allowBlank="true" error="드롭다운 목록에서 선택해주세요." errorStyle="stop" errorTitle="잘못된 입력" operator="between" promptTitle="기능 ID" showDropDown="false" showErrorMessage="true" showInputMessage="true" sqref="V2:V200" type="list">
      <formula1>"FN-001,FN-002,FN-003,FN-004,FN-005"</formula1>
      <formula2>0</formula2>
    </dataValidation>
    <dataValidation allowBlank="true" error="드롭다운 목록에서 선택해주세요." errorStyle="stop" errorTitle="잘못된 입력" operator="between" promptTitle="API ID" showDropDown="false" showErrorMessage="true" showInputMessage="true" sqref="W2:W200" type="list">
      <formula1>"API-001,API-002,API-003,API-010,API-020"</formula1>
      <formula2>0</formula2>
    </dataValidation>
  </dataValidations>
  <hyperlinks>
    <hyperlink ref="U2" r:id="rId1" location="화면설계서!A3" display="SCR-010"/>
    <hyperlink ref="V2" r:id="rId2" location="기능명세서!A2" display="FN-001"/>
    <hyperlink ref="W2" r:id="rId3" location="API명세서!A2" display="API-001"/>
    <hyperlink ref="U3" r:id="rId4" location="화면설계서!A3" display="SCR-010"/>
    <hyperlink ref="V3" r:id="rId5" location="기능명세서!A3" display="FN-002"/>
    <hyperlink ref="W3" r:id="rId6" location="API명세서!A3" display="API-002"/>
    <hyperlink ref="U4" r:id="rId7" location="화면설계서!A3" display="SCR-010"/>
    <hyperlink ref="V4" r:id="rId8" location="기능명세서!A3" display="FN-002"/>
    <hyperlink ref="W4" r:id="rId9" location="API명세서!A3" display="API-002"/>
    <hyperlink ref="U5" r:id="rId10" location="화면설계서!A4" display="SCR-011"/>
    <hyperlink ref="V5" r:id="rId11" location="기능명세서!A4" display="FN-003"/>
    <hyperlink ref="W5" r:id="rId12" location="API명세서!A4" display="API-003"/>
    <hyperlink ref="U6" r:id="rId13" location="화면설계서!A4" display="SCR-011"/>
    <hyperlink ref="V6" r:id="rId14" location="기능명세서!A4" display="FN-003"/>
    <hyperlink ref="W6" r:id="rId15" location="API명세서!A4" display="API-003"/>
    <hyperlink ref="U7" r:id="rId16" location="화면설계서!A5" display="SCR-022"/>
    <hyperlink ref="V7" r:id="rId17" location="기능명세서!A5" display="FN-004"/>
    <hyperlink ref="W7" r:id="rId18" location="API명세서!A5" display="API-010"/>
    <hyperlink ref="U8" r:id="rId19" location="화면설계서!A6" display="SCR-030"/>
    <hyperlink ref="V8" r:id="rId20" location="기능명세서!A6" display="FN-005"/>
    <hyperlink ref="W8" r:id="rId21" location="API명세서!A6" display="API-020"/>
    <hyperlink ref="U9" r:id="rId22" location="화면설계서!A2" display="SCR-001"/>
    <hyperlink ref="W10" r:id="rId23" location="API명세서!A4" display="API-003"/>
    <hyperlink ref="U11" r:id="rId24" location="화면설계서!A2" display="SCR-001"/>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107"/>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true"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4" min="3" style="0" width="14"/>
  </cols>
  <sheetData>
    <row r="1" customFormat="false" ht="19.5" hidden="false" customHeight="true" outlineLevel="0" collapsed="false">
      <c r="A1" s="29" t="s">
        <v>662</v>
      </c>
      <c r="B1" s="29"/>
      <c r="C1" s="29"/>
      <c r="D1" s="29"/>
      <c r="E1" s="29"/>
      <c r="F1" s="29"/>
    </row>
    <row r="3" customFormat="false" ht="15" hidden="false" customHeight="true" outlineLevel="0" collapsed="false">
      <c r="A3" s="30" t="s">
        <v>663</v>
      </c>
      <c r="B3" s="31"/>
      <c r="C3" s="31"/>
      <c r="D3" s="31"/>
    </row>
    <row r="4" customFormat="false" ht="15" hidden="false" customHeight="true" outlineLevel="0" collapsed="false">
      <c r="A4" s="32" t="s">
        <v>664</v>
      </c>
      <c r="B4" s="32" t="s">
        <v>665</v>
      </c>
      <c r="C4" s="32" t="s">
        <v>20</v>
      </c>
      <c r="D4" s="32" t="s">
        <v>41</v>
      </c>
    </row>
    <row r="5" customFormat="false" ht="15" hidden="false" customHeight="true" outlineLevel="0" collapsed="false">
      <c r="A5" s="21" t="s">
        <v>666</v>
      </c>
      <c r="B5" s="33" t="n">
        <f aca="false">COUNTA('IA(정보구조)'!A2:A200)</f>
        <v>12</v>
      </c>
      <c r="C5" s="33" t="n">
        <f aca="false">COUNTIF('IA(정보구조)'!K2:K200,"확정")</f>
        <v>4</v>
      </c>
      <c r="D5" s="33" t="n">
        <f aca="false">COUNTIF('IA(정보구조)'!K2:K200,"작성중")</f>
        <v>8</v>
      </c>
    </row>
    <row r="6" customFormat="false" ht="15" hidden="false" customHeight="true" outlineLevel="0" collapsed="false">
      <c r="A6" s="34" t="s">
        <v>667</v>
      </c>
      <c r="B6" s="33" t="n">
        <f aca="false">COUNTA(화면설계서!A2:A200)</f>
        <v>5</v>
      </c>
      <c r="C6" s="33" t="n">
        <f aca="false">COUNTIF(화면설계서!Q2:Q200,"확정")</f>
        <v>3</v>
      </c>
      <c r="D6" s="33" t="n">
        <f aca="false">COUNTIF(화면설계서!Q2:Q200,"작성중")</f>
        <v>2</v>
      </c>
    </row>
    <row r="7" customFormat="false" ht="15" hidden="false" customHeight="true" outlineLevel="0" collapsed="false">
      <c r="A7" s="34" t="s">
        <v>668</v>
      </c>
      <c r="B7" s="33" t="n">
        <f aca="false">COUNTA(기능명세서!A2:A200)</f>
        <v>9</v>
      </c>
      <c r="C7" s="33" t="n">
        <f aca="false">COUNTIF(기능명세서!P2:P200,"확정")</f>
        <v>3</v>
      </c>
      <c r="D7" s="33" t="n">
        <f aca="false">COUNTIF(기능명세서!P2:P200,"작성중")</f>
        <v>2</v>
      </c>
    </row>
    <row r="8" customFormat="false" ht="15" hidden="false" customHeight="true" outlineLevel="0" collapsed="false">
      <c r="A8" s="21" t="s">
        <v>669</v>
      </c>
      <c r="B8" s="33" t="n">
        <f aca="false">COUNTA(API명세서!A2:A200)</f>
        <v>5</v>
      </c>
      <c r="C8" s="33" t="n">
        <f aca="false">COUNTIF(API명세서!M2:M200,"개발완료")</f>
        <v>3</v>
      </c>
      <c r="D8" s="33" t="n">
        <f aca="false">COUNTIF(API명세서!M2:M200,"설계중")</f>
        <v>1</v>
      </c>
    </row>
    <row r="9" customFormat="false" ht="15" hidden="false" customHeight="true" outlineLevel="0" collapsed="false">
      <c r="A9" s="34" t="s">
        <v>670</v>
      </c>
      <c r="B9" s="33" t="n">
        <f aca="false">COUNTA('데이터 정의서'!A2:A200)</f>
        <v>20</v>
      </c>
      <c r="C9" s="33" t="n">
        <f aca="false">COUNTIF('데이터 정의서'!L2:L200,"확정")</f>
        <v>16</v>
      </c>
      <c r="D9" s="33" t="n">
        <f aca="false">COUNTIF('데이터 정의서'!L2:L200,"작성중")</f>
        <v>4</v>
      </c>
    </row>
    <row r="12" customFormat="false" ht="15" hidden="false" customHeight="true" outlineLevel="0" collapsed="false">
      <c r="A12" s="35" t="s">
        <v>671</v>
      </c>
      <c r="B12" s="31"/>
      <c r="C12" s="31"/>
      <c r="D12" s="31"/>
    </row>
    <row r="13" customFormat="false" ht="15" hidden="false" customHeight="true" outlineLevel="0" collapsed="false">
      <c r="A13" s="36" t="s">
        <v>672</v>
      </c>
      <c r="B13" s="33" t="n">
        <f aca="false">COUNTA(QA테스트케이스!A2:A200)</f>
        <v>10</v>
      </c>
    </row>
    <row r="14" customFormat="false" ht="15" hidden="false" customHeight="true" outlineLevel="0" collapsed="false">
      <c r="A14" s="26" t="s">
        <v>673</v>
      </c>
      <c r="B14" s="33" t="n">
        <f aca="false">COUNTIF(QA테스트케이스!K2:K200,"Pass")</f>
        <v>0</v>
      </c>
    </row>
    <row r="15" customFormat="false" ht="15" hidden="false" customHeight="true" outlineLevel="0" collapsed="false">
      <c r="A15" s="26" t="s">
        <v>674</v>
      </c>
      <c r="B15" s="33" t="n">
        <f aca="false">COUNTIF(QA테스트케이스!K2:K200,"Fail")</f>
        <v>0</v>
      </c>
    </row>
    <row r="16" customFormat="false" ht="15" hidden="false" customHeight="true" outlineLevel="0" collapsed="false">
      <c r="A16" s="26" t="s">
        <v>675</v>
      </c>
      <c r="B16" s="33" t="n">
        <f aca="false">COUNTIF(QA테스트케이스!K2:K200,"Block")</f>
        <v>0</v>
      </c>
    </row>
    <row r="17" customFormat="false" ht="15" hidden="false" customHeight="true" outlineLevel="0" collapsed="false">
      <c r="A17" s="36" t="s">
        <v>586</v>
      </c>
      <c r="B17" s="33" t="n">
        <f aca="false">COUNTIF(QA테스트케이스!K2:K200,"미실행")</f>
        <v>10</v>
      </c>
    </row>
    <row r="18" customFormat="false" ht="15" hidden="false" customHeight="true" outlineLevel="0" collapsed="false">
      <c r="A18" s="26" t="s">
        <v>676</v>
      </c>
      <c r="B18" s="33" t="n">
        <f aca="false">IF(B14&gt;0,B14/(B14+B15+B16)*100,0)</f>
        <v>0</v>
      </c>
    </row>
    <row r="21" customFormat="false" ht="15" hidden="false" customHeight="true" outlineLevel="0" collapsed="false">
      <c r="A21" s="30" t="s">
        <v>677</v>
      </c>
      <c r="B21" s="31"/>
      <c r="C21" s="31"/>
      <c r="D21" s="31"/>
    </row>
    <row r="22" customFormat="false" ht="15" hidden="false" customHeight="true" outlineLevel="0" collapsed="false">
      <c r="A22" s="32" t="s">
        <v>5</v>
      </c>
      <c r="B22" s="32" t="s">
        <v>678</v>
      </c>
      <c r="C22" s="37" t="s">
        <v>673</v>
      </c>
      <c r="D22" s="37" t="s">
        <v>674</v>
      </c>
    </row>
    <row r="23" customFormat="false" ht="15" hidden="false" customHeight="true" outlineLevel="0" collapsed="false">
      <c r="A23" s="26" t="s">
        <v>70</v>
      </c>
      <c r="B23" s="33" t="n">
        <f aca="false">COUNTIF(QA테스트케이스!B2:B200,"Web")</f>
        <v>5</v>
      </c>
      <c r="C23" s="33" t="n">
        <f aca="false">COUNTIFS(QA테스트케이스!B2:B200,"Web",QA테스트케이스!K2:K200,"Pass")</f>
        <v>0</v>
      </c>
      <c r="D23" s="33" t="n">
        <f aca="false">COUNTIFS(QA테스트케이스!B2:B200,"Web",QA테스트케이스!K2:K200,"Fail")</f>
        <v>0</v>
      </c>
    </row>
    <row r="24" customFormat="false" ht="15" hidden="false" customHeight="true" outlineLevel="0" collapsed="false">
      <c r="A24" s="26" t="s">
        <v>595</v>
      </c>
      <c r="B24" s="33" t="n">
        <f aca="false">COUNTIF(QA테스트케이스!B2:B200,"App (iOS)")</f>
        <v>2</v>
      </c>
      <c r="C24" s="33" t="n">
        <f aca="false">COUNTIFS(QA테스트케이스!B2:B200,"App (iOS)",QA테스트케이스!K2:K200,"Pass")</f>
        <v>0</v>
      </c>
      <c r="D24" s="33" t="n">
        <f aca="false">COUNTIFS(QA테스트케이스!B2:B200,"App (iOS)",QA테스트케이스!K2:K200,"Fail")</f>
        <v>0</v>
      </c>
    </row>
    <row r="25" customFormat="false" ht="15" hidden="false" customHeight="true" outlineLevel="0" collapsed="false">
      <c r="A25" s="26" t="s">
        <v>604</v>
      </c>
      <c r="B25" s="33" t="n">
        <f aca="false">COUNTIF(QA테스트케이스!B2:B200,"App (Android)")</f>
        <v>1</v>
      </c>
      <c r="C25" s="33" t="n">
        <f aca="false">COUNTIFS(QA테스트케이스!B2:B200,"App (Android)",QA테스트케이스!K2:K200,"Pass")</f>
        <v>0</v>
      </c>
      <c r="D25" s="33" t="n">
        <f aca="false">COUNTIFS(QA테스트케이스!B2:B200,"App (Android)",QA테스트케이스!K2:K200,"Fail")</f>
        <v>0</v>
      </c>
    </row>
    <row r="26" customFormat="false" ht="15" hidden="false" customHeight="true" outlineLevel="0" collapsed="false">
      <c r="A26" s="36" t="s">
        <v>623</v>
      </c>
      <c r="B26" s="33" t="n">
        <f aca="false">COUNTIF(QA테스트케이스!B2:B200,"공통")</f>
        <v>2</v>
      </c>
      <c r="C26" s="33" t="n">
        <f aca="false">COUNTIFS(QA테스트케이스!B2:B200,"공통",QA테스트케이스!K2:K200,"Pass")</f>
        <v>0</v>
      </c>
      <c r="D26" s="33" t="n">
        <f aca="false">COUNTIFS(QA테스트케이스!B2:B200,"공통",QA테스트케이스!K2:K200,"Fail")</f>
        <v>0</v>
      </c>
    </row>
    <row r="29" customFormat="false" ht="15" hidden="false" customHeight="true" outlineLevel="0" collapsed="false">
      <c r="A29" s="30" t="s">
        <v>679</v>
      </c>
      <c r="B29" s="31"/>
      <c r="C29" s="31"/>
    </row>
    <row r="30" customFormat="false" ht="15" hidden="false" customHeight="true" outlineLevel="0" collapsed="false">
      <c r="A30" s="26" t="s">
        <v>113</v>
      </c>
      <c r="B30" s="33" t="n">
        <f aca="false">COUNTIF('사용자 스토리'!J2:J200,"Backlog")</f>
        <v>2</v>
      </c>
    </row>
    <row r="31" customFormat="false" ht="15" hidden="false" customHeight="true" outlineLevel="0" collapsed="false">
      <c r="A31" s="26" t="s">
        <v>107</v>
      </c>
      <c r="B31" s="33" t="n">
        <f aca="false">COUNTIF('사용자 스토리'!J2:J200,"To Do")</f>
        <v>1</v>
      </c>
    </row>
    <row r="32" customFormat="false" ht="15" hidden="false" customHeight="true" outlineLevel="0" collapsed="false">
      <c r="A32" s="26" t="s">
        <v>101</v>
      </c>
      <c r="B32" s="33" t="n">
        <f aca="false">COUNTIF('사용자 스토리'!J2:J200,"In Progress")</f>
        <v>1</v>
      </c>
    </row>
    <row r="33" customFormat="false" ht="15" hidden="false" customHeight="true" outlineLevel="0" collapsed="false">
      <c r="A33" s="26" t="s">
        <v>680</v>
      </c>
      <c r="B33" s="33" t="n">
        <f aca="false">COUNTIF('사용자 스토리'!J2:J200,"In Review")</f>
        <v>0</v>
      </c>
    </row>
    <row r="34" customFormat="false" ht="15" hidden="false" customHeight="true" outlineLevel="0" collapsed="false">
      <c r="A34" s="26" t="s">
        <v>93</v>
      </c>
      <c r="B34" s="33" t="n">
        <f aca="false">COUNTIF('사용자 스토리'!J2:J200,"Done")</f>
        <v>2</v>
      </c>
    </row>
    <row r="36" customFormat="false" ht="15" hidden="false" customHeight="true" outlineLevel="0" collapsed="false">
      <c r="A36" s="35" t="s">
        <v>681</v>
      </c>
      <c r="B36" s="31"/>
      <c r="C36" s="31"/>
    </row>
    <row r="37" customFormat="false" ht="15" hidden="false" customHeight="true" outlineLevel="0" collapsed="false">
      <c r="A37" s="36" t="s">
        <v>682</v>
      </c>
      <c r="B37" s="33" t="n">
        <f aca="false">COUNTA('UI 요소 상세'!A2:A500)</f>
        <v>29</v>
      </c>
    </row>
    <row r="38" customFormat="false" ht="15" hidden="false" customHeight="true" outlineLevel="0" collapsed="false">
      <c r="A38" s="36" t="s">
        <v>198</v>
      </c>
      <c r="B38" s="33" t="n">
        <f aca="false">COUNTIF('UI 요소 상세'!N2:N500,"완료")</f>
        <v>15</v>
      </c>
    </row>
    <row r="39" customFormat="false" ht="15" hidden="false" customHeight="true" outlineLevel="0" collapsed="false">
      <c r="A39" s="36" t="s">
        <v>223</v>
      </c>
      <c r="B39" s="33" t="n">
        <f aca="false">COUNTIF('UI 요소 상세'!N2:N500,"설계중")</f>
        <v>9</v>
      </c>
    </row>
    <row r="40" customFormat="false" ht="15" hidden="false" customHeight="true" outlineLevel="0" collapsed="false">
      <c r="A40" s="36" t="s">
        <v>486</v>
      </c>
      <c r="B40" s="33" t="n">
        <f aca="false">COUNTIF('UI 요소 상세'!N2:N500,"개발중")</f>
        <v>0</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2026-03-07T09:03:44Z</dcterms:created>
  <dc:creator>openpyxl</dc:creator>
  <dc:description/>
  <dc:language>en-US</dc:language>
  <cp:lastModifiedBy>오유진</cp:lastModifiedBy>
  <dcterms:modified xsi:type="dcterms:W3CDTF">2026-03-07T09:20:21Z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